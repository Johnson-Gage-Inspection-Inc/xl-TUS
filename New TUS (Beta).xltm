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template.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tables/table2.xml" ContentType="application/vnd.openxmlformats-officedocument.spreadsheetml.table+xml"/>
  <Override PartName="/xl/queryTables/queryTable2.xml" ContentType="application/vnd.openxmlformats-officedocument.spreadsheetml.queryTable+xml"/>
  <Override PartName="/xl/tables/table3.xml" ContentType="application/vnd.openxmlformats-officedocument.spreadsheetml.table+xml"/>
  <Override PartName="/xl/queryTables/queryTable3.xml" ContentType="application/vnd.openxmlformats-officedocument.spreadsheetml.queryTable+xml"/>
  <Override PartName="/xl/tables/table4.xml" ContentType="application/vnd.openxmlformats-officedocument.spreadsheetml.table+xml"/>
  <Override PartName="/xl/queryTables/queryTable4.xml" ContentType="application/vnd.openxmlformats-officedocument.spreadsheetml.queryTable+xml"/>
  <Override PartName="/xl/tables/table5.xml" ContentType="application/vnd.openxmlformats-officedocument.spreadsheetml.table+xml"/>
  <Override PartName="/xl/queryTables/queryTable5.xml" ContentType="application/vnd.openxmlformats-officedocument.spreadsheetml.queryTable+xml"/>
  <Override PartName="/xl/customProperty1.bin" ContentType="application/vnd.openxmlformats-officedocument.spreadsheetml.customProperty"/>
  <Override PartName="/xl/customProperty2.bin" ContentType="application/vnd.openxmlformats-officedocument.spreadsheetml.customProperty"/>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omments1.xml" ContentType="application/vnd.openxmlformats-officedocument.spreadsheetml.comments+xml"/>
  <Override PartName="/xl/threadedComments/threadedComment1.xml" ContentType="application/vnd.ms-excel.threadedcomments+xml"/>
  <Override PartName="/xl/tables/table6.xml" ContentType="application/vnd.openxmlformats-officedocument.spreadsheetml.table+xml"/>
  <Override PartName="/xl/tables/table7.xml" ContentType="application/vnd.openxmlformats-officedocument.spreadsheetml.table+xml"/>
  <Override PartName="/xl/customProperty3.bin" ContentType="application/vnd.openxmlformats-officedocument.spreadsheetml.customProperty"/>
  <Override PartName="/xl/customProperty4.bin" ContentType="application/vnd.openxmlformats-officedocument.spreadsheetml.customProperty"/>
  <Override PartName="/xl/customProperty5.bin" ContentType="application/vnd.openxmlformats-officedocument.spreadsheetml.customProperty"/>
  <Override PartName="/xl/customProperty6.bin" ContentType="application/vnd.openxmlformats-officedocument.spreadsheetml.customProperty"/>
  <Override PartName="/xl/customProperty7.bin" ContentType="application/vnd.openxmlformats-officedocument.spreadsheetml.customProperty"/>
  <Override PartName="/xl/customProperty8.bin" ContentType="application/vnd.openxmlformats-officedocument.spreadsheetml.customProperty"/>
  <Override PartName="/xl/drawings/drawing2.xml" ContentType="application/vnd.openxmlformats-officedocument.drawing+xml"/>
  <Override PartName="/xl/tables/table8.xml" ContentType="application/vnd.openxmlformats-officedocument.spreadsheetml.table+xml"/>
  <Override PartName="/xl/queryTables/queryTable6.xml" ContentType="application/vnd.openxmlformats-officedocument.spreadsheetml.queryTable+xml"/>
  <Override PartName="/xl/customProperty9.bin" ContentType="application/vnd.openxmlformats-officedocument.spreadsheetml.customProperty"/>
  <Override PartName="/xl/customProperty10.bin" ContentType="application/vnd.openxmlformats-officedocument.spreadsheetml.customProperty"/>
  <Override PartName="/xl/tables/table9.xml" ContentType="application/vnd.openxmlformats-officedocument.spreadsheetml.table+xml"/>
  <Override PartName="/xl/queryTables/queryTable7.xml" ContentType="application/vnd.openxmlformats-officedocument.spreadsheetml.queryTable+xml"/>
  <Override PartName="/xl/tables/table10.xml" ContentType="application/vnd.openxmlformats-officedocument.spreadsheetml.table+xml"/>
  <Override PartName="/xl/queryTables/queryTable8.xml" ContentType="application/vnd.openxmlformats-officedocument.spreadsheetml.queryTable+xml"/>
  <Override PartName="/xl/tables/table11.xml" ContentType="application/vnd.openxmlformats-officedocument.spreadsheetml.table+xml"/>
  <Override PartName="/xl/queryTables/queryTable9.xml" ContentType="application/vnd.openxmlformats-officedocument.spreadsheetml.queryTable+xml"/>
  <Override PartName="/xl/tables/table12.xml" ContentType="application/vnd.openxmlformats-officedocument.spreadsheetml.table+xml"/>
  <Override PartName="/xl/queryTables/queryTable10.xml" ContentType="application/vnd.openxmlformats-officedocument.spreadsheetml.queryTable+xml"/>
  <Override PartName="/xl/customProperty11.bin" ContentType="application/vnd.openxmlformats-officedocument.spreadsheetml.customProperty"/>
  <Override PartName="/xl/customProperty12.bin" ContentType="application/vnd.openxmlformats-officedocument.spreadsheetml.customProperty"/>
  <Override PartName="/xl/tables/table13.xml" ContentType="application/vnd.openxmlformats-officedocument.spreadsheetml.table+xml"/>
  <Override PartName="/xl/queryTables/queryTable11.xml" ContentType="application/vnd.openxmlformats-officedocument.spreadsheetml.queryTable+xml"/>
  <Override PartName="/xl/customProperty13.bin" ContentType="application/vnd.openxmlformats-officedocument.spreadsheetml.customProperty"/>
  <Override PartName="/xl/customProperty14.bin" ContentType="application/vnd.openxmlformats-officedocument.spreadsheetml.customProperty"/>
  <Override PartName="/xl/customProperty15.bin" ContentType="application/vnd.openxmlformats-officedocument.spreadsheetml.customProperty"/>
  <Override PartName="/xl/customProperty16.bin" ContentType="application/vnd.openxmlformats-officedocument.spreadsheetml.customProperty"/>
  <Override PartName="/xl/customProperty17.bin" ContentType="application/vnd.openxmlformats-officedocument.spreadsheetml.customProperty"/>
  <Override PartName="/xl/customProperty18.bin" ContentType="application/vnd.openxmlformats-officedocument.spreadsheetml.customProperty"/>
  <Override PartName="/xl/customProperty19.bin" ContentType="application/vnd.openxmlformats-officedocument.spreadsheetml.customProperty"/>
  <Override PartName="/xl/customProperty20.bin" ContentType="application/vnd.openxmlformats-officedocument.spreadsheetml.customProperty"/>
  <Override PartName="/xl/tables/table14.xml" ContentType="application/vnd.openxmlformats-officedocument.spreadsheetml.table+xml"/>
  <Override PartName="/xl/comments2.xml" ContentType="application/vnd.openxmlformats-officedocument.spreadsheetml.comments+xml"/>
  <Override PartName="/xl/customProperty21.bin" ContentType="application/vnd.openxmlformats-officedocument.spreadsheetml.customProperty"/>
  <Override PartName="/xl/customProperty22.bin" ContentType="application/vnd.openxmlformats-officedocument.spreadsheetml.customProperty"/>
  <Override PartName="/xl/customProperty23.bin" ContentType="application/vnd.openxmlformats-officedocument.spreadsheetml.customProperty"/>
  <Override PartName="/xl/customProperty24.bin" ContentType="application/vnd.openxmlformats-officedocument.spreadsheetml.customProperty"/>
  <Override PartName="/xl/customProperty25.bin" ContentType="application/vnd.openxmlformats-officedocument.spreadsheetml.customProperty"/>
  <Override PartName="/xl/customProperty26.bin" ContentType="application/vnd.openxmlformats-officedocument.spreadsheetml.customProperty"/>
  <Override PartName="/xl/comments3.xml" ContentType="application/vnd.openxmlformats-officedocument.spreadsheetml.comments+xml"/>
  <Override PartName="/xl/tables/table15.xml" ContentType="application/vnd.openxmlformats-officedocument.spreadsheetml.table+xml"/>
  <Override PartName="/xl/tables/table16.xml" ContentType="application/vnd.openxmlformats-officedocument.spreadsheetml.table+xml"/>
  <Override PartName="/xl/queryTables/queryTable12.xml" ContentType="application/vnd.openxmlformats-officedocument.spreadsheetml.queryTable+xml"/>
  <Override PartName="/xl/customProperty27.bin" ContentType="application/vnd.openxmlformats-officedocument.spreadsheetml.customProperty"/>
  <Override PartName="/xl/customProperty28.bin" ContentType="application/vnd.openxmlformats-officedocument.spreadsheetml.customProperty"/>
  <Override PartName="/xl/tables/table17.xml" ContentType="application/vnd.openxmlformats-officedocument.spreadsheetml.table+xml"/>
  <Override PartName="/xl/queryTables/queryTable13.xml" ContentType="application/vnd.openxmlformats-officedocument.spreadsheetml.queryTable+xml"/>
  <Override PartName="/xl/persons/person.xml" ContentType="application/vnd.ms-excel.person+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8827" codeName="{0730EB3F-75F1-03CD-C966-41DC9FD4AD36}"/>
  <workbookPr updateLinks="never" codeName="ThisWorkbook" hidePivotFieldList="1" refreshAllConnections="1" defaultThemeVersion="124226"/>
  <mc:AlternateContent xmlns:mc="http://schemas.openxmlformats.org/markup-compatibility/2006">
    <mc:Choice Requires="x15">
      <x15ac:absPath xmlns:x15ac="http://schemas.microsoft.com/office/spreadsheetml/2010/11/ac" url="C:\Users\JeffHall\git\xl-TUS\"/>
    </mc:Choice>
  </mc:AlternateContent>
  <xr:revisionPtr revIDLastSave="0" documentId="13_ncr:1_{168EB617-3A57-4D08-8DAD-2E601BEC5458}" xr6:coauthVersionLast="47" xr6:coauthVersionMax="47" xr10:uidLastSave="{00000000-0000-0000-0000-000000000000}"/>
  <bookViews>
    <workbookView xWindow="28680" yWindow="-120" windowWidth="29040" windowHeight="15720" tabRatio="892" firstSheet="5" activeTab="5" xr2:uid="{00000000-000D-0000-FFFF-FFFF00000000}"/>
  </bookViews>
  <sheets>
    <sheet name="WireSets" sheetId="70" state="hidden" r:id="rId1"/>
    <sheet name="WorkItemDetails" sheetId="71" state="hidden" r:id="rId2"/>
    <sheet name="Query1" sheetId="83" state="hidden" r:id="rId3"/>
    <sheet name="WireOffsets" sheetId="74" state="hidden" r:id="rId4"/>
    <sheet name="Employee" sheetId="84" state="hidden" r:id="rId5"/>
    <sheet name="Main" sheetId="8" r:id="rId6"/>
    <sheet name="WireCertData" sheetId="69" state="hidden" r:id="rId7"/>
    <sheet name="Wire Ranges" sheetId="67" state="hidden" r:id="rId8"/>
    <sheet name="DaqBook_RAW_Data" sheetId="9" r:id="rId9"/>
    <sheet name="Packet_Content" sheetId="19" r:id="rId10"/>
    <sheet name="CERT" sheetId="26" r:id="rId11"/>
    <sheet name="Header_Info" sheetId="77" state="hidden" r:id="rId12"/>
    <sheet name="Customer Table" sheetId="29" state="hidden" r:id="rId13"/>
    <sheet name="AssetPool" sheetId="35" state="hidden" r:id="rId14"/>
    <sheet name="DaqbookServiceRecords" sheetId="54" state="hidden" r:id="rId15"/>
    <sheet name="Employees" sheetId="38" state="hidden" r:id="rId16"/>
    <sheet name="DaqbookOffsets" sheetId="20" state="hidden" r:id="rId17"/>
    <sheet name="Data_Sheet" sheetId="13" r:id="rId18"/>
    <sheet name="Data_Sheet_15_28" sheetId="14" r:id="rId19"/>
    <sheet name="Data_Sheet_29_40" sheetId="15" r:id="rId20"/>
    <sheet name="Comparison_Report" sheetId="4" r:id="rId21"/>
    <sheet name="TUS_Worksheet" sheetId="5" r:id="rId22"/>
    <sheet name="Interp" sheetId="21" r:id="rId23"/>
    <sheet name="Access_Data" sheetId="1" r:id="rId24"/>
    <sheet name="CMCs" sheetId="85" state="hidden" r:id="rId25"/>
    <sheet name="UncBudgets" sheetId="86" state="hidden" r:id="rId26"/>
    <sheet name="Standards_Info" sheetId="12" r:id="rId27"/>
    <sheet name="AllDaqbookOffsets" sheetId="78" state="hidden" r:id="rId28"/>
  </sheets>
  <functionGroups builtInGroupCount="19"/>
  <definedNames>
    <definedName name="_xleta.ABS" hidden="1" xlm="1">#NAME?</definedName>
    <definedName name="_xleta.AND" hidden="1" xlm="1">#NAME?</definedName>
    <definedName name="_xleta.IF" hidden="1" xlm="1">#NAME?</definedName>
    <definedName name="_xleta.IFERROR" hidden="1" xlm="1">#NAME?</definedName>
    <definedName name="_xleta.INDEX" hidden="1" xlm="1">#NAME?</definedName>
    <definedName name="_xleta.ISBLANK" hidden="1" xlm="1">#NAME?</definedName>
    <definedName name="_xleta.ISERROR" hidden="1" xlm="1">#NAME?</definedName>
    <definedName name="_xleta.MATCH" hidden="1" xlm="1">#NAME?</definedName>
    <definedName name="_xleta.MAX" hidden="1" xlm="1">#NAME?</definedName>
    <definedName name="_xleta.T" hidden="1" xlm="1">#NAME?</definedName>
    <definedName name="_xleta.VLOOKUP" hidden="1" xlm="1">#NAME?</definedName>
    <definedName name="_xlpm.child" hidden="1" xlm="1">#NAME?</definedName>
    <definedName name="_xlpm.childPart" hidden="1" xlm="1">#NAME?</definedName>
    <definedName name="_xlpm.childPartRaw" hidden="1" xlm="1">#NAME?</definedName>
    <definedName name="_xlpm.clean" hidden="1" xlm="1">#NAME?</definedName>
    <definedName name="_xlpm.dotPos" hidden="1" xlm="1">#NAME?</definedName>
    <definedName name="_xlpm.hasPrefix" hidden="1" xlm="1">#NAME?</definedName>
    <definedName name="_xlpm.mainOrder" hidden="1" xlm="1">#NAME?</definedName>
    <definedName name="_xlpm.mainPart" hidden="1" xlm="1">#NAME?</definedName>
    <definedName name="_xlpm.mainPartRaw" hidden="1" xlm="1">#NAME?</definedName>
    <definedName name="_xlpm.noPrefix" hidden="1" xlm="1">#NAME?</definedName>
    <definedName name="_xlpm.numberPart" hidden="1" xlm="1">#NAME?</definedName>
    <definedName name="_xlpm.p" hidden="1" xlm="1">#NAME?</definedName>
    <definedName name="_xlpm.paddedChild" hidden="1" xlm="1">#NAME?</definedName>
    <definedName name="_xlpm.paddedMain" hidden="1" xlm="1">#NAME?</definedName>
    <definedName name="_xlpm.parts" hidden="1" xlm="1">#NAME?</definedName>
    <definedName name="_xlpm.raw" hidden="1" xlm="1">#NAME?</definedName>
    <definedName name="_xlpm.validChild" hidden="1" xlm="1">#NAME?</definedName>
    <definedName name="_xlpm.validMain" hidden="1" xlm="1">#NAME?</definedName>
    <definedName name="AddressLine1">Header_Info!$AT$2</definedName>
    <definedName name="AddressLine2">Header_Info!$AU$2</definedName>
    <definedName name="AddressLine3">Header_Info!$AV$2</definedName>
    <definedName name="AssetId" comment="Client Asset Id">WorkItemDetails!#REF!</definedName>
    <definedName name="Assets_GetAssetByAssetPool" localSheetId="13" hidden="1">AssetPool!$A$1:$Q$71</definedName>
    <definedName name="CalInterval">Header_Info!$BJ$2</definedName>
    <definedName name="CalMethod">Header_Info!$AX$2</definedName>
    <definedName name="CheckRec">Header_Info!$CB$2</definedName>
    <definedName name="Class">Header_Info!$BD$2</definedName>
    <definedName name="clientCompanyId">WorkItemDetails!#REF!</definedName>
    <definedName name="companyName">'Customer Table'!$Q$2</definedName>
    <definedName name="Condition">Header_Info!$BV$2</definedName>
    <definedName name="Controller">Header_Info!$BL$2</definedName>
    <definedName name="ContSN">Header_Info!$BM$2</definedName>
    <definedName name="ContTol">Header_Info!$BN$2</definedName>
    <definedName name="CubicFeet">Header_Info!$BI$2</definedName>
    <definedName name="DaqbookAssetId">Main!$E$9</definedName>
    <definedName name="DBTrace">Standards_Info!$M$2:$M$5</definedName>
    <definedName name="Derivative">Header_Info!$BX$2</definedName>
    <definedName name="ExpendableWireData">Main!$C$47:$I$57</definedName>
    <definedName name="ExternalData_1" localSheetId="16" hidden="1">DaqbookOffsets!$A$1:$A$2</definedName>
    <definedName name="ExternalData_1" localSheetId="14" hidden="1">DaqbookServiceRecords!$A$1:$B$2</definedName>
    <definedName name="ExternalData_1" localSheetId="4" hidden="1">Employee!$A$1:$C$2</definedName>
    <definedName name="ExternalData_1" localSheetId="15" hidden="1">Employees!$A$1:$D$70</definedName>
    <definedName name="ExternalData_1" localSheetId="11" hidden="1">Header_Info!$A$1:$AO$405</definedName>
    <definedName name="ExternalData_1" localSheetId="25" hidden="1">UncBudgets!$A$1:$I$13</definedName>
    <definedName name="ExternalData_1" localSheetId="6" hidden="1">WireCertData!$A$1:$AL$67</definedName>
    <definedName name="ExternalData_1" localSheetId="3" hidden="1">WireOffsets!$A$1:$C$35</definedName>
    <definedName name="ExternalData_1" localSheetId="0" hidden="1">WireSets!$A$1:$K$28</definedName>
    <definedName name="ExternalData_1" localSheetId="1" hidden="1">WorkItemDetails!$A$1:$B$2</definedName>
    <definedName name="ExternalData_2" localSheetId="27" hidden="1">AllDaqbookOffsets!$A$1:$D$7556</definedName>
    <definedName name="ExternalData_2" localSheetId="2" hidden="1">Query1!$A$1:$B$2</definedName>
    <definedName name="FormNumber">Header_Info!$AW$2</definedName>
    <definedName name="Furnace">Header_Info!$AS$2</definedName>
    <definedName name="FurnaceList">_xlfn.ANCHORARRAY(#REF!)</definedName>
    <definedName name="FurnaceSpecificComments">Header_Info!$BS$2</definedName>
    <definedName name="HeatingMethod">Header_Info!$BG$2</definedName>
    <definedName name="InspectorList">_xlfn.ANCHORARRAY(Standards_Info!$AG$2)</definedName>
    <definedName name="Integral">Header_Info!$BY$2</definedName>
    <definedName name="Item">Header_Info!$AZ$2</definedName>
    <definedName name="LagLimit">Header_Info!$CD$2</definedName>
    <definedName name="ListCompRange">Comparison_Report!$S$25:$S$26</definedName>
    <definedName name="ListNameRange">_xlfn.ANCHORARRAY(Standards_Info!$A$2)</definedName>
    <definedName name="Load">Header_Info!$CC$2</definedName>
    <definedName name="Load_Type">Standards_Info!$Q$2:$Q$5</definedName>
    <definedName name="Locator">Access_Data!$LCB$524288</definedName>
    <definedName name="ModelNumber">Header_Info!$BA$2</definedName>
    <definedName name="Other1">Header_Info!$BZ$2</definedName>
    <definedName name="Other2">Header_Info!$CA$2</definedName>
    <definedName name="OvenLocation">Header_Info!$BU$2</definedName>
    <definedName name="Packet_Content">Standards_Info!$O$2:$O$12</definedName>
    <definedName name="PB">Header_Info!$BW$2</definedName>
    <definedName name="_xlnm.Print_Area" localSheetId="10">CERT!$A$1:$O$80</definedName>
    <definedName name="_xlnm.Print_Area" localSheetId="20">Comparison_Report!$A$1:$N$40</definedName>
    <definedName name="_xlnm.Print_Area" localSheetId="17">Data_Sheet!$A$1:$P$49</definedName>
    <definedName name="_xlnm.Print_Area" localSheetId="18">Data_Sheet_15_28!$A$1:$P$49</definedName>
    <definedName name="_xlnm.Print_Area" localSheetId="19">Data_Sheet_29_40!$A$1:$P$49</definedName>
    <definedName name="_xlnm.Print_Area" localSheetId="9">Packet_Content!$A$1:$I$43</definedName>
    <definedName name="_xlnm.Print_Area" localSheetId="21">TUS_Worksheet!$A$1:$R$56</definedName>
    <definedName name="Query___customers" localSheetId="12" hidden="1">'Customer Table'!$A$1:$O$1652</definedName>
    <definedName name="Range">Header_Info!$BE$2</definedName>
    <definedName name="_xlnm.Recorder">Header_Info!$BP$2</definedName>
    <definedName name="RecoveryLimit">Header_Info!$CE$2</definedName>
    <definedName name="RecSN">Header_Info!$BQ$2</definedName>
    <definedName name="RecTol">Header_Info!$BR$2</definedName>
    <definedName name="SerialNumber">Header_Info!$BB$2</definedName>
    <definedName name="Spec_Class">Standards_Info!$S$2:$S$4</definedName>
    <definedName name="Temperature">Main!$D$16</definedName>
    <definedName name="TestLocation">Header_Info!$BT$2</definedName>
    <definedName name="TestTemp">Main!$D$16</definedName>
    <definedName name="TN">Main!$D$14</definedName>
    <definedName name="Tolerance">Header_Info!$BF$2</definedName>
    <definedName name="TolSource">Header_Info!$AY$2</definedName>
    <definedName name="Tracability">Standards_Info!$K$2:$K$6</definedName>
    <definedName name="UnitNumber">Header_Info!$BC$2</definedName>
    <definedName name="UsedWireSNs">Main!$O$5:$O$44</definedName>
    <definedName name="Wire_Sets_Probes">WireSets[serial_number]</definedName>
    <definedName name="Wire_Type">Standards_Info!$G1048517:$G1048519</definedName>
    <definedName name="WireLotNos">Main!$D$55:$I$55</definedName>
    <definedName name="Wirelots">Main!$G$1</definedName>
    <definedName name="WireSetSNs">Main!$D$48:$I$48</definedName>
    <definedName name="WorkingZoneSize">Header_Info!$BH$2</definedName>
    <definedName name="WorkItemNumber" comment="Filter by CustomOrderNumber or CertificateNumber">Main!$G$1</definedName>
  </definedNames>
  <calcPr calcId="191029"/>
  <fileRecoveryPr autoRecover="0"/>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AG2" i="12" l="1" a="1"/>
  <c r="AG2" i="12" s="1"/>
  <c r="D3" i="12"/>
  <c r="D4" i="12"/>
  <c r="D5" i="12"/>
  <c r="D6" i="12"/>
  <c r="D7" i="12"/>
  <c r="D8" i="12"/>
  <c r="D9" i="12"/>
  <c r="D2" i="12"/>
  <c r="B12" i="26"/>
  <c r="B11" i="26" a="1"/>
  <c r="B11" i="26" s="1"/>
  <c r="B10" i="26" a="1"/>
  <c r="B10" i="26" s="1"/>
  <c r="D7" i="8" l="1" a="1"/>
  <c r="D7" i="8" s="1"/>
  <c r="L35" i="8"/>
  <c r="K35" i="8"/>
  <c r="J35" i="8"/>
  <c r="I35" i="8"/>
  <c r="H35" i="8"/>
  <c r="D35" i="8"/>
  <c r="E35" i="8" s="1"/>
  <c r="F35" i="8" s="1"/>
  <c r="G35" i="8" s="1"/>
  <c r="F69" i="26"/>
  <c r="F68" i="26"/>
  <c r="F67" i="26"/>
  <c r="F66" i="26"/>
  <c r="F65" i="26"/>
  <c r="F64" i="26"/>
  <c r="F63" i="26"/>
  <c r="X45" i="8"/>
  <c r="X6" i="8"/>
  <c r="X7" i="8"/>
  <c r="X8" i="8"/>
  <c r="X9" i="8"/>
  <c r="X10" i="8"/>
  <c r="X11" i="8"/>
  <c r="X12" i="8"/>
  <c r="X13" i="8"/>
  <c r="X14" i="8"/>
  <c r="X15" i="8"/>
  <c r="X16" i="8"/>
  <c r="X17" i="8"/>
  <c r="X18" i="8"/>
  <c r="X19" i="8"/>
  <c r="X20" i="8"/>
  <c r="X21" i="8"/>
  <c r="X22" i="8"/>
  <c r="X23" i="8"/>
  <c r="X24" i="8"/>
  <c r="X25" i="8"/>
  <c r="X26" i="8"/>
  <c r="X27" i="8"/>
  <c r="X28" i="8"/>
  <c r="X29" i="8"/>
  <c r="X30" i="8"/>
  <c r="X31" i="8"/>
  <c r="X32" i="8"/>
  <c r="X33" i="8"/>
  <c r="X34" i="8"/>
  <c r="X35" i="8"/>
  <c r="X36" i="8"/>
  <c r="X37" i="8"/>
  <c r="X38" i="8"/>
  <c r="X39" i="8"/>
  <c r="X40" i="8"/>
  <c r="X41" i="8"/>
  <c r="X42" i="8"/>
  <c r="X43" i="8"/>
  <c r="X44" i="8"/>
  <c r="X5" i="8"/>
  <c r="G1" i="8" a="1"/>
  <c r="G1" i="8" l="1"/>
  <c r="E6" i="26" s="1"/>
  <c r="AQ2" i="77" a="1"/>
  <c r="G28" i="8" s="1"/>
  <c r="G27" i="8" s="1"/>
  <c r="C2" i="12" a="1"/>
  <c r="C2" i="12" s="1"/>
  <c r="B2" i="12" a="1"/>
  <c r="B2" i="12" s="1"/>
  <c r="A2" i="12" a="1"/>
  <c r="A2" i="12" s="1"/>
  <c r="AI2" i="35" a="1"/>
  <c r="AI2" i="35" s="1"/>
  <c r="AH2" i="35" a="1"/>
  <c r="AH2" i="35" s="1"/>
  <c r="AG2" i="35" a="1"/>
  <c r="AG2" i="35" s="1"/>
  <c r="AF2" i="35" a="1"/>
  <c r="AF2" i="35" s="1"/>
  <c r="AE2" i="35" a="1"/>
  <c r="AE2" i="35" s="1"/>
  <c r="AC2" i="35" a="1"/>
  <c r="AC2" i="35" s="1"/>
  <c r="AD2" i="35" a="1"/>
  <c r="AD2" i="35" s="1"/>
  <c r="AB2" i="35" a="1"/>
  <c r="AB2" i="35" s="1"/>
  <c r="AA2" i="35" a="1"/>
  <c r="AA2" i="35" s="1"/>
  <c r="Z2" i="35" a="1"/>
  <c r="Z2" i="35" s="1"/>
  <c r="Y2" i="35" a="1"/>
  <c r="Y2" i="35" s="1"/>
  <c r="X2" i="35" a="1"/>
  <c r="X2" i="35" s="1"/>
  <c r="W2" i="35" a="1"/>
  <c r="W2" i="35" s="1"/>
  <c r="V2" i="35" a="1"/>
  <c r="V2" i="35" s="1"/>
  <c r="U2" i="35" a="1"/>
  <c r="U2" i="35" s="1"/>
  <c r="T2" i="35" a="1"/>
  <c r="T2" i="35" s="1"/>
  <c r="S2" i="35" a="1"/>
  <c r="S2" i="35" s="1"/>
  <c r="D54" i="8"/>
  <c r="E54" i="8"/>
  <c r="D12" i="5"/>
  <c r="D11" i="5" s="1" a="1"/>
  <c r="D11" i="5" s="1"/>
  <c r="E12" i="5"/>
  <c r="E11" i="5" s="1" a="1"/>
  <c r="E11" i="5" s="1"/>
  <c r="F12" i="5"/>
  <c r="F11" i="5" s="1" a="1"/>
  <c r="F11" i="5" s="1"/>
  <c r="G12" i="5"/>
  <c r="G11" i="5" s="1" a="1"/>
  <c r="G11" i="5" s="1"/>
  <c r="H12" i="5"/>
  <c r="H11" i="5" s="1" a="1"/>
  <c r="H11" i="5" s="1"/>
  <c r="I12" i="5"/>
  <c r="I11" i="5" s="1" a="1"/>
  <c r="I11" i="5" s="1"/>
  <c r="J12" i="5"/>
  <c r="J11" i="5" s="1" a="1"/>
  <c r="J11" i="5" s="1"/>
  <c r="K12" i="5"/>
  <c r="K11" i="5" s="1" a="1"/>
  <c r="K11" i="5" s="1"/>
  <c r="L12" i="5"/>
  <c r="L11" i="5" s="1" a="1"/>
  <c r="L11" i="5" s="1"/>
  <c r="M12" i="5"/>
  <c r="M11" i="5" s="1" a="1"/>
  <c r="M11" i="5" s="1"/>
  <c r="N12" i="5"/>
  <c r="N11" i="5" s="1" a="1"/>
  <c r="N11" i="5" s="1"/>
  <c r="O12" i="5"/>
  <c r="O11" i="5" s="1" a="1"/>
  <c r="O11" i="5" s="1"/>
  <c r="P12" i="5"/>
  <c r="P11" i="5" s="1" a="1"/>
  <c r="P11" i="5" s="1"/>
  <c r="D18" i="5"/>
  <c r="D17" i="5" s="1" a="1"/>
  <c r="D17" i="5" s="1"/>
  <c r="E18" i="5"/>
  <c r="E17" i="5" s="1" a="1"/>
  <c r="E17" i="5" s="1"/>
  <c r="F18" i="5"/>
  <c r="F17" i="5" s="1" a="1"/>
  <c r="F17" i="5" s="1"/>
  <c r="G18" i="5"/>
  <c r="G17" i="5" s="1" a="1"/>
  <c r="G17" i="5" s="1"/>
  <c r="H18" i="5"/>
  <c r="H17" i="5" s="1" a="1"/>
  <c r="H17" i="5" s="1"/>
  <c r="I18" i="5"/>
  <c r="I17" i="5" s="1" a="1"/>
  <c r="I17" i="5" s="1"/>
  <c r="J18" i="5"/>
  <c r="J17" i="5" s="1" a="1"/>
  <c r="J17" i="5" s="1"/>
  <c r="K18" i="5"/>
  <c r="K17" i="5" s="1" a="1"/>
  <c r="K17" i="5" s="1"/>
  <c r="L18" i="5"/>
  <c r="L17" i="5" s="1" a="1"/>
  <c r="L17" i="5" s="1"/>
  <c r="M18" i="5"/>
  <c r="M17" i="5" s="1" a="1"/>
  <c r="M17" i="5" s="1"/>
  <c r="N18" i="5"/>
  <c r="N17" i="5" s="1" a="1"/>
  <c r="N17" i="5" s="1"/>
  <c r="O18" i="5"/>
  <c r="O17" i="5" s="1" a="1"/>
  <c r="O17" i="5" s="1"/>
  <c r="P18" i="5"/>
  <c r="P17" i="5" s="1" a="1"/>
  <c r="P17" i="5" s="1"/>
  <c r="D24" i="5"/>
  <c r="D23" i="5" s="1" a="1"/>
  <c r="D23" i="5" s="1"/>
  <c r="E24" i="5"/>
  <c r="E23" i="5" s="1" a="1"/>
  <c r="E23" i="5" s="1"/>
  <c r="F24" i="5"/>
  <c r="F23" i="5" s="1" a="1"/>
  <c r="F23" i="5" s="1"/>
  <c r="G24" i="5"/>
  <c r="G23" i="5" s="1" a="1"/>
  <c r="G23" i="5" s="1"/>
  <c r="H24" i="5"/>
  <c r="H23" i="5" s="1" a="1"/>
  <c r="H23" i="5" s="1"/>
  <c r="I24" i="5"/>
  <c r="I23" i="5" s="1" a="1"/>
  <c r="I23" i="5" s="1"/>
  <c r="J24" i="5"/>
  <c r="J23" i="5" s="1" a="1"/>
  <c r="J23" i="5" s="1"/>
  <c r="K24" i="5"/>
  <c r="K23" i="5" s="1" a="1"/>
  <c r="K23" i="5" s="1"/>
  <c r="L24" i="5"/>
  <c r="L23" i="5" s="1" a="1"/>
  <c r="L23" i="5" s="1"/>
  <c r="M24" i="5"/>
  <c r="M23" i="5" s="1" a="1"/>
  <c r="M23" i="5" s="1"/>
  <c r="N24" i="5"/>
  <c r="N23" i="5" s="1" a="1"/>
  <c r="N23" i="5" s="1"/>
  <c r="C24" i="5"/>
  <c r="C23" i="5" s="1" a="1"/>
  <c r="C23" i="5" s="1"/>
  <c r="C18" i="5"/>
  <c r="C17" i="5" s="1" a="1"/>
  <c r="C17" i="5" s="1"/>
  <c r="C12" i="5"/>
  <c r="C11" i="5" s="1" a="1"/>
  <c r="C11" i="5" s="1"/>
  <c r="AQ2" i="77" l="1"/>
  <c r="N53" i="8"/>
  <c r="N50" i="8"/>
  <c r="D4" i="8"/>
  <c r="N52" i="8"/>
  <c r="N51" i="8"/>
  <c r="N49" i="8"/>
  <c r="G17" i="8"/>
  <c r="B54" i="26"/>
  <c r="J6" i="5"/>
  <c r="B7" i="5"/>
  <c r="B5" i="5"/>
  <c r="K13" i="8"/>
  <c r="F62" i="26" a="1"/>
  <c r="F62" i="26" s="1"/>
  <c r="E9" i="8" a="1"/>
  <c r="E9" i="8" s="1"/>
  <c r="Q2" i="29" a="1"/>
  <c r="Q2" i="29" s="1"/>
  <c r="Q1" i="29" a="1"/>
  <c r="Q1" i="29" s="1"/>
  <c r="AQ1" i="77" a="1"/>
  <c r="AQ1" i="77" s="1"/>
  <c r="D6" i="8"/>
  <c r="B6" i="5" s="1"/>
  <c r="D5" i="8" l="1"/>
  <c r="J5" i="5" s="1"/>
  <c r="B17" i="26"/>
  <c r="B16" i="26"/>
  <c r="B18" i="26"/>
  <c r="B14" i="26"/>
  <c r="B15" i="26"/>
  <c r="H27" i="8"/>
  <c r="B21" i="26"/>
  <c r="B22" i="26"/>
  <c r="G21" i="26"/>
  <c r="G22" i="26"/>
  <c r="K21" i="26"/>
  <c r="K22" i="26"/>
  <c r="H18" i="26"/>
  <c r="H14" i="26"/>
  <c r="H15" i="26"/>
  <c r="H16" i="26"/>
  <c r="H17" i="26"/>
  <c r="L11" i="26"/>
  <c r="L9" i="26"/>
  <c r="L8" i="26"/>
  <c r="B30" i="26"/>
  <c r="L30" i="26"/>
  <c r="H30" i="26"/>
  <c r="N12" i="15"/>
  <c r="Q68" i="26"/>
  <c r="Q67" i="26"/>
  <c r="Q66" i="26"/>
  <c r="Q65" i="26"/>
  <c r="Q64" i="26"/>
  <c r="A2" i="1"/>
  <c r="P6" i="8"/>
  <c r="R7" i="26"/>
  <c r="R62" i="26"/>
  <c r="T62" i="26"/>
  <c r="A62" i="26" l="1"/>
  <c r="D14" i="8"/>
  <c r="D13" i="8"/>
  <c r="G11" i="8" s="1"/>
  <c r="D12" i="8"/>
  <c r="D11" i="8"/>
  <c r="T63" i="26"/>
  <c r="E47" i="8"/>
  <c r="I47" i="8"/>
  <c r="H47" i="8"/>
  <c r="M62" i="26" l="1"/>
  <c r="K62" i="26"/>
  <c r="I62" i="26"/>
  <c r="Q62" i="26"/>
  <c r="T65" i="26"/>
  <c r="R63" i="26"/>
  <c r="R65" i="26"/>
  <c r="T67" i="26"/>
  <c r="T68" i="26"/>
  <c r="R67" i="26"/>
  <c r="R66" i="26"/>
  <c r="R64" i="26"/>
  <c r="T66" i="26"/>
  <c r="T64" i="26"/>
  <c r="R68" i="26"/>
  <c r="D47" i="8"/>
  <c r="F47" i="8"/>
  <c r="G47" i="8"/>
  <c r="I55" i="8"/>
  <c r="H55" i="8"/>
  <c r="G55" i="8"/>
  <c r="F55" i="8"/>
  <c r="E55" i="8"/>
  <c r="D55" i="8"/>
  <c r="I54" i="8"/>
  <c r="H54" i="8"/>
  <c r="G54" i="8"/>
  <c r="F54" i="8"/>
  <c r="I50" i="8"/>
  <c r="H50" i="8"/>
  <c r="G50" i="8"/>
  <c r="F50" i="8"/>
  <c r="E50" i="8"/>
  <c r="D50" i="8"/>
  <c r="I49" i="8"/>
  <c r="H49" i="8"/>
  <c r="G49" i="8"/>
  <c r="F49" i="8"/>
  <c r="E49" i="8"/>
  <c r="D49" i="8"/>
  <c r="C14" i="13" a="1"/>
  <c r="C14" i="13" s="1"/>
  <c r="B15" i="15"/>
  <c r="B16" i="15"/>
  <c r="B17" i="15"/>
  <c r="B18" i="15"/>
  <c r="B19" i="15"/>
  <c r="B20" i="15"/>
  <c r="B21" i="15"/>
  <c r="B22" i="15"/>
  <c r="B23" i="15"/>
  <c r="B24" i="15"/>
  <c r="B25" i="15"/>
  <c r="B26" i="15"/>
  <c r="B27" i="15"/>
  <c r="B28" i="15"/>
  <c r="B29" i="15"/>
  <c r="B30" i="15"/>
  <c r="B31" i="15"/>
  <c r="B32" i="15"/>
  <c r="B33" i="15"/>
  <c r="B34" i="15"/>
  <c r="B35" i="15"/>
  <c r="B36" i="15"/>
  <c r="B37" i="15"/>
  <c r="B38" i="15"/>
  <c r="B39" i="15"/>
  <c r="B40" i="15"/>
  <c r="B41" i="15"/>
  <c r="B42" i="15"/>
  <c r="B43" i="15"/>
  <c r="B44" i="15"/>
  <c r="B45" i="15"/>
  <c r="B46" i="15"/>
  <c r="B47" i="15"/>
  <c r="B48" i="15"/>
  <c r="B49" i="15"/>
  <c r="B50" i="15"/>
  <c r="B51" i="15"/>
  <c r="B52" i="15"/>
  <c r="B53" i="15"/>
  <c r="B54" i="15"/>
  <c r="B55" i="15"/>
  <c r="B56" i="15"/>
  <c r="B57" i="15"/>
  <c r="B58" i="15"/>
  <c r="B59" i="15"/>
  <c r="B60" i="15"/>
  <c r="B61" i="15"/>
  <c r="B62" i="15"/>
  <c r="B63" i="15"/>
  <c r="B64" i="15"/>
  <c r="B65" i="15"/>
  <c r="B66" i="15"/>
  <c r="B67" i="15"/>
  <c r="B68" i="15"/>
  <c r="B69" i="15"/>
  <c r="B70" i="15"/>
  <c r="B71" i="15"/>
  <c r="B72" i="15"/>
  <c r="B73" i="15"/>
  <c r="B74" i="15"/>
  <c r="B75" i="15"/>
  <c r="B76" i="15"/>
  <c r="B77" i="15"/>
  <c r="B78" i="15"/>
  <c r="B79" i="15"/>
  <c r="B80" i="15"/>
  <c r="B81" i="15"/>
  <c r="B82" i="15"/>
  <c r="B83" i="15"/>
  <c r="B84" i="15"/>
  <c r="B85" i="15"/>
  <c r="B86" i="15"/>
  <c r="B87" i="15"/>
  <c r="B88" i="15"/>
  <c r="B89" i="15"/>
  <c r="B90" i="15"/>
  <c r="B91" i="15"/>
  <c r="B92" i="15"/>
  <c r="B93" i="15"/>
  <c r="B94" i="15"/>
  <c r="B95" i="15"/>
  <c r="B96" i="15"/>
  <c r="B97" i="15"/>
  <c r="B98" i="15"/>
  <c r="B99" i="15"/>
  <c r="B100" i="15"/>
  <c r="B101" i="15"/>
  <c r="B102" i="15"/>
  <c r="B103" i="15"/>
  <c r="B104" i="15"/>
  <c r="B105" i="15"/>
  <c r="B106" i="15"/>
  <c r="B107" i="15"/>
  <c r="B108" i="15"/>
  <c r="B109" i="15"/>
  <c r="B110" i="15"/>
  <c r="B111" i="15"/>
  <c r="B112" i="15"/>
  <c r="B113" i="15"/>
  <c r="B114" i="15"/>
  <c r="B115" i="15"/>
  <c r="B116" i="15"/>
  <c r="B117" i="15"/>
  <c r="B118" i="15"/>
  <c r="B119" i="15"/>
  <c r="B120" i="15"/>
  <c r="B121" i="15"/>
  <c r="B122" i="15"/>
  <c r="B123" i="15"/>
  <c r="B124" i="15"/>
  <c r="B125" i="15"/>
  <c r="B126" i="15"/>
  <c r="B127" i="15"/>
  <c r="B128" i="15"/>
  <c r="B129" i="15"/>
  <c r="B130" i="15"/>
  <c r="B131" i="15"/>
  <c r="B132" i="15"/>
  <c r="B133" i="15"/>
  <c r="B134" i="15"/>
  <c r="B135" i="15"/>
  <c r="B136" i="15"/>
  <c r="B137" i="15"/>
  <c r="B138" i="15"/>
  <c r="B139" i="15"/>
  <c r="B140" i="15"/>
  <c r="B141" i="15"/>
  <c r="B142" i="15"/>
  <c r="B143" i="15"/>
  <c r="B144" i="15"/>
  <c r="B145" i="15"/>
  <c r="B146" i="15"/>
  <c r="B147" i="15"/>
  <c r="B148" i="15"/>
  <c r="B149" i="15"/>
  <c r="B150" i="15"/>
  <c r="B151" i="15"/>
  <c r="B152" i="15"/>
  <c r="B153" i="15"/>
  <c r="B154" i="15"/>
  <c r="B155" i="15"/>
  <c r="B156" i="15"/>
  <c r="B157" i="15"/>
  <c r="B158" i="15"/>
  <c r="B159" i="15"/>
  <c r="B160" i="15"/>
  <c r="B161" i="15"/>
  <c r="B162" i="15"/>
  <c r="B163" i="15"/>
  <c r="B164" i="15"/>
  <c r="B165" i="15"/>
  <c r="B166" i="15"/>
  <c r="B167" i="15"/>
  <c r="B168" i="15"/>
  <c r="B169" i="15"/>
  <c r="B170" i="15"/>
  <c r="B171" i="15"/>
  <c r="B172" i="15"/>
  <c r="B173" i="15"/>
  <c r="B174" i="15"/>
  <c r="B175" i="15"/>
  <c r="B176" i="15"/>
  <c r="B177" i="15"/>
  <c r="B178" i="15"/>
  <c r="B179" i="15"/>
  <c r="B180" i="15"/>
  <c r="B181" i="15"/>
  <c r="B182" i="15"/>
  <c r="B183" i="15"/>
  <c r="B184" i="15"/>
  <c r="B185" i="15"/>
  <c r="B186" i="15"/>
  <c r="B187" i="15"/>
  <c r="B188" i="15"/>
  <c r="B189" i="15"/>
  <c r="B190" i="15"/>
  <c r="B191" i="15"/>
  <c r="B192" i="15"/>
  <c r="B193" i="15"/>
  <c r="B194" i="15"/>
  <c r="B195" i="15"/>
  <c r="B196" i="15"/>
  <c r="B197" i="15"/>
  <c r="B198" i="15"/>
  <c r="B199" i="15"/>
  <c r="B200" i="15"/>
  <c r="B201" i="15"/>
  <c r="B202" i="15"/>
  <c r="B203" i="15"/>
  <c r="B204" i="15"/>
  <c r="B205" i="15"/>
  <c r="B206" i="15"/>
  <c r="B207" i="15"/>
  <c r="B208" i="15"/>
  <c r="B209" i="15"/>
  <c r="B210" i="15"/>
  <c r="B211" i="15"/>
  <c r="B212" i="15"/>
  <c r="B213" i="15"/>
  <c r="B214" i="15"/>
  <c r="B215" i="15"/>
  <c r="B216" i="15"/>
  <c r="B217" i="15"/>
  <c r="B218" i="15"/>
  <c r="B219" i="15"/>
  <c r="B220" i="15"/>
  <c r="B221" i="15"/>
  <c r="B222" i="15"/>
  <c r="B223" i="15"/>
  <c r="B224" i="15"/>
  <c r="B225" i="15"/>
  <c r="B226" i="15"/>
  <c r="B227" i="15"/>
  <c r="B228" i="15"/>
  <c r="B229" i="15"/>
  <c r="B230" i="15"/>
  <c r="B231" i="15"/>
  <c r="B232" i="15"/>
  <c r="B233" i="15"/>
  <c r="B234" i="15"/>
  <c r="B235" i="15"/>
  <c r="B236" i="15"/>
  <c r="B237" i="15"/>
  <c r="B238" i="15"/>
  <c r="B239" i="15"/>
  <c r="B240" i="15"/>
  <c r="B241" i="15"/>
  <c r="B242" i="15"/>
  <c r="B243" i="15"/>
  <c r="B244" i="15"/>
  <c r="B245" i="15"/>
  <c r="B246" i="15"/>
  <c r="B247" i="15"/>
  <c r="B248" i="15"/>
  <c r="B249" i="15"/>
  <c r="B250" i="15"/>
  <c r="B251" i="15"/>
  <c r="B252" i="15"/>
  <c r="B253" i="15"/>
  <c r="B254" i="15"/>
  <c r="B255" i="15"/>
  <c r="B256" i="15"/>
  <c r="B257" i="15"/>
  <c r="B258" i="15"/>
  <c r="B259" i="15"/>
  <c r="B260" i="15"/>
  <c r="B261" i="15"/>
  <c r="B262" i="15"/>
  <c r="B263" i="15"/>
  <c r="B264" i="15"/>
  <c r="B265" i="15"/>
  <c r="B266" i="15"/>
  <c r="B267" i="15"/>
  <c r="B268" i="15"/>
  <c r="B269" i="15"/>
  <c r="B270" i="15"/>
  <c r="B271" i="15"/>
  <c r="B272" i="15"/>
  <c r="B273" i="15"/>
  <c r="B274" i="15"/>
  <c r="B275" i="15"/>
  <c r="B276" i="15"/>
  <c r="B277" i="15"/>
  <c r="B278" i="15"/>
  <c r="B279" i="15"/>
  <c r="B280" i="15"/>
  <c r="B281" i="15"/>
  <c r="B282" i="15"/>
  <c r="B283" i="15"/>
  <c r="B284" i="15"/>
  <c r="B285" i="15"/>
  <c r="B286" i="15"/>
  <c r="B287" i="15"/>
  <c r="B288" i="15"/>
  <c r="B289" i="15"/>
  <c r="B290" i="15"/>
  <c r="B291" i="15"/>
  <c r="B292" i="15"/>
  <c r="B293" i="15"/>
  <c r="B294" i="15"/>
  <c r="B295" i="15"/>
  <c r="B296" i="15"/>
  <c r="B297" i="15"/>
  <c r="B298" i="15"/>
  <c r="B299" i="15"/>
  <c r="B300" i="15"/>
  <c r="B301" i="15"/>
  <c r="B302" i="15"/>
  <c r="B303" i="15"/>
  <c r="B304" i="15"/>
  <c r="B305" i="15"/>
  <c r="B306" i="15"/>
  <c r="B307" i="15"/>
  <c r="B308" i="15"/>
  <c r="B309" i="15"/>
  <c r="B310" i="15"/>
  <c r="B311" i="15"/>
  <c r="B312" i="15"/>
  <c r="B313" i="15"/>
  <c r="B314" i="15"/>
  <c r="B315" i="15"/>
  <c r="B316" i="15"/>
  <c r="B317" i="15"/>
  <c r="B318" i="15"/>
  <c r="B319" i="15"/>
  <c r="B320" i="15"/>
  <c r="B321" i="15"/>
  <c r="B322" i="15"/>
  <c r="B323" i="15"/>
  <c r="B324" i="15"/>
  <c r="B325" i="15"/>
  <c r="B326" i="15"/>
  <c r="B327" i="15"/>
  <c r="B328" i="15"/>
  <c r="B329" i="15"/>
  <c r="B330" i="15"/>
  <c r="B331" i="15"/>
  <c r="B332" i="15"/>
  <c r="B333" i="15"/>
  <c r="B334" i="15"/>
  <c r="B335" i="15"/>
  <c r="B336" i="15"/>
  <c r="B337" i="15"/>
  <c r="B338" i="15"/>
  <c r="B339" i="15"/>
  <c r="B340" i="15"/>
  <c r="B341" i="15"/>
  <c r="B342" i="15"/>
  <c r="B343" i="15"/>
  <c r="B344" i="15"/>
  <c r="B345" i="15"/>
  <c r="B346" i="15"/>
  <c r="B347" i="15"/>
  <c r="B348" i="15"/>
  <c r="B349" i="15"/>
  <c r="B350" i="15"/>
  <c r="B351" i="15"/>
  <c r="B352" i="15"/>
  <c r="B353" i="15"/>
  <c r="B354" i="15"/>
  <c r="B355" i="15"/>
  <c r="B356" i="15"/>
  <c r="B357" i="15"/>
  <c r="B358" i="15"/>
  <c r="B359" i="15"/>
  <c r="B360" i="15"/>
  <c r="B361" i="15"/>
  <c r="B362" i="15"/>
  <c r="B363" i="15"/>
  <c r="B364" i="15"/>
  <c r="B365" i="15"/>
  <c r="B366" i="15"/>
  <c r="B367" i="15"/>
  <c r="B368" i="15"/>
  <c r="B369" i="15"/>
  <c r="B370" i="15"/>
  <c r="B371" i="15"/>
  <c r="B372" i="15"/>
  <c r="B373" i="15"/>
  <c r="B374" i="15"/>
  <c r="B375" i="15"/>
  <c r="B376" i="15"/>
  <c r="B377" i="15"/>
  <c r="B378" i="15"/>
  <c r="B379" i="15"/>
  <c r="B380" i="15"/>
  <c r="B381" i="15"/>
  <c r="B382" i="15"/>
  <c r="B383" i="15"/>
  <c r="B384" i="15"/>
  <c r="B385" i="15"/>
  <c r="B386" i="15"/>
  <c r="B387" i="15"/>
  <c r="B388" i="15"/>
  <c r="B389" i="15"/>
  <c r="B390" i="15"/>
  <c r="B391" i="15"/>
  <c r="B392" i="15"/>
  <c r="B393" i="15"/>
  <c r="B394" i="15"/>
  <c r="B395" i="15"/>
  <c r="B396" i="15"/>
  <c r="B397" i="15"/>
  <c r="B398" i="15"/>
  <c r="B399" i="15"/>
  <c r="B400" i="15"/>
  <c r="B401" i="15"/>
  <c r="B402" i="15"/>
  <c r="B403" i="15"/>
  <c r="B404" i="15"/>
  <c r="B405" i="15"/>
  <c r="B406" i="15"/>
  <c r="B407" i="15"/>
  <c r="B408" i="15"/>
  <c r="B409" i="15"/>
  <c r="B410" i="15"/>
  <c r="B411" i="15"/>
  <c r="B412" i="15"/>
  <c r="B413" i="15"/>
  <c r="B414" i="15"/>
  <c r="B415" i="15"/>
  <c r="B416" i="15"/>
  <c r="B417" i="15"/>
  <c r="B418" i="15"/>
  <c r="B419" i="15"/>
  <c r="B420" i="15"/>
  <c r="B421" i="15"/>
  <c r="B422" i="15"/>
  <c r="B423" i="15"/>
  <c r="B424" i="15"/>
  <c r="B425" i="15"/>
  <c r="B426" i="15"/>
  <c r="B427" i="15"/>
  <c r="B428" i="15"/>
  <c r="B429" i="15"/>
  <c r="B430" i="15"/>
  <c r="B431" i="15"/>
  <c r="B432" i="15"/>
  <c r="B433" i="15"/>
  <c r="B434" i="15"/>
  <c r="B435" i="15"/>
  <c r="B436" i="15"/>
  <c r="B437" i="15"/>
  <c r="B438" i="15"/>
  <c r="B439" i="15"/>
  <c r="B440" i="15"/>
  <c r="B441" i="15"/>
  <c r="B442" i="15"/>
  <c r="B443" i="15"/>
  <c r="B444" i="15"/>
  <c r="B445" i="15"/>
  <c r="B446" i="15"/>
  <c r="B447" i="15"/>
  <c r="B448" i="15"/>
  <c r="B449" i="15"/>
  <c r="B450" i="15"/>
  <c r="B451" i="15"/>
  <c r="B452" i="15"/>
  <c r="B453" i="15"/>
  <c r="B454" i="15"/>
  <c r="B455" i="15"/>
  <c r="B456" i="15"/>
  <c r="B457" i="15"/>
  <c r="B458" i="15"/>
  <c r="B459" i="15"/>
  <c r="B460" i="15"/>
  <c r="B461" i="15"/>
  <c r="B462" i="15"/>
  <c r="B463" i="15"/>
  <c r="B464" i="15"/>
  <c r="B465" i="15"/>
  <c r="B466" i="15"/>
  <c r="B467" i="15"/>
  <c r="B468" i="15"/>
  <c r="B469" i="15"/>
  <c r="B470" i="15"/>
  <c r="B471" i="15"/>
  <c r="B472" i="15"/>
  <c r="B473" i="15"/>
  <c r="B474" i="15"/>
  <c r="B475" i="15"/>
  <c r="B476" i="15"/>
  <c r="B477" i="15"/>
  <c r="B478" i="15"/>
  <c r="B479" i="15"/>
  <c r="B480" i="15"/>
  <c r="B481" i="15"/>
  <c r="B482" i="15"/>
  <c r="B483" i="15"/>
  <c r="B484" i="15"/>
  <c r="B485" i="15"/>
  <c r="B486" i="15"/>
  <c r="B487" i="15"/>
  <c r="B488" i="15"/>
  <c r="B489" i="15"/>
  <c r="B490" i="15"/>
  <c r="B491" i="15"/>
  <c r="B492" i="15"/>
  <c r="B493" i="15"/>
  <c r="B494" i="15"/>
  <c r="B495" i="15"/>
  <c r="B496" i="15"/>
  <c r="B497" i="15"/>
  <c r="B498" i="15"/>
  <c r="B499" i="15"/>
  <c r="B500" i="15"/>
  <c r="B501" i="15"/>
  <c r="B502" i="15"/>
  <c r="B503" i="15"/>
  <c r="B504" i="15"/>
  <c r="B505" i="15"/>
  <c r="B506" i="15"/>
  <c r="B507" i="15"/>
  <c r="B508" i="15"/>
  <c r="B509" i="15"/>
  <c r="B510" i="15"/>
  <c r="B511" i="15"/>
  <c r="B512" i="15"/>
  <c r="B513" i="15"/>
  <c r="B514" i="15"/>
  <c r="B515" i="15"/>
  <c r="B516" i="15"/>
  <c r="B517" i="15"/>
  <c r="B518" i="15"/>
  <c r="B519" i="15"/>
  <c r="B520" i="15"/>
  <c r="B521" i="15"/>
  <c r="B522" i="15"/>
  <c r="B523" i="15"/>
  <c r="B524" i="15"/>
  <c r="B525" i="15"/>
  <c r="B526" i="15"/>
  <c r="B527" i="15"/>
  <c r="B528" i="15"/>
  <c r="B529" i="15"/>
  <c r="B530" i="15"/>
  <c r="B531" i="15"/>
  <c r="B532" i="15"/>
  <c r="B533" i="15"/>
  <c r="B534" i="15"/>
  <c r="B535" i="15"/>
  <c r="B536" i="15"/>
  <c r="B537" i="15"/>
  <c r="B538" i="15"/>
  <c r="B539" i="15"/>
  <c r="B540" i="15"/>
  <c r="B541" i="15"/>
  <c r="B542" i="15"/>
  <c r="B543" i="15"/>
  <c r="B544" i="15"/>
  <c r="B545" i="15"/>
  <c r="B546" i="15"/>
  <c r="B547" i="15"/>
  <c r="B548" i="15"/>
  <c r="B549" i="15"/>
  <c r="B550" i="15"/>
  <c r="B551" i="15"/>
  <c r="B552" i="15"/>
  <c r="B553" i="15"/>
  <c r="B554" i="15"/>
  <c r="B555" i="15"/>
  <c r="B556" i="15"/>
  <c r="B557" i="15"/>
  <c r="B558" i="15"/>
  <c r="B559" i="15"/>
  <c r="B560" i="15"/>
  <c r="B561" i="15"/>
  <c r="B562" i="15"/>
  <c r="B563" i="15"/>
  <c r="B564" i="15"/>
  <c r="B565" i="15"/>
  <c r="B566" i="15"/>
  <c r="B567" i="15"/>
  <c r="B568" i="15"/>
  <c r="B569" i="15"/>
  <c r="B570" i="15"/>
  <c r="B571" i="15"/>
  <c r="B572" i="15"/>
  <c r="B573" i="15"/>
  <c r="B574" i="15"/>
  <c r="B575" i="15"/>
  <c r="B576" i="15"/>
  <c r="B577" i="15"/>
  <c r="B578" i="15"/>
  <c r="B579" i="15"/>
  <c r="B580" i="15"/>
  <c r="B581" i="15"/>
  <c r="B582" i="15"/>
  <c r="B583" i="15"/>
  <c r="B584" i="15"/>
  <c r="B585" i="15"/>
  <c r="B586" i="15"/>
  <c r="B587" i="15"/>
  <c r="B588" i="15"/>
  <c r="B589" i="15"/>
  <c r="B590" i="15"/>
  <c r="B591" i="15"/>
  <c r="B592" i="15"/>
  <c r="B593" i="15"/>
  <c r="B594" i="15"/>
  <c r="B595" i="15"/>
  <c r="B596" i="15"/>
  <c r="B597" i="15"/>
  <c r="B598" i="15"/>
  <c r="B599" i="15"/>
  <c r="B600" i="15"/>
  <c r="B601" i="15"/>
  <c r="B602" i="15"/>
  <c r="B603" i="15"/>
  <c r="B604" i="15"/>
  <c r="B605" i="15"/>
  <c r="B606" i="15"/>
  <c r="B607" i="15"/>
  <c r="B608" i="15"/>
  <c r="B609" i="15"/>
  <c r="B610" i="15"/>
  <c r="B611" i="15"/>
  <c r="B612" i="15"/>
  <c r="B613" i="15"/>
  <c r="B614" i="15"/>
  <c r="B615" i="15"/>
  <c r="B616" i="15"/>
  <c r="B617" i="15"/>
  <c r="B618" i="15"/>
  <c r="B619" i="15"/>
  <c r="B620" i="15"/>
  <c r="B621" i="15"/>
  <c r="B622" i="15"/>
  <c r="B623" i="15"/>
  <c r="B624" i="15"/>
  <c r="B625" i="15"/>
  <c r="B626" i="15"/>
  <c r="B627" i="15"/>
  <c r="B628" i="15"/>
  <c r="B629" i="15"/>
  <c r="B630" i="15"/>
  <c r="B631" i="15"/>
  <c r="B632" i="15"/>
  <c r="B633" i="15"/>
  <c r="B634" i="15"/>
  <c r="B635" i="15"/>
  <c r="B636" i="15"/>
  <c r="B637" i="15"/>
  <c r="B638" i="15"/>
  <c r="B639" i="15"/>
  <c r="B640" i="15"/>
  <c r="B641" i="15"/>
  <c r="B642" i="15"/>
  <c r="B643" i="15"/>
  <c r="B644" i="15"/>
  <c r="B645" i="15"/>
  <c r="B646" i="15"/>
  <c r="B647" i="15"/>
  <c r="B648" i="15"/>
  <c r="B649" i="15"/>
  <c r="B650" i="15"/>
  <c r="B651" i="15"/>
  <c r="B652" i="15"/>
  <c r="B653" i="15"/>
  <c r="B654" i="15"/>
  <c r="B655" i="15"/>
  <c r="B656" i="15"/>
  <c r="B657" i="15"/>
  <c r="B658" i="15"/>
  <c r="B659" i="15"/>
  <c r="B660" i="15"/>
  <c r="B661" i="15"/>
  <c r="B662" i="15"/>
  <c r="B663" i="15"/>
  <c r="B664" i="15"/>
  <c r="B665" i="15"/>
  <c r="B666" i="15"/>
  <c r="B667" i="15"/>
  <c r="B668" i="15"/>
  <c r="B669" i="15"/>
  <c r="B670" i="15"/>
  <c r="B671" i="15"/>
  <c r="B672" i="15"/>
  <c r="B673" i="15"/>
  <c r="B674" i="15"/>
  <c r="B675" i="15"/>
  <c r="B676" i="15"/>
  <c r="B677" i="15"/>
  <c r="B678" i="15"/>
  <c r="B679" i="15"/>
  <c r="B680" i="15"/>
  <c r="B681" i="15"/>
  <c r="B682" i="15"/>
  <c r="B683" i="15"/>
  <c r="B684" i="15"/>
  <c r="B685" i="15"/>
  <c r="B686" i="15"/>
  <c r="B687" i="15"/>
  <c r="B688" i="15"/>
  <c r="B689" i="15"/>
  <c r="B690" i="15"/>
  <c r="B691" i="15"/>
  <c r="B692" i="15"/>
  <c r="B693" i="15"/>
  <c r="B694" i="15"/>
  <c r="B695" i="15"/>
  <c r="B696" i="15"/>
  <c r="B697" i="15"/>
  <c r="B698" i="15"/>
  <c r="B699" i="15"/>
  <c r="B700" i="15"/>
  <c r="B701" i="15"/>
  <c r="B702" i="15"/>
  <c r="B703" i="15"/>
  <c r="B704" i="15"/>
  <c r="B705" i="15"/>
  <c r="B706" i="15"/>
  <c r="B707" i="15"/>
  <c r="B708" i="15"/>
  <c r="B709" i="15"/>
  <c r="B710" i="15"/>
  <c r="B711" i="15"/>
  <c r="B712" i="15"/>
  <c r="B713" i="15"/>
  <c r="B714" i="15"/>
  <c r="B715" i="15"/>
  <c r="B716" i="15"/>
  <c r="B717" i="15"/>
  <c r="B718" i="15"/>
  <c r="B719" i="15"/>
  <c r="B720" i="15"/>
  <c r="B721" i="15"/>
  <c r="B722" i="15"/>
  <c r="B723" i="15"/>
  <c r="B724" i="15"/>
  <c r="B725" i="15"/>
  <c r="B726" i="15"/>
  <c r="B727" i="15"/>
  <c r="B728" i="15"/>
  <c r="B729" i="15"/>
  <c r="B730" i="15"/>
  <c r="B731" i="15"/>
  <c r="B732" i="15"/>
  <c r="B733" i="15"/>
  <c r="B734" i="15"/>
  <c r="B735" i="15"/>
  <c r="B736" i="15"/>
  <c r="B737" i="15"/>
  <c r="B738" i="15"/>
  <c r="B739" i="15"/>
  <c r="B740" i="15"/>
  <c r="B741" i="15"/>
  <c r="B742" i="15"/>
  <c r="B743" i="15"/>
  <c r="B744" i="15"/>
  <c r="B745" i="15"/>
  <c r="B746" i="15"/>
  <c r="B747" i="15"/>
  <c r="B748" i="15"/>
  <c r="B749" i="15"/>
  <c r="B750" i="15"/>
  <c r="B751" i="15"/>
  <c r="B752" i="15"/>
  <c r="B753" i="15"/>
  <c r="B754" i="15"/>
  <c r="B755" i="15"/>
  <c r="B756" i="15"/>
  <c r="B757" i="15"/>
  <c r="B758" i="15"/>
  <c r="B759" i="15"/>
  <c r="B760" i="15"/>
  <c r="B761" i="15"/>
  <c r="B762" i="15"/>
  <c r="B763" i="15"/>
  <c r="B764" i="15"/>
  <c r="B765" i="15"/>
  <c r="B766" i="15"/>
  <c r="B767" i="15"/>
  <c r="B768" i="15"/>
  <c r="B769" i="15"/>
  <c r="B770" i="15"/>
  <c r="B771" i="15"/>
  <c r="B772" i="15"/>
  <c r="B773" i="15"/>
  <c r="B774" i="15"/>
  <c r="B775" i="15"/>
  <c r="B776" i="15"/>
  <c r="B777" i="15"/>
  <c r="B778" i="15"/>
  <c r="B779" i="15"/>
  <c r="B780" i="15"/>
  <c r="B781" i="15"/>
  <c r="B782" i="15"/>
  <c r="B783" i="15"/>
  <c r="B784" i="15"/>
  <c r="B785" i="15"/>
  <c r="B786" i="15"/>
  <c r="B787" i="15"/>
  <c r="B788" i="15"/>
  <c r="B789" i="15"/>
  <c r="B790" i="15"/>
  <c r="B791" i="15"/>
  <c r="B792" i="15"/>
  <c r="B793" i="15"/>
  <c r="B794" i="15"/>
  <c r="B795" i="15"/>
  <c r="B796" i="15"/>
  <c r="B797" i="15"/>
  <c r="B798" i="15"/>
  <c r="B799" i="15"/>
  <c r="B800" i="15"/>
  <c r="B801" i="15"/>
  <c r="B802" i="15"/>
  <c r="B803" i="15"/>
  <c r="B804" i="15"/>
  <c r="B805" i="15"/>
  <c r="B806" i="15"/>
  <c r="B807" i="15"/>
  <c r="B808" i="15"/>
  <c r="B809" i="15"/>
  <c r="B810" i="15"/>
  <c r="B811" i="15"/>
  <c r="B812" i="15"/>
  <c r="B813" i="15"/>
  <c r="B814" i="15"/>
  <c r="B815" i="15"/>
  <c r="B816" i="15"/>
  <c r="B817" i="15"/>
  <c r="B818" i="15"/>
  <c r="B819" i="15"/>
  <c r="B820" i="15"/>
  <c r="B821" i="15"/>
  <c r="B822" i="15"/>
  <c r="B823" i="15"/>
  <c r="B824" i="15"/>
  <c r="B825" i="15"/>
  <c r="B826" i="15"/>
  <c r="B827" i="15"/>
  <c r="B828" i="15"/>
  <c r="B829" i="15"/>
  <c r="B830" i="15"/>
  <c r="B831" i="15"/>
  <c r="B832" i="15"/>
  <c r="B833" i="15"/>
  <c r="B834" i="15"/>
  <c r="B835" i="15"/>
  <c r="B836" i="15"/>
  <c r="B837" i="15"/>
  <c r="B838" i="15"/>
  <c r="B839" i="15"/>
  <c r="B840" i="15"/>
  <c r="B841" i="15"/>
  <c r="B842" i="15"/>
  <c r="B843" i="15"/>
  <c r="B844" i="15"/>
  <c r="B845" i="15"/>
  <c r="B846" i="15"/>
  <c r="B847" i="15"/>
  <c r="B848" i="15"/>
  <c r="B849" i="15"/>
  <c r="B850" i="15"/>
  <c r="B851" i="15"/>
  <c r="B852" i="15"/>
  <c r="B853" i="15"/>
  <c r="B854" i="15"/>
  <c r="B855" i="15"/>
  <c r="B856" i="15"/>
  <c r="B857" i="15"/>
  <c r="B858" i="15"/>
  <c r="B859" i="15"/>
  <c r="B860" i="15"/>
  <c r="B861" i="15"/>
  <c r="B862" i="15"/>
  <c r="B863" i="15"/>
  <c r="B864" i="15"/>
  <c r="B865" i="15"/>
  <c r="B866" i="15"/>
  <c r="B867" i="15"/>
  <c r="B868" i="15"/>
  <c r="B869" i="15"/>
  <c r="B870" i="15"/>
  <c r="B871" i="15"/>
  <c r="B872" i="15"/>
  <c r="B873" i="15"/>
  <c r="B874" i="15"/>
  <c r="B875" i="15"/>
  <c r="B876" i="15"/>
  <c r="B877" i="15"/>
  <c r="B878" i="15"/>
  <c r="B879" i="15"/>
  <c r="B880" i="15"/>
  <c r="B881" i="15"/>
  <c r="B882" i="15"/>
  <c r="B883" i="15"/>
  <c r="B884" i="15"/>
  <c r="B885" i="15"/>
  <c r="B886" i="15"/>
  <c r="B887" i="15"/>
  <c r="B888" i="15"/>
  <c r="B889" i="15"/>
  <c r="B890" i="15"/>
  <c r="B891" i="15"/>
  <c r="B892" i="15"/>
  <c r="B893" i="15"/>
  <c r="B894" i="15"/>
  <c r="B895" i="15"/>
  <c r="B896" i="15"/>
  <c r="B897" i="15"/>
  <c r="B898" i="15"/>
  <c r="B899" i="15"/>
  <c r="B900" i="15"/>
  <c r="B901" i="15"/>
  <c r="B902" i="15"/>
  <c r="B903" i="15"/>
  <c r="B14" i="15"/>
  <c r="B15" i="14"/>
  <c r="B16" i="14"/>
  <c r="B17" i="14"/>
  <c r="B18" i="14"/>
  <c r="B19" i="14"/>
  <c r="B20" i="14"/>
  <c r="B21" i="14"/>
  <c r="B22" i="14"/>
  <c r="B23" i="14"/>
  <c r="B24" i="14"/>
  <c r="B25" i="14"/>
  <c r="B26" i="14"/>
  <c r="B27" i="14"/>
  <c r="B28" i="14"/>
  <c r="B29" i="14"/>
  <c r="B30" i="14"/>
  <c r="B31" i="14"/>
  <c r="B32" i="14"/>
  <c r="B33" i="14"/>
  <c r="B34" i="14"/>
  <c r="B35" i="14"/>
  <c r="B36" i="14"/>
  <c r="B37" i="14"/>
  <c r="B38" i="14"/>
  <c r="B39" i="14"/>
  <c r="B40" i="14"/>
  <c r="B41" i="14"/>
  <c r="B42" i="14"/>
  <c r="B43" i="14"/>
  <c r="B44" i="14"/>
  <c r="B45" i="14"/>
  <c r="B46" i="14"/>
  <c r="B47" i="14"/>
  <c r="B48" i="14"/>
  <c r="B49" i="14"/>
  <c r="B50" i="14"/>
  <c r="B51" i="14"/>
  <c r="B52" i="14"/>
  <c r="B53" i="14"/>
  <c r="B54" i="14"/>
  <c r="B55" i="14"/>
  <c r="B56" i="14"/>
  <c r="B57" i="14"/>
  <c r="B58" i="14"/>
  <c r="B59" i="14"/>
  <c r="B60" i="14"/>
  <c r="B61" i="14"/>
  <c r="B62" i="14"/>
  <c r="B63" i="14"/>
  <c r="B64" i="14"/>
  <c r="B65" i="14"/>
  <c r="B66" i="14"/>
  <c r="B67" i="14"/>
  <c r="B68" i="14"/>
  <c r="B69" i="14"/>
  <c r="B70" i="14"/>
  <c r="B71" i="14"/>
  <c r="B72" i="14"/>
  <c r="B73" i="14"/>
  <c r="B74" i="14"/>
  <c r="B75" i="14"/>
  <c r="B76" i="14"/>
  <c r="B77" i="14"/>
  <c r="B78" i="14"/>
  <c r="B79" i="14"/>
  <c r="B80" i="14"/>
  <c r="B81" i="14"/>
  <c r="B82" i="14"/>
  <c r="B83" i="14"/>
  <c r="B84" i="14"/>
  <c r="B85" i="14"/>
  <c r="B86" i="14"/>
  <c r="B87" i="14"/>
  <c r="B88" i="14"/>
  <c r="B89" i="14"/>
  <c r="B90" i="14"/>
  <c r="B91" i="14"/>
  <c r="B92" i="14"/>
  <c r="B93" i="14"/>
  <c r="B94" i="14"/>
  <c r="B95" i="14"/>
  <c r="B96" i="14"/>
  <c r="B97" i="14"/>
  <c r="B98" i="14"/>
  <c r="B99" i="14"/>
  <c r="B100" i="14"/>
  <c r="B101" i="14"/>
  <c r="B102" i="14"/>
  <c r="B103" i="14"/>
  <c r="B104" i="14"/>
  <c r="B105" i="14"/>
  <c r="B106" i="14"/>
  <c r="B107" i="14"/>
  <c r="B108" i="14"/>
  <c r="B109" i="14"/>
  <c r="B110" i="14"/>
  <c r="B111" i="14"/>
  <c r="B112" i="14"/>
  <c r="B113" i="14"/>
  <c r="B114" i="14"/>
  <c r="B115" i="14"/>
  <c r="B116" i="14"/>
  <c r="B117" i="14"/>
  <c r="B118" i="14"/>
  <c r="B119" i="14"/>
  <c r="B120" i="14"/>
  <c r="B121" i="14"/>
  <c r="B122" i="14"/>
  <c r="B123" i="14"/>
  <c r="B124" i="14"/>
  <c r="B125" i="14"/>
  <c r="B126" i="14"/>
  <c r="B127" i="14"/>
  <c r="B128" i="14"/>
  <c r="B129" i="14"/>
  <c r="B130" i="14"/>
  <c r="B131" i="14"/>
  <c r="B132" i="14"/>
  <c r="B133" i="14"/>
  <c r="B134" i="14"/>
  <c r="B135" i="14"/>
  <c r="B136" i="14"/>
  <c r="B137" i="14"/>
  <c r="B138" i="14"/>
  <c r="B139" i="14"/>
  <c r="B140" i="14"/>
  <c r="B141" i="14"/>
  <c r="B142" i="14"/>
  <c r="B143" i="14"/>
  <c r="B144" i="14"/>
  <c r="B145" i="14"/>
  <c r="B146" i="14"/>
  <c r="B147" i="14"/>
  <c r="B148" i="14"/>
  <c r="B149" i="14"/>
  <c r="B150" i="14"/>
  <c r="B151" i="14"/>
  <c r="B152" i="14"/>
  <c r="B153" i="14"/>
  <c r="B154" i="14"/>
  <c r="B155" i="14"/>
  <c r="B156" i="14"/>
  <c r="B157" i="14"/>
  <c r="B158" i="14"/>
  <c r="B159" i="14"/>
  <c r="B160" i="14"/>
  <c r="B161" i="14"/>
  <c r="B162" i="14"/>
  <c r="B163" i="14"/>
  <c r="B164" i="14"/>
  <c r="B165" i="14"/>
  <c r="B166" i="14"/>
  <c r="B167" i="14"/>
  <c r="B168" i="14"/>
  <c r="B169" i="14"/>
  <c r="B170" i="14"/>
  <c r="B171" i="14"/>
  <c r="B172" i="14"/>
  <c r="B173" i="14"/>
  <c r="B174" i="14"/>
  <c r="B175" i="14"/>
  <c r="B176" i="14"/>
  <c r="B177" i="14"/>
  <c r="B178" i="14"/>
  <c r="B179" i="14"/>
  <c r="B180" i="14"/>
  <c r="B181" i="14"/>
  <c r="B182" i="14"/>
  <c r="B183" i="14"/>
  <c r="B184" i="14"/>
  <c r="B185" i="14"/>
  <c r="B186" i="14"/>
  <c r="B187" i="14"/>
  <c r="B188" i="14"/>
  <c r="B189" i="14"/>
  <c r="B190" i="14"/>
  <c r="B191" i="14"/>
  <c r="B192" i="14"/>
  <c r="B193" i="14"/>
  <c r="B194" i="14"/>
  <c r="B195" i="14"/>
  <c r="B196" i="14"/>
  <c r="B197" i="14"/>
  <c r="B198" i="14"/>
  <c r="B199" i="14"/>
  <c r="B200" i="14"/>
  <c r="B201" i="14"/>
  <c r="B202" i="14"/>
  <c r="B203" i="14"/>
  <c r="B204" i="14"/>
  <c r="B205" i="14"/>
  <c r="B206" i="14"/>
  <c r="B207" i="14"/>
  <c r="B208" i="14"/>
  <c r="B209" i="14"/>
  <c r="B210" i="14"/>
  <c r="B211" i="14"/>
  <c r="B212" i="14"/>
  <c r="B213" i="14"/>
  <c r="B214" i="14"/>
  <c r="B215" i="14"/>
  <c r="B216" i="14"/>
  <c r="B217" i="14"/>
  <c r="B218" i="14"/>
  <c r="B219" i="14"/>
  <c r="B220" i="14"/>
  <c r="B221" i="14"/>
  <c r="B222" i="14"/>
  <c r="B223" i="14"/>
  <c r="B224" i="14"/>
  <c r="B225" i="14"/>
  <c r="B226" i="14"/>
  <c r="B227" i="14"/>
  <c r="B228" i="14"/>
  <c r="B229" i="14"/>
  <c r="B230" i="14"/>
  <c r="B231" i="14"/>
  <c r="B232" i="14"/>
  <c r="B233" i="14"/>
  <c r="B234" i="14"/>
  <c r="B235" i="14"/>
  <c r="B236" i="14"/>
  <c r="B237" i="14"/>
  <c r="B238" i="14"/>
  <c r="B239" i="14"/>
  <c r="B240" i="14"/>
  <c r="B241" i="14"/>
  <c r="B242" i="14"/>
  <c r="B243" i="14"/>
  <c r="B244" i="14"/>
  <c r="B245" i="14"/>
  <c r="B246" i="14"/>
  <c r="B247" i="14"/>
  <c r="B248" i="14"/>
  <c r="B249" i="14"/>
  <c r="B250" i="14"/>
  <c r="B251" i="14"/>
  <c r="B252" i="14"/>
  <c r="B253" i="14"/>
  <c r="B254" i="14"/>
  <c r="B255" i="14"/>
  <c r="B256" i="14"/>
  <c r="B257" i="14"/>
  <c r="B258" i="14"/>
  <c r="B259" i="14"/>
  <c r="B260" i="14"/>
  <c r="B261" i="14"/>
  <c r="B262" i="14"/>
  <c r="B263" i="14"/>
  <c r="B264" i="14"/>
  <c r="B265" i="14"/>
  <c r="B266" i="14"/>
  <c r="B267" i="14"/>
  <c r="B268" i="14"/>
  <c r="B269" i="14"/>
  <c r="B270" i="14"/>
  <c r="B271" i="14"/>
  <c r="B272" i="14"/>
  <c r="B273" i="14"/>
  <c r="B274" i="14"/>
  <c r="B275" i="14"/>
  <c r="B276" i="14"/>
  <c r="B277" i="14"/>
  <c r="B278" i="14"/>
  <c r="B279" i="14"/>
  <c r="B280" i="14"/>
  <c r="B281" i="14"/>
  <c r="B282" i="14"/>
  <c r="B283" i="14"/>
  <c r="B284" i="14"/>
  <c r="B285" i="14"/>
  <c r="B286" i="14"/>
  <c r="B287" i="14"/>
  <c r="B288" i="14"/>
  <c r="B289" i="14"/>
  <c r="B290" i="14"/>
  <c r="B291" i="14"/>
  <c r="B292" i="14"/>
  <c r="B293" i="14"/>
  <c r="B294" i="14"/>
  <c r="B295" i="14"/>
  <c r="B296" i="14"/>
  <c r="B297" i="14"/>
  <c r="B298" i="14"/>
  <c r="B299" i="14"/>
  <c r="B300" i="14"/>
  <c r="B301" i="14"/>
  <c r="B302" i="14"/>
  <c r="B303" i="14"/>
  <c r="B304" i="14"/>
  <c r="B305" i="14"/>
  <c r="B306" i="14"/>
  <c r="B307" i="14"/>
  <c r="B308" i="14"/>
  <c r="B309" i="14"/>
  <c r="B310" i="14"/>
  <c r="B311" i="14"/>
  <c r="B312" i="14"/>
  <c r="B313" i="14"/>
  <c r="B314" i="14"/>
  <c r="B315" i="14"/>
  <c r="B316" i="14"/>
  <c r="B317" i="14"/>
  <c r="B318" i="14"/>
  <c r="B319" i="14"/>
  <c r="B320" i="14"/>
  <c r="B321" i="14"/>
  <c r="B322" i="14"/>
  <c r="B323" i="14"/>
  <c r="B324" i="14"/>
  <c r="B325" i="14"/>
  <c r="B326" i="14"/>
  <c r="B327" i="14"/>
  <c r="B328" i="14"/>
  <c r="B329" i="14"/>
  <c r="B330" i="14"/>
  <c r="B331" i="14"/>
  <c r="B332" i="14"/>
  <c r="B333" i="14"/>
  <c r="B334" i="14"/>
  <c r="B335" i="14"/>
  <c r="B336" i="14"/>
  <c r="B337" i="14"/>
  <c r="B338" i="14"/>
  <c r="B339" i="14"/>
  <c r="B340" i="14"/>
  <c r="B341" i="14"/>
  <c r="B342" i="14"/>
  <c r="B343" i="14"/>
  <c r="B344" i="14"/>
  <c r="B345" i="14"/>
  <c r="B346" i="14"/>
  <c r="B347" i="14"/>
  <c r="B348" i="14"/>
  <c r="B349" i="14"/>
  <c r="B350" i="14"/>
  <c r="B351" i="14"/>
  <c r="B352" i="14"/>
  <c r="B353" i="14"/>
  <c r="B354" i="14"/>
  <c r="B355" i="14"/>
  <c r="B356" i="14"/>
  <c r="B357" i="14"/>
  <c r="B358" i="14"/>
  <c r="B359" i="14"/>
  <c r="B360" i="14"/>
  <c r="B361" i="14"/>
  <c r="B362" i="14"/>
  <c r="B363" i="14"/>
  <c r="B364" i="14"/>
  <c r="B365" i="14"/>
  <c r="B366" i="14"/>
  <c r="B367" i="14"/>
  <c r="B368" i="14"/>
  <c r="B369" i="14"/>
  <c r="B370" i="14"/>
  <c r="B371" i="14"/>
  <c r="B372" i="14"/>
  <c r="B373" i="14"/>
  <c r="B374" i="14"/>
  <c r="B375" i="14"/>
  <c r="B376" i="14"/>
  <c r="B377" i="14"/>
  <c r="B378" i="14"/>
  <c r="B379" i="14"/>
  <c r="B380" i="14"/>
  <c r="B381" i="14"/>
  <c r="B382" i="14"/>
  <c r="B383" i="14"/>
  <c r="B384" i="14"/>
  <c r="B385" i="14"/>
  <c r="B386" i="14"/>
  <c r="B387" i="14"/>
  <c r="B388" i="14"/>
  <c r="B389" i="14"/>
  <c r="B390" i="14"/>
  <c r="B391" i="14"/>
  <c r="B392" i="14"/>
  <c r="B393" i="14"/>
  <c r="B394" i="14"/>
  <c r="B395" i="14"/>
  <c r="B396" i="14"/>
  <c r="B397" i="14"/>
  <c r="B398" i="14"/>
  <c r="B399" i="14"/>
  <c r="B400" i="14"/>
  <c r="B401" i="14"/>
  <c r="B402" i="14"/>
  <c r="B403" i="14"/>
  <c r="B404" i="14"/>
  <c r="B405" i="14"/>
  <c r="B406" i="14"/>
  <c r="B407" i="14"/>
  <c r="B408" i="14"/>
  <c r="B409" i="14"/>
  <c r="B410" i="14"/>
  <c r="B411" i="14"/>
  <c r="B412" i="14"/>
  <c r="B413" i="14"/>
  <c r="B414" i="14"/>
  <c r="B415" i="14"/>
  <c r="B416" i="14"/>
  <c r="B417" i="14"/>
  <c r="B418" i="14"/>
  <c r="B419" i="14"/>
  <c r="B420" i="14"/>
  <c r="B421" i="14"/>
  <c r="B422" i="14"/>
  <c r="B423" i="14"/>
  <c r="B424" i="14"/>
  <c r="B425" i="14"/>
  <c r="B426" i="14"/>
  <c r="B427" i="14"/>
  <c r="B428" i="14"/>
  <c r="B429" i="14"/>
  <c r="B430" i="14"/>
  <c r="B431" i="14"/>
  <c r="B432" i="14"/>
  <c r="B433" i="14"/>
  <c r="B434" i="14"/>
  <c r="B435" i="14"/>
  <c r="B436" i="14"/>
  <c r="B437" i="14"/>
  <c r="B438" i="14"/>
  <c r="B439" i="14"/>
  <c r="B440" i="14"/>
  <c r="B441" i="14"/>
  <c r="B442" i="14"/>
  <c r="B443" i="14"/>
  <c r="B444" i="14"/>
  <c r="B445" i="14"/>
  <c r="B446" i="14"/>
  <c r="B447" i="14"/>
  <c r="B448" i="14"/>
  <c r="B449" i="14"/>
  <c r="B450" i="14"/>
  <c r="B451" i="14"/>
  <c r="B452" i="14"/>
  <c r="B453" i="14"/>
  <c r="B454" i="14"/>
  <c r="B455" i="14"/>
  <c r="B456" i="14"/>
  <c r="B457" i="14"/>
  <c r="B458" i="14"/>
  <c r="B459" i="14"/>
  <c r="B460" i="14"/>
  <c r="B461" i="14"/>
  <c r="B462" i="14"/>
  <c r="B463" i="14"/>
  <c r="B464" i="14"/>
  <c r="B465" i="14"/>
  <c r="B466" i="14"/>
  <c r="B467" i="14"/>
  <c r="B468" i="14"/>
  <c r="B469" i="14"/>
  <c r="B470" i="14"/>
  <c r="B471" i="14"/>
  <c r="B472" i="14"/>
  <c r="B473" i="14"/>
  <c r="B474" i="14"/>
  <c r="B475" i="14"/>
  <c r="B476" i="14"/>
  <c r="B477" i="14"/>
  <c r="B478" i="14"/>
  <c r="B479" i="14"/>
  <c r="B480" i="14"/>
  <c r="B481" i="14"/>
  <c r="B482" i="14"/>
  <c r="B483" i="14"/>
  <c r="B484" i="14"/>
  <c r="B485" i="14"/>
  <c r="B486" i="14"/>
  <c r="B487" i="14"/>
  <c r="B488" i="14"/>
  <c r="B489" i="14"/>
  <c r="B490" i="14"/>
  <c r="B491" i="14"/>
  <c r="B492" i="14"/>
  <c r="B493" i="14"/>
  <c r="B494" i="14"/>
  <c r="B495" i="14"/>
  <c r="B496" i="14"/>
  <c r="B497" i="14"/>
  <c r="B498" i="14"/>
  <c r="B499" i="14"/>
  <c r="B500" i="14"/>
  <c r="B501" i="14"/>
  <c r="B502" i="14"/>
  <c r="B503" i="14"/>
  <c r="B504" i="14"/>
  <c r="B505" i="14"/>
  <c r="B506" i="14"/>
  <c r="B507" i="14"/>
  <c r="B508" i="14"/>
  <c r="B509" i="14"/>
  <c r="B510" i="14"/>
  <c r="B511" i="14"/>
  <c r="B512" i="14"/>
  <c r="B513" i="14"/>
  <c r="B514" i="14"/>
  <c r="B515" i="14"/>
  <c r="B516" i="14"/>
  <c r="B517" i="14"/>
  <c r="B518" i="14"/>
  <c r="B519" i="14"/>
  <c r="B520" i="14"/>
  <c r="B521" i="14"/>
  <c r="B522" i="14"/>
  <c r="B523" i="14"/>
  <c r="B524" i="14"/>
  <c r="B525" i="14"/>
  <c r="B526" i="14"/>
  <c r="B527" i="14"/>
  <c r="B528" i="14"/>
  <c r="B529" i="14"/>
  <c r="B530" i="14"/>
  <c r="B531" i="14"/>
  <c r="B532" i="14"/>
  <c r="B533" i="14"/>
  <c r="B534" i="14"/>
  <c r="B535" i="14"/>
  <c r="B536" i="14"/>
  <c r="B537" i="14"/>
  <c r="B538" i="14"/>
  <c r="B539" i="14"/>
  <c r="B540" i="14"/>
  <c r="B541" i="14"/>
  <c r="B542" i="14"/>
  <c r="B543" i="14"/>
  <c r="B544" i="14"/>
  <c r="B545" i="14"/>
  <c r="B546" i="14"/>
  <c r="B547" i="14"/>
  <c r="B548" i="14"/>
  <c r="B549" i="14"/>
  <c r="B550" i="14"/>
  <c r="B551" i="14"/>
  <c r="B552" i="14"/>
  <c r="B553" i="14"/>
  <c r="B554" i="14"/>
  <c r="B555" i="14"/>
  <c r="B556" i="14"/>
  <c r="B557" i="14"/>
  <c r="B558" i="14"/>
  <c r="B559" i="14"/>
  <c r="B560" i="14"/>
  <c r="B561" i="14"/>
  <c r="B562" i="14"/>
  <c r="B563" i="14"/>
  <c r="B564" i="14"/>
  <c r="B565" i="14"/>
  <c r="B566" i="14"/>
  <c r="B567" i="14"/>
  <c r="B568" i="14"/>
  <c r="B569" i="14"/>
  <c r="B570" i="14"/>
  <c r="B571" i="14"/>
  <c r="B572" i="14"/>
  <c r="B573" i="14"/>
  <c r="B574" i="14"/>
  <c r="B575" i="14"/>
  <c r="B576" i="14"/>
  <c r="B577" i="14"/>
  <c r="B578" i="14"/>
  <c r="B579" i="14"/>
  <c r="B580" i="14"/>
  <c r="B581" i="14"/>
  <c r="B582" i="14"/>
  <c r="B583" i="14"/>
  <c r="B584" i="14"/>
  <c r="B585" i="14"/>
  <c r="B586" i="14"/>
  <c r="B587" i="14"/>
  <c r="B588" i="14"/>
  <c r="B589" i="14"/>
  <c r="B590" i="14"/>
  <c r="B591" i="14"/>
  <c r="B592" i="14"/>
  <c r="B593" i="14"/>
  <c r="B594" i="14"/>
  <c r="B595" i="14"/>
  <c r="B596" i="14"/>
  <c r="B597" i="14"/>
  <c r="B598" i="14"/>
  <c r="B599" i="14"/>
  <c r="B600" i="14"/>
  <c r="B601" i="14"/>
  <c r="B602" i="14"/>
  <c r="B603" i="14"/>
  <c r="B604" i="14"/>
  <c r="B605" i="14"/>
  <c r="B606" i="14"/>
  <c r="B607" i="14"/>
  <c r="B608" i="14"/>
  <c r="B609" i="14"/>
  <c r="B610" i="14"/>
  <c r="B611" i="14"/>
  <c r="B612" i="14"/>
  <c r="B613" i="14"/>
  <c r="B614" i="14"/>
  <c r="B615" i="14"/>
  <c r="B616" i="14"/>
  <c r="B617" i="14"/>
  <c r="B618" i="14"/>
  <c r="B619" i="14"/>
  <c r="B620" i="14"/>
  <c r="B621" i="14"/>
  <c r="B622" i="14"/>
  <c r="B623" i="14"/>
  <c r="B624" i="14"/>
  <c r="B625" i="14"/>
  <c r="B626" i="14"/>
  <c r="B627" i="14"/>
  <c r="B628" i="14"/>
  <c r="B629" i="14"/>
  <c r="B630" i="14"/>
  <c r="B631" i="14"/>
  <c r="B632" i="14"/>
  <c r="B633" i="14"/>
  <c r="B634" i="14"/>
  <c r="B635" i="14"/>
  <c r="B636" i="14"/>
  <c r="B637" i="14"/>
  <c r="B638" i="14"/>
  <c r="B639" i="14"/>
  <c r="B640" i="14"/>
  <c r="B641" i="14"/>
  <c r="B642" i="14"/>
  <c r="B643" i="14"/>
  <c r="B644" i="14"/>
  <c r="B645" i="14"/>
  <c r="B646" i="14"/>
  <c r="B647" i="14"/>
  <c r="B648" i="14"/>
  <c r="B649" i="14"/>
  <c r="B650" i="14"/>
  <c r="B651" i="14"/>
  <c r="B652" i="14"/>
  <c r="B653" i="14"/>
  <c r="B654" i="14"/>
  <c r="B655" i="14"/>
  <c r="B656" i="14"/>
  <c r="B657" i="14"/>
  <c r="B658" i="14"/>
  <c r="B659" i="14"/>
  <c r="B660" i="14"/>
  <c r="B661" i="14"/>
  <c r="B662" i="14"/>
  <c r="B663" i="14"/>
  <c r="B664" i="14"/>
  <c r="B665" i="14"/>
  <c r="B666" i="14"/>
  <c r="B667" i="14"/>
  <c r="B668" i="14"/>
  <c r="B669" i="14"/>
  <c r="B670" i="14"/>
  <c r="B671" i="14"/>
  <c r="B672" i="14"/>
  <c r="B673" i="14"/>
  <c r="B674" i="14"/>
  <c r="B675" i="14"/>
  <c r="B676" i="14"/>
  <c r="B677" i="14"/>
  <c r="B678" i="14"/>
  <c r="B679" i="14"/>
  <c r="B680" i="14"/>
  <c r="B681" i="14"/>
  <c r="B682" i="14"/>
  <c r="B683" i="14"/>
  <c r="B684" i="14"/>
  <c r="B685" i="14"/>
  <c r="B686" i="14"/>
  <c r="B687" i="14"/>
  <c r="B688" i="14"/>
  <c r="B689" i="14"/>
  <c r="B690" i="14"/>
  <c r="B691" i="14"/>
  <c r="B692" i="14"/>
  <c r="B693" i="14"/>
  <c r="B694" i="14"/>
  <c r="B695" i="14"/>
  <c r="B696" i="14"/>
  <c r="B697" i="14"/>
  <c r="B698" i="14"/>
  <c r="B699" i="14"/>
  <c r="B700" i="14"/>
  <c r="B701" i="14"/>
  <c r="B702" i="14"/>
  <c r="B703" i="14"/>
  <c r="B704" i="14"/>
  <c r="B705" i="14"/>
  <c r="B706" i="14"/>
  <c r="B707" i="14"/>
  <c r="B708" i="14"/>
  <c r="B709" i="14"/>
  <c r="B710" i="14"/>
  <c r="B711" i="14"/>
  <c r="B712" i="14"/>
  <c r="B713" i="14"/>
  <c r="B714" i="14"/>
  <c r="B715" i="14"/>
  <c r="B716" i="14"/>
  <c r="B717" i="14"/>
  <c r="B718" i="14"/>
  <c r="B719" i="14"/>
  <c r="B720" i="14"/>
  <c r="B721" i="14"/>
  <c r="B722" i="14"/>
  <c r="B723" i="14"/>
  <c r="B724" i="14"/>
  <c r="B725" i="14"/>
  <c r="B726" i="14"/>
  <c r="B727" i="14"/>
  <c r="B728" i="14"/>
  <c r="B729" i="14"/>
  <c r="B730" i="14"/>
  <c r="B731" i="14"/>
  <c r="B732" i="14"/>
  <c r="B733" i="14"/>
  <c r="B734" i="14"/>
  <c r="B735" i="14"/>
  <c r="B736" i="14"/>
  <c r="B737" i="14"/>
  <c r="B738" i="14"/>
  <c r="B739" i="14"/>
  <c r="B740" i="14"/>
  <c r="B741" i="14"/>
  <c r="B742" i="14"/>
  <c r="B743" i="14"/>
  <c r="B744" i="14"/>
  <c r="B745" i="14"/>
  <c r="B746" i="14"/>
  <c r="B747" i="14"/>
  <c r="B748" i="14"/>
  <c r="B749" i="14"/>
  <c r="B750" i="14"/>
  <c r="B751" i="14"/>
  <c r="B752" i="14"/>
  <c r="B753" i="14"/>
  <c r="B754" i="14"/>
  <c r="B755" i="14"/>
  <c r="B756" i="14"/>
  <c r="B757" i="14"/>
  <c r="B758" i="14"/>
  <c r="B759" i="14"/>
  <c r="B760" i="14"/>
  <c r="B761" i="14"/>
  <c r="B762" i="14"/>
  <c r="B763" i="14"/>
  <c r="B764" i="14"/>
  <c r="B765" i="14"/>
  <c r="B766" i="14"/>
  <c r="B767" i="14"/>
  <c r="B768" i="14"/>
  <c r="B769" i="14"/>
  <c r="B770" i="14"/>
  <c r="B771" i="14"/>
  <c r="B772" i="14"/>
  <c r="B773" i="14"/>
  <c r="B774" i="14"/>
  <c r="B775" i="14"/>
  <c r="B776" i="14"/>
  <c r="B777" i="14"/>
  <c r="B778" i="14"/>
  <c r="B779" i="14"/>
  <c r="B780" i="14"/>
  <c r="B781" i="14"/>
  <c r="B782" i="14"/>
  <c r="B783" i="14"/>
  <c r="B784" i="14"/>
  <c r="B785" i="14"/>
  <c r="B786" i="14"/>
  <c r="B787" i="14"/>
  <c r="B788" i="14"/>
  <c r="B789" i="14"/>
  <c r="B790" i="14"/>
  <c r="B791" i="14"/>
  <c r="B792" i="14"/>
  <c r="B793" i="14"/>
  <c r="B794" i="14"/>
  <c r="B795" i="14"/>
  <c r="B796" i="14"/>
  <c r="B797" i="14"/>
  <c r="B798" i="14"/>
  <c r="B799" i="14"/>
  <c r="B800" i="14"/>
  <c r="B801" i="14"/>
  <c r="B802" i="14"/>
  <c r="B803" i="14"/>
  <c r="B804" i="14"/>
  <c r="B805" i="14"/>
  <c r="B806" i="14"/>
  <c r="B807" i="14"/>
  <c r="B808" i="14"/>
  <c r="B809" i="14"/>
  <c r="B810" i="14"/>
  <c r="B811" i="14"/>
  <c r="B812" i="14"/>
  <c r="B813" i="14"/>
  <c r="B814" i="14"/>
  <c r="B815" i="14"/>
  <c r="B816" i="14"/>
  <c r="B817" i="14"/>
  <c r="B818" i="14"/>
  <c r="B819" i="14"/>
  <c r="B820" i="14"/>
  <c r="B821" i="14"/>
  <c r="B822" i="14"/>
  <c r="B823" i="14"/>
  <c r="B824" i="14"/>
  <c r="B825" i="14"/>
  <c r="B826" i="14"/>
  <c r="B827" i="14"/>
  <c r="B828" i="14"/>
  <c r="B829" i="14"/>
  <c r="B830" i="14"/>
  <c r="B831" i="14"/>
  <c r="B832" i="14"/>
  <c r="B833" i="14"/>
  <c r="B834" i="14"/>
  <c r="B835" i="14"/>
  <c r="B836" i="14"/>
  <c r="B837" i="14"/>
  <c r="B838" i="14"/>
  <c r="B839" i="14"/>
  <c r="B840" i="14"/>
  <c r="B841" i="14"/>
  <c r="B842" i="14"/>
  <c r="B843" i="14"/>
  <c r="B844" i="14"/>
  <c r="B845" i="14"/>
  <c r="B846" i="14"/>
  <c r="B847" i="14"/>
  <c r="B848" i="14"/>
  <c r="B849" i="14"/>
  <c r="B850" i="14"/>
  <c r="B851" i="14"/>
  <c r="B852" i="14"/>
  <c r="B853" i="14"/>
  <c r="B854" i="14"/>
  <c r="B855" i="14"/>
  <c r="B856" i="14"/>
  <c r="B857" i="14"/>
  <c r="B858" i="14"/>
  <c r="B859" i="14"/>
  <c r="B860" i="14"/>
  <c r="B861" i="14"/>
  <c r="B862" i="14"/>
  <c r="B863" i="14"/>
  <c r="B864" i="14"/>
  <c r="B865" i="14"/>
  <c r="B866" i="14"/>
  <c r="B867" i="14"/>
  <c r="B868" i="14"/>
  <c r="B869" i="14"/>
  <c r="B870" i="14"/>
  <c r="B871" i="14"/>
  <c r="B872" i="14"/>
  <c r="B873" i="14"/>
  <c r="B874" i="14"/>
  <c r="B875" i="14"/>
  <c r="B876" i="14"/>
  <c r="B877" i="14"/>
  <c r="B878" i="14"/>
  <c r="B879" i="14"/>
  <c r="B880" i="14"/>
  <c r="B881" i="14"/>
  <c r="B882" i="14"/>
  <c r="B883" i="14"/>
  <c r="B884" i="14"/>
  <c r="B885" i="14"/>
  <c r="B886" i="14"/>
  <c r="B887" i="14"/>
  <c r="B888" i="14"/>
  <c r="B889" i="14"/>
  <c r="B890" i="14"/>
  <c r="B891" i="14"/>
  <c r="B892" i="14"/>
  <c r="B893" i="14"/>
  <c r="B894" i="14"/>
  <c r="B895" i="14"/>
  <c r="B896" i="14"/>
  <c r="B897" i="14"/>
  <c r="B898" i="14"/>
  <c r="B899" i="14"/>
  <c r="B900" i="14"/>
  <c r="B901" i="14"/>
  <c r="B902" i="14"/>
  <c r="B903" i="14"/>
  <c r="B14" i="14"/>
  <c r="B873" i="13"/>
  <c r="B874" i="13"/>
  <c r="B875" i="13"/>
  <c r="B876" i="13"/>
  <c r="B877" i="13"/>
  <c r="B878" i="13"/>
  <c r="B879" i="13"/>
  <c r="B880" i="13"/>
  <c r="B881" i="13"/>
  <c r="B882" i="13"/>
  <c r="B883" i="13"/>
  <c r="B884" i="13"/>
  <c r="B885" i="13"/>
  <c r="B886" i="13"/>
  <c r="B887" i="13"/>
  <c r="B888" i="13"/>
  <c r="B889" i="13"/>
  <c r="B890" i="13"/>
  <c r="B891" i="13"/>
  <c r="B892" i="13"/>
  <c r="B893" i="13"/>
  <c r="B894" i="13"/>
  <c r="B895" i="13"/>
  <c r="B896" i="13"/>
  <c r="B897" i="13"/>
  <c r="B898" i="13"/>
  <c r="B899" i="13"/>
  <c r="B900" i="13"/>
  <c r="B901" i="13"/>
  <c r="B902" i="13"/>
  <c r="B903" i="13"/>
  <c r="B15" i="13"/>
  <c r="B16" i="13"/>
  <c r="B17" i="13"/>
  <c r="B18" i="13"/>
  <c r="B19" i="13"/>
  <c r="B20" i="13"/>
  <c r="B21" i="13"/>
  <c r="B22" i="13"/>
  <c r="B23" i="13"/>
  <c r="B24" i="13"/>
  <c r="B25" i="13"/>
  <c r="B26" i="13"/>
  <c r="B27" i="13"/>
  <c r="B28" i="13"/>
  <c r="B29" i="13"/>
  <c r="B30" i="13"/>
  <c r="B31" i="13"/>
  <c r="B32" i="13"/>
  <c r="B33" i="13"/>
  <c r="B34" i="13"/>
  <c r="B35" i="13"/>
  <c r="B36" i="13"/>
  <c r="B37" i="13"/>
  <c r="B38" i="13"/>
  <c r="B39" i="13"/>
  <c r="B40" i="13"/>
  <c r="B41" i="13"/>
  <c r="B42" i="13"/>
  <c r="B43" i="13"/>
  <c r="B44" i="13"/>
  <c r="B45" i="13"/>
  <c r="B46" i="13"/>
  <c r="B47" i="13"/>
  <c r="B48" i="13"/>
  <c r="B49" i="13"/>
  <c r="B50" i="13"/>
  <c r="B51" i="13"/>
  <c r="B52" i="13"/>
  <c r="B53" i="13"/>
  <c r="B54" i="13"/>
  <c r="B55" i="13"/>
  <c r="B56" i="13"/>
  <c r="B57" i="13"/>
  <c r="B58" i="13"/>
  <c r="B59" i="13"/>
  <c r="B60" i="13"/>
  <c r="B61" i="13"/>
  <c r="B62" i="13"/>
  <c r="B63" i="13"/>
  <c r="B64" i="13"/>
  <c r="B65" i="13"/>
  <c r="B66" i="13"/>
  <c r="B67" i="13"/>
  <c r="B68" i="13"/>
  <c r="B69" i="13"/>
  <c r="B70" i="13"/>
  <c r="B71" i="13"/>
  <c r="B72" i="13"/>
  <c r="B73" i="13"/>
  <c r="B74" i="13"/>
  <c r="B75" i="13"/>
  <c r="B76" i="13"/>
  <c r="B77" i="13"/>
  <c r="B78" i="13"/>
  <c r="B79" i="13"/>
  <c r="B80" i="13"/>
  <c r="B81" i="13"/>
  <c r="B82" i="13"/>
  <c r="B83" i="13"/>
  <c r="B84" i="13"/>
  <c r="B85" i="13"/>
  <c r="B86" i="13"/>
  <c r="B87" i="13"/>
  <c r="B88" i="13"/>
  <c r="B89" i="13"/>
  <c r="B90" i="13"/>
  <c r="B91" i="13"/>
  <c r="B92" i="13"/>
  <c r="B93" i="13"/>
  <c r="B94" i="13"/>
  <c r="B95" i="13"/>
  <c r="B96" i="13"/>
  <c r="B97" i="13"/>
  <c r="B98" i="13"/>
  <c r="B99" i="13"/>
  <c r="B100" i="13"/>
  <c r="B101" i="13"/>
  <c r="B102" i="13"/>
  <c r="B103" i="13"/>
  <c r="B104" i="13"/>
  <c r="B105" i="13"/>
  <c r="B106" i="13"/>
  <c r="B107" i="13"/>
  <c r="B108" i="13"/>
  <c r="B109" i="13"/>
  <c r="B110" i="13"/>
  <c r="B111" i="13"/>
  <c r="B112" i="13"/>
  <c r="B113" i="13"/>
  <c r="B114" i="13"/>
  <c r="B115" i="13"/>
  <c r="B116" i="13"/>
  <c r="B117" i="13"/>
  <c r="B118" i="13"/>
  <c r="B119" i="13"/>
  <c r="B120" i="13"/>
  <c r="B121" i="13"/>
  <c r="B122" i="13"/>
  <c r="B123" i="13"/>
  <c r="B124" i="13"/>
  <c r="B125" i="13"/>
  <c r="B126" i="13"/>
  <c r="B127" i="13"/>
  <c r="B128" i="13"/>
  <c r="B129" i="13"/>
  <c r="B130" i="13"/>
  <c r="B131" i="13"/>
  <c r="B132" i="13"/>
  <c r="B133" i="13"/>
  <c r="B134" i="13"/>
  <c r="B135" i="13"/>
  <c r="B136" i="13"/>
  <c r="B137" i="13"/>
  <c r="B138" i="13"/>
  <c r="B139" i="13"/>
  <c r="B140" i="13"/>
  <c r="B141" i="13"/>
  <c r="B142" i="13"/>
  <c r="B143" i="13"/>
  <c r="B144" i="13"/>
  <c r="B145" i="13"/>
  <c r="B146" i="13"/>
  <c r="B147" i="13"/>
  <c r="B148" i="13"/>
  <c r="B149" i="13"/>
  <c r="B150" i="13"/>
  <c r="B151" i="13"/>
  <c r="B152" i="13"/>
  <c r="B153" i="13"/>
  <c r="B154" i="13"/>
  <c r="B155" i="13"/>
  <c r="B156" i="13"/>
  <c r="B157" i="13"/>
  <c r="B158" i="13"/>
  <c r="B159" i="13"/>
  <c r="B160" i="13"/>
  <c r="B161" i="13"/>
  <c r="B162" i="13"/>
  <c r="B163" i="13"/>
  <c r="B164" i="13"/>
  <c r="B165" i="13"/>
  <c r="B166" i="13"/>
  <c r="B167" i="13"/>
  <c r="B168" i="13"/>
  <c r="B169" i="13"/>
  <c r="B170" i="13"/>
  <c r="B171" i="13"/>
  <c r="B172" i="13"/>
  <c r="B173" i="13"/>
  <c r="B174" i="13"/>
  <c r="B175" i="13"/>
  <c r="B176" i="13"/>
  <c r="B177" i="13"/>
  <c r="B178" i="13"/>
  <c r="B179" i="13"/>
  <c r="B180" i="13"/>
  <c r="B181" i="13"/>
  <c r="B182" i="13"/>
  <c r="B183" i="13"/>
  <c r="B184" i="13"/>
  <c r="B185" i="13"/>
  <c r="B186" i="13"/>
  <c r="B187" i="13"/>
  <c r="B188" i="13"/>
  <c r="B189" i="13"/>
  <c r="B190" i="13"/>
  <c r="B191" i="13"/>
  <c r="B192" i="13"/>
  <c r="B193" i="13"/>
  <c r="B194" i="13"/>
  <c r="B195" i="13"/>
  <c r="B196" i="13"/>
  <c r="B197" i="13"/>
  <c r="B198" i="13"/>
  <c r="B199" i="13"/>
  <c r="B200" i="13"/>
  <c r="B201" i="13"/>
  <c r="B202" i="13"/>
  <c r="B203" i="13"/>
  <c r="B204" i="13"/>
  <c r="B205" i="13"/>
  <c r="B206" i="13"/>
  <c r="B207" i="13"/>
  <c r="B208" i="13"/>
  <c r="B209" i="13"/>
  <c r="B210" i="13"/>
  <c r="B211" i="13"/>
  <c r="B212" i="13"/>
  <c r="B213" i="13"/>
  <c r="B214" i="13"/>
  <c r="B215" i="13"/>
  <c r="B216" i="13"/>
  <c r="B217" i="13"/>
  <c r="B218" i="13"/>
  <c r="B219" i="13"/>
  <c r="B220" i="13"/>
  <c r="B221" i="13"/>
  <c r="B222" i="13"/>
  <c r="B223" i="13"/>
  <c r="B224" i="13"/>
  <c r="B225" i="13"/>
  <c r="B226" i="13"/>
  <c r="B227" i="13"/>
  <c r="B228" i="13"/>
  <c r="B229" i="13"/>
  <c r="B230" i="13"/>
  <c r="B231" i="13"/>
  <c r="B232" i="13"/>
  <c r="B233" i="13"/>
  <c r="B234" i="13"/>
  <c r="B235" i="13"/>
  <c r="B236" i="13"/>
  <c r="B237" i="13"/>
  <c r="B238" i="13"/>
  <c r="B239" i="13"/>
  <c r="B240" i="13"/>
  <c r="B241" i="13"/>
  <c r="B242" i="13"/>
  <c r="B243" i="13"/>
  <c r="B244" i="13"/>
  <c r="B245" i="13"/>
  <c r="B246" i="13"/>
  <c r="B247" i="13"/>
  <c r="B248" i="13"/>
  <c r="B249" i="13"/>
  <c r="B250" i="13"/>
  <c r="B251" i="13"/>
  <c r="B252" i="13"/>
  <c r="B253" i="13"/>
  <c r="B254" i="13"/>
  <c r="B255" i="13"/>
  <c r="B256" i="13"/>
  <c r="B257" i="13"/>
  <c r="B258" i="13"/>
  <c r="B259" i="13"/>
  <c r="B260" i="13"/>
  <c r="B261" i="13"/>
  <c r="B262" i="13"/>
  <c r="B263" i="13"/>
  <c r="B264" i="13"/>
  <c r="B265" i="13"/>
  <c r="B266" i="13"/>
  <c r="B267" i="13"/>
  <c r="B268" i="13"/>
  <c r="B269" i="13"/>
  <c r="B270" i="13"/>
  <c r="B271" i="13"/>
  <c r="B272" i="13"/>
  <c r="B273" i="13"/>
  <c r="B274" i="13"/>
  <c r="B275" i="13"/>
  <c r="B276" i="13"/>
  <c r="B277" i="13"/>
  <c r="B278" i="13"/>
  <c r="B279" i="13"/>
  <c r="B280" i="13"/>
  <c r="B281" i="13"/>
  <c r="B282" i="13"/>
  <c r="B283" i="13"/>
  <c r="B284" i="13"/>
  <c r="B285" i="13"/>
  <c r="B286" i="13"/>
  <c r="B287" i="13"/>
  <c r="B288" i="13"/>
  <c r="B289" i="13"/>
  <c r="B290" i="13"/>
  <c r="B291" i="13"/>
  <c r="B292" i="13"/>
  <c r="B293" i="13"/>
  <c r="B294" i="13"/>
  <c r="B295" i="13"/>
  <c r="B296" i="13"/>
  <c r="B297" i="13"/>
  <c r="B298" i="13"/>
  <c r="B299" i="13"/>
  <c r="B300" i="13"/>
  <c r="B301" i="13"/>
  <c r="B302" i="13"/>
  <c r="B303" i="13"/>
  <c r="B304" i="13"/>
  <c r="B305" i="13"/>
  <c r="B306" i="13"/>
  <c r="B307" i="13"/>
  <c r="B308" i="13"/>
  <c r="B309" i="13"/>
  <c r="B310" i="13"/>
  <c r="B311" i="13"/>
  <c r="B312" i="13"/>
  <c r="B313" i="13"/>
  <c r="B314" i="13"/>
  <c r="B315" i="13"/>
  <c r="B316" i="13"/>
  <c r="B317" i="13"/>
  <c r="B318" i="13"/>
  <c r="B319" i="13"/>
  <c r="B320" i="13"/>
  <c r="B321" i="13"/>
  <c r="B322" i="13"/>
  <c r="B323" i="13"/>
  <c r="B324" i="13"/>
  <c r="B325" i="13"/>
  <c r="B326" i="13"/>
  <c r="B327" i="13"/>
  <c r="B328" i="13"/>
  <c r="B329" i="13"/>
  <c r="B330" i="13"/>
  <c r="B331" i="13"/>
  <c r="B332" i="13"/>
  <c r="B333" i="13"/>
  <c r="B334" i="13"/>
  <c r="B335" i="13"/>
  <c r="B336" i="13"/>
  <c r="B337" i="13"/>
  <c r="B338" i="13"/>
  <c r="B339" i="13"/>
  <c r="B340" i="13"/>
  <c r="B341" i="13"/>
  <c r="B342" i="13"/>
  <c r="B343" i="13"/>
  <c r="B344" i="13"/>
  <c r="B345" i="13"/>
  <c r="B346" i="13"/>
  <c r="B347" i="13"/>
  <c r="B348" i="13"/>
  <c r="B349" i="13"/>
  <c r="B350" i="13"/>
  <c r="B351" i="13"/>
  <c r="B352" i="13"/>
  <c r="B353" i="13"/>
  <c r="B354" i="13"/>
  <c r="B355" i="13"/>
  <c r="B356" i="13"/>
  <c r="B357" i="13"/>
  <c r="B358" i="13"/>
  <c r="B359" i="13"/>
  <c r="B360" i="13"/>
  <c r="B361" i="13"/>
  <c r="B362" i="13"/>
  <c r="B363" i="13"/>
  <c r="B364" i="13"/>
  <c r="B365" i="13"/>
  <c r="B366" i="13"/>
  <c r="B367" i="13"/>
  <c r="B368" i="13"/>
  <c r="B369" i="13"/>
  <c r="B370" i="13"/>
  <c r="B371" i="13"/>
  <c r="B372" i="13"/>
  <c r="B373" i="13"/>
  <c r="B374" i="13"/>
  <c r="B375" i="13"/>
  <c r="B376" i="13"/>
  <c r="B377" i="13"/>
  <c r="B378" i="13"/>
  <c r="B379" i="13"/>
  <c r="B380" i="13"/>
  <c r="B381" i="13"/>
  <c r="B382" i="13"/>
  <c r="B383" i="13"/>
  <c r="B384" i="13"/>
  <c r="B385" i="13"/>
  <c r="B386" i="13"/>
  <c r="B387" i="13"/>
  <c r="B388" i="13"/>
  <c r="B389" i="13"/>
  <c r="B390" i="13"/>
  <c r="B391" i="13"/>
  <c r="B392" i="13"/>
  <c r="B393" i="13"/>
  <c r="B394" i="13"/>
  <c r="B395" i="13"/>
  <c r="B396" i="13"/>
  <c r="B397" i="13"/>
  <c r="B398" i="13"/>
  <c r="B399" i="13"/>
  <c r="B400" i="13"/>
  <c r="B401" i="13"/>
  <c r="B402" i="13"/>
  <c r="B403" i="13"/>
  <c r="B404" i="13"/>
  <c r="B405" i="13"/>
  <c r="B406" i="13"/>
  <c r="B407" i="13"/>
  <c r="B408" i="13"/>
  <c r="B409" i="13"/>
  <c r="B410" i="13"/>
  <c r="B411" i="13"/>
  <c r="B412" i="13"/>
  <c r="B413" i="13"/>
  <c r="B414" i="13"/>
  <c r="B415" i="13"/>
  <c r="B416" i="13"/>
  <c r="B417" i="13"/>
  <c r="B418" i="13"/>
  <c r="B419" i="13"/>
  <c r="B420" i="13"/>
  <c r="B421" i="13"/>
  <c r="B422" i="13"/>
  <c r="B423" i="13"/>
  <c r="B424" i="13"/>
  <c r="B425" i="13"/>
  <c r="B426" i="13"/>
  <c r="B427" i="13"/>
  <c r="B428" i="13"/>
  <c r="B429" i="13"/>
  <c r="B430" i="13"/>
  <c r="B431" i="13"/>
  <c r="B432" i="13"/>
  <c r="B433" i="13"/>
  <c r="B434" i="13"/>
  <c r="B435" i="13"/>
  <c r="B436" i="13"/>
  <c r="B437" i="13"/>
  <c r="B438" i="13"/>
  <c r="B439" i="13"/>
  <c r="B440" i="13"/>
  <c r="B441" i="13"/>
  <c r="B442" i="13"/>
  <c r="B443" i="13"/>
  <c r="B444" i="13"/>
  <c r="B445" i="13"/>
  <c r="B446" i="13"/>
  <c r="B447" i="13"/>
  <c r="B448" i="13"/>
  <c r="B449" i="13"/>
  <c r="B450" i="13"/>
  <c r="B451" i="13"/>
  <c r="B452" i="13"/>
  <c r="B453" i="13"/>
  <c r="B454" i="13"/>
  <c r="B455" i="13"/>
  <c r="B456" i="13"/>
  <c r="B457" i="13"/>
  <c r="B458" i="13"/>
  <c r="B459" i="13"/>
  <c r="B460" i="13"/>
  <c r="B461" i="13"/>
  <c r="B462" i="13"/>
  <c r="B463" i="13"/>
  <c r="B464" i="13"/>
  <c r="B465" i="13"/>
  <c r="B466" i="13"/>
  <c r="B467" i="13"/>
  <c r="B468" i="13"/>
  <c r="B469" i="13"/>
  <c r="B470" i="13"/>
  <c r="B471" i="13"/>
  <c r="B472" i="13"/>
  <c r="B473" i="13"/>
  <c r="B474" i="13"/>
  <c r="B475" i="13"/>
  <c r="B476" i="13"/>
  <c r="B477" i="13"/>
  <c r="B478" i="13"/>
  <c r="B479" i="13"/>
  <c r="B480" i="13"/>
  <c r="B481" i="13"/>
  <c r="B482" i="13"/>
  <c r="B483" i="13"/>
  <c r="B484" i="13"/>
  <c r="B485" i="13"/>
  <c r="B486" i="13"/>
  <c r="B487" i="13"/>
  <c r="B488" i="13"/>
  <c r="B489" i="13"/>
  <c r="B490" i="13"/>
  <c r="B491" i="13"/>
  <c r="B492" i="13"/>
  <c r="B493" i="13"/>
  <c r="B494" i="13"/>
  <c r="B495" i="13"/>
  <c r="B496" i="13"/>
  <c r="B497" i="13"/>
  <c r="B498" i="13"/>
  <c r="B499" i="13"/>
  <c r="B500" i="13"/>
  <c r="B501" i="13"/>
  <c r="B502" i="13"/>
  <c r="B503" i="13"/>
  <c r="B504" i="13"/>
  <c r="B505" i="13"/>
  <c r="B506" i="13"/>
  <c r="B507" i="13"/>
  <c r="B508" i="13"/>
  <c r="B509" i="13"/>
  <c r="B510" i="13"/>
  <c r="B511" i="13"/>
  <c r="B512" i="13"/>
  <c r="B513" i="13"/>
  <c r="B514" i="13"/>
  <c r="B515" i="13"/>
  <c r="B516" i="13"/>
  <c r="B517" i="13"/>
  <c r="B518" i="13"/>
  <c r="B519" i="13"/>
  <c r="B520" i="13"/>
  <c r="B521" i="13"/>
  <c r="B522" i="13"/>
  <c r="B523" i="13"/>
  <c r="B524" i="13"/>
  <c r="B525" i="13"/>
  <c r="B526" i="13"/>
  <c r="B527" i="13"/>
  <c r="B528" i="13"/>
  <c r="B529" i="13"/>
  <c r="B530" i="13"/>
  <c r="B531" i="13"/>
  <c r="B532" i="13"/>
  <c r="B533" i="13"/>
  <c r="B534" i="13"/>
  <c r="B535" i="13"/>
  <c r="B536" i="13"/>
  <c r="B537" i="13"/>
  <c r="B538" i="13"/>
  <c r="B539" i="13"/>
  <c r="B540" i="13"/>
  <c r="B541" i="13"/>
  <c r="B542" i="13"/>
  <c r="B543" i="13"/>
  <c r="B544" i="13"/>
  <c r="B545" i="13"/>
  <c r="B546" i="13"/>
  <c r="B547" i="13"/>
  <c r="B548" i="13"/>
  <c r="B549" i="13"/>
  <c r="B550" i="13"/>
  <c r="B551" i="13"/>
  <c r="B552" i="13"/>
  <c r="B553" i="13"/>
  <c r="B554" i="13"/>
  <c r="B555" i="13"/>
  <c r="B556" i="13"/>
  <c r="B557" i="13"/>
  <c r="B558" i="13"/>
  <c r="B559" i="13"/>
  <c r="B560" i="13"/>
  <c r="B561" i="13"/>
  <c r="B562" i="13"/>
  <c r="B563" i="13"/>
  <c r="B564" i="13"/>
  <c r="B565" i="13"/>
  <c r="B566" i="13"/>
  <c r="B567" i="13"/>
  <c r="B568" i="13"/>
  <c r="B569" i="13"/>
  <c r="B570" i="13"/>
  <c r="B571" i="13"/>
  <c r="B572" i="13"/>
  <c r="B573" i="13"/>
  <c r="B574" i="13"/>
  <c r="B575" i="13"/>
  <c r="B576" i="13"/>
  <c r="B577" i="13"/>
  <c r="B578" i="13"/>
  <c r="B579" i="13"/>
  <c r="B580" i="13"/>
  <c r="B581" i="13"/>
  <c r="B582" i="13"/>
  <c r="B583" i="13"/>
  <c r="B584" i="13"/>
  <c r="B585" i="13"/>
  <c r="B586" i="13"/>
  <c r="B587" i="13"/>
  <c r="B588" i="13"/>
  <c r="B589" i="13"/>
  <c r="B590" i="13"/>
  <c r="B591" i="13"/>
  <c r="B592" i="13"/>
  <c r="B593" i="13"/>
  <c r="B594" i="13"/>
  <c r="B595" i="13"/>
  <c r="B596" i="13"/>
  <c r="B597" i="13"/>
  <c r="B598" i="13"/>
  <c r="B599" i="13"/>
  <c r="B600" i="13"/>
  <c r="B601" i="13"/>
  <c r="B602" i="13"/>
  <c r="B603" i="13"/>
  <c r="B604" i="13"/>
  <c r="B605" i="13"/>
  <c r="B606" i="13"/>
  <c r="B607" i="13"/>
  <c r="B608" i="13"/>
  <c r="B609" i="13"/>
  <c r="B610" i="13"/>
  <c r="B611" i="13"/>
  <c r="B612" i="13"/>
  <c r="B613" i="13"/>
  <c r="B614" i="13"/>
  <c r="B615" i="13"/>
  <c r="B616" i="13"/>
  <c r="B617" i="13"/>
  <c r="B618" i="13"/>
  <c r="B619" i="13"/>
  <c r="B620" i="13"/>
  <c r="B621" i="13"/>
  <c r="B622" i="13"/>
  <c r="B623" i="13"/>
  <c r="B624" i="13"/>
  <c r="B625" i="13"/>
  <c r="B626" i="13"/>
  <c r="B627" i="13"/>
  <c r="B628" i="13"/>
  <c r="B629" i="13"/>
  <c r="B630" i="13"/>
  <c r="B631" i="13"/>
  <c r="B632" i="13"/>
  <c r="B633" i="13"/>
  <c r="B634" i="13"/>
  <c r="B635" i="13"/>
  <c r="B636" i="13"/>
  <c r="B637" i="13"/>
  <c r="B638" i="13"/>
  <c r="B639" i="13"/>
  <c r="B640" i="13"/>
  <c r="B641" i="13"/>
  <c r="B642" i="13"/>
  <c r="B643" i="13"/>
  <c r="B644" i="13"/>
  <c r="B645" i="13"/>
  <c r="B646" i="13"/>
  <c r="B647" i="13"/>
  <c r="B648" i="13"/>
  <c r="B649" i="13"/>
  <c r="B650" i="13"/>
  <c r="B651" i="13"/>
  <c r="B652" i="13"/>
  <c r="B653" i="13"/>
  <c r="B654" i="13"/>
  <c r="B655" i="13"/>
  <c r="B656" i="13"/>
  <c r="B657" i="13"/>
  <c r="B658" i="13"/>
  <c r="B659" i="13"/>
  <c r="B660" i="13"/>
  <c r="B661" i="13"/>
  <c r="B662" i="13"/>
  <c r="B663" i="13"/>
  <c r="B664" i="13"/>
  <c r="B665" i="13"/>
  <c r="B666" i="13"/>
  <c r="B667" i="13"/>
  <c r="B668" i="13"/>
  <c r="B669" i="13"/>
  <c r="B670" i="13"/>
  <c r="B671" i="13"/>
  <c r="B672" i="13"/>
  <c r="B673" i="13"/>
  <c r="B674" i="13"/>
  <c r="B675" i="13"/>
  <c r="B676" i="13"/>
  <c r="B677" i="13"/>
  <c r="B678" i="13"/>
  <c r="B679" i="13"/>
  <c r="B680" i="13"/>
  <c r="B681" i="13"/>
  <c r="B682" i="13"/>
  <c r="B683" i="13"/>
  <c r="B684" i="13"/>
  <c r="B685" i="13"/>
  <c r="B686" i="13"/>
  <c r="B687" i="13"/>
  <c r="B688" i="13"/>
  <c r="B689" i="13"/>
  <c r="B690" i="13"/>
  <c r="B691" i="13"/>
  <c r="B692" i="13"/>
  <c r="B693" i="13"/>
  <c r="B694" i="13"/>
  <c r="B695" i="13"/>
  <c r="B696" i="13"/>
  <c r="B697" i="13"/>
  <c r="B698" i="13"/>
  <c r="B699" i="13"/>
  <c r="B700" i="13"/>
  <c r="B701" i="13"/>
  <c r="B702" i="13"/>
  <c r="B703" i="13"/>
  <c r="B704" i="13"/>
  <c r="B705" i="13"/>
  <c r="B706" i="13"/>
  <c r="B707" i="13"/>
  <c r="B708" i="13"/>
  <c r="B709" i="13"/>
  <c r="B710" i="13"/>
  <c r="B711" i="13"/>
  <c r="B712" i="13"/>
  <c r="B713" i="13"/>
  <c r="B714" i="13"/>
  <c r="B715" i="13"/>
  <c r="B716" i="13"/>
  <c r="B717" i="13"/>
  <c r="B718" i="13"/>
  <c r="B719" i="13"/>
  <c r="B720" i="13"/>
  <c r="B721" i="13"/>
  <c r="B722" i="13"/>
  <c r="B723" i="13"/>
  <c r="B724" i="13"/>
  <c r="B725" i="13"/>
  <c r="B726" i="13"/>
  <c r="B727" i="13"/>
  <c r="B728" i="13"/>
  <c r="B729" i="13"/>
  <c r="B730" i="13"/>
  <c r="B731" i="13"/>
  <c r="B732" i="13"/>
  <c r="B733" i="13"/>
  <c r="B734" i="13"/>
  <c r="B735" i="13"/>
  <c r="B736" i="13"/>
  <c r="B737" i="13"/>
  <c r="B738" i="13"/>
  <c r="B739" i="13"/>
  <c r="B740" i="13"/>
  <c r="B741" i="13"/>
  <c r="B742" i="13"/>
  <c r="B743" i="13"/>
  <c r="B744" i="13"/>
  <c r="B745" i="13"/>
  <c r="B746" i="13"/>
  <c r="B747" i="13"/>
  <c r="B748" i="13"/>
  <c r="B749" i="13"/>
  <c r="B750" i="13"/>
  <c r="B751" i="13"/>
  <c r="B752" i="13"/>
  <c r="B753" i="13"/>
  <c r="B754" i="13"/>
  <c r="B755" i="13"/>
  <c r="B756" i="13"/>
  <c r="B757" i="13"/>
  <c r="B758" i="13"/>
  <c r="B759" i="13"/>
  <c r="B760" i="13"/>
  <c r="B761" i="13"/>
  <c r="B762" i="13"/>
  <c r="B763" i="13"/>
  <c r="B764" i="13"/>
  <c r="B765" i="13"/>
  <c r="B766" i="13"/>
  <c r="B767" i="13"/>
  <c r="B768" i="13"/>
  <c r="B769" i="13"/>
  <c r="B770" i="13"/>
  <c r="B771" i="13"/>
  <c r="B772" i="13"/>
  <c r="B773" i="13"/>
  <c r="B774" i="13"/>
  <c r="B775" i="13"/>
  <c r="B776" i="13"/>
  <c r="B777" i="13"/>
  <c r="B778" i="13"/>
  <c r="B779" i="13"/>
  <c r="B780" i="13"/>
  <c r="B781" i="13"/>
  <c r="B782" i="13"/>
  <c r="B783" i="13"/>
  <c r="B784" i="13"/>
  <c r="B785" i="13"/>
  <c r="B786" i="13"/>
  <c r="B787" i="13"/>
  <c r="B788" i="13"/>
  <c r="B789" i="13"/>
  <c r="B790" i="13"/>
  <c r="B791" i="13"/>
  <c r="B792" i="13"/>
  <c r="B793" i="13"/>
  <c r="B794" i="13"/>
  <c r="B795" i="13"/>
  <c r="B796" i="13"/>
  <c r="B797" i="13"/>
  <c r="B798" i="13"/>
  <c r="B799" i="13"/>
  <c r="B800" i="13"/>
  <c r="B801" i="13"/>
  <c r="B802" i="13"/>
  <c r="B803" i="13"/>
  <c r="B804" i="13"/>
  <c r="B805" i="13"/>
  <c r="B806" i="13"/>
  <c r="B807" i="13"/>
  <c r="B808" i="13"/>
  <c r="B809" i="13"/>
  <c r="B810" i="13"/>
  <c r="B811" i="13"/>
  <c r="B812" i="13"/>
  <c r="B813" i="13"/>
  <c r="B814" i="13"/>
  <c r="B815" i="13"/>
  <c r="B816" i="13"/>
  <c r="B817" i="13"/>
  <c r="B818" i="13"/>
  <c r="B819" i="13"/>
  <c r="B820" i="13"/>
  <c r="B821" i="13"/>
  <c r="B822" i="13"/>
  <c r="B823" i="13"/>
  <c r="B824" i="13"/>
  <c r="B825" i="13"/>
  <c r="B826" i="13"/>
  <c r="B827" i="13"/>
  <c r="B828" i="13"/>
  <c r="B829" i="13"/>
  <c r="B830" i="13"/>
  <c r="B831" i="13"/>
  <c r="B832" i="13"/>
  <c r="B833" i="13"/>
  <c r="B834" i="13"/>
  <c r="B835" i="13"/>
  <c r="B836" i="13"/>
  <c r="B837" i="13"/>
  <c r="B838" i="13"/>
  <c r="B839" i="13"/>
  <c r="B840" i="13"/>
  <c r="B841" i="13"/>
  <c r="B842" i="13"/>
  <c r="B843" i="13"/>
  <c r="B844" i="13"/>
  <c r="B845" i="13"/>
  <c r="B846" i="13"/>
  <c r="B847" i="13"/>
  <c r="B848" i="13"/>
  <c r="B849" i="13"/>
  <c r="B850" i="13"/>
  <c r="B851" i="13"/>
  <c r="B852" i="13"/>
  <c r="B853" i="13"/>
  <c r="B854" i="13"/>
  <c r="B855" i="13"/>
  <c r="B856" i="13"/>
  <c r="B857" i="13"/>
  <c r="B858" i="13"/>
  <c r="B859" i="13"/>
  <c r="B860" i="13"/>
  <c r="B861" i="13"/>
  <c r="B862" i="13"/>
  <c r="B863" i="13"/>
  <c r="B864" i="13"/>
  <c r="B865" i="13"/>
  <c r="B866" i="13"/>
  <c r="B867" i="13"/>
  <c r="B868" i="13"/>
  <c r="B869" i="13"/>
  <c r="B870" i="13"/>
  <c r="B871" i="13"/>
  <c r="B872" i="13"/>
  <c r="B14" i="13"/>
  <c r="B24" i="26" l="1"/>
  <c r="J7" i="21"/>
  <c r="N25" i="5"/>
  <c r="M25" i="5"/>
  <c r="L25" i="5"/>
  <c r="K25" i="5"/>
  <c r="J25" i="5"/>
  <c r="I25" i="5"/>
  <c r="H25" i="5"/>
  <c r="G25" i="5"/>
  <c r="F25" i="5"/>
  <c r="E25" i="5"/>
  <c r="D25" i="5"/>
  <c r="C25" i="5"/>
  <c r="P19" i="5"/>
  <c r="O19" i="5"/>
  <c r="N19" i="5"/>
  <c r="M19" i="5"/>
  <c r="L19" i="5"/>
  <c r="K19" i="5"/>
  <c r="J19" i="5"/>
  <c r="I19" i="5"/>
  <c r="H19" i="5"/>
  <c r="G19" i="5"/>
  <c r="F19" i="5"/>
  <c r="E19" i="5"/>
  <c r="D19" i="5"/>
  <c r="P13" i="5"/>
  <c r="O13" i="5"/>
  <c r="N13" i="5"/>
  <c r="M13" i="5"/>
  <c r="L13" i="5"/>
  <c r="K13" i="5"/>
  <c r="J13" i="5"/>
  <c r="I13" i="5"/>
  <c r="H13" i="5"/>
  <c r="G13" i="5"/>
  <c r="F13" i="5"/>
  <c r="E13" i="5"/>
  <c r="D13" i="5"/>
  <c r="C12" i="13" l="1"/>
  <c r="I10" i="15"/>
  <c r="E30" i="8" l="1"/>
  <c r="I10" i="14"/>
  <c r="J10" i="4" a="1"/>
  <c r="J10" i="4" s="1"/>
  <c r="M22" i="4" a="1"/>
  <c r="M22" i="4" s="1"/>
  <c r="J22" i="4" a="1"/>
  <c r="J22" i="4" s="1"/>
  <c r="M10" i="4" a="1"/>
  <c r="M10" i="4" s="1"/>
  <c r="D10" i="4" a="1"/>
  <c r="D10" i="4" s="1"/>
  <c r="G10" i="4" a="1"/>
  <c r="G10" i="4" s="1"/>
  <c r="G22" i="4" a="1"/>
  <c r="G22" i="4" s="1"/>
  <c r="D22" i="4" a="1"/>
  <c r="D22" i="4" s="1"/>
  <c r="C14" i="15" a="1"/>
  <c r="C14" i="15" s="1"/>
  <c r="C14" i="14" a="1"/>
  <c r="C14" i="14" s="1"/>
  <c r="P40" i="5"/>
  <c r="L40" i="5"/>
  <c r="O38" i="5"/>
  <c r="J38" i="5"/>
  <c r="R31" i="5"/>
  <c r="A14" i="15" l="1" a="1"/>
  <c r="A14" i="15" s="1"/>
  <c r="A14" i="13" a="1"/>
  <c r="A14" i="13" s="1"/>
  <c r="D5" i="1" s="1"/>
  <c r="A14" i="14" a="1"/>
  <c r="A14" i="14" s="1"/>
  <c r="L38" i="5"/>
  <c r="K38" i="5"/>
  <c r="M35" i="5"/>
  <c r="M33" i="5"/>
  <c r="M31" i="5"/>
  <c r="R35" i="5"/>
  <c r="R33" i="5"/>
  <c r="P41" i="5" l="1"/>
  <c r="L41" i="5"/>
  <c r="B10" i="1"/>
  <c r="D15" i="1"/>
  <c r="G19" i="1"/>
  <c r="B11" i="1"/>
  <c r="B12" i="1"/>
  <c r="H30" i="8" l="1"/>
  <c r="H31" i="8" s="1"/>
  <c r="A69" i="26" l="1"/>
  <c r="I29" i="5" l="1"/>
  <c r="N25" i="26" l="1"/>
  <c r="Q38" i="5" l="1"/>
  <c r="P38" i="5"/>
  <c r="L29" i="5"/>
  <c r="F37" i="5"/>
  <c r="E37" i="5"/>
  <c r="D37" i="5"/>
  <c r="C37" i="5"/>
  <c r="F36" i="5"/>
  <c r="E36" i="5"/>
  <c r="D36" i="5"/>
  <c r="C36" i="5"/>
  <c r="F35" i="5"/>
  <c r="E35" i="5"/>
  <c r="D35" i="5"/>
  <c r="C35" i="5"/>
  <c r="F34" i="5"/>
  <c r="E34" i="5"/>
  <c r="D34" i="5"/>
  <c r="C34" i="5"/>
  <c r="F33" i="5"/>
  <c r="E33" i="5"/>
  <c r="D33" i="5"/>
  <c r="C33" i="5"/>
  <c r="F32" i="5"/>
  <c r="E32" i="5"/>
  <c r="D32" i="5"/>
  <c r="C32" i="5"/>
  <c r="F31" i="5"/>
  <c r="E31" i="5"/>
  <c r="D31" i="5"/>
  <c r="C31" i="5"/>
  <c r="F30" i="5"/>
  <c r="E30" i="5"/>
  <c r="D30" i="5"/>
  <c r="C30" i="5"/>
  <c r="F29" i="5"/>
  <c r="E29" i="5"/>
  <c r="D29" i="5"/>
  <c r="C29" i="5"/>
  <c r="N17" i="26" l="1"/>
  <c r="M17" i="26"/>
  <c r="N18" i="26"/>
  <c r="Q63" i="26" l="1"/>
  <c r="K66" i="26" l="1"/>
  <c r="I66" i="26"/>
  <c r="A66" i="26"/>
  <c r="M66" i="26"/>
  <c r="M63" i="26"/>
  <c r="I63" i="26"/>
  <c r="A63" i="26"/>
  <c r="K63" i="26"/>
  <c r="M67" i="26"/>
  <c r="I67" i="26"/>
  <c r="K67" i="26"/>
  <c r="M64" i="26"/>
  <c r="I64" i="26"/>
  <c r="A64" i="26"/>
  <c r="K64" i="26"/>
  <c r="M68" i="26"/>
  <c r="I68" i="26"/>
  <c r="K68" i="26"/>
  <c r="A65" i="26"/>
  <c r="K65" i="26"/>
  <c r="I65" i="26"/>
  <c r="M65" i="26"/>
  <c r="A67" i="26"/>
  <c r="A68" i="26"/>
  <c r="J52" i="26" l="1"/>
  <c r="I52" i="26" s="1"/>
  <c r="J51" i="26"/>
  <c r="I51" i="26" s="1"/>
  <c r="J50" i="26"/>
  <c r="I50" i="26" s="1"/>
  <c r="J49" i="26"/>
  <c r="I49" i="26" s="1"/>
  <c r="J48" i="26"/>
  <c r="I48" i="26" s="1"/>
  <c r="J47" i="26"/>
  <c r="I47" i="26" s="1"/>
  <c r="J46" i="26"/>
  <c r="I46" i="26" s="1"/>
  <c r="J45" i="26"/>
  <c r="I45" i="26" s="1"/>
  <c r="J44" i="26"/>
  <c r="I44" i="26" s="1"/>
  <c r="J43" i="26"/>
  <c r="I43" i="26" s="1"/>
  <c r="J42" i="26"/>
  <c r="I42" i="26" s="1"/>
  <c r="J41" i="26"/>
  <c r="I41" i="26" s="1"/>
  <c r="J40" i="26"/>
  <c r="I40" i="26" s="1"/>
  <c r="J39" i="26"/>
  <c r="I39" i="26" s="1"/>
  <c r="J38" i="26"/>
  <c r="I38" i="26" s="1"/>
  <c r="J37" i="26"/>
  <c r="I37" i="26" s="1"/>
  <c r="J36" i="26"/>
  <c r="I36" i="26" s="1"/>
  <c r="J35" i="26"/>
  <c r="I35" i="26" s="1"/>
  <c r="J34" i="26"/>
  <c r="I34" i="26" s="1"/>
  <c r="J33" i="26"/>
  <c r="I33" i="26" s="1"/>
  <c r="B52" i="26"/>
  <c r="A52" i="26" s="1"/>
  <c r="B51" i="26"/>
  <c r="A51" i="26" s="1"/>
  <c r="B50" i="26"/>
  <c r="A50" i="26" s="1"/>
  <c r="B49" i="26"/>
  <c r="A49" i="26" s="1"/>
  <c r="B48" i="26"/>
  <c r="A48" i="26" s="1"/>
  <c r="B47" i="26"/>
  <c r="A47" i="26" s="1"/>
  <c r="B46" i="26"/>
  <c r="A46" i="26" s="1"/>
  <c r="B45" i="26"/>
  <c r="A45" i="26" s="1"/>
  <c r="B44" i="26"/>
  <c r="A44" i="26" s="1"/>
  <c r="B43" i="26"/>
  <c r="A43" i="26" s="1"/>
  <c r="B42" i="26"/>
  <c r="A42" i="26" s="1"/>
  <c r="B41" i="26"/>
  <c r="A41" i="26" s="1"/>
  <c r="B40" i="26"/>
  <c r="A40" i="26" s="1"/>
  <c r="B39" i="26"/>
  <c r="A39" i="26" s="1"/>
  <c r="B38" i="26"/>
  <c r="A38" i="26" s="1"/>
  <c r="B37" i="26"/>
  <c r="A37" i="26" s="1"/>
  <c r="B36" i="26"/>
  <c r="A36" i="26" s="1"/>
  <c r="B35" i="26"/>
  <c r="A35" i="26" s="1"/>
  <c r="B34" i="26"/>
  <c r="A34" i="26" s="1"/>
  <c r="B33" i="26"/>
  <c r="A33" i="26" s="1"/>
  <c r="D30" i="26"/>
  <c r="H24" i="26"/>
  <c r="B25" i="26"/>
  <c r="N15" i="26" l="1"/>
  <c r="N16" i="26" s="1"/>
  <c r="N14" i="26"/>
  <c r="I35" i="5" l="1"/>
  <c r="I33" i="5"/>
  <c r="I34" i="5"/>
  <c r="F8" i="8"/>
  <c r="I32" i="5"/>
  <c r="N22" i="26"/>
  <c r="N21" i="26"/>
  <c r="B9" i="26"/>
  <c r="I31" i="5" l="1"/>
  <c r="I91" i="8"/>
  <c r="I90" i="8"/>
  <c r="I89" i="8"/>
  <c r="I88" i="8"/>
  <c r="I87" i="8"/>
  <c r="I86" i="8"/>
  <c r="H91" i="8" l="1"/>
  <c r="H90" i="8"/>
  <c r="H89" i="8"/>
  <c r="H88" i="8"/>
  <c r="H87" i="8"/>
  <c r="H86" i="8"/>
  <c r="G93" i="8" l="1"/>
  <c r="G94" i="8" l="1"/>
  <c r="D20" i="8" s="1"/>
  <c r="G95" i="8"/>
  <c r="E6" i="4" s="1"/>
  <c r="D11" i="19" l="1"/>
  <c r="L17" i="8" l="1"/>
  <c r="G19" i="8" l="1"/>
  <c r="I19" i="8" s="1"/>
  <c r="H26" i="26" l="1"/>
  <c r="W2" i="12" l="1"/>
  <c r="U9" i="12" l="1"/>
  <c r="U8" i="12"/>
  <c r="S6" i="8" l="1"/>
  <c r="S7" i="8"/>
  <c r="S8" i="8"/>
  <c r="S9" i="8"/>
  <c r="S10" i="8"/>
  <c r="S11" i="8"/>
  <c r="S12" i="8"/>
  <c r="S13" i="8"/>
  <c r="S14" i="8"/>
  <c r="S15" i="8"/>
  <c r="S16" i="8"/>
  <c r="S17" i="8"/>
  <c r="S18" i="8"/>
  <c r="S19" i="8"/>
  <c r="S20" i="8"/>
  <c r="S21" i="8"/>
  <c r="S22" i="8"/>
  <c r="S23" i="8"/>
  <c r="S24" i="8"/>
  <c r="S25" i="8"/>
  <c r="S26" i="8"/>
  <c r="S27" i="8"/>
  <c r="S28" i="8"/>
  <c r="S29" i="8"/>
  <c r="S30" i="8"/>
  <c r="S31" i="8"/>
  <c r="S32" i="8"/>
  <c r="S33" i="8"/>
  <c r="S34" i="8"/>
  <c r="S35" i="8"/>
  <c r="S36" i="8"/>
  <c r="S37" i="8"/>
  <c r="S38" i="8"/>
  <c r="S39" i="8"/>
  <c r="S40" i="8"/>
  <c r="S41" i="8"/>
  <c r="S42" i="8"/>
  <c r="S43" i="8"/>
  <c r="S44" i="8"/>
  <c r="O13" i="13" l="1"/>
  <c r="N13" i="13"/>
  <c r="M13" i="13"/>
  <c r="P12" i="13"/>
  <c r="O12" i="13"/>
  <c r="N12" i="13"/>
  <c r="M12" i="13"/>
  <c r="L12" i="13"/>
  <c r="K12" i="13"/>
  <c r="J12" i="13"/>
  <c r="I12" i="13"/>
  <c r="H12" i="13"/>
  <c r="G12" i="13"/>
  <c r="F12" i="13"/>
  <c r="E12" i="13"/>
  <c r="D12" i="13"/>
  <c r="B12" i="13"/>
  <c r="J7" i="13"/>
  <c r="J6" i="13"/>
  <c r="J5" i="13"/>
  <c r="C7" i="13"/>
  <c r="C6" i="13"/>
  <c r="C5" i="13"/>
  <c r="D2" i="13"/>
  <c r="B2" i="13"/>
  <c r="B1" i="13"/>
  <c r="E1" i="13" l="1"/>
  <c r="C2" i="13"/>
  <c r="E2" i="13"/>
  <c r="C1" i="13"/>
  <c r="N59" i="8" l="1"/>
  <c r="I9" i="13" s="1"/>
  <c r="N61" i="8"/>
  <c r="I10" i="13" s="1"/>
  <c r="N60" i="8"/>
  <c r="I9" i="15" l="1"/>
  <c r="I9" i="14"/>
  <c r="M20" i="1"/>
  <c r="N20" i="1"/>
  <c r="O12" i="1"/>
  <c r="M12" i="1"/>
  <c r="B20" i="1"/>
  <c r="J25" i="1"/>
  <c r="A24" i="1"/>
  <c r="E22" i="1"/>
  <c r="D13" i="1"/>
  <c r="L12" i="1"/>
  <c r="H13" i="1"/>
  <c r="J18" i="1"/>
  <c r="J19" i="1"/>
  <c r="L15" i="1"/>
  <c r="H22" i="1"/>
  <c r="K24" i="1"/>
  <c r="I10" i="1"/>
  <c r="M10" i="1"/>
  <c r="N15" i="1"/>
  <c r="E24" i="1"/>
  <c r="J16" i="1"/>
  <c r="N25" i="1"/>
  <c r="H25" i="1"/>
  <c r="D11" i="1"/>
  <c r="E17" i="1"/>
  <c r="K21" i="1"/>
  <c r="G25" i="1"/>
  <c r="K18" i="1"/>
  <c r="M25" i="1"/>
  <c r="B19" i="1"/>
  <c r="C15" i="1"/>
  <c r="J11" i="1"/>
  <c r="K22" i="1"/>
  <c r="H24" i="1"/>
  <c r="C10" i="1"/>
  <c r="O11" i="1"/>
  <c r="O23" i="1"/>
  <c r="G22" i="1"/>
  <c r="A16" i="1"/>
  <c r="B22" i="1"/>
  <c r="L16" i="1"/>
  <c r="F14" i="1"/>
  <c r="C24" i="1"/>
  <c r="A20" i="1"/>
  <c r="L17" i="1"/>
  <c r="O16" i="1"/>
  <c r="G17" i="1"/>
  <c r="C14" i="1"/>
  <c r="J13" i="1"/>
  <c r="K20" i="1"/>
  <c r="B14" i="1"/>
  <c r="G10" i="1"/>
  <c r="E19" i="1"/>
  <c r="D21" i="1"/>
  <c r="A14" i="1"/>
  <c r="K23" i="1"/>
  <c r="J23" i="1"/>
  <c r="E16" i="1"/>
  <c r="N12" i="1"/>
  <c r="A19" i="1"/>
  <c r="K11" i="1"/>
  <c r="A11" i="1"/>
  <c r="F25" i="1"/>
  <c r="A22" i="1"/>
  <c r="G21" i="1"/>
  <c r="O17" i="1"/>
  <c r="F18" i="1"/>
  <c r="N21" i="1"/>
  <c r="B13" i="1"/>
  <c r="O20" i="1"/>
  <c r="A17" i="1"/>
  <c r="D20" i="1"/>
  <c r="O15" i="1"/>
  <c r="A12" i="1"/>
  <c r="G16" i="1"/>
  <c r="I13" i="1"/>
  <c r="H19" i="1"/>
  <c r="C13" i="1"/>
  <c r="F17" i="1"/>
  <c r="I11" i="1"/>
  <c r="N24" i="1"/>
  <c r="I24" i="1"/>
  <c r="M22" i="1"/>
  <c r="G24" i="1"/>
  <c r="H20" i="1"/>
  <c r="E12" i="1"/>
  <c r="D16" i="1"/>
  <c r="E25" i="1"/>
  <c r="B15" i="1"/>
  <c r="B23" i="1"/>
  <c r="C21" i="1"/>
  <c r="F24" i="1"/>
  <c r="C16" i="1"/>
  <c r="E13" i="1"/>
  <c r="A10" i="1"/>
  <c r="E18" i="1"/>
  <c r="O22" i="1"/>
  <c r="M15" i="1"/>
  <c r="J21" i="1"/>
  <c r="M19" i="1"/>
  <c r="I22" i="1"/>
  <c r="I16" i="1"/>
  <c r="K25" i="1"/>
  <c r="J22" i="1"/>
  <c r="O19" i="1"/>
  <c r="D10" i="1"/>
  <c r="I20" i="1"/>
  <c r="D19" i="1"/>
  <c r="C18" i="1"/>
  <c r="G18" i="1"/>
  <c r="M18" i="1"/>
  <c r="H14" i="1"/>
  <c r="F15" i="1"/>
  <c r="M16" i="1"/>
  <c r="F10" i="1"/>
  <c r="O14" i="1"/>
  <c r="I15" i="1"/>
  <c r="M23" i="1"/>
  <c r="E23" i="1"/>
  <c r="M21" i="1"/>
  <c r="L22" i="1"/>
  <c r="N11" i="1"/>
  <c r="F13" i="1"/>
  <c r="E21" i="1"/>
  <c r="F22" i="1"/>
  <c r="G12" i="1"/>
  <c r="H15" i="1"/>
  <c r="D24" i="1"/>
  <c r="O24" i="1"/>
  <c r="D23" i="1"/>
  <c r="D17" i="1"/>
  <c r="F23" i="1"/>
  <c r="H18" i="1"/>
  <c r="E20" i="1"/>
  <c r="C22" i="1"/>
  <c r="L23" i="1"/>
  <c r="I19" i="1"/>
  <c r="J10" i="1"/>
  <c r="I18" i="1"/>
  <c r="C23" i="1"/>
  <c r="K16" i="1"/>
  <c r="M24" i="1"/>
  <c r="B25" i="1"/>
  <c r="C12" i="1"/>
  <c r="G20" i="1"/>
  <c r="J20" i="1"/>
  <c r="I17" i="1"/>
  <c r="L24" i="1"/>
  <c r="I14" i="1"/>
  <c r="C17" i="1"/>
  <c r="O25" i="1"/>
  <c r="D14" i="1"/>
  <c r="L20" i="1"/>
  <c r="K15" i="1"/>
  <c r="E14" i="1"/>
  <c r="N10" i="1"/>
  <c r="N18" i="1"/>
  <c r="B21" i="1"/>
  <c r="O10" i="1"/>
  <c r="G13" i="1"/>
  <c r="B17" i="1"/>
  <c r="I12" i="1"/>
  <c r="L25" i="1"/>
  <c r="J12" i="1"/>
  <c r="H11" i="1"/>
  <c r="C20" i="1"/>
  <c r="C19" i="1"/>
  <c r="A13" i="1"/>
  <c r="N13" i="1"/>
  <c r="G11" i="1"/>
  <c r="H16" i="1"/>
  <c r="F16" i="1"/>
  <c r="F20" i="1"/>
  <c r="J24" i="1"/>
  <c r="L10" i="1"/>
  <c r="H23" i="1"/>
  <c r="L14" i="1"/>
  <c r="N22" i="1"/>
  <c r="D18" i="1"/>
  <c r="K17" i="1"/>
  <c r="I23" i="1"/>
  <c r="K10" i="1"/>
  <c r="H21" i="1"/>
  <c r="A21" i="1"/>
  <c r="H10" i="1"/>
  <c r="N23" i="1"/>
  <c r="B24" i="1"/>
  <c r="L18" i="1"/>
  <c r="N16" i="1"/>
  <c r="O21" i="1"/>
  <c r="J15" i="1"/>
  <c r="H17" i="1"/>
  <c r="E10" i="1"/>
  <c r="M17" i="1"/>
  <c r="O13" i="1"/>
  <c r="K12" i="1"/>
  <c r="J17" i="1"/>
  <c r="I25" i="1"/>
  <c r="D22" i="1"/>
  <c r="G14" i="1"/>
  <c r="A23" i="1"/>
  <c r="E15" i="1"/>
  <c r="K19" i="1"/>
  <c r="F12" i="1"/>
  <c r="L21" i="1"/>
  <c r="M11" i="1"/>
  <c r="C25" i="1"/>
  <c r="D12" i="1"/>
  <c r="O18" i="1"/>
  <c r="B18" i="1"/>
  <c r="K13" i="1"/>
  <c r="L13" i="1"/>
  <c r="K14" i="1"/>
  <c r="A15" i="1"/>
  <c r="L11" i="1"/>
  <c r="B16" i="1"/>
  <c r="D25" i="1"/>
  <c r="M14" i="1"/>
  <c r="I21" i="1"/>
  <c r="A18" i="1"/>
  <c r="G15" i="1"/>
  <c r="F19" i="1"/>
  <c r="J14" i="1"/>
  <c r="N14" i="1"/>
  <c r="F21" i="1"/>
  <c r="A25" i="1"/>
  <c r="M13" i="1"/>
  <c r="N17" i="1"/>
  <c r="N19" i="1"/>
  <c r="F11" i="1"/>
  <c r="G23" i="1"/>
  <c r="C11" i="1"/>
  <c r="L19" i="1"/>
  <c r="H12" i="1"/>
  <c r="E11" i="1"/>
  <c r="B31" i="1" l="1"/>
  <c r="D2" i="15"/>
  <c r="D2" i="14"/>
  <c r="C6" i="21" l="1"/>
  <c r="C8" i="21"/>
  <c r="C7" i="21"/>
  <c r="J6" i="21"/>
  <c r="D29" i="8" l="1"/>
  <c r="G30" i="8" l="1"/>
  <c r="F31" i="8" s="1"/>
  <c r="E29" i="8"/>
  <c r="H25" i="26" s="1"/>
  <c r="B20" i="8" l="1"/>
  <c r="N13" i="15" l="1"/>
  <c r="M13" i="15"/>
  <c r="M12" i="15"/>
  <c r="L12" i="15"/>
  <c r="K12" i="15"/>
  <c r="J12" i="15"/>
  <c r="I12" i="15"/>
  <c r="H12" i="15"/>
  <c r="G12" i="15"/>
  <c r="F12" i="15"/>
  <c r="E12" i="15"/>
  <c r="D12" i="15"/>
  <c r="C12" i="15"/>
  <c r="B12" i="15"/>
  <c r="J7" i="15"/>
  <c r="C7" i="15"/>
  <c r="J6" i="15"/>
  <c r="C6" i="15"/>
  <c r="J5" i="15"/>
  <c r="C5" i="15"/>
  <c r="B2" i="15"/>
  <c r="B1" i="15"/>
  <c r="O13" i="14"/>
  <c r="N13" i="14"/>
  <c r="M13" i="14"/>
  <c r="P12" i="14"/>
  <c r="O12" i="14"/>
  <c r="N12" i="14"/>
  <c r="M12" i="14"/>
  <c r="L12" i="14"/>
  <c r="K12" i="14"/>
  <c r="J12" i="14"/>
  <c r="I12" i="14"/>
  <c r="H12" i="14"/>
  <c r="G12" i="14"/>
  <c r="F12" i="14"/>
  <c r="E12" i="14"/>
  <c r="D12" i="14"/>
  <c r="C12" i="14"/>
  <c r="B12" i="14"/>
  <c r="J7" i="14"/>
  <c r="C7" i="14"/>
  <c r="J6" i="14"/>
  <c r="C6" i="14"/>
  <c r="J5" i="14"/>
  <c r="C5" i="14"/>
  <c r="B2" i="14"/>
  <c r="B1" i="14"/>
  <c r="B7" i="1"/>
  <c r="V7" i="1" s="1"/>
  <c r="AP7" i="1" s="1"/>
  <c r="J6" i="1"/>
  <c r="AB6" i="1" s="1"/>
  <c r="AV6" i="1" s="1"/>
  <c r="B6" i="1"/>
  <c r="V6" i="1" s="1"/>
  <c r="AP6" i="1" s="1"/>
  <c r="J5" i="1"/>
  <c r="AB5" i="1" s="1"/>
  <c r="AV5" i="1" s="1"/>
  <c r="B5" i="1"/>
  <c r="V5" i="1" s="1"/>
  <c r="AP5" i="1" s="1"/>
  <c r="B1" i="1"/>
  <c r="A1" i="1"/>
  <c r="B47" i="1" s="1"/>
  <c r="M21" i="4"/>
  <c r="L21" i="4"/>
  <c r="J21" i="4"/>
  <c r="I21" i="4"/>
  <c r="G21" i="4"/>
  <c r="F21" i="4"/>
  <c r="D21" i="4"/>
  <c r="C21" i="4"/>
  <c r="M9" i="4"/>
  <c r="L9" i="4"/>
  <c r="J9" i="4"/>
  <c r="I9" i="4"/>
  <c r="G9" i="4"/>
  <c r="F9" i="4"/>
  <c r="D9" i="4"/>
  <c r="C9" i="4"/>
  <c r="A8" i="4"/>
  <c r="K5" i="4"/>
  <c r="E5" i="4"/>
  <c r="K4" i="4"/>
  <c r="E4" i="4"/>
  <c r="K3" i="4"/>
  <c r="E3" i="4"/>
  <c r="D10" i="19"/>
  <c r="D9" i="19"/>
  <c r="P44" i="8"/>
  <c r="P43" i="8"/>
  <c r="P42" i="8"/>
  <c r="P41" i="8"/>
  <c r="P40" i="8"/>
  <c r="P39" i="8"/>
  <c r="P38" i="8"/>
  <c r="P37" i="8"/>
  <c r="P36" i="8"/>
  <c r="L36" i="8"/>
  <c r="K36" i="8"/>
  <c r="J36" i="8"/>
  <c r="I36" i="8"/>
  <c r="H36" i="8"/>
  <c r="P35" i="8"/>
  <c r="P34" i="8"/>
  <c r="P33" i="8"/>
  <c r="P32" i="8"/>
  <c r="P31" i="8"/>
  <c r="D31" i="8"/>
  <c r="P30" i="8"/>
  <c r="P29" i="8"/>
  <c r="P28" i="8"/>
  <c r="P27" i="8"/>
  <c r="P26" i="8"/>
  <c r="E26" i="8"/>
  <c r="P25" i="8"/>
  <c r="P24" i="8"/>
  <c r="P23" i="8"/>
  <c r="P22" i="8"/>
  <c r="P21" i="8"/>
  <c r="P20" i="8"/>
  <c r="P19" i="8"/>
  <c r="P18" i="8"/>
  <c r="P17" i="8"/>
  <c r="P16" i="8"/>
  <c r="P15" i="8"/>
  <c r="P14" i="8"/>
  <c r="P13" i="8"/>
  <c r="P12" i="8"/>
  <c r="P11" i="8"/>
  <c r="P10" i="8"/>
  <c r="P9" i="8"/>
  <c r="P8" i="8"/>
  <c r="P7" i="8"/>
  <c r="L6" i="8"/>
  <c r="P5" i="8"/>
  <c r="B2" i="1" l="1"/>
  <c r="C13" i="5"/>
  <c r="B72" i="8" s="1" a="1"/>
  <c r="B72" i="8" s="1"/>
  <c r="A25" i="4"/>
  <c r="L25" i="4" s="1"/>
  <c r="N25" i="4" s="1"/>
  <c r="A24" i="4"/>
  <c r="L24" i="4" s="1"/>
  <c r="N24" i="4" s="1"/>
  <c r="A23" i="4"/>
  <c r="L23" i="4" s="1"/>
  <c r="N23" i="4" s="1"/>
  <c r="A26" i="4"/>
  <c r="I26" i="4" s="1"/>
  <c r="A22" i="4"/>
  <c r="I22" i="4" s="1"/>
  <c r="K22" i="4" s="1"/>
  <c r="A28" i="4"/>
  <c r="I28" i="4" s="1"/>
  <c r="K28" i="4" s="1"/>
  <c r="A27" i="4"/>
  <c r="L27" i="4" s="1"/>
  <c r="N27" i="4" s="1"/>
  <c r="A30" i="4"/>
  <c r="I30" i="4" s="1"/>
  <c r="K30" i="4" s="1"/>
  <c r="A29" i="4"/>
  <c r="I29" i="4" s="1"/>
  <c r="K29" i="4" s="1"/>
  <c r="C25" i="4"/>
  <c r="E25" i="4" s="1"/>
  <c r="S13" i="4" a="1"/>
  <c r="S13" i="4" s="1"/>
  <c r="A11" i="4" s="1"/>
  <c r="C11" i="4" s="1"/>
  <c r="S20" i="4" a="1"/>
  <c r="S20" i="4" s="1"/>
  <c r="A18" i="4" s="1"/>
  <c r="S21" i="4" a="1"/>
  <c r="S21" i="4" s="1"/>
  <c r="S14" i="4" a="1"/>
  <c r="S14" i="4" s="1"/>
  <c r="A12" i="4" s="1"/>
  <c r="C12" i="4" s="1"/>
  <c r="S19" i="4" a="1"/>
  <c r="S19" i="4" s="1"/>
  <c r="A17" i="4" s="1"/>
  <c r="S12" i="4" a="1"/>
  <c r="S12" i="4" s="1"/>
  <c r="A10" i="4" s="1"/>
  <c r="C10" i="4" s="1"/>
  <c r="S15" i="4" a="1"/>
  <c r="S15" i="4" s="1"/>
  <c r="A13" i="4" s="1"/>
  <c r="I13" i="4" s="1"/>
  <c r="K13" i="4" s="1"/>
  <c r="S17" i="4" a="1"/>
  <c r="S17" i="4" s="1"/>
  <c r="A15" i="4" s="1"/>
  <c r="S22" i="4" a="1"/>
  <c r="S22" i="4" s="1"/>
  <c r="S16" i="4" a="1"/>
  <c r="S16" i="4" s="1"/>
  <c r="S18" i="4" a="1"/>
  <c r="S18" i="4" s="1"/>
  <c r="A16" i="4" s="1"/>
  <c r="B48" i="1"/>
  <c r="B42" i="1"/>
  <c r="C42" i="1" s="1"/>
  <c r="B44" i="1" s="1"/>
  <c r="P1" i="15"/>
  <c r="Q1" i="15" s="1"/>
  <c r="P2" i="15"/>
  <c r="Q2" i="15" s="1"/>
  <c r="P2" i="14"/>
  <c r="Q2" i="14" s="1"/>
  <c r="P1" i="14"/>
  <c r="Q1" i="14" s="1"/>
  <c r="P2" i="13"/>
  <c r="Q2" i="13" s="1"/>
  <c r="P1" i="13"/>
  <c r="Q1" i="13" s="1"/>
  <c r="E2" i="14"/>
  <c r="E1" i="14"/>
  <c r="E2" i="15"/>
  <c r="E1" i="15"/>
  <c r="C2" i="14"/>
  <c r="C1" i="14"/>
  <c r="M6" i="1"/>
  <c r="C2" i="15"/>
  <c r="C1" i="15"/>
  <c r="H19" i="4" l="1" a="1"/>
  <c r="H19" i="4" s="1"/>
  <c r="C26" i="4"/>
  <c r="C29" i="4"/>
  <c r="E29" i="4" s="1"/>
  <c r="C22" i="4"/>
  <c r="E22" i="4" s="1"/>
  <c r="T3" i="4" s="1" a="1"/>
  <c r="T3" i="4" s="1"/>
  <c r="R5" i="4" s="1"/>
  <c r="O22" i="4" s="1"/>
  <c r="L30" i="4"/>
  <c r="N30" i="4" s="1"/>
  <c r="C27" i="4"/>
  <c r="E27" i="4" s="1"/>
  <c r="L26" i="4"/>
  <c r="C23" i="4"/>
  <c r="E23" i="4" s="1"/>
  <c r="L28" i="4"/>
  <c r="N28" i="4" s="1"/>
  <c r="L22" i="4"/>
  <c r="N22" i="4" s="1"/>
  <c r="L29" i="4"/>
  <c r="N29" i="4" s="1"/>
  <c r="C24" i="4"/>
  <c r="E24" i="4" s="1"/>
  <c r="I24" i="4"/>
  <c r="K24" i="4" s="1"/>
  <c r="B100" i="8" a="1"/>
  <c r="B100" i="8" s="1"/>
  <c r="I25" i="4"/>
  <c r="K25" i="4" s="1"/>
  <c r="C28" i="4"/>
  <c r="E28" i="4" s="1"/>
  <c r="G26" i="4" a="1"/>
  <c r="G26" i="4" s="1"/>
  <c r="D26" i="4" a="1"/>
  <c r="D26" i="4" s="1"/>
  <c r="M26" i="4" a="1"/>
  <c r="M26" i="4" s="1"/>
  <c r="N26" i="4" s="1"/>
  <c r="J26" i="4" a="1"/>
  <c r="J26" i="4" s="1"/>
  <c r="K26" i="4" s="1"/>
  <c r="I27" i="4"/>
  <c r="K27" i="4" s="1"/>
  <c r="C30" i="4"/>
  <c r="E30" i="4" s="1"/>
  <c r="I23" i="4"/>
  <c r="K23" i="4" s="1"/>
  <c r="I18" i="4"/>
  <c r="K18" i="4" s="1"/>
  <c r="C18" i="4"/>
  <c r="E18" i="4" s="1"/>
  <c r="I17" i="4"/>
  <c r="K17" i="4" s="1"/>
  <c r="C17" i="4"/>
  <c r="E17" i="4" s="1"/>
  <c r="F17" i="4"/>
  <c r="H17" i="4" s="1"/>
  <c r="F15" i="4"/>
  <c r="H15" i="4" s="1"/>
  <c r="C15" i="4"/>
  <c r="E15" i="4" s="1"/>
  <c r="L15" i="4"/>
  <c r="N15" i="4" s="1"/>
  <c r="I15" i="4"/>
  <c r="K15" i="4" s="1"/>
  <c r="L16" i="4"/>
  <c r="N16" i="4" s="1"/>
  <c r="C16" i="4"/>
  <c r="E16" i="4" s="1"/>
  <c r="F16" i="4"/>
  <c r="H16" i="4" s="1"/>
  <c r="I16" i="4"/>
  <c r="K16" i="4" s="1"/>
  <c r="A14" i="4"/>
  <c r="G14" i="4" s="1" a="1"/>
  <c r="G14" i="4" s="1"/>
  <c r="C13" i="4"/>
  <c r="L11" i="4"/>
  <c r="N11" i="4" s="1"/>
  <c r="F13" i="4"/>
  <c r="L18" i="4"/>
  <c r="N18" i="4" s="1"/>
  <c r="L17" i="4"/>
  <c r="N17" i="4" s="1"/>
  <c r="L10" i="4"/>
  <c r="N10" i="4" s="1"/>
  <c r="L13" i="4"/>
  <c r="N13" i="4" s="1"/>
  <c r="L12" i="4"/>
  <c r="N12" i="4" s="1"/>
  <c r="I11" i="4"/>
  <c r="K11" i="4" s="1"/>
  <c r="I10" i="4"/>
  <c r="K10" i="4" s="1"/>
  <c r="I12" i="4"/>
  <c r="K12" i="4" s="1"/>
  <c r="F12" i="4"/>
  <c r="F18" i="4"/>
  <c r="H18" i="4" s="1"/>
  <c r="F10" i="4"/>
  <c r="F11" i="4"/>
  <c r="B52" i="1"/>
  <c r="G12" i="8" s="1"/>
  <c r="C52" i="1"/>
  <c r="G13" i="8" s="1"/>
  <c r="D52" i="1"/>
  <c r="G14" i="8" s="1"/>
  <c r="E26" i="4" l="1"/>
  <c r="J14" i="4" a="1"/>
  <c r="J14" i="4" s="1"/>
  <c r="D14" i="4" a="1"/>
  <c r="D14" i="4" s="1"/>
  <c r="M14" i="4" a="1"/>
  <c r="M14" i="4" s="1"/>
  <c r="C14" i="4"/>
  <c r="L14" i="4"/>
  <c r="I14" i="4"/>
  <c r="F14" i="4"/>
  <c r="H14" i="4" s="1"/>
  <c r="R34" i="8"/>
  <c r="R20" i="8"/>
  <c r="R37" i="8"/>
  <c r="R23" i="8"/>
  <c r="R39" i="8"/>
  <c r="R42" i="8"/>
  <c r="R43" i="8"/>
  <c r="R44" i="8"/>
  <c r="R36" i="8"/>
  <c r="R41" i="8"/>
  <c r="R38" i="8"/>
  <c r="R32" i="8"/>
  <c r="K14" i="4" l="1"/>
  <c r="E14" i="4"/>
  <c r="N14" i="4"/>
  <c r="R33" i="8"/>
  <c r="R19" i="8"/>
  <c r="R21" i="8" l="1"/>
  <c r="F30" i="4" l="1"/>
  <c r="H30" i="4" s="1"/>
  <c r="F26" i="4"/>
  <c r="H26" i="4" s="1"/>
  <c r="F29" i="4"/>
  <c r="H29" i="4" s="1"/>
  <c r="F28" i="4"/>
  <c r="H28" i="4" s="1"/>
  <c r="F27" i="4"/>
  <c r="H27" i="4" s="1"/>
  <c r="R17" i="8" l="1"/>
  <c r="R25" i="8" l="1"/>
  <c r="I31" i="1" l="1"/>
  <c r="I30" i="1"/>
  <c r="I27" i="1" s="1"/>
  <c r="O31" i="1"/>
  <c r="O30" i="1"/>
  <c r="O27" i="1" s="1"/>
  <c r="L31" i="1"/>
  <c r="L30" i="1"/>
  <c r="H30" i="1"/>
  <c r="H31" i="1"/>
  <c r="M31" i="1"/>
  <c r="M30" i="1"/>
  <c r="E30" i="1"/>
  <c r="E27" i="1" s="1"/>
  <c r="E31" i="1"/>
  <c r="E36" i="1"/>
  <c r="K36" i="1" s="1"/>
  <c r="J30" i="1"/>
  <c r="J27" i="1" s="1"/>
  <c r="J31" i="1"/>
  <c r="F31" i="1"/>
  <c r="F30" i="1"/>
  <c r="F36" i="1"/>
  <c r="L36" i="1" s="1"/>
  <c r="K31" i="1"/>
  <c r="K30" i="1"/>
  <c r="D36" i="1"/>
  <c r="J36" i="1" s="1"/>
  <c r="D30" i="1"/>
  <c r="D27" i="1" s="1"/>
  <c r="D31" i="1"/>
  <c r="N31" i="1"/>
  <c r="N30" i="1"/>
  <c r="C36" i="1"/>
  <c r="I36" i="1" s="1"/>
  <c r="C31" i="1"/>
  <c r="C30" i="1"/>
  <c r="P72" i="8"/>
  <c r="B36" i="1"/>
  <c r="H36" i="1" s="1"/>
  <c r="B30" i="1"/>
  <c r="G31" i="1"/>
  <c r="G30" i="1"/>
  <c r="G27" i="1" s="1"/>
  <c r="J35" i="1" l="1"/>
  <c r="F39" i="1" s="1"/>
  <c r="B37" i="1"/>
  <c r="F38" i="1" s="1"/>
  <c r="F25" i="4"/>
  <c r="H25" i="4" s="1"/>
  <c r="J29" i="1"/>
  <c r="J28" i="1"/>
  <c r="N80" i="8"/>
  <c r="D41" i="26"/>
  <c r="M27" i="1"/>
  <c r="M29" i="1" s="1"/>
  <c r="H11" i="4"/>
  <c r="E11" i="4"/>
  <c r="L27" i="1"/>
  <c r="L29" i="1" s="1"/>
  <c r="R27" i="8"/>
  <c r="I29" i="1"/>
  <c r="I28" i="1"/>
  <c r="D40" i="26"/>
  <c r="N79" i="8"/>
  <c r="B27" i="1"/>
  <c r="F34" i="26"/>
  <c r="P73" i="8"/>
  <c r="F38" i="26"/>
  <c r="P77" i="8"/>
  <c r="K27" i="1"/>
  <c r="K29" i="1" s="1"/>
  <c r="F27" i="1"/>
  <c r="F29" i="1" s="1"/>
  <c r="F22" i="4"/>
  <c r="U4" i="4" a="1"/>
  <c r="U4" i="4" s="1"/>
  <c r="R8" i="4" s="1"/>
  <c r="O25" i="4" s="1"/>
  <c r="T4" i="4" a="1"/>
  <c r="T4" i="4" s="1"/>
  <c r="R7" i="4" s="1"/>
  <c r="O24" i="4" s="1"/>
  <c r="P83" i="8"/>
  <c r="F44" i="26"/>
  <c r="F23" i="4"/>
  <c r="H23" i="4" s="1"/>
  <c r="F43" i="26"/>
  <c r="P82" i="8"/>
  <c r="F40" i="26"/>
  <c r="P79" i="8"/>
  <c r="G29" i="1"/>
  <c r="D38" i="26"/>
  <c r="G28" i="1"/>
  <c r="N77" i="8"/>
  <c r="F33" i="26"/>
  <c r="N27" i="1"/>
  <c r="N29" i="1" s="1"/>
  <c r="F35" i="26"/>
  <c r="P74" i="8"/>
  <c r="P81" i="8"/>
  <c r="F42" i="26"/>
  <c r="P76" i="8"/>
  <c r="F37" i="26"/>
  <c r="T2" i="4" a="1"/>
  <c r="T2" i="4" s="1"/>
  <c r="R3" i="4" s="1"/>
  <c r="O12" i="4" s="1"/>
  <c r="U2" i="4" a="1"/>
  <c r="U2" i="4" s="1"/>
  <c r="R4" i="4" s="1"/>
  <c r="O13" i="4" s="1"/>
  <c r="F36" i="26"/>
  <c r="P75" i="8"/>
  <c r="H12" i="4"/>
  <c r="E12" i="4"/>
  <c r="F39" i="26"/>
  <c r="P78" i="8"/>
  <c r="O29" i="1"/>
  <c r="O28" i="1"/>
  <c r="D46" i="26"/>
  <c r="N85" i="8"/>
  <c r="C27" i="1"/>
  <c r="P84" i="8"/>
  <c r="F45" i="26"/>
  <c r="D29" i="1"/>
  <c r="N74" i="8"/>
  <c r="D35" i="26"/>
  <c r="D28" i="1"/>
  <c r="H13" i="4"/>
  <c r="E13" i="4"/>
  <c r="P80" i="8"/>
  <c r="F41" i="26"/>
  <c r="E29" i="1"/>
  <c r="N75" i="8"/>
  <c r="D36" i="26"/>
  <c r="E28" i="1"/>
  <c r="R31" i="8"/>
  <c r="F24" i="4"/>
  <c r="H24" i="4" s="1"/>
  <c r="H27" i="1"/>
  <c r="F46" i="26"/>
  <c r="P85" i="8"/>
  <c r="F40" i="1" l="1"/>
  <c r="H22" i="4"/>
  <c r="U3" i="4" s="1" a="1"/>
  <c r="U3" i="4" s="1"/>
  <c r="R6" i="4" s="1"/>
  <c r="O23" i="4" s="1"/>
  <c r="H10" i="4"/>
  <c r="U1" i="4" s="1" a="1"/>
  <c r="U1" i="4" s="1"/>
  <c r="E10" i="4"/>
  <c r="T1" i="4" s="1" a="1"/>
  <c r="T1" i="4" s="1"/>
  <c r="R1" i="4" s="1"/>
  <c r="L37" i="1" a="1"/>
  <c r="C29" i="1"/>
  <c r="E34" i="26" s="1"/>
  <c r="B29" i="1"/>
  <c r="E45" i="26"/>
  <c r="O84" i="8"/>
  <c r="O83" i="8"/>
  <c r="R16" i="8"/>
  <c r="E44" i="26"/>
  <c r="D42" i="26"/>
  <c r="N81" i="8"/>
  <c r="K28" i="1"/>
  <c r="R28" i="8"/>
  <c r="N78" i="8"/>
  <c r="D39" i="26"/>
  <c r="H28" i="1"/>
  <c r="R11" i="8"/>
  <c r="H29" i="1"/>
  <c r="O77" i="8"/>
  <c r="E38" i="26"/>
  <c r="R10" i="8"/>
  <c r="R26" i="8"/>
  <c r="O76" i="8"/>
  <c r="E37" i="26"/>
  <c r="R9" i="8"/>
  <c r="O82" i="8"/>
  <c r="E43" i="26"/>
  <c r="R15" i="8"/>
  <c r="O75" i="8"/>
  <c r="E36" i="26"/>
  <c r="O74" i="8"/>
  <c r="E35" i="26"/>
  <c r="D34" i="26"/>
  <c r="N73" i="8"/>
  <c r="C28" i="1"/>
  <c r="R24" i="8"/>
  <c r="N19" i="4"/>
  <c r="R30" i="8"/>
  <c r="R40" i="8"/>
  <c r="R22" i="8"/>
  <c r="F28" i="1"/>
  <c r="D37" i="26"/>
  <c r="N76" i="8"/>
  <c r="O79" i="8"/>
  <c r="E40" i="26"/>
  <c r="D43" i="26"/>
  <c r="N82" i="8"/>
  <c r="L28" i="1"/>
  <c r="R29" i="8"/>
  <c r="O80" i="8"/>
  <c r="E41" i="26"/>
  <c r="R35" i="8"/>
  <c r="O85" i="8"/>
  <c r="R18" i="8"/>
  <c r="E46" i="26"/>
  <c r="K19" i="4"/>
  <c r="N84" i="8"/>
  <c r="D45" i="26"/>
  <c r="N28" i="1"/>
  <c r="R14" i="8"/>
  <c r="O81" i="8"/>
  <c r="E42" i="26"/>
  <c r="A34" i="1"/>
  <c r="N72" i="8"/>
  <c r="D33" i="26"/>
  <c r="B28" i="1"/>
  <c r="N83" i="8"/>
  <c r="M28" i="1"/>
  <c r="D44" i="26"/>
  <c r="B38" i="1" l="1"/>
  <c r="B45" i="1" s="1"/>
  <c r="B40" i="1" s="1"/>
  <c r="K33" i="1" s="1"/>
  <c r="N26" i="26" s="1"/>
  <c r="R12" i="8"/>
  <c r="R13" i="8"/>
  <c r="L37" i="1"/>
  <c r="R5" i="8" s="1"/>
  <c r="R7" i="8"/>
  <c r="R6" i="8"/>
  <c r="O10" i="4"/>
  <c r="G6" i="4"/>
  <c r="R2" i="4"/>
  <c r="O11" i="4" s="1"/>
  <c r="E19" i="4"/>
  <c r="O72" i="8"/>
  <c r="J37" i="1" a="1"/>
  <c r="O73" i="8"/>
  <c r="A33" i="1"/>
  <c r="E33" i="26"/>
  <c r="S5" i="8"/>
  <c r="E39" i="26"/>
  <c r="O78" i="8"/>
  <c r="F32" i="8" l="1"/>
  <c r="J37" i="1"/>
  <c r="R8" i="8"/>
  <c r="AB12" i="1"/>
  <c r="Y14" i="1"/>
  <c r="V13" i="1"/>
  <c r="X16" i="1"/>
  <c r="AZ17" i="1"/>
  <c r="AC13" i="1"/>
  <c r="AH19" i="1"/>
  <c r="AA16" i="1"/>
  <c r="AO11" i="1"/>
  <c r="AY17" i="1"/>
  <c r="AV18" i="1"/>
  <c r="Y13" i="1"/>
  <c r="AV12" i="1"/>
  <c r="AB21" i="1"/>
  <c r="BA10" i="1"/>
  <c r="AS23" i="1"/>
  <c r="AD14" i="1"/>
  <c r="AW12" i="1"/>
  <c r="AC16" i="1"/>
  <c r="AW20" i="1"/>
  <c r="V25" i="1"/>
  <c r="Y25" i="1"/>
  <c r="AP12" i="1"/>
  <c r="AD22" i="1"/>
  <c r="W23" i="1"/>
  <c r="U22" i="1"/>
  <c r="X13" i="1"/>
  <c r="AY19" i="1"/>
  <c r="AX23" i="1"/>
  <c r="AD19" i="1"/>
  <c r="AZ21" i="1"/>
  <c r="AV13" i="1"/>
  <c r="U20" i="1"/>
  <c r="AA18" i="1"/>
  <c r="AS12" i="1"/>
  <c r="AC11" i="1"/>
  <c r="V24" i="1"/>
  <c r="AC17" i="1"/>
  <c r="AA14" i="1"/>
  <c r="Z17" i="1"/>
  <c r="AF25" i="1"/>
  <c r="AC15" i="1"/>
  <c r="W16" i="1"/>
  <c r="AD11" i="1"/>
  <c r="AB17" i="1"/>
  <c r="AZ19" i="1"/>
  <c r="AQ19" i="1"/>
  <c r="AI11" i="1"/>
  <c r="AT11" i="1"/>
  <c r="AY11" i="1"/>
  <c r="AZ10" i="1"/>
  <c r="X14" i="1"/>
  <c r="AS25" i="1"/>
  <c r="Y10" i="1"/>
  <c r="AR19" i="1"/>
  <c r="AG18" i="1"/>
  <c r="U19" i="1"/>
  <c r="AG24" i="1"/>
  <c r="AT12" i="1"/>
  <c r="AR22" i="1"/>
  <c r="AA13" i="1"/>
  <c r="AD10" i="1"/>
  <c r="AX10" i="1"/>
  <c r="Y24" i="1"/>
  <c r="Z25" i="1"/>
  <c r="AO17" i="1"/>
  <c r="V12" i="1"/>
  <c r="AH18" i="1"/>
  <c r="AO10" i="1"/>
  <c r="AT24" i="1"/>
  <c r="AE22" i="1"/>
  <c r="W11" i="1"/>
  <c r="Z19" i="1"/>
  <c r="AW24" i="1"/>
  <c r="U14" i="1"/>
  <c r="AU22" i="1"/>
  <c r="AD13" i="1"/>
  <c r="AF14" i="1"/>
  <c r="AA24" i="1"/>
  <c r="AU15" i="1"/>
  <c r="X15" i="1"/>
  <c r="AO24" i="1"/>
  <c r="AE10" i="1"/>
  <c r="X20" i="1"/>
  <c r="W15" i="1"/>
  <c r="AH15" i="1"/>
  <c r="AU23" i="1"/>
  <c r="AY14" i="1"/>
  <c r="AY20" i="1"/>
  <c r="AS10" i="1"/>
  <c r="AX24" i="1"/>
  <c r="AF18" i="1"/>
  <c r="AB22" i="1"/>
  <c r="AW11" i="1"/>
  <c r="AA19" i="1"/>
  <c r="BA12" i="1"/>
  <c r="BA11" i="1"/>
  <c r="AO13" i="1"/>
  <c r="W10" i="1"/>
  <c r="AT19" i="1"/>
  <c r="AA20" i="1"/>
  <c r="AP14" i="1"/>
  <c r="AE14" i="1"/>
  <c r="AR12" i="1"/>
  <c r="AR20" i="1"/>
  <c r="BA24" i="1"/>
  <c r="X19" i="1"/>
  <c r="AP19" i="1"/>
  <c r="AI25" i="1"/>
  <c r="AD12" i="1"/>
  <c r="AT22" i="1"/>
  <c r="AP22" i="1"/>
  <c r="AX13" i="1"/>
  <c r="AG22" i="1"/>
  <c r="AV22" i="1"/>
  <c r="AY16" i="1"/>
  <c r="AZ12" i="1"/>
  <c r="AF19" i="1"/>
  <c r="AA17" i="1"/>
  <c r="AC23" i="1"/>
  <c r="AB25" i="1"/>
  <c r="X12" i="1"/>
  <c r="U21" i="1"/>
  <c r="AU12" i="1"/>
  <c r="AI22" i="1"/>
  <c r="U16" i="1"/>
  <c r="AW25" i="1"/>
  <c r="AT13" i="1"/>
  <c r="AV24" i="1"/>
  <c r="AE24" i="1"/>
  <c r="AT10" i="1"/>
  <c r="AQ13" i="1"/>
  <c r="AH17" i="1"/>
  <c r="AC22" i="1"/>
  <c r="BA22" i="1"/>
  <c r="W21" i="1"/>
  <c r="AF17" i="1"/>
  <c r="AI14" i="1"/>
  <c r="Z15" i="1"/>
  <c r="AA25" i="1"/>
  <c r="AI13" i="1"/>
  <c r="Y11" i="1"/>
  <c r="U13" i="1"/>
  <c r="AC14" i="1"/>
  <c r="AV25" i="1"/>
  <c r="AI24" i="1"/>
  <c r="AP18" i="1"/>
  <c r="AX16" i="1"/>
  <c r="AU16" i="1"/>
  <c r="AX20" i="1"/>
  <c r="AR13" i="1"/>
  <c r="AR10" i="1"/>
  <c r="AY13" i="1"/>
  <c r="AU14" i="1"/>
  <c r="AY25" i="1"/>
  <c r="AI23" i="1"/>
  <c r="Z23" i="1"/>
  <c r="AZ18" i="1"/>
  <c r="AI17" i="1"/>
  <c r="AG11" i="1"/>
  <c r="AS14" i="1"/>
  <c r="AG13" i="1"/>
  <c r="V20" i="1"/>
  <c r="U23" i="1"/>
  <c r="AI10" i="1"/>
  <c r="BA15" i="1"/>
  <c r="BA17" i="1"/>
  <c r="AU19" i="1"/>
  <c r="AV11" i="1"/>
  <c r="BA13" i="1"/>
  <c r="U10" i="1"/>
  <c r="AQ16" i="1"/>
  <c r="AC19" i="1"/>
  <c r="AC18" i="1"/>
  <c r="AX22" i="1"/>
  <c r="AE19" i="1"/>
  <c r="AQ11" i="1"/>
  <c r="AQ25" i="1"/>
  <c r="AV23" i="1"/>
  <c r="AF21" i="1"/>
  <c r="AY12" i="1"/>
  <c r="V10" i="1"/>
  <c r="W22" i="1"/>
  <c r="U11" i="1"/>
  <c r="AO14" i="1"/>
  <c r="AG21" i="1"/>
  <c r="AY18" i="1"/>
  <c r="AX18" i="1"/>
  <c r="Z10" i="1"/>
  <c r="AD20" i="1"/>
  <c r="U25" i="1"/>
  <c r="AG19" i="1"/>
  <c r="AR18" i="1"/>
  <c r="W12" i="1"/>
  <c r="AD25" i="1"/>
  <c r="AB18" i="1"/>
  <c r="AU10" i="1"/>
  <c r="V21" i="1"/>
  <c r="AW10" i="1"/>
  <c r="X11" i="1"/>
  <c r="Y23" i="1"/>
  <c r="AF13" i="1"/>
  <c r="AO16" i="1"/>
  <c r="AC10" i="1"/>
  <c r="AZ13" i="1"/>
  <c r="AD24" i="1"/>
  <c r="AA12" i="1"/>
  <c r="Z18" i="1"/>
  <c r="AP10" i="1"/>
  <c r="AX15" i="1"/>
  <c r="AX19" i="1"/>
  <c r="AE18" i="1"/>
  <c r="AO23" i="1"/>
  <c r="AS22" i="1"/>
  <c r="AE23" i="1"/>
  <c r="AW18" i="1"/>
  <c r="AW16" i="1"/>
  <c r="AP11" i="1"/>
  <c r="AS13" i="1"/>
  <c r="AT20" i="1"/>
  <c r="AW17" i="1"/>
  <c r="Z20" i="1"/>
  <c r="AW14" i="1"/>
  <c r="Z11" i="1"/>
  <c r="AA10" i="1"/>
  <c r="V23" i="1"/>
  <c r="AZ20" i="1"/>
  <c r="AQ17" i="1"/>
  <c r="AB15" i="1"/>
  <c r="AC21" i="1"/>
  <c r="AI21" i="1"/>
  <c r="AX25" i="1"/>
  <c r="AP15" i="1"/>
  <c r="AI16" i="1"/>
  <c r="AS24" i="1"/>
  <c r="AT23" i="1"/>
  <c r="AR25" i="1"/>
  <c r="AV14" i="1"/>
  <c r="AO21" i="1"/>
  <c r="W14" i="1"/>
  <c r="AH16" i="1"/>
  <c r="AY23" i="1"/>
  <c r="AE12" i="1"/>
  <c r="AW23" i="1"/>
  <c r="AC20" i="1"/>
  <c r="AR15" i="1"/>
  <c r="AT16" i="1"/>
  <c r="Y22" i="1"/>
  <c r="AG25" i="1"/>
  <c r="AQ10" i="1"/>
  <c r="AP25" i="1"/>
  <c r="AZ23" i="1"/>
  <c r="AU13" i="1"/>
  <c r="AD16" i="1"/>
  <c r="AH13" i="1"/>
  <c r="AH12" i="1"/>
  <c r="AF24" i="1"/>
  <c r="AE21" i="1"/>
  <c r="AX12" i="1"/>
  <c r="AR14" i="1"/>
  <c r="AH23" i="1"/>
  <c r="AI18" i="1"/>
  <c r="W19" i="1"/>
  <c r="AF22" i="1"/>
  <c r="AI20" i="1"/>
  <c r="AW22" i="1"/>
  <c r="AA11" i="1"/>
  <c r="AO25" i="1"/>
  <c r="AO15" i="1"/>
  <c r="AF16" i="1"/>
  <c r="BA23" i="1"/>
  <c r="AZ11" i="1"/>
  <c r="AC24" i="1"/>
  <c r="AA23" i="1"/>
  <c r="X17" i="1"/>
  <c r="AH25" i="1"/>
  <c r="AD23" i="1"/>
  <c r="AB13" i="1"/>
  <c r="U12" i="1"/>
  <c r="X21" i="1"/>
  <c r="AG23" i="1"/>
  <c r="AT14" i="1"/>
  <c r="AG16" i="1"/>
  <c r="AX21" i="1"/>
  <c r="AE20" i="1"/>
  <c r="Z14" i="1"/>
  <c r="AR21" i="1"/>
  <c r="Y18" i="1"/>
  <c r="AR24" i="1"/>
  <c r="AB16" i="1"/>
  <c r="AC25" i="1"/>
  <c r="AF20" i="1"/>
  <c r="AW19" i="1"/>
  <c r="AU17" i="1"/>
  <c r="AV10" i="1"/>
  <c r="AO22" i="1"/>
  <c r="AP24" i="1"/>
  <c r="V19" i="1"/>
  <c r="AU21" i="1"/>
  <c r="AZ16" i="1"/>
  <c r="AT17" i="1"/>
  <c r="Y16" i="1"/>
  <c r="AB23" i="1"/>
  <c r="AX11" i="1"/>
  <c r="AU18" i="1"/>
  <c r="AE16" i="1"/>
  <c r="Y21" i="1"/>
  <c r="AE11" i="1"/>
  <c r="W18" i="1"/>
  <c r="AO18" i="1"/>
  <c r="AD15" i="1"/>
  <c r="AP16" i="1"/>
  <c r="AY10" i="1"/>
  <c r="BA14" i="1"/>
  <c r="AW21" i="1"/>
  <c r="AY24" i="1"/>
  <c r="AI12" i="1"/>
  <c r="AF15" i="1"/>
  <c r="Z22" i="1"/>
  <c r="AS21" i="1"/>
  <c r="AZ24" i="1"/>
  <c r="U18" i="1"/>
  <c r="V17" i="1"/>
  <c r="AS16" i="1"/>
  <c r="AO20" i="1"/>
  <c r="AR16" i="1"/>
  <c r="AP23" i="1"/>
  <c r="AG14" i="1"/>
  <c r="AZ25" i="1"/>
  <c r="AF12" i="1"/>
  <c r="Z24" i="1"/>
  <c r="AX14" i="1"/>
  <c r="Y12" i="1"/>
  <c r="BA19" i="1"/>
  <c r="AT21" i="1"/>
  <c r="AG17" i="1"/>
  <c r="AG15" i="1"/>
  <c r="AB19" i="1"/>
  <c r="BA20" i="1"/>
  <c r="BA21" i="1"/>
  <c r="X24" i="1"/>
  <c r="AY15" i="1"/>
  <c r="AV15" i="1"/>
  <c r="AZ22" i="1"/>
  <c r="AZ15" i="1"/>
  <c r="AU24" i="1"/>
  <c r="AQ21" i="1"/>
  <c r="W17" i="1"/>
  <c r="AQ14" i="1"/>
  <c r="AH24" i="1"/>
  <c r="V18" i="1"/>
  <c r="AI15" i="1"/>
  <c r="AG20" i="1"/>
  <c r="AH14" i="1"/>
  <c r="AS11" i="1"/>
  <c r="AY21" i="1"/>
  <c r="V22" i="1"/>
  <c r="AH21" i="1"/>
  <c r="AZ14" i="1"/>
  <c r="BA18" i="1"/>
  <c r="AU20" i="1"/>
  <c r="AP17" i="1"/>
  <c r="AO12" i="1"/>
  <c r="AH10" i="1"/>
  <c r="AU11" i="1"/>
  <c r="AV21" i="1"/>
  <c r="AV17" i="1"/>
  <c r="AF23" i="1"/>
  <c r="X25" i="1"/>
  <c r="Z21" i="1"/>
  <c r="AQ18" i="1"/>
  <c r="AA15" i="1"/>
  <c r="AU25" i="1"/>
  <c r="AO19" i="1"/>
  <c r="AQ24" i="1"/>
  <c r="AQ22" i="1"/>
  <c r="U24" i="1"/>
  <c r="Y17" i="1"/>
  <c r="AR23" i="1"/>
  <c r="AG10" i="1"/>
  <c r="AC12" i="1"/>
  <c r="AT18" i="1"/>
  <c r="Y20" i="1"/>
  <c r="W20" i="1"/>
  <c r="AF10" i="1"/>
  <c r="AH22" i="1"/>
  <c r="AD18" i="1"/>
  <c r="AS15" i="1"/>
  <c r="BA16" i="1"/>
  <c r="AG12" i="1"/>
  <c r="AS18" i="1"/>
  <c r="AV20" i="1"/>
  <c r="AE13" i="1"/>
  <c r="AV16" i="1"/>
  <c r="U17" i="1"/>
  <c r="AW15" i="1"/>
  <c r="AP21" i="1"/>
  <c r="AT25" i="1"/>
  <c r="AQ23" i="1"/>
  <c r="Z16" i="1"/>
  <c r="AY22" i="1"/>
  <c r="W25" i="1"/>
  <c r="AA21" i="1"/>
  <c r="Y19" i="1"/>
  <c r="AP20" i="1"/>
  <c r="AD21" i="1"/>
  <c r="AV19" i="1"/>
  <c r="AR17" i="1"/>
  <c r="AI19" i="1"/>
  <c r="V15" i="1"/>
  <c r="AB24" i="1"/>
  <c r="AR11" i="1"/>
  <c r="AH20" i="1"/>
  <c r="Y15" i="1"/>
  <c r="AF11" i="1"/>
  <c r="AE15" i="1"/>
  <c r="X22" i="1"/>
  <c r="W13" i="1"/>
  <c r="AA22" i="1"/>
  <c r="AD17" i="1"/>
  <c r="AB14" i="1"/>
  <c r="V14" i="1"/>
  <c r="Z12" i="1"/>
  <c r="AQ12" i="1"/>
  <c r="AW13" i="1"/>
  <c r="V11" i="1"/>
  <c r="X23" i="1"/>
  <c r="AB11" i="1"/>
  <c r="AE17" i="1"/>
  <c r="V16" i="1"/>
  <c r="AS19" i="1"/>
  <c r="AS17" i="1"/>
  <c r="AH11" i="1"/>
  <c r="Z13" i="1"/>
  <c r="AX17" i="1"/>
  <c r="X10" i="1"/>
  <c r="U15" i="1"/>
  <c r="AQ15" i="1"/>
  <c r="AT15" i="1"/>
  <c r="AS20" i="1"/>
  <c r="AQ20" i="1"/>
  <c r="AE25" i="1"/>
  <c r="AB20" i="1"/>
  <c r="BA25" i="1"/>
  <c r="W24" i="1"/>
  <c r="AP13" i="1"/>
  <c r="X18" i="1"/>
  <c r="AB10" i="1"/>
  <c r="AQ30" i="1" l="1"/>
  <c r="AQ27" i="1" s="1"/>
  <c r="AQ31" i="1"/>
  <c r="Y31" i="1"/>
  <c r="Y30" i="1"/>
  <c r="Y27" i="1" s="1"/>
  <c r="AR30" i="1"/>
  <c r="AR27" i="1" s="1"/>
  <c r="AR31" i="1"/>
  <c r="AU31" i="1"/>
  <c r="AU30" i="1"/>
  <c r="AI30" i="1"/>
  <c r="AI31" i="1"/>
  <c r="AT31" i="1"/>
  <c r="AT30" i="1"/>
  <c r="X30" i="1"/>
  <c r="X27" i="1" s="1"/>
  <c r="X31" i="1"/>
  <c r="AX31" i="1"/>
  <c r="AX30" i="1"/>
  <c r="AX27" i="1" s="1"/>
  <c r="AY31" i="1"/>
  <c r="AY30" i="1"/>
  <c r="AY27" i="1" s="1"/>
  <c r="AH30" i="1"/>
  <c r="AH27" i="1" s="1"/>
  <c r="AH31" i="1"/>
  <c r="AW30" i="1"/>
  <c r="AW27" i="1" s="1"/>
  <c r="AW31" i="1"/>
  <c r="AA31" i="1"/>
  <c r="AA30" i="1"/>
  <c r="V31" i="1"/>
  <c r="V30" i="1"/>
  <c r="V27" i="1" s="1"/>
  <c r="AB31" i="1"/>
  <c r="AB30" i="1"/>
  <c r="AE31" i="1"/>
  <c r="AE30" i="1"/>
  <c r="AE27" i="1" s="1"/>
  <c r="AZ30" i="1"/>
  <c r="AZ31" i="1"/>
  <c r="W30" i="1"/>
  <c r="W27" i="1" s="1"/>
  <c r="W31" i="1"/>
  <c r="AF31" i="1"/>
  <c r="AF30" i="1"/>
  <c r="AF27" i="1" s="1"/>
  <c r="AS30" i="1"/>
  <c r="AS27" i="1" s="1"/>
  <c r="AS31" i="1"/>
  <c r="AD31" i="1"/>
  <c r="AD30" i="1"/>
  <c r="AD27" i="1" s="1"/>
  <c r="AV30" i="1"/>
  <c r="AV27" i="1" s="1"/>
  <c r="AV31" i="1"/>
  <c r="BA30" i="1"/>
  <c r="BA27" i="1" s="1"/>
  <c r="BA31" i="1"/>
  <c r="AP31" i="1"/>
  <c r="AP30" i="1"/>
  <c r="AP27" i="1" s="1"/>
  <c r="AG30" i="1"/>
  <c r="AG27" i="1" s="1"/>
  <c r="AG31" i="1"/>
  <c r="AC30" i="1"/>
  <c r="AC27" i="1" s="1"/>
  <c r="AC31" i="1"/>
  <c r="Z31" i="1"/>
  <c r="Z30" i="1"/>
  <c r="Z27" i="1" s="1"/>
  <c r="Z29" i="1" l="1"/>
  <c r="Z28" i="1"/>
  <c r="D51" i="26"/>
  <c r="N90" i="8"/>
  <c r="P111" i="8"/>
  <c r="N52" i="26"/>
  <c r="N51" i="26"/>
  <c r="P110" i="8"/>
  <c r="AA27" i="1"/>
  <c r="AA29" i="1" s="1"/>
  <c r="AX29" i="1"/>
  <c r="AX28" i="1"/>
  <c r="L49" i="26"/>
  <c r="N108" i="8"/>
  <c r="AT27" i="1"/>
  <c r="AT29" i="1" s="1"/>
  <c r="AU27" i="1"/>
  <c r="AU29" i="1" s="1"/>
  <c r="Y29" i="1"/>
  <c r="Y28" i="1"/>
  <c r="D50" i="26"/>
  <c r="N89" i="8"/>
  <c r="F51" i="26"/>
  <c r="P90" i="8"/>
  <c r="AG29" i="1"/>
  <c r="L38" i="26"/>
  <c r="AG28" i="1"/>
  <c r="N97" i="8"/>
  <c r="BA29" i="1"/>
  <c r="L52" i="26"/>
  <c r="BA28" i="1"/>
  <c r="N111" i="8"/>
  <c r="N35" i="26"/>
  <c r="P94" i="8"/>
  <c r="N37" i="26"/>
  <c r="P96" i="8"/>
  <c r="AZ27" i="1"/>
  <c r="AZ29" i="1" s="1"/>
  <c r="N33" i="26"/>
  <c r="P92" i="8"/>
  <c r="P91" i="8"/>
  <c r="F52" i="26"/>
  <c r="AH29" i="1"/>
  <c r="N98" i="8"/>
  <c r="L39" i="26"/>
  <c r="AH28" i="1"/>
  <c r="P108" i="8"/>
  <c r="N49" i="26"/>
  <c r="N45" i="26"/>
  <c r="P104" i="8"/>
  <c r="P105" i="8"/>
  <c r="N46" i="26"/>
  <c r="P89" i="8"/>
  <c r="F50" i="26"/>
  <c r="AD29" i="1"/>
  <c r="M35" i="26" s="1"/>
  <c r="N94" i="8"/>
  <c r="AD28" i="1"/>
  <c r="L35" i="26"/>
  <c r="O94" i="8"/>
  <c r="P98" i="8"/>
  <c r="N39" i="26"/>
  <c r="P93" i="8"/>
  <c r="N34" i="26"/>
  <c r="AP29" i="1"/>
  <c r="L41" i="26"/>
  <c r="AP28" i="1"/>
  <c r="N100" i="8"/>
  <c r="N47" i="26"/>
  <c r="P106" i="8"/>
  <c r="P103" i="8"/>
  <c r="N44" i="26"/>
  <c r="F48" i="26"/>
  <c r="P87" i="8"/>
  <c r="AE29" i="1"/>
  <c r="N95" i="8"/>
  <c r="L36" i="26"/>
  <c r="AE28" i="1"/>
  <c r="V29" i="1"/>
  <c r="D47" i="26"/>
  <c r="V28" i="1"/>
  <c r="N86" i="8"/>
  <c r="P107" i="8"/>
  <c r="N48" i="26"/>
  <c r="AY29" i="1"/>
  <c r="AY28" i="1"/>
  <c r="L50" i="26"/>
  <c r="N109" i="8"/>
  <c r="F49" i="26"/>
  <c r="P88" i="8"/>
  <c r="P99" i="8"/>
  <c r="N40" i="26"/>
  <c r="N43" i="26"/>
  <c r="P102" i="8"/>
  <c r="P101" i="8"/>
  <c r="N42" i="26"/>
  <c r="N38" i="26"/>
  <c r="P97" i="8"/>
  <c r="AF29" i="1"/>
  <c r="AF28" i="1"/>
  <c r="N96" i="8"/>
  <c r="L37" i="26"/>
  <c r="AB27" i="1"/>
  <c r="AB29" i="1" s="1"/>
  <c r="AC29" i="1"/>
  <c r="L34" i="26"/>
  <c r="AC28" i="1"/>
  <c r="N93" i="8"/>
  <c r="P100" i="8"/>
  <c r="N41" i="26"/>
  <c r="AV29" i="1"/>
  <c r="AV28" i="1"/>
  <c r="N106" i="8"/>
  <c r="L47" i="26"/>
  <c r="AS29" i="1"/>
  <c r="L44" i="26"/>
  <c r="N103" i="8"/>
  <c r="AS28" i="1"/>
  <c r="W29" i="1"/>
  <c r="N87" i="8"/>
  <c r="D48" i="26"/>
  <c r="W28" i="1"/>
  <c r="P95" i="8"/>
  <c r="N36" i="26"/>
  <c r="P86" i="8"/>
  <c r="F47" i="26"/>
  <c r="AW29" i="1"/>
  <c r="N107" i="8"/>
  <c r="AW28" i="1"/>
  <c r="L48" i="26"/>
  <c r="P109" i="8"/>
  <c r="N50" i="26"/>
  <c r="X29" i="1"/>
  <c r="X28" i="1"/>
  <c r="N88" i="8"/>
  <c r="D49" i="26"/>
  <c r="AI27" i="1"/>
  <c r="AR29" i="1"/>
  <c r="L43" i="26"/>
  <c r="N102" i="8"/>
  <c r="AR28" i="1"/>
  <c r="AQ29" i="1"/>
  <c r="AQ28" i="1"/>
  <c r="N101" i="8"/>
  <c r="L42" i="26"/>
  <c r="L51" i="1" l="1" a="1"/>
  <c r="L51" i="1" s="1"/>
  <c r="AO34" i="1"/>
  <c r="L65" i="1" a="1"/>
  <c r="L65" i="1" s="1"/>
  <c r="M46" i="26"/>
  <c r="O105" i="8"/>
  <c r="E52" i="26"/>
  <c r="O91" i="8"/>
  <c r="O109" i="8"/>
  <c r="M50" i="26"/>
  <c r="O86" i="8"/>
  <c r="E47" i="26"/>
  <c r="M33" i="26"/>
  <c r="O92" i="8"/>
  <c r="O98" i="8"/>
  <c r="M39" i="26"/>
  <c r="O89" i="8"/>
  <c r="E50" i="26"/>
  <c r="N104" i="8"/>
  <c r="L45" i="26"/>
  <c r="AT28" i="1"/>
  <c r="O108" i="8"/>
  <c r="M49" i="26"/>
  <c r="O88" i="8"/>
  <c r="E49" i="26"/>
  <c r="M36" i="26"/>
  <c r="O95" i="8"/>
  <c r="O100" i="8"/>
  <c r="J65" i="1" a="1"/>
  <c r="J65" i="1" s="1"/>
  <c r="AO33" i="1"/>
  <c r="M41" i="26"/>
  <c r="O104" i="8"/>
  <c r="M45" i="26"/>
  <c r="O101" i="8"/>
  <c r="M42" i="26"/>
  <c r="O102" i="8"/>
  <c r="M43" i="26"/>
  <c r="M48" i="26"/>
  <c r="O107" i="8"/>
  <c r="E48" i="26"/>
  <c r="O87" i="8"/>
  <c r="O103" i="8"/>
  <c r="M44" i="26"/>
  <c r="M47" i="26"/>
  <c r="O106" i="8"/>
  <c r="AB28" i="1"/>
  <c r="L33" i="26"/>
  <c r="N92" i="8"/>
  <c r="M37" i="26"/>
  <c r="O96" i="8"/>
  <c r="M51" i="26"/>
  <c r="O110" i="8"/>
  <c r="AI28" i="1"/>
  <c r="N99" i="8"/>
  <c r="L40" i="26"/>
  <c r="M34" i="26"/>
  <c r="O93" i="8"/>
  <c r="AI29" i="1"/>
  <c r="U34" i="1"/>
  <c r="N110" i="8"/>
  <c r="L51" i="26"/>
  <c r="AZ28" i="1"/>
  <c r="M52" i="26"/>
  <c r="O111" i="8"/>
  <c r="M38" i="26"/>
  <c r="O97" i="8"/>
  <c r="N105" i="8"/>
  <c r="AU28" i="1"/>
  <c r="L46" i="26"/>
  <c r="N91" i="8"/>
  <c r="D52" i="26"/>
  <c r="AA28" i="1"/>
  <c r="E51" i="26"/>
  <c r="O90" i="8"/>
  <c r="H33" i="1" l="1"/>
  <c r="M40" i="26"/>
  <c r="O99" i="8"/>
  <c r="U33" i="1"/>
  <c r="F34" i="1" s="1"/>
  <c r="J51" i="1" a="1"/>
  <c r="J51" i="1" s="1"/>
  <c r="D33" i="1" s="1"/>
  <c r="J34" i="1"/>
  <c r="K34" i="1"/>
  <c r="N24" i="26" l="1"/>
  <c r="L4" i="8"/>
  <c r="G10" i="8"/>
  <c r="L5" i="8"/>
  <c r="C19" i="5"/>
  <c r="B86" i="8" s="1" a="1"/>
  <c r="B86" i="8" s="1"/>
  <c r="D72" i="8" s="1" a="1"/>
  <c r="D72" i="8" s="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tc={66242CFC-B5EF-4097-B3D5-3AFE7E7374B3}</author>
  </authors>
  <commentList>
    <comment ref="G27" authorId="0" shapeId="0" xr:uid="{66242CFC-B5EF-4097-B3D5-3AFE7E7374B3}">
      <text>
        <t>[Threaded comment]
Your version of Excel allows you to read this threaded comment; however, any edits to it will get removed if the file is opened in a newer version of Excel. Learn more: https://go.microsoft.com/fwlink/?linkid=870924
Comment:
    This is just =G28…… should it ever be different?</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Johnny Vogt</author>
  </authors>
  <commentList>
    <comment ref="E6" authorId="0" shapeId="0" xr:uid="{00000000-0006-0000-0500-000001000000}">
      <text>
        <r>
          <rPr>
            <b/>
            <sz val="9"/>
            <color indexed="81"/>
            <rFont val="Tahoma"/>
            <family val="2"/>
          </rPr>
          <t>IF THE UNIT UNDER TEST HAS A RESOLUTION OF 1 DEGREE, enter a "0" in the blank cell under the column for that instrument's readings</t>
        </r>
        <r>
          <rPr>
            <sz val="9"/>
            <color indexed="81"/>
            <rFont val="Tahoma"/>
            <family val="2"/>
          </rPr>
          <t xml:space="preserve">
</t>
        </r>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K</author>
  </authors>
  <commentList>
    <comment ref="A1" authorId="0" shapeId="0" xr:uid="{00000000-0006-0000-0B00-000001000000}">
      <text>
        <r>
          <rPr>
            <b/>
            <sz val="9"/>
            <color indexed="81"/>
            <rFont val="Tahoma"/>
            <family val="2"/>
          </rPr>
          <t>K:</t>
        </r>
        <r>
          <rPr>
            <sz val="9"/>
            <color indexed="81"/>
            <rFont val="Tahoma"/>
            <family val="2"/>
          </rPr>
          <t xml:space="preserve">
Set Point</t>
        </r>
      </text>
    </comment>
    <comment ref="B1" authorId="0" shapeId="0" xr:uid="{00000000-0006-0000-0B00-000002000000}">
      <text>
        <r>
          <rPr>
            <b/>
            <sz val="9"/>
            <color indexed="81"/>
            <rFont val="Tahoma"/>
            <family val="2"/>
          </rPr>
          <t>K:</t>
        </r>
        <r>
          <rPr>
            <sz val="9"/>
            <color indexed="81"/>
            <rFont val="Tahoma"/>
            <family val="2"/>
          </rPr>
          <t xml:space="preserve">
Number of Points</t>
        </r>
      </text>
    </comment>
    <comment ref="A2" authorId="0" shapeId="0" xr:uid="{00000000-0006-0000-0B00-000003000000}">
      <text>
        <r>
          <rPr>
            <b/>
            <sz val="9"/>
            <color indexed="81"/>
            <rFont val="Tahoma"/>
            <family val="2"/>
          </rPr>
          <t>K:</t>
        </r>
        <r>
          <rPr>
            <sz val="9"/>
            <color indexed="81"/>
            <rFont val="Tahoma"/>
            <family val="2"/>
          </rPr>
          <t xml:space="preserve">
+/- Tolerance</t>
        </r>
      </text>
    </comment>
    <comment ref="B2" authorId="0" shapeId="0" xr:uid="{00000000-0006-0000-0B00-000004000000}">
      <text>
        <r>
          <rPr>
            <b/>
            <sz val="9"/>
            <color indexed="81"/>
            <rFont val="Tahoma"/>
            <family val="2"/>
          </rPr>
          <t>K:</t>
        </r>
        <r>
          <rPr>
            <sz val="9"/>
            <color indexed="81"/>
            <rFont val="Tahoma"/>
            <family val="2"/>
          </rPr>
          <t xml:space="preserve">
Maximum in Tolerance</t>
        </r>
      </text>
    </comment>
    <comment ref="A33" authorId="0" shapeId="0" xr:uid="{00000000-0006-0000-0B00-000005000000}">
      <text>
        <r>
          <rPr>
            <b/>
            <sz val="9"/>
            <color indexed="81"/>
            <rFont val="Tahoma"/>
            <family val="2"/>
          </rPr>
          <t>K:</t>
        </r>
        <r>
          <rPr>
            <sz val="9"/>
            <color indexed="81"/>
            <rFont val="Tahoma"/>
            <family val="2"/>
          </rPr>
          <t xml:space="preserve">
Hotest Recorded in Survey Temp</t>
        </r>
      </text>
    </comment>
    <comment ref="A34" authorId="0" shapeId="0" xr:uid="{00000000-0006-0000-0B00-000006000000}">
      <text>
        <r>
          <rPr>
            <b/>
            <sz val="9"/>
            <color indexed="81"/>
            <rFont val="Tahoma"/>
            <family val="2"/>
          </rPr>
          <t>K:</t>
        </r>
        <r>
          <rPr>
            <sz val="9"/>
            <color indexed="81"/>
            <rFont val="Tahoma"/>
            <family val="2"/>
          </rPr>
          <t xml:space="preserve">
Lowest Recorded in Survey Temp</t>
        </r>
      </text>
    </comment>
    <comment ref="F34" authorId="0" shapeId="0" xr:uid="{00000000-0006-0000-0B00-000007000000}">
      <text>
        <r>
          <rPr>
            <b/>
            <sz val="9"/>
            <color indexed="81"/>
            <rFont val="Tahoma"/>
            <family val="2"/>
          </rPr>
          <t>K:</t>
        </r>
        <r>
          <rPr>
            <sz val="9"/>
            <color indexed="81"/>
            <rFont val="Tahoma"/>
            <family val="2"/>
          </rPr>
          <t xml:space="preserve">
Maximum Recorded Survey Temp</t>
        </r>
      </text>
    </comment>
    <comment ref="J34" authorId="0" shapeId="0" xr:uid="{00000000-0006-0000-0B00-000008000000}">
      <text>
        <r>
          <rPr>
            <b/>
            <sz val="9"/>
            <color indexed="81"/>
            <rFont val="Tahoma"/>
            <family val="2"/>
          </rPr>
          <t>K:</t>
        </r>
        <r>
          <rPr>
            <sz val="9"/>
            <color indexed="81"/>
            <rFont val="Tahoma"/>
            <family val="2"/>
          </rPr>
          <t xml:space="preserve">
Minimum Temp Points 1-28</t>
        </r>
      </text>
    </comment>
    <comment ref="K34" authorId="0" shapeId="0" xr:uid="{00000000-0006-0000-0B00-000009000000}">
      <text>
        <r>
          <rPr>
            <b/>
            <sz val="9"/>
            <color indexed="81"/>
            <rFont val="Tahoma"/>
            <family val="2"/>
          </rPr>
          <t>K:</t>
        </r>
        <r>
          <rPr>
            <sz val="9"/>
            <color indexed="81"/>
            <rFont val="Tahoma"/>
            <family val="2"/>
          </rPr>
          <t xml:space="preserve">
Minimum Temp Points 1-40</t>
        </r>
      </text>
    </comment>
    <comment ref="A52" authorId="0" shapeId="0" xr:uid="{00000000-0006-0000-0B00-00000A000000}">
      <text>
        <r>
          <rPr>
            <b/>
            <sz val="9"/>
            <color indexed="81"/>
            <rFont val="Tahoma"/>
            <family val="2"/>
          </rPr>
          <t>K:</t>
        </r>
        <r>
          <rPr>
            <sz val="9"/>
            <color indexed="81"/>
            <rFont val="Tahoma"/>
            <family val="2"/>
          </rPr>
          <t xml:space="preserve">
VBA Assigned Total Deviation</t>
        </r>
      </text>
    </comment>
    <comment ref="B52" authorId="0" shapeId="0" xr:uid="{00000000-0006-0000-0B00-00000B000000}">
      <text>
        <r>
          <rPr>
            <b/>
            <sz val="9"/>
            <color indexed="81"/>
            <rFont val="Tahoma"/>
            <family val="2"/>
          </rPr>
          <t>K:</t>
        </r>
        <r>
          <rPr>
            <sz val="9"/>
            <color indexed="81"/>
            <rFont val="Tahoma"/>
            <family val="2"/>
          </rPr>
          <t xml:space="preserve">
Overshoot Recorded Points 1-14
1=True
0=False</t>
        </r>
      </text>
    </comment>
    <comment ref="C52" authorId="0" shapeId="0" xr:uid="{00000000-0006-0000-0B00-00000C000000}">
      <text>
        <r>
          <rPr>
            <b/>
            <sz val="9"/>
            <color indexed="81"/>
            <rFont val="Tahoma"/>
            <family val="2"/>
          </rPr>
          <t>K:</t>
        </r>
        <r>
          <rPr>
            <sz val="9"/>
            <color indexed="81"/>
            <rFont val="Tahoma"/>
            <family val="2"/>
          </rPr>
          <t xml:space="preserve">
Overshoot Recorded  Points 15-28
1=True
0=False</t>
        </r>
      </text>
    </comment>
    <comment ref="D52" authorId="0" shapeId="0" xr:uid="{00000000-0006-0000-0B00-00000D000000}">
      <text>
        <r>
          <rPr>
            <b/>
            <sz val="9"/>
            <color indexed="81"/>
            <rFont val="Tahoma"/>
            <family val="2"/>
          </rPr>
          <t>K:</t>
        </r>
        <r>
          <rPr>
            <sz val="9"/>
            <color indexed="81"/>
            <rFont val="Tahoma"/>
            <family val="2"/>
          </rPr>
          <t xml:space="preserve">
Overshoot Recorded Points 29-40
1=True
0=False</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FAC58B16-7D50-453F-A241-56723D6430C3}" keepAlive="1" name="Query - AllDaqbookOffsets" description="Connection to the 'AllDaqbookOffsets' query in the workbook." type="5" refreshedVersion="8" background="1" saveData="1">
    <dbPr connection="Provider=Microsoft.Mashup.OleDb.1;Data Source=$Workbook$;Location=AllDaqbookOffsets;Extended Properties=&quot;&quot;" command="SELECT * FROM [AllDaqbookOffsets]"/>
    <extLst>
      <ext xmlns:x15="http://schemas.microsoft.com/office/spreadsheetml/2010/11/main" uri="{DE250136-89BD-433C-8126-D09CA5730AF9}">
        <x15:connection id="" excludeFromRefreshAll="1"/>
      </ext>
    </extLst>
  </connection>
  <connection id="2" xr16:uid="{45763089-A129-4C45-A4EE-81CA56D4000F}" keepAlive="1" name="Query - AssetPool" description="Connection to the 'AssetPool' query in the workbook." type="5" refreshedVersion="8" background="1" refreshOnLoad="1" saveData="1">
    <dbPr connection="Provider=Microsoft.Mashup.OleDb.1;Data Source=$Workbook$;Location=AssetPool;Extended Properties=&quot;&quot;" command="SELECT * FROM [AssetPool]"/>
  </connection>
  <connection id="3" xr16:uid="{7D2AF088-3223-4926-8CB6-D53EC18DCB7B}" keepAlive="1" name="Query - ClientAssets_GetAssetsByClientCompanyIdOLD" description="Connection to the 'ClientAssets_GetAssetsByClientCompanyIdOLD' query in the workbook." type="5" refreshedVersion="0" new="1" saveData="1">
    <dbPr connection="Provider=Microsoft.Mashup.OleDb.1;Data Source=$Workbook$;Location=ClientAssets_GetAssetsByClientCompanyIdOLD;Extended Properties=&quot;&quot;" command="SELECT * FROM [ClientAssets_GetAssetsByClientCompanyIdOLD]"/>
  </connection>
  <connection id="4" xr16:uid="{61F5B56A-4021-459B-AC2E-B1915B8981A1}" odcFile="C:\Users\rhyth\Documents\My Data Sources\Query - customers.odc" keepAlive="1" name="Query - customers" description="Connection to the 'customers' query in the workbook." type="5" refreshedVersion="8" refreshOnLoad="1" saveData="1">
    <dbPr connection="Provider=Microsoft.Mashup.OleDb.1;Data Source=$Workbook$;Location=customers;Extended Properties=&quot;&quot;" command="SELECT * FROM [customers]"/>
  </connection>
  <connection id="5" xr16:uid="{E0BE38CA-E62E-4693-8942-2BB56CB33AC9}" keepAlive="1" name="Query - DaqbookOffsets" description="Connection to the 'DaqbookOffsets' query in the workbook." type="5" refreshedVersion="8" background="1" saveData="1">
    <dbPr connection="Provider=Microsoft.Mashup.OleDb.1;Data Source=$Workbook$;Location=DaqbookOffsets;Extended Properties=&quot;&quot;" command="SELECT * FROM [DaqbookOffsets]"/>
  </connection>
  <connection id="6" xr16:uid="{6457D10A-F6EA-4712-B769-828B1B1716AF}" keepAlive="1" name="Query - DaqbookServiceRecord" description="Connection to the 'DaqbookServiceRecord' query in the workbook." type="5" refreshedVersion="8" background="1" saveData="1">
    <dbPr connection="Provider=Microsoft.Mashup.OleDb.1;Data Source=$Workbook$;Location=DaqbookServiceRecord;Extended Properties=&quot;&quot;" command="SELECT * FROM [DaqbookServiceRecord]"/>
  </connection>
  <connection id="7" xr16:uid="{58C3B5C9-BA31-44F5-953C-7472352394CC}" keepAlive="1" name="Query - Employee" description="Connection to the 'Employee' query in the workbook." type="5" refreshedVersion="8" refreshOnLoad="1">
    <dbPr connection="Provider=Microsoft.Mashup.OleDb.1;Data Source=$Workbook$;Location=Employee;Extended Properties=&quot;&quot;" command="SELECT * FROM [Employee]"/>
    <extLst>
      <ext xmlns:x15="http://schemas.microsoft.com/office/spreadsheetml/2010/11/main" uri="{DE250136-89BD-433C-8126-D09CA5730AF9}">
        <x15:connection id="" excludeFromRefreshAll="1"/>
      </ext>
    </extLst>
  </connection>
  <connection id="8" xr16:uid="{71CB3047-0EC1-4384-BF4A-1493ACE7AAA9}" keepAlive="1" name="Query - Employees" description="Connection to the 'Employees' query in the workbook." type="5" refreshedVersion="8" background="1" saveData="1">
    <dbPr connection="Provider=Microsoft.Mashup.OleDb.1;Data Source=$Workbook$;Location=Employees;Extended Properties=&quot;&quot;" command="SELECT * FROM [Employees]"/>
  </connection>
  <connection id="9" xr16:uid="{EA08FC75-9AB8-499A-A623-ACBF16547623}" keepAlive="1" name="Query - Header_Info" description="Connection to the 'Header_Info' query in the workbook." type="5" refreshedVersion="8" background="1" saveData="1">
    <dbPr connection="Provider=Microsoft.Mashup.OleDb.1;Data Source=$Workbook$;Location=Header_Info;Extended Properties=&quot;&quot;" command="SELECT * FROM [Header_Info]"/>
  </connection>
  <connection id="10" xr16:uid="{794F455A-B4B0-4FE2-B5FE-8A95B193F601}" keepAlive="1" name="Query - MUG" description="Connection to the 'MUG' query in the workbook." type="5" refreshedVersion="8" background="1" saveData="1">
    <dbPr connection="Provider=Microsoft.Mashup.OleDb.1;Data Source=$Workbook$;Location=MUG;Extended Properties=&quot;&quot;" command="SELECT * FROM [MUG]"/>
  </connection>
  <connection id="11" xr16:uid="{B4AA06F7-7523-40EC-B3A3-CFD5DF420553}" keepAlive="1" name="Query - Query1" description="Connection to the 'Query1' query in the workbook." type="5" refreshedVersion="8" background="1" saveData="1">
    <dbPr connection="Provider=Microsoft.Mashup.OleDb.1;Data Source=$Workbook$;Location=Query1;Extended Properties=&quot;&quot;" command="SELECT * FROM [Query1]"/>
  </connection>
  <connection id="12" xr16:uid="{1E0DA49F-AF37-44FF-B7B8-84F646F0391F}" keepAlive="1" name="Query - WireOffsets(1)" description="Connection to the 'WireOffsets' query in the workbook." type="5" refreshedVersion="8" background="1" saveData="1">
    <dbPr connection="Provider=Microsoft.Mashup.OleDb.1;Data Source=$Workbook$;Location=WireOffsets;Extended Properties=&quot;&quot;" command="SELECT * FROM [WireOffsets]"/>
  </connection>
  <connection id="13" xr16:uid="{B960DDB6-5D2B-4F20-B472-C70A7F1B771C}" keepAlive="1" name="Query - WireRanges" description="Connection to the 'WireRanges' query in the workbook." type="5" refreshedVersion="8" background="1" saveData="1">
    <dbPr connection="Provider=Microsoft.Mashup.OleDb.1;Data Source=$Workbook$;Location=WireRanges;Extended Properties=&quot;&quot;" command="SELECT * FROM [WireRanges]"/>
  </connection>
  <connection id="14" xr16:uid="{352D59BE-EFB7-4FA0-86B2-CC734B2098B8}" keepAlive="1" name="Query - WireSets" description="Connection to the 'WireSets' query in the workbook." type="5" refreshedVersion="8" background="1" saveData="1">
    <dbPr connection="Provider=Microsoft.Mashup.OleDb.1;Data Source=$Workbook$;Location=WireSets;Extended Properties=&quot;&quot;" command="SELECT * FROM [WireSets]"/>
  </connection>
  <connection id="15" xr16:uid="{BF29E205-E3F6-447E-A54A-2ACA8B2A646A}" odcFile="C:\Users\JeffHall\OneDrive - Johnson Gage and Inspection, Inc\Documents\My Data Sources\Query - WorkItemDetails.odc" keepAlive="1" name="Query - WorkItemDetails" description="Connection to the 'WorkItemDetails' query in the workbook." type="5" refreshedVersion="8" background="1" saveData="1">
    <dbPr connection="Provider=Microsoft.Mashup.OleDb.1;Data Source=$Workbook$;Location=WorkItemDetails;Extended Properties=&quot;&quot;" command="SELECT * FROM [WorkItemDetails]"/>
  </connection>
</connections>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<sst xmlns="http://schemas.openxmlformats.org/spreadsheetml/2006/main" count="1946" uniqueCount="921">
  <si>
    <t>Johnson Gage &amp; Inspection, Inc.</t>
  </si>
  <si>
    <t>LOW</t>
  </si>
  <si>
    <t>HIGH</t>
  </si>
  <si>
    <t>NORM</t>
  </si>
  <si>
    <t>Highest Deviation:</t>
  </si>
  <si>
    <t>Lowest Deviation:</t>
  </si>
  <si>
    <t xml:space="preserve">Date: </t>
  </si>
  <si>
    <t xml:space="preserve">Unit: </t>
  </si>
  <si>
    <t xml:space="preserve">Operator: </t>
  </si>
  <si>
    <t xml:space="preserve">Customer: </t>
  </si>
  <si>
    <t xml:space="preserve">Temperature: </t>
  </si>
  <si>
    <t>Avg SD:</t>
  </si>
  <si>
    <t>Base:</t>
  </si>
  <si>
    <t>Sum Sq:</t>
  </si>
  <si>
    <t>Uncert:</t>
  </si>
  <si>
    <t>Base No:</t>
  </si>
  <si>
    <t>Scope Unc.:</t>
  </si>
  <si>
    <t>Calc. Unc:</t>
  </si>
  <si>
    <t>Temperature Uniformity Survey Results</t>
  </si>
  <si>
    <t>Form 4010-5</t>
  </si>
  <si>
    <t>Temperature Uniformity Survey Comparison Readings Summary</t>
  </si>
  <si>
    <t>Comparison Interval:</t>
  </si>
  <si>
    <t>Tolerance:</t>
  </si>
  <si>
    <t>Test readings shown include all  correction factors.</t>
  </si>
  <si>
    <t>TUS Point #</t>
  </si>
  <si>
    <t>Item Probed:</t>
  </si>
  <si>
    <t>Time</t>
  </si>
  <si>
    <t>Deviation</t>
  </si>
  <si>
    <t xml:space="preserve">COMMENTS:  </t>
  </si>
  <si>
    <t>None.</t>
  </si>
  <si>
    <t xml:space="preserve">RESULTS:  </t>
  </si>
  <si>
    <t>ACCEPTED</t>
  </si>
  <si>
    <t>The information shown above is derived from data collected during the Temperature Uniformity Survey along with process sensor readings recorded by the TUS inspector. The purpose of this summary is to provide objective evidence of comparison between process sensors and the adjacent test sensors and a statement of whether these results conform to the specified tolerances.  This summary shall be considered part of the accompanying  TUS report.</t>
  </si>
  <si>
    <t>Orig. 8-2-12</t>
  </si>
  <si>
    <t/>
  </si>
  <si>
    <t>Form 4005-1</t>
  </si>
  <si>
    <t>Orig. 9-17-07</t>
  </si>
  <si>
    <t>Temperature Uniformity Results</t>
  </si>
  <si>
    <t>Date:</t>
  </si>
  <si>
    <t>Operator:</t>
  </si>
  <si>
    <t>Test Sensor Correction Factors</t>
  </si>
  <si>
    <t>Inst. CFs:</t>
  </si>
  <si>
    <t>T/C CFs:</t>
  </si>
  <si>
    <t>Cumulative CFs:</t>
  </si>
  <si>
    <t>.</t>
  </si>
  <si>
    <t>Expendable Wire Data</t>
  </si>
  <si>
    <t>Wire Set S/Ns:</t>
  </si>
  <si>
    <t>Cal. Date:</t>
  </si>
  <si>
    <t>Retire Date:</t>
  </si>
  <si>
    <t>Total Uses:*</t>
  </si>
  <si>
    <t>Max. Temp.:*</t>
  </si>
  <si>
    <t>*Note: Usage data for a wire set reflects greatest usage for any individual T/C prior to this test.</t>
  </si>
  <si>
    <t>Unit:</t>
  </si>
  <si>
    <t>Customer:</t>
  </si>
  <si>
    <t>Temperature:</t>
  </si>
  <si>
    <t>Reading 1</t>
  </si>
  <si>
    <t>Reading 2</t>
  </si>
  <si>
    <t>Reading 3</t>
  </si>
  <si>
    <t>Reading 4</t>
  </si>
  <si>
    <t>J2</t>
  </si>
  <si>
    <t>Item Name</t>
  </si>
  <si>
    <t>Comparison Report Data</t>
  </si>
  <si>
    <t>TUS Worksheet for</t>
  </si>
  <si>
    <t>UNIFORMITY SUMMARY</t>
  </si>
  <si>
    <t>page 1</t>
  </si>
  <si>
    <t>page 2</t>
  </si>
  <si>
    <t>page 3</t>
  </si>
  <si>
    <t xml:space="preserve">Time Abs </t>
  </si>
  <si>
    <t>Survey End Time:</t>
  </si>
  <si>
    <t>Daqbook SN:</t>
  </si>
  <si>
    <t>J1</t>
  </si>
  <si>
    <t>K4</t>
  </si>
  <si>
    <t>DAQBook Info</t>
  </si>
  <si>
    <t>Total Uses:</t>
  </si>
  <si>
    <t>Max Temp:</t>
  </si>
  <si>
    <t>Wire Type:</t>
  </si>
  <si>
    <t>T/C's In:</t>
  </si>
  <si>
    <t>1st Pt In Tol:</t>
  </si>
  <si>
    <t>All Pts In Tol:</t>
  </si>
  <si>
    <t>TUS Start Time:</t>
  </si>
  <si>
    <t># of Test Points:</t>
  </si>
  <si>
    <t>Set Point:</t>
  </si>
  <si>
    <t>DaqBook:</t>
  </si>
  <si>
    <t>Comp Interval:</t>
  </si>
  <si>
    <t>Humidty %:</t>
  </si>
  <si>
    <t>Wire Type</t>
  </si>
  <si>
    <t>"K" CHROMEL-ALUMEL</t>
  </si>
  <si>
    <t>"N" NICROSIL-NISIL</t>
  </si>
  <si>
    <t>"J" IRON-CONSTANTAN</t>
  </si>
  <si>
    <t>Calibration Date:</t>
  </si>
  <si>
    <t>Paste_Data_for_Channels_1-14_Below_the_line</t>
  </si>
  <si>
    <t>Paste_Data_for_Channels_15-28_Below_the_line</t>
  </si>
  <si>
    <t>Paste_Data_for_Channels_29-40_Below_the_line</t>
  </si>
  <si>
    <t>NO_DATA</t>
  </si>
  <si>
    <t>Lag Time:</t>
  </si>
  <si>
    <t>Temperature Uniformity Survey: Points 29-40</t>
  </si>
  <si>
    <t>Temperature Uniformity Survey: Points 15-28</t>
  </si>
  <si>
    <t>Temperature Uniformity Survey: Points 1-14</t>
  </si>
  <si>
    <t>Overshoot:</t>
  </si>
  <si>
    <t>Results:</t>
  </si>
  <si>
    <t>Recovery:</t>
  </si>
  <si>
    <t>N/A</t>
  </si>
  <si>
    <t>Survey Length:</t>
  </si>
  <si>
    <t>Tracability #:</t>
  </si>
  <si>
    <t>836/277169</t>
  </si>
  <si>
    <t>U187370</t>
  </si>
  <si>
    <t>Traceability#:</t>
  </si>
  <si>
    <t>DaqBook Date Due</t>
  </si>
  <si>
    <t>DaqBook Date Tested:</t>
  </si>
  <si>
    <t>DaqBook Traceability No:</t>
  </si>
  <si>
    <t>T/C Name</t>
  </si>
  <si>
    <t>Point #</t>
  </si>
  <si>
    <t>Thermocouple Info</t>
  </si>
  <si>
    <t>Traceability Numbers (Wire)</t>
  </si>
  <si>
    <t>Traceability Numbers (DaqBooks)</t>
  </si>
  <si>
    <t>55429AT</t>
  </si>
  <si>
    <t>56414AT</t>
  </si>
  <si>
    <t>Equip Load:</t>
  </si>
  <si>
    <t>Comments-1:</t>
  </si>
  <si>
    <t>Comments-2:</t>
  </si>
  <si>
    <t>Comments-3:</t>
  </si>
  <si>
    <t>ALERTS</t>
  </si>
  <si>
    <t>Total Deviation:</t>
  </si>
  <si>
    <t>Temperature Uniformity Information</t>
  </si>
  <si>
    <t>KEY</t>
  </si>
  <si>
    <t>In Tolerence</t>
  </si>
  <si>
    <t>58056AT</t>
  </si>
  <si>
    <t>Interpolated Correction Factors</t>
  </si>
  <si>
    <t>Matt Coleman</t>
  </si>
  <si>
    <t>59179AT</t>
  </si>
  <si>
    <t>J3</t>
  </si>
  <si>
    <t>TUS_Worksheet</t>
  </si>
  <si>
    <t>Interp</t>
  </si>
  <si>
    <t>K5</t>
  </si>
  <si>
    <t>N2</t>
  </si>
  <si>
    <t>W207672</t>
  </si>
  <si>
    <t>Pyro</t>
  </si>
  <si>
    <t>Johnson Gage and Inspection, Inc.</t>
  </si>
  <si>
    <t>5920 W 21ST St. N. Wichita, KS 67205</t>
  </si>
  <si>
    <t>Phone 316-943-7532   Fax 316-944-6256</t>
  </si>
  <si>
    <t>Certification Packet Contents</t>
  </si>
  <si>
    <t>Date Tested:</t>
  </si>
  <si>
    <t>Page</t>
  </si>
  <si>
    <t>Document</t>
  </si>
  <si>
    <t>Packet Content</t>
  </si>
  <si>
    <t>Certification</t>
  </si>
  <si>
    <t>Thermocouple Layout</t>
  </si>
  <si>
    <t>Supplemental Temperature Results</t>
  </si>
  <si>
    <t>Recorder Chart</t>
  </si>
  <si>
    <t>TUS Worksheet</t>
  </si>
  <si>
    <t>Thermocouple Wire Certification</t>
  </si>
  <si>
    <t>Comparison Readings Summary</t>
  </si>
  <si>
    <t>Load Type:</t>
  </si>
  <si>
    <t>Load Type</t>
  </si>
  <si>
    <t>Hot</t>
  </si>
  <si>
    <t>Cold</t>
  </si>
  <si>
    <t>Salt</t>
  </si>
  <si>
    <t>JGI Order #:</t>
  </si>
  <si>
    <t>TEMP</t>
  </si>
  <si>
    <t>Spec Class</t>
  </si>
  <si>
    <t>Class B Per BAC</t>
  </si>
  <si>
    <t>Class C Per AMS</t>
  </si>
  <si>
    <t>TIME</t>
  </si>
  <si>
    <r>
      <t xml:space="preserve">Survey is </t>
    </r>
    <r>
      <rPr>
        <b/>
        <i/>
        <u/>
        <sz val="8"/>
        <rFont val="Arial"/>
        <family val="2"/>
      </rPr>
      <t>Underlined</t>
    </r>
  </si>
  <si>
    <t>In 1/2 Tolerance</t>
  </si>
  <si>
    <t>Above Tolerance (HOT)</t>
  </si>
  <si>
    <t>Below Tolerance(COLD)</t>
  </si>
  <si>
    <t>Wire Set Correction Factors</t>
  </si>
  <si>
    <t>All correction factors rounded in accordance with ASTM E29-2013</t>
  </si>
  <si>
    <t>Ed Johnson</t>
  </si>
  <si>
    <t>Data Acquisition System Certification</t>
  </si>
  <si>
    <t>SAT TOL</t>
  </si>
  <si>
    <t>TUS Tol</t>
  </si>
  <si>
    <t>AMS</t>
  </si>
  <si>
    <t>Class</t>
  </si>
  <si>
    <t>Wire Lot #:</t>
  </si>
  <si>
    <t># of Wires Used:</t>
  </si>
  <si>
    <t>Wire Lot</t>
  </si>
  <si>
    <t>Correction Factor</t>
  </si>
  <si>
    <t>Num Points</t>
  </si>
  <si>
    <t>K6</t>
  </si>
  <si>
    <t>High Limit Testing</t>
  </si>
  <si>
    <t xml:space="preserve">°F and oven setpoint raised until high limit system activated at </t>
  </si>
  <si>
    <t>°F .</t>
  </si>
  <si>
    <t>1)     After TUS, high limit set at</t>
  </si>
  <si>
    <t>2) After TUS, high limit reading</t>
  </si>
  <si>
    <t>(Enter values for either 1 or 2 or none. Do not fill in information for both options 1 and 2)</t>
  </si>
  <si>
    <t>and high limit setpoint lowered until activation at</t>
  </si>
  <si>
    <t># Seconds (Sim Load Hot):</t>
  </si>
  <si>
    <t>Load Entry (Sim Load Hot):</t>
  </si>
  <si>
    <t>SIM Load Hot</t>
  </si>
  <si>
    <t>Scott Porter</t>
  </si>
  <si>
    <t>Survey Start Time:</t>
  </si>
  <si>
    <t>Sheets to Print</t>
  </si>
  <si>
    <t>Packet_Content</t>
  </si>
  <si>
    <t>Comparison_Report</t>
  </si>
  <si>
    <t>Data_Sheet</t>
  </si>
  <si>
    <t>Number of Rows per Test Time</t>
  </si>
  <si>
    <t>Std Error of Mean</t>
  </si>
  <si>
    <t>Student "T" factor</t>
  </si>
  <si>
    <t>corrected A</t>
  </si>
  <si>
    <t>corrected:</t>
  </si>
  <si>
    <t>Calibrator, Digital - Fluke 726 Field Calibrator, Digital - 9546011</t>
  </si>
  <si>
    <t>FC14</t>
  </si>
  <si>
    <t>Calibrator, Digital - Fluke 726 Field Potentiometer - 1611806</t>
  </si>
  <si>
    <t>FC9</t>
  </si>
  <si>
    <t>Calibrator, Digital - Fluke 726 Field Potentiometer - 1880060</t>
  </si>
  <si>
    <t>FC6</t>
  </si>
  <si>
    <t>Calibrator, Digital - Fluke 726 Field Potentiometer - 2916025</t>
  </si>
  <si>
    <t>FC10</t>
  </si>
  <si>
    <t>Calibrator, Digital - Fluke 726 Field Potentiometer - 9728087</t>
  </si>
  <si>
    <t>FC7</t>
  </si>
  <si>
    <t>Resistor Calibration Kit - Atlas Ci3000 Weather-Ometer Calibration Kit - RCK1</t>
  </si>
  <si>
    <t>RCK1</t>
  </si>
  <si>
    <t>THG19</t>
  </si>
  <si>
    <t>THG22</t>
  </si>
  <si>
    <t>SAT1</t>
  </si>
  <si>
    <t>SAT Probes</t>
  </si>
  <si>
    <t>TP120</t>
  </si>
  <si>
    <t>LTS3</t>
  </si>
  <si>
    <t>Thermocouple Probes - Salt Bath - SBP Set 1</t>
  </si>
  <si>
    <t>SBP1</t>
  </si>
  <si>
    <t>SBP Set 1</t>
  </si>
  <si>
    <t>Thermocouple Probes - Salt Bath - SBP Set 2</t>
  </si>
  <si>
    <t>SBP2</t>
  </si>
  <si>
    <t>SBP Set 2</t>
  </si>
  <si>
    <t>ENV1</t>
  </si>
  <si>
    <t>J01-J24</t>
  </si>
  <si>
    <t>J101-J110</t>
  </si>
  <si>
    <t>J111-J120</t>
  </si>
  <si>
    <t>J201-J214</t>
  </si>
  <si>
    <t>J301-J314</t>
  </si>
  <si>
    <t>J501-J514</t>
  </si>
  <si>
    <t>J601-J610</t>
  </si>
  <si>
    <t>J701-J710</t>
  </si>
  <si>
    <t>TWJ80</t>
  </si>
  <si>
    <t>J801-J816</t>
  </si>
  <si>
    <t>K101 - K110</t>
  </si>
  <si>
    <t>K201-K214</t>
  </si>
  <si>
    <t>K301-K314</t>
  </si>
  <si>
    <t>K401-K416</t>
  </si>
  <si>
    <t>K521-K534</t>
  </si>
  <si>
    <t>K601-K610</t>
  </si>
  <si>
    <t>K701-K710</t>
  </si>
  <si>
    <t>K801-K816</t>
  </si>
  <si>
    <t>K901-K910</t>
  </si>
  <si>
    <t>N101-N112</t>
  </si>
  <si>
    <t>N21-N34</t>
  </si>
  <si>
    <t>T2</t>
  </si>
  <si>
    <t>Timer - Sportline 2787 - L271 (JC)</t>
  </si>
  <si>
    <t>T4</t>
  </si>
  <si>
    <t>L271 (JC)</t>
  </si>
  <si>
    <t>WireSets</t>
  </si>
  <si>
    <t>Hygrometers</t>
  </si>
  <si>
    <t>Below temperature values include all correction factors</t>
  </si>
  <si>
    <t>Pressure Gage, Digital - Crystal Digital 500PSIXP2I - 355114</t>
  </si>
  <si>
    <t>PRG3</t>
  </si>
  <si>
    <t>T15</t>
  </si>
  <si>
    <t>T16</t>
  </si>
  <si>
    <t>Condition:</t>
  </si>
  <si>
    <t>Unit  Tested:</t>
  </si>
  <si>
    <t>Thermocouple Wire Set - "J" Iron-Constantan - ENV1</t>
  </si>
  <si>
    <t>High Temp J</t>
  </si>
  <si>
    <t>Thermocouple Wire Set - "J" Iron-Constantan - J01-J24</t>
  </si>
  <si>
    <t>Thermocouple Wire Set - "J" Iron-Constantan - J101-J110</t>
  </si>
  <si>
    <t>Thermocouple Wire Set - "J" Iron-Constantan - J111-J120</t>
  </si>
  <si>
    <t>Thermocouple Wire Set - "J" Iron-Constantan - J201-J214</t>
  </si>
  <si>
    <t>Thermocouple Wire Set - "J" Iron-Constantan - J301-J314</t>
  </si>
  <si>
    <t>Thermocouple Wire Set - "J" Iron-Constantan - J501-J514</t>
  </si>
  <si>
    <t>Thermocouple Wire Set - "J" Iron-Constantan - J601-J610</t>
  </si>
  <si>
    <t>Thermocouple Wire Set - "J" Iron-Constantan - J701-J710</t>
  </si>
  <si>
    <t>Thermocouple Wire Set - "J" Iron-Constantan - J801-J816</t>
  </si>
  <si>
    <t>High Temp K</t>
  </si>
  <si>
    <t>Thermocouple Wire Set - "K" Chromel-Alumel - K101 - K110</t>
  </si>
  <si>
    <t>Thermocouple Wire Set - "K" Chromel-Alumel - K201-K214</t>
  </si>
  <si>
    <t>Thermocouple Wire Set - "K" Chromel-Alumel - K301-K314</t>
  </si>
  <si>
    <t>Thermocouple Wire Set - "K" Chromel-Alumel - K401-K416</t>
  </si>
  <si>
    <t>Thermocouple Wire Set - "K" Chromel-Alumel - K521-K534</t>
  </si>
  <si>
    <t>Thermocouple Wire Set - "K" Chromel-Alumel - K601-K610</t>
  </si>
  <si>
    <t>Thermocouple Wire Set - "K" Chromel-Alumel - K701-K710</t>
  </si>
  <si>
    <t>Thermocouple Wire Set - "K" Chromel-Alumel - K801-K816</t>
  </si>
  <si>
    <t>Thermocouple Wire Set - "K" Chromel-Alumel - K901-K910</t>
  </si>
  <si>
    <t>Thermocouple Wire Set - "N" Nicrosil-Nisil - N101-N112</t>
  </si>
  <si>
    <t>Thermocouple Wire Set - "N" Nicrosil-Nisil - N21-N34</t>
  </si>
  <si>
    <t>Ultra High Temp K</t>
  </si>
  <si>
    <t>Ultra High Temp N</t>
  </si>
  <si>
    <t>Condition</t>
  </si>
  <si>
    <t>New</t>
  </si>
  <si>
    <t>Used</t>
  </si>
  <si>
    <t>Customer</t>
  </si>
  <si>
    <t>Thermocouple Wire Set - "T" Copper-Constantan - T101-T108</t>
  </si>
  <si>
    <t>T101-T108</t>
  </si>
  <si>
    <t>K421-K432</t>
  </si>
  <si>
    <t>Test Temperature:</t>
  </si>
  <si>
    <t>±</t>
  </si>
  <si>
    <t>°F</t>
  </si>
  <si>
    <t>TP120 Probes</t>
  </si>
  <si>
    <t>Thermocouple Probes - "J" Iron-Constantan - TP120 Probes</t>
  </si>
  <si>
    <t>NONE OBSERVED</t>
  </si>
  <si>
    <t>High</t>
  </si>
  <si>
    <t>Low</t>
  </si>
  <si>
    <t>Cont Test Date:</t>
  </si>
  <si>
    <t>Rec Test Date:</t>
  </si>
  <si>
    <t>(Change date if different from today)</t>
  </si>
  <si>
    <t>Test Location</t>
  </si>
  <si>
    <t>Oven Location</t>
  </si>
  <si>
    <t xml:space="preserve">Customer:  </t>
  </si>
  <si>
    <t xml:space="preserve">Item:  </t>
  </si>
  <si>
    <t xml:space="preserve">Model Number:  </t>
  </si>
  <si>
    <t xml:space="preserve">Serial Number:  </t>
  </si>
  <si>
    <t xml:space="preserve">Unit Number:  </t>
  </si>
  <si>
    <t xml:space="preserve">Class:  </t>
  </si>
  <si>
    <t xml:space="preserve">Range:  </t>
  </si>
  <si>
    <t xml:space="preserve">Tolerance:  </t>
  </si>
  <si>
    <t xml:space="preserve">Heating Method:  </t>
  </si>
  <si>
    <t xml:space="preserve">Working Zone Size:  </t>
  </si>
  <si>
    <t xml:space="preserve">Cubic Feet:  </t>
  </si>
  <si>
    <t xml:space="preserve">Inspector(s):  </t>
  </si>
  <si>
    <t xml:space="preserve">Date Tested:  </t>
  </si>
  <si>
    <t xml:space="preserve">Date Due:  </t>
  </si>
  <si>
    <t xml:space="preserve">Result:  </t>
  </si>
  <si>
    <t xml:space="preserve">Controller:  </t>
  </si>
  <si>
    <t xml:space="preserve">Recorder:  </t>
  </si>
  <si>
    <t xml:space="preserve">S/N:  </t>
  </si>
  <si>
    <t xml:space="preserve">Tol:  </t>
  </si>
  <si>
    <t xml:space="preserve">Tested:  </t>
  </si>
  <si>
    <t xml:space="preserve">Test Temp:  </t>
  </si>
  <si>
    <t xml:space="preserve">Setpoint:  </t>
  </si>
  <si>
    <t xml:space="preserve">Overshoot:  </t>
  </si>
  <si>
    <t xml:space="preserve">Thermocouples In:  </t>
  </si>
  <si>
    <t xml:space="preserve">Lag Time:  </t>
  </si>
  <si>
    <t xml:space="preserve">Recovery Time:  </t>
  </si>
  <si>
    <t xml:space="preserve">Overall Uniformity:  </t>
  </si>
  <si>
    <t xml:space="preserve">Equipment Load:  </t>
  </si>
  <si>
    <t>LagTime and Recovery Time are calculated as defined by AMS 2770.  Temperature values include all correction factors.</t>
  </si>
  <si>
    <t>Ambient Conditions</t>
  </si>
  <si>
    <t>Position</t>
  </si>
  <si>
    <t>Thermocouple</t>
  </si>
  <si>
    <t>Avg</t>
  </si>
  <si>
    <t>See attached diagram for the location of each test thermocouple and "Uniformity Survey Worksheet" for all correction factors used.</t>
  </si>
  <si>
    <t xml:space="preserve">Comments:  </t>
  </si>
  <si>
    <t>Standard(s)</t>
  </si>
  <si>
    <t>Serial Number(s)</t>
  </si>
  <si>
    <t>Date Certified</t>
  </si>
  <si>
    <t>Date Due</t>
  </si>
  <si>
    <t>Traceable Report Number</t>
  </si>
  <si>
    <t>www.jgiquality.com</t>
  </si>
  <si>
    <t>contact@jgiquality.com</t>
  </si>
  <si>
    <t>The JGI quality system governing this calibration/inspection is based upon and maintained in compliance with quality specifications ISO/IEC 17025, ANSI/NCSL Z540-1 and ISO 10012.</t>
  </si>
  <si>
    <t xml:space="preserve">Form Number:  </t>
  </si>
  <si>
    <t xml:space="preserve">Calibration Method:  </t>
  </si>
  <si>
    <t xml:space="preserve">Tolerance Source:  </t>
  </si>
  <si>
    <t>5920 W. 21st St. N., Wichita, KS  67205 - Phone 316.943.7532</t>
  </si>
  <si>
    <t>CERT</t>
  </si>
  <si>
    <t>PO (if any):</t>
  </si>
  <si>
    <t>Radiometer - PMA2100 - 12799</t>
  </si>
  <si>
    <t>RAD1</t>
  </si>
  <si>
    <t>Thermocouple Wire Set - "N" Nicrosil-Nisil - N01-N16</t>
  </si>
  <si>
    <t>N01-N16</t>
  </si>
  <si>
    <t>Additional Information About This TUS</t>
  </si>
  <si>
    <t>TUS Type:</t>
  </si>
  <si>
    <t>Periodic</t>
  </si>
  <si>
    <t>Atmosphere Used:</t>
  </si>
  <si>
    <t>Air</t>
  </si>
  <si>
    <t>Tuning Constants</t>
  </si>
  <si>
    <t>Proportional:</t>
  </si>
  <si>
    <t>Integral:</t>
  </si>
  <si>
    <t>(If "yes" no further analysis needed.)</t>
  </si>
  <si>
    <t>Derivative:</t>
  </si>
  <si>
    <t>Other:</t>
  </si>
  <si>
    <t>Hi Test Rdg</t>
  </si>
  <si>
    <t>Hot Sensor</t>
  </si>
  <si>
    <t>Lo Test Rdg</t>
  </si>
  <si>
    <t>Cold Sensor</t>
  </si>
  <si>
    <t>Uses Above 500°F:</t>
  </si>
  <si>
    <t>Max Wire Depth (K only, over 500°F):</t>
  </si>
  <si>
    <t>Additional Information about this TUS</t>
  </si>
  <si>
    <t xml:space="preserve">TUS Type: </t>
  </si>
  <si>
    <t xml:space="preserve">Atmosphere Used: </t>
  </si>
  <si>
    <t xml:space="preserve">Proportional: </t>
  </si>
  <si>
    <t>Uses Above 500°F:*</t>
  </si>
  <si>
    <t xml:space="preserve">Derivative: </t>
  </si>
  <si>
    <t xml:space="preserve">Other: </t>
  </si>
  <si>
    <t>Number of Wires Used:</t>
  </si>
  <si>
    <t>Max Wire Depth:* **</t>
  </si>
  <si>
    <t>TUS Type</t>
  </si>
  <si>
    <t>Initial</t>
  </si>
  <si>
    <t>Atmosphere Used</t>
  </si>
  <si>
    <t>Vacuum</t>
  </si>
  <si>
    <t>Liquid</t>
  </si>
  <si>
    <t>Argon</t>
  </si>
  <si>
    <t>Nitrogen</t>
  </si>
  <si>
    <t>Inspector List</t>
  </si>
  <si>
    <t>**Note: Max. Wire Depth for this survey, applicable only to Type "K" wire used over 500°F.</t>
  </si>
  <si>
    <r>
      <t>For non-indicating high limits, change the first instance of high limit to say controller in statement to the right in white.</t>
    </r>
    <r>
      <rPr>
        <sz val="10"/>
        <rFont val="Calibri"/>
        <family val="2"/>
      </rPr>
      <t>↑</t>
    </r>
  </si>
  <si>
    <t xml:space="preserve">Integral: </t>
  </si>
  <si>
    <t>Total points used</t>
  </si>
  <si>
    <t xml:space="preserve">Controller Correction Offset AF: </t>
  </si>
  <si>
    <t xml:space="preserve">Controller Correction Offset AL: </t>
  </si>
  <si>
    <t xml:space="preserve">Controller Modification Offset AF: </t>
  </si>
  <si>
    <t xml:space="preserve">Controller Modification Offset AL: </t>
  </si>
  <si>
    <t>The reported expanded uncertainty of measurement is stated as the standard uncertainty of measurement multiplied by the coverage factor k such that the coverage probability corresponds to approximately 95%. This estimate was performed in accordance with guidelines set forth in ANSI/NCSL Z540-2. The Decision Rule used is Simple Acceptance as defined in ILAC G8 with a TUR of 1:1 or better. This Rule may be superseded by technological constraints or by cited specifications. All testing performed using standards traceable to NIST or to intrinsic standards. This document shall not be reproduced except in full without the written permission of Johnson Gage and Inspection.</t>
  </si>
  <si>
    <t>K01-K16</t>
  </si>
  <si>
    <t>DaqBook points 15-24 used.</t>
  </si>
  <si>
    <t>DaqBook points 15-25 used.</t>
  </si>
  <si>
    <t>DaqBook points 15-26 used.</t>
  </si>
  <si>
    <t>DaqBook points 15-27 used.</t>
  </si>
  <si>
    <t>DaqBook points 15-28 used.</t>
  </si>
  <si>
    <t>Found in tolerance.  No adjustment required.</t>
  </si>
  <si>
    <t>DaqBook points 29-38 used.</t>
  </si>
  <si>
    <t>DaqBook points 29-39 used.</t>
  </si>
  <si>
    <t>DaqBook points 29-40 used.</t>
  </si>
  <si>
    <t>Heat Sinks</t>
  </si>
  <si>
    <t>Packet Contents</t>
  </si>
  <si>
    <t>Quality Approval:</t>
  </si>
  <si>
    <t>Danny Turkali</t>
  </si>
  <si>
    <t>Freezer</t>
  </si>
  <si>
    <t>Tank</t>
  </si>
  <si>
    <t>Hot Form Press</t>
  </si>
  <si>
    <t>Reinitial</t>
  </si>
  <si>
    <t>Hot Sensor Analysis (Type A or C Only)</t>
  </si>
  <si>
    <t>Was the hot senor the hottest location?</t>
  </si>
  <si>
    <t>Was the hot sensor within the SAT tolerance of actual hot test reading at the time this occurred?</t>
  </si>
  <si>
    <t>Cold Sensor Analysis (Type A or C Only)</t>
  </si>
  <si>
    <t>Was the Cold Sensor within half-tolerance?</t>
  </si>
  <si>
    <t>Was the Hot Sensor within half-tolerance?</t>
  </si>
  <si>
    <t>Was the cold senor the coldest location?</t>
  </si>
  <si>
    <t>Was the cold sensor within the SAT tolerance of actual cold test reading at the time this occurred?</t>
  </si>
  <si>
    <t xml:space="preserve">Was the Hot Sensor within half-tolerance? </t>
  </si>
  <si>
    <t>Was the hot sensor at the hottest locations?</t>
  </si>
  <si>
    <t xml:space="preserve">Was the Cold Sensor within half-tolerance? </t>
  </si>
  <si>
    <t>Was the cold sensor at the coldest locations?</t>
  </si>
  <si>
    <t>Was the hot sensor within the SAT tolerance of actual hot test reading at the time it occurred?</t>
  </si>
  <si>
    <t>Was the cold sensor within the SAT tolerance of actual cold test reading at the time it occurred?</t>
  </si>
  <si>
    <t>Compensation Interval:</t>
  </si>
  <si>
    <t>4</t>
  </si>
  <si>
    <t>10</t>
  </si>
  <si>
    <t>SerialNumber</t>
  </si>
  <si>
    <t>AssetTag</t>
  </si>
  <si>
    <t>AssetId</t>
  </si>
  <si>
    <t>AssetUser</t>
  </si>
  <si>
    <t>AssetName</t>
  </si>
  <si>
    <t>AssetDescription</t>
  </si>
  <si>
    <t>12799</t>
  </si>
  <si>
    <t>Radiometer Model PMA2100 S/N 12799, used with detector Model PMA2110 S/N 012903</t>
  </si>
  <si>
    <t>Electrical Dept Calibrates this</t>
  </si>
  <si>
    <t>Atlas Weather-Ometer Ci3000 Calibration Kit; including four plugs with resistors and extension cord.</t>
  </si>
  <si>
    <t>355114</t>
  </si>
  <si>
    <t>Pyrometry Dept. Field Standard</t>
  </si>
  <si>
    <t>A digital pressure gage used for field calibrations from 0-500psi</t>
  </si>
  <si>
    <t>K200SET</t>
  </si>
  <si>
    <t>A Type "K" Thermocouple wire set used for Temperature Uniformity Surveys.</t>
  </si>
  <si>
    <t>K800SET</t>
  </si>
  <si>
    <t>Pyrometry Department</t>
  </si>
  <si>
    <t>K900SET</t>
  </si>
  <si>
    <t>1611086</t>
  </si>
  <si>
    <t>Field Calibrator used for testing of Temperature and Electrical instrumentation.</t>
  </si>
  <si>
    <t>THG4</t>
  </si>
  <si>
    <t>Peyton Ensey</t>
  </si>
  <si>
    <t>ACU-RITE No. 00325 Thermo-Hygrometer</t>
  </si>
  <si>
    <t>807408</t>
  </si>
  <si>
    <t>Data Acquisition System - DAQBOOK/2005</t>
  </si>
  <si>
    <t>DaqBook 2005, with connections for 40 type "J" thermocouples.</t>
  </si>
  <si>
    <t>Thermocouple Probe Set - - SAT Probes</t>
  </si>
  <si>
    <t>JGI1196</t>
  </si>
  <si>
    <t>Pyrometry</t>
  </si>
  <si>
    <t>THG25</t>
  </si>
  <si>
    <t>Acu-Rite No. 00309SBDI Thermo-Hygrometer, Digital</t>
  </si>
  <si>
    <t>K700SET</t>
  </si>
  <si>
    <t>K520SET</t>
  </si>
  <si>
    <t>A Type "N" Thermocouple wire set S/N's 26A-E, 210A-210E  used for Temperature Uniformity Surveys.</t>
  </si>
  <si>
    <t>J100SET</t>
  </si>
  <si>
    <t>A Type "J" Thermocouple wire set used for Temperature Uniformity Surveys.</t>
  </si>
  <si>
    <t>A Type "J" thermocouples used for Temperature Uniformity Surveys.</t>
  </si>
  <si>
    <t>J500SET</t>
  </si>
  <si>
    <t>J111SET</t>
  </si>
  <si>
    <t>J600SET</t>
  </si>
  <si>
    <t>K400SET</t>
  </si>
  <si>
    <t>K00SET</t>
  </si>
  <si>
    <t>K600SET</t>
  </si>
  <si>
    <t>J700SET</t>
  </si>
  <si>
    <t>49742247MV</t>
  </si>
  <si>
    <t>Kevin Ferrante</t>
  </si>
  <si>
    <t>N100SET</t>
  </si>
  <si>
    <t>A Type "N" thermocouple wire set used for Temperature Uniformity Surveys. Made from N20-2-T wire.</t>
  </si>
  <si>
    <t>808005</t>
  </si>
  <si>
    <t>Daqbook 2005 with 28 type "K" Thermocouples. S/N 808005 U/N K5</t>
  </si>
  <si>
    <t>029531</t>
  </si>
  <si>
    <t>808004</t>
  </si>
  <si>
    <t>Data Acquisition System - DAQBOOK/2000 - 808004</t>
  </si>
  <si>
    <t>Daqbook 2000 with connections for 14 type "N" thermocouples. S/N 808004 U/N N2</t>
  </si>
  <si>
    <t>Matt C</t>
  </si>
  <si>
    <t>Timer - Sportline</t>
  </si>
  <si>
    <t>Stop watch Sportline</t>
  </si>
  <si>
    <t>A Type "N" Thermocouple wire set S/N's 06A/B/C/D/E/F, 10A/B/C/D/E used for Temperature Uniformity Surveys.</t>
  </si>
  <si>
    <t>1880060</t>
  </si>
  <si>
    <t>Joey Craig</t>
  </si>
  <si>
    <t>ACU-RITE No. 00309SBDI Thermo-Hygrometer, Digital</t>
  </si>
  <si>
    <t>Joe Craig</t>
  </si>
  <si>
    <t>Stopwatch M/N Sportline 2787 S/N L271 ID: JC</t>
  </si>
  <si>
    <t>808173</t>
  </si>
  <si>
    <t>Data Acquisition System - DAQBOOK/2005 - 808173</t>
  </si>
  <si>
    <t>Daqbook 2005 with 40 type "K" Thermocouples. S/N 808173 U/N K6</t>
  </si>
  <si>
    <t>9728087</t>
  </si>
  <si>
    <t>Mike Ragonese</t>
  </si>
  <si>
    <t>807705</t>
  </si>
  <si>
    <t>Data Acquisition System - DAQBOOK/2005 - 807705</t>
  </si>
  <si>
    <t>9546011</t>
  </si>
  <si>
    <t>Ryan Byars</t>
  </si>
  <si>
    <t>J200SET</t>
  </si>
  <si>
    <t>A type "J" thermocouple wire set used for temperature uniformity surveys</t>
  </si>
  <si>
    <t>J300SET</t>
  </si>
  <si>
    <t>A Type "J" thermocouple wire set used for Temperature Uniformity Surveys.</t>
  </si>
  <si>
    <t>J00SET</t>
  </si>
  <si>
    <t>K300 SET</t>
  </si>
  <si>
    <t>N00SET</t>
  </si>
  <si>
    <t>806337</t>
  </si>
  <si>
    <t>Data Acquisition System - DAQBOOK/2005 - 806337</t>
  </si>
  <si>
    <t>807409</t>
  </si>
  <si>
    <t>Data Acquisition System - DAQBOOK/2005 - 807409</t>
  </si>
  <si>
    <t>DaqBook 2005, with connections for 40 type "K" thermocouples</t>
  </si>
  <si>
    <t>T100SET</t>
  </si>
  <si>
    <t>2266208</t>
  </si>
  <si>
    <t>James Haven</t>
  </si>
  <si>
    <t>FC13</t>
  </si>
  <si>
    <t>Calibrator, Digital - Fluke 726 Field Potentiometer - 2266208</t>
  </si>
  <si>
    <t>ENV101</t>
  </si>
  <si>
    <t>ENV101 SET</t>
  </si>
  <si>
    <t>Thermocouple wire set, protected set per AMS 2750G, 3.1.7.5</t>
  </si>
  <si>
    <t>K100SET</t>
  </si>
  <si>
    <t>Set of K low-temp thermocouple wires.</t>
  </si>
  <si>
    <t>4029712</t>
  </si>
  <si>
    <t>Jesse Regehr</t>
  </si>
  <si>
    <t>FC15</t>
  </si>
  <si>
    <t>Calibrator, Digital - Fluke 726 Field Potentiometer - 4029712</t>
  </si>
  <si>
    <t>9491050</t>
  </si>
  <si>
    <t>Nick Nolte</t>
  </si>
  <si>
    <t>FC17</t>
  </si>
  <si>
    <t>Calibrator, Digital - Fluke 726 Field Potentiometer - 3359057</t>
  </si>
  <si>
    <t>3101177</t>
  </si>
  <si>
    <t>FC18</t>
  </si>
  <si>
    <t>Calibrator, Digital - Fluke 726 Field Potentiometer</t>
  </si>
  <si>
    <t>Field Calibrator used for testing of Temperature and Electrical instrumentation</t>
  </si>
  <si>
    <t>N20SET</t>
  </si>
  <si>
    <t>9482035</t>
  </si>
  <si>
    <t>Joey Knutson</t>
  </si>
  <si>
    <t>FC19</t>
  </si>
  <si>
    <t>THG23</t>
  </si>
  <si>
    <t>Unni Weather Station Indoor Outdoor Thermometer</t>
  </si>
  <si>
    <t>OrderItemNumber</t>
  </si>
  <si>
    <t>ServiceLevel</t>
  </si>
  <si>
    <t>ServiceLevelCode</t>
  </si>
  <si>
    <t>NextServiceLevel</t>
  </si>
  <si>
    <t>NextServiceLevelCode</t>
  </si>
  <si>
    <t>ResultStatus</t>
  </si>
  <si>
    <t>AsFoundResult</t>
  </si>
  <si>
    <t>AsLeftResult</t>
  </si>
  <si>
    <t>SerialNumberChange</t>
  </si>
  <si>
    <t>AssetTagChange</t>
  </si>
  <si>
    <t>AssetUserChange</t>
  </si>
  <si>
    <t>ServiceNotes</t>
  </si>
  <si>
    <t>ProviderTechnician</t>
  </si>
  <si>
    <t>ProviderPhone</t>
  </si>
  <si>
    <t>ProviderCompany</t>
  </si>
  <si>
    <t>ServiceCharge</t>
  </si>
  <si>
    <t>RepairsCharge</t>
  </si>
  <si>
    <t>PartsCharge</t>
  </si>
  <si>
    <t>PartsChargeBeforeDiscount</t>
  </si>
  <si>
    <t>CustomOrderNumber</t>
  </si>
  <si>
    <t>CertificateNumber</t>
  </si>
  <si>
    <t>ServiceDate</t>
  </si>
  <si>
    <t>DueDate</t>
  </si>
  <si>
    <t>NextServiceDate</t>
  </si>
  <si>
    <t>Pass</t>
  </si>
  <si>
    <t>Done</t>
  </si>
  <si>
    <t>NotAvailable</t>
  </si>
  <si>
    <t>316-943-7532</t>
  </si>
  <si>
    <t>SPER 810035C Stopwatch / Timer</t>
  </si>
  <si>
    <t>ServiceOrderNumber</t>
  </si>
  <si>
    <t>Guid</t>
  </si>
  <si>
    <t>AssetServiceRecordId</t>
  </si>
  <si>
    <t>ServiceScheduleSegmentId</t>
  </si>
  <si>
    <t>ForwardSegmentId</t>
  </si>
  <si>
    <t>ForwardNextService</t>
  </si>
  <si>
    <t>SegmentName</t>
  </si>
  <si>
    <t>ScheduleName</t>
  </si>
  <si>
    <t>Found in tolerance. No adjustment required. See attached Datasheets for details.</t>
  </si>
  <si>
    <t>Field Inspection</t>
  </si>
  <si>
    <t>Calibration</t>
  </si>
  <si>
    <t>3 Month Calibration</t>
  </si>
  <si>
    <t>00000000-0000-0000-0000-000000000000</t>
  </si>
  <si>
    <t>JGI Calibration PyroMechanical</t>
  </si>
  <si>
    <t>Qualer WO Line:</t>
  </si>
  <si>
    <t>56561-073531</t>
  </si>
  <si>
    <t>K40525</t>
  </si>
  <si>
    <t>56561-072024</t>
  </si>
  <si>
    <t>J10325</t>
  </si>
  <si>
    <t>N</t>
  </si>
  <si>
    <t>J</t>
  </si>
  <si>
    <t>K</t>
  </si>
  <si>
    <t>N Ultra High</t>
  </si>
  <si>
    <t>J High</t>
  </si>
  <si>
    <t>K High</t>
  </si>
  <si>
    <t>K Ultra High</t>
  </si>
  <si>
    <t>ENV</t>
  </si>
  <si>
    <t>Min</t>
  </si>
  <si>
    <t>Max</t>
  </si>
  <si>
    <t>Type</t>
  </si>
  <si>
    <t>56561-050380</t>
  </si>
  <si>
    <t>ATS-CAL-6801-01</t>
  </si>
  <si>
    <t>2023-11-02T00:00:00</t>
  </si>
  <si>
    <t>2025-11-02T00:00:00</t>
  </si>
  <si>
    <t>American Testing Services</t>
  </si>
  <si>
    <t>bbde864b-f70f-4bd8-a872-29b41db66954</t>
  </si>
  <si>
    <t>2 Year Calibration</t>
  </si>
  <si>
    <t>JGI Calibration Pyromechanical</t>
  </si>
  <si>
    <t>56561-072040</t>
  </si>
  <si>
    <t>56561-072040-01</t>
  </si>
  <si>
    <t>2025-04-19T05:57:00</t>
  </si>
  <si>
    <t>Found in tolerance. No action required.</t>
  </si>
  <si>
    <t>2025-04-19T00:00:00</t>
  </si>
  <si>
    <t>2027-04-19T05:57:00</t>
  </si>
  <si>
    <t>Mechanical Laboratory</t>
  </si>
  <si>
    <t>JGI Calibration Dimensional</t>
  </si>
  <si>
    <t>56561-062285</t>
  </si>
  <si>
    <t>56561-062285-01</t>
  </si>
  <si>
    <t>2024-08-12T14:53:16</t>
  </si>
  <si>
    <t>Found in tolerance. No adjustment required.</t>
  </si>
  <si>
    <t>2024-08-11T00:00:00</t>
  </si>
  <si>
    <t>2025-08-12T14:53:16</t>
  </si>
  <si>
    <t>Randy Ferguson</t>
  </si>
  <si>
    <t>1 Year Calibration</t>
  </si>
  <si>
    <t>56561-069999</t>
  </si>
  <si>
    <t>J20225</t>
  </si>
  <si>
    <t>2025-02-11T07:36:00</t>
  </si>
  <si>
    <t>2025-02-11T00:00:00</t>
  </si>
  <si>
    <t>2025-05-11T07:36:00</t>
  </si>
  <si>
    <t>2025-03-31T05:31:00</t>
  </si>
  <si>
    <t>2025-03-24T00:00:00</t>
  </si>
  <si>
    <t>2025-06-30T05:31:00</t>
  </si>
  <si>
    <t>2025-05-05T08:14:22</t>
  </si>
  <si>
    <t>2025-05-03T00:00:00</t>
  </si>
  <si>
    <t>2025-08-05T08:14:22</t>
  </si>
  <si>
    <t>56561-069663</t>
  </si>
  <si>
    <t>J30225</t>
  </si>
  <si>
    <t>2025-02-06T06:33:35</t>
  </si>
  <si>
    <t>2025-02-04T00:00:00</t>
  </si>
  <si>
    <t>2025-05-06T06:33:35</t>
  </si>
  <si>
    <t>56561-069665</t>
  </si>
  <si>
    <t>N20225</t>
  </si>
  <si>
    <t>2025-02-10T05:06:48</t>
  </si>
  <si>
    <t>2025-05-10T05:06:48</t>
  </si>
  <si>
    <t>56561-072822</t>
  </si>
  <si>
    <t>K50425</t>
  </si>
  <si>
    <t>2025-04-15T14:59:00</t>
  </si>
  <si>
    <t>2025-04-14T00:00:00</t>
  </si>
  <si>
    <t>2025-07-15T14:59:00</t>
  </si>
  <si>
    <t>56561-069664</t>
  </si>
  <si>
    <t>K60225</t>
  </si>
  <si>
    <t>2025-02-06T06:46:21</t>
  </si>
  <si>
    <t>2025-05-06T06:46:21</t>
  </si>
  <si>
    <t>56561-070613</t>
  </si>
  <si>
    <t>FC90225</t>
  </si>
  <si>
    <t>2025-02-27T13:50:09</t>
  </si>
  <si>
    <t>Found in tolerance. No action required.
See attached datasheet for actual results.</t>
  </si>
  <si>
    <t>2025-02-27T00:00:00</t>
  </si>
  <si>
    <t>2025-05-27T13:50:09</t>
  </si>
  <si>
    <t>FC60225</t>
  </si>
  <si>
    <t>2025-02-27T13:09:58</t>
  </si>
  <si>
    <t>2025-05-27T13:09:58</t>
  </si>
  <si>
    <t>FC130225</t>
  </si>
  <si>
    <t>2025-02-27T13:55:27</t>
  </si>
  <si>
    <t>2025-05-27T13:55:27</t>
  </si>
  <si>
    <t>FC180225</t>
  </si>
  <si>
    <t>2025-02-27T14:04:02</t>
  </si>
  <si>
    <t>2025-05-27T14:04:02</t>
  </si>
  <si>
    <t>FC150225</t>
  </si>
  <si>
    <t>2025-02-27T14:00:13</t>
  </si>
  <si>
    <t>2025-05-27T14:00:13</t>
  </si>
  <si>
    <t>FC190225</t>
  </si>
  <si>
    <t>2025-02-27T14:05:30</t>
  </si>
  <si>
    <t>2025-05-27T14:05:30</t>
  </si>
  <si>
    <t>56561-070613-08</t>
  </si>
  <si>
    <t>2025-02-27T14:02:15</t>
  </si>
  <si>
    <t>2025-05-27T14:02:15</t>
  </si>
  <si>
    <t>FC140225</t>
  </si>
  <si>
    <t>2025-02-27T13:57:56</t>
  </si>
  <si>
    <t>2025-05-27T13:57:56</t>
  </si>
  <si>
    <t>FC70225</t>
  </si>
  <si>
    <t>2025-02-27T13:21:26</t>
  </si>
  <si>
    <t>2025-05-27T13:21:26</t>
  </si>
  <si>
    <t>FC100225</t>
  </si>
  <si>
    <t>2025-02-27T13:52:49</t>
  </si>
  <si>
    <t>2025-05-27T13:52:49</t>
  </si>
  <si>
    <t>56561-071864</t>
  </si>
  <si>
    <t>56561-071864-01</t>
  </si>
  <si>
    <t>2025-03-31T11:59:00</t>
  </si>
  <si>
    <t>2029-09-30T00:00:00</t>
  </si>
  <si>
    <t>2030-03-31T11:59:00</t>
  </si>
  <si>
    <t>5 Year Calibration</t>
  </si>
  <si>
    <t>56561-064197</t>
  </si>
  <si>
    <t>56561-064197-01</t>
  </si>
  <si>
    <t>2024-09-24T08:00:15</t>
  </si>
  <si>
    <t>2029-06-06T00:00:00</t>
  </si>
  <si>
    <t>2029-09-24T08:00:15</t>
  </si>
  <si>
    <t>56561-041783</t>
  </si>
  <si>
    <t>56561-041783-01</t>
  </si>
  <si>
    <t>2023-04-12T15:39:42</t>
  </si>
  <si>
    <t>2027-10-12T00:00:00</t>
  </si>
  <si>
    <t>2028-04-12T15:39:42</t>
  </si>
  <si>
    <t>56561-070496</t>
  </si>
  <si>
    <t>56561-070496-01</t>
  </si>
  <si>
    <t>2025-02-20T15:00:00</t>
  </si>
  <si>
    <t>TEST TYPE: THERMOCOUPLE WIRESET CALIBRATION. See attached datasheet(s) and supporting documentation. Test Environment and Test Equipment Used are detailed in attached datasheets.</t>
  </si>
  <si>
    <t>2029-10-08T00:00:00</t>
  </si>
  <si>
    <t>2030-02-20T15:00:00</t>
  </si>
  <si>
    <t>56561-046530</t>
  </si>
  <si>
    <t>56561-046530-01</t>
  </si>
  <si>
    <t>2023-07-17T08:20:13</t>
  </si>
  <si>
    <t>2028-04-13T00:00:00</t>
  </si>
  <si>
    <t>2028-07-17T08:20:13</t>
  </si>
  <si>
    <t>56561-072594</t>
  </si>
  <si>
    <t>56561-072594-01</t>
  </si>
  <si>
    <t>2025-04-11T07:17:26</t>
  </si>
  <si>
    <t>2029-12-19T00:00:00</t>
  </si>
  <si>
    <t>2030-04-11T07:17:26</t>
  </si>
  <si>
    <t>56561-050724</t>
  </si>
  <si>
    <t>56561-050724-01</t>
  </si>
  <si>
    <t>2023-11-06T07:44:02</t>
  </si>
  <si>
    <t>2028-07-17T00:00:00</t>
  </si>
  <si>
    <t>2028-11-06T07:44:02</t>
  </si>
  <si>
    <t>56561-057050</t>
  </si>
  <si>
    <t>56561-057050-01</t>
  </si>
  <si>
    <t>2024-04-05T13:01:37</t>
  </si>
  <si>
    <t>2028-10-10T00:00:00</t>
  </si>
  <si>
    <t>2029-04-05T13:01:37</t>
  </si>
  <si>
    <t>56561-044349</t>
  </si>
  <si>
    <t>J700SET0523</t>
  </si>
  <si>
    <t>2023-05-15T13:39:00</t>
  </si>
  <si>
    <t>2028-01-16T00:00:00</t>
  </si>
  <si>
    <t>2028-05-15T13:39:00</t>
  </si>
  <si>
    <t>MC</t>
  </si>
  <si>
    <t>56561-070164</t>
  </si>
  <si>
    <t>56561-070164-01</t>
  </si>
  <si>
    <t>Pending</t>
  </si>
  <si>
    <t>2025-02-15T00:00:00</t>
  </si>
  <si>
    <t>2023-08-16T00:00:00</t>
  </si>
  <si>
    <t>56561-053750</t>
  </si>
  <si>
    <t>56561-053750-01</t>
  </si>
  <si>
    <t>2024-01-25T08:09:29</t>
  </si>
  <si>
    <t>2024-01-17T00:00:00</t>
  </si>
  <si>
    <t>2025-01-25T08:09:29</t>
  </si>
  <si>
    <t>56561-028336</t>
  </si>
  <si>
    <t>56561-028336-01</t>
  </si>
  <si>
    <t>2022-05-17T00:00:00</t>
  </si>
  <si>
    <t>K01-K14</t>
  </si>
  <si>
    <t>2022-05-03T00:00:00</t>
  </si>
  <si>
    <t>Thermocouple Wire Set - "K" Chromel-Alumel - K01-K14</t>
  </si>
  <si>
    <t>56561-029273</t>
  </si>
  <si>
    <t>K100SET0622</t>
  </si>
  <si>
    <t>2022-06-07T15:09:31</t>
  </si>
  <si>
    <t>2027-06-07T15:09:31</t>
  </si>
  <si>
    <t>Alex Charles</t>
  </si>
  <si>
    <t>56561-044172</t>
  </si>
  <si>
    <t>56561-044172-01</t>
  </si>
  <si>
    <t>2023-04-24T12:35:00</t>
  </si>
  <si>
    <t>2027-11-01T00:00:00</t>
  </si>
  <si>
    <t>2028-04-24T12:35:00</t>
  </si>
  <si>
    <t>56561-072769</t>
  </si>
  <si>
    <t>56561-072769-01</t>
  </si>
  <si>
    <t>2025-04-16T09:25:33</t>
  </si>
  <si>
    <t>2029-10-14T00:00:00</t>
  </si>
  <si>
    <t>2030-04-16T09:25:33</t>
  </si>
  <si>
    <t>56561-072935</t>
  </si>
  <si>
    <t>56561-072935-01</t>
  </si>
  <si>
    <t>2025-04-18T13:27:00</t>
  </si>
  <si>
    <t>2030-01-03T00:00:00</t>
  </si>
  <si>
    <t>2030-04-18T13:27:00</t>
  </si>
  <si>
    <t>56561-073271</t>
  </si>
  <si>
    <t>56561-073271-01</t>
  </si>
  <si>
    <t>2025-04-11T09:48:00</t>
  </si>
  <si>
    <t>2029-11-14T00:00:00</t>
  </si>
  <si>
    <t>2030-04-11T09:48:00</t>
  </si>
  <si>
    <t>56561-046040</t>
  </si>
  <si>
    <t>56561-046040-02</t>
  </si>
  <si>
    <t>2023-06-23T11:48:09</t>
  </si>
  <si>
    <t>2028-01-12T00:00:00</t>
  </si>
  <si>
    <t>2028-06-23T11:48:09</t>
  </si>
  <si>
    <t>56561-024455</t>
  </si>
  <si>
    <t>K700SET0222</t>
  </si>
  <si>
    <t>2022-02-21T19:23:00</t>
  </si>
  <si>
    <t>Entire set made from wire roll 018753D on above date.
TEST TYPE: THERMOCOUPLE WIRESET CALIBRATION. See attached datasheet(s) and supporting documentation. Test Environment and Test Equipment Used are detailed in attached datasheets.</t>
  </si>
  <si>
    <t>2021-09-30T00:00:00</t>
  </si>
  <si>
    <t>2022-05-21T19:23:00</t>
  </si>
  <si>
    <t>Karsten Blyseth</t>
  </si>
  <si>
    <t>56561-044618</t>
  </si>
  <si>
    <t>56561-044618-01</t>
  </si>
  <si>
    <t>2023-05-22T15:34:04</t>
  </si>
  <si>
    <t>2028-01-06T00:00:00</t>
  </si>
  <si>
    <t>2028-05-22T15:34:04</t>
  </si>
  <si>
    <t>56561-073279</t>
  </si>
  <si>
    <t>56561-073279-01</t>
  </si>
  <si>
    <t>2025-04-11T10:04:00</t>
  </si>
  <si>
    <t>2029-07-08T00:00:00</t>
  </si>
  <si>
    <t>2030-04-11T10:04:00</t>
  </si>
  <si>
    <t>56561-007771</t>
  </si>
  <si>
    <t>56561-007771-01</t>
  </si>
  <si>
    <t>2021-03-15T07:14:44</t>
  </si>
  <si>
    <t>2023-03-15T00:00:00</t>
  </si>
  <si>
    <t>c30be4e4-884d-4400-9e53-81f34b686453</t>
  </si>
  <si>
    <t>56561-055608</t>
  </si>
  <si>
    <t>56561-055608-01</t>
  </si>
  <si>
    <t>2024-03-21T10:35:06</t>
  </si>
  <si>
    <t>2028-12-04T00:00:00</t>
  </si>
  <si>
    <t>2029-03-21T10:35:06</t>
  </si>
  <si>
    <t>56561-051875</t>
  </si>
  <si>
    <t>56561-051875-01</t>
  </si>
  <si>
    <t>2023-12-06T12:01:59</t>
  </si>
  <si>
    <t>2028-08-17T00:00:00</t>
  </si>
  <si>
    <t>2028-12-06T12:01:59</t>
  </si>
  <si>
    <t>56561-064450</t>
  </si>
  <si>
    <t>56561-064450-01</t>
  </si>
  <si>
    <t>2024-09-24T16:27:00</t>
  </si>
  <si>
    <t>2029-06-12T00:00:00</t>
  </si>
  <si>
    <t>2029-09-24T16:27:00</t>
  </si>
  <si>
    <t>56561-068489</t>
  </si>
  <si>
    <t>56561-068489-01</t>
  </si>
  <si>
    <t>2025-02-05T10:52:00</t>
  </si>
  <si>
    <t>Found in tolerance. No adjustment made.</t>
  </si>
  <si>
    <t>2025-01-12T00:00:00</t>
  </si>
  <si>
    <t>2027-02-05T10:52:00</t>
  </si>
  <si>
    <t>Mike Turkali</t>
  </si>
  <si>
    <t>Cover Sheet</t>
  </si>
  <si>
    <t>JGI Calibration Electrical</t>
  </si>
  <si>
    <t>56561-068290</t>
  </si>
  <si>
    <t>SAT1224</t>
  </si>
  <si>
    <t>2024-12-30T10:14:00</t>
  </si>
  <si>
    <t>2024-12-30T00:00:00</t>
  </si>
  <si>
    <t>2025-03-30T10:14:00</t>
  </si>
  <si>
    <t>Set of sheathed "N" probes for SATs. To be recalibrated or replaced quarterly.  SAT1224A, SAT1224B, SAT1224C, SAT1224D, SAT1224E, SAT1224F, SAT1224G, SAT1224H, SAT1224I</t>
  </si>
  <si>
    <t>56561-069031</t>
  </si>
  <si>
    <t>SBP10125</t>
  </si>
  <si>
    <t>2025-01-23T09:33:49</t>
  </si>
  <si>
    <t>Found in tolerance. No adjustment required.
TEST TYPE: THERMOCOUPLE WIRESET CALIBRATION
6 (6' probes), 5 (10' probes)</t>
  </si>
  <si>
    <t>2025-01-23T00:00:00</t>
  </si>
  <si>
    <t>2025-04-23T09:33:49</t>
  </si>
  <si>
    <t>56561-071410</t>
  </si>
  <si>
    <t>SBP20325</t>
  </si>
  <si>
    <t>2025-03-12T08:44:00</t>
  </si>
  <si>
    <t>2025-06-12T08:44:00</t>
  </si>
  <si>
    <t>56561-071907</t>
  </si>
  <si>
    <t>56561-071907-01</t>
  </si>
  <si>
    <t>2024-12-17T00:00:00</t>
  </si>
  <si>
    <t>2029-09-16T00:00:00</t>
  </si>
  <si>
    <t>2029-12-17T00:00:00</t>
  </si>
  <si>
    <t>56561-053782</t>
  </si>
  <si>
    <t>56561-053782-01</t>
  </si>
  <si>
    <t>2024-01-26T12:15:00</t>
  </si>
  <si>
    <t>2024-01-25T00:00:00</t>
  </si>
  <si>
    <t>2026-01-26T12:15:00</t>
  </si>
  <si>
    <t>56561-017702</t>
  </si>
  <si>
    <t>56561-017702-01</t>
  </si>
  <si>
    <t>2021-09-10T11:30:00</t>
  </si>
  <si>
    <t>2023-09-10T11:30:00</t>
  </si>
  <si>
    <t>Timer - Sportline 228 - T16 (KB)</t>
  </si>
  <si>
    <t>Sportline 228 stop watch</t>
  </si>
  <si>
    <t>56561-061175</t>
  </si>
  <si>
    <t>56561-061175-01</t>
  </si>
  <si>
    <t>2024-07-23T05:24:37</t>
  </si>
  <si>
    <t>2024-08-14T00:00:00</t>
  </si>
  <si>
    <t>2025-07-23T05:24:37</t>
  </si>
  <si>
    <t>56561-050907</t>
  </si>
  <si>
    <t>56561-050907-01</t>
  </si>
  <si>
    <t>2023-11-10T08:19:54</t>
  </si>
  <si>
    <t>2023-08-29T00:00:00</t>
  </si>
  <si>
    <t>2024-11-10T08:19:54</t>
  </si>
  <si>
    <t>Seoh thermo-hygro</t>
  </si>
  <si>
    <t>56561-072690</t>
  </si>
  <si>
    <t>56561-072690-01</t>
  </si>
  <si>
    <t>2025-04-18T08:51:00</t>
  </si>
  <si>
    <t>Found in tolerance. No adjustment required.
Reference only - pressure 28.5725 inHg (JGI standard), 29.49inHg (main unit)</t>
  </si>
  <si>
    <t>2026-04-18T00:00:00</t>
  </si>
  <si>
    <t>56561-064375</t>
  </si>
  <si>
    <t>56561-064375-01</t>
  </si>
  <si>
    <t>Fail</t>
  </si>
  <si>
    <t>2024-09-26T16:10:23</t>
  </si>
  <si>
    <t>Temperature found in tolerance. No adjustment required.
Humidity found out of tolerance.  Failed.</t>
  </si>
  <si>
    <t>2024-10-06T00:00:00</t>
  </si>
  <si>
    <t>2025-09-26T16:10:23</t>
  </si>
  <si>
    <t>56561-072022</t>
  </si>
  <si>
    <t>TP1200325</t>
  </si>
  <si>
    <t>2025-03-31T07:07:00</t>
  </si>
  <si>
    <t>Found in tolerance.  No action required.</t>
  </si>
  <si>
    <t>2025-03-23T00:00:00</t>
  </si>
  <si>
    <t>2025-06-30T07:07:00</t>
  </si>
  <si>
    <t>asset_id</t>
  </si>
  <si>
    <t>serial_number</t>
  </si>
  <si>
    <t>asset_tag</t>
  </si>
  <si>
    <t>asset_description</t>
  </si>
  <si>
    <t>asset_maker</t>
  </si>
  <si>
    <t>asset_name</t>
  </si>
  <si>
    <t>asset_user</t>
  </si>
  <si>
    <t>category_name</t>
  </si>
  <si>
    <t>custodian_first_name</t>
  </si>
  <si>
    <t>custodian_last_name</t>
  </si>
  <si>
    <t>department</t>
  </si>
  <si>
    <t>manufacturer_part_number</t>
  </si>
  <si>
    <t>notes</t>
  </si>
  <si>
    <t>product_description</t>
  </si>
  <si>
    <t>product_manufacturer</t>
  </si>
  <si>
    <t>product_name</t>
  </si>
  <si>
    <t>root_category_name</t>
  </si>
  <si>
    <t>PART NUMBER</t>
  </si>
  <si>
    <t>CATEGORY</t>
  </si>
  <si>
    <t xml:space="preserve"> </t>
  </si>
  <si>
    <t>Source:</t>
  </si>
  <si>
    <t>(A2LA Cert. No. 2820.01) Revised 06/03/2025</t>
  </si>
  <si>
    <t>CMC</t>
  </si>
  <si>
    <t>Temperature Uniformity Survey Worksheet</t>
  </si>
  <si>
    <t xml:space="preserve">Uncertainty @ k=2:  </t>
  </si>
  <si>
    <t>Ver. 06.26.25</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</si>
</sst>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0">
    <numFmt numFmtId="164" formatCode="0.0"/>
    <numFmt numFmtId="165" formatCode="0.0\°\F"/>
    <numFmt numFmtId="166" formatCode="0\°\F"/>
    <numFmt numFmtId="167" formatCode="#\°\F"/>
    <numFmt numFmtId="168" formatCode="##&quot; minutes&quot;"/>
    <numFmt numFmtId="169" formatCode="\±0\°\F"/>
    <numFmt numFmtId="170" formatCode="[&gt;0]\+0.0\°\F;[&lt;0]\-0.0\°\F;\ 0.0\°\F"/>
    <numFmt numFmtId="171" formatCode="mm/dd/yyyy"/>
    <numFmt numFmtId="172" formatCode="[$-409]h:mm\ AM/PM;@"/>
    <numFmt numFmtId="173" formatCode="mm/dd/yy;@"/>
    <numFmt numFmtId="174" formatCode="[$-409]mmm\ d\,\ yyyy;@"/>
    <numFmt numFmtId="175" formatCode="h:mm;@"/>
    <numFmt numFmtId="176" formatCode="[h]:mm"/>
    <numFmt numFmtId="177" formatCode="0.000000000000000"/>
    <numFmt numFmtId="178" formatCode="0.000000000000"/>
    <numFmt numFmtId="179" formatCode="#####0.0"/>
    <numFmt numFmtId="180" formatCode="[$-409]mmmm\ d\,\ yyyy;@"/>
    <numFmt numFmtId="181" formatCode="##&quot; MINUTES&quot;"/>
    <numFmt numFmtId="182" formatCode="\±0.0\°\F"/>
    <numFmt numFmtId="201" formatCode="0.000"/>
  </numFmts>
  <fonts count="141" x14ac:knownFonts="1">
    <font>
      <sz val="10"/>
      <name val="Arial"/>
    </font>
    <font>
      <sz val="11"/>
      <color theme="1"/>
      <name val="Calibri"/>
      <family val="2"/>
      <scheme val="minor"/>
    </font>
    <font>
      <sz val="11"/>
      <color theme="1"/>
      <name val="Calibri"/>
      <family val="2"/>
      <scheme val="minor"/>
    </font>
    <font>
      <b/>
      <sz val="10"/>
      <name val="Arial"/>
      <family val="2"/>
    </font>
    <font>
      <sz val="10"/>
      <color indexed="9"/>
      <name val="Arial"/>
      <family val="2"/>
    </font>
    <font>
      <sz val="11"/>
      <name val="Times New Roman"/>
      <family val="1"/>
    </font>
    <font>
      <b/>
      <sz val="11"/>
      <name val="Times New Roman"/>
      <family val="1"/>
    </font>
    <font>
      <sz val="10"/>
      <name val="Arial"/>
      <family val="2"/>
    </font>
    <font>
      <b/>
      <sz val="9"/>
      <color indexed="81"/>
      <name val="Tahoma"/>
      <family val="2"/>
    </font>
    <font>
      <sz val="9"/>
      <color indexed="81"/>
      <name val="Tahoma"/>
      <family val="2"/>
    </font>
    <font>
      <sz val="11"/>
      <color indexed="8"/>
      <name val="Calibri"/>
      <family val="2"/>
    </font>
    <font>
      <sz val="11"/>
      <color indexed="9"/>
      <name val="Calibri"/>
      <family val="2"/>
    </font>
    <font>
      <b/>
      <sz val="11"/>
      <color indexed="8"/>
      <name val="Calibri"/>
      <family val="2"/>
    </font>
    <font>
      <sz val="11"/>
      <color indexed="10"/>
      <name val="Calibri"/>
      <family val="2"/>
    </font>
    <font>
      <sz val="11"/>
      <color indexed="8"/>
      <name val="Times New Roman"/>
      <family val="1"/>
    </font>
    <font>
      <b/>
      <sz val="14"/>
      <color indexed="8"/>
      <name val="Times New Roman"/>
      <family val="1"/>
    </font>
    <font>
      <b/>
      <sz val="11"/>
      <color indexed="8"/>
      <name val="Times New Roman"/>
      <family val="1"/>
    </font>
    <font>
      <b/>
      <sz val="11"/>
      <color indexed="10"/>
      <name val="Calibri"/>
      <family val="2"/>
    </font>
    <font>
      <b/>
      <sz val="10"/>
      <color indexed="8"/>
      <name val="Calibri"/>
      <family val="2"/>
    </font>
    <font>
      <b/>
      <sz val="9"/>
      <color indexed="8"/>
      <name val="Calibri"/>
      <family val="2"/>
    </font>
    <font>
      <sz val="11"/>
      <name val="Calibri"/>
      <family val="2"/>
    </font>
    <font>
      <b/>
      <sz val="10"/>
      <color indexed="8"/>
      <name val="Times New Roman"/>
      <family val="1"/>
    </font>
    <font>
      <sz val="9"/>
      <color indexed="8"/>
      <name val="Calibri"/>
      <family val="2"/>
    </font>
    <font>
      <sz val="8"/>
      <name val="Arial"/>
      <family val="2"/>
    </font>
    <font>
      <b/>
      <sz val="14"/>
      <name val="Arial"/>
      <family val="2"/>
    </font>
    <font>
      <b/>
      <u/>
      <sz val="10"/>
      <name val="Arial"/>
      <family val="2"/>
    </font>
    <font>
      <sz val="10"/>
      <color indexed="9"/>
      <name val="Arial"/>
      <family val="2"/>
    </font>
    <font>
      <sz val="10"/>
      <color indexed="10"/>
      <name val="Arial"/>
      <family val="2"/>
    </font>
    <font>
      <b/>
      <sz val="8"/>
      <name val="Arial"/>
      <family val="2"/>
    </font>
    <font>
      <sz val="8"/>
      <name val="Arial"/>
      <family val="2"/>
    </font>
    <font>
      <b/>
      <i/>
      <sz val="8"/>
      <name val="Arial"/>
      <family val="2"/>
    </font>
    <font>
      <sz val="8"/>
      <color indexed="8"/>
      <name val="Arial"/>
      <family val="2"/>
    </font>
    <font>
      <sz val="9"/>
      <name val="Arial"/>
      <family val="2"/>
    </font>
    <font>
      <sz val="7"/>
      <name val="Arial"/>
      <family val="2"/>
    </font>
    <font>
      <sz val="11"/>
      <color indexed="9"/>
      <name val="Times New Roman"/>
      <family val="1"/>
    </font>
    <font>
      <sz val="10"/>
      <name val="Times New Roman"/>
      <family val="1"/>
    </font>
    <font>
      <sz val="10"/>
      <color indexed="9"/>
      <name val="Times New Roman"/>
      <family val="1"/>
    </font>
    <font>
      <sz val="9"/>
      <color indexed="9"/>
      <name val="Arial"/>
      <family val="2"/>
    </font>
    <font>
      <b/>
      <sz val="11"/>
      <name val="Arial"/>
      <family val="2"/>
    </font>
    <font>
      <u/>
      <sz val="10"/>
      <name val="Arial"/>
      <family val="2"/>
    </font>
    <font>
      <u/>
      <sz val="10"/>
      <name val="Arial"/>
      <family val="2"/>
    </font>
    <font>
      <u/>
      <sz val="10"/>
      <color indexed="8"/>
      <name val="Arial"/>
      <family val="2"/>
    </font>
    <font>
      <b/>
      <u/>
      <sz val="10"/>
      <color indexed="8"/>
      <name val="Arial"/>
      <family val="2"/>
    </font>
    <font>
      <sz val="10"/>
      <color indexed="48"/>
      <name val="Arial"/>
      <family val="2"/>
    </font>
    <font>
      <sz val="12"/>
      <name val="Arial"/>
      <family val="2"/>
    </font>
    <font>
      <b/>
      <sz val="12"/>
      <name val="Arial"/>
      <family val="2"/>
    </font>
    <font>
      <b/>
      <u/>
      <sz val="12"/>
      <name val="Arial"/>
      <family val="2"/>
    </font>
    <font>
      <sz val="12"/>
      <name val="Arial"/>
      <family val="2"/>
    </font>
    <font>
      <b/>
      <u/>
      <sz val="20"/>
      <name val="Arial"/>
      <family val="2"/>
    </font>
    <font>
      <b/>
      <u/>
      <sz val="12"/>
      <name val="Arial"/>
      <family val="2"/>
    </font>
    <font>
      <b/>
      <u/>
      <sz val="16"/>
      <name val="Arial"/>
      <family val="2"/>
    </font>
    <font>
      <b/>
      <i/>
      <u/>
      <sz val="8"/>
      <name val="Arial"/>
      <family val="2"/>
    </font>
    <font>
      <b/>
      <i/>
      <sz val="10"/>
      <color indexed="17"/>
      <name val="Arial"/>
      <family val="2"/>
    </font>
    <font>
      <sz val="8"/>
      <color indexed="8"/>
      <name val="Calibri"/>
      <family val="2"/>
    </font>
    <font>
      <b/>
      <sz val="8"/>
      <color indexed="8"/>
      <name val="Calibri"/>
      <family val="2"/>
    </font>
    <font>
      <sz val="12"/>
      <color indexed="8"/>
      <name val="Calibri"/>
      <family val="2"/>
    </font>
    <font>
      <sz val="11"/>
      <color theme="1"/>
      <name val="Calibri"/>
      <family val="2"/>
      <scheme val="minor"/>
    </font>
    <font>
      <sz val="10"/>
      <color theme="1"/>
      <name val="Arial"/>
      <family val="2"/>
    </font>
    <font>
      <sz val="10"/>
      <color rgb="FFFF0000"/>
      <name val="Arial"/>
      <family val="2"/>
    </font>
    <font>
      <sz val="8"/>
      <color theme="0"/>
      <name val="Arial"/>
      <family val="2"/>
    </font>
    <font>
      <sz val="10"/>
      <color theme="0"/>
      <name val="Arial"/>
      <family val="2"/>
    </font>
    <font>
      <b/>
      <sz val="8"/>
      <color rgb="FFFF0000"/>
      <name val="Arial"/>
      <family val="2"/>
    </font>
    <font>
      <sz val="11"/>
      <color rgb="FFFF0000"/>
      <name val="Arial"/>
      <family val="2"/>
    </font>
    <font>
      <b/>
      <sz val="14"/>
      <color theme="1"/>
      <name val="Arial"/>
      <family val="2"/>
    </font>
    <font>
      <sz val="8"/>
      <color theme="1"/>
      <name val="Arial"/>
      <family val="2"/>
    </font>
    <font>
      <b/>
      <sz val="8"/>
      <color indexed="10"/>
      <name val="Arial"/>
      <family val="2"/>
    </font>
    <font>
      <sz val="11"/>
      <color theme="1"/>
      <name val="Arial"/>
      <family val="2"/>
    </font>
    <font>
      <sz val="11"/>
      <name val="Arial"/>
      <family val="2"/>
    </font>
    <font>
      <sz val="11"/>
      <color theme="0"/>
      <name val="Calibri"/>
      <family val="2"/>
    </font>
    <font>
      <sz val="11"/>
      <color theme="0"/>
      <name val="Times New Roman"/>
      <family val="1"/>
    </font>
    <font>
      <b/>
      <i/>
      <sz val="8"/>
      <color rgb="FF008000"/>
      <name val="Arial"/>
      <family val="2"/>
    </font>
    <font>
      <b/>
      <sz val="8"/>
      <color rgb="FF0000FF"/>
      <name val="Arial"/>
      <family val="2"/>
    </font>
    <font>
      <sz val="8"/>
      <color rgb="FF009900"/>
      <name val="Arial"/>
      <family val="2"/>
    </font>
    <font>
      <sz val="11"/>
      <color theme="1"/>
      <name val="Times New Roman"/>
      <family val="1"/>
    </font>
    <font>
      <sz val="8"/>
      <color rgb="FF000000"/>
      <name val="Tahoma"/>
      <family val="2"/>
    </font>
    <font>
      <sz val="10"/>
      <color rgb="FF000000"/>
      <name val="Arial"/>
      <family val="2"/>
    </font>
    <font>
      <sz val="8"/>
      <color rgb="FF000000"/>
      <name val="Segoe UI"/>
      <family val="2"/>
    </font>
    <font>
      <b/>
      <sz val="10"/>
      <name val="Arial"/>
      <family val="2"/>
    </font>
    <font>
      <sz val="10"/>
      <name val="Arial"/>
      <family val="2"/>
    </font>
    <font>
      <b/>
      <sz val="18"/>
      <color indexed="8"/>
      <name val="Arial"/>
      <family val="2"/>
    </font>
    <font>
      <b/>
      <sz val="18"/>
      <color indexed="12"/>
      <name val="Arial"/>
      <family val="2"/>
    </font>
    <font>
      <sz val="10"/>
      <color indexed="10"/>
      <name val="Arial"/>
      <family val="2"/>
    </font>
    <font>
      <b/>
      <sz val="8"/>
      <name val="Arial"/>
      <family val="2"/>
    </font>
    <font>
      <sz val="8"/>
      <name val="Arial"/>
      <family val="2"/>
    </font>
    <font>
      <b/>
      <sz val="8"/>
      <color indexed="8"/>
      <name val="Arial"/>
      <family val="2"/>
    </font>
    <font>
      <sz val="10"/>
      <color indexed="44"/>
      <name val="Arial"/>
      <family val="2"/>
    </font>
    <font>
      <sz val="8"/>
      <color indexed="9"/>
      <name val="Arial"/>
      <family val="2"/>
    </font>
    <font>
      <sz val="10"/>
      <color indexed="8"/>
      <name val="Arial"/>
      <family val="2"/>
    </font>
    <font>
      <b/>
      <sz val="10"/>
      <color indexed="9"/>
      <name val="Arial"/>
      <family val="2"/>
    </font>
    <font>
      <sz val="10"/>
      <color indexed="9"/>
      <name val="Arial"/>
      <family val="2"/>
    </font>
    <font>
      <sz val="10"/>
      <color theme="8" tint="0.39997558519241921"/>
      <name val="Arial"/>
      <family val="2"/>
    </font>
    <font>
      <sz val="8"/>
      <color indexed="8"/>
      <name val="Arial"/>
      <family val="2"/>
    </font>
    <font>
      <b/>
      <sz val="7"/>
      <name val="Arial"/>
      <family val="2"/>
    </font>
    <font>
      <sz val="8"/>
      <color theme="0"/>
      <name val="Arial"/>
      <family val="2"/>
    </font>
    <font>
      <sz val="10"/>
      <color theme="4" tint="0.59999389629810485"/>
      <name val="Arial"/>
      <family val="2"/>
    </font>
    <font>
      <i/>
      <u/>
      <sz val="10"/>
      <name val="Arial"/>
      <family val="2"/>
    </font>
    <font>
      <sz val="10"/>
      <color indexed="47"/>
      <name val="Arial"/>
      <family val="2"/>
    </font>
    <font>
      <sz val="10"/>
      <color theme="1"/>
      <name val="Arial"/>
      <family val="2"/>
    </font>
    <font>
      <b/>
      <u/>
      <sz val="10"/>
      <name val="Arial"/>
      <family val="2"/>
    </font>
    <font>
      <sz val="8"/>
      <color theme="8" tint="0.39997558519241921"/>
      <name val="Arial"/>
      <family val="2"/>
    </font>
    <font>
      <sz val="8"/>
      <name val="Times New Roman"/>
      <family val="1"/>
    </font>
    <font>
      <sz val="8"/>
      <color rgb="FFFF0000"/>
      <name val="Arial"/>
      <family val="2"/>
    </font>
    <font>
      <sz val="10"/>
      <color theme="0"/>
      <name val="Arial"/>
      <family val="2"/>
    </font>
    <font>
      <sz val="9"/>
      <color theme="0"/>
      <name val="Arial"/>
      <family val="2"/>
    </font>
    <font>
      <b/>
      <sz val="8"/>
      <name val="Times New Roman"/>
      <family val="1"/>
    </font>
    <font>
      <sz val="10"/>
      <color theme="3" tint="0.59999389629810485"/>
      <name val="Arial"/>
      <family val="2"/>
    </font>
    <font>
      <b/>
      <sz val="8"/>
      <color theme="3" tint="0.59999389629810485"/>
      <name val="Arial"/>
      <family val="2"/>
    </font>
    <font>
      <sz val="10"/>
      <color theme="2"/>
      <name val="Arial"/>
      <family val="2"/>
    </font>
    <font>
      <sz val="10"/>
      <color theme="0" tint="-0.499984740745262"/>
      <name val="Arial"/>
      <family val="2"/>
    </font>
    <font>
      <b/>
      <sz val="8"/>
      <color rgb="FF99CCFF"/>
      <name val="Arial"/>
      <family val="2"/>
    </font>
    <font>
      <b/>
      <sz val="8"/>
      <color theme="8" tint="0.39997558519241921"/>
      <name val="Arial"/>
      <family val="2"/>
    </font>
    <font>
      <sz val="11"/>
      <color rgb="FFFF0000"/>
      <name val="Calibri"/>
      <family val="2"/>
      <scheme val="minor"/>
    </font>
    <font>
      <sz val="11"/>
      <color rgb="FFFF0000"/>
      <name val="Calibri"/>
      <family val="2"/>
    </font>
    <font>
      <b/>
      <sz val="14"/>
      <name val="Calibri"/>
      <family val="2"/>
      <scheme val="minor"/>
    </font>
    <font>
      <u/>
      <sz val="10"/>
      <color theme="10"/>
      <name val="Arial"/>
      <family val="2"/>
    </font>
    <font>
      <sz val="14"/>
      <name val="Arial"/>
      <family val="2"/>
    </font>
    <font>
      <sz val="11"/>
      <color theme="0"/>
      <name val="Arial"/>
      <family val="2"/>
    </font>
    <font>
      <b/>
      <sz val="18"/>
      <color theme="1"/>
      <name val="Arial"/>
      <family val="2"/>
    </font>
    <font>
      <b/>
      <sz val="24"/>
      <color theme="1"/>
      <name val="Arial"/>
      <family val="2"/>
    </font>
    <font>
      <sz val="18"/>
      <color theme="1"/>
      <name val="Arial"/>
      <family val="2"/>
    </font>
    <font>
      <sz val="18"/>
      <name val="Arial"/>
      <family val="2"/>
    </font>
    <font>
      <b/>
      <sz val="18"/>
      <name val="Arial"/>
      <family val="2"/>
    </font>
    <font>
      <sz val="13"/>
      <name val="Arial"/>
      <family val="2"/>
    </font>
    <font>
      <sz val="16"/>
      <color theme="1"/>
      <name val="Arial"/>
      <family val="2"/>
    </font>
    <font>
      <b/>
      <u/>
      <sz val="24"/>
      <color theme="1"/>
      <name val="Arial"/>
      <family val="2"/>
    </font>
    <font>
      <i/>
      <sz val="10"/>
      <name val="Arial"/>
      <family val="2"/>
    </font>
    <font>
      <u/>
      <sz val="12"/>
      <color theme="10"/>
      <name val="Arial"/>
      <family val="2"/>
    </font>
    <font>
      <b/>
      <sz val="8"/>
      <color theme="0"/>
      <name val="Times New Roman"/>
      <family val="1"/>
    </font>
    <font>
      <sz val="10"/>
      <name val="Calibri"/>
      <family val="2"/>
    </font>
    <font>
      <b/>
      <sz val="10"/>
      <color rgb="FFFF0000"/>
      <name val="Arial"/>
      <family val="2"/>
    </font>
    <font>
      <sz val="10"/>
      <color rgb="FF99CCFF"/>
      <name val="Arial"/>
      <family val="2"/>
    </font>
    <font>
      <b/>
      <sz val="10"/>
      <color indexed="10"/>
      <name val="Arial"/>
      <family val="2"/>
    </font>
    <font>
      <b/>
      <sz val="8"/>
      <color theme="1"/>
      <name val="Arial"/>
      <family val="2"/>
    </font>
    <font>
      <sz val="10"/>
      <color rgb="FFFFCC99"/>
      <name val="Arial"/>
      <family val="2"/>
    </font>
    <font>
      <b/>
      <sz val="9"/>
      <name val="Arial"/>
      <family val="2"/>
    </font>
    <font>
      <sz val="11"/>
      <color theme="0" tint="-0.249977111117893"/>
      <name val="Calibri"/>
      <family val="2"/>
    </font>
    <font>
      <b/>
      <sz val="11"/>
      <color theme="0" tint="-0.249977111117893"/>
      <name val="Calibri"/>
      <family val="2"/>
    </font>
    <font>
      <sz val="10"/>
      <color theme="0" tint="-0.249977111117893"/>
      <name val="Arial"/>
      <family val="2"/>
    </font>
    <font>
      <b/>
      <u/>
      <sz val="10"/>
      <color theme="10"/>
      <name val="Arial"/>
      <family val="2"/>
    </font>
    <font>
      <sz val="10"/>
      <color theme="0" tint="-0.14999847407452621"/>
      <name val="Arial"/>
      <family val="2"/>
    </font>
    <font>
      <sz val="11"/>
      <color theme="0" tint="-0.14999847407452621"/>
      <name val="Times New Roman"/>
      <family val="1"/>
    </font>
  </fonts>
  <fills count="15">
    <fill>
      <patternFill patternType="none"/>
    </fill>
    <fill>
      <patternFill patternType="gray125"/>
    </fill>
    <fill>
      <patternFill patternType="solid">
        <fgColor indexed="23"/>
        <bgColor indexed="64"/>
      </patternFill>
    </fill>
    <fill>
      <patternFill patternType="solid">
        <fgColor indexed="44"/>
        <bgColor indexed="64"/>
      </patternFill>
    </fill>
    <fill>
      <patternFill patternType="solid">
        <fgColor indexed="22"/>
        <bgColor indexed="64"/>
      </patternFill>
    </fill>
    <fill>
      <patternFill patternType="solid">
        <fgColor indexed="47"/>
        <bgColor indexed="64"/>
      </patternFill>
    </fill>
    <fill>
      <patternFill patternType="solid">
        <fgColor indexed="17"/>
        <bgColor indexed="64"/>
      </patternFill>
    </fill>
    <fill>
      <patternFill patternType="solid">
        <fgColor indexed="9"/>
        <bgColor indexed="64"/>
      </patternFill>
    </fill>
    <fill>
      <patternFill patternType="solid">
        <fgColor theme="0" tint="-0.249977111117893"/>
        <bgColor indexed="64"/>
      </patternFill>
    </fill>
    <fill>
      <patternFill patternType="solid">
        <fgColor rgb="FF008000"/>
        <bgColor indexed="64"/>
      </patternFill>
    </fill>
    <fill>
      <patternFill patternType="solid">
        <fgColor rgb="FF99CCFF"/>
        <bgColor indexed="64"/>
      </patternFill>
    </fill>
    <fill>
      <patternFill patternType="solid">
        <fgColor rgb="FFC0C0C0"/>
        <bgColor indexed="64"/>
      </patternFill>
    </fill>
    <fill>
      <patternFill patternType="solid">
        <fgColor rgb="FFFFCC99"/>
        <bgColor indexed="64"/>
      </patternFill>
    </fill>
    <fill>
      <patternFill patternType="solid">
        <fgColor theme="1"/>
        <bgColor indexed="64"/>
      </patternFill>
    </fill>
    <fill>
      <patternFill patternType="solid">
        <fgColor theme="6" tint="0.59999389629810485"/>
        <bgColor indexed="64"/>
      </patternFill>
    </fill>
  </fills>
  <borders count="31">
    <border>
      <left/>
      <right/>
      <top/>
      <bottom/>
      <diagonal/>
    </border>
    <border>
      <left/>
      <right/>
      <top/>
      <bottom style="medium">
        <color indexed="64"/>
      </bottom>
      <diagonal/>
    </border>
    <border>
      <left style="thin">
        <color indexed="55"/>
      </left>
      <right style="thin">
        <color indexed="55"/>
      </right>
      <top style="thin">
        <color indexed="55"/>
      </top>
      <bottom style="thin">
        <color indexed="55"/>
      </bottom>
      <diagonal/>
    </border>
    <border>
      <left style="thin">
        <color indexed="55"/>
      </left>
      <right style="thin">
        <color indexed="55"/>
      </right>
      <top/>
      <bottom style="thin">
        <color indexed="55"/>
      </bottom>
      <diagonal/>
    </border>
    <border>
      <left style="thin">
        <color indexed="64"/>
      </left>
      <right style="thin">
        <color indexed="64"/>
      </right>
      <top style="thin">
        <color indexed="64"/>
      </top>
      <bottom style="thin">
        <color indexed="64"/>
      </bottom>
      <diagonal/>
    </border>
    <border>
      <left/>
      <right/>
      <top style="medium">
        <color indexed="64"/>
      </top>
      <bottom style="medium">
        <color indexed="64"/>
      </bottom>
      <diagonal/>
    </border>
    <border>
      <left style="medium">
        <color indexed="64"/>
      </left>
      <right/>
      <top style="medium">
        <color indexed="64"/>
      </top>
      <bottom style="medium">
        <color indexed="64"/>
      </bottom>
      <diagonal/>
    </border>
    <border>
      <left/>
      <right style="medium">
        <color indexed="64"/>
      </right>
      <top style="medium">
        <color indexed="64"/>
      </top>
      <bottom style="medium">
        <color indexed="64"/>
      </bottom>
      <diagonal/>
    </border>
    <border>
      <left style="thin">
        <color indexed="64"/>
      </left>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top/>
      <bottom style="thin">
        <color indexed="64"/>
      </bottom>
      <diagonal/>
    </border>
    <border>
      <left style="thin">
        <color indexed="64"/>
      </left>
      <right style="thin">
        <color indexed="64"/>
      </right>
      <top style="thin">
        <color indexed="64"/>
      </top>
      <bottom style="medium">
        <color indexed="64"/>
      </bottom>
      <diagonal/>
    </border>
    <border>
      <left style="thin">
        <color indexed="64"/>
      </left>
      <right style="thin">
        <color indexed="64"/>
      </right>
      <top style="thin">
        <color indexed="64"/>
      </top>
      <bottom/>
      <diagonal/>
    </border>
    <border>
      <left/>
      <right style="thin">
        <color indexed="64"/>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style="thin">
        <color indexed="64"/>
      </top>
      <bottom/>
      <diagonal/>
    </border>
    <border>
      <left/>
      <right style="thin">
        <color indexed="64"/>
      </right>
      <top/>
      <bottom/>
      <diagonal/>
    </border>
    <border>
      <left/>
      <right style="thin">
        <color indexed="64"/>
      </right>
      <top/>
      <bottom style="thin">
        <color indexed="64"/>
      </bottom>
      <diagonal/>
    </border>
    <border>
      <left style="thin">
        <color indexed="64"/>
      </left>
      <right style="thin">
        <color indexed="64"/>
      </right>
      <top/>
      <bottom/>
      <diagonal/>
    </border>
    <border>
      <left style="thin">
        <color indexed="64"/>
      </left>
      <right/>
      <top/>
      <bottom/>
      <diagonal/>
    </border>
    <border>
      <left/>
      <right/>
      <top/>
      <bottom style="thin">
        <color indexed="64"/>
      </bottom>
      <diagonal/>
    </border>
    <border>
      <left/>
      <right/>
      <top style="medium">
        <color indexed="64"/>
      </top>
      <bottom/>
      <diagonal/>
    </border>
    <border>
      <left/>
      <right style="medium">
        <color indexed="64"/>
      </right>
      <top/>
      <bottom/>
      <diagonal/>
    </border>
    <border>
      <left style="medium">
        <color indexed="64"/>
      </left>
      <right style="thin">
        <color indexed="64"/>
      </right>
      <top/>
      <bottom style="medium">
        <color indexed="64"/>
      </bottom>
      <diagonal/>
    </border>
    <border>
      <left style="thin">
        <color indexed="64"/>
      </left>
      <right style="thin">
        <color indexed="64"/>
      </right>
      <top/>
      <bottom style="medium">
        <color indexed="64"/>
      </bottom>
      <diagonal/>
    </border>
    <border>
      <left style="thin">
        <color indexed="64"/>
      </left>
      <right style="medium">
        <color indexed="64"/>
      </right>
      <top/>
      <bottom style="medium">
        <color indexed="64"/>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s>
  <cellStyleXfs count="7">
    <xf numFmtId="0" fontId="0" fillId="0" borderId="0"/>
    <xf numFmtId="0" fontId="56" fillId="0" borderId="0"/>
    <xf numFmtId="0" fontId="10" fillId="0" borderId="0"/>
    <xf numFmtId="0" fontId="7" fillId="0" borderId="0"/>
    <xf numFmtId="0" fontId="2" fillId="0" borderId="0"/>
    <xf numFmtId="0" fontId="1" fillId="0" borderId="0"/>
    <xf numFmtId="0" fontId="114" fillId="0" borderId="0" applyNumberFormat="0" applyFill="0" applyBorder="0" applyAlignment="0" applyProtection="0"/>
  </cellStyleXfs>
  <cellXfs count="671">
    <xf numFmtId="0" fontId="0" fillId="0" borderId="0" xfId="0"/>
    <xf numFmtId="0" fontId="3" fillId="0" borderId="0" xfId="0" applyFont="1"/>
    <xf numFmtId="164" fontId="3" fillId="0" borderId="0" xfId="0" applyNumberFormat="1" applyFont="1"/>
    <xf numFmtId="0" fontId="4" fillId="0" borderId="0" xfId="0" applyFont="1"/>
    <xf numFmtId="0" fontId="5" fillId="0" borderId="0" xfId="0" applyFont="1"/>
    <xf numFmtId="0" fontId="6" fillId="0" borderId="0" xfId="0" applyFont="1"/>
    <xf numFmtId="164" fontId="0" fillId="0" borderId="0" xfId="0" applyNumberFormat="1"/>
    <xf numFmtId="0" fontId="5" fillId="0" borderId="0" xfId="0" applyFont="1" applyAlignment="1">
      <alignment horizontal="right"/>
    </xf>
    <xf numFmtId="0" fontId="56" fillId="0" borderId="0" xfId="1"/>
    <xf numFmtId="0" fontId="56" fillId="0" borderId="0" xfId="1" applyAlignment="1">
      <alignment horizontal="center"/>
    </xf>
    <xf numFmtId="0" fontId="14" fillId="0" borderId="0" xfId="1" applyFont="1" applyAlignment="1">
      <alignment vertical="center"/>
    </xf>
    <xf numFmtId="0" fontId="15" fillId="0" borderId="0" xfId="1" applyFont="1" applyAlignment="1">
      <alignment horizontal="center" vertical="top"/>
    </xf>
    <xf numFmtId="0" fontId="56" fillId="0" borderId="0" xfId="1" applyAlignment="1">
      <alignment horizontal="left"/>
    </xf>
    <xf numFmtId="0" fontId="56" fillId="0" borderId="0" xfId="1" quotePrefix="1" applyAlignment="1">
      <alignment horizontal="left"/>
    </xf>
    <xf numFmtId="167" fontId="56" fillId="0" borderId="0" xfId="1" applyNumberFormat="1" applyAlignment="1">
      <alignment horizontal="left"/>
    </xf>
    <xf numFmtId="0" fontId="17" fillId="0" borderId="0" xfId="1" applyFont="1" applyProtection="1">
      <protection hidden="1"/>
    </xf>
    <xf numFmtId="0" fontId="10" fillId="0" borderId="0" xfId="1" applyFont="1"/>
    <xf numFmtId="0" fontId="11" fillId="0" borderId="0" xfId="1" applyFont="1"/>
    <xf numFmtId="0" fontId="18" fillId="0" borderId="0" xfId="1" applyFont="1"/>
    <xf numFmtId="0" fontId="56" fillId="0" borderId="1" xfId="1" applyBorder="1"/>
    <xf numFmtId="0" fontId="18" fillId="0" borderId="1" xfId="1" applyFont="1" applyBorder="1" applyAlignment="1">
      <alignment horizontal="center"/>
    </xf>
    <xf numFmtId="0" fontId="12" fillId="0" borderId="0" xfId="1" applyFont="1"/>
    <xf numFmtId="165" fontId="56" fillId="0" borderId="2" xfId="1" applyNumberFormat="1" applyBorder="1" applyAlignment="1">
      <alignment horizontal="center"/>
    </xf>
    <xf numFmtId="0" fontId="11" fillId="0" borderId="1" xfId="1" applyFont="1" applyBorder="1"/>
    <xf numFmtId="0" fontId="11" fillId="0" borderId="1" xfId="1" applyFont="1" applyBorder="1" applyAlignment="1">
      <alignment horizontal="center"/>
    </xf>
    <xf numFmtId="0" fontId="19" fillId="0" borderId="0" xfId="1" applyFont="1" applyAlignment="1">
      <alignment horizontal="right"/>
    </xf>
    <xf numFmtId="0" fontId="18" fillId="0" borderId="0" xfId="1" applyFont="1" applyAlignment="1">
      <alignment horizontal="center"/>
    </xf>
    <xf numFmtId="0" fontId="56" fillId="0" borderId="3" xfId="1" applyBorder="1" applyAlignment="1">
      <alignment horizontal="center"/>
    </xf>
    <xf numFmtId="0" fontId="13" fillId="0" borderId="0" xfId="1" applyFont="1"/>
    <xf numFmtId="0" fontId="13" fillId="0" borderId="0" xfId="1" applyFont="1" applyAlignment="1">
      <alignment horizontal="center"/>
    </xf>
    <xf numFmtId="170" fontId="56" fillId="0" borderId="3" xfId="1" applyNumberFormat="1" applyBorder="1" applyAlignment="1">
      <alignment horizontal="center"/>
    </xf>
    <xf numFmtId="0" fontId="11" fillId="0" borderId="1" xfId="1" applyFont="1" applyBorder="1" applyProtection="1">
      <protection locked="0"/>
    </xf>
    <xf numFmtId="0" fontId="11" fillId="0" borderId="0" xfId="1" applyFont="1" applyProtection="1">
      <protection locked="0"/>
    </xf>
    <xf numFmtId="0" fontId="56" fillId="0" borderId="0" xfId="1" applyProtection="1">
      <protection locked="0"/>
    </xf>
    <xf numFmtId="0" fontId="21" fillId="0" borderId="0" xfId="1" applyFont="1" applyAlignment="1">
      <alignment vertical="top"/>
    </xf>
    <xf numFmtId="0" fontId="16" fillId="0" borderId="0" xfId="1" applyFont="1" applyAlignment="1">
      <alignment horizontal="right"/>
    </xf>
    <xf numFmtId="0" fontId="16" fillId="0" borderId="0" xfId="1" applyFont="1" applyAlignment="1">
      <alignment horizontal="right" vertical="center"/>
    </xf>
    <xf numFmtId="0" fontId="12" fillId="0" borderId="0" xfId="1" applyFont="1" applyAlignment="1">
      <alignment horizontal="right"/>
    </xf>
    <xf numFmtId="0" fontId="24" fillId="0" borderId="0" xfId="0" applyFont="1"/>
    <xf numFmtId="14" fontId="5" fillId="0" borderId="0" xfId="0" applyNumberFormat="1" applyFont="1"/>
    <xf numFmtId="0" fontId="0" fillId="0" borderId="4" xfId="0" applyBorder="1"/>
    <xf numFmtId="0" fontId="25" fillId="0" borderId="0" xfId="0" applyFont="1"/>
    <xf numFmtId="173" fontId="56" fillId="0" borderId="0" xfId="1" applyNumberFormat="1" applyAlignment="1">
      <alignment horizontal="left"/>
    </xf>
    <xf numFmtId="0" fontId="56" fillId="0" borderId="1" xfId="1" applyBorder="1" applyAlignment="1">
      <alignment horizontal="center"/>
    </xf>
    <xf numFmtId="0" fontId="7" fillId="0" borderId="0" xfId="0" applyFont="1"/>
    <xf numFmtId="165" fontId="56" fillId="0" borderId="3" xfId="1" applyNumberFormat="1" applyBorder="1" applyAlignment="1">
      <alignment horizontal="center"/>
    </xf>
    <xf numFmtId="166" fontId="0" fillId="0" borderId="0" xfId="0" applyNumberFormat="1" applyAlignment="1">
      <alignment horizontal="left"/>
    </xf>
    <xf numFmtId="0" fontId="26" fillId="0" borderId="0" xfId="0" applyFont="1"/>
    <xf numFmtId="168" fontId="20" fillId="0" borderId="0" xfId="1" applyNumberFormat="1" applyFont="1" applyAlignment="1">
      <alignment horizontal="left"/>
    </xf>
    <xf numFmtId="164" fontId="5" fillId="0" borderId="0" xfId="0" applyNumberFormat="1" applyFont="1"/>
    <xf numFmtId="164" fontId="4" fillId="0" borderId="0" xfId="0" applyNumberFormat="1" applyFont="1"/>
    <xf numFmtId="0" fontId="5" fillId="0" borderId="0" xfId="0" applyFont="1" applyAlignment="1">
      <alignment horizontal="left"/>
    </xf>
    <xf numFmtId="0" fontId="30" fillId="0" borderId="0" xfId="0" applyFont="1"/>
    <xf numFmtId="172" fontId="0" fillId="0" borderId="0" xfId="0" applyNumberFormat="1"/>
    <xf numFmtId="172" fontId="5" fillId="0" borderId="0" xfId="0" applyNumberFormat="1" applyFont="1"/>
    <xf numFmtId="164" fontId="5" fillId="0" borderId="0" xfId="0" applyNumberFormat="1" applyFont="1" applyAlignment="1">
      <alignment vertical="center"/>
    </xf>
    <xf numFmtId="172" fontId="12" fillId="0" borderId="0" xfId="1" applyNumberFormat="1" applyFont="1"/>
    <xf numFmtId="175" fontId="0" fillId="0" borderId="0" xfId="0" applyNumberFormat="1"/>
    <xf numFmtId="178" fontId="0" fillId="0" borderId="0" xfId="0" applyNumberFormat="1"/>
    <xf numFmtId="14" fontId="5" fillId="0" borderId="0" xfId="0" quotePrefix="1" applyNumberFormat="1" applyFont="1" applyAlignment="1">
      <alignment horizontal="left"/>
    </xf>
    <xf numFmtId="166" fontId="5" fillId="0" borderId="0" xfId="0" applyNumberFormat="1" applyFont="1" applyAlignment="1">
      <alignment horizontal="left"/>
    </xf>
    <xf numFmtId="0" fontId="0" fillId="0" borderId="0" xfId="0" applyProtection="1">
      <protection locked="0"/>
    </xf>
    <xf numFmtId="0" fontId="32" fillId="0" borderId="0" xfId="0" applyFont="1" applyProtection="1">
      <protection locked="0"/>
    </xf>
    <xf numFmtId="0" fontId="5" fillId="0" borderId="0" xfId="0" applyFont="1" applyProtection="1">
      <protection locked="0"/>
    </xf>
    <xf numFmtId="172" fontId="0" fillId="0" borderId="0" xfId="0" applyNumberFormat="1" applyProtection="1">
      <protection locked="0"/>
    </xf>
    <xf numFmtId="0" fontId="33" fillId="0" borderId="4" xfId="0" applyFont="1" applyBorder="1" applyAlignment="1">
      <alignment horizontal="left"/>
    </xf>
    <xf numFmtId="14" fontId="33" fillId="0" borderId="4" xfId="0" applyNumberFormat="1" applyFont="1" applyBorder="1" applyAlignment="1">
      <alignment horizontal="left"/>
    </xf>
    <xf numFmtId="166" fontId="33" fillId="0" borderId="4" xfId="0" applyNumberFormat="1" applyFont="1" applyBorder="1" applyAlignment="1">
      <alignment horizontal="left"/>
    </xf>
    <xf numFmtId="0" fontId="34" fillId="0" borderId="0" xfId="0" applyFont="1"/>
    <xf numFmtId="2" fontId="32" fillId="0" borderId="0" xfId="0" applyNumberFormat="1" applyFont="1" applyProtection="1">
      <protection locked="0"/>
    </xf>
    <xf numFmtId="0" fontId="35" fillId="0" borderId="0" xfId="0" applyFont="1" applyProtection="1">
      <protection locked="0"/>
    </xf>
    <xf numFmtId="2" fontId="35" fillId="0" borderId="0" xfId="0" applyNumberFormat="1" applyFont="1" applyProtection="1">
      <protection locked="0"/>
    </xf>
    <xf numFmtId="164" fontId="35" fillId="0" borderId="6" xfId="0" applyNumberFormat="1" applyFont="1" applyBorder="1"/>
    <xf numFmtId="164" fontId="35" fillId="0" borderId="5" xfId="0" applyNumberFormat="1" applyFont="1" applyBorder="1"/>
    <xf numFmtId="164" fontId="35" fillId="0" borderId="7" xfId="0" applyNumberFormat="1" applyFont="1" applyBorder="1"/>
    <xf numFmtId="164" fontId="35" fillId="0" borderId="0" xfId="0" applyNumberFormat="1" applyFont="1"/>
    <xf numFmtId="164" fontId="35" fillId="0" borderId="0" xfId="0" applyNumberFormat="1" applyFont="1" applyProtection="1">
      <protection locked="0"/>
    </xf>
    <xf numFmtId="166" fontId="7" fillId="0" borderId="0" xfId="0" applyNumberFormat="1" applyFont="1" applyAlignment="1">
      <alignment horizontal="left"/>
    </xf>
    <xf numFmtId="0" fontId="7" fillId="0" borderId="0" xfId="0" applyFont="1" applyAlignment="1">
      <alignment horizontal="right"/>
    </xf>
    <xf numFmtId="14" fontId="7" fillId="0" borderId="0" xfId="0" applyNumberFormat="1" applyFont="1" applyAlignment="1">
      <alignment horizontal="right"/>
    </xf>
    <xf numFmtId="14" fontId="7" fillId="0" borderId="0" xfId="0" applyNumberFormat="1" applyFont="1" applyAlignment="1">
      <alignment horizontal="left"/>
    </xf>
    <xf numFmtId="0" fontId="7" fillId="0" borderId="0" xfId="0" applyFont="1" applyAlignment="1">
      <alignment horizontal="left"/>
    </xf>
    <xf numFmtId="0" fontId="3" fillId="0" borderId="4" xfId="0" applyFont="1" applyBorder="1"/>
    <xf numFmtId="0" fontId="3" fillId="0" borderId="0" xfId="0" applyFont="1" applyAlignment="1">
      <alignment horizontal="right"/>
    </xf>
    <xf numFmtId="0" fontId="7" fillId="0" borderId="4" xfId="0" applyFont="1" applyBorder="1"/>
    <xf numFmtId="0" fontId="3" fillId="0" borderId="0" xfId="0" applyFont="1" applyAlignment="1">
      <alignment horizontal="right" vertical="top"/>
    </xf>
    <xf numFmtId="0" fontId="38" fillId="0" borderId="0" xfId="0" applyFont="1"/>
    <xf numFmtId="178" fontId="25" fillId="0" borderId="0" xfId="0" applyNumberFormat="1" applyFont="1"/>
    <xf numFmtId="0" fontId="39" fillId="0" borderId="0" xfId="0" applyFont="1"/>
    <xf numFmtId="178" fontId="40" fillId="0" borderId="0" xfId="0" applyNumberFormat="1" applyFont="1"/>
    <xf numFmtId="0" fontId="40" fillId="0" borderId="0" xfId="0" applyFont="1"/>
    <xf numFmtId="178" fontId="41" fillId="0" borderId="0" xfId="0" applyNumberFormat="1" applyFont="1"/>
    <xf numFmtId="0" fontId="41" fillId="0" borderId="0" xfId="0" applyFont="1"/>
    <xf numFmtId="178" fontId="42" fillId="0" borderId="0" xfId="0" applyNumberFormat="1" applyFont="1"/>
    <xf numFmtId="49" fontId="0" fillId="0" borderId="0" xfId="0" applyNumberFormat="1" applyProtection="1">
      <protection locked="0"/>
    </xf>
    <xf numFmtId="0" fontId="0" fillId="0" borderId="0" xfId="0" applyAlignment="1">
      <alignment horizontal="left"/>
    </xf>
    <xf numFmtId="0" fontId="33" fillId="0" borderId="4" xfId="0" applyFont="1" applyBorder="1" applyAlignment="1">
      <alignment horizontal="left" vertical="top" wrapText="1"/>
    </xf>
    <xf numFmtId="0" fontId="0" fillId="0" borderId="20" xfId="0" applyBorder="1"/>
    <xf numFmtId="0" fontId="24" fillId="0" borderId="0" xfId="0" applyFont="1" applyAlignment="1">
      <alignment horizontal="center"/>
    </xf>
    <xf numFmtId="0" fontId="0" fillId="0" borderId="0" xfId="0" applyAlignment="1">
      <alignment horizontal="center"/>
    </xf>
    <xf numFmtId="49" fontId="0" fillId="0" borderId="0" xfId="0" applyNumberFormat="1"/>
    <xf numFmtId="49" fontId="0" fillId="0" borderId="0" xfId="0" applyNumberFormat="1" applyAlignment="1">
      <alignment horizontal="center"/>
    </xf>
    <xf numFmtId="0" fontId="0" fillId="0" borderId="0" xfId="0" applyAlignment="1" applyProtection="1">
      <alignment horizontal="center"/>
      <protection locked="0"/>
    </xf>
    <xf numFmtId="0" fontId="45" fillId="0" borderId="0" xfId="0" applyFont="1" applyAlignment="1">
      <alignment horizontal="right"/>
    </xf>
    <xf numFmtId="0" fontId="47" fillId="0" borderId="0" xfId="0" applyFont="1"/>
    <xf numFmtId="0" fontId="48" fillId="0" borderId="0" xfId="0" applyFont="1" applyAlignment="1">
      <alignment horizontal="center"/>
    </xf>
    <xf numFmtId="0" fontId="44" fillId="0" borderId="0" xfId="0" applyFont="1"/>
    <xf numFmtId="0" fontId="49" fillId="0" borderId="0" xfId="0" applyFont="1"/>
    <xf numFmtId="0" fontId="46" fillId="0" borderId="0" xfId="0" applyFont="1" applyAlignment="1">
      <alignment horizontal="right"/>
    </xf>
    <xf numFmtId="49" fontId="47" fillId="0" borderId="0" xfId="0" applyNumberFormat="1" applyFont="1" applyAlignment="1" applyProtection="1">
      <alignment horizontal="right"/>
      <protection locked="0"/>
    </xf>
    <xf numFmtId="0" fontId="50" fillId="0" borderId="0" xfId="0" applyFont="1" applyAlignment="1">
      <alignment horizontal="right"/>
    </xf>
    <xf numFmtId="14" fontId="0" fillId="0" borderId="0" xfId="0" applyNumberFormat="1"/>
    <xf numFmtId="0" fontId="7" fillId="0" borderId="0" xfId="0" applyFont="1" applyProtection="1">
      <protection locked="0"/>
    </xf>
    <xf numFmtId="164" fontId="7" fillId="0" borderId="0" xfId="0" applyNumberFormat="1" applyFont="1" applyProtection="1">
      <protection locked="0"/>
    </xf>
    <xf numFmtId="21" fontId="7" fillId="0" borderId="0" xfId="0" applyNumberFormat="1" applyFont="1" applyProtection="1">
      <protection locked="0"/>
    </xf>
    <xf numFmtId="172" fontId="7" fillId="0" borderId="0" xfId="0" applyNumberFormat="1" applyFont="1" applyProtection="1">
      <protection locked="0"/>
    </xf>
    <xf numFmtId="0" fontId="43" fillId="0" borderId="0" xfId="0" applyFont="1"/>
    <xf numFmtId="0" fontId="52" fillId="0" borderId="0" xfId="0" applyFont="1"/>
    <xf numFmtId="0" fontId="23" fillId="0" borderId="0" xfId="0" applyFont="1"/>
    <xf numFmtId="0" fontId="53" fillId="0" borderId="0" xfId="2" applyFont="1"/>
    <xf numFmtId="0" fontId="54" fillId="0" borderId="0" xfId="2" applyFont="1"/>
    <xf numFmtId="0" fontId="29" fillId="0" borderId="0" xfId="0" applyFont="1"/>
    <xf numFmtId="0" fontId="28" fillId="0" borderId="0" xfId="0" applyFont="1"/>
    <xf numFmtId="14" fontId="29" fillId="0" borderId="0" xfId="0" applyNumberFormat="1" applyFont="1" applyAlignment="1">
      <alignment horizontal="right"/>
    </xf>
    <xf numFmtId="14" fontId="29" fillId="0" borderId="0" xfId="0" applyNumberFormat="1" applyFont="1" applyAlignment="1">
      <alignment horizontal="left"/>
    </xf>
    <xf numFmtId="0" fontId="29" fillId="0" borderId="0" xfId="0" applyFont="1" applyAlignment="1">
      <alignment horizontal="right"/>
    </xf>
    <xf numFmtId="0" fontId="29" fillId="0" borderId="0" xfId="0" applyFont="1" applyAlignment="1">
      <alignment horizontal="left"/>
    </xf>
    <xf numFmtId="166" fontId="29" fillId="0" borderId="0" xfId="0" applyNumberFormat="1" applyFont="1" applyAlignment="1">
      <alignment horizontal="left"/>
    </xf>
    <xf numFmtId="0" fontId="45" fillId="0" borderId="0" xfId="2" applyFont="1"/>
    <xf numFmtId="0" fontId="55" fillId="0" borderId="0" xfId="2" applyFont="1"/>
    <xf numFmtId="0" fontId="56" fillId="0" borderId="0" xfId="1" applyAlignment="1" applyProtection="1">
      <alignment horizontal="center"/>
      <protection locked="0"/>
    </xf>
    <xf numFmtId="172" fontId="7" fillId="0" borderId="0" xfId="0" applyNumberFormat="1" applyFont="1"/>
    <xf numFmtId="178" fontId="39" fillId="0" borderId="0" xfId="0" applyNumberFormat="1" applyFont="1"/>
    <xf numFmtId="177" fontId="39" fillId="0" borderId="0" xfId="0" applyNumberFormat="1" applyFont="1"/>
    <xf numFmtId="0" fontId="58" fillId="0" borderId="0" xfId="0" applyFont="1"/>
    <xf numFmtId="2" fontId="23" fillId="0" borderId="0" xfId="0" applyNumberFormat="1" applyFont="1"/>
    <xf numFmtId="2" fontId="29" fillId="0" borderId="0" xfId="0" applyNumberFormat="1" applyFont="1"/>
    <xf numFmtId="2" fontId="0" fillId="0" borderId="0" xfId="0" applyNumberFormat="1"/>
    <xf numFmtId="0" fontId="59" fillId="0" borderId="0" xfId="0" applyFont="1"/>
    <xf numFmtId="0" fontId="7" fillId="0" borderId="20" xfId="0" applyFont="1" applyBorder="1"/>
    <xf numFmtId="165" fontId="7" fillId="0" borderId="4" xfId="0" applyNumberFormat="1" applyFont="1" applyBorder="1" applyAlignment="1">
      <alignment horizontal="right"/>
    </xf>
    <xf numFmtId="178" fontId="58" fillId="0" borderId="0" xfId="0" applyNumberFormat="1" applyFont="1"/>
    <xf numFmtId="0" fontId="60" fillId="0" borderId="0" xfId="0" applyFont="1"/>
    <xf numFmtId="164" fontId="7" fillId="0" borderId="4" xfId="0" applyNumberFormat="1" applyFont="1" applyBorder="1"/>
    <xf numFmtId="172" fontId="38" fillId="0" borderId="0" xfId="0" applyNumberFormat="1" applyFont="1"/>
    <xf numFmtId="172" fontId="7" fillId="0" borderId="0" xfId="0" applyNumberFormat="1" applyFont="1" applyAlignment="1">
      <alignment horizontal="right"/>
    </xf>
    <xf numFmtId="172" fontId="39" fillId="0" borderId="0" xfId="0" applyNumberFormat="1" applyFont="1"/>
    <xf numFmtId="0" fontId="62" fillId="0" borderId="0" xfId="0" applyFont="1"/>
    <xf numFmtId="2" fontId="60" fillId="0" borderId="0" xfId="0" applyNumberFormat="1" applyFont="1"/>
    <xf numFmtId="0" fontId="57" fillId="0" borderId="0" xfId="0" applyFont="1"/>
    <xf numFmtId="0" fontId="63" fillId="0" borderId="0" xfId="0" applyFont="1"/>
    <xf numFmtId="0" fontId="60" fillId="0" borderId="0" xfId="0" applyFont="1" applyAlignment="1">
      <alignment horizontal="left"/>
    </xf>
    <xf numFmtId="172" fontId="66" fillId="0" borderId="0" xfId="0" applyNumberFormat="1" applyFont="1"/>
    <xf numFmtId="164" fontId="7" fillId="0" borderId="0" xfId="0" applyNumberFormat="1" applyFont="1"/>
    <xf numFmtId="172" fontId="7" fillId="0" borderId="0" xfId="0" applyNumberFormat="1" applyFont="1" applyAlignment="1">
      <alignment horizontal="center"/>
    </xf>
    <xf numFmtId="0" fontId="30" fillId="0" borderId="0" xfId="0" applyFont="1" applyAlignment="1">
      <alignment horizontal="center"/>
    </xf>
    <xf numFmtId="0" fontId="3" fillId="0" borderId="0" xfId="0" applyFont="1" applyAlignment="1">
      <alignment horizontal="center"/>
    </xf>
    <xf numFmtId="172" fontId="67" fillId="0" borderId="0" xfId="0" applyNumberFormat="1" applyFont="1"/>
    <xf numFmtId="0" fontId="25" fillId="0" borderId="0" xfId="0" applyFont="1" applyAlignment="1">
      <alignment horizontal="center"/>
    </xf>
    <xf numFmtId="0" fontId="20" fillId="0" borderId="0" xfId="0" applyFont="1" applyAlignment="1">
      <alignment vertical="center"/>
    </xf>
    <xf numFmtId="164" fontId="68" fillId="0" borderId="0" xfId="0" applyNumberFormat="1" applyFont="1"/>
    <xf numFmtId="164" fontId="60" fillId="0" borderId="0" xfId="0" applyNumberFormat="1" applyFont="1"/>
    <xf numFmtId="179" fontId="39" fillId="0" borderId="0" xfId="0" applyNumberFormat="1" applyFont="1"/>
    <xf numFmtId="0" fontId="27" fillId="0" borderId="0" xfId="0" applyFont="1"/>
    <xf numFmtId="49" fontId="44" fillId="0" borderId="0" xfId="0" applyNumberFormat="1" applyFont="1" applyAlignment="1" applyProtection="1">
      <alignment horizontal="right"/>
      <protection locked="0"/>
    </xf>
    <xf numFmtId="0" fontId="69" fillId="0" borderId="0" xfId="0" applyFont="1"/>
    <xf numFmtId="172" fontId="39" fillId="0" borderId="0" xfId="0" applyNumberFormat="1" applyFont="1" applyAlignment="1">
      <alignment horizontal="right"/>
    </xf>
    <xf numFmtId="0" fontId="39" fillId="0" borderId="0" xfId="0" applyFont="1" applyAlignment="1">
      <alignment horizontal="left"/>
    </xf>
    <xf numFmtId="172" fontId="39" fillId="0" borderId="0" xfId="0" applyNumberFormat="1" applyFont="1" applyAlignment="1">
      <alignment horizontal="center"/>
    </xf>
    <xf numFmtId="0" fontId="51" fillId="0" borderId="0" xfId="0" applyFont="1" applyAlignment="1">
      <alignment horizontal="center"/>
    </xf>
    <xf numFmtId="0" fontId="51" fillId="0" borderId="0" xfId="0" applyFont="1"/>
    <xf numFmtId="0" fontId="73" fillId="0" borderId="0" xfId="0" applyFont="1"/>
    <xf numFmtId="0" fontId="7" fillId="0" borderId="0" xfId="3" applyProtection="1">
      <protection locked="0"/>
    </xf>
    <xf numFmtId="172" fontId="7" fillId="0" borderId="0" xfId="3" applyNumberFormat="1" applyProtection="1">
      <protection locked="0"/>
    </xf>
    <xf numFmtId="0" fontId="57" fillId="0" borderId="0" xfId="0" applyFont="1" applyAlignment="1">
      <alignment horizontal="center"/>
    </xf>
    <xf numFmtId="1" fontId="0" fillId="0" borderId="0" xfId="0" applyNumberFormat="1"/>
    <xf numFmtId="0" fontId="80" fillId="7" borderId="14" xfId="0" applyFont="1" applyFill="1" applyBorder="1"/>
    <xf numFmtId="0" fontId="80" fillId="7" borderId="13" xfId="0" applyFont="1" applyFill="1" applyBorder="1"/>
    <xf numFmtId="0" fontId="78" fillId="3" borderId="0" xfId="0" applyFont="1" applyFill="1" applyProtection="1">
      <protection locked="0"/>
    </xf>
    <xf numFmtId="0" fontId="78" fillId="5" borderId="8" xfId="0" applyFont="1" applyFill="1" applyBorder="1" applyAlignment="1">
      <alignment horizontal="left" vertical="top"/>
    </xf>
    <xf numFmtId="0" fontId="82" fillId="5" borderId="13" xfId="0" applyFont="1" applyFill="1" applyBorder="1" applyAlignment="1">
      <alignment horizontal="right" wrapText="1"/>
    </xf>
    <xf numFmtId="165" fontId="86" fillId="6" borderId="13" xfId="0" applyNumberFormat="1" applyFont="1" applyFill="1" applyBorder="1" applyAlignment="1">
      <alignment horizontal="center"/>
    </xf>
    <xf numFmtId="0" fontId="84" fillId="5" borderId="4" xfId="0" applyFont="1" applyFill="1" applyBorder="1" applyAlignment="1">
      <alignment horizontal="center"/>
    </xf>
    <xf numFmtId="0" fontId="84" fillId="5" borderId="8" xfId="0" applyFont="1" applyFill="1" applyBorder="1" applyAlignment="1">
      <alignment horizontal="center"/>
    </xf>
    <xf numFmtId="0" fontId="87" fillId="4" borderId="10" xfId="0" applyFont="1" applyFill="1" applyBorder="1" applyProtection="1">
      <protection locked="0"/>
    </xf>
    <xf numFmtId="0" fontId="88" fillId="6" borderId="8" xfId="0" applyFont="1" applyFill="1" applyBorder="1" applyAlignment="1">
      <alignment horizontal="left"/>
    </xf>
    <xf numFmtId="0" fontId="89" fillId="6" borderId="18" xfId="0" applyFont="1" applyFill="1" applyBorder="1" applyAlignment="1">
      <alignment horizontal="left"/>
    </xf>
    <xf numFmtId="0" fontId="88" fillId="6" borderId="4" xfId="0" applyFont="1" applyFill="1" applyBorder="1"/>
    <xf numFmtId="172" fontId="88" fillId="6" borderId="4" xfId="0" applyNumberFormat="1" applyFont="1" applyFill="1" applyBorder="1"/>
    <xf numFmtId="0" fontId="89" fillId="6" borderId="13" xfId="0" applyFont="1" applyFill="1" applyBorder="1" applyAlignment="1">
      <alignment horizontal="left"/>
    </xf>
    <xf numFmtId="0" fontId="78" fillId="5" borderId="10" xfId="0" applyFont="1" applyFill="1" applyBorder="1" applyAlignment="1">
      <alignment horizontal="left" vertical="top"/>
    </xf>
    <xf numFmtId="0" fontId="82" fillId="5" borderId="19" xfId="0" applyFont="1" applyFill="1" applyBorder="1" applyAlignment="1">
      <alignment horizontal="right" wrapText="1"/>
    </xf>
    <xf numFmtId="0" fontId="82" fillId="5" borderId="13" xfId="0" applyFont="1" applyFill="1" applyBorder="1" applyAlignment="1">
      <alignment horizontal="right"/>
    </xf>
    <xf numFmtId="0" fontId="78" fillId="5" borderId="21" xfId="0" applyFont="1" applyFill="1" applyBorder="1" applyAlignment="1">
      <alignment horizontal="left" vertical="top"/>
    </xf>
    <xf numFmtId="0" fontId="82" fillId="5" borderId="18" xfId="0" applyFont="1" applyFill="1" applyBorder="1" applyAlignment="1">
      <alignment horizontal="right"/>
    </xf>
    <xf numFmtId="0" fontId="82" fillId="5" borderId="12" xfId="0" applyFont="1" applyFill="1" applyBorder="1" applyAlignment="1">
      <alignment horizontal="right"/>
    </xf>
    <xf numFmtId="0" fontId="82" fillId="5" borderId="4" xfId="0" applyFont="1" applyFill="1" applyBorder="1" applyAlignment="1">
      <alignment horizontal="right"/>
    </xf>
    <xf numFmtId="0" fontId="78" fillId="5" borderId="15" xfId="0" applyFont="1" applyFill="1" applyBorder="1" applyAlignment="1">
      <alignment horizontal="left" vertical="top"/>
    </xf>
    <xf numFmtId="0" fontId="82" fillId="5" borderId="17" xfId="0" applyFont="1" applyFill="1" applyBorder="1" applyAlignment="1">
      <alignment horizontal="right" wrapText="1"/>
    </xf>
    <xf numFmtId="0" fontId="78" fillId="4" borderId="13" xfId="0" applyFont="1" applyFill="1" applyBorder="1"/>
    <xf numFmtId="0" fontId="93" fillId="9" borderId="13" xfId="0" applyFont="1" applyFill="1" applyBorder="1" applyAlignment="1">
      <alignment horizontal="left"/>
    </xf>
    <xf numFmtId="0" fontId="82" fillId="5" borderId="18" xfId="0" applyFont="1" applyFill="1" applyBorder="1" applyAlignment="1">
      <alignment horizontal="right" wrapText="1"/>
    </xf>
    <xf numFmtId="0" fontId="82" fillId="5" borderId="20" xfId="0" applyFont="1" applyFill="1" applyBorder="1" applyAlignment="1">
      <alignment horizontal="right"/>
    </xf>
    <xf numFmtId="0" fontId="78" fillId="4" borderId="17" xfId="0" applyFont="1" applyFill="1" applyBorder="1"/>
    <xf numFmtId="0" fontId="83" fillId="5" borderId="4" xfId="0" applyFont="1" applyFill="1" applyBorder="1" applyAlignment="1">
      <alignment horizontal="center"/>
    </xf>
    <xf numFmtId="1" fontId="96" fillId="5" borderId="8" xfId="0" applyNumberFormat="1" applyFont="1" applyFill="1" applyBorder="1" applyAlignment="1">
      <alignment horizontal="left" vertical="top"/>
    </xf>
    <xf numFmtId="1" fontId="96" fillId="5" borderId="21" xfId="0" applyNumberFormat="1" applyFont="1" applyFill="1" applyBorder="1" applyAlignment="1">
      <alignment horizontal="left" vertical="top"/>
    </xf>
    <xf numFmtId="176" fontId="86" fillId="6" borderId="4" xfId="0" applyNumberFormat="1" applyFont="1" applyFill="1" applyBorder="1" applyAlignment="1">
      <alignment horizontal="left"/>
    </xf>
    <xf numFmtId="172" fontId="83" fillId="5" borderId="10" xfId="0" applyNumberFormat="1" applyFont="1" applyFill="1" applyBorder="1" applyAlignment="1">
      <alignment horizontal="left"/>
    </xf>
    <xf numFmtId="0" fontId="82" fillId="5" borderId="19" xfId="0" applyFont="1" applyFill="1" applyBorder="1" applyAlignment="1">
      <alignment horizontal="right"/>
    </xf>
    <xf numFmtId="0" fontId="91" fillId="5" borderId="4" xfId="0" applyFont="1" applyFill="1" applyBorder="1" applyAlignment="1">
      <alignment horizontal="left" vertical="top"/>
    </xf>
    <xf numFmtId="0" fontId="91" fillId="5" borderId="4" xfId="0" applyFont="1" applyFill="1" applyBorder="1" applyAlignment="1">
      <alignment horizontal="left"/>
    </xf>
    <xf numFmtId="172" fontId="86" fillId="6" borderId="4" xfId="0" applyNumberFormat="1" applyFont="1" applyFill="1" applyBorder="1"/>
    <xf numFmtId="172" fontId="86" fillId="6" borderId="4" xfId="0" applyNumberFormat="1" applyFont="1" applyFill="1" applyBorder="1" applyAlignment="1">
      <alignment horizontal="center"/>
    </xf>
    <xf numFmtId="0" fontId="84" fillId="5" borderId="11" xfId="0" applyFont="1" applyFill="1" applyBorder="1" applyAlignment="1">
      <alignment horizontal="center" vertical="top"/>
    </xf>
    <xf numFmtId="0" fontId="84" fillId="5" borderId="11" xfId="0" applyFont="1" applyFill="1" applyBorder="1" applyAlignment="1">
      <alignment horizontal="center" wrapText="1"/>
    </xf>
    <xf numFmtId="0" fontId="84" fillId="5" borderId="11" xfId="0" applyFont="1" applyFill="1" applyBorder="1" applyAlignment="1">
      <alignment horizontal="center"/>
    </xf>
    <xf numFmtId="0" fontId="83" fillId="4" borderId="9" xfId="0" applyFont="1" applyFill="1" applyBorder="1" applyProtection="1">
      <protection locked="0"/>
    </xf>
    <xf numFmtId="0" fontId="83" fillId="4" borderId="4" xfId="0" applyFont="1" applyFill="1" applyBorder="1" applyAlignment="1" applyProtection="1">
      <alignment horizontal="right" vertical="top"/>
      <protection locked="0"/>
    </xf>
    <xf numFmtId="0" fontId="83" fillId="4" borderId="4" xfId="0" applyFont="1" applyFill="1" applyBorder="1" applyAlignment="1" applyProtection="1">
      <alignment horizontal="right"/>
      <protection locked="0"/>
    </xf>
    <xf numFmtId="0" fontId="83" fillId="4" borderId="4" xfId="0" applyFont="1" applyFill="1" applyBorder="1" applyProtection="1">
      <protection locked="0"/>
    </xf>
    <xf numFmtId="0" fontId="102" fillId="9" borderId="4" xfId="0" applyFont="1" applyFill="1" applyBorder="1" applyAlignment="1">
      <alignment horizontal="left"/>
    </xf>
    <xf numFmtId="0" fontId="103" fillId="9" borderId="4" xfId="0" applyFont="1" applyFill="1" applyBorder="1" applyAlignment="1">
      <alignment horizontal="right"/>
    </xf>
    <xf numFmtId="0" fontId="103" fillId="9" borderId="8" xfId="0" applyFont="1" applyFill="1" applyBorder="1"/>
    <xf numFmtId="0" fontId="103" fillId="9" borderId="14" xfId="0" applyFont="1" applyFill="1" applyBorder="1"/>
    <xf numFmtId="0" fontId="103" fillId="9" borderId="17" xfId="0" applyFont="1" applyFill="1" applyBorder="1"/>
    <xf numFmtId="0" fontId="102" fillId="9" borderId="4" xfId="0" applyFont="1" applyFill="1" applyBorder="1"/>
    <xf numFmtId="0" fontId="78" fillId="3" borderId="0" xfId="0" applyFont="1" applyFill="1" applyAlignment="1" applyProtection="1">
      <alignment horizontal="left" vertical="top"/>
      <protection locked="0"/>
    </xf>
    <xf numFmtId="0" fontId="103" fillId="9" borderId="8" xfId="0" applyFont="1" applyFill="1" applyBorder="1" applyAlignment="1">
      <alignment horizontal="left"/>
    </xf>
    <xf numFmtId="0" fontId="103" fillId="9" borderId="14" xfId="0" applyFont="1" applyFill="1" applyBorder="1" applyAlignment="1">
      <alignment horizontal="right"/>
    </xf>
    <xf numFmtId="0" fontId="103" fillId="9" borderId="13" xfId="0" applyFont="1" applyFill="1" applyBorder="1" applyAlignment="1">
      <alignment horizontal="right"/>
    </xf>
    <xf numFmtId="0" fontId="102" fillId="9" borderId="9" xfId="0" applyFont="1" applyFill="1" applyBorder="1"/>
    <xf numFmtId="0" fontId="78" fillId="3" borderId="0" xfId="0" applyFont="1" applyFill="1" applyAlignment="1" applyProtection="1">
      <alignment horizontal="left"/>
      <protection locked="0"/>
    </xf>
    <xf numFmtId="0" fontId="78" fillId="3" borderId="0" xfId="0" applyFont="1" applyFill="1" applyAlignment="1" applyProtection="1">
      <alignment horizontal="right" wrapText="1"/>
      <protection locked="0"/>
    </xf>
    <xf numFmtId="0" fontId="23" fillId="4" borderId="8" xfId="0" applyFont="1" applyFill="1" applyBorder="1" applyProtection="1">
      <protection locked="0"/>
    </xf>
    <xf numFmtId="0" fontId="23" fillId="4" borderId="9" xfId="0" applyFont="1" applyFill="1" applyBorder="1" applyAlignment="1" applyProtection="1">
      <alignment horizontal="right"/>
      <protection locked="0"/>
    </xf>
    <xf numFmtId="0" fontId="23" fillId="4" borderId="4" xfId="0" applyFont="1" applyFill="1" applyBorder="1" applyAlignment="1" applyProtection="1">
      <alignment horizontal="right"/>
      <protection locked="0"/>
    </xf>
    <xf numFmtId="0" fontId="28" fillId="12" borderId="13" xfId="0" applyFont="1" applyFill="1" applyBorder="1" applyAlignment="1">
      <alignment horizontal="right" wrapText="1"/>
    </xf>
    <xf numFmtId="0" fontId="28" fillId="5" borderId="17" xfId="0" applyFont="1" applyFill="1" applyBorder="1" applyAlignment="1">
      <alignment horizontal="right" wrapText="1"/>
    </xf>
    <xf numFmtId="0" fontId="78" fillId="12" borderId="8" xfId="0" applyFont="1" applyFill="1" applyBorder="1" applyAlignment="1">
      <alignment horizontal="left" vertical="top"/>
    </xf>
    <xf numFmtId="0" fontId="112" fillId="0" borderId="0" xfId="1" applyFont="1"/>
    <xf numFmtId="0" fontId="112" fillId="0" borderId="0" xfId="1" applyFont="1" applyAlignment="1">
      <alignment horizontal="center"/>
    </xf>
    <xf numFmtId="0" fontId="111" fillId="0" borderId="0" xfId="1" applyFont="1"/>
    <xf numFmtId="0" fontId="113" fillId="0" borderId="0" xfId="0" applyFont="1" applyAlignment="1">
      <alignment horizontal="center"/>
    </xf>
    <xf numFmtId="0" fontId="23" fillId="4" borderId="9" xfId="0" applyFont="1" applyFill="1" applyBorder="1" applyAlignment="1" applyProtection="1">
      <alignment horizontal="right" vertical="top"/>
      <protection locked="0"/>
    </xf>
    <xf numFmtId="0" fontId="23" fillId="4" borderId="9" xfId="0" applyFont="1" applyFill="1" applyBorder="1" applyProtection="1">
      <protection locked="0"/>
    </xf>
    <xf numFmtId="0" fontId="23" fillId="4" borderId="4" xfId="0" applyFont="1" applyFill="1" applyBorder="1" applyAlignment="1" applyProtection="1">
      <alignment horizontal="right" vertical="top"/>
      <protection locked="0"/>
    </xf>
    <xf numFmtId="0" fontId="0" fillId="0" borderId="16" xfId="0" applyBorder="1"/>
    <xf numFmtId="0" fontId="0" fillId="0" borderId="17" xfId="0" applyBorder="1"/>
    <xf numFmtId="0" fontId="0" fillId="0" borderId="18" xfId="0" applyBorder="1"/>
    <xf numFmtId="0" fontId="0" fillId="0" borderId="22" xfId="0" applyBorder="1"/>
    <xf numFmtId="0" fontId="0" fillId="0" borderId="19" xfId="0" applyBorder="1"/>
    <xf numFmtId="0" fontId="23" fillId="0" borderId="0" xfId="0" applyFont="1" applyAlignment="1">
      <alignment horizontal="center"/>
    </xf>
    <xf numFmtId="180" fontId="23" fillId="0" borderId="0" xfId="0" applyNumberFormat="1" applyFont="1" applyAlignment="1">
      <alignment horizontal="center"/>
    </xf>
    <xf numFmtId="0" fontId="67" fillId="0" borderId="0" xfId="0" applyFont="1"/>
    <xf numFmtId="0" fontId="67" fillId="0" borderId="16" xfId="0" applyFont="1" applyBorder="1"/>
    <xf numFmtId="0" fontId="67" fillId="0" borderId="22" xfId="0" applyFont="1" applyBorder="1"/>
    <xf numFmtId="0" fontId="67" fillId="0" borderId="0" xfId="0" applyFont="1" applyAlignment="1">
      <alignment horizontal="left"/>
    </xf>
    <xf numFmtId="0" fontId="67" fillId="0" borderId="0" xfId="0" applyFont="1" applyAlignment="1">
      <alignment horizontal="right"/>
    </xf>
    <xf numFmtId="0" fontId="44" fillId="0" borderId="16" xfId="0" applyFont="1" applyBorder="1"/>
    <xf numFmtId="0" fontId="67" fillId="0" borderId="10" xfId="0" applyFont="1" applyBorder="1" applyAlignment="1">
      <alignment horizontal="right"/>
    </xf>
    <xf numFmtId="0" fontId="44" fillId="0" borderId="16" xfId="0" applyFont="1" applyBorder="1" applyAlignment="1">
      <alignment horizontal="right"/>
    </xf>
    <xf numFmtId="0" fontId="44" fillId="0" borderId="22" xfId="0" applyFont="1" applyBorder="1" applyAlignment="1">
      <alignment horizontal="right"/>
    </xf>
    <xf numFmtId="172" fontId="115" fillId="0" borderId="16" xfId="0" applyNumberFormat="1" applyFont="1" applyBorder="1"/>
    <xf numFmtId="181" fontId="115" fillId="0" borderId="0" xfId="0" applyNumberFormat="1" applyFont="1"/>
    <xf numFmtId="0" fontId="115" fillId="0" borderId="0" xfId="0" applyFont="1"/>
    <xf numFmtId="0" fontId="67" fillId="0" borderId="10" xfId="0" applyFont="1" applyBorder="1"/>
    <xf numFmtId="0" fontId="67" fillId="0" borderId="19" xfId="0" applyFont="1" applyBorder="1"/>
    <xf numFmtId="0" fontId="119" fillId="0" borderId="0" xfId="0" applyFont="1" applyAlignment="1">
      <alignment horizontal="center"/>
    </xf>
    <xf numFmtId="0" fontId="120" fillId="0" borderId="0" xfId="0" applyFont="1"/>
    <xf numFmtId="0" fontId="44" fillId="0" borderId="0" xfId="0" applyFont="1" applyAlignment="1">
      <alignment horizontal="right"/>
    </xf>
    <xf numFmtId="0" fontId="122" fillId="0" borderId="0" xfId="0" applyFont="1"/>
    <xf numFmtId="0" fontId="115" fillId="0" borderId="16" xfId="0" applyFont="1" applyBorder="1" applyAlignment="1">
      <alignment horizontal="left"/>
    </xf>
    <xf numFmtId="0" fontId="115" fillId="0" borderId="16" xfId="0" applyFont="1" applyBorder="1"/>
    <xf numFmtId="0" fontId="115" fillId="0" borderId="0" xfId="0" applyFont="1" applyAlignment="1">
      <alignment horizontal="left"/>
    </xf>
    <xf numFmtId="0" fontId="44" fillId="0" borderId="15" xfId="0" applyFont="1" applyBorder="1" applyAlignment="1">
      <alignment horizontal="right"/>
    </xf>
    <xf numFmtId="0" fontId="44" fillId="0" borderId="21" xfId="0" applyFont="1" applyBorder="1" applyAlignment="1">
      <alignment horizontal="right"/>
    </xf>
    <xf numFmtId="0" fontId="115" fillId="0" borderId="22" xfId="0" applyFont="1" applyBorder="1" applyAlignment="1">
      <alignment horizontal="left"/>
    </xf>
    <xf numFmtId="180" fontId="115" fillId="0" borderId="0" xfId="0" applyNumberFormat="1" applyFont="1" applyAlignment="1">
      <alignment horizontal="left"/>
    </xf>
    <xf numFmtId="0" fontId="44" fillId="0" borderId="10" xfId="0" applyFont="1" applyBorder="1" applyAlignment="1">
      <alignment horizontal="right"/>
    </xf>
    <xf numFmtId="0" fontId="44" fillId="0" borderId="10" xfId="0" applyFont="1" applyBorder="1"/>
    <xf numFmtId="166" fontId="115" fillId="0" borderId="16" xfId="0" applyNumberFormat="1" applyFont="1" applyBorder="1"/>
    <xf numFmtId="166" fontId="115" fillId="0" borderId="0" xfId="0" applyNumberFormat="1" applyFont="1"/>
    <xf numFmtId="0" fontId="118" fillId="0" borderId="0" xfId="0" applyFont="1"/>
    <xf numFmtId="0" fontId="123" fillId="0" borderId="0" xfId="0" applyFont="1"/>
    <xf numFmtId="0" fontId="115" fillId="0" borderId="22" xfId="0" applyFont="1" applyBorder="1"/>
    <xf numFmtId="180" fontId="115" fillId="0" borderId="16" xfId="0" applyNumberFormat="1" applyFont="1" applyBorder="1" applyAlignment="1">
      <alignment horizontal="left"/>
    </xf>
    <xf numFmtId="180" fontId="115" fillId="0" borderId="22" xfId="0" applyNumberFormat="1" applyFont="1" applyBorder="1" applyAlignment="1">
      <alignment horizontal="left"/>
    </xf>
    <xf numFmtId="0" fontId="126" fillId="0" borderId="0" xfId="6" applyFont="1"/>
    <xf numFmtId="0" fontId="45" fillId="0" borderId="0" xfId="0" applyFont="1" applyAlignment="1">
      <alignment horizontal="center"/>
    </xf>
    <xf numFmtId="0" fontId="44" fillId="0" borderId="0" xfId="0" applyFont="1" applyAlignment="1">
      <alignment horizontal="center"/>
    </xf>
    <xf numFmtId="1" fontId="44" fillId="0" borderId="0" xfId="0" applyNumberFormat="1" applyFont="1" applyAlignment="1">
      <alignment horizontal="center"/>
    </xf>
    <xf numFmtId="0" fontId="24" fillId="0" borderId="0" xfId="0" applyFont="1" applyAlignment="1">
      <alignment horizontal="right"/>
    </xf>
    <xf numFmtId="174" fontId="23" fillId="8" borderId="4" xfId="0" applyNumberFormat="1" applyFont="1" applyFill="1" applyBorder="1" applyProtection="1">
      <protection locked="0"/>
    </xf>
    <xf numFmtId="0" fontId="28" fillId="12" borderId="4" xfId="0" applyFont="1" applyFill="1" applyBorder="1" applyAlignment="1">
      <alignment horizontal="right"/>
    </xf>
    <xf numFmtId="164" fontId="7" fillId="0" borderId="9" xfId="0" applyNumberFormat="1" applyFont="1" applyBorder="1"/>
    <xf numFmtId="0" fontId="3" fillId="0" borderId="4" xfId="0" applyFont="1" applyBorder="1" applyAlignment="1">
      <alignment horizontal="right"/>
    </xf>
    <xf numFmtId="0" fontId="23" fillId="12" borderId="4" xfId="0" applyFont="1" applyFill="1" applyBorder="1" applyAlignment="1">
      <alignment horizontal="center"/>
    </xf>
    <xf numFmtId="2" fontId="7" fillId="0" borderId="9" xfId="0" applyNumberFormat="1" applyFont="1" applyBorder="1"/>
    <xf numFmtId="0" fontId="122" fillId="0" borderId="0" xfId="0" applyFont="1" applyAlignment="1">
      <alignment horizontal="left"/>
    </xf>
    <xf numFmtId="182" fontId="56" fillId="0" borderId="0" xfId="1" applyNumberFormat="1" applyAlignment="1">
      <alignment horizontal="left"/>
    </xf>
    <xf numFmtId="0" fontId="133" fillId="5" borderId="21" xfId="0" applyFont="1" applyFill="1" applyBorder="1" applyAlignment="1">
      <alignment horizontal="left" vertical="top"/>
    </xf>
    <xf numFmtId="49" fontId="7" fillId="0" borderId="0" xfId="0" applyNumberFormat="1" applyFont="1"/>
    <xf numFmtId="0" fontId="3" fillId="0" borderId="4" xfId="0" applyFont="1" applyBorder="1" applyAlignment="1">
      <alignment horizontal="center" vertical="top" wrapText="1"/>
    </xf>
    <xf numFmtId="0" fontId="7" fillId="0" borderId="0" xfId="0" applyFont="1" applyAlignment="1">
      <alignment horizontal="center"/>
    </xf>
    <xf numFmtId="0" fontId="23" fillId="12" borderId="8" xfId="0" applyFont="1" applyFill="1" applyBorder="1" applyAlignment="1">
      <alignment horizontal="center"/>
    </xf>
    <xf numFmtId="164" fontId="45" fillId="0" borderId="0" xfId="0" applyNumberFormat="1" applyFont="1"/>
    <xf numFmtId="0" fontId="3" fillId="0" borderId="0" xfId="0" applyFont="1" applyAlignment="1">
      <alignment horizontal="center" vertical="top" wrapText="1"/>
    </xf>
    <xf numFmtId="164" fontId="3" fillId="0" borderId="0" xfId="0" applyNumberFormat="1" applyFont="1" applyAlignment="1">
      <alignment horizontal="center"/>
    </xf>
    <xf numFmtId="0" fontId="3" fillId="0" borderId="4" xfId="0" applyFont="1" applyBorder="1" applyAlignment="1">
      <alignment horizontal="center"/>
    </xf>
    <xf numFmtId="0" fontId="28" fillId="0" borderId="24" xfId="0" applyFont="1" applyBorder="1" applyAlignment="1">
      <alignment horizontal="center"/>
    </xf>
    <xf numFmtId="164" fontId="3" fillId="0" borderId="4" xfId="0" applyNumberFormat="1" applyFont="1" applyBorder="1" applyAlignment="1">
      <alignment horizontal="right"/>
    </xf>
    <xf numFmtId="0" fontId="3" fillId="0" borderId="13" xfId="0" applyFont="1" applyBorder="1" applyAlignment="1">
      <alignment horizontal="center"/>
    </xf>
    <xf numFmtId="0" fontId="3" fillId="0" borderId="13" xfId="0" applyFont="1" applyBorder="1"/>
    <xf numFmtId="0" fontId="33" fillId="0" borderId="21" xfId="0" applyFont="1" applyBorder="1" applyAlignment="1">
      <alignment horizontal="left"/>
    </xf>
    <xf numFmtId="0" fontId="33" fillId="0" borderId="0" xfId="0" applyFont="1" applyAlignment="1">
      <alignment horizontal="left"/>
    </xf>
    <xf numFmtId="14" fontId="33" fillId="0" borderId="21" xfId="0" applyNumberFormat="1" applyFont="1" applyBorder="1" applyAlignment="1">
      <alignment horizontal="left"/>
    </xf>
    <xf numFmtId="166" fontId="33" fillId="0" borderId="21" xfId="0" applyNumberFormat="1" applyFont="1" applyBorder="1" applyAlignment="1">
      <alignment horizontal="left"/>
    </xf>
    <xf numFmtId="0" fontId="33" fillId="0" borderId="21" xfId="0" applyFont="1" applyBorder="1" applyAlignment="1">
      <alignment horizontal="left" vertical="top" wrapText="1"/>
    </xf>
    <xf numFmtId="164" fontId="0" fillId="0" borderId="25" xfId="0" applyNumberFormat="1" applyBorder="1"/>
    <xf numFmtId="175" fontId="0" fillId="0" borderId="26" xfId="0" applyNumberFormat="1" applyBorder="1"/>
    <xf numFmtId="164" fontId="0" fillId="0" borderId="27" xfId="0" applyNumberFormat="1" applyBorder="1"/>
    <xf numFmtId="0" fontId="28" fillId="0" borderId="28" xfId="0" applyFont="1" applyBorder="1" applyAlignment="1">
      <alignment horizontal="center"/>
    </xf>
    <xf numFmtId="0" fontId="28" fillId="0" borderId="29" xfId="0" applyFont="1" applyBorder="1" applyAlignment="1">
      <alignment horizontal="center"/>
    </xf>
    <xf numFmtId="0" fontId="28" fillId="0" borderId="30" xfId="0" applyFont="1" applyBorder="1" applyAlignment="1">
      <alignment horizontal="center"/>
    </xf>
    <xf numFmtId="0" fontId="28" fillId="0" borderId="0" xfId="0" applyFont="1" applyAlignment="1">
      <alignment horizontal="center"/>
    </xf>
    <xf numFmtId="0" fontId="135" fillId="0" borderId="0" xfId="1" applyFont="1"/>
    <xf numFmtId="0" fontId="136" fillId="0" borderId="0" xfId="1" applyFont="1"/>
    <xf numFmtId="0" fontId="135" fillId="0" borderId="0" xfId="1" applyFont="1" applyAlignment="1">
      <alignment horizontal="center"/>
    </xf>
    <xf numFmtId="0" fontId="136" fillId="0" borderId="0" xfId="1" applyFont="1" applyAlignment="1">
      <alignment horizontal="center"/>
    </xf>
    <xf numFmtId="0" fontId="137" fillId="0" borderId="0" xfId="0" applyFont="1"/>
    <xf numFmtId="172" fontId="86" fillId="6" borderId="4" xfId="0" applyNumberFormat="1" applyFont="1" applyFill="1" applyBorder="1" applyAlignment="1">
      <alignment horizontal="left"/>
    </xf>
    <xf numFmtId="0" fontId="135" fillId="0" borderId="0" xfId="1" applyFont="1" applyProtection="1">
      <protection locked="0"/>
    </xf>
    <xf numFmtId="0" fontId="7" fillId="3" borderId="0" xfId="0" applyFont="1" applyFill="1" applyProtection="1">
      <protection hidden="1"/>
    </xf>
    <xf numFmtId="0" fontId="1" fillId="0" borderId="0" xfId="5" applyProtection="1">
      <protection locked="0"/>
    </xf>
    <xf numFmtId="20" fontId="1" fillId="0" borderId="0" xfId="5" applyNumberFormat="1" applyProtection="1">
      <protection locked="0"/>
    </xf>
    <xf numFmtId="164" fontId="1" fillId="0" borderId="0" xfId="5" applyNumberFormat="1" applyProtection="1">
      <protection locked="0"/>
    </xf>
    <xf numFmtId="164" fontId="0" fillId="0" borderId="0" xfId="0" applyNumberFormat="1" applyProtection="1">
      <protection locked="0"/>
    </xf>
    <xf numFmtId="20" fontId="0" fillId="0" borderId="0" xfId="0" applyNumberFormat="1" applyProtection="1">
      <protection locked="0"/>
    </xf>
    <xf numFmtId="164" fontId="36" fillId="2" borderId="6" xfId="0" applyNumberFormat="1" applyFont="1" applyFill="1" applyBorder="1"/>
    <xf numFmtId="172" fontId="32" fillId="2" borderId="0" xfId="0" applyNumberFormat="1" applyFont="1" applyFill="1"/>
    <xf numFmtId="175" fontId="32" fillId="2" borderId="0" xfId="0" applyNumberFormat="1" applyFont="1" applyFill="1"/>
    <xf numFmtId="164" fontId="35" fillId="2" borderId="0" xfId="0" applyNumberFormat="1" applyFont="1" applyFill="1"/>
    <xf numFmtId="0" fontId="37" fillId="2" borderId="0" xfId="0" applyFont="1" applyFill="1"/>
    <xf numFmtId="164" fontId="36" fillId="2" borderId="0" xfId="0" applyNumberFormat="1" applyFont="1" applyFill="1"/>
    <xf numFmtId="14" fontId="23" fillId="4" borderId="4" xfId="0" applyNumberFormat="1" applyFont="1" applyFill="1" applyBorder="1" applyAlignment="1">
      <alignment horizontal="left"/>
    </xf>
    <xf numFmtId="166" fontId="23" fillId="11" borderId="4" xfId="0" applyNumberFormat="1" applyFont="1" applyFill="1" applyBorder="1" applyAlignment="1">
      <alignment horizontal="left"/>
    </xf>
    <xf numFmtId="174" fontId="23" fillId="14" borderId="4" xfId="0" applyNumberFormat="1" applyFont="1" applyFill="1" applyBorder="1" applyAlignment="1" applyProtection="1">
      <alignment horizontal="left"/>
      <protection locked="0"/>
    </xf>
    <xf numFmtId="165" fontId="23" fillId="14" borderId="4" xfId="0" applyNumberFormat="1" applyFont="1" applyFill="1" applyBorder="1" applyAlignment="1" applyProtection="1">
      <alignment horizontal="left"/>
      <protection locked="0"/>
    </xf>
    <xf numFmtId="0" fontId="23" fillId="14" borderId="4" xfId="0" applyFont="1" applyFill="1" applyBorder="1" applyAlignment="1" applyProtection="1">
      <alignment horizontal="left"/>
      <protection locked="0"/>
    </xf>
    <xf numFmtId="0" fontId="83" fillId="14" borderId="4" xfId="0" applyFont="1" applyFill="1" applyBorder="1" applyAlignment="1" applyProtection="1">
      <alignment horizontal="left"/>
      <protection locked="0"/>
    </xf>
    <xf numFmtId="1" fontId="91" fillId="14" borderId="13" xfId="0" applyNumberFormat="1" applyFont="1" applyFill="1" applyBorder="1" applyAlignment="1" applyProtection="1">
      <alignment horizontal="left"/>
      <protection locked="0"/>
    </xf>
    <xf numFmtId="174" fontId="23" fillId="4" borderId="12" xfId="0" applyNumberFormat="1" applyFont="1" applyFill="1" applyBorder="1" applyAlignment="1">
      <alignment horizontal="left"/>
    </xf>
    <xf numFmtId="0" fontId="130" fillId="3" borderId="0" xfId="0" applyFont="1" applyFill="1" applyProtection="1">
      <protection hidden="1"/>
    </xf>
    <xf numFmtId="49" fontId="44" fillId="0" borderId="0" xfId="0" applyNumberFormat="1" applyFont="1" applyProtection="1">
      <protection locked="0"/>
    </xf>
    <xf numFmtId="14" fontId="33" fillId="4" borderId="4" xfId="0" applyNumberFormat="1" applyFont="1" applyFill="1" applyBorder="1" applyAlignment="1">
      <alignment horizontal="left"/>
    </xf>
    <xf numFmtId="0" fontId="33" fillId="4" borderId="4" xfId="0" applyFont="1" applyFill="1" applyBorder="1" applyAlignment="1">
      <alignment horizontal="center"/>
    </xf>
    <xf numFmtId="0" fontId="33" fillId="14" borderId="4" xfId="0" applyFont="1" applyFill="1" applyBorder="1" applyAlignment="1" applyProtection="1">
      <alignment horizontal="left"/>
      <protection locked="0"/>
    </xf>
    <xf numFmtId="49" fontId="33" fillId="4" borderId="4" xfId="0" applyNumberFormat="1" applyFont="1" applyFill="1" applyBorder="1" applyAlignment="1">
      <alignment horizontal="left"/>
    </xf>
    <xf numFmtId="0" fontId="7" fillId="14" borderId="4" xfId="0" applyFont="1" applyFill="1" applyBorder="1" applyProtection="1">
      <protection locked="0"/>
    </xf>
    <xf numFmtId="19" fontId="23" fillId="14" borderId="4" xfId="0" applyNumberFormat="1" applyFont="1" applyFill="1" applyBorder="1" applyAlignment="1" applyProtection="1">
      <alignment horizontal="left"/>
      <protection locked="0"/>
    </xf>
    <xf numFmtId="1" fontId="139" fillId="0" borderId="0" xfId="0" applyNumberFormat="1" applyFont="1"/>
    <xf numFmtId="1" fontId="140" fillId="0" borderId="0" xfId="0" applyNumberFormat="1" applyFont="1"/>
    <xf numFmtId="0" fontId="140" fillId="0" borderId="0" xfId="0" applyFont="1"/>
    <xf numFmtId="0" fontId="60" fillId="0" borderId="0" xfId="0" applyFont="1" applyProtection="1">
      <protection hidden="1"/>
    </xf>
    <xf numFmtId="0" fontId="60" fillId="0" borderId="0" xfId="0" applyFont="1" applyAlignment="1" applyProtection="1">
      <alignment horizontal="left"/>
      <protection hidden="1"/>
    </xf>
    <xf numFmtId="0" fontId="33" fillId="4" borderId="4" xfId="0" applyFont="1" applyFill="1" applyBorder="1" applyAlignment="1">
      <alignment horizontal="left"/>
    </xf>
    <xf numFmtId="49" fontId="33" fillId="14" borderId="4" xfId="0" applyNumberFormat="1" applyFont="1" applyFill="1" applyBorder="1" applyAlignment="1" applyProtection="1">
      <alignment horizontal="left"/>
      <protection locked="0"/>
    </xf>
    <xf numFmtId="169" fontId="23" fillId="4" borderId="4" xfId="0" applyNumberFormat="1" applyFont="1" applyFill="1" applyBorder="1" applyAlignment="1">
      <alignment horizontal="left"/>
    </xf>
    <xf numFmtId="166" fontId="23" fillId="14" borderId="4" xfId="0" applyNumberFormat="1" applyFont="1" applyFill="1" applyBorder="1" applyAlignment="1" applyProtection="1">
      <alignment horizontal="left"/>
      <protection locked="0"/>
    </xf>
    <xf numFmtId="1" fontId="23" fillId="14" borderId="4" xfId="0" applyNumberFormat="1" applyFont="1" applyFill="1" applyBorder="1" applyAlignment="1" applyProtection="1">
      <alignment horizontal="left"/>
      <protection locked="0"/>
    </xf>
    <xf numFmtId="0" fontId="97" fillId="14" borderId="4" xfId="0" applyFont="1" applyFill="1" applyBorder="1" applyProtection="1">
      <protection locked="0"/>
    </xf>
    <xf numFmtId="166" fontId="28" fillId="8" borderId="4" xfId="0" applyNumberFormat="1" applyFont="1" applyFill="1" applyBorder="1" applyAlignment="1" applyProtection="1">
      <alignment horizontal="left"/>
      <protection locked="0"/>
    </xf>
    <xf numFmtId="0" fontId="23" fillId="8" borderId="4" xfId="0" applyFont="1" applyFill="1" applyBorder="1" applyAlignment="1">
      <alignment horizontal="center"/>
    </xf>
    <xf numFmtId="0" fontId="7" fillId="14" borderId="8" xfId="0" applyFont="1" applyFill="1" applyBorder="1" applyProtection="1">
      <protection locked="0"/>
    </xf>
    <xf numFmtId="0" fontId="23" fillId="12" borderId="13" xfId="0" applyFont="1" applyFill="1" applyBorder="1" applyAlignment="1">
      <alignment horizontal="center"/>
    </xf>
    <xf numFmtId="0" fontId="78" fillId="3" borderId="0" xfId="0" applyFont="1" applyFill="1"/>
    <xf numFmtId="0" fontId="81" fillId="3" borderId="0" xfId="0" applyFont="1" applyFill="1"/>
    <xf numFmtId="0" fontId="85" fillId="3" borderId="0" xfId="0" applyFont="1" applyFill="1"/>
    <xf numFmtId="0" fontId="130" fillId="3" borderId="0" xfId="0" applyFont="1" applyFill="1"/>
    <xf numFmtId="0" fontId="7" fillId="3" borderId="0" xfId="0" applyFont="1" applyFill="1"/>
    <xf numFmtId="0" fontId="3" fillId="10" borderId="0" xfId="0" applyFont="1" applyFill="1" applyAlignment="1">
      <alignment horizontal="center"/>
    </xf>
    <xf numFmtId="0" fontId="28" fillId="10" borderId="20" xfId="0" applyFont="1" applyFill="1" applyBorder="1"/>
    <xf numFmtId="0" fontId="28" fillId="10" borderId="18" xfId="0" applyFont="1" applyFill="1" applyBorder="1"/>
    <xf numFmtId="0" fontId="33" fillId="10" borderId="20" xfId="0" applyFont="1" applyFill="1" applyBorder="1"/>
    <xf numFmtId="0" fontId="28" fillId="10" borderId="0" xfId="0" applyFont="1" applyFill="1"/>
    <xf numFmtId="0" fontId="28" fillId="10" borderId="20" xfId="0" applyFont="1" applyFill="1" applyBorder="1" applyAlignment="1">
      <alignment vertical="top" wrapText="1"/>
    </xf>
    <xf numFmtId="0" fontId="28" fillId="10" borderId="0" xfId="0" applyFont="1" applyFill="1" applyAlignment="1">
      <alignment vertical="top" wrapText="1"/>
    </xf>
    <xf numFmtId="0" fontId="23" fillId="10" borderId="18" xfId="0" applyFont="1" applyFill="1" applyBorder="1" applyAlignment="1">
      <alignment horizontal="center"/>
    </xf>
    <xf numFmtId="164" fontId="7" fillId="10" borderId="18" xfId="0" applyNumberFormat="1" applyFont="1" applyFill="1" applyBorder="1"/>
    <xf numFmtId="0" fontId="60" fillId="3" borderId="0" xfId="0" applyFont="1" applyFill="1"/>
    <xf numFmtId="0" fontId="78" fillId="3" borderId="0" xfId="0" applyFont="1" applyFill="1" applyAlignment="1">
      <alignment horizontal="left" vertical="top"/>
    </xf>
    <xf numFmtId="0" fontId="78" fillId="3" borderId="0" xfId="0" applyFont="1" applyFill="1" applyAlignment="1">
      <alignment horizontal="left"/>
    </xf>
    <xf numFmtId="0" fontId="3" fillId="3" borderId="0" xfId="0" applyFont="1" applyFill="1" applyAlignment="1">
      <alignment horizontal="right" wrapText="1"/>
    </xf>
    <xf numFmtId="0" fontId="78" fillId="3" borderId="0" xfId="0" applyFont="1" applyFill="1" applyAlignment="1">
      <alignment horizontal="left" vertical="center"/>
    </xf>
    <xf numFmtId="0" fontId="78" fillId="3" borderId="0" xfId="0" applyFont="1" applyFill="1" applyAlignment="1">
      <alignment horizontal="right" wrapText="1"/>
    </xf>
    <xf numFmtId="0" fontId="77" fillId="3" borderId="0" xfId="0" applyFont="1" applyFill="1"/>
    <xf numFmtId="0" fontId="77" fillId="3" borderId="0" xfId="0" applyFont="1" applyFill="1" applyAlignment="1">
      <alignment horizontal="center"/>
    </xf>
    <xf numFmtId="0" fontId="90" fillId="3" borderId="0" xfId="0" applyFont="1" applyFill="1"/>
    <xf numFmtId="0" fontId="83" fillId="3" borderId="0" xfId="0" applyFont="1" applyFill="1" applyAlignment="1">
      <alignment horizontal="right" wrapText="1"/>
    </xf>
    <xf numFmtId="0" fontId="83" fillId="3" borderId="0" xfId="0" applyFont="1" applyFill="1" applyAlignment="1">
      <alignment horizontal="left"/>
    </xf>
    <xf numFmtId="0" fontId="58" fillId="3" borderId="0" xfId="0" applyFont="1" applyFill="1"/>
    <xf numFmtId="0" fontId="77" fillId="3" borderId="0" xfId="0" applyFont="1" applyFill="1" applyAlignment="1">
      <alignment horizontal="right"/>
    </xf>
    <xf numFmtId="0" fontId="81" fillId="3" borderId="0" xfId="0" applyFont="1" applyFill="1" applyAlignment="1">
      <alignment horizontal="right"/>
    </xf>
    <xf numFmtId="172" fontId="94" fillId="3" borderId="0" xfId="0" applyNumberFormat="1" applyFont="1" applyFill="1"/>
    <xf numFmtId="0" fontId="82" fillId="3" borderId="0" xfId="0" applyFont="1" applyFill="1" applyAlignment="1">
      <alignment horizontal="right" wrapText="1"/>
    </xf>
    <xf numFmtId="0" fontId="95" fillId="3" borderId="0" xfId="0" applyFont="1" applyFill="1"/>
    <xf numFmtId="172" fontId="90" fillId="3" borderId="0" xfId="0" applyNumberFormat="1" applyFont="1" applyFill="1"/>
    <xf numFmtId="178" fontId="85" fillId="3" borderId="0" xfId="0" applyNumberFormat="1" applyFont="1" applyFill="1"/>
    <xf numFmtId="175" fontId="130" fillId="3" borderId="0" xfId="0" applyNumberFormat="1" applyFont="1" applyFill="1"/>
    <xf numFmtId="1" fontId="81" fillId="3" borderId="0" xfId="0" applyNumberFormat="1" applyFont="1" applyFill="1"/>
    <xf numFmtId="0" fontId="129" fillId="3" borderId="0" xfId="0" applyFont="1" applyFill="1"/>
    <xf numFmtId="0" fontId="131" fillId="3" borderId="0" xfId="0" applyFont="1" applyFill="1"/>
    <xf numFmtId="176" fontId="130" fillId="3" borderId="0" xfId="0" applyNumberFormat="1" applyFont="1" applyFill="1"/>
    <xf numFmtId="0" fontId="97" fillId="3" borderId="0" xfId="0" applyFont="1" applyFill="1" applyAlignment="1">
      <alignment horizontal="left"/>
    </xf>
    <xf numFmtId="0" fontId="97" fillId="3" borderId="0" xfId="0" applyFont="1" applyFill="1"/>
    <xf numFmtId="0" fontId="98" fillId="3" borderId="0" xfId="0" applyFont="1" applyFill="1" applyAlignment="1">
      <alignment horizontal="right" wrapText="1"/>
    </xf>
    <xf numFmtId="0" fontId="78" fillId="3" borderId="0" xfId="0" applyFont="1" applyFill="1" applyAlignment="1">
      <alignment horizontal="right" vertical="top"/>
    </xf>
    <xf numFmtId="0" fontId="78" fillId="3" borderId="0" xfId="0" applyFont="1" applyFill="1" applyAlignment="1">
      <alignment horizontal="right"/>
    </xf>
    <xf numFmtId="0" fontId="78" fillId="10" borderId="0" xfId="0" applyFont="1" applyFill="1"/>
    <xf numFmtId="0" fontId="83" fillId="3" borderId="0" xfId="0" applyFont="1" applyFill="1" applyAlignment="1">
      <alignment horizontal="left" vertical="top"/>
    </xf>
    <xf numFmtId="0" fontId="82" fillId="3" borderId="0" xfId="0" applyFont="1" applyFill="1"/>
    <xf numFmtId="0" fontId="23" fillId="3" borderId="0" xfId="0" applyFont="1" applyFill="1"/>
    <xf numFmtId="0" fontId="7" fillId="10" borderId="12" xfId="0" applyFont="1" applyFill="1" applyBorder="1"/>
    <xf numFmtId="0" fontId="60" fillId="3" borderId="20" xfId="0" applyFont="1" applyFill="1" applyBorder="1"/>
    <xf numFmtId="0" fontId="3" fillId="10" borderId="22" xfId="0" applyFont="1" applyFill="1" applyBorder="1" applyAlignment="1">
      <alignment horizontal="center"/>
    </xf>
    <xf numFmtId="0" fontId="100" fillId="3" borderId="0" xfId="0" applyFont="1" applyFill="1" applyAlignment="1">
      <alignment vertical="top"/>
    </xf>
    <xf numFmtId="0" fontId="83" fillId="3" borderId="0" xfId="0" applyFont="1" applyFill="1" applyAlignment="1">
      <alignment vertical="top"/>
    </xf>
    <xf numFmtId="0" fontId="28" fillId="10" borderId="22" xfId="0" applyFont="1" applyFill="1" applyBorder="1" applyAlignment="1">
      <alignment horizontal="center"/>
    </xf>
    <xf numFmtId="0" fontId="82" fillId="3" borderId="0" xfId="0" applyFont="1" applyFill="1" applyAlignment="1">
      <alignment vertical="top"/>
    </xf>
    <xf numFmtId="164" fontId="23" fillId="3" borderId="0" xfId="0" applyNumberFormat="1" applyFont="1" applyFill="1"/>
    <xf numFmtId="164" fontId="28" fillId="3" borderId="0" xfId="0" applyNumberFormat="1" applyFont="1" applyFill="1"/>
    <xf numFmtId="0" fontId="99" fillId="3" borderId="0" xfId="0" applyFont="1" applyFill="1"/>
    <xf numFmtId="0" fontId="28" fillId="10" borderId="0" xfId="0" applyFont="1" applyFill="1" applyAlignment="1">
      <alignment horizontal="center" vertical="top" wrapText="1"/>
    </xf>
    <xf numFmtId="0" fontId="110" fillId="3" borderId="0" xfId="0" applyFont="1" applyFill="1"/>
    <xf numFmtId="0" fontId="23" fillId="10" borderId="21" xfId="0" applyFont="1" applyFill="1" applyBorder="1" applyAlignment="1">
      <alignment horizontal="center"/>
    </xf>
    <xf numFmtId="0" fontId="101" fillId="3" borderId="0" xfId="0" applyFont="1" applyFill="1" applyAlignment="1">
      <alignment horizontal="left" vertical="top"/>
    </xf>
    <xf numFmtId="0" fontId="109" fillId="3" borderId="0" xfId="0" applyFont="1" applyFill="1"/>
    <xf numFmtId="164" fontId="7" fillId="10" borderId="21" xfId="0" applyNumberFormat="1" applyFont="1" applyFill="1" applyBorder="1"/>
    <xf numFmtId="0" fontId="100" fillId="3" borderId="0" xfId="0" applyFont="1" applyFill="1" applyAlignment="1">
      <alignment wrapText="1"/>
    </xf>
    <xf numFmtId="0" fontId="59" fillId="3" borderId="0" xfId="0" applyFont="1" applyFill="1"/>
    <xf numFmtId="0" fontId="127" fillId="3" borderId="0" xfId="0" applyFont="1" applyFill="1"/>
    <xf numFmtId="0" fontId="128" fillId="3" borderId="0" xfId="0" applyFont="1" applyFill="1" applyAlignment="1">
      <alignment horizontal="right"/>
    </xf>
    <xf numFmtId="0" fontId="104" fillId="3" borderId="0" xfId="0" applyFont="1" applyFill="1" applyAlignment="1">
      <alignment wrapText="1"/>
    </xf>
    <xf numFmtId="0" fontId="83" fillId="3" borderId="0" xfId="0" applyFont="1" applyFill="1" applyAlignment="1">
      <alignment wrapText="1"/>
    </xf>
    <xf numFmtId="0" fontId="83" fillId="3" borderId="0" xfId="0" applyFont="1" applyFill="1"/>
    <xf numFmtId="0" fontId="82" fillId="3" borderId="0" xfId="0" applyFont="1" applyFill="1" applyAlignment="1">
      <alignment wrapText="1"/>
    </xf>
    <xf numFmtId="164" fontId="82" fillId="3" borderId="0" xfId="0" applyNumberFormat="1" applyFont="1" applyFill="1"/>
    <xf numFmtId="0" fontId="101" fillId="3" borderId="0" xfId="0" applyFont="1" applyFill="1" applyAlignment="1">
      <alignment horizontal="right" wrapText="1"/>
    </xf>
    <xf numFmtId="0" fontId="105" fillId="3" borderId="0" xfId="0" applyFont="1" applyFill="1" applyAlignment="1">
      <alignment horizontal="right" wrapText="1"/>
    </xf>
    <xf numFmtId="0" fontId="105" fillId="3" borderId="0" xfId="0" applyFont="1" applyFill="1" applyAlignment="1">
      <alignment horizontal="left" vertical="top"/>
    </xf>
    <xf numFmtId="0" fontId="105" fillId="3" borderId="0" xfId="0" applyFont="1" applyFill="1" applyAlignment="1">
      <alignment horizontal="left"/>
    </xf>
    <xf numFmtId="0" fontId="105" fillId="3" borderId="0" xfId="0" applyFont="1" applyFill="1"/>
    <xf numFmtId="164" fontId="106" fillId="3" borderId="0" xfId="0" applyNumberFormat="1" applyFont="1" applyFill="1"/>
    <xf numFmtId="0" fontId="57" fillId="3" borderId="0" xfId="0" applyFont="1" applyFill="1" applyAlignment="1">
      <alignment horizontal="right" wrapText="1"/>
    </xf>
    <xf numFmtId="0" fontId="57" fillId="3" borderId="0" xfId="0" applyFont="1" applyFill="1" applyAlignment="1">
      <alignment horizontal="left" vertical="top"/>
    </xf>
    <xf numFmtId="0" fontId="57" fillId="3" borderId="0" xfId="0" applyFont="1" applyFill="1" applyAlignment="1">
      <alignment horizontal="left"/>
    </xf>
    <xf numFmtId="0" fontId="57" fillId="3" borderId="0" xfId="0" applyFont="1" applyFill="1"/>
    <xf numFmtId="0" fontId="107" fillId="3" borderId="0" xfId="0" applyFont="1" applyFill="1" applyAlignment="1">
      <alignment horizontal="right" wrapText="1"/>
    </xf>
    <xf numFmtId="0" fontId="108" fillId="3" borderId="0" xfId="0" applyFont="1" applyFill="1" applyAlignment="1">
      <alignment horizontal="left" vertical="top"/>
    </xf>
    <xf numFmtId="0" fontId="108" fillId="3" borderId="0" xfId="0" applyFont="1" applyFill="1" applyAlignment="1">
      <alignment horizontal="left"/>
    </xf>
    <xf numFmtId="0" fontId="108" fillId="3" borderId="0" xfId="0" applyFont="1" applyFill="1"/>
    <xf numFmtId="0" fontId="108" fillId="3" borderId="0" xfId="0" applyFont="1" applyFill="1" applyAlignment="1">
      <alignment horizontal="right" wrapText="1"/>
    </xf>
    <xf numFmtId="164" fontId="108" fillId="3" borderId="0" xfId="0" applyNumberFormat="1" applyFont="1" applyFill="1"/>
    <xf numFmtId="164" fontId="57" fillId="3" borderId="0" xfId="0" applyNumberFormat="1" applyFont="1" applyFill="1" applyAlignment="1">
      <alignment horizontal="left" vertical="top"/>
    </xf>
    <xf numFmtId="0" fontId="107" fillId="3" borderId="0" xfId="0" applyFont="1" applyFill="1" applyAlignment="1">
      <alignment horizontal="left" vertical="top"/>
    </xf>
    <xf numFmtId="0" fontId="107" fillId="3" borderId="0" xfId="0" applyFont="1" applyFill="1" applyAlignment="1">
      <alignment horizontal="left"/>
    </xf>
    <xf numFmtId="0" fontId="107" fillId="3" borderId="0" xfId="0" applyFont="1" applyFill="1"/>
    <xf numFmtId="164" fontId="105" fillId="3" borderId="0" xfId="0" applyNumberFormat="1" applyFont="1" applyFill="1"/>
    <xf numFmtId="0" fontId="85" fillId="3" borderId="0" xfId="0" applyFont="1" applyFill="1" applyAlignment="1">
      <alignment horizontal="right" wrapText="1"/>
    </xf>
    <xf numFmtId="0" fontId="85" fillId="3" borderId="0" xfId="0" applyFont="1" applyFill="1" applyAlignment="1">
      <alignment horizontal="left" vertical="top"/>
    </xf>
    <xf numFmtId="0" fontId="85" fillId="3" borderId="0" xfId="0" applyFont="1" applyFill="1" applyAlignment="1">
      <alignment horizontal="left"/>
    </xf>
    <xf numFmtId="1" fontId="23" fillId="14" borderId="8" xfId="0" applyNumberFormat="1" applyFont="1" applyFill="1" applyBorder="1" applyProtection="1">
      <protection locked="0"/>
    </xf>
    <xf numFmtId="1" fontId="23" fillId="14" borderId="13" xfId="0" applyNumberFormat="1" applyFont="1" applyFill="1" applyBorder="1" applyProtection="1">
      <protection locked="0"/>
    </xf>
    <xf numFmtId="18" fontId="23" fillId="14" borderId="4" xfId="0" applyNumberFormat="1" applyFont="1" applyFill="1" applyBorder="1" applyAlignment="1" applyProtection="1">
      <alignment horizontal="left"/>
      <protection locked="0"/>
    </xf>
    <xf numFmtId="165" fontId="0" fillId="0" borderId="0" xfId="0" applyNumberFormat="1"/>
    <xf numFmtId="166" fontId="0" fillId="0" borderId="0" xfId="0" applyNumberFormat="1"/>
    <xf numFmtId="0" fontId="114" fillId="0" borderId="0" xfId="6"/>
    <xf numFmtId="0" fontId="23" fillId="12" borderId="8" xfId="0" applyFont="1" applyFill="1" applyBorder="1" applyAlignment="1">
      <alignment horizontal="center"/>
    </xf>
    <xf numFmtId="0" fontId="23" fillId="12" borderId="14" xfId="0" applyFont="1" applyFill="1" applyBorder="1" applyAlignment="1">
      <alignment horizontal="center"/>
    </xf>
    <xf numFmtId="0" fontId="23" fillId="12" borderId="13" xfId="0" applyFont="1" applyFill="1" applyBorder="1" applyAlignment="1">
      <alignment horizontal="center"/>
    </xf>
    <xf numFmtId="0" fontId="28" fillId="12" borderId="15" xfId="0" applyFont="1" applyFill="1" applyBorder="1" applyAlignment="1">
      <alignment horizontal="center" vertical="top" wrapText="1"/>
    </xf>
    <xf numFmtId="0" fontId="28" fillId="12" borderId="16" xfId="0" applyFont="1" applyFill="1" applyBorder="1" applyAlignment="1">
      <alignment horizontal="center" vertical="top" wrapText="1"/>
    </xf>
    <xf numFmtId="0" fontId="28" fillId="12" borderId="17" xfId="0" applyFont="1" applyFill="1" applyBorder="1" applyAlignment="1">
      <alignment horizontal="center" vertical="top" wrapText="1"/>
    </xf>
    <xf numFmtId="0" fontId="28" fillId="12" borderId="10" xfId="0" applyFont="1" applyFill="1" applyBorder="1" applyAlignment="1">
      <alignment horizontal="center" vertical="top" wrapText="1"/>
    </xf>
    <xf numFmtId="0" fontId="28" fillId="12" borderId="22" xfId="0" applyFont="1" applyFill="1" applyBorder="1" applyAlignment="1">
      <alignment horizontal="center" vertical="top" wrapText="1"/>
    </xf>
    <xf numFmtId="0" fontId="28" fillId="12" borderId="19" xfId="0" applyFont="1" applyFill="1" applyBorder="1" applyAlignment="1">
      <alignment horizontal="center" vertical="top" wrapText="1"/>
    </xf>
    <xf numFmtId="0" fontId="3" fillId="12" borderId="8" xfId="0" applyFont="1" applyFill="1" applyBorder="1" applyAlignment="1">
      <alignment horizontal="center"/>
    </xf>
    <xf numFmtId="0" fontId="3" fillId="12" borderId="14" xfId="0" applyFont="1" applyFill="1" applyBorder="1" applyAlignment="1">
      <alignment horizontal="center"/>
    </xf>
    <xf numFmtId="0" fontId="3" fillId="12" borderId="13" xfId="0" applyFont="1" applyFill="1" applyBorder="1" applyAlignment="1">
      <alignment horizontal="center"/>
    </xf>
    <xf numFmtId="0" fontId="28" fillId="12" borderId="8" xfId="0" applyFont="1" applyFill="1" applyBorder="1" applyAlignment="1">
      <alignment horizontal="center"/>
    </xf>
    <xf numFmtId="0" fontId="28" fillId="12" borderId="14" xfId="0" applyFont="1" applyFill="1" applyBorder="1" applyAlignment="1">
      <alignment horizontal="center"/>
    </xf>
    <xf numFmtId="0" fontId="28" fillId="12" borderId="13" xfId="0" applyFont="1" applyFill="1" applyBorder="1" applyAlignment="1">
      <alignment horizontal="center"/>
    </xf>
    <xf numFmtId="0" fontId="79" fillId="7" borderId="8" xfId="0" applyFont="1" applyFill="1" applyBorder="1" applyAlignment="1">
      <alignment horizontal="right"/>
    </xf>
    <xf numFmtId="0" fontId="79" fillId="7" borderId="14" xfId="0" applyFont="1" applyFill="1" applyBorder="1" applyAlignment="1">
      <alignment horizontal="right"/>
    </xf>
    <xf numFmtId="0" fontId="84" fillId="7" borderId="8" xfId="0" applyFont="1" applyFill="1" applyBorder="1" applyAlignment="1">
      <alignment horizontal="center"/>
    </xf>
    <xf numFmtId="0" fontId="84" fillId="7" borderId="14" xfId="0" applyFont="1" applyFill="1" applyBorder="1" applyAlignment="1">
      <alignment horizontal="center"/>
    </xf>
    <xf numFmtId="0" fontId="84" fillId="7" borderId="13" xfId="0" applyFont="1" applyFill="1" applyBorder="1" applyAlignment="1">
      <alignment horizontal="center"/>
    </xf>
    <xf numFmtId="0" fontId="84" fillId="5" borderId="8" xfId="0" applyFont="1" applyFill="1" applyBorder="1" applyAlignment="1">
      <alignment horizontal="center"/>
    </xf>
    <xf numFmtId="0" fontId="84" fillId="5" borderId="13" xfId="0" applyFont="1" applyFill="1" applyBorder="1" applyAlignment="1">
      <alignment horizontal="center"/>
    </xf>
    <xf numFmtId="0" fontId="83" fillId="5" borderId="8" xfId="0" applyFont="1" applyFill="1" applyBorder="1" applyAlignment="1">
      <alignment horizontal="right"/>
    </xf>
    <xf numFmtId="0" fontId="83" fillId="5" borderId="13" xfId="0" applyFont="1" applyFill="1" applyBorder="1" applyAlignment="1">
      <alignment horizontal="right"/>
    </xf>
    <xf numFmtId="176" fontId="86" fillId="6" borderId="8" xfId="0" applyNumberFormat="1" applyFont="1" applyFill="1" applyBorder="1" applyAlignment="1">
      <alignment horizontal="center"/>
    </xf>
    <xf numFmtId="176" fontId="86" fillId="6" borderId="13" xfId="0" applyNumberFormat="1" applyFont="1" applyFill="1" applyBorder="1" applyAlignment="1">
      <alignment horizontal="center"/>
    </xf>
    <xf numFmtId="176" fontId="91" fillId="14" borderId="8" xfId="0" applyNumberFormat="1" applyFont="1" applyFill="1" applyBorder="1" applyAlignment="1" applyProtection="1">
      <alignment horizontal="left"/>
      <protection locked="0"/>
    </xf>
    <xf numFmtId="176" fontId="91" fillId="14" borderId="13" xfId="0" applyNumberFormat="1" applyFont="1" applyFill="1" applyBorder="1" applyAlignment="1" applyProtection="1">
      <alignment horizontal="left"/>
      <protection locked="0"/>
    </xf>
    <xf numFmtId="0" fontId="82" fillId="5" borderId="8" xfId="0" applyFont="1" applyFill="1" applyBorder="1" applyAlignment="1">
      <alignment horizontal="right" wrapText="1"/>
    </xf>
    <xf numFmtId="0" fontId="82" fillId="5" borderId="13" xfId="0" applyFont="1" applyFill="1" applyBorder="1" applyAlignment="1">
      <alignment horizontal="right" wrapText="1"/>
    </xf>
    <xf numFmtId="0" fontId="28" fillId="5" borderId="8" xfId="0" applyFont="1" applyFill="1" applyBorder="1" applyAlignment="1">
      <alignment horizontal="right" wrapText="1"/>
    </xf>
    <xf numFmtId="0" fontId="28" fillId="5" borderId="13" xfId="0" applyFont="1" applyFill="1" applyBorder="1" applyAlignment="1">
      <alignment horizontal="right" wrapText="1"/>
    </xf>
    <xf numFmtId="0" fontId="23" fillId="8" borderId="8" xfId="0" applyFont="1" applyFill="1" applyBorder="1" applyAlignment="1">
      <alignment horizontal="left"/>
    </xf>
    <xf numFmtId="0" fontId="23" fillId="8" borderId="13" xfId="0" applyFont="1" applyFill="1" applyBorder="1" applyAlignment="1">
      <alignment horizontal="left"/>
    </xf>
    <xf numFmtId="0" fontId="82" fillId="7" borderId="4" xfId="0" applyFont="1" applyFill="1" applyBorder="1" applyAlignment="1">
      <alignment horizontal="center"/>
    </xf>
    <xf numFmtId="0" fontId="83" fillId="4" borderId="8" xfId="0" applyFont="1" applyFill="1" applyBorder="1" applyAlignment="1">
      <alignment horizontal="left"/>
    </xf>
    <xf numFmtId="0" fontId="83" fillId="4" borderId="14" xfId="0" applyFont="1" applyFill="1" applyBorder="1" applyAlignment="1">
      <alignment horizontal="left"/>
    </xf>
    <xf numFmtId="0" fontId="83" fillId="4" borderId="13" xfId="0" applyFont="1" applyFill="1" applyBorder="1" applyAlignment="1">
      <alignment horizontal="left"/>
    </xf>
    <xf numFmtId="171" fontId="83" fillId="4" borderId="8" xfId="0" applyNumberFormat="1" applyFont="1" applyFill="1" applyBorder="1" applyAlignment="1">
      <alignment horizontal="left"/>
    </xf>
    <xf numFmtId="171" fontId="83" fillId="4" borderId="14" xfId="0" applyNumberFormat="1" applyFont="1" applyFill="1" applyBorder="1" applyAlignment="1">
      <alignment horizontal="left"/>
    </xf>
    <xf numFmtId="171" fontId="83" fillId="4" borderId="13" xfId="0" applyNumberFormat="1" applyFont="1" applyFill="1" applyBorder="1" applyAlignment="1">
      <alignment horizontal="left"/>
    </xf>
    <xf numFmtId="0" fontId="92" fillId="5" borderId="8" xfId="0" applyFont="1" applyFill="1" applyBorder="1" applyAlignment="1">
      <alignment horizontal="right"/>
    </xf>
    <xf numFmtId="0" fontId="92" fillId="5" borderId="13" xfId="0" applyFont="1" applyFill="1" applyBorder="1" applyAlignment="1">
      <alignment horizontal="right"/>
    </xf>
    <xf numFmtId="0" fontId="28" fillId="12" borderId="12" xfId="0" applyFont="1" applyFill="1" applyBorder="1" applyAlignment="1">
      <alignment horizontal="right"/>
    </xf>
    <xf numFmtId="0" fontId="27" fillId="3" borderId="21" xfId="0" quotePrefix="1" applyFont="1" applyFill="1" applyBorder="1" applyAlignment="1">
      <alignment horizontal="center" wrapText="1"/>
    </xf>
    <xf numFmtId="0" fontId="27" fillId="3" borderId="0" xfId="0" quotePrefix="1" applyFont="1" applyFill="1" applyAlignment="1">
      <alignment horizontal="center" wrapText="1"/>
    </xf>
    <xf numFmtId="49" fontId="44" fillId="0" borderId="0" xfId="0" applyNumberFormat="1" applyFont="1" applyAlignment="1" applyProtection="1">
      <alignment horizontal="left"/>
      <protection locked="0"/>
    </xf>
    <xf numFmtId="0" fontId="44" fillId="0" borderId="0" xfId="0" applyFont="1" applyAlignment="1">
      <alignment horizontal="left"/>
    </xf>
    <xf numFmtId="14" fontId="47" fillId="0" borderId="0" xfId="0" applyNumberFormat="1" applyFont="1" applyAlignment="1">
      <alignment horizontal="left"/>
    </xf>
    <xf numFmtId="0" fontId="121" fillId="0" borderId="0" xfId="0" applyFont="1" applyAlignment="1">
      <alignment horizontal="center"/>
    </xf>
    <xf numFmtId="0" fontId="67" fillId="0" borderId="15" xfId="0" applyFont="1" applyBorder="1" applyAlignment="1">
      <alignment horizontal="center"/>
    </xf>
    <xf numFmtId="0" fontId="67" fillId="0" borderId="16" xfId="0" applyFont="1" applyBorder="1" applyAlignment="1">
      <alignment horizontal="center"/>
    </xf>
    <xf numFmtId="0" fontId="67" fillId="0" borderId="17" xfId="0" applyFont="1" applyBorder="1" applyAlignment="1">
      <alignment horizontal="center"/>
    </xf>
    <xf numFmtId="0" fontId="67" fillId="0" borderId="21" xfId="0" applyFont="1" applyBorder="1" applyAlignment="1">
      <alignment horizontal="center"/>
    </xf>
    <xf numFmtId="0" fontId="67" fillId="0" borderId="0" xfId="0" applyFont="1" applyAlignment="1">
      <alignment horizontal="center"/>
    </xf>
    <xf numFmtId="0" fontId="67" fillId="0" borderId="18" xfId="0" applyFont="1" applyBorder="1" applyAlignment="1">
      <alignment horizontal="center"/>
    </xf>
    <xf numFmtId="180" fontId="67" fillId="0" borderId="15" xfId="0" applyNumberFormat="1" applyFont="1" applyBorder="1" applyAlignment="1">
      <alignment horizontal="center"/>
    </xf>
    <xf numFmtId="180" fontId="67" fillId="0" borderId="17" xfId="0" applyNumberFormat="1" applyFont="1" applyBorder="1" applyAlignment="1">
      <alignment horizontal="center"/>
    </xf>
    <xf numFmtId="180" fontId="67" fillId="0" borderId="21" xfId="0" applyNumberFormat="1" applyFont="1" applyBorder="1" applyAlignment="1">
      <alignment horizontal="center"/>
    </xf>
    <xf numFmtId="180" fontId="67" fillId="0" borderId="18" xfId="0" applyNumberFormat="1" applyFont="1" applyBorder="1" applyAlignment="1">
      <alignment horizontal="center"/>
    </xf>
    <xf numFmtId="0" fontId="116" fillId="13" borderId="0" xfId="0" applyFont="1" applyFill="1" applyAlignment="1">
      <alignment horizontal="center"/>
    </xf>
    <xf numFmtId="0" fontId="44" fillId="0" borderId="0" xfId="0" applyFont="1" applyAlignment="1">
      <alignment horizontal="center"/>
    </xf>
    <xf numFmtId="0" fontId="115" fillId="0" borderId="0" xfId="0" applyFont="1"/>
    <xf numFmtId="0" fontId="115" fillId="0" borderId="0" xfId="0" applyFont="1" applyAlignment="1">
      <alignment horizontal="left" vertical="top" wrapText="1"/>
    </xf>
    <xf numFmtId="0" fontId="45" fillId="0" borderId="0" xfId="0" applyFont="1" applyAlignment="1">
      <alignment horizontal="center"/>
    </xf>
    <xf numFmtId="0" fontId="124" fillId="0" borderId="0" xfId="0" applyFont="1" applyAlignment="1">
      <alignment horizontal="left" vertical="top"/>
    </xf>
    <xf numFmtId="0" fontId="119" fillId="0" borderId="0" xfId="0" applyFont="1" applyAlignment="1">
      <alignment horizontal="center"/>
    </xf>
    <xf numFmtId="0" fontId="7" fillId="0" borderId="0" xfId="0" applyFont="1" applyAlignment="1">
      <alignment horizontal="center" vertical="top" wrapText="1"/>
    </xf>
    <xf numFmtId="0" fontId="7" fillId="0" borderId="0" xfId="0" applyFont="1" applyAlignment="1">
      <alignment horizontal="center"/>
    </xf>
    <xf numFmtId="0" fontId="44" fillId="0" borderId="0" xfId="0" applyFont="1" applyAlignment="1">
      <alignment horizontal="left" vertical="top" wrapText="1"/>
    </xf>
    <xf numFmtId="0" fontId="44" fillId="0" borderId="22" xfId="0" applyFont="1" applyBorder="1" applyAlignment="1">
      <alignment horizontal="left" vertical="top" wrapText="1"/>
    </xf>
    <xf numFmtId="0" fontId="116" fillId="13" borderId="22" xfId="0" applyFont="1" applyFill="1" applyBorder="1" applyAlignment="1">
      <alignment horizontal="center"/>
    </xf>
    <xf numFmtId="0" fontId="67" fillId="0" borderId="10" xfId="0" applyFont="1" applyBorder="1" applyAlignment="1">
      <alignment horizontal="center"/>
    </xf>
    <xf numFmtId="0" fontId="67" fillId="0" borderId="22" xfId="0" applyFont="1" applyBorder="1" applyAlignment="1">
      <alignment horizontal="center"/>
    </xf>
    <xf numFmtId="0" fontId="67" fillId="0" borderId="19" xfId="0" applyFont="1" applyBorder="1" applyAlignment="1">
      <alignment horizontal="center"/>
    </xf>
    <xf numFmtId="0" fontId="116" fillId="13" borderId="15" xfId="0" applyFont="1" applyFill="1" applyBorder="1" applyAlignment="1">
      <alignment horizontal="center"/>
    </xf>
    <xf numFmtId="0" fontId="116" fillId="13" borderId="16" xfId="0" applyFont="1" applyFill="1" applyBorder="1" applyAlignment="1">
      <alignment horizontal="center"/>
    </xf>
    <xf numFmtId="0" fontId="116" fillId="13" borderId="17" xfId="0" applyFont="1" applyFill="1" applyBorder="1" applyAlignment="1">
      <alignment horizontal="center"/>
    </xf>
    <xf numFmtId="0" fontId="0" fillId="0" borderId="0" xfId="0" applyAlignment="1">
      <alignment horizontal="center"/>
    </xf>
    <xf numFmtId="0" fontId="125" fillId="0" borderId="22" xfId="0" applyFont="1" applyBorder="1" applyAlignment="1">
      <alignment horizontal="center"/>
    </xf>
    <xf numFmtId="0" fontId="115" fillId="0" borderId="0" xfId="0" applyFont="1" applyAlignment="1">
      <alignment horizontal="left"/>
    </xf>
    <xf numFmtId="0" fontId="115" fillId="0" borderId="16" xfId="0" applyFont="1" applyBorder="1" applyAlignment="1">
      <alignment horizontal="left"/>
    </xf>
    <xf numFmtId="0" fontId="115" fillId="0" borderId="22" xfId="0" applyFont="1" applyBorder="1" applyAlignment="1">
      <alignment horizontal="left"/>
    </xf>
    <xf numFmtId="0" fontId="117" fillId="0" borderId="0" xfId="0" applyFont="1" applyAlignment="1">
      <alignment horizontal="center"/>
    </xf>
    <xf numFmtId="0" fontId="7" fillId="0" borderId="0" xfId="0" applyFont="1" applyAlignment="1">
      <alignment horizontal="left" vertical="top" wrapText="1"/>
    </xf>
    <xf numFmtId="14" fontId="67" fillId="0" borderId="15" xfId="0" applyNumberFormat="1" applyFont="1" applyBorder="1" applyAlignment="1">
      <alignment horizontal="center"/>
    </xf>
    <xf numFmtId="14" fontId="67" fillId="0" borderId="16" xfId="0" applyNumberFormat="1" applyFont="1" applyBorder="1" applyAlignment="1">
      <alignment horizontal="center"/>
    </xf>
    <xf numFmtId="14" fontId="67" fillId="0" borderId="17" xfId="0" applyNumberFormat="1" applyFont="1" applyBorder="1" applyAlignment="1">
      <alignment horizontal="center"/>
    </xf>
    <xf numFmtId="0" fontId="67" fillId="0" borderId="10" xfId="0" applyFont="1" applyBorder="1"/>
    <xf numFmtId="0" fontId="67" fillId="0" borderId="22" xfId="0" applyFont="1" applyBorder="1"/>
    <xf numFmtId="0" fontId="67" fillId="0" borderId="19" xfId="0" applyFont="1" applyBorder="1"/>
    <xf numFmtId="180" fontId="67" fillId="0" borderId="10" xfId="0" applyNumberFormat="1" applyFont="1" applyBorder="1" applyAlignment="1">
      <alignment horizontal="center"/>
    </xf>
    <xf numFmtId="180" fontId="67" fillId="0" borderId="19" xfId="0" applyNumberFormat="1" applyFont="1" applyBorder="1" applyAlignment="1">
      <alignment horizontal="center"/>
    </xf>
    <xf numFmtId="0" fontId="30" fillId="0" borderId="16" xfId="0" applyFont="1" applyBorder="1" applyAlignment="1">
      <alignment horizontal="center"/>
    </xf>
    <xf numFmtId="172" fontId="7" fillId="0" borderId="6" xfId="0" applyNumberFormat="1" applyFont="1" applyBorder="1" applyAlignment="1">
      <alignment horizontal="center"/>
    </xf>
    <xf numFmtId="172" fontId="7" fillId="0" borderId="7" xfId="0" applyNumberFormat="1" applyFont="1" applyBorder="1" applyAlignment="1">
      <alignment horizontal="center"/>
    </xf>
    <xf numFmtId="0" fontId="64" fillId="0" borderId="4" xfId="0" applyFont="1" applyBorder="1" applyAlignment="1">
      <alignment horizontal="center"/>
    </xf>
    <xf numFmtId="0" fontId="72" fillId="0" borderId="21" xfId="0" applyFont="1" applyBorder="1" applyAlignment="1">
      <alignment horizontal="center"/>
    </xf>
    <xf numFmtId="0" fontId="72" fillId="0" borderId="0" xfId="0" applyFont="1" applyAlignment="1">
      <alignment horizontal="center"/>
    </xf>
    <xf numFmtId="0" fontId="72" fillId="0" borderId="18" xfId="0" applyFont="1" applyBorder="1" applyAlignment="1">
      <alignment horizontal="center"/>
    </xf>
    <xf numFmtId="0" fontId="71" fillId="0" borderId="21" xfId="0" applyFont="1" applyBorder="1" applyAlignment="1">
      <alignment horizontal="center"/>
    </xf>
    <xf numFmtId="0" fontId="71" fillId="0" borderId="0" xfId="0" applyFont="1" applyAlignment="1">
      <alignment horizontal="center"/>
    </xf>
    <xf numFmtId="0" fontId="71" fillId="0" borderId="18" xfId="0" applyFont="1" applyBorder="1" applyAlignment="1">
      <alignment horizontal="center"/>
    </xf>
    <xf numFmtId="0" fontId="61" fillId="0" borderId="21" xfId="0" applyFont="1" applyBorder="1" applyAlignment="1">
      <alignment horizontal="center"/>
    </xf>
    <xf numFmtId="0" fontId="61" fillId="0" borderId="0" xfId="0" applyFont="1" applyAlignment="1">
      <alignment horizontal="center"/>
    </xf>
    <xf numFmtId="0" fontId="61" fillId="0" borderId="18" xfId="0" applyFont="1" applyBorder="1" applyAlignment="1">
      <alignment horizontal="center"/>
    </xf>
    <xf numFmtId="0" fontId="70" fillId="0" borderId="10" xfId="0" applyFont="1" applyBorder="1" applyAlignment="1">
      <alignment horizontal="center"/>
    </xf>
    <xf numFmtId="0" fontId="70" fillId="0" borderId="22" xfId="0" applyFont="1" applyBorder="1" applyAlignment="1">
      <alignment horizontal="center"/>
    </xf>
    <xf numFmtId="0" fontId="70" fillId="0" borderId="19" xfId="0" applyFont="1" applyBorder="1" applyAlignment="1">
      <alignment horizontal="center"/>
    </xf>
    <xf numFmtId="0" fontId="31" fillId="0" borderId="4" xfId="0" applyFont="1" applyBorder="1" applyAlignment="1">
      <alignment horizontal="center"/>
    </xf>
    <xf numFmtId="0" fontId="65" fillId="0" borderId="21" xfId="0" applyFont="1" applyBorder="1" applyAlignment="1">
      <alignment horizontal="center"/>
    </xf>
    <xf numFmtId="0" fontId="65" fillId="0" borderId="0" xfId="0" applyFont="1" applyAlignment="1">
      <alignment horizontal="center"/>
    </xf>
    <xf numFmtId="0" fontId="65" fillId="0" borderId="18" xfId="0" applyFont="1" applyBorder="1" applyAlignment="1">
      <alignment horizontal="center"/>
    </xf>
    <xf numFmtId="0" fontId="10" fillId="0" borderId="23" xfId="1" applyFont="1" applyBorder="1" applyAlignment="1" applyProtection="1">
      <alignment horizontal="left" vertical="top" wrapText="1"/>
      <protection locked="0"/>
    </xf>
    <xf numFmtId="0" fontId="10" fillId="0" borderId="0" xfId="1" applyFont="1" applyAlignment="1" applyProtection="1">
      <alignment horizontal="left" vertical="top" wrapText="1"/>
      <protection locked="0"/>
    </xf>
    <xf numFmtId="0" fontId="22" fillId="0" borderId="0" xfId="1" applyFont="1" applyAlignment="1">
      <alignment horizontal="left" vertical="top" wrapText="1"/>
    </xf>
    <xf numFmtId="0" fontId="28" fillId="0" borderId="15" xfId="0" applyFont="1" applyBorder="1" applyAlignment="1">
      <alignment horizontal="center" vertical="top" wrapText="1"/>
    </xf>
    <xf numFmtId="0" fontId="28" fillId="0" borderId="16" xfId="0" applyFont="1" applyBorder="1" applyAlignment="1">
      <alignment horizontal="center" vertical="top" wrapText="1"/>
    </xf>
    <xf numFmtId="0" fontId="28" fillId="0" borderId="17" xfId="0" applyFont="1" applyBorder="1" applyAlignment="1">
      <alignment horizontal="center" vertical="top" wrapText="1"/>
    </xf>
    <xf numFmtId="0" fontId="28" fillId="0" borderId="21" xfId="0" applyFont="1" applyBorder="1" applyAlignment="1">
      <alignment horizontal="center" vertical="top" wrapText="1"/>
    </xf>
    <xf numFmtId="0" fontId="28" fillId="0" borderId="0" xfId="0" applyFont="1" applyAlignment="1">
      <alignment horizontal="center" vertical="top" wrapText="1"/>
    </xf>
    <xf numFmtId="0" fontId="28" fillId="0" borderId="18" xfId="0" applyFont="1" applyBorder="1" applyAlignment="1">
      <alignment horizontal="center" vertical="top" wrapText="1"/>
    </xf>
    <xf numFmtId="0" fontId="3" fillId="0" borderId="0" xfId="0" applyFont="1" applyAlignment="1">
      <alignment horizontal="right"/>
    </xf>
    <xf numFmtId="0" fontId="3" fillId="0" borderId="18" xfId="0" applyFont="1" applyBorder="1" applyAlignment="1">
      <alignment horizontal="right"/>
    </xf>
    <xf numFmtId="0" fontId="134" fillId="0" borderId="8" xfId="0" applyFont="1" applyBorder="1" applyAlignment="1">
      <alignment horizontal="center"/>
    </xf>
    <xf numFmtId="0" fontId="134" fillId="0" borderId="14" xfId="0" applyFont="1" applyBorder="1" applyAlignment="1">
      <alignment horizontal="center"/>
    </xf>
    <xf numFmtId="0" fontId="134" fillId="0" borderId="13" xfId="0" applyFont="1" applyBorder="1" applyAlignment="1">
      <alignment horizontal="center"/>
    </xf>
    <xf numFmtId="0" fontId="7" fillId="0" borderId="8" xfId="0" applyFont="1" applyBorder="1" applyAlignment="1">
      <alignment horizontal="center"/>
    </xf>
    <xf numFmtId="0" fontId="7" fillId="0" borderId="14" xfId="0" applyFont="1" applyBorder="1" applyAlignment="1">
      <alignment horizontal="center"/>
    </xf>
    <xf numFmtId="0" fontId="7" fillId="0" borderId="13" xfId="0" applyFont="1" applyBorder="1" applyAlignment="1">
      <alignment horizontal="center"/>
    </xf>
    <xf numFmtId="0" fontId="134" fillId="0" borderId="8" xfId="0" applyFont="1" applyBorder="1" applyAlignment="1">
      <alignment horizontal="center" vertical="top" wrapText="1"/>
    </xf>
    <xf numFmtId="0" fontId="134" fillId="0" borderId="14" xfId="0" applyFont="1" applyBorder="1" applyAlignment="1">
      <alignment horizontal="center" vertical="top" wrapText="1"/>
    </xf>
    <xf numFmtId="0" fontId="134" fillId="0" borderId="13" xfId="0" applyFont="1" applyBorder="1" applyAlignment="1">
      <alignment horizontal="center" vertical="top" wrapText="1"/>
    </xf>
    <xf numFmtId="164" fontId="45" fillId="0" borderId="0" xfId="0" applyNumberFormat="1" applyFont="1" applyAlignment="1">
      <alignment horizontal="center"/>
    </xf>
    <xf numFmtId="164" fontId="25" fillId="0" borderId="4" xfId="0" applyNumberFormat="1" applyFont="1" applyBorder="1" applyAlignment="1">
      <alignment horizontal="center"/>
    </xf>
    <xf numFmtId="164" fontId="134" fillId="0" borderId="8" xfId="0" applyNumberFormat="1" applyFont="1" applyBorder="1" applyAlignment="1">
      <alignment horizontal="center"/>
    </xf>
    <xf numFmtId="164" fontId="134" fillId="0" borderId="14" xfId="0" applyNumberFormat="1" applyFont="1" applyBorder="1" applyAlignment="1">
      <alignment horizontal="center"/>
    </xf>
    <xf numFmtId="164" fontId="134" fillId="0" borderId="13" xfId="0" applyNumberFormat="1" applyFont="1" applyBorder="1" applyAlignment="1">
      <alignment horizontal="center"/>
    </xf>
    <xf numFmtId="0" fontId="28" fillId="0" borderId="8" xfId="0" applyFont="1" applyBorder="1" applyAlignment="1">
      <alignment horizontal="center"/>
    </xf>
    <xf numFmtId="0" fontId="28" fillId="0" borderId="14" xfId="0" applyFont="1" applyBorder="1" applyAlignment="1">
      <alignment horizontal="center"/>
    </xf>
    <xf numFmtId="0" fontId="28" fillId="0" borderId="13" xfId="0" applyFont="1" applyBorder="1" applyAlignment="1">
      <alignment horizontal="center"/>
    </xf>
    <xf numFmtId="164" fontId="3" fillId="0" borderId="8" xfId="0" applyNumberFormat="1" applyFont="1" applyBorder="1" applyAlignment="1">
      <alignment horizontal="right"/>
    </xf>
    <xf numFmtId="164" fontId="3" fillId="0" borderId="13" xfId="0" applyNumberFormat="1" applyFont="1" applyBorder="1" applyAlignment="1">
      <alignment horizontal="right"/>
    </xf>
    <xf numFmtId="164" fontId="3" fillId="0" borderId="8" xfId="0" applyNumberFormat="1" applyFont="1" applyBorder="1" applyAlignment="1">
      <alignment horizontal="center"/>
    </xf>
    <xf numFmtId="164" fontId="3" fillId="0" borderId="14" xfId="0" applyNumberFormat="1" applyFont="1" applyBorder="1" applyAlignment="1">
      <alignment horizontal="center"/>
    </xf>
    <xf numFmtId="164" fontId="3" fillId="0" borderId="13" xfId="0" applyNumberFormat="1" applyFont="1" applyBorder="1" applyAlignment="1">
      <alignment horizontal="center"/>
    </xf>
    <xf numFmtId="0" fontId="0" fillId="0" borderId="21" xfId="0" applyBorder="1" applyAlignment="1">
      <alignment horizontal="center"/>
    </xf>
    <xf numFmtId="169" fontId="93" fillId="9" borderId="4" xfId="0" applyNumberFormat="1" applyFont="1" applyFill="1" applyBorder="1" applyAlignment="1" applyProtection="1">
      <alignment horizontal="left"/>
      <protection locked="0"/>
    </xf>
    <xf numFmtId="0" fontId="23" fillId="8" borderId="9" xfId="0" applyFont="1" applyFill="1" applyBorder="1" applyAlignment="1" applyProtection="1">
      <alignment horizontal="left"/>
      <protection locked="0"/>
    </xf>
    <xf numFmtId="0" fontId="23" fillId="4" borderId="4" xfId="0" applyFont="1" applyFill="1" applyBorder="1" applyProtection="1"/>
    <xf numFmtId="0" fontId="7" fillId="14" borderId="8" xfId="0" applyFont="1" applyFill="1" applyBorder="1" applyProtection="1">
      <protection locked="0"/>
    </xf>
    <xf numFmtId="0" fontId="7" fillId="14" borderId="14" xfId="0" applyFont="1" applyFill="1" applyBorder="1" applyProtection="1">
      <protection locked="0"/>
    </xf>
    <xf numFmtId="0" fontId="7" fillId="14" borderId="13" xfId="0" applyFont="1" applyFill="1" applyBorder="1" applyProtection="1">
      <protection locked="0"/>
    </xf>
    <xf numFmtId="0" fontId="78" fillId="14" borderId="8" xfId="0" applyFont="1" applyFill="1" applyBorder="1" applyProtection="1">
      <protection locked="0"/>
    </xf>
    <xf numFmtId="0" fontId="78" fillId="14" borderId="14" xfId="0" applyFont="1" applyFill="1" applyBorder="1" applyProtection="1">
      <protection locked="0"/>
    </xf>
    <xf numFmtId="0" fontId="78" fillId="14" borderId="13" xfId="0" applyFont="1" applyFill="1" applyBorder="1" applyProtection="1">
      <protection locked="0"/>
    </xf>
    <xf numFmtId="0" fontId="82" fillId="7" borderId="8" xfId="0" applyFont="1" applyFill="1" applyBorder="1" applyAlignment="1" applyProtection="1">
      <alignment horizontal="center"/>
    </xf>
    <xf numFmtId="0" fontId="82" fillId="7" borderId="14" xfId="0" applyFont="1" applyFill="1" applyBorder="1" applyAlignment="1" applyProtection="1">
      <alignment horizontal="center"/>
    </xf>
    <xf numFmtId="0" fontId="82" fillId="7" borderId="13" xfId="0" applyFont="1" applyFill="1" applyBorder="1" applyAlignment="1" applyProtection="1">
      <alignment horizontal="center"/>
    </xf>
    <xf numFmtId="0" fontId="28" fillId="0" borderId="8" xfId="0" applyFont="1" applyBorder="1" applyAlignment="1" applyProtection="1">
      <alignment horizontal="center"/>
    </xf>
    <xf numFmtId="0" fontId="28" fillId="0" borderId="14" xfId="0" applyFont="1" applyBorder="1" applyAlignment="1" applyProtection="1">
      <alignment horizontal="center"/>
    </xf>
    <xf numFmtId="0" fontId="28" fillId="0" borderId="16" xfId="0" applyFont="1" applyBorder="1" applyAlignment="1" applyProtection="1">
      <alignment horizontal="center"/>
    </xf>
    <xf numFmtId="0" fontId="28" fillId="0" borderId="17" xfId="0" applyFont="1" applyBorder="1" applyAlignment="1" applyProtection="1">
      <alignment horizontal="center"/>
    </xf>
    <xf numFmtId="0" fontId="28" fillId="12" borderId="4" xfId="0" applyFont="1" applyFill="1" applyBorder="1" applyAlignment="1" applyProtection="1">
      <alignment horizontal="right"/>
    </xf>
    <xf numFmtId="0" fontId="28" fillId="12" borderId="4" xfId="0" applyFont="1" applyFill="1" applyBorder="1" applyAlignment="1" applyProtection="1">
      <alignment horizontal="center"/>
    </xf>
    <xf numFmtId="164" fontId="28" fillId="12" borderId="4" xfId="0" applyNumberFormat="1" applyFont="1" applyFill="1" applyBorder="1" applyAlignment="1" applyProtection="1">
      <alignment horizontal="right"/>
    </xf>
    <xf numFmtId="164" fontId="28" fillId="12" borderId="12" xfId="0" applyNumberFormat="1" applyFont="1" applyFill="1" applyBorder="1" applyAlignment="1" applyProtection="1">
      <alignment horizontal="right"/>
    </xf>
    <xf numFmtId="164" fontId="110" fillId="12" borderId="8" xfId="0" applyNumberFormat="1" applyFont="1" applyFill="1" applyBorder="1" applyProtection="1"/>
    <xf numFmtId="164" fontId="110" fillId="12" borderId="14" xfId="0" applyNumberFormat="1" applyFont="1" applyFill="1" applyBorder="1" applyProtection="1"/>
    <xf numFmtId="164" fontId="132" fillId="12" borderId="13" xfId="0" applyNumberFormat="1" applyFont="1" applyFill="1" applyBorder="1" applyAlignment="1" applyProtection="1">
      <alignment horizontal="right"/>
    </xf>
    <xf numFmtId="0" fontId="110" fillId="12" borderId="8" xfId="0" applyFont="1" applyFill="1" applyBorder="1" applyProtection="1"/>
    <xf numFmtId="0" fontId="110" fillId="12" borderId="14" xfId="0" applyFont="1" applyFill="1" applyBorder="1" applyProtection="1"/>
    <xf numFmtId="0" fontId="132" fillId="12" borderId="13" xfId="0" applyFont="1" applyFill="1" applyBorder="1" applyAlignment="1" applyProtection="1">
      <alignment horizontal="right"/>
    </xf>
    <xf numFmtId="0" fontId="109" fillId="12" borderId="8" xfId="0" applyFont="1" applyFill="1" applyBorder="1" applyProtection="1"/>
    <xf numFmtId="0" fontId="109" fillId="12" borderId="14" xfId="0" applyFont="1" applyFill="1" applyBorder="1" applyProtection="1"/>
    <xf numFmtId="0" fontId="78" fillId="12" borderId="8" xfId="0" applyFont="1" applyFill="1" applyBorder="1" applyAlignment="1" applyProtection="1">
      <alignment horizontal="right"/>
    </xf>
    <xf numFmtId="0" fontId="78" fillId="12" borderId="14" xfId="0" applyFont="1" applyFill="1" applyBorder="1" applyAlignment="1" applyProtection="1">
      <alignment horizontal="right"/>
    </xf>
    <xf numFmtId="0" fontId="28" fillId="12" borderId="13" xfId="0" applyFont="1" applyFill="1" applyBorder="1" applyAlignment="1" applyProtection="1">
      <alignment horizontal="right"/>
    </xf>
    <xf numFmtId="0" fontId="28" fillId="5" borderId="4" xfId="0" applyFont="1" applyFill="1" applyBorder="1" applyAlignment="1" applyProtection="1">
      <alignment horizontal="right"/>
    </xf>
    <xf numFmtId="0" fontId="138" fillId="5" borderId="4" xfId="6" applyFont="1" applyFill="1" applyBorder="1" applyAlignment="1" applyProtection="1">
      <alignment horizontal="right"/>
    </xf>
    <xf numFmtId="0" fontId="28" fillId="5" borderId="4" xfId="0" applyFont="1" applyFill="1" applyBorder="1" applyAlignment="1" applyProtection="1">
      <alignment horizontal="right" vertical="top"/>
    </xf>
    <xf numFmtId="0" fontId="82" fillId="7" borderId="22" xfId="0" applyFont="1" applyFill="1" applyBorder="1" applyAlignment="1" applyProtection="1">
      <alignment horizontal="center"/>
    </xf>
    <xf numFmtId="0" fontId="82" fillId="7" borderId="19" xfId="0" applyFont="1" applyFill="1" applyBorder="1" applyAlignment="1" applyProtection="1">
      <alignment horizontal="center"/>
    </xf>
    <xf numFmtId="0" fontId="7" fillId="14" borderId="12" xfId="0" applyFont="1" applyFill="1" applyBorder="1" applyProtection="1">
      <protection locked="0"/>
    </xf>
    <xf numFmtId="0" fontId="28" fillId="14" borderId="4" xfId="0" applyFont="1" applyFill="1" applyBorder="1" applyAlignment="1" applyProtection="1">
      <alignment horizontal="center"/>
      <protection locked="0"/>
    </xf>
    <xf numFmtId="0" fontId="28" fillId="14" borderId="4" xfId="0" applyFont="1" applyFill="1" applyBorder="1" applyAlignment="1" applyProtection="1">
      <alignment horizontal="center" vertical="top" wrapText="1"/>
      <protection locked="0"/>
    </xf>
    <xf numFmtId="164" fontId="7" fillId="14" borderId="4" xfId="0" applyNumberFormat="1" applyFont="1" applyFill="1" applyBorder="1" applyProtection="1">
      <protection locked="0"/>
    </xf>
    <xf numFmtId="20" fontId="7" fillId="14" borderId="4" xfId="0" applyNumberFormat="1" applyFont="1" applyFill="1" applyBorder="1" applyProtection="1">
      <protection locked="0"/>
    </xf>
    <xf numFmtId="164" fontId="7" fillId="14" borderId="8" xfId="0" applyNumberFormat="1" applyFont="1" applyFill="1" applyBorder="1" applyProtection="1">
      <protection locked="0"/>
    </xf>
    <xf numFmtId="164" fontId="7" fillId="14" borderId="13" xfId="0" applyNumberFormat="1" applyFont="1" applyFill="1" applyBorder="1" applyProtection="1">
      <protection locked="0"/>
    </xf>
    <xf numFmtId="0" fontId="7" fillId="14" borderId="13" xfId="0" applyFont="1" applyFill="1" applyBorder="1" applyProtection="1">
      <protection locked="0"/>
    </xf>
    <xf numFmtId="0" fontId="0" fillId="0" borderId="0" xfId="0" applyNumberFormat="1"/>
    <xf numFmtId="201" fontId="0" fillId="0" borderId="0" xfId="0" applyNumberFormat="1"/>
  </cellXfs>
  <cellStyles count="7">
    <cellStyle name="Hyperlink" xfId="6" builtinId="8"/>
    <cellStyle name="Normal" xfId="0" builtinId="0"/>
    <cellStyle name="Normal 2" xfId="1" xr:uid="{00000000-0005-0000-0000-000002000000}"/>
    <cellStyle name="Normal 2 2" xfId="4" xr:uid="{00000000-0005-0000-0000-000003000000}"/>
    <cellStyle name="Normal 3" xfId="3" xr:uid="{00000000-0005-0000-0000-000004000000}"/>
    <cellStyle name="Normal 4" xfId="5" xr:uid="{00000000-0005-0000-0000-000005000000}"/>
    <cellStyle name="Normal_Interp" xfId="2" xr:uid="{00000000-0005-0000-0000-000006000000}"/>
  </cellStyles>
  <dxfs count="96">
    <dxf>
      <numFmt numFmtId="0" formatCode="General"/>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5" formatCode="0.0\°\F"/>
    </dxf>
    <dxf>
      <numFmt numFmtId="166" formatCode="0\°\F"/>
    </dxf>
    <dxf>
      <numFmt numFmtId="166" formatCode="0\°\F"/>
    </dxf>
    <dxf>
      <numFmt numFmtId="165" formatCode="0.0\°\F"/>
    </dxf>
    <dxf>
      <font>
        <u/>
      </font>
    </dxf>
    <dxf>
      <font>
        <color rgb="FF009900"/>
      </font>
    </dxf>
    <dxf>
      <font>
        <b/>
        <i val="0"/>
        <color rgb="FF0000FF"/>
      </font>
    </dxf>
    <dxf>
      <font>
        <b/>
        <i val="0"/>
        <color rgb="FFFF0000"/>
      </font>
    </dxf>
    <dxf>
      <font>
        <b/>
        <i/>
        <color rgb="FF008000"/>
      </font>
    </dxf>
    <dxf>
      <font>
        <u/>
      </font>
    </dxf>
    <dxf>
      <font>
        <color rgb="FF009900"/>
      </font>
    </dxf>
    <dxf>
      <font>
        <b/>
        <i val="0"/>
        <strike val="0"/>
        <color rgb="FF0000FF"/>
      </font>
    </dxf>
    <dxf>
      <font>
        <b/>
        <i val="0"/>
        <color rgb="FFFF0000"/>
      </font>
    </dxf>
    <dxf>
      <font>
        <b/>
        <i/>
        <color rgb="FF008000"/>
      </font>
    </dxf>
    <dxf>
      <font>
        <u/>
      </font>
    </dxf>
    <dxf>
      <font>
        <color rgb="FF009900"/>
      </font>
    </dxf>
    <dxf>
      <font>
        <b/>
        <i val="0"/>
        <color rgb="FF0000FF"/>
      </font>
    </dxf>
    <dxf>
      <font>
        <b/>
        <i val="0"/>
        <color indexed="10"/>
      </font>
    </dxf>
    <dxf>
      <font>
        <b/>
        <i/>
        <color rgb="FF008000"/>
      </font>
    </dxf>
    <dxf>
      <numFmt numFmtId="0" formatCode="General"/>
    </dxf>
    <dxf>
      <numFmt numFmtId="2" formatCode="0.00"/>
    </dxf>
    <dxf>
      <numFmt numFmtId="0" formatCode="General"/>
    </dxf>
    <dxf>
      <numFmt numFmtId="0" formatCode="General"/>
    </dxf>
    <dxf>
      <numFmt numFmtId="0" formatCode="General"/>
    </dxf>
    <dxf>
      <protection locked="0" hidden="0"/>
    </dxf>
    <dxf>
      <protection locked="0" hidden="0"/>
    </dxf>
    <dxf>
      <numFmt numFmtId="30" formatCode="@"/>
    </dxf>
    <dxf>
      <numFmt numFmtId="30" formatCode="@"/>
    </dxf>
    <dxf>
      <numFmt numFmtId="30" formatCode="@"/>
    </dxf>
    <dxf>
      <numFmt numFmtId="19" formatCode="m/d/yyyy"/>
    </dxf>
    <dxf>
      <numFmt numFmtId="19" formatCode="m/d/yyyy"/>
    </dxf>
    <dxf>
      <numFmt numFmtId="30" formatCode="@"/>
    </dxf>
    <dxf>
      <numFmt numFmtId="30" formatCode="@"/>
    </dxf>
    <dxf>
      <numFmt numFmtId="30" formatCode="@"/>
    </dxf>
    <dxf>
      <numFmt numFmtId="1" formatCode="0"/>
    </dxf>
    <dxf>
      <numFmt numFmtId="0" formatCode="General"/>
      <protection locked="0" hidden="0"/>
    </dxf>
    <dxf>
      <numFmt numFmtId="0" formatCode="General"/>
      <protection locked="0" hidden="0"/>
    </dxf>
    <dxf>
      <numFmt numFmtId="0" formatCode="General"/>
      <protection locked="0" hidden="0"/>
    </dxf>
    <dxf>
      <numFmt numFmtId="165" formatCode="0.0\°\F"/>
    </dxf>
    <dxf>
      <numFmt numFmtId="166" formatCode="0\°\F"/>
    </dxf>
    <dxf>
      <numFmt numFmtId="166" formatCode="0\°\F"/>
    </dxf>
    <dxf>
      <numFmt numFmtId="166" formatCode="0\°\F"/>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font>
        <b val="0"/>
        <i val="0"/>
        <strike val="0"/>
        <condense val="0"/>
        <extend val="0"/>
        <outline val="0"/>
        <shadow val="0"/>
        <u val="none"/>
        <vertAlign val="baseline"/>
        <sz val="11"/>
        <color theme="0" tint="-0.249977111117893"/>
        <name val="Calibri"/>
        <family val="2"/>
        <scheme val="none"/>
      </font>
      <protection locked="0" hidden="0"/>
    </dxf>
    <dxf>
      <protection locked="0" hidden="0"/>
    </dxf>
    <dxf>
      <protection locked="0" hidden="0"/>
    </dxf>
    <dxf>
      <protection locked="0" hidden="0"/>
    </dxf>
    <dxf>
      <protection locked="0" hidden="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b val="0"/>
        <i val="0"/>
        <strike val="0"/>
        <condense val="0"/>
        <extend val="0"/>
        <outline val="0"/>
        <shadow val="0"/>
        <u val="none"/>
        <vertAlign val="baseline"/>
        <sz val="10"/>
        <color auto="1"/>
        <name val="Arial"/>
        <family val="2"/>
        <scheme val="none"/>
      </font>
    </dxf>
    <dxf>
      <font>
        <b val="0"/>
        <i val="0"/>
        <strike val="0"/>
        <condense val="0"/>
        <extend val="0"/>
        <outline val="0"/>
        <shadow val="0"/>
        <u val="none"/>
        <vertAlign val="baseline"/>
        <sz val="10"/>
        <color auto="1"/>
        <name val="Arial"/>
        <family val="2"/>
        <scheme val="none"/>
      </font>
    </dxf>
    <dxf>
      <numFmt numFmtId="0" formatCode="General"/>
    </dxf>
  </dxfs>
  <tableStyles count="0" defaultTableStyle="TableStyleMedium9" defaultPivotStyle="PivotStyleLight16"/>
  <colors>
    <mruColors>
      <color rgb="FFFFCC99"/>
      <color rgb="FF99CCFF"/>
      <color rgb="FFC0C0C0"/>
      <color rgb="FF33CCFF"/>
      <color rgb="FF009900"/>
      <color rgb="FF0000FF"/>
      <color rgb="FF008000"/>
      <color rgb="FF33CC33"/>
      <color rgb="FF3366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9" Type="http://schemas.openxmlformats.org/officeDocument/2006/relationships/customXml" Target="../customXml/item4.xml"/><Relationship Id="rId21" Type="http://schemas.openxmlformats.org/officeDocument/2006/relationships/worksheet" Target="worksheets/sheet21.xml"/><Relationship Id="rId34"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sheetMetadata" Target="metadata.xml"/><Relationship Id="rId38"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32" Type="http://schemas.openxmlformats.org/officeDocument/2006/relationships/sharedStrings" Target="sharedStrings.xml"/><Relationship Id="rId37" Type="http://schemas.openxmlformats.org/officeDocument/2006/relationships/customXml" Target="../customXml/item2.xml"/><Relationship Id="rId40" Type="http://schemas.microsoft.com/office/2006/relationships/vbaProject" Target="vbaProject.bin"/><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customXml" Target="../customXml/item1.xml"/><Relationship Id="rId10" Type="http://schemas.openxmlformats.org/officeDocument/2006/relationships/worksheet" Target="worksheets/sheet10.xml"/><Relationship Id="rId19" Type="http://schemas.openxmlformats.org/officeDocument/2006/relationships/worksheet" Target="worksheets/sheet19.xml"/><Relationship Id="rId31"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worksheet" Target="worksheets/sheet27.xml"/><Relationship Id="rId30" Type="http://schemas.openxmlformats.org/officeDocument/2006/relationships/connections" Target="connections.xml"/><Relationship Id="rId35" Type="http://schemas.openxmlformats.org/officeDocument/2006/relationships/calcChain" Target="calcChain.xml"/><Relationship Id="rId8" Type="http://schemas.openxmlformats.org/officeDocument/2006/relationships/worksheet" Target="worksheets/sheet8.xml"/><Relationship Id="rId3" Type="http://schemas.openxmlformats.org/officeDocument/2006/relationships/worksheet" Target="worksheets/sheet3.xml"/></Relationships>
</file>

<file path=xl/ctrlProps/ctrlProp1.xml><?xml version="1.0" encoding="utf-8"?>
<formControlPr xmlns="http://schemas.microsoft.com/office/spreadsheetml/2009/9/main" objectType="CheckBox" checked="Checked" fmlaLink="I94" lockText="1" noThreeD="1"/>
</file>

<file path=xl/ctrlProps/ctrlProp2.xml><?xml version="1.0" encoding="utf-8"?>
<formControlPr xmlns="http://schemas.microsoft.com/office/spreadsheetml/2009/9/main" objectType="CheckBox" fmlaLink="$U$24" lockText="1" noThreeD="1"/>
</file>

<file path=xl/ctrlProps/ctrlProp3.xml><?xml version="1.0" encoding="utf-8"?>
<formControlPr xmlns="http://schemas.microsoft.com/office/spreadsheetml/2009/9/main" objectType="CheckBox" fmlaLink="U30" lockText="1" noThreeD="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CheckBox" checked="Checked" fmlaLink="$H$15" lockText="1" noThreeD="1"/>
</file>

<file path=xl/drawings/_rels/drawing2.xml.rels><?xml version="1.0" encoding="UTF-8" standalone="yes"?>
<Relationships xmlns="http://schemas.openxmlformats.org/package/2006/relationships"><Relationship Id="rId2" Type="http://schemas.openxmlformats.org/officeDocument/2006/relationships/image" Target="../media/image2.emf"/><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28575</xdr:colOff>
          <xdr:row>18</xdr:row>
          <xdr:rowOff>142875</xdr:rowOff>
        </xdr:from>
        <xdr:to>
          <xdr:col>6</xdr:col>
          <xdr:colOff>1009650</xdr:colOff>
          <xdr:row>20</xdr:row>
          <xdr:rowOff>0</xdr:rowOff>
        </xdr:to>
        <xdr:sp macro="" textlink="">
          <xdr:nvSpPr>
            <xdr:cNvPr id="4098" name="Check Box 2" descr="AMS Only Uncertainty Statement"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Tahoma"/>
                  <a:ea typeface="Tahoma"/>
                  <a:cs typeface="Tahoma"/>
                </a:rPr>
                <a:t>AMS Only Uncertainty Statement</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17</xdr:row>
          <xdr:rowOff>76200</xdr:rowOff>
        </xdr:from>
        <xdr:to>
          <xdr:col>11</xdr:col>
          <xdr:colOff>533400</xdr:colOff>
          <xdr:row>18</xdr:row>
          <xdr:rowOff>133350</xdr:rowOff>
        </xdr:to>
        <xdr:sp macro="" textlink="">
          <xdr:nvSpPr>
            <xdr:cNvPr id="4101" name="Check Box 5" hidden="1">
              <a:extLst>
                <a:ext uri="{63B3BB69-23CF-44E3-9099-C40C66FF867C}">
                  <a14:compatExt spid="_x0000_s4101"/>
                </a:ext>
                <a:ext uri="{FF2B5EF4-FFF2-40B4-BE49-F238E27FC236}">
                  <a16:creationId xmlns:a16="http://schemas.microsoft.com/office/drawing/2014/main" id="{00000000-0008-0000-0500-000005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15-28 for 10 PT Survey</a:t>
              </a:r>
            </a:p>
          </xdr:txBody>
        </xdr:sp>
        <xdr:clientData fLocksWithSheet="0"/>
      </xdr:twoCellAnchor>
    </mc:Choice>
    <mc:Fallback/>
  </mc:AlternateContent>
  <mc:AlternateContent xmlns:mc="http://schemas.openxmlformats.org/markup-compatibility/2006">
    <mc:Choice xmlns:a14="http://schemas.microsoft.com/office/drawing/2010/main" Requires="a14">
      <xdr:twoCellAnchor editAs="oneCell">
        <xdr:from>
          <xdr:col>9</xdr:col>
          <xdr:colOff>19050</xdr:colOff>
          <xdr:row>19</xdr:row>
          <xdr:rowOff>0</xdr:rowOff>
        </xdr:from>
        <xdr:to>
          <xdr:col>11</xdr:col>
          <xdr:colOff>704850</xdr:colOff>
          <xdr:row>20</xdr:row>
          <xdr:rowOff>57150</xdr:rowOff>
        </xdr:to>
        <xdr:sp macro="" textlink="">
          <xdr:nvSpPr>
            <xdr:cNvPr id="4102" name="Check Box 6" hidden="1">
              <a:extLst>
                <a:ext uri="{63B3BB69-23CF-44E3-9099-C40C66FF867C}">
                  <a14:compatExt spid="_x0000_s4102"/>
                </a:ext>
                <a:ext uri="{FF2B5EF4-FFF2-40B4-BE49-F238E27FC236}">
                  <a16:creationId xmlns:a16="http://schemas.microsoft.com/office/drawing/2014/main" id="{00000000-0008-0000-0500-000006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Use CFs from PTs 29-40 for 10 PT Survey</a:t>
              </a:r>
            </a:p>
          </xdr:txBody>
        </xdr:sp>
        <xdr:clientData/>
      </xdr:twoCellAnchor>
    </mc:Choice>
    <mc:Fallback/>
  </mc:AlternateContent>
  <mc:AlternateContent xmlns:mc="http://schemas.openxmlformats.org/markup-compatibility/2006">
    <mc:Choice xmlns:a14="http://schemas.microsoft.com/office/drawing/2010/main" Requires="a14">
      <xdr:twoCellAnchor>
        <xdr:from>
          <xdr:col>14</xdr:col>
          <xdr:colOff>571500</xdr:colOff>
          <xdr:row>0</xdr:row>
          <xdr:rowOff>38100</xdr:rowOff>
        </xdr:from>
        <xdr:to>
          <xdr:col>17</xdr:col>
          <xdr:colOff>381000</xdr:colOff>
          <xdr:row>0</xdr:row>
          <xdr:rowOff>276225</xdr:rowOff>
        </xdr:to>
        <xdr:sp macro="" textlink="">
          <xdr:nvSpPr>
            <xdr:cNvPr id="4103" name="Button 7" hidden="1">
              <a:extLst>
                <a:ext uri="{63B3BB69-23CF-44E3-9099-C40C66FF867C}">
                  <a14:compatExt spid="_x0000_s4103"/>
                </a:ext>
                <a:ext uri="{FF2B5EF4-FFF2-40B4-BE49-F238E27FC236}">
                  <a16:creationId xmlns:a16="http://schemas.microsoft.com/office/drawing/2014/main" id="{00000000-0008-0000-0500-00000710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en-US" sz="1000" b="0" i="0" u="none" strike="noStrike" baseline="0">
                  <a:solidFill>
                    <a:srgbClr val="000000"/>
                  </a:solidFill>
                  <a:latin typeface="Arial"/>
                  <a:cs typeface="Arial"/>
                </a:rPr>
                <a:t>Print to PDF</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7</xdr:col>
          <xdr:colOff>0</xdr:colOff>
          <xdr:row>15</xdr:row>
          <xdr:rowOff>114300</xdr:rowOff>
        </xdr:from>
        <xdr:to>
          <xdr:col>8</xdr:col>
          <xdr:colOff>552450</xdr:colOff>
          <xdr:row>17</xdr:row>
          <xdr:rowOff>28575</xdr:rowOff>
        </xdr:to>
        <xdr:sp macro="" textlink="">
          <xdr:nvSpPr>
            <xdr:cNvPr id="4106" name="Check Box 10" descr="Check to verify load" hidden="1">
              <a:extLst>
                <a:ext uri="{63B3BB69-23CF-44E3-9099-C40C66FF867C}">
                  <a14:compatExt spid="_x0000_s4106"/>
                </a:ext>
                <a:ext uri="{FF2B5EF4-FFF2-40B4-BE49-F238E27FC236}">
                  <a16:creationId xmlns:a16="http://schemas.microsoft.com/office/drawing/2014/main" id="{00000000-0008-0000-0500-00000A100000}"/>
                </a:ext>
              </a:extLst>
            </xdr:cNvPr>
            <xdr:cNvSpPr/>
          </xdr:nvSpPr>
          <xdr:spPr bwMode="auto">
            <a:xfrm>
              <a:off x="0" y="0"/>
              <a:ext cx="0" cy="0"/>
            </a:xfrm>
            <a:prstGeom prst="rect">
              <a:avLst/>
            </a:prstGeom>
            <a:noFill/>
            <a:ln>
              <a:noFill/>
            </a:ln>
            <a:extLst>
              <a:ext uri="{909E8E84-426E-40DD-AFC4-6F175D3DCCD1}">
                <a14:hiddenFill>
                  <a:solidFill>
                    <a:srgbClr val="FFFFFF" mc:Ignorable="a14" a14:legacySpreadsheetColorIndex="65"/>
                  </a:solidFill>
                </a14:hiddenFill>
              </a:ext>
              <a:ext uri="{91240B29-F687-4F45-9708-019B960494DF}">
                <a14:hiddenLine w="9525">
                  <a:solidFill>
                    <a:srgbClr val="000000" mc:Ignorable="a14" a14:legacySpreadsheetColorIndex="64"/>
                  </a:solidFill>
                  <a:miter lim="800000"/>
                  <a:headEnd/>
                  <a:tailEnd/>
                </a14:hiddenLine>
              </a:ext>
            </a:extLst>
          </xdr:spPr>
          <xdr:txBody>
            <a:bodyPr vertOverflow="clip" wrap="square" lIns="27432" tIns="18288" rIns="0" bIns="18288" anchor="ctr" upright="1"/>
            <a:lstStyle/>
            <a:p>
              <a:pPr algn="l" rtl="0">
                <a:defRPr sz="1000"/>
              </a:pPr>
              <a:r>
                <a:rPr lang="en-US" sz="800" b="0" i="0" u="none" strike="noStrike" baseline="0">
                  <a:solidFill>
                    <a:srgbClr val="000000"/>
                  </a:solidFill>
                  <a:latin typeface="Segoe UI"/>
                  <a:cs typeface="Segoe UI"/>
                </a:rPr>
                <a:t>Check to verify load</a:t>
              </a:r>
            </a:p>
          </xdr:txBody>
        </xdr:sp>
        <xdr:clientData fLock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0</xdr:col>
      <xdr:colOff>209549</xdr:colOff>
      <xdr:row>0</xdr:row>
      <xdr:rowOff>104775</xdr:rowOff>
    </xdr:from>
    <xdr:to>
      <xdr:col>2</xdr:col>
      <xdr:colOff>726638</xdr:colOff>
      <xdr:row>4</xdr:row>
      <xdr:rowOff>21167</xdr:rowOff>
    </xdr:to>
    <xdr:pic>
      <xdr:nvPicPr>
        <xdr:cNvPr id="2" name="Picture 1">
          <a:extLst>
            <a:ext uri="{FF2B5EF4-FFF2-40B4-BE49-F238E27FC236}">
              <a16:creationId xmlns:a16="http://schemas.microsoft.com/office/drawing/2014/main" id="{00000000-0008-0000-03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209549" y="104775"/>
          <a:ext cx="2358589" cy="1186392"/>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13</xdr:col>
      <xdr:colOff>338668</xdr:colOff>
      <xdr:row>0</xdr:row>
      <xdr:rowOff>169333</xdr:rowOff>
    </xdr:from>
    <xdr:to>
      <xdr:col>14</xdr:col>
      <xdr:colOff>151609</xdr:colOff>
      <xdr:row>5</xdr:row>
      <xdr:rowOff>18245</xdr:rowOff>
    </xdr:to>
    <xdr:pic>
      <xdr:nvPicPr>
        <xdr:cNvPr id="3" name="Picture 2">
          <a:extLst>
            <a:ext uri="{FF2B5EF4-FFF2-40B4-BE49-F238E27FC236}">
              <a16:creationId xmlns:a16="http://schemas.microsoft.com/office/drawing/2014/main" id="{00000000-0008-0000-0300-000003000000}"/>
            </a:ext>
          </a:extLst>
        </xdr:cNvPr>
        <xdr:cNvPicPr>
          <a:picLocks noChangeAspect="1"/>
        </xdr:cNvPicPr>
      </xdr:nvPicPr>
      <xdr:blipFill>
        <a:blip xmlns:r="http://schemas.openxmlformats.org/officeDocument/2006/relationships" r:embed="rId2"/>
        <a:stretch>
          <a:fillRect/>
        </a:stretch>
      </xdr:blipFill>
      <xdr:spPr>
        <a:xfrm>
          <a:off x="9620251" y="169333"/>
          <a:ext cx="1499658" cy="1415245"/>
        </a:xfrm>
        <a:prstGeom prst="rect">
          <a:avLst/>
        </a:prstGeom>
      </xdr:spPr>
    </xdr:pic>
    <xdr:clientData/>
  </xdr:twoCellAnchor>
  <xdr:twoCellAnchor>
    <xdr:from>
      <xdr:col>7</xdr:col>
      <xdr:colOff>0</xdr:colOff>
      <xdr:row>31</xdr:row>
      <xdr:rowOff>17318</xdr:rowOff>
    </xdr:from>
    <xdr:to>
      <xdr:col>7</xdr:col>
      <xdr:colOff>0</xdr:colOff>
      <xdr:row>52</xdr:row>
      <xdr:rowOff>17318</xdr:rowOff>
    </xdr:to>
    <xdr:cxnSp macro="">
      <xdr:nvCxnSpPr>
        <xdr:cNvPr id="5" name="Straight Connector 4">
          <a:extLst>
            <a:ext uri="{FF2B5EF4-FFF2-40B4-BE49-F238E27FC236}">
              <a16:creationId xmlns:a16="http://schemas.microsoft.com/office/drawing/2014/main" id="{00000000-0008-0000-0300-000005000000}"/>
            </a:ext>
          </a:extLst>
        </xdr:cNvPr>
        <xdr:cNvCxnSpPr/>
      </xdr:nvCxnSpPr>
      <xdr:spPr>
        <a:xfrm>
          <a:off x="4693227" y="4546023"/>
          <a:ext cx="0" cy="3454977"/>
        </a:xfrm>
        <a:prstGeom prst="line">
          <a:avLst/>
        </a:prstGeom>
        <a:ln w="12700"/>
      </xdr:spPr>
      <xdr:style>
        <a:lnRef idx="1">
          <a:schemeClr val="dk1"/>
        </a:lnRef>
        <a:fillRef idx="0">
          <a:schemeClr val="dk1"/>
        </a:fillRef>
        <a:effectRef idx="0">
          <a:schemeClr val="dk1"/>
        </a:effectRef>
        <a:fontRef idx="minor">
          <a:schemeClr val="tx1"/>
        </a:fontRef>
      </xdr:style>
    </xdr:cxnSp>
    <xdr:clientData/>
  </xdr:twoCellAnchor>
</xdr:wsDr>
</file>

<file path=xl/persons/person.xml><?xml version="1.0" encoding="utf-8"?>
<personList xmlns="http://schemas.microsoft.com/office/spreadsheetml/2018/threadedcomments" xmlns:x="http://schemas.openxmlformats.org/spreadsheetml/2006/main">
  <person displayName="Jeff Hall" id="{47AE60F1-2E89-491E-9094-CDE4326C95FE}" userId="S::jhall@jgiquality.com::8f6f53ad-669f-42be-b81a-199fcb46f20a" providerId="AD"/>
</personList>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4" xr16:uid="{3C77389E-BDB0-4756-B310-F8920156A8F5}" autoFormatId="16" applyNumberFormats="0" applyBorderFormats="0" applyFontFormats="0" applyPatternFormats="0" applyAlignmentFormats="0" applyWidthHeightFormats="0">
  <queryTableRefresh nextId="12">
    <queryTableFields count="11">
      <queryTableField id="1" name="asset_id" tableColumnId="1"/>
      <queryTableField id="2" name="serial_number" tableColumnId="2"/>
      <queryTableField id="3" name="asset_tag" tableColumnId="3"/>
      <queryTableField id="4" name="custom_order_number" tableColumnId="4"/>
      <queryTableField id="5" name="service_date" tableColumnId="5"/>
      <queryTableField id="6" name="next_service_date" tableColumnId="6"/>
      <queryTableField id="7" name="certificate_number" tableColumnId="7"/>
      <queryTableField id="8" name="wire_roll_cert_number" tableColumnId="8"/>
      <queryTableField id="9" name="type" tableColumnId="9"/>
      <queryTableField id="10" name="Min" tableColumnId="10"/>
      <queryTableField id="11" name="Max" tableColumnId="11"/>
    </queryTableFields>
  </queryTableRefresh>
</queryTable>
</file>

<file path=xl/queryTables/queryTable2.xml><?xml version="1.0" encoding="utf-8"?>
<queryTable xmlns="http://schemas.openxmlformats.org/spreadsheetml/2006/main" xmlns:mc="http://schemas.openxmlformats.org/markup-compatibility/2006" xmlns:xr16="http://schemas.microsoft.com/office/spreadsheetml/2017/revision16" mc:Ignorable="xr16" name="ExternalData_1" connectionId="15" xr16:uid="{55FF1D75-47DE-4992-AE0B-6B89D8682ED5}"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3.xml><?xml version="1.0" encoding="utf-8"?>
<queryTable xmlns="http://schemas.openxmlformats.org/spreadsheetml/2006/main" xmlns:mc="http://schemas.openxmlformats.org/markup-compatibility/2006" xmlns:xr16="http://schemas.microsoft.com/office/spreadsheetml/2017/revision16" mc:Ignorable="xr16" name="ExternalData_2" connectionId="11" xr16:uid="{97B27C78-3E5E-427C-8F9E-285415432C29}" autoFormatId="16" applyNumberFormats="0" applyBorderFormats="0" applyFontFormats="0" applyPatternFormats="0" applyAlignmentFormats="0" applyWidthHeightFormats="0">
  <queryTableRefresh nextId="6">
    <queryTableFields count="2">
      <queryTableField id="1" name="Index" tableColumnId="1"/>
      <queryTableField id="5" name="cf" tableColumnId="5"/>
    </queryTableFields>
  </queryTableRefresh>
</queryTable>
</file>

<file path=xl/queryTables/queryTable4.xml><?xml version="1.0" encoding="utf-8"?>
<queryTable xmlns="http://schemas.openxmlformats.org/spreadsheetml/2006/main" xmlns:mc="http://schemas.openxmlformats.org/markup-compatibility/2006" xmlns:xr16="http://schemas.microsoft.com/office/spreadsheetml/2017/revision16" mc:Ignorable="xr16" name="ExternalData_1" connectionId="12" xr16:uid="{1B4917C0-6A0E-4AC1-8E59-17BF7EEDFAEE}" autoFormatId="16" applyNumberFormats="0" applyBorderFormats="0" applyFontFormats="0" applyPatternFormats="0" applyAlignmentFormats="0" applyWidthHeightFormats="0">
  <queryTableRefresh nextId="4">
    <queryTableFields count="3">
      <queryTableField id="1" name="traceability_no" tableColumnId="1"/>
      <queryTableField id="2" name="nominal_temp" tableColumnId="2"/>
      <queryTableField id="3" name="correction_factor" tableColumnId="3"/>
    </queryTableFields>
  </queryTableRefresh>
</queryTable>
</file>

<file path=xl/queryTables/queryTable5.xml><?xml version="1.0" encoding="utf-8"?>
<queryTable xmlns="http://schemas.openxmlformats.org/spreadsheetml/2006/main" xmlns:mc="http://schemas.openxmlformats.org/markup-compatibility/2006" xmlns:xr16="http://schemas.microsoft.com/office/spreadsheetml/2017/revision16" mc:Ignorable="xr16" name="ExternalData_1" backgroundRefresh="0" refreshOnLoad="1" removeDataOnSave="1" connectionId="7" xr16:uid="{D38AD765-3A8F-4974-81AC-B4C7D336B4B5}" autoFormatId="16" applyNumberFormats="0" applyBorderFormats="0" applyFontFormats="0" applyPatternFormats="0" applyAlignmentFormats="0" applyWidthHeightFormats="0">
  <queryTableRefresh nextId="4">
    <queryTableFields count="3">
      <queryTableField id="1" name="employee_id" tableColumnId="1"/>
      <queryTableField id="2" name="Name" tableColumnId="2"/>
      <queryTableField id="3" name="login_email" tableColumnId="3"/>
    </queryTableFields>
  </queryTableRefresh>
</queryTable>
</file>

<file path=xl/queryTables/queryTable6.xml><?xml version="1.0" encoding="utf-8"?>
<queryTable xmlns="http://schemas.openxmlformats.org/spreadsheetml/2006/main" xmlns:mc="http://schemas.openxmlformats.org/markup-compatibility/2006" xmlns:xr16="http://schemas.microsoft.com/office/spreadsheetml/2017/revision16" mc:Ignorable="xr16" name="ExternalData_1" connectionId="9" xr16:uid="{94BEA607-27EC-4B11-80A7-A4DEC644E47F}" autoFormatId="16" applyNumberFormats="0" applyBorderFormats="0" applyFontFormats="0" applyPatternFormats="0" applyAlignmentFormats="0" applyWidthHeightFormats="0">
  <queryTableRefresh nextId="47">
    <queryTableFields count="41">
      <queryTableField id="2" name="AssetId" tableColumnId="2"/>
      <queryTableField id="4" name="ClientCompanyId" tableColumnId="4"/>
      <queryTableField id="5" name="Furnace" tableColumnId="5"/>
      <queryTableField id="6" name="AddressLine1" tableColumnId="6"/>
      <queryTableField id="7" name="AddressLine2" tableColumnId="7"/>
      <queryTableField id="8" name="AddressLine3" tableColumnId="8"/>
      <queryTableField id="9" name="FormNumber" tableColumnId="9"/>
      <queryTableField id="10" name="CalibrationMethod" tableColumnId="10"/>
      <queryTableField id="11" name="ToleranceSource" tableColumnId="11"/>
      <queryTableField id="12" name="Item" tableColumnId="12"/>
      <queryTableField id="13" name="ModelNumber" tableColumnId="13"/>
      <queryTableField id="14" name="SerialNumber" tableColumnId="14"/>
      <queryTableField id="15" name="UnitNumber" tableColumnId="15"/>
      <queryTableField id="16" name="Class" tableColumnId="16"/>
      <queryTableField id="17" name="Range" tableColumnId="17"/>
      <queryTableField id="18" name="Tolerance" tableColumnId="18"/>
      <queryTableField id="19" name="HeatingMethod" tableColumnId="19"/>
      <queryTableField id="20" name="WorkingZoneSize" tableColumnId="20"/>
      <queryTableField id="21" name="CubicFeet" tableColumnId="21"/>
      <queryTableField id="22" name="CalInterval" tableColumnId="22"/>
      <queryTableField id="23" name="ControllerId" tableColumnId="23"/>
      <queryTableField id="24" name="Controller" tableColumnId="24"/>
      <queryTableField id="25" name="ContSN" tableColumnId="25"/>
      <queryTableField id="26" name="ContTol" tableColumnId="26"/>
      <queryTableField id="27" name="RecorderId" tableColumnId="27"/>
      <queryTableField id="28" name="Recorder" tableColumnId="28"/>
      <queryTableField id="29" name="RecSN" tableColumnId="29"/>
      <queryTableField id="30" name="RecTol" tableColumnId="30"/>
      <queryTableField id="31" name="FurnaceSpecificComments" tableColumnId="31"/>
      <queryTableField id="32" name="TestLocation" tableColumnId="32"/>
      <queryTableField id="33" name="OvenLocation" tableColumnId="33"/>
      <queryTableField id="34" name="Condition" tableColumnId="34"/>
      <queryTableField id="35" name="PB" tableColumnId="35"/>
      <queryTableField id="37" name="Derivative" tableColumnId="37"/>
      <queryTableField id="44" name="Integral" tableColumnId="44"/>
      <queryTableField id="38" name="Other1" tableColumnId="38"/>
      <queryTableField id="39" name="Other2" tableColumnId="39"/>
      <queryTableField id="40" name="CheckRec" tableColumnId="40"/>
      <queryTableField id="41" name="Load" tableColumnId="41"/>
      <queryTableField id="42" name="LagLimit" tableColumnId="42"/>
      <queryTableField id="43" name="RecoveryLimit" tableColumnId="43"/>
    </queryTableFields>
  </queryTableRefresh>
</queryTable>
</file>

<file path=xl/queryTables/queryTable7.xml><?xml version="1.0" encoding="utf-8"?>
<queryTable xmlns="http://schemas.openxmlformats.org/spreadsheetml/2006/main" xmlns:mc="http://schemas.openxmlformats.org/markup-compatibility/2006" xmlns:xr16="http://schemas.microsoft.com/office/spreadsheetml/2017/revision16" mc:Ignorable="xr16" name="Query - customers" backgroundRefresh="0" refreshOnLoad="1" connectionId="4" xr16:uid="{CD162BDF-AE6F-4495-81AA-9D44C1608709}" autoFormatId="16" applyNumberFormats="0" applyBorderFormats="0" applyFontFormats="0" applyPatternFormats="0" applyAlignmentFormats="0" applyWidthHeightFormats="0">
  <queryTableRefresh nextId="65">
    <queryTableFields count="15">
      <queryTableField id="22" name="company_name" tableColumnId="1"/>
      <queryTableField id="18" name="Address1" tableColumnId="18"/>
      <queryTableField id="19" name="Address2" tableColumnId="19"/>
      <queryTableField id="45" name="Attention1" tableColumnId="13"/>
      <queryTableField id="46" name="Attention2" tableColumnId="14"/>
      <queryTableField id="47" name="Company" tableColumnId="15"/>
      <queryTableField id="48" name="Country" tableColumnId="16"/>
      <queryTableField id="49" name="Email" tableColumnId="17"/>
      <queryTableField id="50" name="FaxNumber" tableColumnId="21"/>
      <queryTableField id="51" name="FirstName" tableColumnId="22"/>
      <queryTableField id="52" name="LastName" tableColumnId="23"/>
      <queryTableField id="53" name="PhoneNumber" tableColumnId="24"/>
      <queryTableField id="54" name="StateProvince" tableColumnId="25"/>
      <queryTableField id="20" name="Merged" tableColumnId="20"/>
      <queryTableField id="23" name="company_id" tableColumnId="2"/>
    </queryTableFields>
  </queryTableRefresh>
</queryTable>
</file>

<file path=xl/queryTables/queryTable8.xml><?xml version="1.0" encoding="utf-8"?>
<queryTable xmlns="http://schemas.openxmlformats.org/spreadsheetml/2006/main" xmlns:mc="http://schemas.openxmlformats.org/markup-compatibility/2006" xmlns:xr16="http://schemas.microsoft.com/office/spreadsheetml/2017/revision16" mc:Ignorable="xr16" name="Assets_GetAssetByAssetPool" refreshOnLoad="1" connectionId="2" xr16:uid="{EAA123B6-C0C1-450A-A8C7-C9AD15AB3014}" autoFormatId="16" applyNumberFormats="0" applyBorderFormats="0" applyFontFormats="0" applyPatternFormats="0" applyAlignmentFormats="0" applyWidthHeightFormats="0">
  <queryTableRefresh nextId="41">
    <queryTableFields count="17">
      <queryTableField id="16" name="asset_description" tableColumnId="1"/>
      <queryTableField id="17" name="asset_id" tableColumnId="2"/>
      <queryTableField id="18" name="asset_maker" tableColumnId="3"/>
      <queryTableField id="19" name="asset_name" tableColumnId="4"/>
      <queryTableField id="20" name="asset_tag" tableColumnId="5"/>
      <queryTableField id="21" name="asset_user" tableColumnId="6"/>
      <queryTableField id="22" name="category_name" tableColumnId="7"/>
      <queryTableField id="23" name="custodian_first_name" tableColumnId="8"/>
      <queryTableField id="24" name="custodian_last_name" tableColumnId="9"/>
      <queryTableField id="10" name="Department" tableColumnId="10"/>
      <queryTableField id="25" name="manufacturer_part_number" tableColumnId="12"/>
      <queryTableField id="11" name="Notes" tableColumnId="11"/>
      <queryTableField id="26" name="product_description" tableColumnId="13"/>
      <queryTableField id="27" name="product_manufacturer" tableColumnId="14"/>
      <queryTableField id="28" name="product_name" tableColumnId="15"/>
      <queryTableField id="29" name="root_category_name" tableColumnId="16"/>
      <queryTableField id="30" name="serial_number" tableColumnId="17"/>
    </queryTableFields>
  </queryTableRefresh>
</queryTable>
</file>

<file path=xl/queryTables/queryTable9.xml><?xml version="1.0" encoding="utf-8"?>
<queryTable xmlns="http://schemas.openxmlformats.org/spreadsheetml/2006/main" xmlns:mc="http://schemas.openxmlformats.org/markup-compatibility/2006" xmlns:xr16="http://schemas.microsoft.com/office/spreadsheetml/2017/revision16" mc:Ignorable="xr16" name="ExternalData_1" connectionId="6" xr16:uid="{1E2A8895-4824-47D2-B06B-F9B41201B9B9}" autoFormatId="16" applyNumberFormats="0" applyBorderFormats="0" applyFontFormats="0" applyPatternFormats="0" applyAlignmentFormats="0" applyWidthHeightFormats="0">
  <queryTableRefresh nextId="3">
    <queryTableFields count="2">
      <queryTableField id="1" name="Name" tableColumnId="1"/>
      <queryTableField id="2" name="Value" tableColumnId="2"/>
    </queryTableFields>
  </queryTableRefresh>
</queryTable>
</file>

<file path=xl/queryTables/queryTable10.xml><?xml version="1.0" encoding="utf-8"?>
<queryTable xmlns="http://schemas.openxmlformats.org/spreadsheetml/2006/main" xmlns:mc="http://schemas.openxmlformats.org/markup-compatibility/2006" xmlns:xr16="http://schemas.microsoft.com/office/spreadsheetml/2017/revision16" mc:Ignorable="xr16" name="ExternalData_1" connectionId="8" xr16:uid="{23B4C649-74F6-46EE-B301-00490CD8991E}" autoFormatId="16" applyNumberFormats="0" applyBorderFormats="0" applyFontFormats="0" applyPatternFormats="0" applyAlignmentFormats="0" applyWidthHeightFormats="0">
  <queryTableRefresh nextId="7">
    <queryTableFields count="4">
      <queryTableField id="3" name="employee_id" tableColumnId="1"/>
      <queryTableField id="2" name="Name" tableColumnId="2"/>
      <queryTableField id="5" name="login_email" tableColumnId="3"/>
      <queryTableField id="6" name="departments.name" tableColumnId="4"/>
    </queryTableFields>
  </queryTableRefresh>
</queryTable>
</file>

<file path=xl/queryTables/queryTable11.xml><?xml version="1.0" encoding="utf-8"?>
<queryTable xmlns="http://schemas.openxmlformats.org/spreadsheetml/2006/main" xmlns:mc="http://schemas.openxmlformats.org/markup-compatibility/2006" xmlns:xr16="http://schemas.microsoft.com/office/spreadsheetml/2017/revision16" mc:Ignorable="xr16" name="ExternalData_1" connectionId="5" xr16:uid="{428C289E-6995-48A0-9EEA-BF59C6892A54}" autoFormatId="16" applyNumberFormats="0" applyBorderFormats="0" applyFontFormats="0" applyPatternFormats="0" applyAlignmentFormats="0" applyWidthHeightFormats="0">
  <queryTableRefresh nextId="397">
    <queryTableFields count="1">
      <queryTableField id="1" name="Point" tableColumnId="1"/>
    </queryTableFields>
  </queryTableRefresh>
</queryTable>
</file>

<file path=xl/queryTables/queryTable12.xml><?xml version="1.0" encoding="utf-8"?>
<queryTable xmlns="http://schemas.openxmlformats.org/spreadsheetml/2006/main" xmlns:mc="http://schemas.openxmlformats.org/markup-compatibility/2006" xmlns:xr16="http://schemas.microsoft.com/office/spreadsheetml/2017/revision16" mc:Ignorable="xr16" name="ExternalData_1" connectionId="10" xr16:uid="{3AC34A81-68BD-46E5-9D0A-859E1A3CFF4E}" autoFormatId="16" applyNumberFormats="0" applyBorderFormats="0" applyFontFormats="0" applyPatternFormats="0" applyAlignmentFormats="0" applyWidthHeightFormats="0">
  <queryTableRefresh nextId="10">
    <queryTableFields count="9">
      <queryTableField id="1" name="Range Lo" tableColumnId="1"/>
      <queryTableField id="2" name="Range Hi" tableColumnId="2"/>
      <queryTableField id="3" name="Res" tableColumnId="3"/>
      <queryTableField id="4" name="Meas Units" tableColumnId="4"/>
      <queryTableField id="5" name="Uncert Units" tableColumnId="5"/>
      <queryTableField id="6" name="Base " tableColumnId="6"/>
      <queryTableField id="7" name="Mult" tableColumnId="7"/>
      <queryTableField id="8" name="Base 2" tableColumnId="8"/>
      <queryTableField id="9" name="Mult 2" tableColumnId="9"/>
    </queryTableFields>
  </queryTableRefresh>
</queryTable>
</file>

<file path=xl/queryTables/queryTable13.xml><?xml version="1.0" encoding="utf-8"?>
<queryTable xmlns="http://schemas.openxmlformats.org/spreadsheetml/2006/main" xmlns:mc="http://schemas.openxmlformats.org/markup-compatibility/2006" xmlns:xr16="http://schemas.microsoft.com/office/spreadsheetml/2017/revision16" mc:Ignorable="xr16" name="ExternalData_2" connectionId="1" xr16:uid="{464A5F2B-07E3-41B6-A126-11CBEDA77C0A}" autoFormatId="16" applyNumberFormats="0" applyBorderFormats="0" applyFontFormats="0" applyPatternFormats="0" applyAlignmentFormats="0" applyWidthHeightFormats="0">
  <queryTableRefresh nextId="5">
    <queryTableFields count="4">
      <queryTableField id="1" name="point" tableColumnId="1"/>
      <queryTableField id="2" name="reading" tableColumnId="2"/>
      <queryTableField id="3" name="temp" tableColumnId="3"/>
      <queryTableField id="4" name="tn" tableColumnId="4"/>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_rels/table2.xml.rels><?xml version="1.0" encoding="UTF-8" standalone="yes"?>
<Relationships xmlns="http://schemas.openxmlformats.org/package/2006/relationships"><Relationship Id="rId1" Type="http://schemas.openxmlformats.org/officeDocument/2006/relationships/queryTable" Target="../queryTables/queryTable2.xml"/></Relationships>
</file>

<file path=xl/tables/_rels/table3.xml.rels><?xml version="1.0" encoding="UTF-8" standalone="yes"?>
<Relationships xmlns="http://schemas.openxmlformats.org/package/2006/relationships"><Relationship Id="rId1" Type="http://schemas.openxmlformats.org/officeDocument/2006/relationships/queryTable" Target="../queryTables/queryTable3.xml"/></Relationships>
</file>

<file path=xl/tables/_rels/table4.xml.rels><?xml version="1.0" encoding="UTF-8" standalone="yes"?>
<Relationships xmlns="http://schemas.openxmlformats.org/package/2006/relationships"><Relationship Id="rId1" Type="http://schemas.openxmlformats.org/officeDocument/2006/relationships/queryTable" Target="../queryTables/queryTable4.xml"/></Relationships>
</file>

<file path=xl/tables/_rels/table5.xml.rels><?xml version="1.0" encoding="UTF-8" standalone="yes"?>
<Relationships xmlns="http://schemas.openxmlformats.org/package/2006/relationships"><Relationship Id="rId1" Type="http://schemas.openxmlformats.org/officeDocument/2006/relationships/queryTable" Target="../queryTables/queryTable5.xml"/></Relationships>
</file>

<file path=xl/tables/_rels/table8.xml.rels><?xml version="1.0" encoding="UTF-8" standalone="yes"?>
<Relationships xmlns="http://schemas.openxmlformats.org/package/2006/relationships"><Relationship Id="rId1" Type="http://schemas.openxmlformats.org/officeDocument/2006/relationships/queryTable" Target="../queryTables/queryTable6.xml"/></Relationships>
</file>

<file path=xl/tables/_rels/table9.xml.rels><?xml version="1.0" encoding="UTF-8" standalone="yes"?>
<Relationships xmlns="http://schemas.openxmlformats.org/package/2006/relationships"><Relationship Id="rId1" Type="http://schemas.openxmlformats.org/officeDocument/2006/relationships/queryTable" Target="../queryTables/queryTable7.xml"/></Relationships>
</file>

<file path=xl/tables/_rels/table10.xml.rels><?xml version="1.0" encoding="UTF-8" standalone="yes"?>
<Relationships xmlns="http://schemas.openxmlformats.org/package/2006/relationships"><Relationship Id="rId1" Type="http://schemas.openxmlformats.org/officeDocument/2006/relationships/queryTable" Target="../queryTables/queryTable8.xml"/></Relationships>
</file>

<file path=xl/tables/_rels/table11.xml.rels><?xml version="1.0" encoding="UTF-8" standalone="yes"?>
<Relationships xmlns="http://schemas.openxmlformats.org/package/2006/relationships"><Relationship Id="rId1" Type="http://schemas.openxmlformats.org/officeDocument/2006/relationships/queryTable" Target="../queryTables/queryTable9.xml"/></Relationships>
</file>

<file path=xl/tables/_rels/table12.xml.rels><?xml version="1.0" encoding="UTF-8" standalone="yes"?>
<Relationships xmlns="http://schemas.openxmlformats.org/package/2006/relationships"><Relationship Id="rId1" Type="http://schemas.openxmlformats.org/officeDocument/2006/relationships/queryTable" Target="../queryTables/queryTable10.xml"/></Relationships>
</file>

<file path=xl/tables/_rels/table13.xml.rels><?xml version="1.0" encoding="UTF-8" standalone="yes"?>
<Relationships xmlns="http://schemas.openxmlformats.org/package/2006/relationships"><Relationship Id="rId1" Type="http://schemas.openxmlformats.org/officeDocument/2006/relationships/queryTable" Target="../queryTables/queryTable11.xml"/></Relationships>
</file>

<file path=xl/tables/_rels/table16.xml.rels><?xml version="1.0" encoding="UTF-8" standalone="yes"?>
<Relationships xmlns="http://schemas.openxmlformats.org/package/2006/relationships"><Relationship Id="rId1" Type="http://schemas.openxmlformats.org/officeDocument/2006/relationships/queryTable" Target="../queryTables/queryTable12.xml"/></Relationships>
</file>

<file path=xl/tables/_rels/table17.xml.rels><?xml version="1.0" encoding="UTF-8" standalone="yes"?>
<Relationships xmlns="http://schemas.openxmlformats.org/package/2006/relationships"><Relationship Id="rId1" Type="http://schemas.openxmlformats.org/officeDocument/2006/relationships/queryTable" Target="../queryTables/queryTable13.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F912760-816C-4002-B982-1183C623C4D4}" name="WireSets" displayName="WireSets" ref="A1:K28" tableType="queryTable" totalsRowShown="0">
  <autoFilter ref="A1:K28" xr:uid="{2F912760-816C-4002-B982-1183C623C4D4}"/>
  <tableColumns count="11">
    <tableColumn id="1" xr3:uid="{4CB1C976-73DA-4579-B7F8-9D891581EA5A}" uniqueName="1" name="asset_id" queryTableFieldId="1" dataDxfId="61"/>
    <tableColumn id="2" xr3:uid="{D07D770F-21F7-425E-8CCA-AA85FFD513A3}" uniqueName="2" name="serial_number" queryTableFieldId="2" dataDxfId="60"/>
    <tableColumn id="3" xr3:uid="{D963BD5C-EE98-4CDD-ABAE-5315BBDA1135}" uniqueName="3" name="asset_tag" queryTableFieldId="3" dataDxfId="59"/>
    <tableColumn id="4" xr3:uid="{44F03B5B-6C09-4D5C-B2E2-D809B4EDF2B0}" uniqueName="4" name="custom_order_number" queryTableFieldId="4" dataDxfId="58"/>
    <tableColumn id="5" xr3:uid="{412A70E1-7452-417E-A3A9-BD3499EBD33C}" uniqueName="5" name="service_date" queryTableFieldId="5" dataDxfId="57"/>
    <tableColumn id="6" xr3:uid="{B359FFDA-2633-4F67-9E7E-BA0BB88ADA64}" uniqueName="6" name="next_service_date" queryTableFieldId="6" dataDxfId="56"/>
    <tableColumn id="7" xr3:uid="{297A4F29-F6E9-4BD3-A7A2-5F1039480BAE}" uniqueName="7" name="certificate_number" queryTableFieldId="7" dataDxfId="55"/>
    <tableColumn id="8" xr3:uid="{7C740CB9-37DA-435E-A87E-AF050E31623C}" uniqueName="8" name="wire_roll_cert_number" queryTableFieldId="8" dataDxfId="54"/>
    <tableColumn id="9" xr3:uid="{5B17E9FC-0D68-4EA9-9145-B5DC8FAF5A93}" uniqueName="9" name="type" queryTableFieldId="9" dataDxfId="53"/>
    <tableColumn id="10" xr3:uid="{E733D9C3-DF3C-4622-BF77-010CD3F743AB}" uniqueName="10" name="Min" queryTableFieldId="10"/>
    <tableColumn id="11" xr3:uid="{104F9B32-0CCC-457F-B68B-9062FD0EC726}" uniqueName="11" name="Max" queryTableFieldId="11"/>
  </tableColumns>
  <tableStyleInfo name="TableStyleMedium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75097350-BFDE-4D7F-9002-F247F62A5845}" name="WorkItemDetails" displayName="WorkItemDetails" ref="A1:B2" tableType="queryTable" insertRow="1" totalsRowShown="0">
  <autoFilter ref="A1:B2" xr:uid="{75097350-BFDE-4D7F-9002-F247F62A5845}"/>
  <tableColumns count="2">
    <tableColumn id="1" xr3:uid="{40BE5989-6A44-4EBD-B236-3FA4FD960A28}" uniqueName="1" name="Name" queryTableFieldId="1" dataDxfId="0"/>
    <tableColumn id="2" xr3:uid="{E95B5FD5-AB97-41CA-B5BA-9D46CF4F5670}" uniqueName="2" name="Value" queryTableFieldId="2"/>
  </tableColumns>
  <tableStyleInfo name="TableStyleMedium7"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 xr:uid="{44B64AE2-EB40-4A89-B603-C2B04C1E14AD}" name="Query1" displayName="Query1" ref="A1:B2" tableType="queryTable" insertRow="1" totalsRowShown="0">
  <autoFilter ref="A1:B2" xr:uid="{44B64AE2-EB40-4A89-B603-C2B04C1E14AD}"/>
  <tableColumns count="2">
    <tableColumn id="1" xr3:uid="{2EC31082-B752-4E14-A9AF-2F4937309D95}" uniqueName="1" name="Index" queryTableFieldId="1"/>
    <tableColumn id="5" xr3:uid="{F4C60F15-632A-4C3D-A80A-5BD9D6E589C5}" uniqueName="5" name="cf" queryTableFieldId="5"/>
  </tableColumns>
  <tableStyleInfo name="TableStyleMedium9"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DD841DB9-A242-4050-A7E6-984852778526}" name="WireOffsets" displayName="WireOffsets" ref="A1:C35" tableType="queryTable" totalsRowShown="0">
  <autoFilter ref="A1:C35" xr:uid="{DD841DB9-A242-4050-A7E6-984852778526}"/>
  <tableColumns count="3">
    <tableColumn id="1" xr3:uid="{9BEB240E-CB20-4420-A1FC-EDB14262D496}" uniqueName="1" name="traceability_no" queryTableFieldId="1"/>
    <tableColumn id="2" xr3:uid="{0AE58E21-DD06-4AB3-AA74-09CD33C765E7}" uniqueName="2" name="nominal_temp" queryTableFieldId="2"/>
    <tableColumn id="3" xr3:uid="{7DFE9149-3B35-420C-B8F8-8E531575B5D8}" uniqueName="3" name="correction_factor" queryTableFieldId="3"/>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9EE2697D-6303-4355-9073-1E9EDBCD7EE6}" name="Employee" displayName="Employee" ref="A1:C2" tableType="queryTable" totalsRowShown="0">
  <autoFilter ref="A1:C2" xr:uid="{9EE2697D-6303-4355-9073-1E9EDBCD7EE6}"/>
  <tableColumns count="3">
    <tableColumn id="1" xr3:uid="{E5450254-2600-4AE6-92C2-C278C0BCB1A9}" uniqueName="1" name="employee_id" queryTableFieldId="1"/>
    <tableColumn id="2" xr3:uid="{B0312F97-A54E-4DBC-A8DA-89B9CEA18EC9}" uniqueName="2" name="Name" queryTableFieldId="2" dataDxfId="95"/>
    <tableColumn id="3" xr3:uid="{726E3B3D-B0E5-46AD-9E88-ACE1829E57A6}" uniqueName="3" name="login_email" queryTableFieldId="3"/>
  </tableColumns>
  <tableStyleInfo name="TableStyleMedium9"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F0C31FA8-4C08-48A1-993E-9A2E255E3F31}" name="Table1" displayName="Table1" ref="A1:AL67" totalsRowShown="0">
  <autoFilter ref="A1:AL67" xr:uid="{F0C31FA8-4C08-48A1-993E-9A2E255E3F31}"/>
  <tableColumns count="38">
    <tableColumn id="1" xr3:uid="{DCC7EF2B-503F-44BF-A0D8-EDEBBEE9446A}" name="AssetId"/>
    <tableColumn id="2" xr3:uid="{EBD6EAAD-2F8F-453E-A622-EBC98D1865BC}" name="AssetServiceRecordId"/>
    <tableColumn id="3" xr3:uid="{27A47670-76F7-4B82-8F2F-6DE5CA09545D}" name="ServiceScheduleSegmentId"/>
    <tableColumn id="4" xr3:uid="{7652156C-5EA8-47E0-ADA6-0F51F8A87281}" name="ForwardSegmentId"/>
    <tableColumn id="5" xr3:uid="{68E79219-0731-4867-BE90-3EE6C64060E6}" name="ForwardNextService"/>
    <tableColumn id="6" xr3:uid="{AF0376A8-762D-4CF8-B0B2-A53FB19427DA}" name="ServiceOrderNumber"/>
    <tableColumn id="7" xr3:uid="{4AC23804-0525-4881-9029-D3C18DE4E6DC}" name="CustomOrderNumber"/>
    <tableColumn id="8" xr3:uid="{ECB5A713-E104-4896-B04B-BE09EBB80053}" name="OrderItemNumber"/>
    <tableColumn id="9" xr3:uid="{F39844F9-CA4D-42F2-AA9B-CC4B95E87937}" name="CertificateNumber"/>
    <tableColumn id="10" xr3:uid="{5487975D-5275-43BC-97B8-C5444D91D925}" name="ResultStatus"/>
    <tableColumn id="11" xr3:uid="{AFE40F43-5DED-492D-9F15-D3BD711C5714}" name="AsFoundResult"/>
    <tableColumn id="12" xr3:uid="{982B441E-36F8-41A9-B693-32C6E339E662}" name="AsLeftResult"/>
    <tableColumn id="13" xr3:uid="{6D72DA09-74FD-488E-8FBA-ABFE6E286B30}" name="ServiceDate"/>
    <tableColumn id="14" xr3:uid="{6C966006-137F-4EDB-A6A8-2DECFD4E4227}" name="SerialNumber"/>
    <tableColumn id="15" xr3:uid="{E9D326A1-3063-4717-BD03-91812541C668}" name="AssetTag"/>
    <tableColumn id="16" xr3:uid="{562944E6-7698-4607-94B6-C6F58AEAC618}" name="AssetUser"/>
    <tableColumn id="17" xr3:uid="{E446C174-21C8-49FA-A598-3CE1C618469A}" name="AssetTagChange"/>
    <tableColumn id="18" xr3:uid="{1E5F5EA4-7DC2-4FB5-8B2D-3B389A7BA159}" name="AssetUserChange"/>
    <tableColumn id="19" xr3:uid="{D47757D9-BA55-4C85-B9D5-4BE5A2597F69}" name="ServiceNotes"/>
    <tableColumn id="20" xr3:uid="{16BD2C3B-C565-4BAC-A28D-7D702814D16D}" name="SerialNumberChange"/>
    <tableColumn id="21" xr3:uid="{0DF4E1A7-12B8-45F0-A33C-F9A23EF9651A}" name="DueDate"/>
    <tableColumn id="22" xr3:uid="{98034DDC-CA6E-4172-95FC-1E2FD2829280}" name="NextServiceDate"/>
    <tableColumn id="23" xr3:uid="{5571F556-CC4C-49A5-9083-02DEC35F1174}" name="ProviderTechnician"/>
    <tableColumn id="24" xr3:uid="{4CA3FEF8-EA8B-43E9-B205-60F660D67476}" name="ProviderPhone"/>
    <tableColumn id="25" xr3:uid="{4FD53EDB-C4F8-4684-AF6A-5BF83100C0CD}" name="ProviderCompany"/>
    <tableColumn id="26" xr3:uid="{110ACA19-0681-413C-BC70-B0E91AD7DA09}" name="ServiceLevel"/>
    <tableColumn id="27" xr3:uid="{30946978-B3E7-4353-A1F9-1206453BF32B}" name="ServiceLevelCode"/>
    <tableColumn id="28" xr3:uid="{68A54CF0-D3FB-4018-A668-EEBA2FDB0AEE}" name="NextServiceLevel"/>
    <tableColumn id="29" xr3:uid="{B204553B-AC46-4070-BE38-311149F5CF70}" name="NextServiceLevelCode"/>
    <tableColumn id="30" xr3:uid="{741BE12D-8F41-4B10-B2A7-740B1121E218}" name="AssetName"/>
    <tableColumn id="31" xr3:uid="{60AF8673-E981-48E2-A0F9-59494FD40381}" name="AssetDescription"/>
    <tableColumn id="32" xr3:uid="{AE776BD4-2DE7-4F6B-BC40-EFAFFC8BF919}" name="PartsCharge"/>
    <tableColumn id="33" xr3:uid="{B073D907-AB6A-4613-8CE2-207AAF745327}" name="PartsChargeBeforeDiscount"/>
    <tableColumn id="34" xr3:uid="{B2FA8716-081C-4F8D-A877-84EC42C65CDA}" name="ServiceCharge"/>
    <tableColumn id="35" xr3:uid="{18F59484-DDD5-4A71-A160-E480820BC723}" name="RepairsCharge"/>
    <tableColumn id="36" xr3:uid="{02339A54-628E-47F4-8B96-429E1656738F}" name="Guid"/>
    <tableColumn id="37" xr3:uid="{487FA282-5A9D-4D44-B3EB-8E4FAE52B815}" name="SegmentName"/>
    <tableColumn id="38" xr3:uid="{AC6EFCF8-07A3-49C9-83A5-818FE6E6223C}" name="ScheduleName"/>
  </tableColumns>
  <tableStyleInfo name="TableStyleMedium7"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8AF992F3-27EF-4265-960D-70EC6F74FAFA}" name="WireRanges" displayName="WireRanges" ref="A1:C9" totalsRowShown="0" headerRowDxfId="94">
  <autoFilter ref="A1:C9" xr:uid="{8AF992F3-27EF-4265-960D-70EC6F74FAFA}"/>
  <sortState xmlns:xlrd2="http://schemas.microsoft.com/office/spreadsheetml/2017/richdata2" ref="A2:C9">
    <sortCondition ref="B1:B9"/>
  </sortState>
  <tableColumns count="3">
    <tableColumn id="1" xr3:uid="{1F7D0D09-7152-4679-B25C-65CF0E0AB2D4}" name="Type" dataDxfId="93"/>
    <tableColumn id="2" xr3:uid="{0C44A3AF-42D4-4CFD-AA0A-4FDA92350CF2}" name="Min"/>
    <tableColumn id="3" xr3:uid="{6E3C9F19-6B4D-4BD2-B67B-82606C8B35EC}" name="Max"/>
  </tableColumns>
  <tableStyleInfo name="TableStyleMedium9"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8A28E51F-224F-4F5E-9D3E-A91A5A4DEDFC}" name="Header_Info" displayName="Header_Info" ref="A1:AO405" tableType="queryTable" totalsRowShown="0">
  <autoFilter ref="A1:AO405" xr:uid="{8A28E51F-224F-4F5E-9D3E-A91A5A4DEDFC}"/>
  <tableColumns count="41">
    <tableColumn id="2" xr3:uid="{5E0326F2-A83C-41EB-84D3-832D38E5FD2E}" uniqueName="2" name="AssetId" queryTableFieldId="2"/>
    <tableColumn id="4" xr3:uid="{3550621A-9842-42F9-B426-1FEF4AF02A18}" uniqueName="4" name="ClientCompanyId" queryTableFieldId="4"/>
    <tableColumn id="5" xr3:uid="{6E0A1506-5A09-49B8-BF15-5911A517346C}" uniqueName="5" name="Furnace" queryTableFieldId="5"/>
    <tableColumn id="6" xr3:uid="{80CB7D46-BF02-48FF-AC73-997A0BE97AF5}" uniqueName="6" name="AddressLine1" queryTableFieldId="6" dataDxfId="92"/>
    <tableColumn id="7" xr3:uid="{3E130632-D63E-485B-AA7F-FF01BB115CD8}" uniqueName="7" name="AddressLine2" queryTableFieldId="7" dataDxfId="91"/>
    <tableColumn id="8" xr3:uid="{B07B805E-B475-4FEF-A83E-C870164F0C1C}" uniqueName="8" name="AddressLine3" queryTableFieldId="8" dataDxfId="90"/>
    <tableColumn id="9" xr3:uid="{3603DEDD-08A6-4233-A5D5-79D5A1A0055E}" uniqueName="9" name="FormNumber" queryTableFieldId="9" dataDxfId="89"/>
    <tableColumn id="10" xr3:uid="{B63B6E05-D199-4BCD-9A28-28B5F5832CE0}" uniqueName="10" name="CalibrationMethod" queryTableFieldId="10" dataDxfId="88"/>
    <tableColumn id="11" xr3:uid="{EC51B02C-FD97-492B-BF24-15D683C6ED4C}" uniqueName="11" name="ToleranceSource" queryTableFieldId="11" dataDxfId="87"/>
    <tableColumn id="12" xr3:uid="{706BF144-B069-4B3F-AFB9-7848E93D758C}" uniqueName="12" name="Item" queryTableFieldId="12" dataDxfId="86"/>
    <tableColumn id="13" xr3:uid="{7DBF7F24-C54E-4C3C-AE5E-88F5D5D9AD3F}" uniqueName="13" name="ModelNumber" queryTableFieldId="13"/>
    <tableColumn id="14" xr3:uid="{41F5DF92-65E9-4829-8A6F-82BD4A48AAEE}" uniqueName="14" name="SerialNumber" queryTableFieldId="14"/>
    <tableColumn id="15" xr3:uid="{9AEAB239-7B5B-427B-AD42-ABB9D5FC4DFD}" uniqueName="15" name="UnitNumber" queryTableFieldId="15"/>
    <tableColumn id="16" xr3:uid="{B3ED3551-FD42-42FC-A654-0878F9A78295}" uniqueName="16" name="Class" queryTableFieldId="16"/>
    <tableColumn id="17" xr3:uid="{90970FB2-EB51-4E52-8CC2-13D24E4691A8}" uniqueName="17" name="Range" queryTableFieldId="17" dataDxfId="85"/>
    <tableColumn id="18" xr3:uid="{2B4941C4-9755-4A0D-86C3-2C668815DEF2}" uniqueName="18" name="Tolerance" queryTableFieldId="18" dataDxfId="84"/>
    <tableColumn id="19" xr3:uid="{756D3CB6-E1A4-4B24-93A7-8AB4732E9BE6}" uniqueName="19" name="HeatingMethod" queryTableFieldId="19" dataDxfId="83"/>
    <tableColumn id="20" xr3:uid="{A46E5597-E3E9-444B-8D64-D35898DCC2B4}" uniqueName="20" name="WorkingZoneSize" queryTableFieldId="20" dataDxfId="82"/>
    <tableColumn id="21" xr3:uid="{846B2A88-D13B-485E-9C0A-C15C4946CD93}" uniqueName="21" name="CubicFeet" queryTableFieldId="21"/>
    <tableColumn id="22" xr3:uid="{C70B18D5-757C-4677-825C-5959185DB290}" uniqueName="22" name="CalInterval" queryTableFieldId="22"/>
    <tableColumn id="23" xr3:uid="{71D740CC-6BA1-4BF9-84DE-BD8FC1493375}" uniqueName="23" name="ControllerId" queryTableFieldId="23"/>
    <tableColumn id="24" xr3:uid="{7F6F345A-4A3D-4B60-9EFB-AC32F43B5A2F}" uniqueName="24" name="Controller" queryTableFieldId="24"/>
    <tableColumn id="25" xr3:uid="{AC9F93D3-1157-4B4F-AE59-CA7D07517FE3}" uniqueName="25" name="ContSN" queryTableFieldId="25"/>
    <tableColumn id="26" xr3:uid="{48BBDE7F-CE9F-440C-ACDD-6EA297293A0B}" uniqueName="26" name="ContTol" queryTableFieldId="26"/>
    <tableColumn id="27" xr3:uid="{325A8875-5231-4777-849F-59D73020EEA7}" uniqueName="27" name="RecorderId" queryTableFieldId="27"/>
    <tableColumn id="28" xr3:uid="{29401603-B6F4-43A4-967B-9F1C510B02C9}" uniqueName="28" name="Recorder" queryTableFieldId="28"/>
    <tableColumn id="29" xr3:uid="{A1DDF236-A944-4478-B2BB-4DE453939CF4}" uniqueName="29" name="RecSN" queryTableFieldId="29"/>
    <tableColumn id="30" xr3:uid="{A3EB1001-C76B-4E76-B52F-C1B48B233EC8}" uniqueName="30" name="RecTol" queryTableFieldId="30"/>
    <tableColumn id="31" xr3:uid="{F7D22DBE-A5F0-4E51-89AB-A75003C96A05}" uniqueName="31" name="FurnaceSpecificComments" queryTableFieldId="31" dataDxfId="81"/>
    <tableColumn id="32" xr3:uid="{1852EB3E-F034-42EA-8A35-98DDD1845F7B}" uniqueName="32" name="TestLocation" queryTableFieldId="32" dataDxfId="80"/>
    <tableColumn id="33" xr3:uid="{15129CDA-47B3-4B02-8524-3F9672DC4216}" uniqueName="33" name="OvenLocation" queryTableFieldId="33" dataDxfId="79"/>
    <tableColumn id="34" xr3:uid="{F4A9D00F-E54E-4736-976C-15166BF81AEF}" uniqueName="34" name="Condition" queryTableFieldId="34" dataDxfId="78"/>
    <tableColumn id="35" xr3:uid="{AE008F4D-4109-424C-85D7-050577559848}" uniqueName="35" name="PB" queryTableFieldId="35"/>
    <tableColumn id="37" xr3:uid="{3E2FE89E-370A-42BD-BB63-004C5A64DE47}" uniqueName="37" name="Derivative" queryTableFieldId="37"/>
    <tableColumn id="44" xr3:uid="{44B4B274-0C6E-42F2-8D57-2ABCF0009002}" uniqueName="44" name="Integral" queryTableFieldId="44"/>
    <tableColumn id="38" xr3:uid="{DDF677D7-B09F-4E79-A95B-761CFCD1AF0E}" uniqueName="38" name="Other1" queryTableFieldId="38"/>
    <tableColumn id="39" xr3:uid="{9AC1A740-CF8A-464C-ABF6-6335D090BE9B}" uniqueName="39" name="Other2" queryTableFieldId="39"/>
    <tableColumn id="40" xr3:uid="{3B97A977-F268-4AA0-8E7E-DFE2D05174E3}" uniqueName="40" name="CheckRec" queryTableFieldId="40"/>
    <tableColumn id="41" xr3:uid="{0B5A7D8D-CC24-41CE-B982-523AB7C8E8FC}" uniqueName="41" name="Load" queryTableFieldId="41" dataDxfId="77"/>
    <tableColumn id="42" xr3:uid="{DE38F25C-1140-4F85-923A-0F00CD57A527}" uniqueName="42" name="LagLimit" queryTableFieldId="42"/>
    <tableColumn id="43" xr3:uid="{48FE8EA3-4F69-40FE-B646-3710DE02D2CB}" uniqueName="43" name="RecoveryLimit" queryTableFieldId="43"/>
  </tableColumns>
  <tableStyleInfo name="TableStyleMedium7"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7FFB3A25-33B3-41D4-A4EC-161ECACD71F3}" name="customers_table" displayName="customers_table" ref="A1:O1652" tableType="queryTable" totalsRowShown="0" headerRowDxfId="76" dataDxfId="75">
  <autoFilter ref="A1:O1652" xr:uid="{7FFB3A25-33B3-41D4-A4EC-161ECACD71F3}"/>
  <tableColumns count="15">
    <tableColumn id="1" xr3:uid="{8A9F4AE6-308A-42C4-B23A-7C7293DE7F0A}" uniqueName="1" name="company_name" queryTableFieldId="22"/>
    <tableColumn id="18" xr3:uid="{5DE66976-8962-4778-9F2F-F1825B5EABCC}" uniqueName="18" name="Address1" queryTableFieldId="18" dataDxfId="64"/>
    <tableColumn id="19" xr3:uid="{31D68568-B5E1-4705-9496-19F08F967786}" uniqueName="19" name="Address2" queryTableFieldId="19" dataDxfId="63"/>
    <tableColumn id="13" xr3:uid="{E34C5A4C-B945-4F4F-B040-534CA8FB496D}" uniqueName="13" name="Attention1" queryTableFieldId="45"/>
    <tableColumn id="14" xr3:uid="{74B500E3-9954-44E4-9034-C4DE2219B1DA}" uniqueName="14" name="Attention2" queryTableFieldId="46"/>
    <tableColumn id="15" xr3:uid="{1F65137B-DA09-4325-AA8C-195FEFFAE34E}" uniqueName="15" name="Company" queryTableFieldId="47"/>
    <tableColumn id="16" xr3:uid="{A8768E25-2AAF-40FC-876C-3D16C9DE6502}" uniqueName="16" name="Country" queryTableFieldId="48"/>
    <tableColumn id="17" xr3:uid="{18CFC50D-D1AE-4155-AA87-E87B676D32C2}" uniqueName="17" name="Email" queryTableFieldId="49"/>
    <tableColumn id="21" xr3:uid="{32ECB48E-5833-4F7A-B7D1-3DACBE6901BF}" uniqueName="21" name="FaxNumber" queryTableFieldId="50"/>
    <tableColumn id="22" xr3:uid="{9A259D41-C368-432B-86A6-1A7BCF071870}" uniqueName="22" name="FirstName" queryTableFieldId="51"/>
    <tableColumn id="23" xr3:uid="{265F19AA-215E-47BE-B280-EA2CDFD0AE78}" uniqueName="23" name="LastName" queryTableFieldId="52"/>
    <tableColumn id="24" xr3:uid="{321FBC3E-C980-4959-94F2-96DFEC5B41BA}" uniqueName="24" name="PhoneNumber" queryTableFieldId="53"/>
    <tableColumn id="25" xr3:uid="{D3D063AD-7B8F-4B70-A399-6C8C68AD0789}" uniqueName="25" name="StateProvince" queryTableFieldId="54"/>
    <tableColumn id="20" xr3:uid="{5AE80B19-572A-40D3-B26F-1A4C57286083}" uniqueName="20" name="Merged" queryTableFieldId="20" dataDxfId="62"/>
    <tableColumn id="2" xr3:uid="{95339291-2A8D-485F-84D8-6C671DD7D038}" uniqueName="2" name="company_id" queryTableFieldId="23"/>
  </tableColumns>
  <tableStyleInfo name="TableStyleMedium7"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B7DAA5D0-88EA-445C-9A72-D29C019D034E}" name="AssetPool" displayName="AssetPool" ref="A1:Q71" tableType="queryTable" totalsRowShown="0" headerRowDxfId="74" dataDxfId="73">
  <autoFilter ref="A1:Q71" xr:uid="{B7DAA5D0-88EA-445C-9A72-D29C019D034E}"/>
  <tableColumns count="17">
    <tableColumn id="1" xr3:uid="{EA4C7959-9184-4020-B639-15F01F806F41}" uniqueName="1" name="asset_description" queryTableFieldId="16"/>
    <tableColumn id="2" xr3:uid="{9DD4ED58-1635-4727-B85E-3ABFB0718C7E}" uniqueName="2" name="asset_id" queryTableFieldId="17"/>
    <tableColumn id="3" xr3:uid="{6BA9E84E-6C98-40B5-A4EF-FA91B119B913}" uniqueName="3" name="asset_maker" queryTableFieldId="18"/>
    <tableColumn id="4" xr3:uid="{9EE5DDC9-A29C-4924-8D71-DD11B709A6D1}" uniqueName="4" name="asset_name" queryTableFieldId="19"/>
    <tableColumn id="5" xr3:uid="{83B8ADFD-29E9-4F54-84E0-5230858075CA}" uniqueName="5" name="asset_tag" queryTableFieldId="20"/>
    <tableColumn id="6" xr3:uid="{9D3C28F3-0E41-4F45-9EDF-14B6D8736B28}" uniqueName="6" name="asset_user" queryTableFieldId="21"/>
    <tableColumn id="7" xr3:uid="{9078ABCC-6305-435A-816D-816E09192070}" uniqueName="7" name="category_name" queryTableFieldId="22"/>
    <tableColumn id="8" xr3:uid="{1C68A6E7-3327-4574-9A28-76020418F137}" uniqueName="8" name="custodian_first_name" queryTableFieldId="23"/>
    <tableColumn id="9" xr3:uid="{24D5A3B6-7918-4685-A131-E9D68E840F92}" uniqueName="9" name="custodian_last_name" queryTableFieldId="24"/>
    <tableColumn id="10" xr3:uid="{D1669272-0806-4D59-87F6-1DB49CA0B0C1}" uniqueName="10" name="department" queryTableFieldId="10" dataDxfId="52"/>
    <tableColumn id="12" xr3:uid="{C13B0E02-FD03-4438-B98A-E6A8ED8A9F13}" uniqueName="12" name="manufacturer_part_number" queryTableFieldId="25"/>
    <tableColumn id="11" xr3:uid="{48BC425D-225D-4DB3-A151-D583A73AA082}" uniqueName="11" name="notes" queryTableFieldId="11" dataDxfId="51"/>
    <tableColumn id="13" xr3:uid="{D68834B9-9A76-4387-8A33-0358C84ED131}" uniqueName="13" name="product_description" queryTableFieldId="26"/>
    <tableColumn id="14" xr3:uid="{27CEBA22-CE21-41FB-9832-3DC25C4DF29E}" uniqueName="14" name="product_manufacturer" queryTableFieldId="27"/>
    <tableColumn id="15" xr3:uid="{0DD1DB60-2F30-4274-9A04-EE53E99DAB7E}" uniqueName="15" name="product_name" queryTableFieldId="28"/>
    <tableColumn id="16" xr3:uid="{58B9C121-10D4-4619-954E-2F2D4D9F60C5}" uniqueName="16" name="root_category_name" queryTableFieldId="29"/>
    <tableColumn id="17" xr3:uid="{80E426CD-BD40-4AE7-BA5E-F97407DDAFAE}" uniqueName="17" name="serial_number" queryTableFieldId="30"/>
  </tableColumns>
  <tableStyleInfo name="TableStyleMedium7"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1CE1DBB2-2AA3-42B7-8518-C658ECC5D815}" name="DaqbookServiceRecord" displayName="DaqbookServiceRecord" ref="A1:B2" tableType="queryTable" insertRow="1" totalsRowShown="0">
  <autoFilter ref="A1:B2" xr:uid="{1CE1DBB2-2AA3-42B7-8518-C658ECC5D815}"/>
  <tableColumns count="2">
    <tableColumn id="1" xr3:uid="{BBD391C5-12CA-4E52-AE40-D17E2677D8D3}" uniqueName="1" name="Name" queryTableFieldId="1" dataDxfId="46"/>
    <tableColumn id="2" xr3:uid="{3F00D05D-81EB-4FF6-809B-A908F7C8040B}" uniqueName="2" name="Value" queryTableFieldId="2"/>
  </tableColumns>
  <tableStyleInfo name="TableStyleMedium9"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D6692C0-B26B-4A6B-B670-19E942C94010}" name="Employees" displayName="Employees" ref="A1:D70" tableType="queryTable" totalsRowShown="0">
  <autoFilter ref="A1:D70" xr:uid="{7D6692C0-B26B-4A6B-B670-19E942C94010}"/>
  <tableColumns count="4">
    <tableColumn id="1" xr3:uid="{E04CBA9B-7738-46EA-8147-FB23229FA561}" uniqueName="1" name="employee_id" queryTableFieldId="3"/>
    <tableColumn id="2" xr3:uid="{DD1A4DE1-AA1C-4914-9973-4B48039BE0A6}" uniqueName="2" name="Name" queryTableFieldId="2" dataDxfId="50"/>
    <tableColumn id="3" xr3:uid="{A4F2902A-51C9-47F2-ABB5-33476BF6B798}" uniqueName="3" name="login_email" queryTableFieldId="5"/>
    <tableColumn id="4" xr3:uid="{FF148D9D-BF50-4970-9E2F-B6B81872CEB0}" uniqueName="4" name="departments.name" queryTableFieldId="6"/>
  </tableColumns>
  <tableStyleInfo name="TableStyleMedium7"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4F934A0-D971-49AE-8365-8981A0BE0F78}" name="DaqbookOffsets" displayName="DaqbookOffsets" ref="A1:A2" tableType="queryTable" insertRow="1" totalsRowShown="0">
  <autoFilter ref="A1:A2" xr:uid="{44F934A0-D971-49AE-8365-8981A0BE0F78}"/>
  <tableColumns count="1">
    <tableColumn id="1" xr3:uid="{0B4FAC81-A0E7-4E99-929D-7C05E7096D81}" uniqueName="1" name="Point" queryTableFieldId="1"/>
  </tableColumns>
  <tableStyleInfo name="TableStyleMedium7"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DCCFF26E-EC5C-4962-98DB-A7DA1F3C8CE2}" name="Table7" displayName="Table7" ref="U11:V25" totalsRowShown="0" headerRowDxfId="72" dataDxfId="71" headerRowCellStyle="Normal 2" dataCellStyle="Normal 2">
  <autoFilter ref="U11:V25" xr:uid="{DCCFF26E-EC5C-4962-98DB-A7DA1F3C8CE2}"/>
  <tableColumns count="2">
    <tableColumn id="1" xr3:uid="{DFC40837-B092-4826-9847-4A23BE22020F}" name="4" dataDxfId="70" dataCellStyle="Normal 2"/>
    <tableColumn id="2" xr3:uid="{0711DB07-19DA-4D5E-A417-C242A0304453}" name="10" dataDxfId="69" dataCellStyle="Normal 2"/>
  </tableColumns>
  <tableStyleInfo name="TableStyleMedium9"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AC13131-9A1C-4C12-B4F9-A393708ED370}" name="CMCs" displayName="CMCs" ref="A3:C8" totalsRowShown="0" dataDxfId="68">
  <autoFilter ref="A3:C8" xr:uid="{5AC13131-9A1C-4C12-B4F9-A393708ED370}"/>
  <tableColumns count="3">
    <tableColumn id="1" xr3:uid="{97181276-3609-45C8-AD82-B2880A7AEDE4}" name="Min" dataDxfId="67"/>
    <tableColumn id="2" xr3:uid="{FCA9B2A8-03BC-4152-9483-74D5E30011E8}" name="Max" dataDxfId="66"/>
    <tableColumn id="3" xr3:uid="{53EFB432-094F-4AB8-B706-DACB84CFAD58}" name="CMC" dataDxfId="65"/>
  </tableColumns>
  <tableStyleInfo name="TableStyleMedium9"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942F3D62-97BE-47B4-951F-5AB9845F288B}" name="MUG" displayName="MUG" ref="A1:I13" tableType="queryTable" totalsRowShown="0">
  <autoFilter ref="A1:I13" xr:uid="{942F3D62-97BE-47B4-951F-5AB9845F288B}"/>
  <sortState xmlns:xlrd2="http://schemas.microsoft.com/office/spreadsheetml/2017/richdata2" ref="A2:I13">
    <sortCondition descending="1" ref="D1:D13"/>
  </sortState>
  <tableColumns count="9">
    <tableColumn id="1" xr3:uid="{3542598E-F4F4-42FF-B9D1-76DAB5F163C4}" uniqueName="1" name="Range Lo" queryTableFieldId="1"/>
    <tableColumn id="2" xr3:uid="{5A1799B6-E618-40AC-B2FA-1FB422FEA564}" uniqueName="2" name="Range Hi" queryTableFieldId="2"/>
    <tableColumn id="3" xr3:uid="{AADD6FD4-E70E-4D85-9608-470CB35FBE7B}" uniqueName="3" name="Res" queryTableFieldId="3"/>
    <tableColumn id="4" xr3:uid="{46AB7749-56CA-4228-B8EB-FC7254E8DBAB}" uniqueName="4" name="Meas Units" queryTableFieldId="4" dataDxfId="49"/>
    <tableColumn id="5" xr3:uid="{27363C9A-3D85-416E-8BCC-52B2C8D77A72}" uniqueName="5" name="Uncert Units" queryTableFieldId="5" dataDxfId="48"/>
    <tableColumn id="6" xr3:uid="{CFBDD58F-8B8C-463E-931A-F80B2B243ADC}" uniqueName="6" name="Base " queryTableFieldId="6"/>
    <tableColumn id="7" xr3:uid="{2C90AF91-5DEE-4CB5-8B78-B62ACCC149E2}" uniqueName="7" name="Mult" queryTableFieldId="7"/>
    <tableColumn id="8" xr3:uid="{9A7E6615-7521-43F1-B826-C3018F1906F6}" uniqueName="8" name="Base 2" queryTableFieldId="8" dataDxfId="47"/>
    <tableColumn id="9" xr3:uid="{70463AB5-A50D-48D5-9E26-8919276C1D2D}" uniqueName="9" name="Mult 2" queryTableFieldId="9"/>
  </tableColumns>
  <tableStyleInfo name="TableStyleMedium9"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6C2FE1D-589C-41D2-816C-0CAA3105D507}" name="AllDaqbookOffsets" displayName="AllDaqbookOffsets" ref="A1:D7556" tableType="queryTable" totalsRowShown="0">
  <autoFilter ref="A1:D7556" xr:uid="{D6C2FE1D-589C-41D2-816C-0CAA3105D507}"/>
  <tableColumns count="4">
    <tableColumn id="1" xr3:uid="{B4839395-B86E-4AA6-ADFB-57CDD2F7F61D}" uniqueName="1" name="point" queryTableFieldId="1"/>
    <tableColumn id="2" xr3:uid="{80F1DE28-79AD-483F-A7F0-673E715EECBE}" uniqueName="2" name="reading" queryTableFieldId="2"/>
    <tableColumn id="3" xr3:uid="{2724CA85-C781-4E38-A0DA-097BFEEFE8B1}" uniqueName="3" name="temp" queryTableFieldId="3"/>
    <tableColumn id="4" xr3:uid="{85E921FA-64C7-442B-B5FA-8CF1B8FC2B07}" uniqueName="4" name="tn" queryTableFieldId="4"/>
  </tableColumns>
  <tableStyleInfo name="TableStyleMedium9" showFirstColumn="0" showLastColumn="0" showRowStripes="1" showColumnStripes="0"/>
</table>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threadedComments/threadedComment1.xml><?xml version="1.0" encoding="utf-8"?>
<ThreadedComments xmlns="http://schemas.microsoft.com/office/spreadsheetml/2018/threadedcomments" xmlns:x="http://schemas.openxmlformats.org/spreadsheetml/2006/main">
  <threadedComment ref="G27" dT="2025-06-24T19:22:53.31" personId="{47AE60F1-2E89-491E-9094-CDE4326C95FE}" id="{66242CFC-B5EF-4097-B3D5-3AFE7E7374B3}">
    <text>This is just =G28…… should it ever be different?</text>
  </threadedComment>
</ThreadedComments>
</file>

<file path=xl/worksheets/_rels/sheet1.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table" Target="../tables/table2.xml"/></Relationships>
</file>

<file path=xl/worksheets/_rels/sheet3.xml.rels><?xml version="1.0" encoding="UTF-8" standalone="yes"?>
<Relationships xmlns="http://schemas.openxmlformats.org/package/2006/relationships"><Relationship Id="rId1" Type="http://schemas.openxmlformats.org/officeDocument/2006/relationships/table" Target="../tables/table3.xml"/></Relationships>
</file>

<file path=xl/worksheets/_rels/sheet4.xml.rels><?xml version="1.0" encoding="UTF-8" standalone="yes"?>
<Relationships xmlns="http://schemas.openxmlformats.org/package/2006/relationships"><Relationship Id="rId1" Type="http://schemas.openxmlformats.org/officeDocument/2006/relationships/table" Target="../tables/table4.xml"/></Relationships>
</file>

<file path=xl/worksheets/_rels/sheet5.xml.rels><?xml version="1.0" encoding="UTF-8" standalone="yes"?>
<Relationships xmlns="http://schemas.openxmlformats.org/package/2006/relationships"><Relationship Id="rId1" Type="http://schemas.openxmlformats.org/officeDocument/2006/relationships/table" Target="../tables/table5.xml"/></Relationships>
</file>

<file path=xl/worksheets/_rels/sheet6.xml.rels><?xml version="1.0" encoding="UTF-8" standalone="yes"?>
<Relationships xmlns="http://schemas.openxmlformats.org/package/2006/relationships"><Relationship Id="rId8" Type="http://schemas.openxmlformats.org/officeDocument/2006/relationships/ctrlProp" Target="../ctrlProps/ctrlProp2.xml"/><Relationship Id="rId13" Type="http://schemas.microsoft.com/office/2017/10/relationships/threadedComment" Target="../threadedComments/threadedComment1.xml"/><Relationship Id="rId3" Type="http://schemas.openxmlformats.org/officeDocument/2006/relationships/customProperty" Target="../customProperty1.bin"/><Relationship Id="rId7" Type="http://schemas.openxmlformats.org/officeDocument/2006/relationships/ctrlProp" Target="../ctrlProps/ctrlProp1.xml"/><Relationship Id="rId12" Type="http://schemas.openxmlformats.org/officeDocument/2006/relationships/comments" Target="../comments1.xml"/><Relationship Id="rId2" Type="http://schemas.openxmlformats.org/officeDocument/2006/relationships/printerSettings" Target="../printerSettings/printerSettings2.bin"/><Relationship Id="rId1" Type="http://schemas.openxmlformats.org/officeDocument/2006/relationships/hyperlink" Target="https://jgiquality.sharepoint.com/:x:/s/JGI/Ed0TEK1rlx9EjiIk6tqYX7cBeNrpNLL4JyOxY30ts-qnZA?e=eeKWFF" TargetMode="External"/><Relationship Id="rId6" Type="http://schemas.openxmlformats.org/officeDocument/2006/relationships/vmlDrawing" Target="../drawings/vmlDrawing1.vml"/><Relationship Id="rId11" Type="http://schemas.openxmlformats.org/officeDocument/2006/relationships/ctrlProp" Target="../ctrlProps/ctrlProp5.xml"/><Relationship Id="rId5" Type="http://schemas.openxmlformats.org/officeDocument/2006/relationships/drawing" Target="../drawings/drawing1.xml"/><Relationship Id="rId10" Type="http://schemas.openxmlformats.org/officeDocument/2006/relationships/ctrlProp" Target="../ctrlProps/ctrlProp4.xml"/><Relationship Id="rId4" Type="http://schemas.openxmlformats.org/officeDocument/2006/relationships/customProperty" Target="../customProperty2.bin"/><Relationship Id="rId9" Type="http://schemas.openxmlformats.org/officeDocument/2006/relationships/ctrlProp" Target="../ctrlProps/ctrlProp3.xml"/></Relationships>
</file>

<file path=xl/worksheets/_rels/sheet7.xml.rels><?xml version="1.0" encoding="UTF-8" standalone="yes"?>
<Relationships xmlns="http://schemas.openxmlformats.org/package/2006/relationships"><Relationship Id="rId1" Type="http://schemas.openxmlformats.org/officeDocument/2006/relationships/table" Target="../tables/table6.xml"/></Relationships>
</file>

<file path=xl/worksheets/_rels/sheet8.xml.rels><?xml version="1.0" encoding="UTF-8" standalone="yes"?>
<Relationships xmlns="http://schemas.openxmlformats.org/package/2006/relationships"><Relationship Id="rId1" Type="http://schemas.openxmlformats.org/officeDocument/2006/relationships/table" Target="../tables/table7.xml"/></Relationships>
</file>

<file path=xl/worksheets/_rels/sheet9.xml.rels><?xml version="1.0" encoding="UTF-8" standalone="yes"?>
<Relationships xmlns="http://schemas.openxmlformats.org/package/2006/relationships"><Relationship Id="rId3" Type="http://schemas.openxmlformats.org/officeDocument/2006/relationships/customProperty" Target="../customProperty4.bin"/><Relationship Id="rId2" Type="http://schemas.openxmlformats.org/officeDocument/2006/relationships/customProperty" Target="../customProperty3.bin"/><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3" Type="http://schemas.openxmlformats.org/officeDocument/2006/relationships/customProperty" Target="../customProperty6.bin"/><Relationship Id="rId2" Type="http://schemas.openxmlformats.org/officeDocument/2006/relationships/customProperty" Target="../customProperty5.bin"/><Relationship Id="rId1" Type="http://schemas.openxmlformats.org/officeDocument/2006/relationships/printerSettings" Target="../printerSettings/printerSettings4.bin"/></Relationships>
</file>

<file path=xl/worksheets/_rels/sheet11.xml.rels><?xml version="1.0" encoding="UTF-8" standalone="yes"?>
<Relationships xmlns="http://schemas.openxmlformats.org/package/2006/relationships"><Relationship Id="rId3" Type="http://schemas.openxmlformats.org/officeDocument/2006/relationships/printerSettings" Target="../printerSettings/printerSettings5.bin"/><Relationship Id="rId2" Type="http://schemas.openxmlformats.org/officeDocument/2006/relationships/hyperlink" Target="mailto:contact@jgiquality.com" TargetMode="External"/><Relationship Id="rId1" Type="http://schemas.openxmlformats.org/officeDocument/2006/relationships/hyperlink" Target="http://www.jgiquality.com/" TargetMode="External"/><Relationship Id="rId6" Type="http://schemas.openxmlformats.org/officeDocument/2006/relationships/drawing" Target="../drawings/drawing2.xml"/><Relationship Id="rId5" Type="http://schemas.openxmlformats.org/officeDocument/2006/relationships/customProperty" Target="../customProperty8.bin"/><Relationship Id="rId4" Type="http://schemas.openxmlformats.org/officeDocument/2006/relationships/customProperty" Target="../customProperty7.bin"/></Relationships>
</file>

<file path=xl/worksheets/_rels/sheet12.xml.rels><?xml version="1.0" encoding="UTF-8" standalone="yes"?>
<Relationships xmlns="http://schemas.openxmlformats.org/package/2006/relationships"><Relationship Id="rId1" Type="http://schemas.openxmlformats.org/officeDocument/2006/relationships/table" Target="../tables/table8.xml"/></Relationships>
</file>

<file path=xl/worksheets/_rels/sheet13.xml.rels><?xml version="1.0" encoding="UTF-8" standalone="yes"?>
<Relationships xmlns="http://schemas.openxmlformats.org/package/2006/relationships"><Relationship Id="rId3" Type="http://schemas.openxmlformats.org/officeDocument/2006/relationships/customProperty" Target="../customProperty10.bin"/><Relationship Id="rId2" Type="http://schemas.openxmlformats.org/officeDocument/2006/relationships/customProperty" Target="../customProperty9.bin"/><Relationship Id="rId1" Type="http://schemas.openxmlformats.org/officeDocument/2006/relationships/printerSettings" Target="../printerSettings/printerSettings6.bin"/><Relationship Id="rId4" Type="http://schemas.openxmlformats.org/officeDocument/2006/relationships/table" Target="../tables/table9.xml"/></Relationships>
</file>

<file path=xl/worksheets/_rels/sheet14.xml.rels><?xml version="1.0" encoding="UTF-8" standalone="yes"?>
<Relationships xmlns="http://schemas.openxmlformats.org/package/2006/relationships"><Relationship Id="rId1" Type="http://schemas.openxmlformats.org/officeDocument/2006/relationships/table" Target="../tables/table10.xml"/></Relationships>
</file>

<file path=xl/worksheets/_rels/sheet15.xml.rels><?xml version="1.0" encoding="UTF-8" standalone="yes"?>
<Relationships xmlns="http://schemas.openxmlformats.org/package/2006/relationships"><Relationship Id="rId1" Type="http://schemas.openxmlformats.org/officeDocument/2006/relationships/table" Target="../tables/table11.xml"/></Relationships>
</file>

<file path=xl/worksheets/_rels/sheet16.xml.rels><?xml version="1.0" encoding="UTF-8" standalone="yes"?>
<Relationships xmlns="http://schemas.openxmlformats.org/package/2006/relationships"><Relationship Id="rId1" Type="http://schemas.openxmlformats.org/officeDocument/2006/relationships/table" Target="../tables/table12.xml"/></Relationships>
</file>

<file path=xl/worksheets/_rels/sheet17.xml.rels><?xml version="1.0" encoding="UTF-8" standalone="yes"?>
<Relationships xmlns="http://schemas.openxmlformats.org/package/2006/relationships"><Relationship Id="rId3" Type="http://schemas.openxmlformats.org/officeDocument/2006/relationships/customProperty" Target="../customProperty12.bin"/><Relationship Id="rId2" Type="http://schemas.openxmlformats.org/officeDocument/2006/relationships/customProperty" Target="../customProperty11.bin"/><Relationship Id="rId1" Type="http://schemas.openxmlformats.org/officeDocument/2006/relationships/printerSettings" Target="../printerSettings/printerSettings7.bin"/><Relationship Id="rId4" Type="http://schemas.openxmlformats.org/officeDocument/2006/relationships/table" Target="../tables/table13.xml"/></Relationships>
</file>

<file path=xl/worksheets/_rels/sheet18.xml.rels><?xml version="1.0" encoding="UTF-8" standalone="yes"?>
<Relationships xmlns="http://schemas.openxmlformats.org/package/2006/relationships"><Relationship Id="rId3" Type="http://schemas.openxmlformats.org/officeDocument/2006/relationships/customProperty" Target="../customProperty14.bin"/><Relationship Id="rId2" Type="http://schemas.openxmlformats.org/officeDocument/2006/relationships/customProperty" Target="../customProperty13.bin"/><Relationship Id="rId1" Type="http://schemas.openxmlformats.org/officeDocument/2006/relationships/printerSettings" Target="../printerSettings/printerSettings8.bin"/></Relationships>
</file>

<file path=xl/worksheets/_rels/sheet19.xml.rels><?xml version="1.0" encoding="UTF-8" standalone="yes"?>
<Relationships xmlns="http://schemas.openxmlformats.org/package/2006/relationships"><Relationship Id="rId3" Type="http://schemas.openxmlformats.org/officeDocument/2006/relationships/customProperty" Target="../customProperty16.bin"/><Relationship Id="rId2" Type="http://schemas.openxmlformats.org/officeDocument/2006/relationships/customProperty" Target="../customProperty15.bin"/><Relationship Id="rId1" Type="http://schemas.openxmlformats.org/officeDocument/2006/relationships/printerSettings" Target="../printerSettings/printerSettings9.bin"/></Relationships>
</file>

<file path=xl/worksheets/_rels/sheet20.xml.rels><?xml version="1.0" encoding="UTF-8" standalone="yes"?>
<Relationships xmlns="http://schemas.openxmlformats.org/package/2006/relationships"><Relationship Id="rId3" Type="http://schemas.openxmlformats.org/officeDocument/2006/relationships/customProperty" Target="../customProperty18.bin"/><Relationship Id="rId2" Type="http://schemas.openxmlformats.org/officeDocument/2006/relationships/customProperty" Target="../customProperty17.bin"/><Relationship Id="rId1" Type="http://schemas.openxmlformats.org/officeDocument/2006/relationships/printerSettings" Target="../printerSettings/printerSettings10.bin"/></Relationships>
</file>

<file path=xl/worksheets/_rels/sheet21.xml.rels><?xml version="1.0" encoding="UTF-8" standalone="yes"?>
<Relationships xmlns="http://schemas.openxmlformats.org/package/2006/relationships"><Relationship Id="rId3" Type="http://schemas.openxmlformats.org/officeDocument/2006/relationships/customProperty" Target="../customProperty20.bin"/><Relationship Id="rId2" Type="http://schemas.openxmlformats.org/officeDocument/2006/relationships/customProperty" Target="../customProperty19.bin"/><Relationship Id="rId1" Type="http://schemas.openxmlformats.org/officeDocument/2006/relationships/printerSettings" Target="../printerSettings/printerSettings11.bin"/><Relationship Id="rId6" Type="http://schemas.openxmlformats.org/officeDocument/2006/relationships/comments" Target="../comments2.xml"/><Relationship Id="rId5" Type="http://schemas.openxmlformats.org/officeDocument/2006/relationships/table" Target="../tables/table14.xml"/><Relationship Id="rId4" Type="http://schemas.openxmlformats.org/officeDocument/2006/relationships/vmlDrawing" Target="../drawings/vmlDrawing2.vml"/></Relationships>
</file>

<file path=xl/worksheets/_rels/sheet22.xml.rels><?xml version="1.0" encoding="UTF-8" standalone="yes"?>
<Relationships xmlns="http://schemas.openxmlformats.org/package/2006/relationships"><Relationship Id="rId3" Type="http://schemas.openxmlformats.org/officeDocument/2006/relationships/customProperty" Target="../customProperty22.bin"/><Relationship Id="rId2" Type="http://schemas.openxmlformats.org/officeDocument/2006/relationships/customProperty" Target="../customProperty21.bin"/><Relationship Id="rId1" Type="http://schemas.openxmlformats.org/officeDocument/2006/relationships/printerSettings" Target="../printerSettings/printerSettings12.bin"/></Relationships>
</file>

<file path=xl/worksheets/_rels/sheet23.xml.rels><?xml version="1.0" encoding="UTF-8" standalone="yes"?>
<Relationships xmlns="http://schemas.openxmlformats.org/package/2006/relationships"><Relationship Id="rId3" Type="http://schemas.openxmlformats.org/officeDocument/2006/relationships/customProperty" Target="../customProperty24.bin"/><Relationship Id="rId2" Type="http://schemas.openxmlformats.org/officeDocument/2006/relationships/customProperty" Target="../customProperty23.bin"/><Relationship Id="rId1" Type="http://schemas.openxmlformats.org/officeDocument/2006/relationships/printerSettings" Target="../printerSettings/printerSettings13.bin"/></Relationships>
</file>

<file path=xl/worksheets/_rels/sheet24.xml.rels><?xml version="1.0" encoding="UTF-8" standalone="yes"?>
<Relationships xmlns="http://schemas.openxmlformats.org/package/2006/relationships"><Relationship Id="rId3" Type="http://schemas.openxmlformats.org/officeDocument/2006/relationships/customProperty" Target="../customProperty26.bin"/><Relationship Id="rId2" Type="http://schemas.openxmlformats.org/officeDocument/2006/relationships/customProperty" Target="../customProperty25.bin"/><Relationship Id="rId1" Type="http://schemas.openxmlformats.org/officeDocument/2006/relationships/printerSettings" Target="../printerSettings/printerSettings14.bin"/><Relationship Id="rId5" Type="http://schemas.openxmlformats.org/officeDocument/2006/relationships/comments" Target="../comments3.xml"/><Relationship Id="rId4" Type="http://schemas.openxmlformats.org/officeDocument/2006/relationships/vmlDrawing" Target="../drawings/vmlDrawing3.vml"/></Relationships>
</file>

<file path=xl/worksheets/_rels/sheet25.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hyperlink" Target="https://customer.a2la.org/index.cfm?event=directory.getDocument&amp;accreditationPID=73273C9C-3D75-4525-B010-41BCF0B13733&amp;documentPID=27C009B1-1AAC-4C0F-8EED-41A6932398B8" TargetMode="External"/></Relationships>
</file>

<file path=xl/worksheets/_rels/sheet26.xml.rels><?xml version="1.0" encoding="UTF-8" standalone="yes"?>
<Relationships xmlns="http://schemas.openxmlformats.org/package/2006/relationships"><Relationship Id="rId1" Type="http://schemas.openxmlformats.org/officeDocument/2006/relationships/table" Target="../tables/table16.xml"/></Relationships>
</file>

<file path=xl/worksheets/_rels/sheet27.xml.rels><?xml version="1.0" encoding="UTF-8" standalone="yes"?>
<Relationships xmlns="http://schemas.openxmlformats.org/package/2006/relationships"><Relationship Id="rId3" Type="http://schemas.openxmlformats.org/officeDocument/2006/relationships/customProperty" Target="../customProperty28.bin"/><Relationship Id="rId2" Type="http://schemas.openxmlformats.org/officeDocument/2006/relationships/customProperty" Target="../customProperty27.bin"/><Relationship Id="rId1" Type="http://schemas.openxmlformats.org/officeDocument/2006/relationships/printerSettings" Target="../printerSettings/printerSettings15.bin"/></Relationships>
</file>

<file path=xl/worksheets/_rels/sheet28.xml.rels><?xml version="1.0" encoding="UTF-8" standalone="yes"?>
<Relationships xmlns="http://schemas.openxmlformats.org/package/2006/relationships"><Relationship Id="rId1" Type="http://schemas.openxmlformats.org/officeDocument/2006/relationships/table" Target="../tables/table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890CFF-A370-40A3-933A-41C6F2BA9AAE}">
  <sheetPr codeName="Sheet26"/>
  <dimension ref="A1:K28"/>
  <sheetViews>
    <sheetView workbookViewId="0"/>
  </sheetViews>
  <sheetFormatPr defaultRowHeight="12.75" x14ac:dyDescent="0.2"/>
  <cols>
    <col min="1" max="1" width="10.5703125" bestFit="1" customWidth="1"/>
    <col min="2" max="2" width="16.42578125" bestFit="1" customWidth="1"/>
    <col min="3" max="3" width="12" bestFit="1" customWidth="1"/>
    <col min="4" max="4" width="24" bestFit="1" customWidth="1"/>
    <col min="5" max="5" width="14.7109375" bestFit="1" customWidth="1"/>
    <col min="6" max="6" width="20" bestFit="1" customWidth="1"/>
    <col min="7" max="7" width="20.5703125" bestFit="1" customWidth="1"/>
    <col min="8" max="8" width="24.140625" bestFit="1" customWidth="1"/>
    <col min="9" max="9" width="11" bestFit="1" customWidth="1"/>
    <col min="10" max="10" width="6.5703125" bestFit="1" customWidth="1"/>
    <col min="11" max="11" width="7.140625" bestFit="1" customWidth="1"/>
  </cols>
  <sheetData>
    <row r="1" spans="1:11" x14ac:dyDescent="0.2">
      <c r="A1"/>
      <c r="B1"/>
      <c r="C1"/>
      <c r="D1"/>
      <c r="E1"/>
      <c r="F1"/>
      <c r="G1"/>
      <c r="H1"/>
      <c r="I1"/>
      <c r="J1"/>
      <c r="K1"/>
    </row>
    <row r="2" spans="1:11" x14ac:dyDescent="0.2">
      <c r="A2" s="175"/>
      <c r="B2" s="100"/>
      <c r="C2" s="100"/>
      <c r="D2" s="100"/>
      <c r="E2" s="111"/>
      <c r="F2" s="111"/>
      <c r="G2" s="100"/>
      <c r="H2" s="100"/>
      <c r="I2" s="100"/>
      <c r="J2"/>
      <c r="K2"/>
    </row>
    <row r="3" spans="1:11" x14ac:dyDescent="0.2">
      <c r="A3" s="175"/>
      <c r="B3" s="100"/>
      <c r="C3" s="100"/>
      <c r="D3" s="100"/>
      <c r="E3" s="111"/>
      <c r="F3" s="111"/>
      <c r="G3" s="100"/>
      <c r="H3" s="100"/>
      <c r="I3" s="100"/>
      <c r="J3"/>
      <c r="K3"/>
    </row>
    <row r="4" spans="1:11" x14ac:dyDescent="0.2">
      <c r="A4" s="175"/>
      <c r="B4" s="100"/>
      <c r="C4" s="100"/>
      <c r="D4" s="100"/>
      <c r="E4" s="111"/>
      <c r="F4" s="111"/>
      <c r="G4" s="100"/>
      <c r="H4" s="100"/>
      <c r="I4" s="100"/>
      <c r="J4"/>
      <c r="K4"/>
    </row>
    <row r="5" spans="1:11" x14ac:dyDescent="0.2">
      <c r="A5" s="175"/>
      <c r="B5" s="100"/>
      <c r="C5" s="100"/>
      <c r="D5" s="100"/>
      <c r="E5" s="111"/>
      <c r="F5" s="111"/>
      <c r="G5" s="100"/>
      <c r="H5" s="100"/>
      <c r="I5" s="100"/>
      <c r="J5"/>
      <c r="K5"/>
    </row>
    <row r="6" spans="1:11" x14ac:dyDescent="0.2">
      <c r="A6" s="175"/>
      <c r="B6" s="100"/>
      <c r="C6" s="100"/>
      <c r="D6" s="100"/>
      <c r="E6" s="111"/>
      <c r="F6" s="111"/>
      <c r="G6" s="100"/>
      <c r="H6" s="100"/>
      <c r="I6" s="100"/>
      <c r="J6"/>
      <c r="K6"/>
    </row>
    <row r="7" spans="1:11" x14ac:dyDescent="0.2">
      <c r="A7" s="175"/>
      <c r="B7" s="100"/>
      <c r="C7" s="100"/>
      <c r="D7" s="100"/>
      <c r="E7" s="111"/>
      <c r="F7" s="111"/>
      <c r="G7" s="100"/>
      <c r="H7" s="100"/>
      <c r="I7" s="100"/>
      <c r="J7"/>
      <c r="K7"/>
    </row>
    <row r="8" spans="1:11" x14ac:dyDescent="0.2">
      <c r="A8" s="175"/>
      <c r="B8" s="100"/>
      <c r="C8" s="100"/>
      <c r="D8" s="100"/>
      <c r="E8" s="111"/>
      <c r="F8" s="111"/>
      <c r="G8" s="100"/>
      <c r="H8" s="100"/>
      <c r="I8" s="100"/>
      <c r="J8"/>
      <c r="K8"/>
    </row>
    <row r="9" spans="1:11" x14ac:dyDescent="0.2">
      <c r="A9" s="175"/>
      <c r="B9" s="100"/>
      <c r="C9" s="100"/>
      <c r="D9" s="100"/>
      <c r="E9" s="111"/>
      <c r="F9" s="111"/>
      <c r="G9" s="100"/>
      <c r="H9" s="100"/>
      <c r="I9" s="100"/>
      <c r="J9"/>
      <c r="K9"/>
    </row>
    <row r="10" spans="1:11" x14ac:dyDescent="0.2">
      <c r="A10" s="175"/>
      <c r="B10" s="100"/>
      <c r="C10" s="100"/>
      <c r="D10" s="100"/>
      <c r="E10" s="111"/>
      <c r="F10" s="111"/>
      <c r="G10" s="100"/>
      <c r="H10" s="100"/>
      <c r="I10" s="100"/>
      <c r="J10"/>
      <c r="K10"/>
    </row>
    <row r="11" spans="1:11" x14ac:dyDescent="0.2">
      <c r="A11" s="175"/>
      <c r="B11" s="100"/>
      <c r="C11" s="100"/>
      <c r="D11" s="100"/>
      <c r="E11" s="111"/>
      <c r="F11" s="111"/>
      <c r="G11" s="100"/>
      <c r="H11" s="100"/>
      <c r="I11" s="100"/>
      <c r="J11"/>
      <c r="K11"/>
    </row>
    <row r="12" spans="1:11" x14ac:dyDescent="0.2">
      <c r="A12" s="175"/>
      <c r="B12" s="100"/>
      <c r="C12" s="100"/>
      <c r="D12" s="100"/>
      <c r="E12" s="111"/>
      <c r="F12" s="111"/>
      <c r="G12" s="100"/>
      <c r="H12" s="100"/>
      <c r="I12" s="100"/>
      <c r="J12"/>
      <c r="K12"/>
    </row>
    <row r="13" spans="1:11" x14ac:dyDescent="0.2">
      <c r="A13" s="175"/>
      <c r="B13" s="100"/>
      <c r="C13" s="100"/>
      <c r="D13" s="100"/>
      <c r="E13" s="111"/>
      <c r="F13" s="111"/>
      <c r="G13" s="100"/>
      <c r="H13" s="100"/>
      <c r="I13" s="100"/>
      <c r="J13"/>
      <c r="K13"/>
    </row>
    <row r="14" spans="1:11" x14ac:dyDescent="0.2">
      <c r="A14" s="175"/>
      <c r="B14" s="100"/>
      <c r="C14" s="100"/>
      <c r="D14" s="100"/>
      <c r="E14" s="111"/>
      <c r="F14" s="111"/>
      <c r="G14" s="100"/>
      <c r="H14" s="100"/>
      <c r="I14" s="100"/>
      <c r="J14"/>
      <c r="K14"/>
    </row>
    <row r="15" spans="1:11" x14ac:dyDescent="0.2">
      <c r="A15" s="175"/>
      <c r="B15" s="100"/>
      <c r="C15" s="100"/>
      <c r="D15" s="100"/>
      <c r="E15" s="111"/>
      <c r="F15" s="111"/>
      <c r="G15" s="100"/>
      <c r="H15" s="100"/>
      <c r="I15" s="100"/>
      <c r="J15"/>
      <c r="K15"/>
    </row>
    <row r="16" spans="1:11" x14ac:dyDescent="0.2">
      <c r="A16" s="175"/>
      <c r="B16" s="100"/>
      <c r="C16" s="100"/>
      <c r="D16" s="100"/>
      <c r="E16" s="111"/>
      <c r="F16" s="111"/>
      <c r="G16" s="100"/>
      <c r="H16" s="100"/>
      <c r="I16" s="100"/>
      <c r="J16"/>
      <c r="K16"/>
    </row>
    <row r="17" spans="1:11" x14ac:dyDescent="0.2">
      <c r="A17" s="175"/>
      <c r="B17" s="100"/>
      <c r="C17" s="100"/>
      <c r="D17" s="100"/>
      <c r="E17" s="111"/>
      <c r="F17" s="111"/>
      <c r="G17" s="100"/>
      <c r="H17" s="100"/>
      <c r="I17" s="100"/>
      <c r="J17"/>
      <c r="K17"/>
    </row>
    <row r="18" spans="1:11" x14ac:dyDescent="0.2">
      <c r="A18" s="175"/>
      <c r="B18" s="100"/>
      <c r="C18" s="100"/>
      <c r="D18" s="100"/>
      <c r="E18" s="111"/>
      <c r="F18" s="111"/>
      <c r="G18" s="100"/>
      <c r="H18" s="100"/>
      <c r="I18" s="100"/>
      <c r="J18"/>
      <c r="K18"/>
    </row>
    <row r="19" spans="1:11" x14ac:dyDescent="0.2">
      <c r="A19" s="175"/>
      <c r="B19" s="100"/>
      <c r="C19" s="100"/>
      <c r="D19" s="100"/>
      <c r="E19" s="111"/>
      <c r="F19" s="111"/>
      <c r="G19" s="100"/>
      <c r="H19" s="100"/>
      <c r="I19" s="100"/>
      <c r="J19"/>
      <c r="K19"/>
    </row>
    <row r="20" spans="1:11" x14ac:dyDescent="0.2">
      <c r="A20" s="175"/>
      <c r="B20" s="100"/>
      <c r="C20" s="100"/>
      <c r="D20" s="100"/>
      <c r="E20" s="111"/>
      <c r="F20" s="111"/>
      <c r="G20" s="100"/>
      <c r="H20" s="100"/>
      <c r="I20" s="100"/>
      <c r="J20"/>
      <c r="K20"/>
    </row>
    <row r="21" spans="1:11" x14ac:dyDescent="0.2">
      <c r="A21" s="175"/>
      <c r="B21" s="100"/>
      <c r="C21" s="100"/>
      <c r="D21" s="100"/>
      <c r="E21" s="111"/>
      <c r="F21" s="111"/>
      <c r="G21" s="100"/>
      <c r="H21" s="100"/>
      <c r="I21" s="100"/>
      <c r="J21"/>
      <c r="K21"/>
    </row>
    <row r="22" spans="1:11" x14ac:dyDescent="0.2">
      <c r="A22" s="175"/>
      <c r="B22" s="100"/>
      <c r="C22" s="100"/>
      <c r="D22" s="100"/>
      <c r="E22" s="111"/>
      <c r="F22" s="111"/>
      <c r="G22" s="100"/>
      <c r="H22" s="100"/>
      <c r="I22" s="100"/>
      <c r="J22"/>
      <c r="K22"/>
    </row>
    <row r="23" spans="1:11" x14ac:dyDescent="0.2">
      <c r="A23" s="175"/>
      <c r="B23" s="100"/>
      <c r="C23" s="100"/>
      <c r="D23" s="100"/>
      <c r="E23" s="111"/>
      <c r="F23" s="111"/>
      <c r="G23" s="100"/>
      <c r="H23" s="100"/>
      <c r="I23" s="100"/>
      <c r="J23"/>
      <c r="K23"/>
    </row>
    <row r="24" spans="1:11" x14ac:dyDescent="0.2">
      <c r="A24" s="175"/>
      <c r="B24" s="100"/>
      <c r="C24" s="100"/>
      <c r="D24" s="100"/>
      <c r="E24" s="111"/>
      <c r="F24" s="111"/>
      <c r="G24" s="100"/>
      <c r="H24" s="100"/>
      <c r="I24" s="100"/>
    </row>
    <row r="25" spans="1:11" x14ac:dyDescent="0.2">
      <c r="A25" s="175"/>
      <c r="B25" s="100"/>
      <c r="C25" s="100"/>
      <c r="D25" s="100"/>
      <c r="E25" s="111"/>
      <c r="F25" s="111"/>
      <c r="G25" s="100"/>
      <c r="H25" s="100"/>
      <c r="I25" s="100"/>
      <c r="J25"/>
      <c r="K25"/>
    </row>
    <row r="26" spans="1:11" x14ac:dyDescent="0.2">
      <c r="A26" s="175"/>
      <c r="B26" s="100"/>
      <c r="C26" s="100"/>
      <c r="D26" s="100"/>
      <c r="E26" s="111"/>
      <c r="F26" s="111"/>
      <c r="G26" s="100"/>
      <c r="H26" s="100"/>
      <c r="I26" s="100"/>
      <c r="J26"/>
      <c r="K26"/>
    </row>
    <row r="27" spans="1:11" x14ac:dyDescent="0.2">
      <c r="A27" s="175"/>
      <c r="B27" s="100"/>
      <c r="C27" s="100"/>
      <c r="D27" s="100"/>
      <c r="E27" s="111"/>
      <c r="F27" s="111"/>
      <c r="G27" s="100"/>
      <c r="H27" s="100"/>
      <c r="I27" s="100"/>
      <c r="J27"/>
      <c r="K27"/>
    </row>
    <row r="28" spans="1:11" x14ac:dyDescent="0.2">
      <c r="A28" s="175"/>
      <c r="B28" s="100"/>
      <c r="C28" s="100"/>
      <c r="D28" s="100"/>
      <c r="E28" s="111"/>
      <c r="F28" s="111"/>
      <c r="G28" s="100"/>
      <c r="H28" s="100"/>
      <c r="I28" s="100"/>
      <c r="J28"/>
      <c r="K28"/>
    </row>
  </sheetData>
  <dataConsolidate/>
  <phoneticPr fontId="23" type="noConversion"/>
  <pageMargins left="0.7" right="0.7" top="0.75" bottom="0.75" header="0.3" footer="0.3"/>
  <pageSetup orientation="portrait" r:id="rId1"/>
  <tableParts count="1">
    <tablePart r:id="rId2"/>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86BD9F-F9F3-4F0F-AA00-A30FB5E16AD9}">
  <sheetPr codeName="Sheet25"/>
  <dimension ref="A1:B2"/>
  <sheetViews>
    <sheetView workbookViewId="0">
      <selection activeCell="B27" sqref="B27"/>
    </sheetView>
  </sheetViews>
  <sheetFormatPr defaultRowHeight="12.75" x14ac:dyDescent="0.2"/>
  <cols>
    <col min="1" max="2" width="8.5703125" bestFit="1" customWidth="1"/>
  </cols>
  <sheetData>
    <row r="1" spans="1:2" x14ac:dyDescent="0.2">
      <c r="A1"/>
      <c r="B1"/>
    </row>
    <row r="2" spans="1:2" x14ac:dyDescent="0.2">
      <c r="A2" s="669"/>
    </row>
  </sheetData>
  <pageMargins left="0.7" right="0.7" top="0.75" bottom="0.75" header="0.3" footer="0.3"/>
  <tableParts count="1">
    <tablePart r:id="rId1"/>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B7B0B33-87D9-49FB-A7FA-944F854D6DD8}">
  <sheetPr codeName="Sheet32"/>
  <dimension ref="A1:B1"/>
  <sheetViews>
    <sheetView workbookViewId="0">
      <selection activeCell="F22" sqref="F22"/>
    </sheetView>
  </sheetViews>
  <sheetFormatPr defaultRowHeight="12.75" x14ac:dyDescent="0.2"/>
  <cols>
    <col min="1" max="1" width="8.42578125" bestFit="1" customWidth="1"/>
    <col min="2" max="2" width="4.85546875" bestFit="1" customWidth="1"/>
    <col min="3" max="3" width="7.42578125" bestFit="1" customWidth="1"/>
    <col min="4" max="5" width="7.85546875" bestFit="1" customWidth="1"/>
  </cols>
  <sheetData>
    <row r="1" spans="1:2" x14ac:dyDescent="0.2">
      <c r="A1"/>
      <c r="B1"/>
    </row>
  </sheetData>
  <pageMargins left="0.7" right="0.7" top="0.75" bottom="0.75" header="0.3" footer="0.3"/>
  <tableParts count="1">
    <tablePart r:id="rId1"/>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41678CE-FDEE-4B0C-BA69-99D6C918B87D}">
  <sheetPr codeName="Sheet34"/>
  <dimension ref="A1:C35"/>
  <sheetViews>
    <sheetView workbookViewId="0">
      <selection sqref="A1:C929"/>
    </sheetView>
  </sheetViews>
  <sheetFormatPr defaultRowHeight="12.75" x14ac:dyDescent="0.2"/>
  <cols>
    <col min="1" max="1" width="16.85546875" bestFit="1" customWidth="1"/>
    <col min="2" max="2" width="16.42578125" bestFit="1" customWidth="1"/>
    <col min="3" max="3" width="18.7109375" bestFit="1" customWidth="1"/>
  </cols>
  <sheetData>
    <row r="1" spans="1:3" x14ac:dyDescent="0.2">
      <c r="A1"/>
      <c r="B1"/>
      <c r="C1"/>
    </row>
    <row r="2" spans="1:3" x14ac:dyDescent="0.2">
      <c r="A2"/>
      <c r="B2"/>
      <c r="C2"/>
    </row>
    <row r="3" spans="1:3" x14ac:dyDescent="0.2">
      <c r="A3"/>
      <c r="B3"/>
      <c r="C3"/>
    </row>
    <row r="4" spans="1:3" x14ac:dyDescent="0.2">
      <c r="A4"/>
      <c r="B4"/>
      <c r="C4"/>
    </row>
    <row r="5" spans="1:3" x14ac:dyDescent="0.2">
      <c r="A5"/>
      <c r="B5"/>
      <c r="C5"/>
    </row>
    <row r="6" spans="1:3" x14ac:dyDescent="0.2">
      <c r="A6"/>
      <c r="B6"/>
      <c r="C6"/>
    </row>
    <row r="7" spans="1:3" x14ac:dyDescent="0.2">
      <c r="A7"/>
      <c r="B7"/>
      <c r="C7"/>
    </row>
    <row r="8" spans="1:3" x14ac:dyDescent="0.2">
      <c r="A8"/>
      <c r="B8"/>
      <c r="C8"/>
    </row>
    <row r="9" spans="1:3" x14ac:dyDescent="0.2">
      <c r="A9"/>
      <c r="B9"/>
      <c r="C9"/>
    </row>
    <row r="10" spans="1:3" x14ac:dyDescent="0.2">
      <c r="A10"/>
      <c r="B10"/>
      <c r="C10"/>
    </row>
    <row r="11" spans="1:3" x14ac:dyDescent="0.2">
      <c r="A11"/>
      <c r="B11"/>
      <c r="C11"/>
    </row>
    <row r="12" spans="1:3" x14ac:dyDescent="0.2">
      <c r="A12"/>
      <c r="B12"/>
      <c r="C12"/>
    </row>
    <row r="13" spans="1:3" x14ac:dyDescent="0.2">
      <c r="A13"/>
      <c r="B13"/>
      <c r="C13"/>
    </row>
    <row r="14" spans="1:3" x14ac:dyDescent="0.2">
      <c r="A14"/>
      <c r="B14"/>
      <c r="C14"/>
    </row>
    <row r="15" spans="1:3" x14ac:dyDescent="0.2">
      <c r="A15"/>
      <c r="B15"/>
      <c r="C15"/>
    </row>
    <row r="16" spans="1:3" x14ac:dyDescent="0.2">
      <c r="A16"/>
      <c r="B16"/>
      <c r="C16"/>
    </row>
    <row r="17" spans="1:3" x14ac:dyDescent="0.2">
      <c r="A17"/>
      <c r="B17"/>
      <c r="C17"/>
    </row>
    <row r="18" spans="1:3" x14ac:dyDescent="0.2">
      <c r="A18"/>
      <c r="B18"/>
      <c r="C18"/>
    </row>
    <row r="19" spans="1:3" x14ac:dyDescent="0.2">
      <c r="A19"/>
      <c r="B19"/>
      <c r="C19"/>
    </row>
    <row r="20" spans="1:3" x14ac:dyDescent="0.2">
      <c r="A20"/>
      <c r="B20"/>
      <c r="C20"/>
    </row>
    <row r="21" spans="1:3" x14ac:dyDescent="0.2">
      <c r="A21"/>
      <c r="B21"/>
      <c r="C21"/>
    </row>
    <row r="22" spans="1:3" x14ac:dyDescent="0.2">
      <c r="A22"/>
      <c r="B22"/>
      <c r="C22"/>
    </row>
    <row r="23" spans="1:3" x14ac:dyDescent="0.2">
      <c r="A23"/>
      <c r="B23"/>
      <c r="C23"/>
    </row>
    <row r="24" spans="1:3" x14ac:dyDescent="0.2">
      <c r="A24"/>
      <c r="B24"/>
      <c r="C24"/>
    </row>
    <row r="25" spans="1:3" x14ac:dyDescent="0.2">
      <c r="A25"/>
      <c r="B25"/>
      <c r="C25"/>
    </row>
    <row r="26" spans="1:3" x14ac:dyDescent="0.2">
      <c r="A26"/>
      <c r="B26"/>
      <c r="C26"/>
    </row>
    <row r="27" spans="1:3" x14ac:dyDescent="0.2">
      <c r="A27"/>
      <c r="B27"/>
      <c r="C27"/>
    </row>
    <row r="28" spans="1:3" x14ac:dyDescent="0.2">
      <c r="A28"/>
      <c r="B28"/>
      <c r="C28"/>
    </row>
    <row r="29" spans="1:3" x14ac:dyDescent="0.2">
      <c r="A29"/>
      <c r="B29"/>
      <c r="C29"/>
    </row>
    <row r="30" spans="1:3" x14ac:dyDescent="0.2">
      <c r="A30"/>
      <c r="B30"/>
      <c r="C30"/>
    </row>
    <row r="31" spans="1:3" x14ac:dyDescent="0.2">
      <c r="A31"/>
      <c r="B31"/>
      <c r="C31"/>
    </row>
    <row r="32" spans="1:3" x14ac:dyDescent="0.2">
      <c r="A32"/>
      <c r="B32"/>
      <c r="C32"/>
    </row>
    <row r="33" spans="1:3" x14ac:dyDescent="0.2">
      <c r="A33"/>
      <c r="B33"/>
      <c r="C33"/>
    </row>
    <row r="34" spans="1:3" x14ac:dyDescent="0.2">
      <c r="A34"/>
      <c r="B34"/>
      <c r="C34"/>
    </row>
    <row r="35" spans="1:3" x14ac:dyDescent="0.2">
      <c r="A35"/>
      <c r="B35"/>
      <c r="C35"/>
    </row>
  </sheetData>
  <pageMargins left="0.7" right="0.7" top="0.75" bottom="0.75" header="0.3" footer="0.3"/>
  <tableParts count="1">
    <tablePart r:id="rId1"/>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A6E660-4D30-47F6-A725-724CE8B5BDE5}">
  <sheetPr codeName="Sheet33"/>
  <dimension ref="A1:C2"/>
  <sheetViews>
    <sheetView workbookViewId="0">
      <selection activeCell="K6" sqref="K6"/>
    </sheetView>
  </sheetViews>
  <sheetFormatPr defaultRowHeight="12.75" x14ac:dyDescent="0.2"/>
  <cols>
    <col min="1" max="1" width="15" bestFit="1" customWidth="1"/>
    <col min="2" max="2" width="8.5703125" bestFit="1" customWidth="1"/>
    <col min="3" max="3" width="17.85546875" bestFit="1" customWidth="1"/>
  </cols>
  <sheetData>
    <row r="1" spans="1:3" x14ac:dyDescent="0.2">
      <c r="A1"/>
      <c r="B1"/>
      <c r="C1"/>
    </row>
    <row r="2" spans="1:3" x14ac:dyDescent="0.2">
      <c r="A2"/>
      <c r="B2"/>
      <c r="C2"/>
    </row>
  </sheetData>
  <pageMargins left="0.7" right="0.7" top="0.75" bottom="0.75" header="0.3" footer="0.3"/>
  <tableParts count="1">
    <tablePart r:id="rId1"/>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6">
    <tabColor rgb="FF92D050"/>
    <pageSetUpPr fitToPage="1"/>
  </sheetPr>
  <dimension ref="A1:Z119"/>
  <sheetViews>
    <sheetView tabSelected="1" zoomScaleNormal="100" workbookViewId="0">
      <pane ySplit="1" topLeftCell="A2" activePane="bottomLeft" state="frozen"/>
      <selection pane="bottomLeft" activeCell="D3" sqref="D3"/>
    </sheetView>
  </sheetViews>
  <sheetFormatPr defaultColWidth="9.140625" defaultRowHeight="12.75" x14ac:dyDescent="0.2"/>
  <cols>
    <col min="1" max="1" width="16.85546875" style="233" customWidth="1"/>
    <col min="2" max="2" width="12.85546875" style="227" customWidth="1"/>
    <col min="3" max="3" width="16.5703125" style="232" customWidth="1"/>
    <col min="4" max="4" width="10.42578125" style="178" customWidth="1"/>
    <col min="5" max="5" width="10.28515625" style="178" customWidth="1"/>
    <col min="6" max="6" width="12.85546875" style="178" customWidth="1"/>
    <col min="7" max="7" width="17.7109375" style="178" customWidth="1"/>
    <col min="8" max="8" width="10.140625" style="178" bestFit="1" customWidth="1"/>
    <col min="9" max="9" width="10.140625" style="178" customWidth="1"/>
    <col min="10" max="11" width="10.140625" style="178" bestFit="1" customWidth="1"/>
    <col min="12" max="12" width="11.7109375" style="178" bestFit="1" customWidth="1"/>
    <col min="13" max="13" width="19.85546875" style="178" customWidth="1"/>
    <col min="14" max="15" width="9.140625" style="178"/>
    <col min="16" max="16" width="16" style="178" customWidth="1"/>
    <col min="17" max="17" width="14.7109375" style="178" customWidth="1"/>
    <col min="18" max="18" width="10.140625" style="178" customWidth="1"/>
    <col min="19" max="19" width="12.140625" style="178" customWidth="1"/>
    <col min="20" max="20" width="3.5703125" style="376" customWidth="1"/>
    <col min="21" max="21" width="15.85546875" style="376" customWidth="1"/>
    <col min="22" max="22" width="13.5703125" style="376" customWidth="1"/>
    <col min="23" max="23" width="11.140625" style="376" customWidth="1"/>
    <col min="24" max="16384" width="9.140625" style="376"/>
  </cols>
  <sheetData>
    <row r="1" spans="1:26" ht="23.25" x14ac:dyDescent="0.35">
      <c r="A1" s="393" t="s">
        <v>920</v>
      </c>
      <c r="B1" s="394"/>
      <c r="C1" s="493" t="s">
        <v>62</v>
      </c>
      <c r="D1" s="494"/>
      <c r="E1" s="494"/>
      <c r="F1" s="494"/>
      <c r="G1" s="176" t="e" cm="1">
        <f t="array" ref="G1">GetFormattedWorkItemNumber(K14, D24)</f>
        <v>#VALUE!</v>
      </c>
      <c r="H1" s="176"/>
      <c r="I1" s="177"/>
      <c r="J1" s="376"/>
      <c r="K1" s="376"/>
      <c r="L1" s="376"/>
      <c r="M1" s="376"/>
      <c r="N1" s="376"/>
      <c r="O1" s="376"/>
      <c r="P1" s="376"/>
      <c r="Q1" s="376"/>
      <c r="R1" s="376"/>
      <c r="S1" s="376"/>
    </row>
    <row r="2" spans="1:26" ht="12.75" customHeight="1" x14ac:dyDescent="0.2">
      <c r="A2" s="395"/>
      <c r="B2" s="396"/>
      <c r="C2" s="376"/>
      <c r="D2" s="376"/>
      <c r="E2" s="397"/>
      <c r="F2" s="397"/>
      <c r="G2" s="396"/>
      <c r="H2" s="376"/>
      <c r="I2" s="376"/>
      <c r="J2" s="376"/>
      <c r="K2" s="376"/>
      <c r="L2" s="377"/>
      <c r="M2" s="377"/>
      <c r="N2" s="377"/>
      <c r="O2" s="377"/>
      <c r="P2" s="377"/>
      <c r="Q2" s="377"/>
      <c r="R2" s="377"/>
      <c r="S2" s="377"/>
      <c r="T2" s="377"/>
      <c r="U2" s="377"/>
      <c r="V2" s="377"/>
    </row>
    <row r="3" spans="1:26" x14ac:dyDescent="0.2">
      <c r="A3" s="395"/>
      <c r="B3" s="179"/>
      <c r="C3" s="180" t="s">
        <v>89</v>
      </c>
      <c r="D3" s="347"/>
      <c r="E3" s="376"/>
      <c r="F3" s="376"/>
      <c r="G3" s="376"/>
      <c r="H3" s="376"/>
      <c r="I3" s="376"/>
      <c r="J3" s="495" t="s">
        <v>123</v>
      </c>
      <c r="K3" s="496"/>
      <c r="L3" s="497"/>
      <c r="M3" s="376"/>
      <c r="N3" s="512" t="s">
        <v>112</v>
      </c>
      <c r="O3" s="512"/>
      <c r="P3" s="512"/>
      <c r="Q3" s="512"/>
      <c r="R3" s="512"/>
      <c r="S3" s="512"/>
      <c r="T3" s="377"/>
      <c r="U3" s="377"/>
      <c r="V3" s="377"/>
      <c r="W3" s="378"/>
      <c r="X3" s="378"/>
      <c r="Y3" s="378"/>
      <c r="Z3" s="378"/>
    </row>
    <row r="4" spans="1:26" x14ac:dyDescent="0.2">
      <c r="A4" s="395"/>
      <c r="B4" s="179"/>
      <c r="C4" s="180" t="s">
        <v>259</v>
      </c>
      <c r="D4" s="352" t="str">
        <f>IF(Condition,Condition,"")</f>
        <v/>
      </c>
      <c r="E4" s="376"/>
      <c r="F4" s="376"/>
      <c r="G4" s="376"/>
      <c r="H4" s="376"/>
      <c r="I4" s="376"/>
      <c r="J4" s="500" t="s">
        <v>4</v>
      </c>
      <c r="K4" s="501"/>
      <c r="L4" s="181">
        <f ca="1">IF(ISERROR(Access_Data!$D$33),0,Access_Data!$D$33)</f>
        <v>0</v>
      </c>
      <c r="M4" s="376"/>
      <c r="N4" s="182" t="s">
        <v>111</v>
      </c>
      <c r="O4" s="183" t="s">
        <v>110</v>
      </c>
      <c r="P4" s="498" t="s">
        <v>121</v>
      </c>
      <c r="Q4" s="499"/>
      <c r="R4" s="182" t="s">
        <v>158</v>
      </c>
      <c r="S4" s="182" t="s">
        <v>162</v>
      </c>
      <c r="T4" s="377"/>
      <c r="U4" s="379"/>
      <c r="V4" s="379"/>
      <c r="W4" s="379"/>
      <c r="X4" s="379"/>
      <c r="Y4" s="379"/>
      <c r="Z4" s="379"/>
    </row>
    <row r="5" spans="1:26" x14ac:dyDescent="0.2">
      <c r="A5" s="395"/>
      <c r="B5" s="179"/>
      <c r="C5" s="180" t="s">
        <v>53</v>
      </c>
      <c r="D5" s="516" t="e">
        <f>IFERROR(companyName,NA())</f>
        <v>#N/A</v>
      </c>
      <c r="E5" s="517"/>
      <c r="F5" s="517"/>
      <c r="G5" s="517"/>
      <c r="H5" s="518"/>
      <c r="I5" s="353"/>
      <c r="J5" s="500" t="s">
        <v>5</v>
      </c>
      <c r="K5" s="501"/>
      <c r="L5" s="181">
        <f ca="1">IF(ISERROR(Access_Data!$D$33),0,Access_Data!$H$33)</f>
        <v>0</v>
      </c>
      <c r="M5" s="376"/>
      <c r="N5" s="182">
        <v>1</v>
      </c>
      <c r="O5" s="184"/>
      <c r="P5" s="185" t="str">
        <f>IF(Access_Data!$K37=0,"",Access_Data!$K37)</f>
        <v/>
      </c>
      <c r="Q5" s="186"/>
      <c r="R5" s="187" t="str">
        <f>IF(Access_Data!$K37&lt;&gt;0,IF(RIGHT($P5,3)="Low",Access_Data!$L37,IF(RIGHT($P5,4)="High",Access_Data!$J37,"")),"")</f>
        <v/>
      </c>
      <c r="S5" s="188" t="str">
        <f>IF(Access_Data!$M37&lt;&gt;0,Access_Data!$M37,"")</f>
        <v/>
      </c>
      <c r="T5" s="377"/>
      <c r="U5" s="379"/>
      <c r="V5" s="379"/>
      <c r="W5" s="379"/>
      <c r="X5" s="379" t="str">
        <f>IF(O5,1,"")</f>
        <v/>
      </c>
      <c r="Y5" s="379"/>
      <c r="Z5" s="379"/>
    </row>
    <row r="6" spans="1:26" x14ac:dyDescent="0.2">
      <c r="A6" s="395"/>
      <c r="B6" s="179"/>
      <c r="C6" s="180" t="s">
        <v>52</v>
      </c>
      <c r="D6" s="513" t="e">
        <f>VLOOKUP("assetName",WorkItemDetails[],2,FALSE)</f>
        <v>#N/A</v>
      </c>
      <c r="E6" s="514"/>
      <c r="F6" s="514"/>
      <c r="G6" s="514"/>
      <c r="H6" s="515"/>
      <c r="I6" s="333"/>
      <c r="J6" s="500" t="s">
        <v>122</v>
      </c>
      <c r="K6" s="501"/>
      <c r="L6" s="181">
        <f>IF(ISERROR(Access_Data!$A$52),0,Access_Data!$A$52)</f>
        <v>0</v>
      </c>
      <c r="M6" s="376"/>
      <c r="N6" s="182">
        <v>2</v>
      </c>
      <c r="O6" s="184"/>
      <c r="P6" s="185" t="str">
        <f>IF(Access_Data!$K38=0,"",Access_Data!$K38)</f>
        <v/>
      </c>
      <c r="Q6" s="189"/>
      <c r="R6" s="187" t="str">
        <f>IF(Access_Data!$K38&lt;&gt;0,IF(RIGHT($P6,3)="Low",Access_Data!$L38,IF(RIGHT($P6,4)="High",Access_Data!$J38,"")),"")</f>
        <v/>
      </c>
      <c r="S6" s="188" t="str">
        <f>IF(Access_Data!$M38&lt;&gt;0,Access_Data!$M38,"")</f>
        <v/>
      </c>
      <c r="T6" s="377"/>
      <c r="U6" s="379"/>
      <c r="V6" s="379"/>
      <c r="W6" s="379"/>
      <c r="X6" s="379" t="str">
        <f t="shared" ref="X6:X44" si="0">IF(O6,1,"")</f>
        <v/>
      </c>
      <c r="Y6" s="379"/>
      <c r="Z6" s="379"/>
    </row>
    <row r="7" spans="1:26" x14ac:dyDescent="0.2">
      <c r="A7" s="395"/>
      <c r="B7" s="190"/>
      <c r="C7" s="191" t="s">
        <v>39</v>
      </c>
      <c r="D7" s="626" t="str" cm="1">
        <f t="array" ref="D7">Employee[Name]</f>
        <v>Jeff Hall</v>
      </c>
      <c r="E7" s="376"/>
      <c r="F7" s="376"/>
      <c r="G7" s="376"/>
      <c r="H7" s="376"/>
      <c r="I7" s="376"/>
      <c r="J7" s="398"/>
      <c r="K7" s="398"/>
      <c r="L7" s="398"/>
      <c r="M7" s="376"/>
      <c r="N7" s="182">
        <v>3</v>
      </c>
      <c r="O7" s="184"/>
      <c r="P7" s="185" t="str">
        <f>IF(Access_Data!$K39=0,"",Access_Data!$K39)</f>
        <v/>
      </c>
      <c r="Q7" s="186"/>
      <c r="R7" s="187" t="str">
        <f>IF(Access_Data!$K39&lt;&gt;0,IF(RIGHT($P7,3)="Low",Access_Data!$L39,IF(RIGHT($P7,4)="High",Access_Data!$J39,"")),"")</f>
        <v/>
      </c>
      <c r="S7" s="188" t="str">
        <f>IF(Access_Data!$M39&lt;&gt;0,Access_Data!$M39,"")</f>
        <v/>
      </c>
      <c r="T7" s="377"/>
      <c r="U7" s="379"/>
      <c r="V7" s="379"/>
      <c r="W7" s="379"/>
      <c r="X7" s="379" t="str">
        <f t="shared" si="0"/>
        <v/>
      </c>
      <c r="Y7" s="379"/>
      <c r="Z7" s="379"/>
    </row>
    <row r="8" spans="1:26" x14ac:dyDescent="0.2">
      <c r="A8" s="395"/>
      <c r="B8" s="391"/>
      <c r="C8" s="399"/>
      <c r="D8" s="400"/>
      <c r="E8" s="376"/>
      <c r="F8" s="401" t="str">
        <f>IF(N49="","CHECK TUNING CONSTANTS","")</f>
        <v>CHECK TUNING CONSTANTS</v>
      </c>
      <c r="G8" s="376"/>
      <c r="H8" s="376"/>
      <c r="I8" s="376"/>
      <c r="J8" s="376"/>
      <c r="K8" s="376"/>
      <c r="L8" s="376"/>
      <c r="M8" s="376"/>
      <c r="N8" s="182">
        <v>4</v>
      </c>
      <c r="O8" s="184"/>
      <c r="P8" s="185" t="str">
        <f>IF(Access_Data!$K40=0,"",Access_Data!$K40)</f>
        <v/>
      </c>
      <c r="Q8" s="189"/>
      <c r="R8" s="187" t="str">
        <f>IF(Access_Data!$K40&lt;&gt;0,IF(RIGHT($P8,3)="Low",Access_Data!$L40,IF(RIGHT($P8,4)="High",Access_Data!$J40,"")),"")</f>
        <v/>
      </c>
      <c r="S8" s="188" t="str">
        <f>IF(Access_Data!$M40&lt;&gt;0,Access_Data!$M40,"")</f>
        <v/>
      </c>
      <c r="T8" s="377"/>
      <c r="U8" s="379"/>
      <c r="V8" s="379"/>
      <c r="W8" s="379"/>
      <c r="X8" s="379" t="str">
        <f t="shared" si="0"/>
        <v/>
      </c>
      <c r="Y8" s="379"/>
      <c r="Z8" s="379"/>
    </row>
    <row r="9" spans="1:26" ht="12.75" customHeight="1" x14ac:dyDescent="0.2">
      <c r="A9" s="395"/>
      <c r="B9" s="179"/>
      <c r="C9" s="192" t="s">
        <v>82</v>
      </c>
      <c r="D9" s="349"/>
      <c r="E9" s="353" t="str" cm="1">
        <f t="array" ref="E9">IFERROR(
  _xlfn.XLOOKUP(
    Main!$D$9,
    _xlfn._xlws.FILTER(AssetPool[asset_tag], AssetPool[root_category_name]="DAQ Modules"),
    _xlfn._xlws.FILTER(AssetPool[asset_id], AssetPool[root_category_name]="DAQ Modules")
  ),
  ""
)</f>
        <v/>
      </c>
      <c r="F9" s="376"/>
      <c r="G9" s="376"/>
      <c r="H9" s="376"/>
      <c r="I9" s="376"/>
      <c r="J9" s="376"/>
      <c r="K9" s="376"/>
      <c r="L9" s="376"/>
      <c r="M9" s="376"/>
      <c r="N9" s="182">
        <v>5</v>
      </c>
      <c r="O9" s="184"/>
      <c r="P9" s="185" t="str">
        <f>IF(Access_Data!$K41=0,"",Access_Data!$K41)</f>
        <v/>
      </c>
      <c r="Q9" s="186"/>
      <c r="R9" s="187" t="str">
        <f>IF(Access_Data!$K41&lt;&gt;0,IF(RIGHT($P9,3)="Low",Access_Data!$L41,IF(RIGHT($P9,4)="High",Access_Data!$J41,"")),"")</f>
        <v/>
      </c>
      <c r="S9" s="188" t="str">
        <f>IF(Access_Data!$M41&lt;&gt;0,Access_Data!$M41,"")</f>
        <v/>
      </c>
      <c r="T9" s="377"/>
      <c r="U9" s="379"/>
      <c r="V9" s="379"/>
      <c r="W9" s="379"/>
      <c r="X9" s="379" t="str">
        <f t="shared" si="0"/>
        <v/>
      </c>
      <c r="Y9" s="379"/>
      <c r="Z9" s="379"/>
    </row>
    <row r="10" spans="1:26" x14ac:dyDescent="0.2">
      <c r="A10" s="395"/>
      <c r="B10" s="391"/>
      <c r="C10" s="392"/>
      <c r="D10" s="376"/>
      <c r="E10" s="376"/>
      <c r="F10" s="376"/>
      <c r="G10" s="377" t="str">
        <f ca="1">IF(OR(ISNA(Access_Data!D33),ISBLANK(D19),ISBLANK(D16)),"",IF(OR(ABS(Access_Data!D33)&gt;D19,ABS(Access_Data!H33)&gt;D19),"!!!!! OVEN IS OOT !!!!!",""))</f>
        <v/>
      </c>
      <c r="H10" s="376"/>
      <c r="I10" s="376"/>
      <c r="J10" s="376"/>
      <c r="K10" s="376"/>
      <c r="L10" s="376"/>
      <c r="M10" s="376"/>
      <c r="N10" s="182">
        <v>6</v>
      </c>
      <c r="O10" s="184"/>
      <c r="P10" s="185" t="str">
        <f>IF(Access_Data!$K42=0,"",Access_Data!$K42)</f>
        <v/>
      </c>
      <c r="Q10" s="189"/>
      <c r="R10" s="187" t="str">
        <f>IF(Access_Data!$K42&lt;&gt;0,IF(RIGHT($P10,3)="Low",Access_Data!$L42,IF(RIGHT($P10,4)="High",Access_Data!$J42,"")),"")</f>
        <v/>
      </c>
      <c r="S10" s="188" t="str">
        <f>IF(Access_Data!$M42&lt;&gt;0,Access_Data!$M42,"")</f>
        <v/>
      </c>
      <c r="T10" s="377"/>
      <c r="U10" s="379"/>
      <c r="V10" s="379"/>
      <c r="W10" s="379"/>
      <c r="X10" s="379" t="str">
        <f t="shared" si="0"/>
        <v/>
      </c>
      <c r="Y10" s="379"/>
      <c r="Z10" s="379"/>
    </row>
    <row r="11" spans="1:26" x14ac:dyDescent="0.2">
      <c r="A11" s="395"/>
      <c r="B11" s="179"/>
      <c r="C11" s="192" t="s">
        <v>69</v>
      </c>
      <c r="D11" s="346" t="e">
        <f>VLOOKUP("serial_number",DaqbookServiceRecord[], 2, FALSE)</f>
        <v>#N/A</v>
      </c>
      <c r="E11" s="376"/>
      <c r="F11" s="376"/>
      <c r="G11" s="377" t="str">
        <f>IF(OR(ISBLANK(D3),ISBLANK(D13)),"",IF(D13&lt;D3,"!!!!! DAQBOOK IS OUT OF CERTIFICATION !!!!!",""))</f>
        <v/>
      </c>
      <c r="H11" s="376"/>
      <c r="I11" s="376"/>
      <c r="J11" s="376"/>
      <c r="K11" s="376"/>
      <c r="L11" s="376"/>
      <c r="M11" s="376"/>
      <c r="N11" s="182">
        <v>7</v>
      </c>
      <c r="O11" s="184"/>
      <c r="P11" s="185" t="str">
        <f>IF(Access_Data!$K43=0,"",Access_Data!$K43)</f>
        <v/>
      </c>
      <c r="Q11" s="189"/>
      <c r="R11" s="187" t="str">
        <f>IF(Access_Data!$K43&lt;&gt;0,IF(RIGHT($P11,3)="Low",Access_Data!$L43,IF(RIGHT($P11,4)="High",Access_Data!$J43,"")),"")</f>
        <v/>
      </c>
      <c r="S11" s="188" t="str">
        <f>IF(Access_Data!$M43&lt;&gt;0,Access_Data!$M43,"")</f>
        <v/>
      </c>
      <c r="T11" s="377"/>
      <c r="U11" s="379"/>
      <c r="V11" s="379"/>
      <c r="W11" s="379"/>
      <c r="X11" s="379" t="str">
        <f t="shared" si="0"/>
        <v/>
      </c>
      <c r="Y11" s="379"/>
      <c r="Z11" s="379"/>
    </row>
    <row r="12" spans="1:26" x14ac:dyDescent="0.2">
      <c r="A12" s="395"/>
      <c r="B12" s="179"/>
      <c r="C12" s="192" t="s">
        <v>108</v>
      </c>
      <c r="D12" s="345" t="e">
        <f>VLOOKUP("service_date",DaqbookServiceRecord[], 2, FALSE)</f>
        <v>#N/A</v>
      </c>
      <c r="E12" s="376"/>
      <c r="F12" s="376"/>
      <c r="G12" s="377" t="str">
        <f>IF(Access_Data!$B$52=1,"!!!!! OVEN OVERSHOT IN POINTS 1-14 !!!!!","")</f>
        <v/>
      </c>
      <c r="H12" s="376"/>
      <c r="I12" s="376"/>
      <c r="J12" s="398"/>
      <c r="K12" s="380"/>
      <c r="L12" s="398"/>
      <c r="M12" s="380"/>
      <c r="N12" s="182">
        <v>8</v>
      </c>
      <c r="O12" s="184"/>
      <c r="P12" s="185" t="str">
        <f>IF(Access_Data!$K44=0,"",Access_Data!$K44)</f>
        <v/>
      </c>
      <c r="Q12" s="189"/>
      <c r="R12" s="187" t="str">
        <f>IF(Access_Data!$K44&lt;&gt;0,IF(RIGHT($P12,3)="Low",Access_Data!$L44,IF(RIGHT($P12,4)="High",Access_Data!$J44,"")),"")</f>
        <v/>
      </c>
      <c r="S12" s="188" t="str">
        <f>IF(Access_Data!$M44&lt;&gt;0,Access_Data!$M44,"")</f>
        <v/>
      </c>
      <c r="T12" s="377"/>
      <c r="U12" s="379"/>
      <c r="V12" s="379"/>
      <c r="W12" s="379"/>
      <c r="X12" s="379" t="str">
        <f t="shared" si="0"/>
        <v/>
      </c>
      <c r="Y12" s="379"/>
      <c r="Z12" s="379"/>
    </row>
    <row r="13" spans="1:26" x14ac:dyDescent="0.2">
      <c r="A13" s="395"/>
      <c r="B13" s="193"/>
      <c r="C13" s="194" t="s">
        <v>107</v>
      </c>
      <c r="D13" s="345" t="e">
        <f>VLOOKUP("next_service_date",DaqbookServiceRecord[], 2, FALSE)</f>
        <v>#N/A</v>
      </c>
      <c r="E13" s="376"/>
      <c r="F13" s="402"/>
      <c r="G13" s="392" t="str">
        <f>IF(Access_Data!$C$52=1,"!!!!! OVEN OVERSHOT IN POINTS 15-28 !!!!!","")</f>
        <v/>
      </c>
      <c r="H13" s="376"/>
      <c r="I13" s="376"/>
      <c r="J13" s="294" t="s">
        <v>354</v>
      </c>
      <c r="K13" s="510" t="str">
        <f>IFERROR(VLOOKUP("PoNumber",WorkItemDetails[],2,FALSE),"")</f>
        <v/>
      </c>
      <c r="L13" s="511"/>
      <c r="M13" s="376"/>
      <c r="N13" s="182">
        <v>9</v>
      </c>
      <c r="O13" s="184"/>
      <c r="P13" s="185" t="str">
        <f>IF(Access_Data!$K45=0,"",Access_Data!$K45)</f>
        <v/>
      </c>
      <c r="Q13" s="186"/>
      <c r="R13" s="187" t="str">
        <f>IF(Access_Data!$K45&lt;&gt;0,IF(RIGHT($P13,3)="Low",Access_Data!$L45,IF(RIGHT($P13,4)="High",Access_Data!$J45,"")),"")</f>
        <v/>
      </c>
      <c r="S13" s="188" t="str">
        <f>IF(Access_Data!$M45&lt;&gt;0,Access_Data!$M45,"")</f>
        <v/>
      </c>
      <c r="T13" s="377"/>
      <c r="U13" s="379"/>
      <c r="V13" s="379"/>
      <c r="W13" s="379"/>
      <c r="X13" s="379" t="str">
        <f t="shared" si="0"/>
        <v/>
      </c>
      <c r="Y13" s="379"/>
      <c r="Z13" s="379"/>
    </row>
    <row r="14" spans="1:26" x14ac:dyDescent="0.2">
      <c r="A14" s="395"/>
      <c r="B14" s="179"/>
      <c r="C14" s="192" t="s">
        <v>109</v>
      </c>
      <c r="D14" s="346" t="e">
        <f>VLOOKUP("certificate_number",DaqbookServiceRecord[], 2, FALSE)</f>
        <v>#N/A</v>
      </c>
      <c r="E14" s="376"/>
      <c r="F14" s="376"/>
      <c r="G14" s="377" t="str">
        <f>IF(Access_Data!$D$52=1,"!!!!! OVEN OVERSHOT IN POINTS 29-40","")</f>
        <v/>
      </c>
      <c r="H14" s="376"/>
      <c r="I14" s="376"/>
      <c r="J14" s="195" t="s">
        <v>157</v>
      </c>
      <c r="K14" s="472"/>
      <c r="L14" s="473"/>
      <c r="M14" s="376"/>
      <c r="N14" s="182">
        <v>10</v>
      </c>
      <c r="O14" s="184"/>
      <c r="P14" s="185" t="str">
        <f>IF(Access_Data!$K46=0,"",Access_Data!$K46)</f>
        <v/>
      </c>
      <c r="Q14" s="189"/>
      <c r="R14" s="187" t="str">
        <f>IF(Access_Data!$K46&lt;&gt;0,IF(RIGHT($P14,3)="Low",Access_Data!$L46,IF(RIGHT($P14,4)="High",Access_Data!$J46,"")),"")</f>
        <v/>
      </c>
      <c r="S14" s="188" t="str">
        <f>IF(Access_Data!$M46&lt;&gt;0,Access_Data!$M46,"")</f>
        <v/>
      </c>
      <c r="T14" s="377"/>
      <c r="U14" s="379"/>
      <c r="V14" s="379"/>
      <c r="W14" s="379"/>
      <c r="X14" s="379" t="str">
        <f t="shared" si="0"/>
        <v/>
      </c>
      <c r="Y14" s="379"/>
      <c r="Z14" s="379"/>
    </row>
    <row r="15" spans="1:26" x14ac:dyDescent="0.2">
      <c r="A15" s="395"/>
      <c r="B15" s="239"/>
      <c r="C15" s="237" t="s">
        <v>81</v>
      </c>
      <c r="D15" s="369"/>
      <c r="E15" s="376"/>
      <c r="F15" s="376"/>
      <c r="G15" s="376"/>
      <c r="H15" s="398" t="b">
        <v>1</v>
      </c>
      <c r="I15" s="376"/>
      <c r="J15" s="196" t="s">
        <v>152</v>
      </c>
      <c r="K15" s="504"/>
      <c r="L15" s="505"/>
      <c r="M15" s="376"/>
      <c r="N15" s="182">
        <v>11</v>
      </c>
      <c r="O15" s="184"/>
      <c r="P15" s="185" t="str">
        <f>IF(Access_Data!$K47=0,"",Access_Data!$K47)</f>
        <v/>
      </c>
      <c r="Q15" s="186"/>
      <c r="R15" s="187" t="str">
        <f>IF(Access_Data!$K47&lt;&gt;0,IF(RIGHT($P15,3)="Low",Access_Data!$L47,IF(RIGHT($P15,4)="High",Access_Data!$J47,"")),"")</f>
        <v/>
      </c>
      <c r="S15" s="188" t="str">
        <f>IF(Access_Data!$M47&lt;&gt;0,Access_Data!$M47,"")</f>
        <v/>
      </c>
      <c r="T15" s="377"/>
      <c r="U15" s="379"/>
      <c r="V15" s="379"/>
      <c r="W15" s="379"/>
      <c r="X15" s="379" t="str">
        <f t="shared" si="0"/>
        <v/>
      </c>
      <c r="Y15" s="379"/>
      <c r="Z15" s="379"/>
    </row>
    <row r="16" spans="1:26" x14ac:dyDescent="0.2">
      <c r="A16" s="395"/>
      <c r="B16" s="197"/>
      <c r="C16" s="238" t="s">
        <v>293</v>
      </c>
      <c r="D16" s="369"/>
      <c r="E16" s="376"/>
      <c r="F16" s="195" t="s">
        <v>98</v>
      </c>
      <c r="G16" s="234" t="s">
        <v>298</v>
      </c>
      <c r="H16" s="199"/>
      <c r="I16" s="376"/>
      <c r="J16" s="519" t="s">
        <v>188</v>
      </c>
      <c r="K16" s="520"/>
      <c r="L16" s="351"/>
      <c r="M16" s="376"/>
      <c r="N16" s="182">
        <v>12</v>
      </c>
      <c r="O16" s="184"/>
      <c r="P16" s="185" t="str">
        <f>IF(Access_Data!$K48=0,"",Access_Data!$K48)</f>
        <v/>
      </c>
      <c r="Q16" s="189"/>
      <c r="R16" s="187" t="str">
        <f>IF(Access_Data!$K48&lt;&gt;0,IF(RIGHT($P16,3)="Low",Access_Data!$L48,IF(RIGHT($P16,4)="High",Access_Data!$J48,"")),"")</f>
        <v/>
      </c>
      <c r="S16" s="188" t="str">
        <f>IF(Access_Data!$M48&lt;&gt;0,Access_Data!$M48,"")</f>
        <v/>
      </c>
      <c r="T16" s="377"/>
      <c r="U16" s="379"/>
      <c r="V16" s="379"/>
      <c r="W16" s="379"/>
      <c r="X16" s="379" t="str">
        <f t="shared" si="0"/>
        <v/>
      </c>
      <c r="Y16" s="379"/>
      <c r="Z16" s="379"/>
    </row>
    <row r="17" spans="1:26" x14ac:dyDescent="0.2">
      <c r="A17" s="395"/>
      <c r="B17" s="179"/>
      <c r="C17" s="180" t="s">
        <v>80</v>
      </c>
      <c r="D17" s="370"/>
      <c r="E17" s="376"/>
      <c r="F17" s="196" t="s">
        <v>117</v>
      </c>
      <c r="G17" s="627" t="str">
        <f>IF(ISBLANK(Load),"",Load)</f>
        <v/>
      </c>
      <c r="H17" s="376"/>
      <c r="I17" s="377"/>
      <c r="J17" s="519" t="s">
        <v>189</v>
      </c>
      <c r="K17" s="520"/>
      <c r="L17" s="200" t="str">
        <f>IF(K15="SIM Load Hot",TEXT(D26,"hh:mm"),"")</f>
        <v/>
      </c>
      <c r="M17" s="376"/>
      <c r="N17" s="182">
        <v>13</v>
      </c>
      <c r="O17" s="184"/>
      <c r="P17" s="185" t="str">
        <f>IF(Access_Data!$K49=0,"",Access_Data!$K49)</f>
        <v/>
      </c>
      <c r="Q17" s="186"/>
      <c r="R17" s="187" t="str">
        <f>IF(Access_Data!$K49&lt;&gt;0,IF(RIGHT($P17,3)="Low",Access_Data!$L49,IF(RIGHT($P17,4)="High",Access_Data!$J49,"")),"")</f>
        <v/>
      </c>
      <c r="S17" s="188" t="str">
        <f>IF(Access_Data!$M49&lt;&gt;0,Access_Data!$M49,"")</f>
        <v/>
      </c>
      <c r="T17" s="377"/>
      <c r="U17" s="379"/>
      <c r="V17" s="379"/>
      <c r="W17" s="379"/>
      <c r="X17" s="379" t="str">
        <f t="shared" si="0"/>
        <v/>
      </c>
      <c r="Y17" s="379"/>
      <c r="Z17" s="379"/>
    </row>
    <row r="18" spans="1:26" x14ac:dyDescent="0.2">
      <c r="A18" s="395"/>
      <c r="B18" s="193"/>
      <c r="C18" s="201" t="s">
        <v>83</v>
      </c>
      <c r="D18" s="349"/>
      <c r="E18" s="376"/>
      <c r="F18" s="202" t="s">
        <v>99</v>
      </c>
      <c r="G18" s="234" t="s">
        <v>31</v>
      </c>
      <c r="H18" s="203"/>
      <c r="I18" s="377"/>
      <c r="J18" s="403"/>
      <c r="K18" s="376"/>
      <c r="L18" s="377"/>
      <c r="M18" s="376"/>
      <c r="N18" s="182">
        <v>14</v>
      </c>
      <c r="O18" s="184"/>
      <c r="P18" s="185" t="str">
        <f>IF(Access_Data!$K50=0,"",Access_Data!$K50)</f>
        <v/>
      </c>
      <c r="Q18" s="189"/>
      <c r="R18" s="187" t="str">
        <f>IF(Access_Data!$K50&lt;&gt;0,IF(RIGHT($P18,3)="Low",Access_Data!$L50,IF(RIGHT($P18,4)="High",Access_Data!$J50,"")),"")</f>
        <v/>
      </c>
      <c r="S18" s="188" t="str">
        <f>IF(Access_Data!$M50&lt;&gt;0,Access_Data!$M50,"")</f>
        <v/>
      </c>
      <c r="T18" s="377"/>
      <c r="U18" s="379"/>
      <c r="V18" s="379"/>
      <c r="W18" s="379"/>
      <c r="X18" s="379" t="str">
        <f t="shared" si="0"/>
        <v/>
      </c>
      <c r="Y18" s="379"/>
      <c r="Z18" s="379"/>
    </row>
    <row r="19" spans="1:26" x14ac:dyDescent="0.2">
      <c r="A19" s="395"/>
      <c r="B19" s="179"/>
      <c r="C19" s="180" t="s">
        <v>22</v>
      </c>
      <c r="D19" s="368"/>
      <c r="E19" s="376"/>
      <c r="F19" s="196" t="s">
        <v>100</v>
      </c>
      <c r="G19" s="502" t="str">
        <f>IF(K15="Salt",0, IF(OR(K15="Hot",K15="SIM Load Hot"),IF(OR(D26="",D28=""),"N/A",IF(ISBLANK(D26),"N/A",D28-D26)),"N/A"))</f>
        <v>N/A</v>
      </c>
      <c r="H19" s="503"/>
      <c r="I19" s="404" t="str">
        <f>IF(G19="N/A","N/A",IF(G19=0,"&lt;2",ROUND(IF(LEN(G19)&gt;3,G19*1440,RIGHT(TEXT(G19,"hh:mm"),2)),0))&amp;" MINUTES")</f>
        <v>N/A</v>
      </c>
      <c r="J19" s="403"/>
      <c r="K19" s="376"/>
      <c r="L19" s="377"/>
      <c r="M19" s="376"/>
      <c r="N19" s="182">
        <v>15</v>
      </c>
      <c r="O19" s="184"/>
      <c r="P19" s="185" t="str">
        <f>IF(Access_Data!$K51=0,"",Access_Data!$K51)</f>
        <v/>
      </c>
      <c r="Q19" s="186"/>
      <c r="R19" s="187" t="str">
        <f>IF(Access_Data!$K51&lt;&gt;0,IF(RIGHT($P19,3)="Low",Access_Data!$L51,IF(RIGHT($P19,4)="High",Access_Data!$J51,"")),"")</f>
        <v/>
      </c>
      <c r="S19" s="188" t="str">
        <f>IF(Access_Data!$M51&lt;&gt;0,Access_Data!$M51,"")</f>
        <v/>
      </c>
      <c r="T19" s="377"/>
      <c r="U19" s="379"/>
      <c r="V19" s="379"/>
      <c r="W19" s="379"/>
      <c r="X19" s="379" t="str">
        <f t="shared" si="0"/>
        <v/>
      </c>
      <c r="Y19" s="379"/>
      <c r="Z19" s="379"/>
    </row>
    <row r="20" spans="1:26" ht="13.7" customHeight="1" x14ac:dyDescent="0.2">
      <c r="A20" s="395"/>
      <c r="B20" s="506" t="str">
        <f>IF(I94=TRUE,"SAT Tolerance (per AMS2750):","SAT Tolerance (per BAC5621):")</f>
        <v>SAT Tolerance (per AMS2750):</v>
      </c>
      <c r="C20" s="507"/>
      <c r="D20" s="625" t="e">
        <f>G94</f>
        <v>#N/A</v>
      </c>
      <c r="E20" s="377"/>
      <c r="F20" s="376"/>
      <c r="G20" s="376"/>
      <c r="H20" s="376"/>
      <c r="I20" s="377"/>
      <c r="J20" s="376"/>
      <c r="K20" s="376"/>
      <c r="L20" s="377"/>
      <c r="M20" s="376"/>
      <c r="N20" s="182">
        <v>16</v>
      </c>
      <c r="O20" s="184"/>
      <c r="P20" s="185" t="str">
        <f>IF(Access_Data!$K52=0,"",Access_Data!$K52)</f>
        <v/>
      </c>
      <c r="Q20" s="189"/>
      <c r="R20" s="187" t="str">
        <f>IF(Access_Data!$K52&lt;&gt;0,IF(RIGHT($P20,3)="Low",Access_Data!$L52,IF(RIGHT($P20,4)="High",Access_Data!$J52,"")),"")</f>
        <v/>
      </c>
      <c r="S20" s="188" t="str">
        <f>IF(Access_Data!$M52&lt;&gt;0,Access_Data!$M52,"")</f>
        <v/>
      </c>
      <c r="T20" s="377"/>
      <c r="U20" s="379"/>
      <c r="V20" s="379"/>
      <c r="W20" s="379"/>
      <c r="X20" s="379" t="str">
        <f t="shared" si="0"/>
        <v/>
      </c>
      <c r="Y20" s="379"/>
      <c r="Z20" s="379"/>
    </row>
    <row r="21" spans="1:26" x14ac:dyDescent="0.2">
      <c r="A21" s="395"/>
      <c r="B21" s="391"/>
      <c r="C21" s="405"/>
      <c r="D21" s="400"/>
      <c r="E21" s="376"/>
      <c r="F21" s="376"/>
      <c r="G21" s="376"/>
      <c r="H21" s="376"/>
      <c r="I21" s="377"/>
      <c r="J21" s="376"/>
      <c r="K21" s="376"/>
      <c r="L21" s="377"/>
      <c r="M21" s="376"/>
      <c r="N21" s="182">
        <v>17</v>
      </c>
      <c r="O21" s="184"/>
      <c r="P21" s="185" t="str">
        <f>IF(Access_Data!$K53=0,"",Access_Data!$K53)</f>
        <v/>
      </c>
      <c r="Q21" s="186"/>
      <c r="R21" s="187" t="str">
        <f>IF(Access_Data!$K53&lt;&gt;0,IF(RIGHT($P21,3)="Low",Access_Data!$L53,IF(RIGHT($P21,4)="High",Access_Data!$J53,"")),"")</f>
        <v/>
      </c>
      <c r="S21" s="188" t="str">
        <f>IF(Access_Data!$M53&lt;&gt;0,Access_Data!$M53,"")</f>
        <v/>
      </c>
      <c r="T21" s="377"/>
      <c r="U21" s="379"/>
      <c r="V21" s="379"/>
      <c r="W21" s="379"/>
      <c r="X21" s="379" t="str">
        <f t="shared" si="0"/>
        <v/>
      </c>
      <c r="Y21" s="379"/>
      <c r="Z21" s="379"/>
    </row>
    <row r="22" spans="1:26" x14ac:dyDescent="0.2">
      <c r="A22" s="395"/>
      <c r="B22" s="197"/>
      <c r="C22" s="198" t="s">
        <v>54</v>
      </c>
      <c r="D22" s="348"/>
      <c r="E22" s="376"/>
      <c r="F22" s="406"/>
      <c r="G22" s="376"/>
      <c r="H22" s="376"/>
      <c r="I22" s="377"/>
      <c r="J22" s="376"/>
      <c r="K22" s="376"/>
      <c r="L22" s="377"/>
      <c r="M22" s="376"/>
      <c r="N22" s="182">
        <v>18</v>
      </c>
      <c r="O22" s="184"/>
      <c r="P22" s="185" t="str">
        <f>IF(Access_Data!$K54=0,"",Access_Data!$K54)</f>
        <v/>
      </c>
      <c r="Q22" s="189"/>
      <c r="R22" s="187" t="str">
        <f>IF(Access_Data!$K54&lt;&gt;0,IF(RIGHT($P22,3)="Low",Access_Data!$L54,IF(RIGHT($P22,4)="High",Access_Data!$J54,"")),"")</f>
        <v/>
      </c>
      <c r="S22" s="188" t="str">
        <f>IF(Access_Data!$M54&lt;&gt;0,Access_Data!$M54,"")</f>
        <v/>
      </c>
      <c r="T22" s="377"/>
      <c r="U22" s="379"/>
      <c r="V22" s="379"/>
      <c r="W22" s="379"/>
      <c r="X22" s="379" t="str">
        <f t="shared" si="0"/>
        <v/>
      </c>
      <c r="Y22" s="379"/>
      <c r="Z22" s="379"/>
    </row>
    <row r="23" spans="1:26" x14ac:dyDescent="0.2">
      <c r="A23" s="395"/>
      <c r="B23" s="179"/>
      <c r="C23" s="180" t="s">
        <v>84</v>
      </c>
      <c r="D23" s="349"/>
      <c r="E23" s="376"/>
      <c r="F23" s="204" t="s">
        <v>118</v>
      </c>
      <c r="G23" s="628" t="s">
        <v>408</v>
      </c>
      <c r="H23" s="629"/>
      <c r="I23" s="629"/>
      <c r="J23" s="629"/>
      <c r="K23" s="630"/>
      <c r="L23" s="377"/>
      <c r="M23" s="376"/>
      <c r="N23" s="182">
        <v>19</v>
      </c>
      <c r="O23" s="184"/>
      <c r="P23" s="185" t="str">
        <f>IF(Access_Data!$K55=0,"",Access_Data!$K55)</f>
        <v/>
      </c>
      <c r="Q23" s="186"/>
      <c r="R23" s="187" t="str">
        <f>IF(Access_Data!$K55&lt;&gt;0,IF(RIGHT($P23,3)="Low",Access_Data!$L55,IF(RIGHT($P23,4)="High",Access_Data!$J55,"")),"")</f>
        <v/>
      </c>
      <c r="S23" s="188" t="str">
        <f>IF(Access_Data!$M55&lt;&gt;0,Access_Data!$M55,"")</f>
        <v/>
      </c>
      <c r="T23" s="377"/>
      <c r="U23" s="379"/>
      <c r="V23" s="379"/>
      <c r="W23" s="379"/>
      <c r="X23" s="379" t="str">
        <f t="shared" si="0"/>
        <v/>
      </c>
      <c r="Y23" s="379">
        <v>10</v>
      </c>
      <c r="Z23" s="379" t="s">
        <v>403</v>
      </c>
    </row>
    <row r="24" spans="1:26" x14ac:dyDescent="0.2">
      <c r="A24" s="395"/>
      <c r="B24" s="508" t="s">
        <v>592</v>
      </c>
      <c r="C24" s="509"/>
      <c r="D24" s="349">
        <v>1</v>
      </c>
      <c r="E24" s="376"/>
      <c r="F24" s="204" t="s">
        <v>119</v>
      </c>
      <c r="G24" s="631"/>
      <c r="H24" s="632"/>
      <c r="I24" s="632"/>
      <c r="J24" s="632"/>
      <c r="K24" s="633"/>
      <c r="L24" s="377"/>
      <c r="M24" s="376"/>
      <c r="N24" s="182">
        <v>20</v>
      </c>
      <c r="O24" s="184"/>
      <c r="P24" s="185" t="str">
        <f>IF(Access_Data!$K56=0,"",Access_Data!$K56)</f>
        <v/>
      </c>
      <c r="Q24" s="189"/>
      <c r="R24" s="187" t="str">
        <f>IF(Access_Data!$K56&lt;&gt;0,IF(RIGHT($P24,3)="Low",Access_Data!$L56,IF(RIGHT($P24,4)="High",Access_Data!$J56,"")),"")</f>
        <v/>
      </c>
      <c r="S24" s="188" t="str">
        <f>IF(Access_Data!$M56&lt;&gt;0,Access_Data!$M56,"")</f>
        <v/>
      </c>
      <c r="T24" s="377"/>
      <c r="U24" s="379"/>
      <c r="V24" s="379"/>
      <c r="W24" s="379"/>
      <c r="X24" s="379" t="str">
        <f t="shared" si="0"/>
        <v/>
      </c>
      <c r="Y24" s="379">
        <v>11</v>
      </c>
      <c r="Z24" s="379" t="s">
        <v>404</v>
      </c>
    </row>
    <row r="25" spans="1:26" x14ac:dyDescent="0.2">
      <c r="A25" s="395"/>
      <c r="B25" s="391"/>
      <c r="C25" s="392"/>
      <c r="D25" s="400"/>
      <c r="E25" s="376"/>
      <c r="F25" s="204" t="s">
        <v>120</v>
      </c>
      <c r="G25" s="631"/>
      <c r="H25" s="632"/>
      <c r="I25" s="632"/>
      <c r="J25" s="632"/>
      <c r="K25" s="633"/>
      <c r="L25" s="377"/>
      <c r="M25" s="376"/>
      <c r="N25" s="182">
        <v>21</v>
      </c>
      <c r="O25" s="184"/>
      <c r="P25" s="185" t="str">
        <f>IF(Access_Data!$K57=0,"",Access_Data!$K57)</f>
        <v/>
      </c>
      <c r="Q25" s="186"/>
      <c r="R25" s="187" t="str">
        <f>IF(Access_Data!$K57&lt;&gt;0,IF(RIGHT($P25,3)="Low",Access_Data!$L57,IF(RIGHT($P25,4)="High",Access_Data!$J57,"")),"")</f>
        <v/>
      </c>
      <c r="S25" s="188" t="str">
        <f>IF(Access_Data!$M57&lt;&gt;0,Access_Data!$M57,"")</f>
        <v/>
      </c>
      <c r="T25" s="377"/>
      <c r="U25" s="379"/>
      <c r="V25" s="379"/>
      <c r="W25" s="379"/>
      <c r="X25" s="379" t="str">
        <f t="shared" si="0"/>
        <v/>
      </c>
      <c r="Y25" s="379">
        <v>12</v>
      </c>
      <c r="Z25" s="379" t="s">
        <v>405</v>
      </c>
    </row>
    <row r="26" spans="1:26" x14ac:dyDescent="0.2">
      <c r="A26" s="395"/>
      <c r="B26" s="197"/>
      <c r="C26" s="198" t="s">
        <v>76</v>
      </c>
      <c r="D26" s="360"/>
      <c r="E26" s="378" t="str">
        <f>TEXT(D26,"hh:mm")</f>
        <v>00:00</v>
      </c>
      <c r="F26" s="377"/>
      <c r="G26" s="377"/>
      <c r="H26" s="377"/>
      <c r="I26" s="377"/>
      <c r="J26" s="377"/>
      <c r="K26" s="377"/>
      <c r="L26" s="377"/>
      <c r="M26" s="376"/>
      <c r="N26" s="182">
        <v>22</v>
      </c>
      <c r="O26" s="184"/>
      <c r="P26" s="185" t="str">
        <f>IF(Access_Data!$K58=0,"",Access_Data!$K58)</f>
        <v/>
      </c>
      <c r="Q26" s="189"/>
      <c r="R26" s="187" t="str">
        <f>IF(Access_Data!$K58&lt;&gt;0,IF(RIGHT($P26,3)="Low",Access_Data!$L58,IF(RIGHT($P26,4)="High",Access_Data!$J58,"")),"")</f>
        <v/>
      </c>
      <c r="S26" s="188" t="str">
        <f>IF(Access_Data!$M58&lt;&gt;0,Access_Data!$M58,"")</f>
        <v/>
      </c>
      <c r="T26" s="377"/>
      <c r="U26" s="379"/>
      <c r="V26" s="379"/>
      <c r="W26" s="379"/>
      <c r="X26" s="379" t="str">
        <f t="shared" si="0"/>
        <v/>
      </c>
      <c r="Y26" s="379">
        <v>13</v>
      </c>
      <c r="Z26" s="379" t="s">
        <v>406</v>
      </c>
    </row>
    <row r="27" spans="1:26" x14ac:dyDescent="0.2">
      <c r="A27" s="395"/>
      <c r="B27" s="205">
        <v>10</v>
      </c>
      <c r="C27" s="180" t="s">
        <v>77</v>
      </c>
      <c r="D27" s="360"/>
      <c r="E27" s="378"/>
      <c r="F27" s="294" t="s">
        <v>301</v>
      </c>
      <c r="G27" s="293" t="str">
        <f>G28</f>
        <v/>
      </c>
      <c r="H27" s="522" t="str">
        <f>IF(ISBLANK(D6),"",IF(CheckRec="x","CHECK INSTRUMENT CAL DATES!!!!             CHECK INSTRUMENT CAL DATES!!!!",""))</f>
        <v/>
      </c>
      <c r="I27" s="523"/>
      <c r="J27" s="523"/>
      <c r="K27" s="523"/>
      <c r="L27" s="377"/>
      <c r="M27" s="376"/>
      <c r="N27" s="182">
        <v>23</v>
      </c>
      <c r="O27" s="184"/>
      <c r="P27" s="185" t="str">
        <f>IF(Access_Data!$K59=0,"",Access_Data!$K59)</f>
        <v/>
      </c>
      <c r="Q27" s="186"/>
      <c r="R27" s="187" t="str">
        <f>IF(Access_Data!$K59&lt;&gt;0,IF(RIGHT($P27,3)="Low",Access_Data!$L59,IF(RIGHT($P27,4)="High",Access_Data!$J59,"")),"")</f>
        <v/>
      </c>
      <c r="S27" s="188" t="str">
        <f>IF(Access_Data!$M59&lt;&gt;0,Access_Data!$M59,"")</f>
        <v/>
      </c>
      <c r="T27" s="377"/>
      <c r="U27" s="379"/>
      <c r="V27" s="379"/>
      <c r="W27" s="379"/>
      <c r="X27" s="379" t="str">
        <f t="shared" si="0"/>
        <v/>
      </c>
      <c r="Y27" s="379">
        <v>14</v>
      </c>
      <c r="Z27" s="379" t="s">
        <v>407</v>
      </c>
    </row>
    <row r="28" spans="1:26" x14ac:dyDescent="0.2">
      <c r="A28" s="395"/>
      <c r="B28" s="206">
        <v>30</v>
      </c>
      <c r="C28" s="201" t="s">
        <v>78</v>
      </c>
      <c r="D28" s="360"/>
      <c r="E28" s="378"/>
      <c r="F28" s="294" t="s">
        <v>302</v>
      </c>
      <c r="G28" s="293" t="str">
        <f>IF(CheckRec="y","Cal by Customer",IF(D$3,D$3,""))</f>
        <v/>
      </c>
      <c r="H28" s="522"/>
      <c r="I28" s="523"/>
      <c r="J28" s="523"/>
      <c r="K28" s="523"/>
      <c r="L28" s="377"/>
      <c r="M28" s="376"/>
      <c r="N28" s="182">
        <v>24</v>
      </c>
      <c r="O28" s="184"/>
      <c r="P28" s="185" t="str">
        <f>IF(Access_Data!$K60=0,"",Access_Data!$K60)</f>
        <v/>
      </c>
      <c r="Q28" s="189"/>
      <c r="R28" s="187" t="str">
        <f>IF(Access_Data!$K60&lt;&gt;0,IF(RIGHT($P28,3)="Low",Access_Data!$L60,IF(RIGHT($P28,4)="High",Access_Data!$J60,"")),"")</f>
        <v/>
      </c>
      <c r="S28" s="188" t="str">
        <f>IF(Access_Data!$M60&lt;&gt;0,Access_Data!$M60,"")</f>
        <v/>
      </c>
      <c r="T28" s="377"/>
      <c r="U28" s="379"/>
      <c r="V28" s="379"/>
      <c r="W28" s="379"/>
      <c r="X28" s="379" t="str">
        <f t="shared" si="0"/>
        <v/>
      </c>
      <c r="Y28" s="379"/>
      <c r="Z28" s="379"/>
    </row>
    <row r="29" spans="1:26" x14ac:dyDescent="0.2">
      <c r="A29" s="395"/>
      <c r="B29" s="205">
        <v>40</v>
      </c>
      <c r="C29" s="180" t="s">
        <v>94</v>
      </c>
      <c r="D29" s="207" t="str">
        <f>(IF(OR(D27="",D28=""),"",IF(ISBLANK(D27),"",D28-D27)))</f>
        <v/>
      </c>
      <c r="E29" s="407" t="str">
        <f>IFERROR(IF(D29=0,"&lt;2",ROUND(IF(LEN(D29)&gt;3,D29*1440,TEXT(D29,"hh:mm")),0)) &amp;" MINUTES","")</f>
        <v/>
      </c>
      <c r="F29" s="380" t="s">
        <v>303</v>
      </c>
      <c r="G29" s="377"/>
      <c r="H29" s="377"/>
      <c r="I29" s="377"/>
      <c r="J29" s="377"/>
      <c r="K29" s="377"/>
      <c r="L29" s="377"/>
      <c r="M29" s="376"/>
      <c r="N29" s="182">
        <v>25</v>
      </c>
      <c r="O29" s="184"/>
      <c r="P29" s="185" t="str">
        <f>IF(Access_Data!$K61=0,"",Access_Data!$K61)</f>
        <v/>
      </c>
      <c r="Q29" s="186"/>
      <c r="R29" s="187" t="str">
        <f>IF(Access_Data!$K61&lt;&gt;0,IF(RIGHT($P29,3)="Low",Access_Data!$L61,IF(RIGHT($P29,4)="High",Access_Data!$J61,"")),"")</f>
        <v/>
      </c>
      <c r="S29" s="188" t="str">
        <f>IF(Access_Data!$M61&lt;&gt;0,Access_Data!$M61,"")</f>
        <v/>
      </c>
      <c r="T29" s="377"/>
      <c r="U29" s="379"/>
      <c r="V29" s="379"/>
      <c r="W29" s="379"/>
      <c r="X29" s="379" t="str">
        <f t="shared" si="0"/>
        <v/>
      </c>
      <c r="Y29" s="379">
        <v>10</v>
      </c>
      <c r="Z29" s="379" t="s">
        <v>409</v>
      </c>
    </row>
    <row r="30" spans="1:26" x14ac:dyDescent="0.2">
      <c r="A30" s="395"/>
      <c r="B30" s="301">
        <v>45</v>
      </c>
      <c r="C30" s="201" t="s">
        <v>79</v>
      </c>
      <c r="D30" s="474"/>
      <c r="E30" s="408" t="str">
        <f>IF(ISBLANK(D30), "", TEXT(D30, "H:mm"))</f>
        <v/>
      </c>
      <c r="F30" s="376"/>
      <c r="G30" s="379">
        <f>IF(D29="",0,D29)</f>
        <v>0</v>
      </c>
      <c r="H30" s="409">
        <f>D28-D26</f>
        <v>0</v>
      </c>
      <c r="I30" s="377"/>
      <c r="J30" s="377"/>
      <c r="K30" s="377"/>
      <c r="L30" s="410"/>
      <c r="M30" s="376"/>
      <c r="N30" s="182">
        <v>26</v>
      </c>
      <c r="O30" s="184"/>
      <c r="P30" s="185" t="str">
        <f>IF(Access_Data!$K62=0,"",Access_Data!$K62)</f>
        <v/>
      </c>
      <c r="Q30" s="189"/>
      <c r="R30" s="187" t="str">
        <f>IF(Access_Data!$K62&lt;&gt;0,IF(RIGHT($P30,3)="Low",Access_Data!$L62,IF(RIGHT($P30,4)="High",Access_Data!$J62,"")),"")</f>
        <v/>
      </c>
      <c r="S30" s="188" t="str">
        <f>IF(Access_Data!$M62&lt;&gt;0,Access_Data!$M62,"")</f>
        <v/>
      </c>
      <c r="T30" s="377"/>
      <c r="U30" s="379" t="b">
        <v>0</v>
      </c>
      <c r="V30" s="379"/>
      <c r="W30" s="379"/>
      <c r="X30" s="379" t="str">
        <f t="shared" si="0"/>
        <v/>
      </c>
      <c r="Y30" s="379">
        <v>11</v>
      </c>
      <c r="Z30" s="379" t="s">
        <v>410</v>
      </c>
    </row>
    <row r="31" spans="1:26" x14ac:dyDescent="0.2">
      <c r="A31" s="395"/>
      <c r="B31" s="179"/>
      <c r="C31" s="180" t="s">
        <v>68</v>
      </c>
      <c r="D31" s="331">
        <f>D30+TIME(0,D32,0)</f>
        <v>0</v>
      </c>
      <c r="E31" s="376"/>
      <c r="F31" s="411" t="str">
        <f>IF(AND(LagLimit&gt;0,G30&gt;LagLimit),"LAG TIME TOO HIGH!!!","")</f>
        <v/>
      </c>
      <c r="G31" s="377"/>
      <c r="H31" s="412" t="str">
        <f>IF(AND(RecoveryLimit&gt;0,H30&gt;RecoveryLimit),"RECOVERY TIME TOO HIGH!!!!","")</f>
        <v/>
      </c>
      <c r="I31" s="377"/>
      <c r="J31" s="377"/>
      <c r="K31" s="377"/>
      <c r="L31" s="413"/>
      <c r="M31" s="413"/>
      <c r="N31" s="182">
        <v>27</v>
      </c>
      <c r="O31" s="184"/>
      <c r="P31" s="185" t="str">
        <f>IF(Access_Data!$K63=0,"",Access_Data!$K63)</f>
        <v/>
      </c>
      <c r="Q31" s="186"/>
      <c r="R31" s="187" t="str">
        <f>IF(Access_Data!$K63&lt;&gt;0,IF(RIGHT($P31,3)="Low",Access_Data!$L63,IF(RIGHT($P31,4)="High",Access_Data!$J63,"")),"")</f>
        <v/>
      </c>
      <c r="S31" s="188" t="str">
        <f>IF(Access_Data!$M63&lt;&gt;0,Access_Data!$M63,"")</f>
        <v/>
      </c>
      <c r="T31" s="377"/>
      <c r="U31" s="379"/>
      <c r="V31" s="379"/>
      <c r="W31" s="379"/>
      <c r="X31" s="379" t="str">
        <f t="shared" si="0"/>
        <v/>
      </c>
      <c r="Y31" s="379">
        <v>12</v>
      </c>
      <c r="Z31" s="379" t="s">
        <v>411</v>
      </c>
    </row>
    <row r="32" spans="1:26" x14ac:dyDescent="0.2">
      <c r="A32" s="405"/>
      <c r="B32" s="208"/>
      <c r="C32" s="209" t="s">
        <v>102</v>
      </c>
      <c r="D32" s="350"/>
      <c r="E32" s="376"/>
      <c r="F32" s="377" t="str">
        <f>IF(COUNTIF(Comparison_Report!R1:R8, 1) &gt; 0, "CHECK COMPARISON REPORT!!!", "")</f>
        <v/>
      </c>
      <c r="G32" s="377"/>
      <c r="H32" s="377"/>
      <c r="I32" s="377"/>
      <c r="J32" s="377"/>
      <c r="K32" s="377"/>
      <c r="L32" s="377"/>
      <c r="M32" s="376"/>
      <c r="N32" s="182">
        <v>28</v>
      </c>
      <c r="O32" s="184"/>
      <c r="P32" s="185" t="str">
        <f>IF(Access_Data!$K64=0,"",Access_Data!$K64)</f>
        <v/>
      </c>
      <c r="Q32" s="189"/>
      <c r="R32" s="187" t="str">
        <f>IF(Access_Data!$K64&lt;&gt;0,IF(RIGHT($P32,3)="Low",Access_Data!$L64,IF(RIGHT($P32,4)="High",Access_Data!$J64,"")),"")</f>
        <v/>
      </c>
      <c r="S32" s="188" t="str">
        <f>IF(Access_Data!$M64&lt;&gt;0,Access_Data!$M64,"")</f>
        <v/>
      </c>
      <c r="T32" s="377"/>
      <c r="U32" s="379"/>
      <c r="V32" s="379"/>
      <c r="W32" s="379"/>
      <c r="X32" s="379" t="str">
        <f t="shared" si="0"/>
        <v/>
      </c>
      <c r="Y32" s="379"/>
      <c r="Z32" s="379"/>
    </row>
    <row r="33" spans="1:26" x14ac:dyDescent="0.2">
      <c r="A33" s="395"/>
      <c r="B33" s="391"/>
      <c r="C33" s="414"/>
      <c r="D33" s="415"/>
      <c r="E33" s="415"/>
      <c r="F33" s="377"/>
      <c r="G33" s="377"/>
      <c r="H33" s="377"/>
      <c r="I33" s="377"/>
      <c r="J33" s="377"/>
      <c r="K33" s="377"/>
      <c r="L33" s="377"/>
      <c r="M33" s="376"/>
      <c r="N33" s="182">
        <v>29</v>
      </c>
      <c r="O33" s="184"/>
      <c r="P33" s="185" t="str">
        <f>IF(Access_Data!$K65=0,"",Access_Data!$K65)</f>
        <v/>
      </c>
      <c r="Q33" s="186"/>
      <c r="R33" s="187" t="str">
        <f>IF(Access_Data!$K65&lt;&gt;0,IF(RIGHT($P33,3)="Low",Access_Data!$L65,IF(RIGHT($P33,4)="High",Access_Data!$J65,"")),"")</f>
        <v/>
      </c>
      <c r="S33" s="188" t="str">
        <f>IF(Access_Data!$M65&lt;&gt;0,Access_Data!$M65,"")</f>
        <v/>
      </c>
      <c r="T33" s="377"/>
      <c r="U33" s="379"/>
      <c r="V33" s="379"/>
      <c r="W33" s="379"/>
      <c r="X33" s="379" t="str">
        <f t="shared" si="0"/>
        <v/>
      </c>
      <c r="Y33" s="379"/>
      <c r="Z33" s="379"/>
    </row>
    <row r="34" spans="1:26" ht="12.75" customHeight="1" x14ac:dyDescent="0.2">
      <c r="A34" s="395"/>
      <c r="B34" s="495" t="s">
        <v>61</v>
      </c>
      <c r="C34" s="496"/>
      <c r="D34" s="496"/>
      <c r="E34" s="496"/>
      <c r="F34" s="496"/>
      <c r="G34" s="496"/>
      <c r="H34" s="496"/>
      <c r="I34" s="496"/>
      <c r="J34" s="496"/>
      <c r="K34" s="496"/>
      <c r="L34" s="497"/>
      <c r="M34" s="376"/>
      <c r="N34" s="182">
        <v>30</v>
      </c>
      <c r="O34" s="184"/>
      <c r="P34" s="185" t="str">
        <f>IF(Access_Data!$K66=0,"",Access_Data!$K66)</f>
        <v/>
      </c>
      <c r="Q34" s="189"/>
      <c r="R34" s="187" t="str">
        <f>IF(Access_Data!$K66&lt;&gt;0,IF(RIGHT($P34,3)="Low",Access_Data!$L66,IF(RIGHT($P34,4)="High",Access_Data!$J66,"")),"")</f>
        <v/>
      </c>
      <c r="S34" s="188" t="str">
        <f>IF(Access_Data!$M66&lt;&gt;0,Access_Data!$M66,"")</f>
        <v/>
      </c>
      <c r="T34" s="378"/>
      <c r="U34" s="379"/>
      <c r="V34" s="379"/>
      <c r="W34" s="379"/>
      <c r="X34" s="379" t="str">
        <f t="shared" si="0"/>
        <v/>
      </c>
      <c r="Y34" s="379"/>
      <c r="Z34" s="379"/>
    </row>
    <row r="35" spans="1:26" ht="12.75" customHeight="1" x14ac:dyDescent="0.2">
      <c r="A35" s="395"/>
      <c r="B35" s="210"/>
      <c r="C35" s="211"/>
      <c r="D35" s="212" t="str">
        <f>IF($D$30,D30,"")</f>
        <v/>
      </c>
      <c r="E35" s="213" t="str">
        <f>IF($D$30,IF($D$18=4,D35+TIME(0,4,0),D35+TIME(0,10,0)),"")</f>
        <v/>
      </c>
      <c r="F35" s="213" t="str">
        <f>IF($D$30,IF($D$18=4,E35+TIME(0,4,0),E35+TIME(0,10,0)),"")</f>
        <v/>
      </c>
      <c r="G35" s="213" t="str">
        <f>IF($D$30,IF($D$18=4,F35+TIME(0,4,0),F35+TIME(0,10,0)),"")</f>
        <v/>
      </c>
      <c r="H35" s="213" t="str">
        <f>IF($D$30,IF($D$18=4,G35+TIME(0,4,0),""),"")</f>
        <v/>
      </c>
      <c r="I35" s="213" t="str">
        <f>IF($D$30,IF($D$18=4,H35+TIME(0,4,0),""),"")</f>
        <v/>
      </c>
      <c r="J35" s="213" t="str">
        <f>IF($D$30,IF($D$18=4,I35+TIME(0,4,0),""),"")</f>
        <v/>
      </c>
      <c r="K35" s="213" t="str">
        <f>IF($D$30,IF($D$18=4,J35+TIME(0,4,0),""),"")</f>
        <v/>
      </c>
      <c r="L35" s="213" t="str">
        <f>IF($D$30,IF($D$18=4,K35+TIME(0,2,0),""),"")</f>
        <v/>
      </c>
      <c r="M35" s="376"/>
      <c r="N35" s="182">
        <v>31</v>
      </c>
      <c r="O35" s="184"/>
      <c r="P35" s="185" t="str">
        <f>IF(Access_Data!$K67=0,"",Access_Data!$K67)</f>
        <v/>
      </c>
      <c r="Q35" s="186"/>
      <c r="R35" s="187" t="str">
        <f>IF(Access_Data!$K67&lt;&gt;0,IF(RIGHT($P35,3)="Low",Access_Data!$L67,IF(RIGHT($P35,4)="High",Access_Data!$J67,"")),"")</f>
        <v/>
      </c>
      <c r="S35" s="188" t="str">
        <f>IF(Access_Data!$M67&lt;&gt;0,Access_Data!$M67,"")</f>
        <v/>
      </c>
      <c r="T35" s="378"/>
      <c r="U35" s="379"/>
      <c r="V35" s="379"/>
      <c r="W35" s="379"/>
      <c r="X35" s="379" t="str">
        <f t="shared" si="0"/>
        <v/>
      </c>
      <c r="Y35" s="379"/>
      <c r="Z35" s="379"/>
    </row>
    <row r="36" spans="1:26" ht="13.5" thickBot="1" x14ac:dyDescent="0.25">
      <c r="A36" s="416"/>
      <c r="B36" s="214" t="s">
        <v>24</v>
      </c>
      <c r="C36" s="215" t="s">
        <v>60</v>
      </c>
      <c r="D36" s="216" t="s">
        <v>55</v>
      </c>
      <c r="E36" s="216" t="s">
        <v>56</v>
      </c>
      <c r="F36" s="216" t="s">
        <v>57</v>
      </c>
      <c r="G36" s="216" t="s">
        <v>58</v>
      </c>
      <c r="H36" s="216" t="str">
        <f>IF(D18=4,"Reading 5","")</f>
        <v/>
      </c>
      <c r="I36" s="216" t="str">
        <f>IF(D18=4,"Reading 6","")</f>
        <v/>
      </c>
      <c r="J36" s="216" t="str">
        <f>IF(D18=4,"Reading 7","")</f>
        <v/>
      </c>
      <c r="K36" s="216" t="str">
        <f>IF(D18=4,"Reading 8","")</f>
        <v/>
      </c>
      <c r="L36" s="216" t="str">
        <f>IF(D18=4,"Reading 9","")</f>
        <v/>
      </c>
      <c r="M36" s="376"/>
      <c r="N36" s="182">
        <v>32</v>
      </c>
      <c r="O36" s="184"/>
      <c r="P36" s="185" t="str">
        <f>IF(Access_Data!$K68=0,"",Access_Data!$K68)</f>
        <v/>
      </c>
      <c r="Q36" s="189"/>
      <c r="R36" s="187" t="str">
        <f>IF(Access_Data!$K68&lt;&gt;0,IF(RIGHT($P36,3)="Low",Access_Data!$L68,IF(RIGHT($P36,4)="High",Access_Data!$J68,"")),"")</f>
        <v/>
      </c>
      <c r="S36" s="188" t="str">
        <f>IF(Access_Data!$M68&lt;&gt;0,Access_Data!$M68,"")</f>
        <v/>
      </c>
      <c r="T36" s="378"/>
      <c r="U36" s="379"/>
      <c r="V36" s="379"/>
      <c r="W36" s="379"/>
      <c r="X36" s="379" t="str">
        <f t="shared" si="0"/>
        <v/>
      </c>
      <c r="Y36" s="379"/>
      <c r="Z36" s="379"/>
    </row>
    <row r="37" spans="1:26" x14ac:dyDescent="0.2">
      <c r="A37" s="395"/>
      <c r="B37" s="244"/>
      <c r="C37" s="235"/>
      <c r="D37" s="245"/>
      <c r="E37" s="245"/>
      <c r="F37" s="245"/>
      <c r="G37" s="245"/>
      <c r="H37" s="245"/>
      <c r="I37" s="217"/>
      <c r="J37" s="217"/>
      <c r="K37" s="217"/>
      <c r="L37" s="217"/>
      <c r="M37" s="376"/>
      <c r="N37" s="182">
        <v>33</v>
      </c>
      <c r="O37" s="184"/>
      <c r="P37" s="185" t="str">
        <f>IF(Access_Data!$K69=0,"",Access_Data!$K69)</f>
        <v/>
      </c>
      <c r="Q37" s="186"/>
      <c r="R37" s="187" t="str">
        <f>IF(Access_Data!$K69&lt;&gt;0,IF(RIGHT($P37,3)="Low",Access_Data!$L69,IF(RIGHT($P37,4)="High",Access_Data!$J69,"")),"")</f>
        <v/>
      </c>
      <c r="S37" s="188" t="str">
        <f>IF(Access_Data!$M69&lt;&gt;0,Access_Data!$M69,"")</f>
        <v/>
      </c>
      <c r="T37" s="378"/>
      <c r="U37" s="379"/>
      <c r="V37" s="379"/>
      <c r="W37" s="379"/>
      <c r="X37" s="379" t="str">
        <f t="shared" si="0"/>
        <v/>
      </c>
      <c r="Y37" s="379"/>
      <c r="Z37" s="379"/>
    </row>
    <row r="38" spans="1:26" x14ac:dyDescent="0.2">
      <c r="A38" s="395"/>
      <c r="B38" s="246"/>
      <c r="C38" s="236"/>
      <c r="D38" s="245"/>
      <c r="E38" s="245"/>
      <c r="F38" s="245"/>
      <c r="G38" s="245"/>
      <c r="H38" s="245"/>
      <c r="I38" s="217"/>
      <c r="J38" s="217"/>
      <c r="K38" s="217"/>
      <c r="L38" s="217"/>
      <c r="M38" s="376"/>
      <c r="N38" s="182">
        <v>34</v>
      </c>
      <c r="O38" s="184"/>
      <c r="P38" s="185" t="str">
        <f>IF(Access_Data!$K70=0,"",Access_Data!$K70)</f>
        <v/>
      </c>
      <c r="Q38" s="189"/>
      <c r="R38" s="187" t="str">
        <f>IF(Access_Data!$K70&lt;&gt;0,IF(RIGHT($P38,3)="Low",Access_Data!$L70,IF(RIGHT($P38,4)="High",Access_Data!$J70,"")),"")</f>
        <v/>
      </c>
      <c r="S38" s="188" t="str">
        <f>IF(Access_Data!$M70&lt;&gt;0,Access_Data!$M70,"")</f>
        <v/>
      </c>
      <c r="T38" s="378"/>
      <c r="U38" s="379"/>
      <c r="V38" s="379"/>
      <c r="W38" s="379"/>
      <c r="X38" s="379" t="str">
        <f t="shared" si="0"/>
        <v/>
      </c>
      <c r="Y38" s="379"/>
      <c r="Z38" s="379"/>
    </row>
    <row r="39" spans="1:26" x14ac:dyDescent="0.2">
      <c r="A39" s="395"/>
      <c r="B39" s="246"/>
      <c r="C39" s="236"/>
      <c r="D39" s="245"/>
      <c r="E39" s="245"/>
      <c r="F39" s="245"/>
      <c r="G39" s="245"/>
      <c r="H39" s="217"/>
      <c r="I39" s="217"/>
      <c r="J39" s="217"/>
      <c r="K39" s="217"/>
      <c r="L39" s="217"/>
      <c r="M39" s="376"/>
      <c r="N39" s="182">
        <v>35</v>
      </c>
      <c r="O39" s="184"/>
      <c r="P39" s="185" t="str">
        <f>IF(Access_Data!$K71=0,"",Access_Data!$K71)</f>
        <v/>
      </c>
      <c r="Q39" s="186"/>
      <c r="R39" s="187" t="str">
        <f>IF(Access_Data!$K71&lt;&gt;0,IF(RIGHT($P39,3)="Low",Access_Data!$L71,IF(RIGHT($P39,4)="High",Access_Data!$J71,"")),"")</f>
        <v/>
      </c>
      <c r="S39" s="188" t="str">
        <f>IF(Access_Data!$M71&lt;&gt;0,Access_Data!$M71,"")</f>
        <v/>
      </c>
      <c r="T39" s="378"/>
      <c r="U39" s="379"/>
      <c r="V39" s="379"/>
      <c r="W39" s="379"/>
      <c r="X39" s="379" t="str">
        <f t="shared" si="0"/>
        <v/>
      </c>
      <c r="Y39" s="379"/>
      <c r="Z39" s="379"/>
    </row>
    <row r="40" spans="1:26" x14ac:dyDescent="0.2">
      <c r="A40" s="395"/>
      <c r="B40" s="246"/>
      <c r="C40" s="236"/>
      <c r="D40" s="245"/>
      <c r="E40" s="245"/>
      <c r="F40" s="245"/>
      <c r="G40" s="245"/>
      <c r="H40" s="217"/>
      <c r="I40" s="217"/>
      <c r="J40" s="217"/>
      <c r="K40" s="217"/>
      <c r="L40" s="217"/>
      <c r="M40" s="376"/>
      <c r="N40" s="182">
        <v>36</v>
      </c>
      <c r="O40" s="184"/>
      <c r="P40" s="185" t="str">
        <f>IF(Access_Data!$K72=0,"",Access_Data!$K72)</f>
        <v/>
      </c>
      <c r="Q40" s="189"/>
      <c r="R40" s="187" t="str">
        <f>IF(Access_Data!$K72&lt;&gt;0,IF(RIGHT($P40,3)="Low",Access_Data!$L72,IF(RIGHT($P40,4)="High",Access_Data!$J72,"")),"")</f>
        <v/>
      </c>
      <c r="S40" s="188" t="str">
        <f>IF(Access_Data!$M72&lt;&gt;0,Access_Data!$M72,"")</f>
        <v/>
      </c>
      <c r="T40" s="378"/>
      <c r="U40" s="379"/>
      <c r="V40" s="379"/>
      <c r="W40" s="379"/>
      <c r="X40" s="379" t="str">
        <f t="shared" si="0"/>
        <v/>
      </c>
      <c r="Y40" s="379"/>
      <c r="Z40" s="379"/>
    </row>
    <row r="41" spans="1:26" x14ac:dyDescent="0.2">
      <c r="A41" s="395"/>
      <c r="B41" s="218"/>
      <c r="C41" s="219"/>
      <c r="D41" s="220"/>
      <c r="E41" s="220"/>
      <c r="F41" s="220"/>
      <c r="G41" s="220"/>
      <c r="H41" s="220"/>
      <c r="I41" s="220"/>
      <c r="J41" s="220"/>
      <c r="K41" s="220"/>
      <c r="L41" s="220"/>
      <c r="M41" s="376"/>
      <c r="N41" s="182">
        <v>37</v>
      </c>
      <c r="O41" s="184"/>
      <c r="P41" s="185" t="str">
        <f>IF(Access_Data!$K73=0,"",Access_Data!$K73)</f>
        <v/>
      </c>
      <c r="Q41" s="186"/>
      <c r="R41" s="187" t="str">
        <f>IF(Access_Data!$K73&lt;&gt;0,IF(RIGHT($P41,3)="Low",Access_Data!$L73,IF(RIGHT($P41,4)="High",Access_Data!$J73,"")),"")</f>
        <v/>
      </c>
      <c r="S41" s="188" t="str">
        <f>IF(Access_Data!$M73&lt;&gt;0,Access_Data!$M73,"")</f>
        <v/>
      </c>
      <c r="T41" s="378"/>
      <c r="U41" s="379"/>
      <c r="V41" s="379"/>
      <c r="W41" s="379"/>
      <c r="X41" s="379" t="str">
        <f t="shared" si="0"/>
        <v/>
      </c>
      <c r="Y41" s="379"/>
      <c r="Z41" s="379"/>
    </row>
    <row r="42" spans="1:26" x14ac:dyDescent="0.2">
      <c r="A42" s="395"/>
      <c r="B42" s="218"/>
      <c r="C42" s="219"/>
      <c r="D42" s="220"/>
      <c r="E42" s="220"/>
      <c r="F42" s="220"/>
      <c r="G42" s="220"/>
      <c r="H42" s="220"/>
      <c r="I42" s="220"/>
      <c r="J42" s="220"/>
      <c r="K42" s="220"/>
      <c r="L42" s="220"/>
      <c r="M42" s="376"/>
      <c r="N42" s="182">
        <v>38</v>
      </c>
      <c r="O42" s="184"/>
      <c r="P42" s="185" t="str">
        <f>IF(Access_Data!$K74=0,"",Access_Data!$K74)</f>
        <v/>
      </c>
      <c r="Q42" s="189"/>
      <c r="R42" s="187" t="str">
        <f>IF(Access_Data!$K74&lt;&gt;0,IF(RIGHT($P42,3)="Low",Access_Data!$L74,IF(RIGHT($P42,4)="High",Access_Data!$J74,"")),"")</f>
        <v/>
      </c>
      <c r="S42" s="188" t="str">
        <f>IF(Access_Data!$M74&lt;&gt;0,Access_Data!$M74,"")</f>
        <v/>
      </c>
      <c r="T42" s="378"/>
      <c r="U42" s="379"/>
      <c r="V42" s="379"/>
      <c r="W42" s="379"/>
      <c r="X42" s="379" t="str">
        <f t="shared" si="0"/>
        <v/>
      </c>
      <c r="Y42" s="379"/>
      <c r="Z42" s="379"/>
    </row>
    <row r="43" spans="1:26" x14ac:dyDescent="0.2">
      <c r="A43" s="395"/>
      <c r="B43" s="218"/>
      <c r="C43" s="219"/>
      <c r="D43" s="220"/>
      <c r="E43" s="220"/>
      <c r="F43" s="220"/>
      <c r="G43" s="220"/>
      <c r="H43" s="220"/>
      <c r="I43" s="220"/>
      <c r="J43" s="220"/>
      <c r="K43" s="220"/>
      <c r="L43" s="220"/>
      <c r="M43" s="376"/>
      <c r="N43" s="182">
        <v>39</v>
      </c>
      <c r="O43" s="184"/>
      <c r="P43" s="185" t="str">
        <f>IF(Access_Data!$K75=0,"",Access_Data!$K75)</f>
        <v/>
      </c>
      <c r="Q43" s="186"/>
      <c r="R43" s="187" t="str">
        <f>IF(Access_Data!$K75&lt;&gt;0,IF(RIGHT($P43,3)="Low",Access_Data!$L75,IF(RIGHT($P43,4)="High",Access_Data!$J75,"")),"")</f>
        <v/>
      </c>
      <c r="S43" s="188" t="str">
        <f>IF(Access_Data!$M75&lt;&gt;0,Access_Data!$M75,"")</f>
        <v/>
      </c>
      <c r="T43" s="378"/>
      <c r="U43" s="379"/>
      <c r="V43" s="379"/>
      <c r="W43" s="379"/>
      <c r="X43" s="379" t="str">
        <f t="shared" si="0"/>
        <v/>
      </c>
      <c r="Y43" s="379"/>
      <c r="Z43" s="379"/>
    </row>
    <row r="44" spans="1:26" x14ac:dyDescent="0.2">
      <c r="A44" s="395"/>
      <c r="B44" s="218"/>
      <c r="C44" s="219"/>
      <c r="D44" s="220"/>
      <c r="E44" s="220"/>
      <c r="F44" s="220"/>
      <c r="G44" s="220"/>
      <c r="H44" s="220"/>
      <c r="I44" s="220"/>
      <c r="J44" s="220"/>
      <c r="K44" s="220"/>
      <c r="L44" s="220"/>
      <c r="M44" s="376"/>
      <c r="N44" s="182">
        <v>40</v>
      </c>
      <c r="O44" s="184"/>
      <c r="P44" s="185" t="str">
        <f>IF(Access_Data!$K76=0,"",Access_Data!$K76)</f>
        <v/>
      </c>
      <c r="Q44" s="189"/>
      <c r="R44" s="187" t="str">
        <f>IF(Access_Data!$K76&lt;&gt;0,IF(RIGHT($P44,3)="Low",Access_Data!$L76,IF(RIGHT($P44,4)="High",Access_Data!$J76,"")),"")</f>
        <v/>
      </c>
      <c r="S44" s="188" t="str">
        <f>IF(Access_Data!$M76&lt;&gt;0,Access_Data!$M76,"")</f>
        <v/>
      </c>
      <c r="T44" s="378"/>
      <c r="U44" s="379"/>
      <c r="V44" s="379"/>
      <c r="W44" s="379"/>
      <c r="X44" s="379" t="str">
        <f t="shared" si="0"/>
        <v/>
      </c>
      <c r="Y44" s="379"/>
      <c r="Z44" s="379"/>
    </row>
    <row r="45" spans="1:26" x14ac:dyDescent="0.2">
      <c r="A45" s="395"/>
      <c r="B45" s="417"/>
      <c r="C45" s="418"/>
      <c r="D45" s="376"/>
      <c r="E45" s="376"/>
      <c r="F45" s="376"/>
      <c r="G45" s="376"/>
      <c r="H45" s="376"/>
      <c r="I45" s="376"/>
      <c r="J45" s="376"/>
      <c r="K45" s="419"/>
      <c r="L45" s="376"/>
      <c r="M45" s="376"/>
      <c r="N45" s="378"/>
      <c r="O45" s="378"/>
      <c r="P45" s="378"/>
      <c r="Q45" s="378"/>
      <c r="R45" s="378"/>
      <c r="S45" s="378"/>
      <c r="T45" s="378"/>
      <c r="U45" s="379"/>
      <c r="V45" s="379"/>
      <c r="W45" s="379"/>
      <c r="X45" s="379" t="str">
        <f>IF(O45,1,"")</f>
        <v/>
      </c>
      <c r="Y45" s="379"/>
      <c r="Z45" s="379"/>
    </row>
    <row r="46" spans="1:26" x14ac:dyDescent="0.2">
      <c r="A46" s="399"/>
      <c r="B46" s="420"/>
      <c r="C46" s="421"/>
      <c r="D46" s="634" t="s">
        <v>45</v>
      </c>
      <c r="E46" s="635"/>
      <c r="F46" s="635"/>
      <c r="G46" s="635"/>
      <c r="H46" s="635"/>
      <c r="I46" s="636"/>
      <c r="J46" s="422"/>
      <c r="K46" s="422"/>
      <c r="L46" s="422"/>
      <c r="M46" s="637" t="s">
        <v>359</v>
      </c>
      <c r="N46" s="638"/>
      <c r="O46" s="639"/>
      <c r="P46" s="640"/>
      <c r="Q46" s="380"/>
      <c r="R46" s="380"/>
      <c r="S46" s="380"/>
      <c r="T46" s="380"/>
      <c r="U46" s="380"/>
    </row>
    <row r="47" spans="1:26" x14ac:dyDescent="0.2">
      <c r="A47" s="399"/>
      <c r="B47" s="420"/>
      <c r="C47" s="656" t="s">
        <v>75</v>
      </c>
      <c r="D47" s="356" t="str">
        <f>IF(D48="","",""""&amp;_xlfn.XLOOKUP(D$48,WireSets[serial_number],WireSets[type],"",0)&amp;"""")</f>
        <v/>
      </c>
      <c r="E47" s="356" t="str">
        <f>IF(E48="","",""""&amp;_xlfn.XLOOKUP(E$48,WireSets[serial_number],WireSets[type],"",0)&amp;"""")</f>
        <v/>
      </c>
      <c r="F47" s="356" t="str">
        <f>IF(F48="","",""""&amp;_xlfn.XLOOKUP(F$48,WireSets[serial_number],WireSets[type],"",0)&amp;"""")</f>
        <v/>
      </c>
      <c r="G47" s="356" t="str">
        <f>IF(G48="","",""""&amp;_xlfn.XLOOKUP(G$48,WireSets[serial_number],WireSets[type],"",0)&amp;"""")</f>
        <v/>
      </c>
      <c r="H47" s="356" t="str">
        <f>IF(H48="","",""""&amp;_xlfn.XLOOKUP(H$48,WireSets[serial_number],WireSets[type],"",0)&amp;"""")</f>
        <v/>
      </c>
      <c r="I47" s="356" t="str">
        <f>IF(I48="","",""""&amp;_xlfn.XLOOKUP(I$48,WireSets[serial_number],WireSets[type],"",0)&amp;"""")</f>
        <v/>
      </c>
      <c r="J47" s="422"/>
      <c r="K47" s="422"/>
      <c r="L47" s="376"/>
      <c r="M47" s="641" t="s">
        <v>360</v>
      </c>
      <c r="N47" s="374" t="s">
        <v>361</v>
      </c>
      <c r="O47" s="423"/>
      <c r="P47" s="521" t="s">
        <v>362</v>
      </c>
      <c r="Q47" s="521"/>
      <c r="R47" s="661" t="s">
        <v>363</v>
      </c>
      <c r="S47" s="380"/>
      <c r="T47" s="380"/>
      <c r="U47" s="380"/>
    </row>
    <row r="48" spans="1:26" x14ac:dyDescent="0.2">
      <c r="A48" s="395"/>
      <c r="B48" s="420"/>
      <c r="C48" s="657" t="s">
        <v>46</v>
      </c>
      <c r="D48" s="357"/>
      <c r="E48" s="357"/>
      <c r="F48" s="357"/>
      <c r="G48" s="357"/>
      <c r="H48" s="357"/>
      <c r="I48" s="357"/>
      <c r="J48" s="422"/>
      <c r="K48" s="422"/>
      <c r="L48" s="422"/>
      <c r="M48" s="642" t="s">
        <v>364</v>
      </c>
      <c r="N48" s="642"/>
      <c r="O48" s="424"/>
      <c r="P48" s="487" t="s">
        <v>420</v>
      </c>
      <c r="Q48" s="488"/>
      <c r="R48" s="489"/>
      <c r="S48" s="425"/>
      <c r="T48" s="381"/>
      <c r="U48" s="487" t="s">
        <v>423</v>
      </c>
      <c r="V48" s="488"/>
      <c r="W48" s="489"/>
    </row>
    <row r="49" spans="1:24" x14ac:dyDescent="0.2">
      <c r="A49" s="395"/>
      <c r="B49" s="426"/>
      <c r="C49" s="656" t="s">
        <v>47</v>
      </c>
      <c r="D49" s="355" t="str">
        <f>_xlfn.XLOOKUP(D$48,WireSets[serial_number],WireSets[service_date],"",0)</f>
        <v/>
      </c>
      <c r="E49" s="355" t="str">
        <f>_xlfn.XLOOKUP(E$48,WireSets[serial_number],WireSets[service_date],"",0)</f>
        <v/>
      </c>
      <c r="F49" s="355" t="str">
        <f>_xlfn.XLOOKUP(F$48,WireSets[serial_number],WireSets[service_date],"",0)</f>
        <v/>
      </c>
      <c r="G49" s="355" t="str">
        <f>_xlfn.XLOOKUP(G$48,WireSets[serial_number],WireSets[service_date],"",0)</f>
        <v/>
      </c>
      <c r="H49" s="355" t="str">
        <f>_xlfn.XLOOKUP(H$48,WireSets[serial_number],WireSets[service_date],"",0)</f>
        <v/>
      </c>
      <c r="I49" s="355" t="str">
        <f>_xlfn.XLOOKUP(I$48,WireSets[serial_number],WireSets[service_date],"",0)</f>
        <v/>
      </c>
      <c r="J49" s="422"/>
      <c r="K49" s="422" t="s">
        <v>914</v>
      </c>
      <c r="L49" s="422"/>
      <c r="M49" s="641" t="s">
        <v>365</v>
      </c>
      <c r="N49" s="373" t="str">
        <f>IF(PB,PB,"")</f>
        <v/>
      </c>
      <c r="O49" s="390"/>
      <c r="P49" s="490" t="s">
        <v>425</v>
      </c>
      <c r="Q49" s="491"/>
      <c r="R49" s="492"/>
      <c r="S49" s="662"/>
      <c r="T49" s="382"/>
      <c r="U49" s="490" t="s">
        <v>424</v>
      </c>
      <c r="V49" s="491"/>
      <c r="W49" s="492"/>
      <c r="X49" s="359"/>
    </row>
    <row r="50" spans="1:24" x14ac:dyDescent="0.2">
      <c r="A50" s="395"/>
      <c r="B50" s="427"/>
      <c r="C50" s="656" t="s">
        <v>48</v>
      </c>
      <c r="D50" s="355" t="str">
        <f>_xlfn.XLOOKUP(D$48,WireSets[serial_number],WireSets[next_service_date],"",0)</f>
        <v/>
      </c>
      <c r="E50" s="355" t="str">
        <f>_xlfn.XLOOKUP(E$48,WireSets[serial_number],WireSets[next_service_date],"",0)</f>
        <v/>
      </c>
      <c r="F50" s="355" t="str">
        <f>_xlfn.XLOOKUP(F$48,WireSets[serial_number],WireSets[next_service_date],"",0)</f>
        <v/>
      </c>
      <c r="G50" s="355" t="str">
        <f>_xlfn.XLOOKUP(G$48,WireSets[serial_number],WireSets[next_service_date],"",0)</f>
        <v/>
      </c>
      <c r="H50" s="355" t="str">
        <f>_xlfn.XLOOKUP(H$48,WireSets[serial_number],WireSets[next_service_date],"",0)</f>
        <v/>
      </c>
      <c r="I50" s="355" t="str">
        <f>_xlfn.XLOOKUP(I$48,WireSets[serial_number],WireSets[next_service_date],"",0)</f>
        <v/>
      </c>
      <c r="J50" s="422"/>
      <c r="K50" s="422"/>
      <c r="L50" s="422"/>
      <c r="M50" s="641" t="s">
        <v>366</v>
      </c>
      <c r="N50" s="373" t="str">
        <f>IF(Integral,Integral,"")</f>
        <v/>
      </c>
      <c r="O50" s="390"/>
      <c r="P50" s="478" t="s">
        <v>367</v>
      </c>
      <c r="Q50" s="479"/>
      <c r="R50" s="480"/>
      <c r="S50" s="428"/>
      <c r="T50" s="383"/>
      <c r="U50" s="478" t="s">
        <v>367</v>
      </c>
      <c r="V50" s="479"/>
      <c r="W50" s="480"/>
      <c r="X50" s="380"/>
    </row>
    <row r="51" spans="1:24" x14ac:dyDescent="0.2">
      <c r="A51" s="395"/>
      <c r="B51" s="429"/>
      <c r="C51" s="656" t="s">
        <v>73</v>
      </c>
      <c r="D51" s="357"/>
      <c r="E51" s="357"/>
      <c r="F51" s="357"/>
      <c r="G51" s="357"/>
      <c r="H51" s="357"/>
      <c r="I51" s="357"/>
      <c r="J51" s="422"/>
      <c r="K51" s="430"/>
      <c r="L51" s="422"/>
      <c r="M51" s="643" t="s">
        <v>368</v>
      </c>
      <c r="N51" s="373" t="str">
        <f>IF(Derivative,Derivative,"")</f>
        <v/>
      </c>
      <c r="O51" s="376"/>
      <c r="P51" s="490" t="s">
        <v>421</v>
      </c>
      <c r="Q51" s="491"/>
      <c r="R51" s="492"/>
      <c r="S51" s="662"/>
      <c r="T51" s="384"/>
      <c r="U51" s="490" t="s">
        <v>426</v>
      </c>
      <c r="V51" s="491"/>
      <c r="W51" s="492"/>
      <c r="X51" s="359"/>
    </row>
    <row r="52" spans="1:24" x14ac:dyDescent="0.2">
      <c r="A52" s="395"/>
      <c r="B52" s="420"/>
      <c r="C52" s="656" t="s">
        <v>374</v>
      </c>
      <c r="D52" s="357"/>
      <c r="E52" s="357"/>
      <c r="F52" s="357"/>
      <c r="G52" s="357"/>
      <c r="H52" s="357"/>
      <c r="I52" s="357"/>
      <c r="J52" s="422"/>
      <c r="K52" s="430"/>
      <c r="L52" s="422"/>
      <c r="M52" s="643" t="s">
        <v>369</v>
      </c>
      <c r="N52" s="373" t="str">
        <f>IF(Other1,Other1,"")</f>
        <v/>
      </c>
      <c r="O52" s="390"/>
      <c r="P52" s="478" t="s">
        <v>367</v>
      </c>
      <c r="Q52" s="479"/>
      <c r="R52" s="480"/>
      <c r="S52" s="428"/>
      <c r="T52" s="385"/>
      <c r="U52" s="478" t="s">
        <v>367</v>
      </c>
      <c r="V52" s="479"/>
      <c r="W52" s="480"/>
      <c r="X52" s="380"/>
    </row>
    <row r="53" spans="1:24" ht="12.75" customHeight="1" x14ac:dyDescent="0.2">
      <c r="A53" s="395"/>
      <c r="B53" s="420"/>
      <c r="C53" s="656" t="s">
        <v>74</v>
      </c>
      <c r="D53" s="367"/>
      <c r="E53" s="367"/>
      <c r="F53" s="367"/>
      <c r="G53" s="367"/>
      <c r="H53" s="367"/>
      <c r="I53" s="367"/>
      <c r="J53" s="422"/>
      <c r="K53" s="431"/>
      <c r="L53" s="431"/>
      <c r="M53" s="644" t="s">
        <v>369</v>
      </c>
      <c r="N53" s="373" t="str">
        <f>IF(Other2,Other2,"")</f>
        <v/>
      </c>
      <c r="O53" s="390"/>
      <c r="P53" s="481" t="s">
        <v>422</v>
      </c>
      <c r="Q53" s="482"/>
      <c r="R53" s="483"/>
      <c r="S53" s="663"/>
      <c r="T53" s="386"/>
      <c r="U53" s="481" t="s">
        <v>427</v>
      </c>
      <c r="V53" s="482"/>
      <c r="W53" s="483"/>
      <c r="X53" s="668"/>
    </row>
    <row r="54" spans="1:24" x14ac:dyDescent="0.2">
      <c r="A54" s="395"/>
      <c r="B54" s="420"/>
      <c r="C54" s="658" t="s">
        <v>103</v>
      </c>
      <c r="D54" s="366" t="str">
        <f>_xlfn.XLOOKUP(D$48,WireSets[serial_number],WireSets[certificate_number],"",0)</f>
        <v/>
      </c>
      <c r="E54" s="366" t="str">
        <f>_xlfn.XLOOKUP(E$48,WireSets[serial_number],WireSets[certificate_number],"",0)</f>
        <v/>
      </c>
      <c r="F54" s="366" t="str">
        <f>_xlfn.XLOOKUP(F$48,WireSets[serial_number],WireSets[certificate_number],"",0)</f>
        <v/>
      </c>
      <c r="G54" s="366" t="str">
        <f>_xlfn.XLOOKUP(G$48,WireSets[serial_number],WireSets[certificate_number],"",0)</f>
        <v/>
      </c>
      <c r="H54" s="366" t="str">
        <f>_xlfn.XLOOKUP(H$48,WireSets[serial_number],WireSets[certificate_number],"",0)</f>
        <v/>
      </c>
      <c r="I54" s="366" t="str">
        <f>_xlfn.XLOOKUP(I$48,WireSets[serial_number],WireSets[certificate_number],"",0)</f>
        <v/>
      </c>
      <c r="J54" s="432"/>
      <c r="K54" s="645"/>
      <c r="L54" s="646"/>
      <c r="M54" s="647" t="s">
        <v>397</v>
      </c>
      <c r="N54" s="372">
        <v>0</v>
      </c>
      <c r="O54" s="378"/>
      <c r="P54" s="484"/>
      <c r="Q54" s="485"/>
      <c r="R54" s="486"/>
      <c r="S54" s="433"/>
      <c r="T54" s="387"/>
      <c r="U54" s="484"/>
      <c r="V54" s="485"/>
      <c r="W54" s="486"/>
    </row>
    <row r="55" spans="1:24" x14ac:dyDescent="0.2">
      <c r="A55" s="395"/>
      <c r="B55" s="420"/>
      <c r="C55" s="658" t="s">
        <v>175</v>
      </c>
      <c r="D55" s="358" t="str">
        <f>_xlfn.XLOOKUP(D$48,WireSets[serial_number],WireSets[wire_roll_cert_number],"",0)</f>
        <v/>
      </c>
      <c r="E55" s="358" t="str">
        <f>_xlfn.XLOOKUP(E$48,WireSets[serial_number],WireSets[wire_roll_cert_number],"",0)</f>
        <v/>
      </c>
      <c r="F55" s="358" t="str">
        <f>_xlfn.XLOOKUP(F$48,WireSets[serial_number],WireSets[wire_roll_cert_number],"",0)</f>
        <v/>
      </c>
      <c r="G55" s="358" t="str">
        <f>_xlfn.XLOOKUP(G$48,WireSets[serial_number],WireSets[wire_roll_cert_number],"",0)</f>
        <v/>
      </c>
      <c r="H55" s="358" t="str">
        <f>_xlfn.XLOOKUP(H$48,WireSets[serial_number],WireSets[wire_roll_cert_number],"",0)</f>
        <v/>
      </c>
      <c r="I55" s="358" t="str">
        <f>_xlfn.XLOOKUP(I$48,WireSets[serial_number],WireSets[wire_roll_cert_number],"",0)</f>
        <v/>
      </c>
      <c r="J55" s="434"/>
      <c r="K55" s="648"/>
      <c r="L55" s="649"/>
      <c r="M55" s="650" t="s">
        <v>398</v>
      </c>
      <c r="N55" s="372">
        <v>0</v>
      </c>
      <c r="O55" s="378"/>
      <c r="P55" s="297" t="s">
        <v>370</v>
      </c>
      <c r="Q55" s="297" t="s">
        <v>26</v>
      </c>
      <c r="R55" s="305" t="s">
        <v>371</v>
      </c>
      <c r="S55" s="435"/>
      <c r="T55" s="388"/>
      <c r="U55" s="375" t="s">
        <v>372</v>
      </c>
      <c r="V55" s="297" t="s">
        <v>26</v>
      </c>
      <c r="W55" s="297" t="s">
        <v>373</v>
      </c>
    </row>
    <row r="56" spans="1:24" x14ac:dyDescent="0.2">
      <c r="A56" s="395"/>
      <c r="B56" s="436"/>
      <c r="C56" s="658" t="s">
        <v>176</v>
      </c>
      <c r="D56" s="357"/>
      <c r="E56" s="357"/>
      <c r="F56" s="357"/>
      <c r="G56" s="357"/>
      <c r="H56" s="357"/>
      <c r="I56" s="357"/>
      <c r="J56" s="437"/>
      <c r="K56" s="651"/>
      <c r="L56" s="652"/>
      <c r="M56" s="650" t="s">
        <v>399</v>
      </c>
      <c r="N56" s="372">
        <v>0</v>
      </c>
      <c r="O56" s="378"/>
      <c r="P56" s="664"/>
      <c r="Q56" s="665"/>
      <c r="R56" s="666"/>
      <c r="S56" s="438"/>
      <c r="T56" s="389"/>
      <c r="U56" s="667"/>
      <c r="V56" s="665"/>
      <c r="W56" s="664"/>
    </row>
    <row r="57" spans="1:24" x14ac:dyDescent="0.2">
      <c r="A57" s="395"/>
      <c r="B57" s="417"/>
      <c r="C57" s="641" t="s">
        <v>375</v>
      </c>
      <c r="D57" s="359"/>
      <c r="E57" s="359"/>
      <c r="F57" s="359"/>
      <c r="G57" s="359"/>
      <c r="H57" s="359"/>
      <c r="I57" s="359"/>
      <c r="J57" s="376"/>
      <c r="K57" s="653"/>
      <c r="L57" s="654"/>
      <c r="M57" s="655" t="s">
        <v>400</v>
      </c>
      <c r="N57" s="372">
        <v>0</v>
      </c>
      <c r="O57" s="378"/>
      <c r="P57" s="376"/>
      <c r="Q57" s="376"/>
      <c r="R57" s="376"/>
      <c r="S57" s="376"/>
    </row>
    <row r="58" spans="1:24" x14ac:dyDescent="0.2">
      <c r="A58" s="395"/>
      <c r="B58" s="417"/>
      <c r="C58" s="634" t="s">
        <v>181</v>
      </c>
      <c r="D58" s="635"/>
      <c r="E58" s="635"/>
      <c r="F58" s="635"/>
      <c r="G58" s="635"/>
      <c r="H58" s="635"/>
      <c r="I58" s="635"/>
      <c r="J58" s="635"/>
      <c r="K58" s="659"/>
      <c r="L58" s="660"/>
      <c r="M58" s="380"/>
      <c r="N58" s="380"/>
      <c r="O58" s="380"/>
      <c r="P58" s="380"/>
      <c r="Q58" s="380"/>
      <c r="R58" s="380"/>
      <c r="S58" s="380"/>
      <c r="T58" s="380"/>
      <c r="U58" s="380"/>
    </row>
    <row r="59" spans="1:24" x14ac:dyDescent="0.2">
      <c r="A59" s="395"/>
      <c r="B59" s="417"/>
      <c r="C59" s="634" t="s">
        <v>186</v>
      </c>
      <c r="D59" s="635"/>
      <c r="E59" s="635"/>
      <c r="F59" s="635"/>
      <c r="G59" s="635"/>
      <c r="H59" s="635"/>
      <c r="I59" s="635"/>
      <c r="J59" s="635"/>
      <c r="K59" s="635"/>
      <c r="L59" s="636"/>
      <c r="M59" s="380"/>
      <c r="N59" s="390" t="str">
        <f>"DOORS OPENED FOR " &amp;L16&amp; " SECONDS TO SIMULATE LOAD ENTRY AT " &amp;L17&amp; "."</f>
        <v>DOORS OPENED FOR  SECONDS TO SIMULATE LOAD ENTRY AT .</v>
      </c>
      <c r="O59" s="390"/>
      <c r="P59" s="390"/>
      <c r="Q59" s="390"/>
      <c r="R59" s="390"/>
      <c r="S59" s="390"/>
      <c r="T59" s="390"/>
      <c r="U59" s="390"/>
      <c r="V59" s="390"/>
    </row>
    <row r="60" spans="1:24" x14ac:dyDescent="0.2">
      <c r="A60" s="439"/>
      <c r="B60" s="426"/>
      <c r="C60" s="221"/>
      <c r="D60" s="222" t="s">
        <v>184</v>
      </c>
      <c r="E60" s="371"/>
      <c r="F60" s="223" t="s">
        <v>182</v>
      </c>
      <c r="G60" s="224"/>
      <c r="H60" s="224"/>
      <c r="I60" s="224"/>
      <c r="J60" s="225"/>
      <c r="K60" s="371"/>
      <c r="L60" s="226" t="s">
        <v>183</v>
      </c>
      <c r="M60" s="422"/>
      <c r="N60" s="440" t="str">
        <f>"AFTER TUS, HIGH LIMIT SET AT " &amp;E60&amp; "°F AND OVEN SETPOINT RAISED UNTIL HIGH LIMIT SYSTEM ACTIVATED AT " &amp;K60&amp; "°F."</f>
        <v>AFTER TUS, HIGH LIMIT SET AT °F AND OVEN SETPOINT RAISED UNTIL HIGH LIMIT SYSTEM ACTIVATED AT °F.</v>
      </c>
      <c r="O60" s="440"/>
      <c r="P60" s="390"/>
      <c r="Q60" s="390"/>
      <c r="R60" s="390"/>
      <c r="S60" s="390"/>
      <c r="T60" s="390"/>
      <c r="U60" s="390"/>
      <c r="V60" s="390"/>
    </row>
    <row r="61" spans="1:24" x14ac:dyDescent="0.2">
      <c r="A61" s="399"/>
      <c r="B61" s="391"/>
      <c r="C61" s="222"/>
      <c r="D61" s="222" t="s">
        <v>185</v>
      </c>
      <c r="E61" s="371"/>
      <c r="F61" s="228" t="s">
        <v>187</v>
      </c>
      <c r="G61" s="229"/>
      <c r="H61" s="229"/>
      <c r="I61" s="230"/>
      <c r="J61" s="371"/>
      <c r="K61" s="231" t="s">
        <v>183</v>
      </c>
      <c r="L61" s="376"/>
      <c r="M61" s="380"/>
      <c r="N61" s="440" t="str">
        <f>"AFTER TUS, HIGH LIMIT READING " &amp;E61&amp; "°F AND HIGH LIMIT SETPOINT LOWERED UNTIL ACTIVATION AT " &amp;J61&amp; "°F."</f>
        <v>AFTER TUS, HIGH LIMIT READING °F AND HIGH LIMIT SETPOINT LOWERED UNTIL ACTIVATION AT °F.</v>
      </c>
      <c r="O61" s="441"/>
      <c r="P61" s="390"/>
      <c r="Q61" s="390"/>
      <c r="R61" s="390"/>
      <c r="S61" s="390"/>
      <c r="T61" s="390"/>
      <c r="U61" s="390"/>
      <c r="V61" s="390"/>
    </row>
    <row r="62" spans="1:24" x14ac:dyDescent="0.2">
      <c r="A62" s="399"/>
      <c r="B62" s="391"/>
      <c r="C62" s="392"/>
      <c r="D62" s="376"/>
      <c r="E62" s="376"/>
      <c r="F62" s="380" t="s">
        <v>394</v>
      </c>
      <c r="G62" s="415"/>
      <c r="H62" s="415"/>
      <c r="I62" s="415"/>
      <c r="J62" s="376"/>
      <c r="K62" s="376"/>
      <c r="L62" s="376"/>
      <c r="M62" s="442"/>
      <c r="N62" s="441"/>
      <c r="O62" s="441"/>
      <c r="P62" s="390"/>
      <c r="Q62" s="390"/>
      <c r="R62" s="390"/>
      <c r="S62" s="390"/>
      <c r="T62" s="390"/>
      <c r="U62" s="390"/>
      <c r="V62" s="390"/>
    </row>
    <row r="63" spans="1:24" x14ac:dyDescent="0.2">
      <c r="A63" s="399"/>
      <c r="B63" s="391"/>
      <c r="C63" s="414"/>
      <c r="D63" s="415"/>
      <c r="E63" s="415"/>
      <c r="F63" s="415"/>
      <c r="G63" s="415"/>
      <c r="H63" s="415"/>
      <c r="I63" s="415"/>
      <c r="J63" s="376"/>
      <c r="K63" s="376"/>
      <c r="L63" s="376"/>
      <c r="M63" s="380"/>
      <c r="N63" s="422"/>
      <c r="O63" s="422"/>
      <c r="P63" s="380"/>
      <c r="Q63" s="380"/>
      <c r="R63" s="380"/>
      <c r="S63" s="380"/>
      <c r="T63" s="380"/>
      <c r="U63" s="380"/>
    </row>
    <row r="64" spans="1:24" x14ac:dyDescent="0.2">
      <c r="A64" s="443"/>
      <c r="B64" s="391"/>
      <c r="C64" s="414"/>
      <c r="D64" s="415"/>
      <c r="E64" s="415"/>
      <c r="F64" s="415"/>
      <c r="G64" s="415"/>
      <c r="H64" s="415"/>
      <c r="I64" s="415"/>
      <c r="J64" s="376"/>
      <c r="K64" s="376"/>
      <c r="L64" s="376"/>
      <c r="M64" s="380"/>
      <c r="N64" s="422"/>
      <c r="O64" s="422"/>
      <c r="P64" s="380"/>
      <c r="Q64" s="380"/>
      <c r="R64" s="380"/>
      <c r="S64" s="380"/>
      <c r="T64" s="380"/>
      <c r="U64" s="380"/>
    </row>
    <row r="65" spans="1:19" x14ac:dyDescent="0.2">
      <c r="A65" s="444"/>
      <c r="B65" s="391"/>
      <c r="C65" s="414"/>
      <c r="D65" s="415"/>
      <c r="E65" s="415"/>
      <c r="F65" s="415"/>
      <c r="G65" s="415"/>
      <c r="H65" s="415"/>
      <c r="I65" s="415"/>
      <c r="J65" s="376"/>
      <c r="K65" s="376"/>
      <c r="L65" s="376"/>
      <c r="M65" s="376"/>
      <c r="N65" s="445"/>
      <c r="O65" s="445"/>
      <c r="P65" s="376"/>
      <c r="Q65" s="376"/>
      <c r="R65" s="376"/>
      <c r="S65" s="376"/>
    </row>
    <row r="66" spans="1:19" x14ac:dyDescent="0.2">
      <c r="A66" s="446"/>
      <c r="B66" s="391"/>
      <c r="C66" s="414"/>
      <c r="D66" s="415"/>
      <c r="E66" s="415"/>
      <c r="F66" s="415"/>
      <c r="G66" s="415"/>
      <c r="H66" s="415"/>
      <c r="I66" s="415"/>
      <c r="J66" s="376"/>
      <c r="K66" s="376"/>
      <c r="L66" s="376"/>
      <c r="M66" s="376"/>
      <c r="N66" s="447"/>
      <c r="O66" s="447"/>
      <c r="P66" s="376"/>
      <c r="Q66" s="376"/>
      <c r="R66" s="376"/>
      <c r="S66" s="376"/>
    </row>
    <row r="67" spans="1:19" x14ac:dyDescent="0.2">
      <c r="A67" s="399"/>
      <c r="B67" s="391"/>
      <c r="C67" s="414"/>
      <c r="D67" s="415"/>
      <c r="E67" s="415"/>
      <c r="F67" s="415"/>
      <c r="G67" s="415"/>
      <c r="H67" s="415"/>
      <c r="I67" s="415"/>
      <c r="J67" s="376"/>
      <c r="K67" s="376"/>
      <c r="L67" s="376"/>
      <c r="M67" s="376"/>
      <c r="N67" s="447"/>
      <c r="O67" s="447"/>
      <c r="P67" s="376"/>
      <c r="Q67" s="376"/>
      <c r="R67" s="376"/>
      <c r="S67" s="376"/>
    </row>
    <row r="68" spans="1:19" x14ac:dyDescent="0.2">
      <c r="A68" s="399"/>
      <c r="B68" s="391"/>
      <c r="C68" s="414"/>
      <c r="D68" s="415"/>
      <c r="E68" s="415"/>
      <c r="F68" s="415"/>
      <c r="G68" s="415"/>
      <c r="H68" s="415"/>
      <c r="I68" s="415"/>
      <c r="J68" s="376"/>
      <c r="K68" s="376"/>
      <c r="L68" s="376"/>
      <c r="M68" s="376"/>
      <c r="N68" s="447"/>
      <c r="O68" s="447"/>
      <c r="P68" s="376"/>
      <c r="Q68" s="376"/>
      <c r="R68" s="376"/>
      <c r="S68" s="376"/>
    </row>
    <row r="69" spans="1:19" ht="24.75" customHeight="1" x14ac:dyDescent="0.2">
      <c r="A69" s="399"/>
      <c r="B69" s="391"/>
      <c r="C69" s="414"/>
      <c r="D69" s="415"/>
      <c r="E69" s="415"/>
      <c r="F69" s="415"/>
      <c r="G69" s="415"/>
      <c r="H69" s="415"/>
      <c r="I69" s="415"/>
      <c r="J69" s="376"/>
      <c r="K69" s="376"/>
      <c r="L69" s="376"/>
      <c r="M69" s="376"/>
      <c r="N69" s="447"/>
      <c r="O69" s="447"/>
      <c r="P69" s="376"/>
      <c r="Q69" s="376"/>
      <c r="R69" s="376"/>
      <c r="S69" s="376"/>
    </row>
    <row r="70" spans="1:19" x14ac:dyDescent="0.2">
      <c r="A70" s="399"/>
      <c r="B70" s="391"/>
      <c r="C70" s="392"/>
      <c r="D70" s="376"/>
      <c r="E70" s="376"/>
      <c r="F70" s="376"/>
      <c r="G70" s="376"/>
      <c r="H70" s="376"/>
      <c r="I70" s="376"/>
      <c r="J70" s="376"/>
      <c r="K70" s="376"/>
      <c r="L70" s="376"/>
      <c r="M70" s="376"/>
      <c r="N70" s="421"/>
      <c r="O70" s="421"/>
      <c r="P70" s="376"/>
      <c r="Q70" s="376"/>
      <c r="R70" s="376"/>
      <c r="S70" s="376"/>
    </row>
    <row r="71" spans="1:19" x14ac:dyDescent="0.2">
      <c r="A71" s="448"/>
      <c r="B71" s="391"/>
      <c r="C71" s="392"/>
      <c r="D71" s="376"/>
      <c r="E71" s="376"/>
      <c r="F71" s="376"/>
      <c r="G71" s="376"/>
      <c r="H71" s="376"/>
      <c r="I71" s="376"/>
      <c r="J71" s="376"/>
      <c r="K71" s="376"/>
      <c r="L71" s="376"/>
      <c r="M71" s="376"/>
      <c r="N71" s="376"/>
      <c r="O71" s="421"/>
      <c r="P71" s="376"/>
      <c r="Q71" s="376"/>
      <c r="R71" s="376"/>
      <c r="S71" s="376"/>
    </row>
    <row r="72" spans="1:19" x14ac:dyDescent="0.2">
      <c r="A72" s="449"/>
      <c r="B72" s="450" t="str" cm="1">
        <f t="array" ref="B72:B85">TRANSPOSE(TUS_Worksheet!C$13:P$13)</f>
        <v/>
      </c>
      <c r="C72" s="451">
        <v>1</v>
      </c>
      <c r="D72" s="452" t="str" cm="1">
        <f t="array" ref="D72:D111">IF(B72:B111="","",C72:C111)</f>
        <v/>
      </c>
      <c r="E72" s="452"/>
      <c r="F72" s="452"/>
      <c r="G72" s="452"/>
      <c r="H72" s="452"/>
      <c r="I72" s="452"/>
      <c r="J72" s="452"/>
      <c r="K72" s="452"/>
      <c r="L72" s="452"/>
      <c r="M72" s="452"/>
      <c r="N72" s="453">
        <f ca="1">IF(Access_Data!B$27="",0,Access_Data!B$27)</f>
        <v>0</v>
      </c>
      <c r="O72" s="453">
        <f ca="1">IF(Access_Data!$B$29="",0,Access_Data!$B$29)</f>
        <v>0</v>
      </c>
      <c r="P72" s="453" t="str">
        <f ca="1">IFERROR(Access_Data!$B$31,0)</f>
        <v/>
      </c>
      <c r="Q72" s="452"/>
      <c r="R72" s="376"/>
      <c r="S72" s="376"/>
    </row>
    <row r="73" spans="1:19" x14ac:dyDescent="0.2">
      <c r="A73" s="449"/>
      <c r="B73" s="450" t="str">
        <v/>
      </c>
      <c r="C73" s="451">
        <v>2</v>
      </c>
      <c r="D73" s="452" t="str">
        <v/>
      </c>
      <c r="E73" s="452"/>
      <c r="F73" s="452"/>
      <c r="G73" s="452"/>
      <c r="H73" s="452"/>
      <c r="I73" s="452"/>
      <c r="J73" s="452"/>
      <c r="K73" s="452"/>
      <c r="L73" s="452"/>
      <c r="M73" s="452"/>
      <c r="N73" s="453">
        <f ca="1">IF(Access_Data!C$27="",0,Access_Data!C$27)</f>
        <v>0</v>
      </c>
      <c r="O73" s="453">
        <f ca="1">IF(Access_Data!$C$29="",0,Access_Data!$C$29)</f>
        <v>0</v>
      </c>
      <c r="P73" s="453" t="str">
        <f ca="1">IF(ISERROR(Access_Data!$C$31),0,Access_Data!$C$31)</f>
        <v/>
      </c>
      <c r="Q73" s="452"/>
      <c r="R73" s="376"/>
      <c r="S73" s="376"/>
    </row>
    <row r="74" spans="1:19" x14ac:dyDescent="0.2">
      <c r="A74" s="449"/>
      <c r="B74" s="450" t="str">
        <v/>
      </c>
      <c r="C74" s="451">
        <v>3</v>
      </c>
      <c r="D74" s="452" t="str">
        <v/>
      </c>
      <c r="E74" s="452"/>
      <c r="F74" s="452"/>
      <c r="G74" s="452"/>
      <c r="H74" s="452"/>
      <c r="I74" s="452"/>
      <c r="J74" s="452"/>
      <c r="K74" s="452"/>
      <c r="L74" s="452"/>
      <c r="M74" s="452"/>
      <c r="N74" s="453">
        <f ca="1">IF(Access_Data!D$27="",0,Access_Data!D$27)</f>
        <v>0</v>
      </c>
      <c r="O74" s="453">
        <f ca="1">IF(Access_Data!$D$29="",0,Access_Data!$D$29)</f>
        <v>0</v>
      </c>
      <c r="P74" s="453" t="str">
        <f ca="1">IF(ISERROR(Access_Data!$D$31),0,Access_Data!$D$31)</f>
        <v/>
      </c>
      <c r="Q74" s="452"/>
      <c r="R74" s="376"/>
      <c r="S74" s="376"/>
    </row>
    <row r="75" spans="1:19" x14ac:dyDescent="0.2">
      <c r="A75" s="449"/>
      <c r="B75" s="450" t="str">
        <v/>
      </c>
      <c r="C75" s="451">
        <v>4</v>
      </c>
      <c r="D75" s="452" t="str">
        <v/>
      </c>
      <c r="E75" s="452"/>
      <c r="F75" s="452"/>
      <c r="G75" s="452"/>
      <c r="H75" s="452"/>
      <c r="I75" s="452"/>
      <c r="J75" s="452"/>
      <c r="K75" s="452"/>
      <c r="L75" s="452"/>
      <c r="M75" s="452"/>
      <c r="N75" s="453">
        <f ca="1">IF(Access_Data!E$27="",0,Access_Data!E$27)</f>
        <v>0</v>
      </c>
      <c r="O75" s="453">
        <f ca="1">IF(Access_Data!$E$29="",0,Access_Data!$E$29)</f>
        <v>0</v>
      </c>
      <c r="P75" s="453" t="str">
        <f ca="1">IF(ISERROR(Access_Data!$E$31),0,Access_Data!$E$31)</f>
        <v/>
      </c>
      <c r="Q75" s="452"/>
      <c r="R75" s="376"/>
      <c r="S75" s="376"/>
    </row>
    <row r="76" spans="1:19" x14ac:dyDescent="0.2">
      <c r="A76" s="449"/>
      <c r="B76" s="450" t="str">
        <v/>
      </c>
      <c r="C76" s="451">
        <v>5</v>
      </c>
      <c r="D76" s="452" t="str">
        <v/>
      </c>
      <c r="E76" s="452"/>
      <c r="F76" s="452"/>
      <c r="G76" s="452"/>
      <c r="H76" s="452"/>
      <c r="I76" s="452"/>
      <c r="J76" s="452"/>
      <c r="K76" s="452"/>
      <c r="L76" s="452"/>
      <c r="M76" s="452"/>
      <c r="N76" s="453">
        <f ca="1">IF(Access_Data!F$27="",0,Access_Data!F$27)</f>
        <v>0</v>
      </c>
      <c r="O76" s="453">
        <f ca="1">IF(Access_Data!$F$29="",0,Access_Data!$F$29)</f>
        <v>0</v>
      </c>
      <c r="P76" s="453" t="str">
        <f ca="1">IF(ISERROR(Access_Data!$F$31),0,Access_Data!$F$31)</f>
        <v/>
      </c>
      <c r="Q76" s="452"/>
      <c r="R76" s="376"/>
      <c r="S76" s="376"/>
    </row>
    <row r="77" spans="1:19" x14ac:dyDescent="0.2">
      <c r="A77" s="449"/>
      <c r="B77" s="450" t="str">
        <v/>
      </c>
      <c r="C77" s="451">
        <v>6</v>
      </c>
      <c r="D77" s="452" t="str">
        <v/>
      </c>
      <c r="E77" s="452"/>
      <c r="F77" s="452"/>
      <c r="G77" s="452"/>
      <c r="H77" s="452"/>
      <c r="I77" s="452"/>
      <c r="J77" s="452"/>
      <c r="K77" s="452"/>
      <c r="L77" s="452"/>
      <c r="M77" s="452"/>
      <c r="N77" s="453">
        <f ca="1">IF(Access_Data!G$27="",0,Access_Data!G$27)</f>
        <v>0</v>
      </c>
      <c r="O77" s="453">
        <f ca="1">IF(Access_Data!$G$29="",0,Access_Data!$G$29)</f>
        <v>0</v>
      </c>
      <c r="P77" s="453" t="str">
        <f ca="1">IF(ISERROR(Access_Data!$G$31),0,Access_Data!$G$31)</f>
        <v/>
      </c>
      <c r="Q77" s="452"/>
      <c r="R77" s="376"/>
      <c r="S77" s="376"/>
    </row>
    <row r="78" spans="1:19" x14ac:dyDescent="0.2">
      <c r="A78" s="449"/>
      <c r="B78" s="450" t="str">
        <v/>
      </c>
      <c r="C78" s="451">
        <v>7</v>
      </c>
      <c r="D78" s="452" t="str">
        <v/>
      </c>
      <c r="E78" s="452"/>
      <c r="F78" s="452"/>
      <c r="G78" s="452"/>
      <c r="H78" s="452"/>
      <c r="I78" s="452"/>
      <c r="J78" s="452"/>
      <c r="K78" s="452"/>
      <c r="L78" s="452"/>
      <c r="M78" s="452"/>
      <c r="N78" s="453">
        <f ca="1">IF(Access_Data!H$27="",0,Access_Data!H$27)</f>
        <v>0</v>
      </c>
      <c r="O78" s="453">
        <f ca="1">IF(Access_Data!$H$29="",0,Access_Data!$H$29)</f>
        <v>0</v>
      </c>
      <c r="P78" s="453" t="str">
        <f ca="1">IF(ISERROR(Access_Data!$H$31),0,Access_Data!$H$31)</f>
        <v/>
      </c>
      <c r="Q78" s="452"/>
      <c r="R78" s="376"/>
      <c r="S78" s="376"/>
    </row>
    <row r="79" spans="1:19" x14ac:dyDescent="0.2">
      <c r="A79" s="449"/>
      <c r="B79" s="450" t="str">
        <v/>
      </c>
      <c r="C79" s="451">
        <v>8</v>
      </c>
      <c r="D79" s="452" t="str">
        <v/>
      </c>
      <c r="E79" s="452"/>
      <c r="F79" s="452"/>
      <c r="G79" s="452"/>
      <c r="H79" s="452"/>
      <c r="I79" s="452"/>
      <c r="J79" s="452"/>
      <c r="K79" s="452"/>
      <c r="L79" s="452"/>
      <c r="M79" s="452"/>
      <c r="N79" s="453">
        <f ca="1">IF(Access_Data!I$27="",0,Access_Data!I$27)</f>
        <v>0</v>
      </c>
      <c r="O79" s="453">
        <f ca="1">IF(Access_Data!$I$29="",0,Access_Data!$I$29)</f>
        <v>0</v>
      </c>
      <c r="P79" s="453" t="str">
        <f ca="1">IF(ISERROR(Access_Data!$I$31),0,Access_Data!$I$31)</f>
        <v/>
      </c>
      <c r="Q79" s="452"/>
      <c r="R79" s="376"/>
      <c r="S79" s="376"/>
    </row>
    <row r="80" spans="1:19" x14ac:dyDescent="0.2">
      <c r="A80" s="449"/>
      <c r="B80" s="450" t="str">
        <v/>
      </c>
      <c r="C80" s="451">
        <v>9</v>
      </c>
      <c r="D80" s="452" t="str">
        <v/>
      </c>
      <c r="E80" s="452"/>
      <c r="F80" s="452"/>
      <c r="G80" s="452"/>
      <c r="H80" s="452"/>
      <c r="I80" s="452"/>
      <c r="J80" s="452"/>
      <c r="K80" s="452"/>
      <c r="L80" s="452"/>
      <c r="M80" s="452"/>
      <c r="N80" s="453">
        <f ca="1">IF(Access_Data!J$27="",0,Access_Data!J$27)</f>
        <v>0</v>
      </c>
      <c r="O80" s="453">
        <f ca="1">IF(Access_Data!$J$29="",0,Access_Data!$J$29)</f>
        <v>0</v>
      </c>
      <c r="P80" s="453" t="str">
        <f ca="1">IF(ISERROR(Access_Data!$J$31),0,Access_Data!$J$31)</f>
        <v/>
      </c>
      <c r="Q80" s="452"/>
      <c r="R80" s="376"/>
      <c r="S80" s="376"/>
    </row>
    <row r="81" spans="1:19" x14ac:dyDescent="0.2">
      <c r="A81" s="449"/>
      <c r="B81" s="450" t="str">
        <v/>
      </c>
      <c r="C81" s="451">
        <v>10</v>
      </c>
      <c r="D81" s="452" t="str">
        <v/>
      </c>
      <c r="E81" s="452"/>
      <c r="F81" s="452"/>
      <c r="G81" s="452"/>
      <c r="H81" s="452"/>
      <c r="I81" s="452"/>
      <c r="J81" s="452"/>
      <c r="K81" s="452"/>
      <c r="L81" s="452"/>
      <c r="M81" s="452"/>
      <c r="N81" s="453">
        <f ca="1">IF(Access_Data!K$27="",0,Access_Data!K$27)</f>
        <v>0</v>
      </c>
      <c r="O81" s="453">
        <f ca="1">IF(Access_Data!$K$29="",0,Access_Data!$K$29)</f>
        <v>0</v>
      </c>
      <c r="P81" s="453" t="str">
        <f ca="1">IF(ISERROR(Access_Data!$K$31),0,Access_Data!$K$31)</f>
        <v/>
      </c>
      <c r="Q81" s="452"/>
      <c r="R81" s="376"/>
      <c r="S81" s="376"/>
    </row>
    <row r="82" spans="1:19" x14ac:dyDescent="0.2">
      <c r="A82" s="449"/>
      <c r="B82" s="450" t="str">
        <v/>
      </c>
      <c r="C82" s="451">
        <v>11</v>
      </c>
      <c r="D82" s="452" t="str">
        <v/>
      </c>
      <c r="E82" s="452"/>
      <c r="F82" s="452"/>
      <c r="G82" s="452"/>
      <c r="H82" s="452"/>
      <c r="I82" s="452"/>
      <c r="J82" s="452"/>
      <c r="K82" s="452"/>
      <c r="L82" s="452"/>
      <c r="M82" s="452"/>
      <c r="N82" s="453">
        <f ca="1">IF(Access_Data!L$27="",0,Access_Data!L$27)</f>
        <v>0</v>
      </c>
      <c r="O82" s="453">
        <f ca="1">IF(Access_Data!$L$29="",0,Access_Data!$L$29)</f>
        <v>0</v>
      </c>
      <c r="P82" s="453" t="str">
        <f ca="1">IF(ISERROR(Access_Data!$L$31),0,Access_Data!$L$31)</f>
        <v/>
      </c>
      <c r="Q82" s="452"/>
      <c r="R82" s="376"/>
      <c r="S82" s="376"/>
    </row>
    <row r="83" spans="1:19" x14ac:dyDescent="0.2">
      <c r="A83" s="449"/>
      <c r="B83" s="450" t="str">
        <v/>
      </c>
      <c r="C83" s="451">
        <v>12</v>
      </c>
      <c r="D83" s="452" t="str">
        <v/>
      </c>
      <c r="E83" s="454"/>
      <c r="F83" s="455"/>
      <c r="G83" s="456"/>
      <c r="H83" s="457"/>
      <c r="I83" s="454"/>
      <c r="J83" s="455"/>
      <c r="K83" s="456"/>
      <c r="L83" s="457"/>
      <c r="M83" s="452"/>
      <c r="N83" s="453">
        <f ca="1">IF(Access_Data!M$27="",0,Access_Data!M$27)</f>
        <v>0</v>
      </c>
      <c r="O83" s="453">
        <f ca="1">IF(Access_Data!$M$29="",0,Access_Data!$M$29)</f>
        <v>0</v>
      </c>
      <c r="P83" s="453" t="str">
        <f ca="1">IF(ISERROR(Access_Data!$M$31),0,Access_Data!$M$31)</f>
        <v/>
      </c>
      <c r="Q83" s="452"/>
      <c r="R83" s="376"/>
      <c r="S83" s="376"/>
    </row>
    <row r="84" spans="1:19" x14ac:dyDescent="0.2">
      <c r="A84" s="449"/>
      <c r="B84" s="450" t="str">
        <v/>
      </c>
      <c r="C84" s="451">
        <v>13</v>
      </c>
      <c r="D84" s="452" t="str">
        <v/>
      </c>
      <c r="E84" s="458"/>
      <c r="F84" s="459" t="s">
        <v>173</v>
      </c>
      <c r="G84" s="460"/>
      <c r="H84" s="461"/>
      <c r="I84" s="462"/>
      <c r="J84" s="455"/>
      <c r="K84" s="456"/>
      <c r="L84" s="457"/>
      <c r="M84" s="452"/>
      <c r="N84" s="453">
        <f ca="1">IF(Access_Data!N$27="",0,Access_Data!N$27)</f>
        <v>0</v>
      </c>
      <c r="O84" s="453">
        <f ca="1">IF(Access_Data!$N$29="",0,Access_Data!$N$29)</f>
        <v>0</v>
      </c>
      <c r="P84" s="453" t="str">
        <f ca="1">IF(ISERROR(Access_Data!$N$31),0,Access_Data!$N$31)</f>
        <v/>
      </c>
      <c r="Q84" s="452"/>
      <c r="R84" s="376"/>
      <c r="S84" s="376"/>
    </row>
    <row r="85" spans="1:19" x14ac:dyDescent="0.2">
      <c r="A85" s="449"/>
      <c r="B85" s="450" t="str">
        <v/>
      </c>
      <c r="C85" s="451">
        <v>14</v>
      </c>
      <c r="D85" s="452" t="str">
        <v/>
      </c>
      <c r="E85" s="458"/>
      <c r="F85" s="459" t="s">
        <v>174</v>
      </c>
      <c r="G85" s="460" t="s">
        <v>172</v>
      </c>
      <c r="H85" s="461" t="s">
        <v>171</v>
      </c>
      <c r="I85" s="462"/>
      <c r="J85" s="455"/>
      <c r="K85" s="456"/>
      <c r="L85" s="457"/>
      <c r="M85" s="452"/>
      <c r="N85" s="453">
        <f ca="1">IF(Access_Data!O$27="",0,Access_Data!O$27)</f>
        <v>0</v>
      </c>
      <c r="O85" s="453">
        <f ca="1">IF(Access_Data!$O$29="",0,Access_Data!$O$29)</f>
        <v>0</v>
      </c>
      <c r="P85" s="453" t="str">
        <f ca="1">IF(ISERROR(Access_Data!$O$31),0,Access_Data!$O$31)</f>
        <v/>
      </c>
      <c r="Q85" s="452"/>
      <c r="R85" s="376"/>
      <c r="S85" s="376"/>
    </row>
    <row r="86" spans="1:19" x14ac:dyDescent="0.2">
      <c r="A86" s="449"/>
      <c r="B86" s="450" t="str" cm="1">
        <f t="array" ref="B86:B99">TRANSPOSE(TUS_Worksheet!C$19:P$19)</f>
        <v/>
      </c>
      <c r="C86" s="451">
        <v>15</v>
      </c>
      <c r="D86" s="452" t="str">
        <v/>
      </c>
      <c r="E86" s="458"/>
      <c r="F86" s="459">
        <v>1</v>
      </c>
      <c r="G86" s="460">
        <v>5</v>
      </c>
      <c r="H86" s="463">
        <f>MAX(I86:J86)</f>
        <v>2</v>
      </c>
      <c r="I86" s="462">
        <f>D16*0.002</f>
        <v>0</v>
      </c>
      <c r="J86" s="464">
        <v>2</v>
      </c>
      <c r="K86" s="456"/>
      <c r="L86" s="457"/>
      <c r="M86" s="452"/>
      <c r="N86" s="453">
        <f ca="1">IF(Access_Data!V$27="",0,Access_Data!V$27)</f>
        <v>0</v>
      </c>
      <c r="O86" s="453">
        <f ca="1">IF(Access_Data!$V$29="",0,Access_Data!$V$29)</f>
        <v>0</v>
      </c>
      <c r="P86" s="453" t="str">
        <f ca="1">IF(ISERROR(Access_Data!$V$31),0,Access_Data!$V$31)</f>
        <v/>
      </c>
      <c r="Q86" s="452"/>
      <c r="R86" s="376"/>
      <c r="S86" s="376"/>
    </row>
    <row r="87" spans="1:19" x14ac:dyDescent="0.2">
      <c r="A87" s="449"/>
      <c r="B87" s="450" t="str">
        <v/>
      </c>
      <c r="C87" s="451">
        <v>16</v>
      </c>
      <c r="D87" s="452" t="str">
        <v/>
      </c>
      <c r="E87" s="458"/>
      <c r="F87" s="459">
        <v>2</v>
      </c>
      <c r="G87" s="460">
        <v>10</v>
      </c>
      <c r="H87" s="463">
        <f t="shared" ref="H87:H91" si="1">MAX(I87:J87)</f>
        <v>3</v>
      </c>
      <c r="I87" s="462">
        <f>D16*0.003</f>
        <v>0</v>
      </c>
      <c r="J87" s="464">
        <v>3</v>
      </c>
      <c r="K87" s="456"/>
      <c r="L87" s="457"/>
      <c r="M87" s="452"/>
      <c r="N87" s="453">
        <f ca="1">IF(Access_Data!W$27="",0,Access_Data!W$27)</f>
        <v>0</v>
      </c>
      <c r="O87" s="453">
        <f ca="1">IF(Access_Data!$W$29="",0,Access_Data!$W$29)</f>
        <v>0</v>
      </c>
      <c r="P87" s="453" t="str">
        <f ca="1">IF(ISERROR(Access_Data!$W$31),0,Access_Data!$W$31)</f>
        <v/>
      </c>
      <c r="Q87" s="452"/>
      <c r="R87" s="376"/>
      <c r="S87" s="376"/>
    </row>
    <row r="88" spans="1:19" x14ac:dyDescent="0.2">
      <c r="A88" s="449"/>
      <c r="B88" s="450" t="str">
        <v/>
      </c>
      <c r="C88" s="451">
        <v>17</v>
      </c>
      <c r="D88" s="452" t="str">
        <v/>
      </c>
      <c r="E88" s="458"/>
      <c r="F88" s="459">
        <v>3</v>
      </c>
      <c r="G88" s="460">
        <v>15</v>
      </c>
      <c r="H88" s="463">
        <f t="shared" si="1"/>
        <v>4</v>
      </c>
      <c r="I88" s="462">
        <f>D16*0.004</f>
        <v>0</v>
      </c>
      <c r="J88" s="464">
        <v>4</v>
      </c>
      <c r="K88" s="456"/>
      <c r="L88" s="457"/>
      <c r="M88" s="452"/>
      <c r="N88" s="453">
        <f ca="1">IF(Access_Data!X$27="",0,Access_Data!X$27)</f>
        <v>0</v>
      </c>
      <c r="O88" s="453">
        <f ca="1">IF(Access_Data!$X$29="",0,Access_Data!$X$29)</f>
        <v>0</v>
      </c>
      <c r="P88" s="453" t="str">
        <f ca="1">IF(ISERROR(Access_Data!$X$31),0,Access_Data!$X$31)</f>
        <v/>
      </c>
      <c r="Q88" s="452"/>
      <c r="R88" s="376"/>
      <c r="S88" s="376"/>
    </row>
    <row r="89" spans="1:19" x14ac:dyDescent="0.2">
      <c r="A89" s="449"/>
      <c r="B89" s="450" t="str">
        <v/>
      </c>
      <c r="C89" s="451">
        <v>18</v>
      </c>
      <c r="D89" s="452" t="str">
        <v/>
      </c>
      <c r="E89" s="458"/>
      <c r="F89" s="459">
        <v>4</v>
      </c>
      <c r="G89" s="460">
        <v>20</v>
      </c>
      <c r="H89" s="463">
        <f t="shared" si="1"/>
        <v>4</v>
      </c>
      <c r="I89" s="462">
        <f>D16*0.004</f>
        <v>0</v>
      </c>
      <c r="J89" s="464">
        <v>4</v>
      </c>
      <c r="K89" s="456"/>
      <c r="L89" s="457"/>
      <c r="M89" s="452"/>
      <c r="N89" s="453">
        <f ca="1">IF(Access_Data!Y$27="",0,Access_Data!Y$27)</f>
        <v>0</v>
      </c>
      <c r="O89" s="453">
        <f ca="1">IF(Access_Data!$Y$29="",0,Access_Data!$Y$29)</f>
        <v>0</v>
      </c>
      <c r="P89" s="453" t="str">
        <f ca="1">IF(ISERROR(Access_Data!$Y$31),0,Access_Data!$Y$31)</f>
        <v/>
      </c>
      <c r="Q89" s="452"/>
      <c r="R89" s="376"/>
      <c r="S89" s="376"/>
    </row>
    <row r="90" spans="1:19" x14ac:dyDescent="0.2">
      <c r="A90" s="449"/>
      <c r="B90" s="450" t="str">
        <v/>
      </c>
      <c r="C90" s="451">
        <v>19</v>
      </c>
      <c r="D90" s="452" t="str">
        <v/>
      </c>
      <c r="E90" s="458"/>
      <c r="F90" s="459">
        <v>5</v>
      </c>
      <c r="G90" s="460">
        <v>25</v>
      </c>
      <c r="H90" s="463">
        <f t="shared" si="1"/>
        <v>5</v>
      </c>
      <c r="I90" s="462">
        <f>D16*0.005</f>
        <v>0</v>
      </c>
      <c r="J90" s="464">
        <v>5</v>
      </c>
      <c r="K90" s="456"/>
      <c r="L90" s="457"/>
      <c r="M90" s="452"/>
      <c r="N90" s="453">
        <f ca="1">IF(Access_Data!Z$27="",0,Access_Data!Z$27)</f>
        <v>0</v>
      </c>
      <c r="O90" s="453">
        <f ca="1">IF(Access_Data!$Z$29="",0,Access_Data!$Z$29)</f>
        <v>0</v>
      </c>
      <c r="P90" s="453" t="str">
        <f ca="1">IF(ISERROR(Access_Data!$Z$31),0,Access_Data!$Z$31)</f>
        <v/>
      </c>
      <c r="Q90" s="452"/>
      <c r="R90" s="376"/>
      <c r="S90" s="376"/>
    </row>
    <row r="91" spans="1:19" x14ac:dyDescent="0.2">
      <c r="A91" s="449"/>
      <c r="B91" s="450" t="str">
        <v/>
      </c>
      <c r="C91" s="451">
        <v>20</v>
      </c>
      <c r="D91" s="452" t="str">
        <v/>
      </c>
      <c r="E91" s="458"/>
      <c r="F91" s="459">
        <v>6</v>
      </c>
      <c r="G91" s="460">
        <v>50</v>
      </c>
      <c r="H91" s="463">
        <f t="shared" si="1"/>
        <v>10</v>
      </c>
      <c r="I91" s="462">
        <f>D16*0.01</f>
        <v>0</v>
      </c>
      <c r="J91" s="464">
        <v>10</v>
      </c>
      <c r="K91" s="456"/>
      <c r="L91" s="457"/>
      <c r="M91" s="452"/>
      <c r="N91" s="453">
        <f ca="1">IF(Access_Data!AA$27="",0,Access_Data!AA$27)</f>
        <v>0</v>
      </c>
      <c r="O91" s="453">
        <f ca="1">IF(Access_Data!$AA$29="",0,Access_Data!$AA$29)</f>
        <v>0</v>
      </c>
      <c r="P91" s="453" t="str">
        <f ca="1">IF(ISERROR(Access_Data!$AA$31),0,Access_Data!$AA$31)</f>
        <v/>
      </c>
      <c r="Q91" s="452"/>
      <c r="R91" s="376"/>
      <c r="S91" s="376"/>
    </row>
    <row r="92" spans="1:19" x14ac:dyDescent="0.2">
      <c r="A92" s="449"/>
      <c r="B92" s="450" t="str">
        <v/>
      </c>
      <c r="C92" s="451">
        <v>21</v>
      </c>
      <c r="D92" s="452" t="str">
        <v/>
      </c>
      <c r="E92" s="458"/>
      <c r="F92" s="459"/>
      <c r="G92" s="460"/>
      <c r="H92" s="461"/>
      <c r="I92" s="462"/>
      <c r="J92" s="455"/>
      <c r="K92" s="456"/>
      <c r="L92" s="457"/>
      <c r="M92" s="452"/>
      <c r="N92" s="453">
        <f ca="1">IF(Access_Data!AB$27="",0,Access_Data!AB$27)</f>
        <v>0</v>
      </c>
      <c r="O92" s="453">
        <f ca="1">IF(Access_Data!$AB$29="",0,Access_Data!$AB$29)</f>
        <v>0</v>
      </c>
      <c r="P92" s="453" t="str">
        <f ca="1">IF(ISERROR(Access_Data!$AB$31),0,Access_Data!$AB$31)</f>
        <v/>
      </c>
      <c r="Q92" s="452"/>
      <c r="R92" s="376"/>
      <c r="S92" s="376"/>
    </row>
    <row r="93" spans="1:19" x14ac:dyDescent="0.2">
      <c r="A93" s="449"/>
      <c r="B93" s="450" t="str">
        <v/>
      </c>
      <c r="C93" s="451">
        <v>22</v>
      </c>
      <c r="D93" s="452" t="str">
        <v/>
      </c>
      <c r="E93" s="458"/>
      <c r="F93" s="459" t="s">
        <v>294</v>
      </c>
      <c r="G93" s="460" t="e">
        <f>VLOOKUP(D19,G86:H91,2,FALSE)</f>
        <v>#N/A</v>
      </c>
      <c r="H93" s="461" t="s">
        <v>295</v>
      </c>
      <c r="I93" s="462"/>
      <c r="J93" s="455"/>
      <c r="K93" s="456"/>
      <c r="L93" s="457"/>
      <c r="M93" s="452"/>
      <c r="N93" s="453">
        <f ca="1">IF(Access_Data!AC$27="",0,Access_Data!AC$27)</f>
        <v>0</v>
      </c>
      <c r="O93" s="453">
        <f ca="1">IF(Access_Data!$AC$29="",0,Access_Data!$AC$29)</f>
        <v>0</v>
      </c>
      <c r="P93" s="453" t="str">
        <f ca="1">IF(ISERROR(Access_Data!$AC$31),0,Access_Data!$AC$31)</f>
        <v/>
      </c>
      <c r="Q93" s="452"/>
      <c r="R93" s="376"/>
      <c r="S93" s="376"/>
    </row>
    <row r="94" spans="1:19" x14ac:dyDescent="0.2">
      <c r="A94" s="449"/>
      <c r="B94" s="450" t="str">
        <v/>
      </c>
      <c r="C94" s="451">
        <v>23</v>
      </c>
      <c r="D94" s="452" t="str">
        <v/>
      </c>
      <c r="E94" s="458"/>
      <c r="F94" s="465"/>
      <c r="G94" s="466" t="e">
        <f>CONCATENATE(F93,G93,H93)</f>
        <v>#N/A</v>
      </c>
      <c r="H94" s="467"/>
      <c r="I94" s="458" t="b">
        <v>1</v>
      </c>
      <c r="J94" s="455"/>
      <c r="K94" s="456"/>
      <c r="L94" s="457"/>
      <c r="M94" s="452"/>
      <c r="N94" s="453">
        <f ca="1">IF(Access_Data!AD$27="",0,Access_Data!AD$27)</f>
        <v>0</v>
      </c>
      <c r="O94" s="453">
        <f ca="1">IF(Access_Data!$AD27="",0,Access_Data!$AD$29)</f>
        <v>0</v>
      </c>
      <c r="P94" s="453" t="str">
        <f ca="1">IF(ISERROR(Access_Data!$AD31),0,Access_Data!$AD$31)</f>
        <v/>
      </c>
      <c r="Q94" s="452"/>
      <c r="R94" s="376"/>
      <c r="S94" s="376"/>
    </row>
    <row r="95" spans="1:19" x14ac:dyDescent="0.2">
      <c r="A95" s="449"/>
      <c r="B95" s="450" t="str">
        <v/>
      </c>
      <c r="C95" s="451">
        <v>24</v>
      </c>
      <c r="D95" s="452" t="str">
        <v/>
      </c>
      <c r="E95" s="454"/>
      <c r="F95" s="455"/>
      <c r="G95" s="456" t="e">
        <f>ROUNDDOWN(G93,2-(1+INT(LOG10(ABS(G93)))))</f>
        <v>#N/A</v>
      </c>
      <c r="H95" s="457"/>
      <c r="I95" s="454"/>
      <c r="J95" s="455"/>
      <c r="K95" s="456"/>
      <c r="L95" s="457"/>
      <c r="M95" s="452"/>
      <c r="N95" s="453">
        <f ca="1">IF(Access_Data!AE$27="",0,Access_Data!AE$27)</f>
        <v>0</v>
      </c>
      <c r="O95" s="453">
        <f ca="1">IF(Access_Data!$AE$29="",0,Access_Data!$AE$29)</f>
        <v>0</v>
      </c>
      <c r="P95" s="453" t="str">
        <f ca="1">IF(ISERROR(Access_Data!$AE$31),0,Access_Data!$AE$31)</f>
        <v/>
      </c>
      <c r="Q95" s="452"/>
      <c r="R95" s="376"/>
      <c r="S95" s="376"/>
    </row>
    <row r="96" spans="1:19" x14ac:dyDescent="0.2">
      <c r="A96" s="449"/>
      <c r="B96" s="450" t="str">
        <v/>
      </c>
      <c r="C96" s="451">
        <v>25</v>
      </c>
      <c r="D96" s="452" t="str">
        <v/>
      </c>
      <c r="E96" s="449"/>
      <c r="F96" s="450"/>
      <c r="G96" s="451"/>
      <c r="H96" s="452"/>
      <c r="I96" s="449"/>
      <c r="J96" s="450"/>
      <c r="K96" s="451"/>
      <c r="L96" s="452"/>
      <c r="M96" s="452"/>
      <c r="N96" s="453">
        <f ca="1">IF(Access_Data!AF$27="",0,Access_Data!AF$27)</f>
        <v>0</v>
      </c>
      <c r="O96" s="453">
        <f ca="1">IF(Access_Data!$AF$29="",0,Access_Data!$AF$29)</f>
        <v>0</v>
      </c>
      <c r="P96" s="453" t="str">
        <f ca="1">IF(ISERROR(Access_Data!$AF$31),0,Access_Data!$AF$31)</f>
        <v/>
      </c>
      <c r="Q96" s="452"/>
      <c r="R96" s="376"/>
      <c r="S96" s="376"/>
    </row>
    <row r="97" spans="1:19" x14ac:dyDescent="0.2">
      <c r="A97" s="449"/>
      <c r="B97" s="450" t="str">
        <v/>
      </c>
      <c r="C97" s="451">
        <v>26</v>
      </c>
      <c r="D97" s="452" t="str">
        <v/>
      </c>
      <c r="E97" s="449"/>
      <c r="F97" s="450"/>
      <c r="G97" s="451"/>
      <c r="H97" s="452"/>
      <c r="I97" s="449"/>
      <c r="J97" s="450"/>
      <c r="K97" s="451"/>
      <c r="L97" s="452"/>
      <c r="M97" s="452"/>
      <c r="N97" s="453">
        <f ca="1">IF(Access_Data!AG$27="",0,Access_Data!AG$27)</f>
        <v>0</v>
      </c>
      <c r="O97" s="453">
        <f ca="1">IF(Access_Data!$AG$29="",0,Access_Data!$AG$29)</f>
        <v>0</v>
      </c>
      <c r="P97" s="453" t="str">
        <f ca="1">IF(ISERROR(Access_Data!$AG$31),0,Access_Data!$AG$31)</f>
        <v/>
      </c>
      <c r="Q97" s="452"/>
      <c r="R97" s="376"/>
      <c r="S97" s="376"/>
    </row>
    <row r="98" spans="1:19" x14ac:dyDescent="0.2">
      <c r="A98" s="449"/>
      <c r="B98" s="450" t="str">
        <v/>
      </c>
      <c r="C98" s="451">
        <v>27</v>
      </c>
      <c r="D98" s="452" t="str">
        <v/>
      </c>
      <c r="E98" s="452"/>
      <c r="F98" s="452"/>
      <c r="G98" s="452"/>
      <c r="H98" s="452"/>
      <c r="I98" s="452"/>
      <c r="J98" s="452"/>
      <c r="K98" s="452"/>
      <c r="L98" s="452"/>
      <c r="M98" s="452"/>
      <c r="N98" s="453">
        <f ca="1">IF(Access_Data!AH$27="",0,Access_Data!AH$27)</f>
        <v>0</v>
      </c>
      <c r="O98" s="453">
        <f ca="1">IF(Access_Data!$AH$29="",0,Access_Data!$AH$29)</f>
        <v>0</v>
      </c>
      <c r="P98" s="453" t="str">
        <f ca="1">IF(ISERROR(Access_Data!$AH$31),0,Access_Data!$AH$31)</f>
        <v/>
      </c>
      <c r="Q98" s="452"/>
      <c r="R98" s="376"/>
      <c r="S98" s="376"/>
    </row>
    <row r="99" spans="1:19" x14ac:dyDescent="0.2">
      <c r="A99" s="449"/>
      <c r="B99" s="450" t="str">
        <v/>
      </c>
      <c r="C99" s="451">
        <v>28</v>
      </c>
      <c r="D99" s="452" t="str">
        <v/>
      </c>
      <c r="E99" s="452"/>
      <c r="F99" s="452"/>
      <c r="G99" s="452"/>
      <c r="H99" s="452"/>
      <c r="I99" s="452"/>
      <c r="J99" s="452"/>
      <c r="K99" s="452"/>
      <c r="L99" s="452"/>
      <c r="M99" s="452"/>
      <c r="N99" s="453">
        <f ca="1">IF(Access_Data!AI$27="",0,Access_Data!AI$27)</f>
        <v>0</v>
      </c>
      <c r="O99" s="453">
        <f ca="1">IF(Access_Data!$AI$29="",0,Access_Data!$AI$29)</f>
        <v>0</v>
      </c>
      <c r="P99" s="453" t="str">
        <f ca="1">IF(ISERROR(Access_Data!$AI$31),0,Access_Data!$AI$31)</f>
        <v/>
      </c>
      <c r="Q99" s="452"/>
      <c r="R99" s="376"/>
      <c r="S99" s="376"/>
    </row>
    <row r="100" spans="1:19" x14ac:dyDescent="0.2">
      <c r="A100" s="449"/>
      <c r="B100" s="450" t="str" cm="1">
        <f t="array" ref="B100:B111">TRANSPOSE(TUS_Worksheet!C$25:N$25)</f>
        <v/>
      </c>
      <c r="C100" s="451">
        <v>29</v>
      </c>
      <c r="D100" s="452" t="str">
        <v/>
      </c>
      <c r="E100" s="452"/>
      <c r="F100" s="452"/>
      <c r="G100" s="452"/>
      <c r="H100" s="452"/>
      <c r="I100" s="452"/>
      <c r="J100" s="452"/>
      <c r="K100" s="452"/>
      <c r="L100" s="452"/>
      <c r="M100" s="452"/>
      <c r="N100" s="453">
        <f ca="1">IF(Access_Data!AP$27="",0,Access_Data!AP$27)</f>
        <v>0</v>
      </c>
      <c r="O100" s="453">
        <f ca="1">IF(Access_Data!$AP$29="",0,Access_Data!$AP$29)</f>
        <v>0</v>
      </c>
      <c r="P100" s="453" t="str">
        <f ca="1">IF(ISERROR(Access_Data!$AP$31),0,Access_Data!$AP$31)</f>
        <v/>
      </c>
      <c r="Q100" s="452"/>
      <c r="R100" s="376"/>
      <c r="S100" s="376"/>
    </row>
    <row r="101" spans="1:19" x14ac:dyDescent="0.2">
      <c r="A101" s="449"/>
      <c r="B101" s="450" t="str">
        <v/>
      </c>
      <c r="C101" s="451">
        <v>30</v>
      </c>
      <c r="D101" s="452" t="str">
        <v/>
      </c>
      <c r="E101" s="452"/>
      <c r="F101" s="452"/>
      <c r="G101" s="452"/>
      <c r="H101" s="452"/>
      <c r="I101" s="452"/>
      <c r="J101" s="452"/>
      <c r="K101" s="452"/>
      <c r="L101" s="452"/>
      <c r="M101" s="452"/>
      <c r="N101" s="453">
        <f ca="1">IF(Access_Data!AQ$27="",0,Access_Data!AQ$27)</f>
        <v>0</v>
      </c>
      <c r="O101" s="453">
        <f ca="1">IF(Access_Data!$AQ$29="",0,Access_Data!$AQ$29)</f>
        <v>0</v>
      </c>
      <c r="P101" s="453">
        <f ca="1">IF(ISERROR(Access_Data!$AQ$31),0,Access_Data!$AQ$31)</f>
        <v>0</v>
      </c>
      <c r="Q101" s="452"/>
      <c r="R101" s="376"/>
      <c r="S101" s="376"/>
    </row>
    <row r="102" spans="1:19" x14ac:dyDescent="0.2">
      <c r="A102" s="449"/>
      <c r="B102" s="450" t="str">
        <v/>
      </c>
      <c r="C102" s="451">
        <v>31</v>
      </c>
      <c r="D102" s="452" t="str">
        <v/>
      </c>
      <c r="E102" s="452"/>
      <c r="F102" s="452"/>
      <c r="G102" s="452"/>
      <c r="H102" s="452"/>
      <c r="I102" s="452"/>
      <c r="J102" s="452"/>
      <c r="K102" s="452"/>
      <c r="L102" s="452"/>
      <c r="M102" s="452"/>
      <c r="N102" s="453">
        <f ca="1">IF(Access_Data!AR$27="",0,Access_Data!AR$27)</f>
        <v>0</v>
      </c>
      <c r="O102" s="453">
        <f ca="1">IF(Access_Data!$AR$29="",0,Access_Data!$AR$29)</f>
        <v>0</v>
      </c>
      <c r="P102" s="453">
        <f ca="1">IF(ISERROR(Access_Data!$AR$31),0,Access_Data!$AR$31)</f>
        <v>0</v>
      </c>
      <c r="Q102" s="452"/>
      <c r="R102" s="376"/>
      <c r="S102" s="376"/>
    </row>
    <row r="103" spans="1:19" x14ac:dyDescent="0.2">
      <c r="A103" s="449"/>
      <c r="B103" s="450" t="str">
        <v/>
      </c>
      <c r="C103" s="451">
        <v>32</v>
      </c>
      <c r="D103" s="452" t="str">
        <v/>
      </c>
      <c r="E103" s="452"/>
      <c r="F103" s="452"/>
      <c r="G103" s="452"/>
      <c r="H103" s="452"/>
      <c r="I103" s="452"/>
      <c r="J103" s="452"/>
      <c r="K103" s="452"/>
      <c r="L103" s="452"/>
      <c r="M103" s="452"/>
      <c r="N103" s="453">
        <f ca="1">IF(Access_Data!AS$27="",0,Access_Data!AS$27)</f>
        <v>0</v>
      </c>
      <c r="O103" s="453">
        <f ca="1">IF(Access_Data!$AS$29="",0,Access_Data!$AS$29)</f>
        <v>0</v>
      </c>
      <c r="P103" s="453">
        <f ca="1">IF(ISERROR(Access_Data!$AS$31),0,Access_Data!$AS$31)</f>
        <v>0</v>
      </c>
      <c r="Q103" s="452"/>
      <c r="R103" s="376"/>
      <c r="S103" s="376"/>
    </row>
    <row r="104" spans="1:19" x14ac:dyDescent="0.2">
      <c r="A104" s="449"/>
      <c r="B104" s="450" t="str">
        <v/>
      </c>
      <c r="C104" s="451">
        <v>33</v>
      </c>
      <c r="D104" s="452" t="str">
        <v/>
      </c>
      <c r="E104" s="452"/>
      <c r="F104" s="452"/>
      <c r="G104" s="452"/>
      <c r="H104" s="452"/>
      <c r="I104" s="452"/>
      <c r="J104" s="452"/>
      <c r="K104" s="452"/>
      <c r="L104" s="452"/>
      <c r="M104" s="452"/>
      <c r="N104" s="453">
        <f ca="1">IF(Access_Data!AT$27="",0,Access_Data!AT$27)</f>
        <v>0</v>
      </c>
      <c r="O104" s="453">
        <f ca="1">IF(Access_Data!$AT$29="",0,Access_Data!$AT$29)</f>
        <v>0</v>
      </c>
      <c r="P104" s="453">
        <f ca="1">IF(ISERROR(Access_Data!$AT$31),0,Access_Data!$AT$31)</f>
        <v>0</v>
      </c>
      <c r="Q104" s="452"/>
      <c r="R104" s="376"/>
      <c r="S104" s="376"/>
    </row>
    <row r="105" spans="1:19" x14ac:dyDescent="0.2">
      <c r="A105" s="449"/>
      <c r="B105" s="450" t="str">
        <v/>
      </c>
      <c r="C105" s="451">
        <v>34</v>
      </c>
      <c r="D105" s="452" t="str">
        <v/>
      </c>
      <c r="E105" s="452"/>
      <c r="F105" s="452"/>
      <c r="G105" s="452"/>
      <c r="H105" s="452"/>
      <c r="I105" s="452"/>
      <c r="J105" s="452"/>
      <c r="K105" s="452"/>
      <c r="L105" s="452"/>
      <c r="M105" s="452"/>
      <c r="N105" s="453">
        <f ca="1">IF(Access_Data!AU$27="",0,Access_Data!AU$27)</f>
        <v>0</v>
      </c>
      <c r="O105" s="453">
        <f ca="1">IF(Access_Data!$AU$29="",0,Access_Data!$AU$29)</f>
        <v>0</v>
      </c>
      <c r="P105" s="453">
        <f ca="1">IF(ISERROR(Access_Data!$AU$31),0,Access_Data!$AU$31)</f>
        <v>0</v>
      </c>
      <c r="Q105" s="452"/>
      <c r="R105" s="376"/>
      <c r="S105" s="376"/>
    </row>
    <row r="106" spans="1:19" x14ac:dyDescent="0.2">
      <c r="A106" s="449"/>
      <c r="B106" s="450" t="str">
        <v/>
      </c>
      <c r="C106" s="451">
        <v>35</v>
      </c>
      <c r="D106" s="452" t="str">
        <v/>
      </c>
      <c r="E106" s="452"/>
      <c r="F106" s="452"/>
      <c r="G106" s="452"/>
      <c r="H106" s="452"/>
      <c r="I106" s="452"/>
      <c r="J106" s="452"/>
      <c r="K106" s="452"/>
      <c r="L106" s="452"/>
      <c r="M106" s="452"/>
      <c r="N106" s="453">
        <f ca="1">IF(Access_Data!AV$27="",0,Access_Data!AV$27)</f>
        <v>0</v>
      </c>
      <c r="O106" s="453">
        <f ca="1">IF(Access_Data!$AV$29="",0,Access_Data!$AV$29)</f>
        <v>0</v>
      </c>
      <c r="P106" s="453">
        <f ca="1">IF(ISERROR(Access_Data!$AV$31),0,Access_Data!$AV$31)</f>
        <v>0</v>
      </c>
      <c r="Q106" s="452"/>
      <c r="R106" s="376"/>
      <c r="S106" s="376"/>
    </row>
    <row r="107" spans="1:19" x14ac:dyDescent="0.2">
      <c r="A107" s="449"/>
      <c r="B107" s="450" t="str">
        <v/>
      </c>
      <c r="C107" s="451">
        <v>36</v>
      </c>
      <c r="D107" s="452" t="str">
        <v/>
      </c>
      <c r="E107" s="452"/>
      <c r="F107" s="452"/>
      <c r="G107" s="452"/>
      <c r="H107" s="452"/>
      <c r="I107" s="452"/>
      <c r="J107" s="452"/>
      <c r="K107" s="452"/>
      <c r="L107" s="452"/>
      <c r="M107" s="452"/>
      <c r="N107" s="453">
        <f ca="1">IF(Access_Data!AW$27="",0,Access_Data!AW$27)</f>
        <v>0</v>
      </c>
      <c r="O107" s="453">
        <f ca="1">IF(Access_Data!$AW$29="",0,Access_Data!$AW$29)</f>
        <v>0</v>
      </c>
      <c r="P107" s="453">
        <f ca="1">IF(ISERROR(Access_Data!$AW$31),0,Access_Data!$AW$31)</f>
        <v>0</v>
      </c>
      <c r="Q107" s="452"/>
      <c r="R107" s="376"/>
      <c r="S107" s="376"/>
    </row>
    <row r="108" spans="1:19" x14ac:dyDescent="0.2">
      <c r="A108" s="449"/>
      <c r="B108" s="450" t="str">
        <v/>
      </c>
      <c r="C108" s="451">
        <v>37</v>
      </c>
      <c r="D108" s="452" t="str">
        <v/>
      </c>
      <c r="E108" s="452"/>
      <c r="F108" s="452"/>
      <c r="G108" s="452"/>
      <c r="H108" s="452"/>
      <c r="I108" s="452"/>
      <c r="J108" s="452"/>
      <c r="K108" s="452"/>
      <c r="L108" s="452"/>
      <c r="M108" s="452"/>
      <c r="N108" s="453">
        <f ca="1">IF(Access_Data!AX$27="",0,Access_Data!AX$27)</f>
        <v>0</v>
      </c>
      <c r="O108" s="453">
        <f ca="1">IF(Access_Data!$AX$29="",0,Access_Data!$AX$29)</f>
        <v>0</v>
      </c>
      <c r="P108" s="453">
        <f ca="1">IF(ISERROR(Access_Data!$AX$31),0,Access_Data!$AX$31)</f>
        <v>0</v>
      </c>
      <c r="Q108" s="452"/>
      <c r="R108" s="376"/>
      <c r="S108" s="376"/>
    </row>
    <row r="109" spans="1:19" x14ac:dyDescent="0.2">
      <c r="A109" s="449"/>
      <c r="B109" s="450" t="str">
        <v/>
      </c>
      <c r="C109" s="451">
        <v>38</v>
      </c>
      <c r="D109" s="452" t="str">
        <v/>
      </c>
      <c r="E109" s="452"/>
      <c r="F109" s="452"/>
      <c r="G109" s="452"/>
      <c r="H109" s="452"/>
      <c r="I109" s="452"/>
      <c r="J109" s="452"/>
      <c r="K109" s="452"/>
      <c r="L109" s="452"/>
      <c r="M109" s="452"/>
      <c r="N109" s="453">
        <f ca="1">IF(Access_Data!AY$27="",0,Access_Data!AY$27)</f>
        <v>0</v>
      </c>
      <c r="O109" s="453">
        <f ca="1">IF(Access_Data!$AY$29="",0,Access_Data!$AY$29)</f>
        <v>0</v>
      </c>
      <c r="P109" s="453">
        <f ca="1">IF(ISERROR(Access_Data!$AY$31),0,Access_Data!$AY$31)</f>
        <v>0</v>
      </c>
      <c r="Q109" s="452"/>
      <c r="R109" s="376"/>
      <c r="S109" s="376"/>
    </row>
    <row r="110" spans="1:19" x14ac:dyDescent="0.2">
      <c r="A110" s="449"/>
      <c r="B110" s="450" t="str">
        <v/>
      </c>
      <c r="C110" s="451">
        <v>39</v>
      </c>
      <c r="D110" s="452" t="str">
        <v/>
      </c>
      <c r="E110" s="452"/>
      <c r="F110" s="452"/>
      <c r="G110" s="452"/>
      <c r="H110" s="452"/>
      <c r="I110" s="452"/>
      <c r="J110" s="452"/>
      <c r="K110" s="452"/>
      <c r="L110" s="452"/>
      <c r="M110" s="452"/>
      <c r="N110" s="453">
        <f ca="1">IF(Access_Data!AZ$27="",0,Access_Data!AZ$27)</f>
        <v>0</v>
      </c>
      <c r="O110" s="453">
        <f ca="1">IF(Access_Data!$AZ$29="",0,Access_Data!$AZ$29)</f>
        <v>0</v>
      </c>
      <c r="P110" s="453">
        <f ca="1">IF(ISERROR(Access_Data!$AZ$31),0,Access_Data!$AZ$31)</f>
        <v>0</v>
      </c>
      <c r="Q110" s="452"/>
      <c r="R110" s="376"/>
      <c r="S110" s="376"/>
    </row>
    <row r="111" spans="1:19" x14ac:dyDescent="0.2">
      <c r="A111" s="449"/>
      <c r="B111" s="450" t="str">
        <v/>
      </c>
      <c r="C111" s="451">
        <v>40</v>
      </c>
      <c r="D111" s="452" t="str">
        <v/>
      </c>
      <c r="E111" s="452"/>
      <c r="F111" s="452"/>
      <c r="G111" s="452"/>
      <c r="H111" s="452"/>
      <c r="I111" s="452"/>
      <c r="J111" s="452"/>
      <c r="K111" s="452"/>
      <c r="L111" s="452"/>
      <c r="M111" s="452"/>
      <c r="N111" s="453">
        <f ca="1">IF(Access_Data!BA$27="",0,Access_Data!BA$27)</f>
        <v>0</v>
      </c>
      <c r="O111" s="453">
        <f ca="1">IF(Access_Data!$BA$29="",0,Access_Data!$BA$29)</f>
        <v>0</v>
      </c>
      <c r="P111" s="453">
        <f ca="1">IF(ISERROR(Access_Data!$BA$31),0,Access_Data!$BA$31)</f>
        <v>0</v>
      </c>
      <c r="Q111" s="452"/>
      <c r="R111" s="376"/>
      <c r="S111" s="376"/>
    </row>
    <row r="112" spans="1:19" x14ac:dyDescent="0.2">
      <c r="A112" s="449"/>
      <c r="B112" s="450"/>
      <c r="C112" s="451"/>
      <c r="D112" s="452"/>
      <c r="E112" s="452"/>
      <c r="F112" s="452"/>
      <c r="G112" s="452"/>
      <c r="H112" s="452"/>
      <c r="I112" s="452"/>
      <c r="J112" s="452"/>
      <c r="K112" s="452"/>
      <c r="L112" s="452"/>
      <c r="M112" s="452"/>
      <c r="N112" s="468"/>
      <c r="O112" s="468"/>
      <c r="P112" s="468"/>
      <c r="Q112" s="452"/>
      <c r="R112" s="376"/>
      <c r="S112" s="376"/>
    </row>
    <row r="113" spans="1:19" x14ac:dyDescent="0.2">
      <c r="A113" s="449"/>
      <c r="B113" s="450"/>
      <c r="C113" s="451"/>
      <c r="D113" s="452"/>
      <c r="E113" s="452"/>
      <c r="F113" s="452"/>
      <c r="G113" s="452"/>
      <c r="H113" s="452"/>
      <c r="I113" s="452"/>
      <c r="J113" s="452"/>
      <c r="K113" s="452"/>
      <c r="L113" s="452"/>
      <c r="M113" s="452"/>
      <c r="N113" s="468"/>
      <c r="O113" s="468"/>
      <c r="P113" s="468"/>
      <c r="Q113" s="452"/>
      <c r="R113" s="376"/>
      <c r="S113" s="376"/>
    </row>
    <row r="114" spans="1:19" x14ac:dyDescent="0.2">
      <c r="A114" s="449"/>
      <c r="B114" s="450"/>
      <c r="C114" s="451"/>
      <c r="D114" s="452"/>
      <c r="E114" s="452"/>
      <c r="F114" s="452"/>
      <c r="G114" s="452"/>
      <c r="H114" s="452"/>
      <c r="I114" s="452"/>
      <c r="J114" s="452"/>
      <c r="K114" s="452"/>
      <c r="L114" s="452"/>
      <c r="M114" s="452"/>
      <c r="N114" s="468"/>
      <c r="O114" s="468"/>
      <c r="P114" s="468"/>
      <c r="Q114" s="452"/>
      <c r="R114" s="376"/>
      <c r="S114" s="376"/>
    </row>
    <row r="115" spans="1:19" x14ac:dyDescent="0.2">
      <c r="A115" s="449"/>
      <c r="B115" s="450"/>
      <c r="C115" s="451"/>
      <c r="D115" s="452"/>
      <c r="E115" s="452"/>
      <c r="F115" s="452"/>
      <c r="G115" s="452"/>
      <c r="H115" s="452"/>
      <c r="I115" s="452"/>
      <c r="J115" s="452"/>
      <c r="K115" s="452"/>
      <c r="L115" s="452"/>
      <c r="M115" s="452"/>
      <c r="N115" s="468"/>
      <c r="O115" s="468"/>
      <c r="P115" s="468"/>
      <c r="Q115" s="452"/>
      <c r="R115" s="376"/>
      <c r="S115" s="376"/>
    </row>
    <row r="116" spans="1:19" x14ac:dyDescent="0.2">
      <c r="A116" s="449"/>
      <c r="B116" s="450"/>
      <c r="C116" s="451"/>
      <c r="D116" s="452"/>
      <c r="E116" s="452"/>
      <c r="F116" s="452"/>
      <c r="G116" s="452"/>
      <c r="H116" s="452"/>
      <c r="I116" s="452"/>
      <c r="J116" s="452"/>
      <c r="K116" s="452"/>
      <c r="L116" s="452"/>
      <c r="M116" s="452"/>
      <c r="N116" s="452"/>
      <c r="O116" s="452"/>
      <c r="P116" s="452"/>
      <c r="Q116" s="452"/>
      <c r="R116" s="376"/>
      <c r="S116" s="376"/>
    </row>
    <row r="117" spans="1:19" x14ac:dyDescent="0.2">
      <c r="A117" s="469"/>
      <c r="B117" s="470"/>
      <c r="C117" s="471"/>
      <c r="D117" s="378"/>
      <c r="E117" s="378"/>
      <c r="F117" s="378"/>
      <c r="G117" s="378"/>
      <c r="H117" s="378"/>
      <c r="I117" s="378"/>
      <c r="J117" s="376"/>
      <c r="K117" s="376"/>
      <c r="L117" s="376"/>
      <c r="M117" s="376"/>
      <c r="N117" s="376"/>
      <c r="O117" s="376"/>
      <c r="P117" s="376"/>
      <c r="Q117" s="376"/>
      <c r="R117" s="376"/>
      <c r="S117" s="376"/>
    </row>
    <row r="118" spans="1:19" x14ac:dyDescent="0.2">
      <c r="A118" s="469"/>
      <c r="B118" s="470"/>
      <c r="C118" s="471"/>
      <c r="D118" s="378"/>
      <c r="E118" s="378"/>
      <c r="F118" s="378"/>
      <c r="G118" s="378"/>
      <c r="H118" s="378"/>
      <c r="I118" s="378"/>
      <c r="J118" s="376"/>
      <c r="K118" s="376"/>
      <c r="L118" s="376"/>
      <c r="M118" s="376"/>
      <c r="N118" s="376"/>
      <c r="O118" s="376"/>
      <c r="P118" s="376"/>
      <c r="Q118" s="376"/>
      <c r="R118" s="376"/>
      <c r="S118" s="376"/>
    </row>
    <row r="119" spans="1:19" x14ac:dyDescent="0.2">
      <c r="A119" s="469"/>
      <c r="B119" s="470"/>
      <c r="C119" s="471"/>
      <c r="D119" s="378"/>
      <c r="E119" s="378"/>
      <c r="F119" s="378"/>
      <c r="G119" s="378"/>
      <c r="H119" s="378"/>
      <c r="I119" s="378"/>
      <c r="J119" s="376"/>
      <c r="K119" s="376"/>
      <c r="L119" s="376"/>
      <c r="M119" s="376"/>
      <c r="N119" s="376"/>
      <c r="O119" s="376"/>
      <c r="P119" s="376"/>
      <c r="Q119" s="376"/>
      <c r="R119" s="376"/>
      <c r="S119" s="376"/>
    </row>
  </sheetData>
  <sheetProtection algorithmName="SHA-512" hashValue="LO8sejSGEAFbvPLZGQm64TxRE6BK06sLtiqBUWFSX34bgNDYvS7yeNPJTpx5h6MrV+q5RJhvTb1xUeKHW9PcyA==" saltValue="bWYaaX94rlEH3UJX2i1BAA==" spinCount="100000" sheet="1" objects="1" scenarios="1" selectLockedCells="1" autoFilter="0"/>
  <dataConsolidate/>
  <mergeCells count="39">
    <mergeCell ref="C59:L59"/>
    <mergeCell ref="J16:K16"/>
    <mergeCell ref="J17:K17"/>
    <mergeCell ref="C58:L58"/>
    <mergeCell ref="P47:Q47"/>
    <mergeCell ref="M48:N48"/>
    <mergeCell ref="P48:R48"/>
    <mergeCell ref="P49:R49"/>
    <mergeCell ref="P50:R50"/>
    <mergeCell ref="D46:I46"/>
    <mergeCell ref="H27:K28"/>
    <mergeCell ref="G23:K23"/>
    <mergeCell ref="G24:K24"/>
    <mergeCell ref="G25:K25"/>
    <mergeCell ref="M46:P46"/>
    <mergeCell ref="P51:R51"/>
    <mergeCell ref="C1:F1"/>
    <mergeCell ref="B34:L34"/>
    <mergeCell ref="P4:Q4"/>
    <mergeCell ref="J3:L3"/>
    <mergeCell ref="J4:K4"/>
    <mergeCell ref="J5:K5"/>
    <mergeCell ref="G19:H19"/>
    <mergeCell ref="K15:L15"/>
    <mergeCell ref="B20:C20"/>
    <mergeCell ref="B24:C24"/>
    <mergeCell ref="K13:L13"/>
    <mergeCell ref="N3:S3"/>
    <mergeCell ref="J6:K6"/>
    <mergeCell ref="D6:H6"/>
    <mergeCell ref="D5:H5"/>
    <mergeCell ref="P52:R52"/>
    <mergeCell ref="P53:R54"/>
    <mergeCell ref="U53:W54"/>
    <mergeCell ref="U48:W48"/>
    <mergeCell ref="U49:W49"/>
    <mergeCell ref="U50:W50"/>
    <mergeCell ref="U51:W51"/>
    <mergeCell ref="U52:W52"/>
  </mergeCells>
  <phoneticPr fontId="23" type="noConversion"/>
  <dataValidations count="15">
    <dataValidation type="list" showInputMessage="1" showErrorMessage="1" sqref="D9" xr:uid="{00000000-0002-0000-0000-000000000000}">
      <formula1>ListNameRange</formula1>
    </dataValidation>
    <dataValidation type="decimal" allowBlank="1" showInputMessage="1" showErrorMessage="1" errorTitle="Invalid Entry" error="Please enter numbers only from -20 to 120." sqref="D23 D27:D28" xr:uid="{00000000-0002-0000-0000-000001000000}">
      <formula1>-20</formula1>
      <formula2>120</formula2>
    </dataValidation>
    <dataValidation type="list" allowBlank="1" showInputMessage="1" showErrorMessage="1" sqref="D18" xr:uid="{00000000-0002-0000-0000-000003000000}">
      <formula1>ListCompRange</formula1>
    </dataValidation>
    <dataValidation type="whole" allowBlank="1" showInputMessage="1" showErrorMessage="1" sqref="B37:B44" xr:uid="{00000000-0002-0000-0000-000004000000}">
      <formula1>1</formula1>
      <formula2>$D$17</formula2>
    </dataValidation>
    <dataValidation type="list" showInputMessage="1" showErrorMessage="1" sqref="D32" xr:uid="{00000000-0002-0000-0000-000005000000}">
      <formula1>B27:B30</formula1>
    </dataValidation>
    <dataValidation type="list" allowBlank="1" showInputMessage="1" showErrorMessage="1" sqref="D48:I48" xr:uid="{00000000-0002-0000-0000-000008000000}">
      <formula1>Wire_Sets_Probes</formula1>
    </dataValidation>
    <dataValidation errorStyle="information" allowBlank="1" showInputMessage="1" showErrorMessage="1" sqref="D4" xr:uid="{1D47EE32-C3DC-420C-AD77-FD3885D0E15A}"/>
    <dataValidation type="list" allowBlank="1" showInputMessage="1" sqref="D7" xr:uid="{2CAEF333-6B84-48D9-95C6-05F8D19A24BF}">
      <formula1>InspectorList</formula1>
    </dataValidation>
    <dataValidation allowBlank="1" showInputMessage="1" sqref="D5:H5" xr:uid="{7C68FC14-C0B8-4478-9D0C-D28543945500}"/>
    <dataValidation type="custom" showInputMessage="1" showErrorMessage="1" errorTitle="Invalid Order Number Format" error="Enter the order number with 5–6 digits, optional &quot;.01&quot; suffix, and optional &quot;56561-&quot; prefix._x000a__x000a_Examples:_x000a_- 54321_x000a_- 054321.01 (child order)_x000a_- 56561-054321_x000a__x000a_Do not include spaces or text." promptTitle="Qualer Order Number Format" prompt="Enter the order number with 5–6 digits, optional &quot;.01&quot; suffix, and optional &quot;56561-&quot; prefix._x000a__x000a_Examples:_x000a_- 54321_x000a_- 054321.01 (child order)_x000a_- 56561-054321_x000a__x000a_Do not include spaces or text." sqref="K14" xr:uid="{5B5EBED9-BEE7-41E6-BB64-E9F421E1B036}">
      <formula1>_xlfn.REGEXTEST(K14, "^(56561-)?\d{5,6}(\.\d{1,2})?$")</formula1>
    </dataValidation>
    <dataValidation type="custom" showInputMessage="1" showErrorMessage="1" errorTitle="Invalid Item Number Format" error="Enter a 1–2 digit item number, optionally followed by a revision like R1 or R12. Examples: 1, 01, 1R1, 01R1,...,99R99. Do not include dashes or extra spaces." sqref="D24" xr:uid="{924A112F-BF65-4A6D-831F-1D35F3A999EB}">
      <formula1>_xlfn.REGEXTEST(D24, "^\d{1,2}(R\d{1,2})?$")</formula1>
    </dataValidation>
    <dataValidation type="decimal" showInputMessage="1" showErrorMessage="1" errorTitle="Invalid format" error="Not a valid time format." promptTitle="Pro Tip" prompt="Ctrl+Shift+; will input the current time into the active cell." sqref="D30" xr:uid="{D604B3E8-0339-4A3C-B2FB-2C90825498AC}">
      <formula1>0</formula1>
      <formula2>1</formula2>
    </dataValidation>
    <dataValidation type="date" errorStyle="warning" operator="lessThanOrEqual" showInputMessage="1" showErrorMessage="1" errorTitle="Date is in the future" error="You might want to double check that!" promptTitle="Pro Tip:" prompt="Ctrl+; will input the current date into the active cell." sqref="D3" xr:uid="{CB75B26B-D382-46FC-B009-A808C1D11B20}">
      <formula1>TODAY()</formula1>
    </dataValidation>
    <dataValidation type="whole" operator="greaterThan" showInputMessage="1" showErrorMessage="1" errorTitle="Invalid Entry" error="Please enter numbers only from -20 to 120." sqref="D26" xr:uid="{204CAB55-C38F-452B-A129-1254A1D9FD68}">
      <formula1>0</formula1>
    </dataValidation>
    <dataValidation type="decimal" allowBlank="1" showInputMessage="1" showErrorMessage="1" sqref="D15:D16" xr:uid="{A0DF885A-42D4-4E77-8152-E7FAA14899FC}">
      <formula1>-112</formula1>
      <formula2>2372</formula2>
    </dataValidation>
  </dataValidations>
  <hyperlinks>
    <hyperlink ref="C48" r:id="rId1" xr:uid="{F0777E1D-400B-4687-AD96-8173F567CD93}"/>
  </hyperlinks>
  <printOptions headings="1" gridLines="1"/>
  <pageMargins left="0.75" right="0.75" top="1" bottom="1" header="0.5" footer="0.5"/>
  <pageSetup scale="36" fitToHeight="4" orientation="landscape" horizontalDpi="4294967295" verticalDpi="4294967295" r:id="rId2"/>
  <headerFooter alignWithMargins="0"/>
  <customProperties>
    <customPr name="%locator_row%" r:id="rId3"/>
    <customPr name="%startcell%" r:id="rId4"/>
  </customProperties>
  <ignoredErrors>
    <ignoredError sqref="D6 D20 D11:D14" evalError="1"/>
    <ignoredError sqref="D7" unlockedFormula="1"/>
  </ignoredErrors>
  <drawing r:id="rId5"/>
  <legacyDrawing r:id="rId6"/>
  <mc:AlternateContent xmlns:mc="http://schemas.openxmlformats.org/markup-compatibility/2006">
    <mc:Choice Requires="x14">
      <controls>
        <mc:AlternateContent xmlns:mc="http://schemas.openxmlformats.org/markup-compatibility/2006">
          <mc:Choice Requires="x14">
            <control shapeId="4098" r:id="rId7" name="Check Box 2">
              <controlPr locked="0" defaultSize="0" autoFill="0" autoLine="0" autoPict="0" altText="AMS Only Uncertainty Statement">
                <anchor moveWithCells="1">
                  <from>
                    <xdr:col>4</xdr:col>
                    <xdr:colOff>28575</xdr:colOff>
                    <xdr:row>18</xdr:row>
                    <xdr:rowOff>142875</xdr:rowOff>
                  </from>
                  <to>
                    <xdr:col>6</xdr:col>
                    <xdr:colOff>1009650</xdr:colOff>
                    <xdr:row>20</xdr:row>
                    <xdr:rowOff>0</xdr:rowOff>
                  </to>
                </anchor>
              </controlPr>
            </control>
          </mc:Choice>
        </mc:AlternateContent>
        <mc:AlternateContent xmlns:mc="http://schemas.openxmlformats.org/markup-compatibility/2006">
          <mc:Choice Requires="x14">
            <control shapeId="4101" r:id="rId8" name="Check Box 5">
              <controlPr locked="0" defaultSize="0" autoFill="0" autoLine="0" autoPict="0" altText="">
                <anchor moveWithCells="1">
                  <from>
                    <xdr:col>9</xdr:col>
                    <xdr:colOff>19050</xdr:colOff>
                    <xdr:row>17</xdr:row>
                    <xdr:rowOff>76200</xdr:rowOff>
                  </from>
                  <to>
                    <xdr:col>11</xdr:col>
                    <xdr:colOff>533400</xdr:colOff>
                    <xdr:row>18</xdr:row>
                    <xdr:rowOff>133350</xdr:rowOff>
                  </to>
                </anchor>
              </controlPr>
            </control>
          </mc:Choice>
        </mc:AlternateContent>
        <mc:AlternateContent xmlns:mc="http://schemas.openxmlformats.org/markup-compatibility/2006">
          <mc:Choice Requires="x14">
            <control shapeId="4102" r:id="rId9" name="Check Box 6">
              <controlPr locked="0" defaultSize="0" autoFill="0" autoLine="0" autoPict="0">
                <anchor moveWithCells="1">
                  <from>
                    <xdr:col>9</xdr:col>
                    <xdr:colOff>19050</xdr:colOff>
                    <xdr:row>19</xdr:row>
                    <xdr:rowOff>0</xdr:rowOff>
                  </from>
                  <to>
                    <xdr:col>11</xdr:col>
                    <xdr:colOff>704850</xdr:colOff>
                    <xdr:row>20</xdr:row>
                    <xdr:rowOff>57150</xdr:rowOff>
                  </to>
                </anchor>
              </controlPr>
            </control>
          </mc:Choice>
        </mc:AlternateContent>
        <mc:AlternateContent xmlns:mc="http://schemas.openxmlformats.org/markup-compatibility/2006">
          <mc:Choice Requires="x14">
            <control shapeId="4103" r:id="rId10" name="Button 7">
              <controlPr defaultSize="0" print="0" autoFill="0" autoPict="0" macro="[0]!Printselection">
                <anchor moveWithCells="1" sizeWithCells="1">
                  <from>
                    <xdr:col>14</xdr:col>
                    <xdr:colOff>571500</xdr:colOff>
                    <xdr:row>0</xdr:row>
                    <xdr:rowOff>38100</xdr:rowOff>
                  </from>
                  <to>
                    <xdr:col>17</xdr:col>
                    <xdr:colOff>381000</xdr:colOff>
                    <xdr:row>0</xdr:row>
                    <xdr:rowOff>276225</xdr:rowOff>
                  </to>
                </anchor>
              </controlPr>
            </control>
          </mc:Choice>
        </mc:AlternateContent>
        <mc:AlternateContent xmlns:mc="http://schemas.openxmlformats.org/markup-compatibility/2006">
          <mc:Choice Requires="x14">
            <control shapeId="4106" r:id="rId11" name="Check Box 10">
              <controlPr locked="0" defaultSize="0" autoFill="0" autoLine="0" autoPict="0" altText="Check to verify load">
                <anchor moveWithCells="1">
                  <from>
                    <xdr:col>7</xdr:col>
                    <xdr:colOff>0</xdr:colOff>
                    <xdr:row>15</xdr:row>
                    <xdr:rowOff>114300</xdr:rowOff>
                  </from>
                  <to>
                    <xdr:col>8</xdr:col>
                    <xdr:colOff>552450</xdr:colOff>
                    <xdr:row>17</xdr:row>
                    <xdr:rowOff>28575</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4">
        <x14:dataValidation type="list" allowBlank="1" showInputMessage="1" showErrorMessage="1" xr:uid="{00000000-0002-0000-0000-000006000000}">
          <x14:formula1>
            <xm:f>Standards_Info!$Q$2:$Q$8</xm:f>
          </x14:formula1>
          <xm:sqref>K15:L15</xm:sqref>
        </x14:dataValidation>
        <x14:dataValidation type="list" allowBlank="1" showInputMessage="1" showErrorMessage="1" xr:uid="{A62772CA-83D1-4F3C-908D-0CAC19BD1B11}">
          <x14:formula1>
            <xm:f>Standards_Info!$AE$9:$AE$15</xm:f>
          </x14:formula1>
          <xm:sqref>R47</xm:sqref>
        </x14:dataValidation>
        <x14:dataValidation type="list" allowBlank="1" showInputMessage="1" showErrorMessage="1" xr:uid="{F5F7F647-41C0-46F7-B6A4-4821594C7E87}">
          <x14:formula1>
            <xm:f>Standards_Info!$AE$2:$AE$4</xm:f>
          </x14:formula1>
          <xm:sqref>N47</xm:sqref>
        </x14:dataValidation>
        <x14:dataValidation type="custom" allowBlank="1" showInputMessage="1" showErrorMessage="1" xr:uid="{00000000-0002-0000-0000-000002000000}">
          <x14:formula1>
            <xm:f>AND(ISNUMBER(D17), D17 &gt;= 1, D17 &lt;= IFERROR(VLOOKUP(D9, Standards_Info!A2:E9, 5, FALSE)+0, 0))</xm:f>
          </x14:formula1>
          <xm:sqref>D17</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08A2E2-2441-4F27-B2A9-8B8B005CD8DE}">
  <sheetPr codeName="Sheet10"/>
  <dimension ref="A1:AL67"/>
  <sheetViews>
    <sheetView topLeftCell="AD1" workbookViewId="0">
      <selection activeCell="C26" sqref="C26"/>
    </sheetView>
  </sheetViews>
  <sheetFormatPr defaultRowHeight="12.75" x14ac:dyDescent="0.2"/>
  <cols>
    <col min="1" max="1" width="9.7109375" bestFit="1" customWidth="1"/>
    <col min="2" max="2" width="23.28515625" bestFit="1" customWidth="1"/>
    <col min="3" max="3" width="29.140625" bestFit="1" customWidth="1"/>
    <col min="4" max="4" width="21" bestFit="1" customWidth="1"/>
    <col min="5" max="5" width="22.140625" bestFit="1" customWidth="1"/>
    <col min="6" max="6" width="22.7109375" bestFit="1" customWidth="1"/>
    <col min="7" max="7" width="22.5703125" bestFit="1" customWidth="1"/>
    <col min="8" max="8" width="19.85546875" bestFit="1" customWidth="1"/>
    <col min="9" max="9" width="20" bestFit="1" customWidth="1"/>
    <col min="10" max="10" width="14.42578125" bestFit="1" customWidth="1"/>
    <col min="11" max="11" width="16.85546875" bestFit="1" customWidth="1"/>
    <col min="12" max="12" width="14.42578125" bestFit="1" customWidth="1"/>
    <col min="13" max="13" width="18.5703125" bestFit="1" customWidth="1"/>
    <col min="14" max="14" width="16" bestFit="1" customWidth="1"/>
    <col min="15" max="15" width="12" bestFit="1" customWidth="1"/>
    <col min="16" max="16" width="27.7109375" bestFit="1" customWidth="1"/>
    <col min="17" max="17" width="18.5703125" bestFit="1" customWidth="1"/>
    <col min="18" max="18" width="19.140625" bestFit="1" customWidth="1"/>
    <col min="19" max="19" width="81.140625" bestFit="1" customWidth="1"/>
    <col min="20" max="20" width="23.140625" bestFit="1" customWidth="1"/>
    <col min="21" max="22" width="18.5703125" bestFit="1" customWidth="1"/>
    <col min="23" max="23" width="21.28515625" bestFit="1" customWidth="1"/>
    <col min="24" max="24" width="17" bestFit="1" customWidth="1"/>
    <col min="25" max="25" width="30.28515625" bestFit="1" customWidth="1"/>
    <col min="26" max="26" width="15.140625" bestFit="1" customWidth="1"/>
    <col min="27" max="27" width="20.140625" bestFit="1" customWidth="1"/>
    <col min="28" max="28" width="19.5703125" bestFit="1" customWidth="1"/>
    <col min="29" max="29" width="24.42578125" bestFit="1" customWidth="1"/>
    <col min="30" max="30" width="67.28515625" bestFit="1" customWidth="1"/>
    <col min="31" max="31" width="81.140625" bestFit="1" customWidth="1"/>
    <col min="32" max="32" width="14.42578125" bestFit="1" customWidth="1"/>
    <col min="33" max="33" width="28.7109375" bestFit="1" customWidth="1"/>
    <col min="34" max="35" width="16.85546875" bestFit="1" customWidth="1"/>
    <col min="36" max="36" width="36.140625" bestFit="1" customWidth="1"/>
    <col min="37" max="37" width="17.28515625" bestFit="1" customWidth="1"/>
    <col min="38" max="38" width="27.42578125" bestFit="1" customWidth="1"/>
  </cols>
  <sheetData>
    <row r="1" spans="1:38" x14ac:dyDescent="0.2">
      <c r="A1" t="s">
        <v>439</v>
      </c>
      <c r="B1" t="s">
        <v>580</v>
      </c>
      <c r="C1" t="s">
        <v>581</v>
      </c>
      <c r="D1" t="s">
        <v>582</v>
      </c>
      <c r="E1" t="s">
        <v>583</v>
      </c>
      <c r="F1" t="s">
        <v>578</v>
      </c>
      <c r="G1" t="s">
        <v>568</v>
      </c>
      <c r="H1" t="s">
        <v>549</v>
      </c>
      <c r="I1" t="s">
        <v>569</v>
      </c>
      <c r="J1" t="s">
        <v>554</v>
      </c>
      <c r="K1" t="s">
        <v>555</v>
      </c>
      <c r="L1" t="s">
        <v>556</v>
      </c>
      <c r="M1" t="s">
        <v>570</v>
      </c>
      <c r="N1" t="s">
        <v>437</v>
      </c>
      <c r="O1" t="s">
        <v>438</v>
      </c>
      <c r="P1" t="s">
        <v>440</v>
      </c>
      <c r="Q1" t="s">
        <v>558</v>
      </c>
      <c r="R1" t="s">
        <v>559</v>
      </c>
      <c r="S1" t="s">
        <v>560</v>
      </c>
      <c r="T1" t="s">
        <v>557</v>
      </c>
      <c r="U1" t="s">
        <v>571</v>
      </c>
      <c r="V1" t="s">
        <v>572</v>
      </c>
      <c r="W1" t="s">
        <v>561</v>
      </c>
      <c r="X1" t="s">
        <v>562</v>
      </c>
      <c r="Y1" t="s">
        <v>563</v>
      </c>
      <c r="Z1" t="s">
        <v>550</v>
      </c>
      <c r="AA1" t="s">
        <v>551</v>
      </c>
      <c r="AB1" t="s">
        <v>552</v>
      </c>
      <c r="AC1" t="s">
        <v>553</v>
      </c>
      <c r="AD1" t="s">
        <v>441</v>
      </c>
      <c r="AE1" t="s">
        <v>442</v>
      </c>
      <c r="AF1" t="s">
        <v>566</v>
      </c>
      <c r="AG1" t="s">
        <v>567</v>
      </c>
      <c r="AH1" t="s">
        <v>564</v>
      </c>
      <c r="AI1" t="s">
        <v>565</v>
      </c>
      <c r="AJ1" t="s">
        <v>579</v>
      </c>
      <c r="AK1" t="s">
        <v>584</v>
      </c>
      <c r="AL1" t="s">
        <v>585</v>
      </c>
    </row>
    <row r="2" spans="1:38" x14ac:dyDescent="0.2">
      <c r="A2">
        <v>1235344</v>
      </c>
      <c r="B2">
        <v>6864835</v>
      </c>
      <c r="C2">
        <v>7653243</v>
      </c>
      <c r="E2" t="b">
        <v>0</v>
      </c>
      <c r="G2" t="s">
        <v>608</v>
      </c>
      <c r="I2" t="s">
        <v>609</v>
      </c>
      <c r="J2" t="s">
        <v>573</v>
      </c>
      <c r="K2" t="s">
        <v>573</v>
      </c>
      <c r="L2" t="s">
        <v>573</v>
      </c>
      <c r="M2" t="s">
        <v>610</v>
      </c>
      <c r="N2" t="s">
        <v>443</v>
      </c>
      <c r="O2" t="s">
        <v>356</v>
      </c>
      <c r="P2" t="s">
        <v>136</v>
      </c>
      <c r="V2" t="s">
        <v>611</v>
      </c>
      <c r="Y2" t="s">
        <v>612</v>
      </c>
      <c r="AD2" t="s">
        <v>355</v>
      </c>
      <c r="AE2" t="s">
        <v>444</v>
      </c>
      <c r="AJ2" t="s">
        <v>613</v>
      </c>
      <c r="AK2" t="s">
        <v>614</v>
      </c>
      <c r="AL2" t="s">
        <v>615</v>
      </c>
    </row>
    <row r="3" spans="1:38" x14ac:dyDescent="0.2">
      <c r="A3">
        <v>1235555</v>
      </c>
      <c r="B3">
        <v>8036587</v>
      </c>
      <c r="C3">
        <v>7589603</v>
      </c>
      <c r="E3" t="b">
        <v>0</v>
      </c>
      <c r="F3">
        <v>72040</v>
      </c>
      <c r="G3" t="s">
        <v>616</v>
      </c>
      <c r="H3">
        <v>1</v>
      </c>
      <c r="I3" t="s">
        <v>617</v>
      </c>
      <c r="J3" t="s">
        <v>574</v>
      </c>
      <c r="K3" t="s">
        <v>573</v>
      </c>
      <c r="L3" t="s">
        <v>575</v>
      </c>
      <c r="M3" t="s">
        <v>618</v>
      </c>
      <c r="N3" t="s">
        <v>487</v>
      </c>
      <c r="O3" t="s">
        <v>248</v>
      </c>
      <c r="P3" t="s">
        <v>465</v>
      </c>
      <c r="S3" t="s">
        <v>619</v>
      </c>
      <c r="U3" t="s">
        <v>620</v>
      </c>
      <c r="V3" t="s">
        <v>621</v>
      </c>
      <c r="W3" t="s">
        <v>482</v>
      </c>
      <c r="X3" t="s">
        <v>576</v>
      </c>
      <c r="Y3" t="s">
        <v>622</v>
      </c>
      <c r="Z3" t="s">
        <v>588</v>
      </c>
      <c r="AB3" t="s">
        <v>614</v>
      </c>
      <c r="AD3" t="s">
        <v>577</v>
      </c>
      <c r="AE3" t="s">
        <v>577</v>
      </c>
      <c r="AF3">
        <v>0</v>
      </c>
      <c r="AG3">
        <v>0</v>
      </c>
      <c r="AH3">
        <v>46</v>
      </c>
      <c r="AI3">
        <v>0</v>
      </c>
      <c r="AJ3" t="s">
        <v>590</v>
      </c>
      <c r="AK3" t="s">
        <v>614</v>
      </c>
      <c r="AL3" t="s">
        <v>623</v>
      </c>
    </row>
    <row r="4" spans="1:38" x14ac:dyDescent="0.2">
      <c r="A4">
        <v>1235388</v>
      </c>
      <c r="B4">
        <v>7537859</v>
      </c>
      <c r="C4">
        <v>187510</v>
      </c>
      <c r="E4" t="b">
        <v>0</v>
      </c>
      <c r="F4">
        <v>62285</v>
      </c>
      <c r="G4" t="s">
        <v>624</v>
      </c>
      <c r="H4">
        <v>1</v>
      </c>
      <c r="I4" t="s">
        <v>625</v>
      </c>
      <c r="J4" t="s">
        <v>574</v>
      </c>
      <c r="K4" t="s">
        <v>573</v>
      </c>
      <c r="L4" t="s">
        <v>575</v>
      </c>
      <c r="M4" t="s">
        <v>626</v>
      </c>
      <c r="N4" t="s">
        <v>447</v>
      </c>
      <c r="O4" t="s">
        <v>256</v>
      </c>
      <c r="P4" t="s">
        <v>448</v>
      </c>
      <c r="S4" t="s">
        <v>627</v>
      </c>
      <c r="U4" t="s">
        <v>628</v>
      </c>
      <c r="V4" t="s">
        <v>629</v>
      </c>
      <c r="W4" t="s">
        <v>630</v>
      </c>
      <c r="X4" t="s">
        <v>576</v>
      </c>
      <c r="Y4" t="s">
        <v>622</v>
      </c>
      <c r="Z4" t="s">
        <v>588</v>
      </c>
      <c r="AA4" t="s">
        <v>34</v>
      </c>
      <c r="AB4" t="s">
        <v>631</v>
      </c>
      <c r="AD4" t="s">
        <v>255</v>
      </c>
      <c r="AE4" t="s">
        <v>449</v>
      </c>
      <c r="AF4">
        <v>0</v>
      </c>
      <c r="AG4">
        <v>0</v>
      </c>
      <c r="AH4">
        <v>70</v>
      </c>
      <c r="AI4">
        <v>0</v>
      </c>
      <c r="AJ4" t="s">
        <v>590</v>
      </c>
      <c r="AK4" t="s">
        <v>631</v>
      </c>
      <c r="AL4" t="s">
        <v>591</v>
      </c>
    </row>
    <row r="5" spans="1:38" x14ac:dyDescent="0.2">
      <c r="A5">
        <v>1235682</v>
      </c>
      <c r="B5">
        <v>7943647</v>
      </c>
      <c r="C5">
        <v>187508</v>
      </c>
      <c r="E5" t="b">
        <v>0</v>
      </c>
      <c r="F5">
        <v>69999</v>
      </c>
      <c r="G5" t="s">
        <v>632</v>
      </c>
      <c r="H5">
        <v>1</v>
      </c>
      <c r="I5" t="s">
        <v>633</v>
      </c>
      <c r="J5" t="s">
        <v>574</v>
      </c>
      <c r="K5" t="s">
        <v>575</v>
      </c>
      <c r="L5" t="s">
        <v>575</v>
      </c>
      <c r="M5" t="s">
        <v>634</v>
      </c>
      <c r="N5" t="s">
        <v>516</v>
      </c>
      <c r="O5" t="s">
        <v>59</v>
      </c>
      <c r="S5" t="s">
        <v>586</v>
      </c>
      <c r="U5" t="s">
        <v>635</v>
      </c>
      <c r="V5" t="s">
        <v>636</v>
      </c>
      <c r="W5" t="s">
        <v>482</v>
      </c>
      <c r="X5" t="s">
        <v>576</v>
      </c>
      <c r="Y5" t="s">
        <v>587</v>
      </c>
      <c r="Z5" t="s">
        <v>588</v>
      </c>
      <c r="AA5" t="s">
        <v>34</v>
      </c>
      <c r="AB5" t="s">
        <v>589</v>
      </c>
      <c r="AD5" t="s">
        <v>517</v>
      </c>
      <c r="AE5" t="s">
        <v>462</v>
      </c>
      <c r="AF5">
        <v>0</v>
      </c>
      <c r="AG5">
        <v>0</v>
      </c>
      <c r="AH5">
        <v>392.75</v>
      </c>
      <c r="AI5">
        <v>0</v>
      </c>
      <c r="AJ5" t="s">
        <v>590</v>
      </c>
      <c r="AK5" t="s">
        <v>589</v>
      </c>
      <c r="AL5" t="s">
        <v>591</v>
      </c>
    </row>
    <row r="6" spans="1:38" x14ac:dyDescent="0.2">
      <c r="A6">
        <v>1235426</v>
      </c>
      <c r="B6">
        <v>8035840</v>
      </c>
      <c r="C6">
        <v>187508</v>
      </c>
      <c r="E6" t="b">
        <v>0</v>
      </c>
      <c r="F6">
        <v>72024</v>
      </c>
      <c r="G6" t="s">
        <v>595</v>
      </c>
      <c r="H6">
        <v>1</v>
      </c>
      <c r="I6" t="s">
        <v>596</v>
      </c>
      <c r="J6" t="s">
        <v>574</v>
      </c>
      <c r="K6" t="s">
        <v>575</v>
      </c>
      <c r="L6" t="s">
        <v>575</v>
      </c>
      <c r="M6" t="s">
        <v>637</v>
      </c>
      <c r="N6" t="s">
        <v>460</v>
      </c>
      <c r="O6" t="s">
        <v>70</v>
      </c>
      <c r="S6" t="s">
        <v>586</v>
      </c>
      <c r="U6" t="s">
        <v>638</v>
      </c>
      <c r="V6" t="s">
        <v>639</v>
      </c>
      <c r="W6" t="s">
        <v>482</v>
      </c>
      <c r="X6" t="s">
        <v>576</v>
      </c>
      <c r="Y6" t="s">
        <v>587</v>
      </c>
      <c r="Z6" t="s">
        <v>588</v>
      </c>
      <c r="AA6" t="s">
        <v>34</v>
      </c>
      <c r="AB6" t="s">
        <v>589</v>
      </c>
      <c r="AD6" t="s">
        <v>461</v>
      </c>
      <c r="AE6" t="s">
        <v>462</v>
      </c>
      <c r="AF6">
        <v>0</v>
      </c>
      <c r="AG6">
        <v>0</v>
      </c>
      <c r="AH6">
        <v>392.75</v>
      </c>
      <c r="AI6">
        <v>0</v>
      </c>
      <c r="AJ6" t="s">
        <v>590</v>
      </c>
      <c r="AK6" t="s">
        <v>589</v>
      </c>
      <c r="AL6" t="s">
        <v>591</v>
      </c>
    </row>
    <row r="7" spans="1:38" x14ac:dyDescent="0.2">
      <c r="A7">
        <v>1235686</v>
      </c>
      <c r="B7">
        <v>8143520</v>
      </c>
      <c r="C7">
        <v>187508</v>
      </c>
      <c r="E7" t="b">
        <v>0</v>
      </c>
      <c r="F7">
        <v>73531</v>
      </c>
      <c r="G7" t="s">
        <v>593</v>
      </c>
      <c r="H7">
        <v>1</v>
      </c>
      <c r="I7" t="s">
        <v>594</v>
      </c>
      <c r="J7" t="s">
        <v>574</v>
      </c>
      <c r="K7" t="s">
        <v>575</v>
      </c>
      <c r="L7" t="s">
        <v>575</v>
      </c>
      <c r="M7" t="s">
        <v>640</v>
      </c>
      <c r="N7" t="s">
        <v>518</v>
      </c>
      <c r="O7" t="s">
        <v>71</v>
      </c>
      <c r="S7" t="s">
        <v>586</v>
      </c>
      <c r="U7" t="s">
        <v>641</v>
      </c>
      <c r="V7" t="s">
        <v>642</v>
      </c>
      <c r="W7" t="s">
        <v>482</v>
      </c>
      <c r="X7" t="s">
        <v>576</v>
      </c>
      <c r="Y7" t="s">
        <v>587</v>
      </c>
      <c r="Z7" t="s">
        <v>588</v>
      </c>
      <c r="AA7" t="s">
        <v>34</v>
      </c>
      <c r="AB7" t="s">
        <v>589</v>
      </c>
      <c r="AD7" t="s">
        <v>519</v>
      </c>
      <c r="AE7" t="s">
        <v>520</v>
      </c>
      <c r="AF7">
        <v>0</v>
      </c>
      <c r="AG7">
        <v>0</v>
      </c>
      <c r="AH7">
        <v>392.75</v>
      </c>
      <c r="AI7">
        <v>0</v>
      </c>
      <c r="AJ7" t="s">
        <v>590</v>
      </c>
      <c r="AK7" t="s">
        <v>589</v>
      </c>
      <c r="AL7" t="s">
        <v>591</v>
      </c>
    </row>
    <row r="8" spans="1:38" x14ac:dyDescent="0.2">
      <c r="A8">
        <v>1235630</v>
      </c>
      <c r="B8">
        <v>7925909</v>
      </c>
      <c r="C8">
        <v>187508</v>
      </c>
      <c r="E8" t="b">
        <v>0</v>
      </c>
      <c r="F8">
        <v>69663</v>
      </c>
      <c r="G8" t="s">
        <v>643</v>
      </c>
      <c r="H8">
        <v>1</v>
      </c>
      <c r="I8" t="s">
        <v>644</v>
      </c>
      <c r="J8" t="s">
        <v>574</v>
      </c>
      <c r="K8" t="s">
        <v>575</v>
      </c>
      <c r="L8" t="s">
        <v>575</v>
      </c>
      <c r="M8" t="s">
        <v>645</v>
      </c>
      <c r="N8" t="s">
        <v>505</v>
      </c>
      <c r="O8" t="s">
        <v>130</v>
      </c>
      <c r="S8" t="s">
        <v>586</v>
      </c>
      <c r="U8" t="s">
        <v>646</v>
      </c>
      <c r="V8" t="s">
        <v>647</v>
      </c>
      <c r="W8" t="s">
        <v>482</v>
      </c>
      <c r="X8" t="s">
        <v>576</v>
      </c>
      <c r="Y8" t="s">
        <v>587</v>
      </c>
      <c r="Z8" t="s">
        <v>588</v>
      </c>
      <c r="AA8" t="s">
        <v>34</v>
      </c>
      <c r="AB8" t="s">
        <v>589</v>
      </c>
      <c r="AD8" t="s">
        <v>506</v>
      </c>
      <c r="AE8" t="s">
        <v>462</v>
      </c>
      <c r="AF8">
        <v>0</v>
      </c>
      <c r="AG8">
        <v>0</v>
      </c>
      <c r="AH8">
        <v>392.75</v>
      </c>
      <c r="AI8">
        <v>0</v>
      </c>
      <c r="AJ8" t="s">
        <v>590</v>
      </c>
      <c r="AK8" t="s">
        <v>589</v>
      </c>
      <c r="AL8" t="s">
        <v>591</v>
      </c>
    </row>
    <row r="9" spans="1:38" x14ac:dyDescent="0.2">
      <c r="A9">
        <v>1235561</v>
      </c>
      <c r="B9">
        <v>7925915</v>
      </c>
      <c r="C9">
        <v>187508</v>
      </c>
      <c r="E9" t="b">
        <v>0</v>
      </c>
      <c r="F9">
        <v>69665</v>
      </c>
      <c r="G9" t="s">
        <v>648</v>
      </c>
      <c r="H9">
        <v>1</v>
      </c>
      <c r="I9" t="s">
        <v>649</v>
      </c>
      <c r="J9" t="s">
        <v>574</v>
      </c>
      <c r="K9" t="s">
        <v>575</v>
      </c>
      <c r="L9" t="s">
        <v>575</v>
      </c>
      <c r="M9" t="s">
        <v>650</v>
      </c>
      <c r="N9" t="s">
        <v>488</v>
      </c>
      <c r="O9" t="s">
        <v>134</v>
      </c>
      <c r="S9" t="s">
        <v>586</v>
      </c>
      <c r="U9" t="s">
        <v>646</v>
      </c>
      <c r="V9" t="s">
        <v>651</v>
      </c>
      <c r="W9" t="s">
        <v>482</v>
      </c>
      <c r="X9" t="s">
        <v>576</v>
      </c>
      <c r="Y9" t="s">
        <v>587</v>
      </c>
      <c r="Z9" t="s">
        <v>588</v>
      </c>
      <c r="AA9" t="s">
        <v>34</v>
      </c>
      <c r="AB9" t="s">
        <v>589</v>
      </c>
      <c r="AD9" t="s">
        <v>489</v>
      </c>
      <c r="AE9" t="s">
        <v>490</v>
      </c>
      <c r="AF9">
        <v>0</v>
      </c>
      <c r="AG9">
        <v>0</v>
      </c>
      <c r="AH9">
        <v>392.75</v>
      </c>
      <c r="AI9">
        <v>0</v>
      </c>
      <c r="AJ9" t="s">
        <v>590</v>
      </c>
      <c r="AK9" t="s">
        <v>589</v>
      </c>
      <c r="AL9" t="s">
        <v>591</v>
      </c>
    </row>
    <row r="10" spans="1:38" x14ac:dyDescent="0.2">
      <c r="A10">
        <v>1235543</v>
      </c>
      <c r="B10">
        <v>8075187</v>
      </c>
      <c r="C10">
        <v>187508</v>
      </c>
      <c r="E10" t="b">
        <v>0</v>
      </c>
      <c r="F10">
        <v>72822</v>
      </c>
      <c r="G10" t="s">
        <v>652</v>
      </c>
      <c r="H10">
        <v>1</v>
      </c>
      <c r="I10" t="s">
        <v>653</v>
      </c>
      <c r="J10" t="s">
        <v>574</v>
      </c>
      <c r="K10" t="s">
        <v>575</v>
      </c>
      <c r="L10" t="s">
        <v>575</v>
      </c>
      <c r="M10" t="s">
        <v>654</v>
      </c>
      <c r="N10" t="s">
        <v>485</v>
      </c>
      <c r="O10" t="s">
        <v>133</v>
      </c>
      <c r="S10" t="s">
        <v>586</v>
      </c>
      <c r="U10" t="s">
        <v>655</v>
      </c>
      <c r="V10" t="s">
        <v>656</v>
      </c>
      <c r="W10" t="s">
        <v>482</v>
      </c>
      <c r="X10" t="s">
        <v>576</v>
      </c>
      <c r="Y10" t="s">
        <v>587</v>
      </c>
      <c r="Z10" t="s">
        <v>588</v>
      </c>
      <c r="AA10" t="s">
        <v>34</v>
      </c>
      <c r="AB10" t="s">
        <v>589</v>
      </c>
      <c r="AD10" t="s">
        <v>461</v>
      </c>
      <c r="AE10" t="s">
        <v>486</v>
      </c>
      <c r="AF10">
        <v>0</v>
      </c>
      <c r="AG10">
        <v>0</v>
      </c>
      <c r="AH10">
        <v>392.75</v>
      </c>
      <c r="AI10">
        <v>0</v>
      </c>
      <c r="AJ10" t="s">
        <v>590</v>
      </c>
      <c r="AK10" t="s">
        <v>589</v>
      </c>
      <c r="AL10" t="s">
        <v>591</v>
      </c>
    </row>
    <row r="11" spans="1:38" x14ac:dyDescent="0.2">
      <c r="A11">
        <v>1235622</v>
      </c>
      <c r="B11">
        <v>7925914</v>
      </c>
      <c r="C11">
        <v>187508</v>
      </c>
      <c r="E11" t="b">
        <v>0</v>
      </c>
      <c r="F11">
        <v>69664</v>
      </c>
      <c r="G11" t="s">
        <v>657</v>
      </c>
      <c r="H11">
        <v>1</v>
      </c>
      <c r="I11" t="s">
        <v>658</v>
      </c>
      <c r="J11" t="s">
        <v>574</v>
      </c>
      <c r="K11" t="s">
        <v>575</v>
      </c>
      <c r="L11" t="s">
        <v>575</v>
      </c>
      <c r="M11" t="s">
        <v>659</v>
      </c>
      <c r="N11" t="s">
        <v>500</v>
      </c>
      <c r="O11" t="s">
        <v>180</v>
      </c>
      <c r="S11" t="s">
        <v>586</v>
      </c>
      <c r="U11" t="s">
        <v>646</v>
      </c>
      <c r="V11" t="s">
        <v>660</v>
      </c>
      <c r="W11" t="s">
        <v>482</v>
      </c>
      <c r="X11" t="s">
        <v>576</v>
      </c>
      <c r="Y11" t="s">
        <v>587</v>
      </c>
      <c r="Z11" t="s">
        <v>588</v>
      </c>
      <c r="AA11" t="s">
        <v>34</v>
      </c>
      <c r="AB11" t="s">
        <v>589</v>
      </c>
      <c r="AD11" t="s">
        <v>501</v>
      </c>
      <c r="AE11" t="s">
        <v>502</v>
      </c>
      <c r="AF11">
        <v>0</v>
      </c>
      <c r="AG11">
        <v>0</v>
      </c>
      <c r="AH11">
        <v>392.75</v>
      </c>
      <c r="AI11">
        <v>0</v>
      </c>
      <c r="AJ11" t="s">
        <v>590</v>
      </c>
      <c r="AK11" t="s">
        <v>589</v>
      </c>
      <c r="AL11" t="s">
        <v>591</v>
      </c>
    </row>
    <row r="12" spans="1:38" x14ac:dyDescent="0.2">
      <c r="A12">
        <v>1235403</v>
      </c>
      <c r="B12">
        <v>7975239</v>
      </c>
      <c r="C12">
        <v>187508</v>
      </c>
      <c r="E12" t="b">
        <v>0</v>
      </c>
      <c r="F12">
        <v>70613</v>
      </c>
      <c r="G12" t="s">
        <v>661</v>
      </c>
      <c r="H12">
        <v>3</v>
      </c>
      <c r="I12" t="s">
        <v>662</v>
      </c>
      <c r="J12" t="s">
        <v>574</v>
      </c>
      <c r="K12" t="s">
        <v>575</v>
      </c>
      <c r="L12" t="s">
        <v>575</v>
      </c>
      <c r="M12" t="s">
        <v>663</v>
      </c>
      <c r="N12" t="s">
        <v>455</v>
      </c>
      <c r="O12" t="s">
        <v>205</v>
      </c>
      <c r="P12" t="s">
        <v>128</v>
      </c>
      <c r="S12" t="s">
        <v>664</v>
      </c>
      <c r="U12" t="s">
        <v>665</v>
      </c>
      <c r="V12" t="s">
        <v>666</v>
      </c>
      <c r="W12" t="s">
        <v>482</v>
      </c>
      <c r="X12" t="s">
        <v>576</v>
      </c>
      <c r="Y12" t="s">
        <v>587</v>
      </c>
      <c r="Z12" t="s">
        <v>588</v>
      </c>
      <c r="AA12" t="s">
        <v>34</v>
      </c>
      <c r="AB12" t="s">
        <v>589</v>
      </c>
      <c r="AD12" t="s">
        <v>204</v>
      </c>
      <c r="AE12" t="s">
        <v>456</v>
      </c>
      <c r="AF12">
        <v>0</v>
      </c>
      <c r="AG12">
        <v>0</v>
      </c>
      <c r="AH12">
        <v>418.5</v>
      </c>
      <c r="AI12">
        <v>0</v>
      </c>
      <c r="AJ12" t="s">
        <v>590</v>
      </c>
      <c r="AK12" t="s">
        <v>589</v>
      </c>
      <c r="AL12" t="s">
        <v>591</v>
      </c>
    </row>
    <row r="13" spans="1:38" x14ac:dyDescent="0.2">
      <c r="A13">
        <v>1235569</v>
      </c>
      <c r="B13">
        <v>7975237</v>
      </c>
      <c r="C13">
        <v>187508</v>
      </c>
      <c r="E13" t="b">
        <v>0</v>
      </c>
      <c r="F13">
        <v>70613</v>
      </c>
      <c r="G13" t="s">
        <v>661</v>
      </c>
      <c r="H13">
        <v>1</v>
      </c>
      <c r="I13" t="s">
        <v>667</v>
      </c>
      <c r="J13" t="s">
        <v>574</v>
      </c>
      <c r="K13" t="s">
        <v>575</v>
      </c>
      <c r="L13" t="s">
        <v>575</v>
      </c>
      <c r="M13" t="s">
        <v>668</v>
      </c>
      <c r="N13" t="s">
        <v>495</v>
      </c>
      <c r="O13" t="s">
        <v>207</v>
      </c>
      <c r="P13" t="s">
        <v>496</v>
      </c>
      <c r="S13" t="s">
        <v>664</v>
      </c>
      <c r="U13" t="s">
        <v>665</v>
      </c>
      <c r="V13" t="s">
        <v>669</v>
      </c>
      <c r="W13" t="s">
        <v>482</v>
      </c>
      <c r="X13" t="s">
        <v>576</v>
      </c>
      <c r="Y13" t="s">
        <v>587</v>
      </c>
      <c r="Z13" t="s">
        <v>588</v>
      </c>
      <c r="AA13" t="s">
        <v>34</v>
      </c>
      <c r="AB13" t="s">
        <v>589</v>
      </c>
      <c r="AD13" t="s">
        <v>206</v>
      </c>
      <c r="AE13" t="s">
        <v>456</v>
      </c>
      <c r="AF13">
        <v>0</v>
      </c>
      <c r="AG13">
        <v>0</v>
      </c>
      <c r="AH13">
        <v>418.5</v>
      </c>
      <c r="AI13">
        <v>0</v>
      </c>
      <c r="AJ13" t="s">
        <v>590</v>
      </c>
      <c r="AK13" t="s">
        <v>589</v>
      </c>
      <c r="AL13" t="s">
        <v>591</v>
      </c>
    </row>
    <row r="14" spans="1:38" x14ac:dyDescent="0.2">
      <c r="A14">
        <v>1235743</v>
      </c>
      <c r="B14">
        <v>7975241</v>
      </c>
      <c r="C14">
        <v>187508</v>
      </c>
      <c r="E14" t="b">
        <v>0</v>
      </c>
      <c r="F14">
        <v>70613</v>
      </c>
      <c r="G14" t="s">
        <v>661</v>
      </c>
      <c r="H14">
        <v>5</v>
      </c>
      <c r="I14" t="s">
        <v>670</v>
      </c>
      <c r="J14" t="s">
        <v>574</v>
      </c>
      <c r="K14" t="s">
        <v>575</v>
      </c>
      <c r="L14" t="s">
        <v>575</v>
      </c>
      <c r="M14" t="s">
        <v>671</v>
      </c>
      <c r="N14" t="s">
        <v>522</v>
      </c>
      <c r="O14" t="s">
        <v>524</v>
      </c>
      <c r="P14" t="s">
        <v>523</v>
      </c>
      <c r="S14" t="s">
        <v>664</v>
      </c>
      <c r="U14" t="s">
        <v>665</v>
      </c>
      <c r="V14" t="s">
        <v>672</v>
      </c>
      <c r="W14" t="s">
        <v>482</v>
      </c>
      <c r="X14" t="s">
        <v>576</v>
      </c>
      <c r="Y14" t="s">
        <v>587</v>
      </c>
      <c r="Z14" t="s">
        <v>588</v>
      </c>
      <c r="AA14" t="s">
        <v>34</v>
      </c>
      <c r="AB14" t="s">
        <v>589</v>
      </c>
      <c r="AD14" t="s">
        <v>525</v>
      </c>
      <c r="AE14" t="s">
        <v>456</v>
      </c>
      <c r="AF14">
        <v>0</v>
      </c>
      <c r="AG14">
        <v>0</v>
      </c>
      <c r="AH14">
        <v>418.5</v>
      </c>
      <c r="AI14">
        <v>0</v>
      </c>
      <c r="AJ14" t="s">
        <v>590</v>
      </c>
      <c r="AK14" t="s">
        <v>589</v>
      </c>
      <c r="AL14" t="s">
        <v>591</v>
      </c>
    </row>
    <row r="15" spans="1:38" x14ac:dyDescent="0.2">
      <c r="A15">
        <v>2550412</v>
      </c>
      <c r="B15">
        <v>7975245</v>
      </c>
      <c r="C15">
        <v>187508</v>
      </c>
      <c r="E15" t="b">
        <v>0</v>
      </c>
      <c r="F15">
        <v>70613</v>
      </c>
      <c r="G15" t="s">
        <v>661</v>
      </c>
      <c r="H15">
        <v>9</v>
      </c>
      <c r="I15" t="s">
        <v>673</v>
      </c>
      <c r="J15" t="s">
        <v>574</v>
      </c>
      <c r="K15" t="s">
        <v>575</v>
      </c>
      <c r="L15" t="s">
        <v>575</v>
      </c>
      <c r="M15" t="s">
        <v>674</v>
      </c>
      <c r="N15" t="s">
        <v>539</v>
      </c>
      <c r="O15" t="s">
        <v>540</v>
      </c>
      <c r="P15" t="s">
        <v>415</v>
      </c>
      <c r="S15" t="s">
        <v>664</v>
      </c>
      <c r="U15" t="s">
        <v>665</v>
      </c>
      <c r="V15" t="s">
        <v>675</v>
      </c>
      <c r="W15" t="s">
        <v>482</v>
      </c>
      <c r="X15" t="s">
        <v>576</v>
      </c>
      <c r="Y15" t="s">
        <v>587</v>
      </c>
      <c r="Z15" t="s">
        <v>588</v>
      </c>
      <c r="AA15" t="s">
        <v>34</v>
      </c>
      <c r="AB15" t="s">
        <v>589</v>
      </c>
      <c r="AD15" t="s">
        <v>541</v>
      </c>
      <c r="AE15" t="s">
        <v>542</v>
      </c>
      <c r="AF15">
        <v>0</v>
      </c>
      <c r="AG15">
        <v>0</v>
      </c>
      <c r="AH15">
        <v>418.5</v>
      </c>
      <c r="AI15">
        <v>0</v>
      </c>
      <c r="AJ15" t="s">
        <v>590</v>
      </c>
      <c r="AK15" t="s">
        <v>589</v>
      </c>
      <c r="AL15" t="s">
        <v>591</v>
      </c>
    </row>
    <row r="16" spans="1:38" x14ac:dyDescent="0.2">
      <c r="A16">
        <v>1446161</v>
      </c>
      <c r="B16">
        <v>7975243</v>
      </c>
      <c r="C16">
        <v>187508</v>
      </c>
      <c r="E16" t="b">
        <v>0</v>
      </c>
      <c r="F16">
        <v>70613</v>
      </c>
      <c r="G16" t="s">
        <v>661</v>
      </c>
      <c r="H16">
        <v>7</v>
      </c>
      <c r="I16" t="s">
        <v>676</v>
      </c>
      <c r="J16" t="s">
        <v>574</v>
      </c>
      <c r="K16" t="s">
        <v>575</v>
      </c>
      <c r="L16" t="s">
        <v>575</v>
      </c>
      <c r="M16" t="s">
        <v>677</v>
      </c>
      <c r="N16" t="s">
        <v>531</v>
      </c>
      <c r="O16" t="s">
        <v>533</v>
      </c>
      <c r="P16" t="s">
        <v>532</v>
      </c>
      <c r="S16" t="s">
        <v>664</v>
      </c>
      <c r="U16" t="s">
        <v>665</v>
      </c>
      <c r="V16" t="s">
        <v>678</v>
      </c>
      <c r="W16" t="s">
        <v>482</v>
      </c>
      <c r="X16" t="s">
        <v>576</v>
      </c>
      <c r="Y16" t="s">
        <v>587</v>
      </c>
      <c r="Z16" t="s">
        <v>588</v>
      </c>
      <c r="AA16" t="s">
        <v>34</v>
      </c>
      <c r="AB16" t="s">
        <v>589</v>
      </c>
      <c r="AD16" t="s">
        <v>534</v>
      </c>
      <c r="AE16" t="s">
        <v>456</v>
      </c>
      <c r="AF16">
        <v>0</v>
      </c>
      <c r="AG16">
        <v>0</v>
      </c>
      <c r="AH16">
        <v>418.5</v>
      </c>
      <c r="AI16">
        <v>0</v>
      </c>
      <c r="AJ16" t="s">
        <v>590</v>
      </c>
      <c r="AK16" t="s">
        <v>589</v>
      </c>
      <c r="AL16" t="s">
        <v>591</v>
      </c>
    </row>
    <row r="17" spans="1:38" x14ac:dyDescent="0.2">
      <c r="A17">
        <v>2701517</v>
      </c>
      <c r="B17">
        <v>7975246</v>
      </c>
      <c r="C17">
        <v>187508</v>
      </c>
      <c r="E17" t="b">
        <v>0</v>
      </c>
      <c r="F17">
        <v>70613</v>
      </c>
      <c r="G17" t="s">
        <v>661</v>
      </c>
      <c r="H17">
        <v>10</v>
      </c>
      <c r="I17" t="s">
        <v>679</v>
      </c>
      <c r="J17" t="s">
        <v>574</v>
      </c>
      <c r="K17" t="s">
        <v>575</v>
      </c>
      <c r="L17" t="s">
        <v>575</v>
      </c>
      <c r="M17" t="s">
        <v>680</v>
      </c>
      <c r="N17" t="s">
        <v>544</v>
      </c>
      <c r="O17" t="s">
        <v>546</v>
      </c>
      <c r="P17" t="s">
        <v>545</v>
      </c>
      <c r="S17" t="s">
        <v>664</v>
      </c>
      <c r="U17" t="s">
        <v>665</v>
      </c>
      <c r="V17" t="s">
        <v>681</v>
      </c>
      <c r="W17" t="s">
        <v>482</v>
      </c>
      <c r="X17" t="s">
        <v>576</v>
      </c>
      <c r="Y17" t="s">
        <v>587</v>
      </c>
      <c r="Z17" t="s">
        <v>588</v>
      </c>
      <c r="AA17" t="s">
        <v>34</v>
      </c>
      <c r="AB17" t="s">
        <v>589</v>
      </c>
      <c r="AD17" t="s">
        <v>208</v>
      </c>
      <c r="AE17" t="s">
        <v>456</v>
      </c>
      <c r="AF17">
        <v>0</v>
      </c>
      <c r="AG17">
        <v>0</v>
      </c>
      <c r="AH17">
        <v>418.5</v>
      </c>
      <c r="AI17">
        <v>0</v>
      </c>
      <c r="AJ17" t="s">
        <v>590</v>
      </c>
      <c r="AK17" t="s">
        <v>589</v>
      </c>
      <c r="AL17" t="s">
        <v>591</v>
      </c>
    </row>
    <row r="18" spans="1:38" x14ac:dyDescent="0.2">
      <c r="A18">
        <v>2336905</v>
      </c>
      <c r="B18">
        <v>7975244</v>
      </c>
      <c r="C18">
        <v>187508</v>
      </c>
      <c r="E18" t="b">
        <v>0</v>
      </c>
      <c r="F18">
        <v>70613</v>
      </c>
      <c r="G18" t="s">
        <v>661</v>
      </c>
      <c r="H18">
        <v>8</v>
      </c>
      <c r="I18" t="s">
        <v>682</v>
      </c>
      <c r="J18" t="s">
        <v>574</v>
      </c>
      <c r="K18" t="s">
        <v>575</v>
      </c>
      <c r="L18" t="s">
        <v>575</v>
      </c>
      <c r="M18" t="s">
        <v>683</v>
      </c>
      <c r="N18" t="s">
        <v>535</v>
      </c>
      <c r="O18" t="s">
        <v>537</v>
      </c>
      <c r="P18" t="s">
        <v>536</v>
      </c>
      <c r="S18" t="s">
        <v>664</v>
      </c>
      <c r="U18" t="s">
        <v>665</v>
      </c>
      <c r="V18" t="s">
        <v>684</v>
      </c>
      <c r="W18" t="s">
        <v>482</v>
      </c>
      <c r="X18" t="s">
        <v>576</v>
      </c>
      <c r="Y18" t="s">
        <v>587</v>
      </c>
      <c r="Z18" t="s">
        <v>588</v>
      </c>
      <c r="AA18" t="s">
        <v>34</v>
      </c>
      <c r="AB18" t="s">
        <v>589</v>
      </c>
      <c r="AD18" t="s">
        <v>538</v>
      </c>
      <c r="AE18" t="s">
        <v>456</v>
      </c>
      <c r="AF18">
        <v>0</v>
      </c>
      <c r="AG18">
        <v>0</v>
      </c>
      <c r="AH18">
        <v>418.5</v>
      </c>
      <c r="AI18">
        <v>0</v>
      </c>
      <c r="AJ18" t="s">
        <v>590</v>
      </c>
      <c r="AK18" t="s">
        <v>589</v>
      </c>
      <c r="AL18" t="s">
        <v>591</v>
      </c>
    </row>
    <row r="19" spans="1:38" x14ac:dyDescent="0.2">
      <c r="A19">
        <v>1235639</v>
      </c>
      <c r="B19">
        <v>7975242</v>
      </c>
      <c r="C19">
        <v>187508</v>
      </c>
      <c r="E19" t="b">
        <v>0</v>
      </c>
      <c r="F19">
        <v>70613</v>
      </c>
      <c r="G19" t="s">
        <v>661</v>
      </c>
      <c r="H19">
        <v>6</v>
      </c>
      <c r="I19" t="s">
        <v>685</v>
      </c>
      <c r="J19" t="s">
        <v>574</v>
      </c>
      <c r="K19" t="s">
        <v>575</v>
      </c>
      <c r="L19" t="s">
        <v>575</v>
      </c>
      <c r="M19" t="s">
        <v>686</v>
      </c>
      <c r="N19" t="s">
        <v>507</v>
      </c>
      <c r="O19" t="s">
        <v>203</v>
      </c>
      <c r="P19" t="s">
        <v>508</v>
      </c>
      <c r="S19" t="s">
        <v>664</v>
      </c>
      <c r="U19" t="s">
        <v>665</v>
      </c>
      <c r="V19" t="s">
        <v>687</v>
      </c>
      <c r="W19" t="s">
        <v>482</v>
      </c>
      <c r="X19" t="s">
        <v>576</v>
      </c>
      <c r="Y19" t="s">
        <v>587</v>
      </c>
      <c r="Z19" t="s">
        <v>588</v>
      </c>
      <c r="AA19" t="s">
        <v>34</v>
      </c>
      <c r="AB19" t="s">
        <v>589</v>
      </c>
      <c r="AD19" t="s">
        <v>202</v>
      </c>
      <c r="AE19" t="s">
        <v>456</v>
      </c>
      <c r="AF19">
        <v>0</v>
      </c>
      <c r="AG19">
        <v>0</v>
      </c>
      <c r="AH19">
        <v>418.5</v>
      </c>
      <c r="AI19">
        <v>0</v>
      </c>
      <c r="AJ19" t="s">
        <v>590</v>
      </c>
      <c r="AK19" t="s">
        <v>589</v>
      </c>
      <c r="AL19" t="s">
        <v>591</v>
      </c>
    </row>
    <row r="20" spans="1:38" x14ac:dyDescent="0.2">
      <c r="A20">
        <v>1235626</v>
      </c>
      <c r="B20">
        <v>7975238</v>
      </c>
      <c r="C20">
        <v>187508</v>
      </c>
      <c r="E20" t="b">
        <v>0</v>
      </c>
      <c r="F20">
        <v>70613</v>
      </c>
      <c r="G20" t="s">
        <v>661</v>
      </c>
      <c r="H20">
        <v>2</v>
      </c>
      <c r="I20" t="s">
        <v>688</v>
      </c>
      <c r="J20" t="s">
        <v>574</v>
      </c>
      <c r="K20" t="s">
        <v>575</v>
      </c>
      <c r="L20" t="s">
        <v>575</v>
      </c>
      <c r="M20" t="s">
        <v>689</v>
      </c>
      <c r="N20" t="s">
        <v>503</v>
      </c>
      <c r="O20" t="s">
        <v>211</v>
      </c>
      <c r="P20" t="s">
        <v>504</v>
      </c>
      <c r="S20" t="s">
        <v>664</v>
      </c>
      <c r="U20" t="s">
        <v>665</v>
      </c>
      <c r="V20" t="s">
        <v>690</v>
      </c>
      <c r="W20" t="s">
        <v>482</v>
      </c>
      <c r="X20" t="s">
        <v>576</v>
      </c>
      <c r="Y20" t="s">
        <v>587</v>
      </c>
      <c r="Z20" t="s">
        <v>588</v>
      </c>
      <c r="AA20" t="s">
        <v>34</v>
      </c>
      <c r="AB20" t="s">
        <v>589</v>
      </c>
      <c r="AD20" t="s">
        <v>210</v>
      </c>
      <c r="AE20" t="s">
        <v>456</v>
      </c>
      <c r="AF20">
        <v>0</v>
      </c>
      <c r="AG20">
        <v>0</v>
      </c>
      <c r="AH20">
        <v>418.5</v>
      </c>
      <c r="AI20">
        <v>0</v>
      </c>
      <c r="AJ20" t="s">
        <v>590</v>
      </c>
      <c r="AK20" t="s">
        <v>589</v>
      </c>
      <c r="AL20" t="s">
        <v>591</v>
      </c>
    </row>
    <row r="21" spans="1:38" x14ac:dyDescent="0.2">
      <c r="A21">
        <v>1235522</v>
      </c>
      <c r="B21">
        <v>7975240</v>
      </c>
      <c r="C21">
        <v>187508</v>
      </c>
      <c r="E21" t="b">
        <v>0</v>
      </c>
      <c r="F21">
        <v>70613</v>
      </c>
      <c r="G21" t="s">
        <v>661</v>
      </c>
      <c r="H21">
        <v>4</v>
      </c>
      <c r="I21" t="s">
        <v>691</v>
      </c>
      <c r="J21" t="s">
        <v>574</v>
      </c>
      <c r="K21" t="s">
        <v>575</v>
      </c>
      <c r="L21" t="s">
        <v>575</v>
      </c>
      <c r="M21" t="s">
        <v>692</v>
      </c>
      <c r="N21" t="s">
        <v>481</v>
      </c>
      <c r="O21" t="s">
        <v>209</v>
      </c>
      <c r="P21" t="s">
        <v>482</v>
      </c>
      <c r="S21" t="s">
        <v>664</v>
      </c>
      <c r="U21" t="s">
        <v>665</v>
      </c>
      <c r="V21" t="s">
        <v>693</v>
      </c>
      <c r="W21" t="s">
        <v>482</v>
      </c>
      <c r="X21" t="s">
        <v>576</v>
      </c>
      <c r="Y21" t="s">
        <v>587</v>
      </c>
      <c r="Z21" t="s">
        <v>588</v>
      </c>
      <c r="AA21" t="s">
        <v>34</v>
      </c>
      <c r="AB21" t="s">
        <v>589</v>
      </c>
      <c r="AD21" t="s">
        <v>208</v>
      </c>
      <c r="AE21" t="s">
        <v>456</v>
      </c>
      <c r="AF21">
        <v>0</v>
      </c>
      <c r="AG21">
        <v>0</v>
      </c>
      <c r="AH21">
        <v>418.5</v>
      </c>
      <c r="AI21">
        <v>0</v>
      </c>
      <c r="AJ21" t="s">
        <v>590</v>
      </c>
      <c r="AK21" t="s">
        <v>589</v>
      </c>
      <c r="AL21" t="s">
        <v>591</v>
      </c>
    </row>
    <row r="23" spans="1:38" x14ac:dyDescent="0.2">
      <c r="A23">
        <v>1235770</v>
      </c>
      <c r="B23">
        <v>8030104</v>
      </c>
      <c r="C23">
        <v>187514</v>
      </c>
      <c r="E23" t="b">
        <v>0</v>
      </c>
      <c r="F23">
        <v>71864</v>
      </c>
      <c r="G23" t="s">
        <v>694</v>
      </c>
      <c r="H23">
        <v>1</v>
      </c>
      <c r="I23" t="s">
        <v>695</v>
      </c>
      <c r="J23" t="s">
        <v>574</v>
      </c>
      <c r="K23" t="s">
        <v>575</v>
      </c>
      <c r="L23" t="s">
        <v>575</v>
      </c>
      <c r="M23" t="s">
        <v>696</v>
      </c>
      <c r="N23" t="s">
        <v>526</v>
      </c>
      <c r="O23" t="s">
        <v>527</v>
      </c>
      <c r="U23" t="s">
        <v>697</v>
      </c>
      <c r="V23" t="s">
        <v>698</v>
      </c>
      <c r="W23" t="s">
        <v>532</v>
      </c>
      <c r="X23" t="s">
        <v>576</v>
      </c>
      <c r="Y23" t="s">
        <v>453</v>
      </c>
      <c r="Z23" t="s">
        <v>588</v>
      </c>
      <c r="AB23" t="s">
        <v>699</v>
      </c>
      <c r="AD23" t="s">
        <v>261</v>
      </c>
      <c r="AE23" t="s">
        <v>528</v>
      </c>
      <c r="AF23">
        <v>0</v>
      </c>
      <c r="AG23">
        <v>0</v>
      </c>
      <c r="AH23">
        <v>0</v>
      </c>
      <c r="AI23">
        <v>0</v>
      </c>
      <c r="AJ23" t="s">
        <v>590</v>
      </c>
      <c r="AK23" t="s">
        <v>699</v>
      </c>
      <c r="AL23" t="s">
        <v>591</v>
      </c>
    </row>
    <row r="24" spans="1:38" x14ac:dyDescent="0.2">
      <c r="A24">
        <v>1235767</v>
      </c>
    </row>
    <row r="25" spans="1:38" x14ac:dyDescent="0.2">
      <c r="A25">
        <v>1235772</v>
      </c>
    </row>
    <row r="26" spans="1:38" x14ac:dyDescent="0.2">
      <c r="A26">
        <v>1235660</v>
      </c>
      <c r="B26">
        <v>7612900</v>
      </c>
      <c r="C26">
        <v>187509</v>
      </c>
      <c r="E26" t="b">
        <v>0</v>
      </c>
      <c r="F26">
        <v>64197</v>
      </c>
      <c r="G26" t="s">
        <v>700</v>
      </c>
      <c r="H26">
        <v>1</v>
      </c>
      <c r="I26" t="s">
        <v>701</v>
      </c>
      <c r="J26" t="s">
        <v>574</v>
      </c>
      <c r="K26" t="s">
        <v>575</v>
      </c>
      <c r="L26" t="s">
        <v>575</v>
      </c>
      <c r="M26" t="s">
        <v>702</v>
      </c>
      <c r="N26" t="s">
        <v>227</v>
      </c>
      <c r="O26" t="s">
        <v>513</v>
      </c>
      <c r="U26" t="s">
        <v>703</v>
      </c>
      <c r="V26" t="s">
        <v>704</v>
      </c>
      <c r="W26" t="s">
        <v>128</v>
      </c>
      <c r="X26" t="s">
        <v>576</v>
      </c>
      <c r="Y26" t="s">
        <v>137</v>
      </c>
      <c r="AB26" t="s">
        <v>699</v>
      </c>
      <c r="AD26" t="s">
        <v>263</v>
      </c>
      <c r="AE26" t="s">
        <v>472</v>
      </c>
      <c r="AF26">
        <v>0</v>
      </c>
      <c r="AG26">
        <v>0</v>
      </c>
      <c r="AI26">
        <v>0</v>
      </c>
      <c r="AJ26" t="s">
        <v>590</v>
      </c>
      <c r="AK26" t="s">
        <v>699</v>
      </c>
      <c r="AL26" t="s">
        <v>623</v>
      </c>
    </row>
    <row r="27" spans="1:38" x14ac:dyDescent="0.2">
      <c r="A27">
        <v>1235502</v>
      </c>
      <c r="B27">
        <v>6008756</v>
      </c>
      <c r="C27">
        <v>187514</v>
      </c>
      <c r="E27" t="b">
        <v>0</v>
      </c>
      <c r="F27">
        <v>41783</v>
      </c>
      <c r="G27" t="s">
        <v>705</v>
      </c>
      <c r="H27">
        <v>1</v>
      </c>
      <c r="I27" t="s">
        <v>706</v>
      </c>
      <c r="J27" t="s">
        <v>574</v>
      </c>
      <c r="K27" t="s">
        <v>575</v>
      </c>
      <c r="L27" t="s">
        <v>575</v>
      </c>
      <c r="M27" t="s">
        <v>707</v>
      </c>
      <c r="N27" t="s">
        <v>228</v>
      </c>
      <c r="O27" t="s">
        <v>471</v>
      </c>
      <c r="U27" t="s">
        <v>708</v>
      </c>
      <c r="V27" t="s">
        <v>709</v>
      </c>
      <c r="W27" t="s">
        <v>191</v>
      </c>
      <c r="X27" t="s">
        <v>576</v>
      </c>
      <c r="Y27" t="s">
        <v>137</v>
      </c>
      <c r="Z27" t="s">
        <v>588</v>
      </c>
      <c r="AB27" t="s">
        <v>699</v>
      </c>
      <c r="AD27" t="s">
        <v>264</v>
      </c>
      <c r="AE27" t="s">
        <v>472</v>
      </c>
      <c r="AF27">
        <v>0</v>
      </c>
      <c r="AG27">
        <v>0</v>
      </c>
      <c r="AH27">
        <v>27.5</v>
      </c>
      <c r="AI27">
        <v>0</v>
      </c>
      <c r="AJ27" t="s">
        <v>590</v>
      </c>
      <c r="AK27" t="s">
        <v>699</v>
      </c>
      <c r="AL27" t="s">
        <v>591</v>
      </c>
    </row>
    <row r="28" spans="1:38" x14ac:dyDescent="0.2">
      <c r="A28">
        <v>1235505</v>
      </c>
      <c r="B28">
        <v>7971837</v>
      </c>
      <c r="C28">
        <v>187514</v>
      </c>
      <c r="E28" t="b">
        <v>0</v>
      </c>
      <c r="F28">
        <v>70496</v>
      </c>
      <c r="G28" t="s">
        <v>710</v>
      </c>
      <c r="H28">
        <v>1</v>
      </c>
      <c r="I28" t="s">
        <v>711</v>
      </c>
      <c r="J28" t="s">
        <v>574</v>
      </c>
      <c r="K28" t="s">
        <v>575</v>
      </c>
      <c r="L28" t="s">
        <v>575</v>
      </c>
      <c r="M28" t="s">
        <v>712</v>
      </c>
      <c r="N28" t="s">
        <v>229</v>
      </c>
      <c r="O28" t="s">
        <v>475</v>
      </c>
      <c r="S28" t="s">
        <v>713</v>
      </c>
      <c r="U28" t="s">
        <v>714</v>
      </c>
      <c r="V28" t="s">
        <v>715</v>
      </c>
      <c r="W28" t="s">
        <v>545</v>
      </c>
      <c r="X28" t="s">
        <v>576</v>
      </c>
      <c r="Y28" t="s">
        <v>453</v>
      </c>
      <c r="Z28" t="s">
        <v>588</v>
      </c>
      <c r="AB28" t="s">
        <v>699</v>
      </c>
      <c r="AD28" t="s">
        <v>265</v>
      </c>
      <c r="AE28" t="s">
        <v>472</v>
      </c>
      <c r="AF28">
        <v>0</v>
      </c>
      <c r="AG28">
        <v>0</v>
      </c>
      <c r="AH28">
        <v>75</v>
      </c>
      <c r="AI28">
        <v>0</v>
      </c>
      <c r="AJ28" t="s">
        <v>590</v>
      </c>
      <c r="AK28" t="s">
        <v>699</v>
      </c>
      <c r="AL28" t="s">
        <v>591</v>
      </c>
    </row>
    <row r="29" spans="1:38" x14ac:dyDescent="0.2">
      <c r="A29">
        <v>1235646</v>
      </c>
      <c r="B29">
        <v>6249107</v>
      </c>
      <c r="C29">
        <v>187514</v>
      </c>
      <c r="E29" t="b">
        <v>0</v>
      </c>
      <c r="F29">
        <v>46530</v>
      </c>
      <c r="G29" t="s">
        <v>716</v>
      </c>
      <c r="H29">
        <v>1</v>
      </c>
      <c r="I29" t="s">
        <v>717</v>
      </c>
      <c r="J29" t="s">
        <v>574</v>
      </c>
      <c r="K29" t="s">
        <v>575</v>
      </c>
      <c r="L29" t="s">
        <v>575</v>
      </c>
      <c r="M29" t="s">
        <v>718</v>
      </c>
      <c r="N29" t="s">
        <v>230</v>
      </c>
      <c r="O29" t="s">
        <v>509</v>
      </c>
      <c r="U29" t="s">
        <v>719</v>
      </c>
      <c r="V29" t="s">
        <v>720</v>
      </c>
      <c r="W29" t="s">
        <v>191</v>
      </c>
      <c r="X29" t="s">
        <v>576</v>
      </c>
      <c r="Y29" t="s">
        <v>587</v>
      </c>
      <c r="AB29" t="s">
        <v>699</v>
      </c>
      <c r="AD29" t="s">
        <v>266</v>
      </c>
      <c r="AE29" t="s">
        <v>510</v>
      </c>
      <c r="AF29">
        <v>0</v>
      </c>
      <c r="AG29">
        <v>0</v>
      </c>
      <c r="AI29">
        <v>0</v>
      </c>
      <c r="AJ29" t="s">
        <v>590</v>
      </c>
      <c r="AK29" t="s">
        <v>699</v>
      </c>
      <c r="AL29" t="s">
        <v>591</v>
      </c>
    </row>
    <row r="30" spans="1:38" x14ac:dyDescent="0.2">
      <c r="A30">
        <v>1235659</v>
      </c>
      <c r="B30">
        <v>8065644</v>
      </c>
      <c r="C30">
        <v>187514</v>
      </c>
      <c r="E30" t="b">
        <v>0</v>
      </c>
      <c r="F30">
        <v>72594</v>
      </c>
      <c r="G30" t="s">
        <v>721</v>
      </c>
      <c r="H30">
        <v>1</v>
      </c>
      <c r="I30" t="s">
        <v>722</v>
      </c>
      <c r="J30" t="s">
        <v>574</v>
      </c>
      <c r="K30" t="s">
        <v>575</v>
      </c>
      <c r="L30" t="s">
        <v>575</v>
      </c>
      <c r="M30" t="s">
        <v>723</v>
      </c>
      <c r="N30" t="s">
        <v>231</v>
      </c>
      <c r="O30" t="s">
        <v>511</v>
      </c>
      <c r="U30" t="s">
        <v>724</v>
      </c>
      <c r="V30" t="s">
        <v>725</v>
      </c>
      <c r="W30" t="s">
        <v>496</v>
      </c>
      <c r="X30" t="s">
        <v>576</v>
      </c>
      <c r="Y30" t="s">
        <v>453</v>
      </c>
      <c r="Z30" t="s">
        <v>588</v>
      </c>
      <c r="AB30" t="s">
        <v>699</v>
      </c>
      <c r="AD30" t="s">
        <v>267</v>
      </c>
      <c r="AE30" t="s">
        <v>512</v>
      </c>
      <c r="AF30">
        <v>0</v>
      </c>
      <c r="AG30">
        <v>0</v>
      </c>
      <c r="AH30">
        <v>0</v>
      </c>
      <c r="AI30">
        <v>0</v>
      </c>
      <c r="AJ30" t="s">
        <v>590</v>
      </c>
      <c r="AK30" t="s">
        <v>699</v>
      </c>
      <c r="AL30" t="s">
        <v>591</v>
      </c>
    </row>
    <row r="31" spans="1:38" x14ac:dyDescent="0.2">
      <c r="A31">
        <v>1235504</v>
      </c>
      <c r="B31">
        <v>6820976</v>
      </c>
      <c r="C31">
        <v>187514</v>
      </c>
      <c r="E31" t="b">
        <v>0</v>
      </c>
      <c r="F31">
        <v>50724</v>
      </c>
      <c r="G31" t="s">
        <v>726</v>
      </c>
      <c r="H31">
        <v>1</v>
      </c>
      <c r="I31" t="s">
        <v>727</v>
      </c>
      <c r="J31" t="s">
        <v>574</v>
      </c>
      <c r="K31" t="s">
        <v>575</v>
      </c>
      <c r="L31" t="s">
        <v>575</v>
      </c>
      <c r="M31" t="s">
        <v>728</v>
      </c>
      <c r="N31" t="s">
        <v>232</v>
      </c>
      <c r="O31" t="s">
        <v>474</v>
      </c>
      <c r="U31" t="s">
        <v>729</v>
      </c>
      <c r="V31" t="s">
        <v>730</v>
      </c>
      <c r="W31" t="s">
        <v>523</v>
      </c>
      <c r="X31" t="s">
        <v>576</v>
      </c>
      <c r="Y31" t="s">
        <v>587</v>
      </c>
      <c r="Z31" t="s">
        <v>588</v>
      </c>
      <c r="AB31" t="s">
        <v>699</v>
      </c>
      <c r="AD31" t="s">
        <v>268</v>
      </c>
      <c r="AE31" t="s">
        <v>472</v>
      </c>
      <c r="AF31">
        <v>0</v>
      </c>
      <c r="AG31">
        <v>0</v>
      </c>
      <c r="AH31">
        <v>27.5</v>
      </c>
      <c r="AI31">
        <v>0</v>
      </c>
      <c r="AJ31" t="s">
        <v>590</v>
      </c>
      <c r="AK31" t="s">
        <v>699</v>
      </c>
      <c r="AL31" t="s">
        <v>591</v>
      </c>
    </row>
    <row r="32" spans="1:38" x14ac:dyDescent="0.2">
      <c r="A32">
        <v>1235506</v>
      </c>
      <c r="B32">
        <v>7162110</v>
      </c>
      <c r="C32">
        <v>187514</v>
      </c>
      <c r="E32" t="b">
        <v>0</v>
      </c>
      <c r="F32">
        <v>57050</v>
      </c>
      <c r="G32" t="s">
        <v>731</v>
      </c>
      <c r="H32">
        <v>1</v>
      </c>
      <c r="I32" t="s">
        <v>732</v>
      </c>
      <c r="J32" t="s">
        <v>574</v>
      </c>
      <c r="K32" t="s">
        <v>575</v>
      </c>
      <c r="L32" t="s">
        <v>575</v>
      </c>
      <c r="M32" t="s">
        <v>733</v>
      </c>
      <c r="N32" t="s">
        <v>233</v>
      </c>
      <c r="O32" t="s">
        <v>476</v>
      </c>
      <c r="U32" t="s">
        <v>734</v>
      </c>
      <c r="V32" t="s">
        <v>735</v>
      </c>
      <c r="W32" t="s">
        <v>128</v>
      </c>
      <c r="X32" t="s">
        <v>576</v>
      </c>
      <c r="Y32" t="s">
        <v>587</v>
      </c>
      <c r="AB32" t="s">
        <v>699</v>
      </c>
      <c r="AD32" t="s">
        <v>269</v>
      </c>
      <c r="AE32" t="s">
        <v>472</v>
      </c>
      <c r="AF32">
        <v>0</v>
      </c>
      <c r="AG32">
        <v>0</v>
      </c>
      <c r="AI32">
        <v>0</v>
      </c>
      <c r="AJ32" t="s">
        <v>590</v>
      </c>
      <c r="AK32" t="s">
        <v>699</v>
      </c>
      <c r="AL32" t="s">
        <v>591</v>
      </c>
    </row>
    <row r="33" spans="1:38" x14ac:dyDescent="0.2">
      <c r="A33">
        <v>1235510</v>
      </c>
      <c r="B33">
        <v>6129692</v>
      </c>
      <c r="C33">
        <v>187514</v>
      </c>
      <c r="E33" t="b">
        <v>0</v>
      </c>
      <c r="F33">
        <v>44349</v>
      </c>
      <c r="G33" t="s">
        <v>736</v>
      </c>
      <c r="H33">
        <v>1</v>
      </c>
      <c r="I33" t="s">
        <v>737</v>
      </c>
      <c r="J33" t="s">
        <v>574</v>
      </c>
      <c r="K33" t="s">
        <v>575</v>
      </c>
      <c r="L33" t="s">
        <v>575</v>
      </c>
      <c r="M33" t="s">
        <v>738</v>
      </c>
      <c r="N33" t="s">
        <v>234</v>
      </c>
      <c r="O33" t="s">
        <v>480</v>
      </c>
      <c r="U33" t="s">
        <v>739</v>
      </c>
      <c r="V33" t="s">
        <v>740</v>
      </c>
      <c r="W33" t="s">
        <v>741</v>
      </c>
      <c r="X33" t="s">
        <v>576</v>
      </c>
      <c r="Y33" t="s">
        <v>587</v>
      </c>
      <c r="AB33" t="s">
        <v>699</v>
      </c>
      <c r="AD33" t="s">
        <v>270</v>
      </c>
      <c r="AE33" t="s">
        <v>472</v>
      </c>
      <c r="AF33">
        <v>0</v>
      </c>
      <c r="AG33">
        <v>0</v>
      </c>
      <c r="AI33">
        <v>0</v>
      </c>
      <c r="AJ33" t="s">
        <v>590</v>
      </c>
      <c r="AK33" t="s">
        <v>699</v>
      </c>
      <c r="AL33" t="s">
        <v>591</v>
      </c>
    </row>
    <row r="34" spans="1:38" x14ac:dyDescent="0.2">
      <c r="A34">
        <v>1235590</v>
      </c>
      <c r="B34">
        <v>7948956</v>
      </c>
      <c r="C34">
        <v>187514</v>
      </c>
      <c r="E34" t="b">
        <v>0</v>
      </c>
      <c r="F34">
        <v>70164</v>
      </c>
      <c r="G34" t="s">
        <v>742</v>
      </c>
      <c r="H34">
        <v>1</v>
      </c>
      <c r="I34" t="s">
        <v>743</v>
      </c>
      <c r="J34" t="s">
        <v>744</v>
      </c>
      <c r="K34" t="s">
        <v>575</v>
      </c>
      <c r="L34" t="s">
        <v>575</v>
      </c>
      <c r="M34" t="s">
        <v>745</v>
      </c>
      <c r="N34" t="s">
        <v>236</v>
      </c>
      <c r="O34" t="s">
        <v>235</v>
      </c>
      <c r="U34" t="s">
        <v>746</v>
      </c>
      <c r="X34" t="s">
        <v>576</v>
      </c>
      <c r="Y34" t="s">
        <v>137</v>
      </c>
      <c r="Z34" t="s">
        <v>588</v>
      </c>
      <c r="AD34" t="s">
        <v>271</v>
      </c>
      <c r="AE34" t="s">
        <v>472</v>
      </c>
      <c r="AJ34" t="s">
        <v>590</v>
      </c>
      <c r="AK34" t="s">
        <v>699</v>
      </c>
      <c r="AL34" t="s">
        <v>591</v>
      </c>
    </row>
    <row r="35" spans="1:38" x14ac:dyDescent="0.2">
      <c r="A35">
        <v>1235489</v>
      </c>
      <c r="B35">
        <v>7008912</v>
      </c>
      <c r="C35">
        <v>187510</v>
      </c>
      <c r="E35" t="b">
        <v>0</v>
      </c>
      <c r="F35">
        <v>53750</v>
      </c>
      <c r="G35" t="s">
        <v>747</v>
      </c>
      <c r="H35">
        <v>1</v>
      </c>
      <c r="I35" t="s">
        <v>748</v>
      </c>
      <c r="J35" t="s">
        <v>574</v>
      </c>
      <c r="K35" t="s">
        <v>573</v>
      </c>
      <c r="L35" t="s">
        <v>575</v>
      </c>
      <c r="M35" t="s">
        <v>749</v>
      </c>
      <c r="N35" t="s">
        <v>464</v>
      </c>
      <c r="O35" t="s">
        <v>466</v>
      </c>
      <c r="S35" t="s">
        <v>627</v>
      </c>
      <c r="U35" t="s">
        <v>750</v>
      </c>
      <c r="V35" t="s">
        <v>751</v>
      </c>
      <c r="W35" t="s">
        <v>482</v>
      </c>
      <c r="X35" t="s">
        <v>576</v>
      </c>
      <c r="Y35" t="s">
        <v>137</v>
      </c>
      <c r="Z35" t="s">
        <v>588</v>
      </c>
      <c r="AA35" t="s">
        <v>34</v>
      </c>
      <c r="AB35" t="s">
        <v>631</v>
      </c>
      <c r="AD35" t="s">
        <v>467</v>
      </c>
      <c r="AE35" t="s">
        <v>467</v>
      </c>
      <c r="AF35">
        <v>0</v>
      </c>
      <c r="AG35">
        <v>0</v>
      </c>
      <c r="AH35">
        <v>76.25</v>
      </c>
      <c r="AI35">
        <v>0</v>
      </c>
      <c r="AJ35" t="s">
        <v>590</v>
      </c>
      <c r="AK35" t="s">
        <v>631</v>
      </c>
      <c r="AL35" t="s">
        <v>591</v>
      </c>
    </row>
    <row r="36" spans="1:38" x14ac:dyDescent="0.2">
      <c r="A36">
        <v>1235508</v>
      </c>
      <c r="B36">
        <v>4996970</v>
      </c>
      <c r="C36">
        <v>187508</v>
      </c>
      <c r="E36" t="b">
        <v>0</v>
      </c>
      <c r="F36">
        <v>28336</v>
      </c>
      <c r="G36" t="s">
        <v>752</v>
      </c>
      <c r="H36">
        <v>1</v>
      </c>
      <c r="I36" t="s">
        <v>753</v>
      </c>
      <c r="J36" t="s">
        <v>574</v>
      </c>
      <c r="K36" t="s">
        <v>575</v>
      </c>
      <c r="L36" t="s">
        <v>575</v>
      </c>
      <c r="M36" t="s">
        <v>754</v>
      </c>
      <c r="N36" t="s">
        <v>755</v>
      </c>
      <c r="O36" t="s">
        <v>478</v>
      </c>
      <c r="U36" t="s">
        <v>756</v>
      </c>
      <c r="X36" t="s">
        <v>576</v>
      </c>
      <c r="Y36" t="s">
        <v>137</v>
      </c>
      <c r="Z36" t="s">
        <v>588</v>
      </c>
      <c r="AD36" t="s">
        <v>757</v>
      </c>
      <c r="AE36" t="s">
        <v>451</v>
      </c>
      <c r="AJ36" t="s">
        <v>590</v>
      </c>
      <c r="AK36" t="s">
        <v>589</v>
      </c>
      <c r="AL36" t="s">
        <v>591</v>
      </c>
    </row>
    <row r="37" spans="1:38" x14ac:dyDescent="0.2">
      <c r="A37">
        <v>1235777</v>
      </c>
      <c r="B37">
        <v>5034456</v>
      </c>
      <c r="C37">
        <v>187514</v>
      </c>
      <c r="E37" t="b">
        <v>0</v>
      </c>
      <c r="F37">
        <v>29273</v>
      </c>
      <c r="G37" t="s">
        <v>758</v>
      </c>
      <c r="H37">
        <v>1</v>
      </c>
      <c r="I37" t="s">
        <v>759</v>
      </c>
      <c r="J37" t="s">
        <v>574</v>
      </c>
      <c r="K37" t="s">
        <v>575</v>
      </c>
      <c r="L37" t="s">
        <v>575</v>
      </c>
      <c r="M37" t="s">
        <v>760</v>
      </c>
      <c r="N37" t="s">
        <v>237</v>
      </c>
      <c r="O37" t="s">
        <v>529</v>
      </c>
      <c r="S37" t="s">
        <v>713</v>
      </c>
      <c r="V37" t="s">
        <v>761</v>
      </c>
      <c r="W37" t="s">
        <v>762</v>
      </c>
      <c r="X37" t="s">
        <v>576</v>
      </c>
      <c r="Y37" t="s">
        <v>137</v>
      </c>
      <c r="Z37" t="s">
        <v>588</v>
      </c>
      <c r="AB37" t="s">
        <v>699</v>
      </c>
      <c r="AD37" t="s">
        <v>273</v>
      </c>
      <c r="AE37" t="s">
        <v>530</v>
      </c>
      <c r="AF37">
        <v>0</v>
      </c>
      <c r="AG37">
        <v>0</v>
      </c>
      <c r="AH37">
        <v>27.5</v>
      </c>
      <c r="AI37">
        <v>0</v>
      </c>
      <c r="AJ37" t="s">
        <v>590</v>
      </c>
      <c r="AK37" t="s">
        <v>699</v>
      </c>
      <c r="AL37" t="s">
        <v>591</v>
      </c>
    </row>
    <row r="38" spans="1:38" x14ac:dyDescent="0.2">
      <c r="A38">
        <v>1235400</v>
      </c>
      <c r="B38">
        <v>6119636</v>
      </c>
      <c r="C38">
        <v>187514</v>
      </c>
      <c r="E38" t="b">
        <v>0</v>
      </c>
      <c r="F38">
        <v>44172</v>
      </c>
      <c r="G38" t="s">
        <v>763</v>
      </c>
      <c r="H38">
        <v>1</v>
      </c>
      <c r="I38" t="s">
        <v>764</v>
      </c>
      <c r="J38" t="s">
        <v>574</v>
      </c>
      <c r="K38" t="s">
        <v>575</v>
      </c>
      <c r="L38" t="s">
        <v>575</v>
      </c>
      <c r="M38" t="s">
        <v>765</v>
      </c>
      <c r="N38" t="s">
        <v>238</v>
      </c>
      <c r="O38" t="s">
        <v>450</v>
      </c>
      <c r="U38" t="s">
        <v>766</v>
      </c>
      <c r="V38" t="s">
        <v>767</v>
      </c>
      <c r="W38" t="s">
        <v>741</v>
      </c>
      <c r="X38" t="s">
        <v>576</v>
      </c>
      <c r="Y38" t="s">
        <v>587</v>
      </c>
      <c r="AB38" t="s">
        <v>699</v>
      </c>
      <c r="AD38" t="s">
        <v>274</v>
      </c>
      <c r="AE38" t="s">
        <v>451</v>
      </c>
      <c r="AF38">
        <v>0</v>
      </c>
      <c r="AG38">
        <v>0</v>
      </c>
      <c r="AI38">
        <v>0</v>
      </c>
      <c r="AJ38" t="s">
        <v>590</v>
      </c>
      <c r="AK38" t="s">
        <v>699</v>
      </c>
      <c r="AL38" t="s">
        <v>591</v>
      </c>
    </row>
    <row r="39" spans="1:38" x14ac:dyDescent="0.2">
      <c r="A39">
        <v>1235661</v>
      </c>
      <c r="B39">
        <v>8074219</v>
      </c>
      <c r="C39">
        <v>187514</v>
      </c>
      <c r="E39" t="b">
        <v>0</v>
      </c>
      <c r="F39">
        <v>72769</v>
      </c>
      <c r="G39" t="s">
        <v>768</v>
      </c>
      <c r="H39">
        <v>1</v>
      </c>
      <c r="I39" t="s">
        <v>769</v>
      </c>
      <c r="J39" t="s">
        <v>574</v>
      </c>
      <c r="K39" t="s">
        <v>575</v>
      </c>
      <c r="L39" t="s">
        <v>575</v>
      </c>
      <c r="M39" t="s">
        <v>770</v>
      </c>
      <c r="N39" t="s">
        <v>239</v>
      </c>
      <c r="O39" t="s">
        <v>514</v>
      </c>
      <c r="S39" t="s">
        <v>713</v>
      </c>
      <c r="U39" t="s">
        <v>771</v>
      </c>
      <c r="V39" t="s">
        <v>772</v>
      </c>
      <c r="W39" t="s">
        <v>545</v>
      </c>
      <c r="X39" t="s">
        <v>576</v>
      </c>
      <c r="Y39" t="s">
        <v>587</v>
      </c>
      <c r="Z39" t="s">
        <v>588</v>
      </c>
      <c r="AB39" t="s">
        <v>699</v>
      </c>
      <c r="AD39" t="s">
        <v>275</v>
      </c>
      <c r="AE39" t="s">
        <v>451</v>
      </c>
      <c r="AF39">
        <v>0</v>
      </c>
      <c r="AG39">
        <v>0</v>
      </c>
      <c r="AH39">
        <v>0</v>
      </c>
      <c r="AI39">
        <v>0</v>
      </c>
      <c r="AJ39" t="s">
        <v>590</v>
      </c>
      <c r="AK39" t="s">
        <v>699</v>
      </c>
      <c r="AL39" t="s">
        <v>591</v>
      </c>
    </row>
    <row r="40" spans="1:38" x14ac:dyDescent="0.2">
      <c r="A40">
        <v>1235507</v>
      </c>
      <c r="B40">
        <v>8085736</v>
      </c>
      <c r="C40">
        <v>187514</v>
      </c>
      <c r="E40" t="b">
        <v>0</v>
      </c>
      <c r="F40">
        <v>72935</v>
      </c>
      <c r="G40" t="s">
        <v>773</v>
      </c>
      <c r="H40">
        <v>1</v>
      </c>
      <c r="I40" t="s">
        <v>774</v>
      </c>
      <c r="J40" t="s">
        <v>573</v>
      </c>
      <c r="K40" t="s">
        <v>573</v>
      </c>
      <c r="L40" t="s">
        <v>573</v>
      </c>
      <c r="M40" t="s">
        <v>775</v>
      </c>
      <c r="N40" t="s">
        <v>240</v>
      </c>
      <c r="O40" t="s">
        <v>477</v>
      </c>
      <c r="U40" t="s">
        <v>776</v>
      </c>
      <c r="V40" t="s">
        <v>777</v>
      </c>
      <c r="W40" t="s">
        <v>508</v>
      </c>
      <c r="X40" t="s">
        <v>576</v>
      </c>
      <c r="Y40" t="s">
        <v>587</v>
      </c>
      <c r="AB40" t="s">
        <v>699</v>
      </c>
      <c r="AD40" t="s">
        <v>276</v>
      </c>
      <c r="AE40" t="s">
        <v>451</v>
      </c>
      <c r="AF40">
        <v>0</v>
      </c>
      <c r="AG40">
        <v>0</v>
      </c>
      <c r="AI40">
        <v>0</v>
      </c>
      <c r="AJ40" t="s">
        <v>590</v>
      </c>
      <c r="AK40" t="s">
        <v>699</v>
      </c>
      <c r="AL40" t="s">
        <v>591</v>
      </c>
    </row>
    <row r="42" spans="1:38" x14ac:dyDescent="0.2">
      <c r="A42">
        <v>1235500</v>
      </c>
      <c r="B42">
        <v>8128420</v>
      </c>
      <c r="C42">
        <v>187514</v>
      </c>
      <c r="E42" t="b">
        <v>0</v>
      </c>
      <c r="F42">
        <v>73271</v>
      </c>
      <c r="G42" t="s">
        <v>778</v>
      </c>
      <c r="H42">
        <v>1</v>
      </c>
      <c r="I42" t="s">
        <v>779</v>
      </c>
      <c r="J42" t="s">
        <v>574</v>
      </c>
      <c r="K42" t="s">
        <v>573</v>
      </c>
      <c r="L42" t="s">
        <v>575</v>
      </c>
      <c r="M42" t="s">
        <v>780</v>
      </c>
      <c r="N42" t="s">
        <v>241</v>
      </c>
      <c r="O42" t="s">
        <v>469</v>
      </c>
      <c r="U42" t="s">
        <v>781</v>
      </c>
      <c r="V42" t="s">
        <v>782</v>
      </c>
      <c r="W42" t="s">
        <v>128</v>
      </c>
      <c r="X42" t="s">
        <v>576</v>
      </c>
      <c r="Y42" t="s">
        <v>137</v>
      </c>
      <c r="Z42" t="s">
        <v>588</v>
      </c>
      <c r="AB42" t="s">
        <v>699</v>
      </c>
      <c r="AD42" t="s">
        <v>277</v>
      </c>
      <c r="AE42" t="s">
        <v>451</v>
      </c>
      <c r="AF42">
        <v>0</v>
      </c>
      <c r="AG42">
        <v>0</v>
      </c>
      <c r="AH42">
        <v>0</v>
      </c>
      <c r="AI42">
        <v>0</v>
      </c>
      <c r="AJ42" t="s">
        <v>590</v>
      </c>
      <c r="AK42" t="s">
        <v>699</v>
      </c>
      <c r="AL42" t="s">
        <v>591</v>
      </c>
    </row>
    <row r="43" spans="1:38" x14ac:dyDescent="0.2">
      <c r="A43">
        <v>1235509</v>
      </c>
      <c r="B43">
        <v>6206718</v>
      </c>
      <c r="C43">
        <v>187514</v>
      </c>
      <c r="E43" t="b">
        <v>0</v>
      </c>
      <c r="F43">
        <v>46040</v>
      </c>
      <c r="G43" t="s">
        <v>783</v>
      </c>
      <c r="H43">
        <v>2</v>
      </c>
      <c r="I43" t="s">
        <v>784</v>
      </c>
      <c r="J43" t="s">
        <v>574</v>
      </c>
      <c r="K43" t="s">
        <v>575</v>
      </c>
      <c r="L43" t="s">
        <v>575</v>
      </c>
      <c r="M43" t="s">
        <v>785</v>
      </c>
      <c r="N43" t="s">
        <v>242</v>
      </c>
      <c r="O43" t="s">
        <v>479</v>
      </c>
      <c r="U43" t="s">
        <v>786</v>
      </c>
      <c r="V43" t="s">
        <v>787</v>
      </c>
      <c r="W43" t="s">
        <v>762</v>
      </c>
      <c r="X43" t="s">
        <v>576</v>
      </c>
      <c r="Y43" t="s">
        <v>587</v>
      </c>
      <c r="AB43" t="s">
        <v>699</v>
      </c>
      <c r="AD43" t="s">
        <v>278</v>
      </c>
      <c r="AE43" t="s">
        <v>451</v>
      </c>
      <c r="AF43">
        <v>0</v>
      </c>
      <c r="AG43">
        <v>0</v>
      </c>
      <c r="AI43">
        <v>0</v>
      </c>
      <c r="AJ43" t="s">
        <v>590</v>
      </c>
      <c r="AK43" t="s">
        <v>699</v>
      </c>
      <c r="AL43" t="s">
        <v>591</v>
      </c>
    </row>
    <row r="44" spans="1:38" x14ac:dyDescent="0.2">
      <c r="A44">
        <v>1235498</v>
      </c>
      <c r="B44">
        <v>4234901</v>
      </c>
      <c r="C44">
        <v>187508</v>
      </c>
      <c r="E44" t="b">
        <v>0</v>
      </c>
      <c r="F44">
        <v>24455</v>
      </c>
      <c r="G44" t="s">
        <v>788</v>
      </c>
      <c r="H44">
        <v>1</v>
      </c>
      <c r="I44" t="s">
        <v>789</v>
      </c>
      <c r="J44" t="s">
        <v>574</v>
      </c>
      <c r="K44" t="s">
        <v>575</v>
      </c>
      <c r="L44" t="s">
        <v>575</v>
      </c>
      <c r="M44" t="s">
        <v>790</v>
      </c>
      <c r="N44" t="s">
        <v>243</v>
      </c>
      <c r="O44" t="s">
        <v>468</v>
      </c>
      <c r="S44" t="s">
        <v>791</v>
      </c>
      <c r="U44" t="s">
        <v>792</v>
      </c>
      <c r="V44" t="s">
        <v>793</v>
      </c>
      <c r="W44" t="s">
        <v>794</v>
      </c>
      <c r="X44" t="s">
        <v>576</v>
      </c>
      <c r="Y44" t="s">
        <v>137</v>
      </c>
      <c r="Z44" t="s">
        <v>588</v>
      </c>
      <c r="AB44" t="s">
        <v>589</v>
      </c>
      <c r="AD44" t="s">
        <v>279</v>
      </c>
      <c r="AE44" t="s">
        <v>451</v>
      </c>
      <c r="AF44">
        <v>0</v>
      </c>
      <c r="AG44">
        <v>0</v>
      </c>
      <c r="AH44">
        <v>68</v>
      </c>
      <c r="AI44">
        <v>0</v>
      </c>
      <c r="AJ44" t="s">
        <v>590</v>
      </c>
      <c r="AK44" t="s">
        <v>589</v>
      </c>
      <c r="AL44" t="s">
        <v>591</v>
      </c>
    </row>
    <row r="45" spans="1:38" x14ac:dyDescent="0.2">
      <c r="A45">
        <v>1235401</v>
      </c>
      <c r="B45">
        <v>6140648</v>
      </c>
      <c r="C45">
        <v>187514</v>
      </c>
      <c r="E45" t="b">
        <v>0</v>
      </c>
      <c r="F45">
        <v>44618</v>
      </c>
      <c r="G45" t="s">
        <v>795</v>
      </c>
      <c r="H45">
        <v>1</v>
      </c>
      <c r="I45" t="s">
        <v>796</v>
      </c>
      <c r="J45" t="s">
        <v>574</v>
      </c>
      <c r="K45" t="s">
        <v>575</v>
      </c>
      <c r="L45" t="s">
        <v>575</v>
      </c>
      <c r="M45" t="s">
        <v>797</v>
      </c>
      <c r="N45" t="s">
        <v>244</v>
      </c>
      <c r="O45" t="s">
        <v>452</v>
      </c>
      <c r="P45" t="s">
        <v>136</v>
      </c>
      <c r="U45" t="s">
        <v>798</v>
      </c>
      <c r="V45" t="s">
        <v>799</v>
      </c>
      <c r="W45" t="s">
        <v>191</v>
      </c>
      <c r="X45" t="s">
        <v>576</v>
      </c>
      <c r="Y45" t="s">
        <v>137</v>
      </c>
      <c r="AB45" t="s">
        <v>699</v>
      </c>
      <c r="AD45" t="s">
        <v>280</v>
      </c>
      <c r="AE45" t="s">
        <v>451</v>
      </c>
      <c r="AF45">
        <v>0</v>
      </c>
      <c r="AG45">
        <v>0</v>
      </c>
      <c r="AI45">
        <v>0</v>
      </c>
      <c r="AJ45" t="s">
        <v>590</v>
      </c>
      <c r="AK45" t="s">
        <v>699</v>
      </c>
      <c r="AL45" t="s">
        <v>591</v>
      </c>
    </row>
    <row r="46" spans="1:38" x14ac:dyDescent="0.2">
      <c r="A46">
        <v>1235402</v>
      </c>
      <c r="B46">
        <v>8128495</v>
      </c>
      <c r="C46">
        <v>187514</v>
      </c>
      <c r="E46" t="b">
        <v>0</v>
      </c>
      <c r="F46">
        <v>73279</v>
      </c>
      <c r="G46" t="s">
        <v>800</v>
      </c>
      <c r="H46">
        <v>1</v>
      </c>
      <c r="I46" t="s">
        <v>801</v>
      </c>
      <c r="J46" t="s">
        <v>574</v>
      </c>
      <c r="K46" t="s">
        <v>575</v>
      </c>
      <c r="L46" t="s">
        <v>575</v>
      </c>
      <c r="M46" t="s">
        <v>802</v>
      </c>
      <c r="N46" t="s">
        <v>245</v>
      </c>
      <c r="O46" t="s">
        <v>454</v>
      </c>
      <c r="P46" t="s">
        <v>136</v>
      </c>
      <c r="U46" t="s">
        <v>803</v>
      </c>
      <c r="V46" t="s">
        <v>804</v>
      </c>
      <c r="W46" t="s">
        <v>128</v>
      </c>
      <c r="X46" t="s">
        <v>576</v>
      </c>
      <c r="Y46" t="s">
        <v>137</v>
      </c>
      <c r="Z46" t="s">
        <v>588</v>
      </c>
      <c r="AB46" t="s">
        <v>699</v>
      </c>
      <c r="AD46" t="s">
        <v>281</v>
      </c>
      <c r="AE46" t="s">
        <v>451</v>
      </c>
      <c r="AF46">
        <v>0</v>
      </c>
      <c r="AG46">
        <v>0</v>
      </c>
      <c r="AH46">
        <v>0</v>
      </c>
      <c r="AI46">
        <v>0</v>
      </c>
      <c r="AJ46" t="s">
        <v>590</v>
      </c>
      <c r="AK46" t="s">
        <v>699</v>
      </c>
      <c r="AL46" t="s">
        <v>591</v>
      </c>
    </row>
    <row r="47" spans="1:38" x14ac:dyDescent="0.2">
      <c r="A47">
        <v>1235610</v>
      </c>
      <c r="B47">
        <v>3518992</v>
      </c>
      <c r="E47" t="b">
        <v>0</v>
      </c>
      <c r="F47">
        <v>7771</v>
      </c>
      <c r="G47" t="s">
        <v>805</v>
      </c>
      <c r="H47">
        <v>1</v>
      </c>
      <c r="I47" t="s">
        <v>806</v>
      </c>
      <c r="J47" t="s">
        <v>574</v>
      </c>
      <c r="K47" t="s">
        <v>573</v>
      </c>
      <c r="L47" t="s">
        <v>575</v>
      </c>
      <c r="M47" t="s">
        <v>807</v>
      </c>
      <c r="N47" t="s">
        <v>251</v>
      </c>
      <c r="O47" t="s">
        <v>250</v>
      </c>
      <c r="P47" t="s">
        <v>498</v>
      </c>
      <c r="S47" t="s">
        <v>619</v>
      </c>
      <c r="V47" t="s">
        <v>808</v>
      </c>
      <c r="W47" t="s">
        <v>482</v>
      </c>
      <c r="X47" t="s">
        <v>576</v>
      </c>
      <c r="Y47" t="s">
        <v>137</v>
      </c>
      <c r="Z47" t="s">
        <v>588</v>
      </c>
      <c r="AD47" t="s">
        <v>249</v>
      </c>
      <c r="AE47" t="s">
        <v>499</v>
      </c>
      <c r="AF47">
        <v>0</v>
      </c>
      <c r="AG47">
        <v>0</v>
      </c>
      <c r="AH47">
        <v>41</v>
      </c>
      <c r="AI47">
        <v>0</v>
      </c>
      <c r="AJ47" t="s">
        <v>809</v>
      </c>
    </row>
    <row r="49" spans="1:38" x14ac:dyDescent="0.2">
      <c r="A49">
        <v>1235673</v>
      </c>
      <c r="B49">
        <v>7098933</v>
      </c>
      <c r="C49">
        <v>187514</v>
      </c>
      <c r="E49" t="b">
        <v>0</v>
      </c>
      <c r="F49">
        <v>55608</v>
      </c>
      <c r="G49" t="s">
        <v>810</v>
      </c>
      <c r="H49">
        <v>1</v>
      </c>
      <c r="I49" t="s">
        <v>811</v>
      </c>
      <c r="J49" t="s">
        <v>574</v>
      </c>
      <c r="K49" t="s">
        <v>575</v>
      </c>
      <c r="L49" t="s">
        <v>575</v>
      </c>
      <c r="M49" t="s">
        <v>812</v>
      </c>
      <c r="N49" t="s">
        <v>358</v>
      </c>
      <c r="O49" t="s">
        <v>515</v>
      </c>
      <c r="U49" t="s">
        <v>813</v>
      </c>
      <c r="V49" t="s">
        <v>814</v>
      </c>
      <c r="W49" t="s">
        <v>128</v>
      </c>
      <c r="X49" t="s">
        <v>576</v>
      </c>
      <c r="Y49" t="s">
        <v>587</v>
      </c>
      <c r="Z49" t="s">
        <v>588</v>
      </c>
      <c r="AB49" t="s">
        <v>699</v>
      </c>
      <c r="AD49" t="s">
        <v>357</v>
      </c>
      <c r="AE49" t="s">
        <v>484</v>
      </c>
      <c r="AF49">
        <v>0</v>
      </c>
      <c r="AG49">
        <v>0</v>
      </c>
      <c r="AH49">
        <v>27.5</v>
      </c>
      <c r="AI49">
        <v>0</v>
      </c>
      <c r="AJ49" t="s">
        <v>590</v>
      </c>
      <c r="AK49" t="s">
        <v>699</v>
      </c>
      <c r="AL49" t="s">
        <v>591</v>
      </c>
    </row>
    <row r="50" spans="1:38" x14ac:dyDescent="0.2">
      <c r="A50">
        <v>1235526</v>
      </c>
      <c r="B50">
        <v>6917566</v>
      </c>
      <c r="C50">
        <v>187514</v>
      </c>
      <c r="E50" t="b">
        <v>0</v>
      </c>
      <c r="F50">
        <v>51875</v>
      </c>
      <c r="G50" t="s">
        <v>815</v>
      </c>
      <c r="H50">
        <v>1</v>
      </c>
      <c r="I50" t="s">
        <v>816</v>
      </c>
      <c r="J50" t="s">
        <v>574</v>
      </c>
      <c r="K50" t="s">
        <v>575</v>
      </c>
      <c r="L50" t="s">
        <v>575</v>
      </c>
      <c r="M50" t="s">
        <v>817</v>
      </c>
      <c r="N50" t="s">
        <v>246</v>
      </c>
      <c r="O50" t="s">
        <v>483</v>
      </c>
      <c r="U50" t="s">
        <v>818</v>
      </c>
      <c r="V50" t="s">
        <v>819</v>
      </c>
      <c r="W50" t="s">
        <v>496</v>
      </c>
      <c r="X50" t="s">
        <v>576</v>
      </c>
      <c r="Y50" t="s">
        <v>587</v>
      </c>
      <c r="AB50" t="s">
        <v>699</v>
      </c>
      <c r="AD50" t="s">
        <v>282</v>
      </c>
      <c r="AE50" t="s">
        <v>484</v>
      </c>
      <c r="AF50">
        <v>0</v>
      </c>
      <c r="AG50">
        <v>0</v>
      </c>
      <c r="AI50">
        <v>0</v>
      </c>
      <c r="AJ50" t="s">
        <v>590</v>
      </c>
      <c r="AK50" t="s">
        <v>699</v>
      </c>
      <c r="AL50" t="s">
        <v>591</v>
      </c>
    </row>
    <row r="51" spans="1:38" x14ac:dyDescent="0.2">
      <c r="A51">
        <v>2635568</v>
      </c>
      <c r="B51">
        <v>7621062</v>
      </c>
      <c r="C51">
        <v>187514</v>
      </c>
      <c r="E51" t="b">
        <v>0</v>
      </c>
      <c r="F51">
        <v>64450</v>
      </c>
      <c r="G51" t="s">
        <v>820</v>
      </c>
      <c r="H51">
        <v>1</v>
      </c>
      <c r="I51" t="s">
        <v>821</v>
      </c>
      <c r="J51" t="s">
        <v>573</v>
      </c>
      <c r="K51" t="s">
        <v>573</v>
      </c>
      <c r="L51" t="s">
        <v>573</v>
      </c>
      <c r="M51" t="s">
        <v>822</v>
      </c>
      <c r="N51" t="s">
        <v>247</v>
      </c>
      <c r="O51" t="s">
        <v>543</v>
      </c>
      <c r="U51" t="s">
        <v>823</v>
      </c>
      <c r="V51" t="s">
        <v>824</v>
      </c>
      <c r="W51" t="s">
        <v>536</v>
      </c>
      <c r="X51" t="s">
        <v>576</v>
      </c>
      <c r="Y51" t="s">
        <v>453</v>
      </c>
      <c r="Z51" t="s">
        <v>588</v>
      </c>
      <c r="AB51" t="s">
        <v>699</v>
      </c>
      <c r="AD51" t="s">
        <v>283</v>
      </c>
      <c r="AE51" t="s">
        <v>484</v>
      </c>
      <c r="AF51">
        <v>0</v>
      </c>
      <c r="AG51">
        <v>0</v>
      </c>
      <c r="AH51">
        <v>27.5</v>
      </c>
      <c r="AI51">
        <v>0</v>
      </c>
      <c r="AJ51" t="s">
        <v>590</v>
      </c>
      <c r="AK51" t="s">
        <v>699</v>
      </c>
      <c r="AL51" t="s">
        <v>591</v>
      </c>
    </row>
    <row r="52" spans="1:38" x14ac:dyDescent="0.2">
      <c r="A52">
        <v>1235345</v>
      </c>
      <c r="B52">
        <v>7865996</v>
      </c>
      <c r="C52">
        <v>7654931</v>
      </c>
      <c r="E52" t="b">
        <v>0</v>
      </c>
      <c r="F52">
        <v>68489</v>
      </c>
      <c r="G52" t="s">
        <v>825</v>
      </c>
      <c r="H52">
        <v>1</v>
      </c>
      <c r="I52" t="s">
        <v>826</v>
      </c>
      <c r="J52" t="s">
        <v>574</v>
      </c>
      <c r="K52" t="s">
        <v>575</v>
      </c>
      <c r="L52" t="s">
        <v>575</v>
      </c>
      <c r="M52" t="s">
        <v>827</v>
      </c>
      <c r="N52" t="s">
        <v>213</v>
      </c>
      <c r="O52" t="s">
        <v>213</v>
      </c>
      <c r="P52" t="s">
        <v>445</v>
      </c>
      <c r="S52" t="s">
        <v>828</v>
      </c>
      <c r="U52" t="s">
        <v>829</v>
      </c>
      <c r="V52" t="s">
        <v>830</v>
      </c>
      <c r="W52" t="s">
        <v>831</v>
      </c>
      <c r="X52" t="s">
        <v>576</v>
      </c>
      <c r="Y52" t="s">
        <v>137</v>
      </c>
      <c r="Z52" t="s">
        <v>832</v>
      </c>
      <c r="AB52" t="s">
        <v>614</v>
      </c>
      <c r="AD52" t="s">
        <v>212</v>
      </c>
      <c r="AE52" t="s">
        <v>446</v>
      </c>
      <c r="AF52">
        <v>0</v>
      </c>
      <c r="AG52">
        <v>0</v>
      </c>
      <c r="AH52">
        <v>117.75</v>
      </c>
      <c r="AI52">
        <v>0</v>
      </c>
      <c r="AJ52" t="s">
        <v>590</v>
      </c>
      <c r="AK52" t="s">
        <v>614</v>
      </c>
      <c r="AL52" t="s">
        <v>833</v>
      </c>
    </row>
    <row r="53" spans="1:38" x14ac:dyDescent="0.2">
      <c r="A53">
        <v>1235444</v>
      </c>
      <c r="B53">
        <v>7855800</v>
      </c>
      <c r="C53">
        <v>187508</v>
      </c>
      <c r="E53" t="b">
        <v>0</v>
      </c>
      <c r="F53">
        <v>68290</v>
      </c>
      <c r="G53" t="s">
        <v>834</v>
      </c>
      <c r="H53">
        <v>1</v>
      </c>
      <c r="I53" t="s">
        <v>835</v>
      </c>
      <c r="J53" t="s">
        <v>574</v>
      </c>
      <c r="K53" t="s">
        <v>573</v>
      </c>
      <c r="L53" t="s">
        <v>575</v>
      </c>
      <c r="M53" t="s">
        <v>836</v>
      </c>
      <c r="N53" t="s">
        <v>217</v>
      </c>
      <c r="O53" t="s">
        <v>216</v>
      </c>
      <c r="P53" t="s">
        <v>136</v>
      </c>
      <c r="S53" t="s">
        <v>627</v>
      </c>
      <c r="U53" t="s">
        <v>837</v>
      </c>
      <c r="V53" t="s">
        <v>838</v>
      </c>
      <c r="W53" t="s">
        <v>482</v>
      </c>
      <c r="X53" t="s">
        <v>576</v>
      </c>
      <c r="Y53" t="s">
        <v>587</v>
      </c>
      <c r="Z53" t="s">
        <v>588</v>
      </c>
      <c r="AB53" t="s">
        <v>589</v>
      </c>
      <c r="AD53" t="s">
        <v>463</v>
      </c>
      <c r="AE53" t="s">
        <v>839</v>
      </c>
      <c r="AF53">
        <v>0</v>
      </c>
      <c r="AG53">
        <v>0</v>
      </c>
      <c r="AH53">
        <v>102</v>
      </c>
      <c r="AI53">
        <v>0</v>
      </c>
      <c r="AJ53" t="s">
        <v>590</v>
      </c>
      <c r="AK53" t="s">
        <v>589</v>
      </c>
      <c r="AL53" t="s">
        <v>591</v>
      </c>
    </row>
    <row r="54" spans="1:38" x14ac:dyDescent="0.2">
      <c r="A54">
        <v>1235564</v>
      </c>
      <c r="B54">
        <v>7890061</v>
      </c>
      <c r="C54">
        <v>187508</v>
      </c>
      <c r="E54" t="b">
        <v>0</v>
      </c>
      <c r="F54">
        <v>69031</v>
      </c>
      <c r="G54" t="s">
        <v>840</v>
      </c>
      <c r="H54">
        <v>1</v>
      </c>
      <c r="I54" t="s">
        <v>841</v>
      </c>
      <c r="J54" t="s">
        <v>574</v>
      </c>
      <c r="K54" t="s">
        <v>573</v>
      </c>
      <c r="L54" t="s">
        <v>575</v>
      </c>
      <c r="M54" t="s">
        <v>842</v>
      </c>
      <c r="N54" t="s">
        <v>222</v>
      </c>
      <c r="O54" t="s">
        <v>221</v>
      </c>
      <c r="S54" t="s">
        <v>843</v>
      </c>
      <c r="U54" t="s">
        <v>844</v>
      </c>
      <c r="V54" t="s">
        <v>845</v>
      </c>
      <c r="W54" t="s">
        <v>482</v>
      </c>
      <c r="X54" t="s">
        <v>576</v>
      </c>
      <c r="Y54" t="s">
        <v>587</v>
      </c>
      <c r="Z54" t="s">
        <v>588</v>
      </c>
      <c r="AB54" t="s">
        <v>589</v>
      </c>
      <c r="AD54" t="s">
        <v>220</v>
      </c>
      <c r="AE54" t="s">
        <v>494</v>
      </c>
      <c r="AF54">
        <v>0</v>
      </c>
      <c r="AG54">
        <v>0</v>
      </c>
      <c r="AH54">
        <v>75</v>
      </c>
      <c r="AI54">
        <v>0</v>
      </c>
      <c r="AJ54" t="s">
        <v>590</v>
      </c>
      <c r="AK54" t="s">
        <v>589</v>
      </c>
      <c r="AL54" t="s">
        <v>591</v>
      </c>
    </row>
    <row r="55" spans="1:38" x14ac:dyDescent="0.2">
      <c r="A55">
        <v>1235501</v>
      </c>
      <c r="B55">
        <v>8010165</v>
      </c>
      <c r="C55">
        <v>187508</v>
      </c>
      <c r="E55" t="b">
        <v>0</v>
      </c>
      <c r="F55">
        <v>71410</v>
      </c>
      <c r="G55" t="s">
        <v>846</v>
      </c>
      <c r="H55">
        <v>1</v>
      </c>
      <c r="I55" t="s">
        <v>847</v>
      </c>
      <c r="J55" t="s">
        <v>574</v>
      </c>
      <c r="K55" t="s">
        <v>573</v>
      </c>
      <c r="L55" t="s">
        <v>575</v>
      </c>
      <c r="M55" t="s">
        <v>848</v>
      </c>
      <c r="N55" t="s">
        <v>225</v>
      </c>
      <c r="O55" t="s">
        <v>224</v>
      </c>
      <c r="P55" t="s">
        <v>453</v>
      </c>
      <c r="S55" t="s">
        <v>627</v>
      </c>
      <c r="U55" t="s">
        <v>665</v>
      </c>
      <c r="V55" t="s">
        <v>849</v>
      </c>
      <c r="W55" t="s">
        <v>482</v>
      </c>
      <c r="X55" t="s">
        <v>576</v>
      </c>
      <c r="Y55" t="s">
        <v>587</v>
      </c>
      <c r="Z55" t="s">
        <v>588</v>
      </c>
      <c r="AB55" t="s">
        <v>589</v>
      </c>
      <c r="AD55" t="s">
        <v>223</v>
      </c>
      <c r="AE55" t="s">
        <v>470</v>
      </c>
      <c r="AF55">
        <v>0</v>
      </c>
      <c r="AG55">
        <v>0</v>
      </c>
      <c r="AH55">
        <v>75</v>
      </c>
      <c r="AI55">
        <v>0</v>
      </c>
      <c r="AJ55" t="s">
        <v>590</v>
      </c>
      <c r="AK55" t="s">
        <v>589</v>
      </c>
      <c r="AL55" t="s">
        <v>591</v>
      </c>
    </row>
    <row r="56" spans="1:38" x14ac:dyDescent="0.2">
      <c r="A56">
        <v>1235704</v>
      </c>
      <c r="B56">
        <v>8031653</v>
      </c>
      <c r="C56">
        <v>187514</v>
      </c>
      <c r="E56" t="b">
        <v>0</v>
      </c>
      <c r="F56">
        <v>71907</v>
      </c>
      <c r="G56" t="s">
        <v>850</v>
      </c>
      <c r="H56">
        <v>1</v>
      </c>
      <c r="I56" t="s">
        <v>851</v>
      </c>
      <c r="J56" t="s">
        <v>574</v>
      </c>
      <c r="K56" t="s">
        <v>575</v>
      </c>
      <c r="L56" t="s">
        <v>575</v>
      </c>
      <c r="M56" t="s">
        <v>852</v>
      </c>
      <c r="N56" t="s">
        <v>291</v>
      </c>
      <c r="O56" t="s">
        <v>521</v>
      </c>
      <c r="S56" t="s">
        <v>713</v>
      </c>
      <c r="U56" t="s">
        <v>853</v>
      </c>
      <c r="V56" t="s">
        <v>854</v>
      </c>
      <c r="W56" t="s">
        <v>415</v>
      </c>
      <c r="X56" t="s">
        <v>576</v>
      </c>
      <c r="Y56" t="s">
        <v>453</v>
      </c>
      <c r="Z56" t="s">
        <v>588</v>
      </c>
      <c r="AB56" t="s">
        <v>699</v>
      </c>
      <c r="AD56" t="s">
        <v>290</v>
      </c>
      <c r="AE56" t="s">
        <v>290</v>
      </c>
      <c r="AF56">
        <v>0</v>
      </c>
      <c r="AG56">
        <v>0</v>
      </c>
      <c r="AH56">
        <v>27.5</v>
      </c>
      <c r="AI56">
        <v>0</v>
      </c>
      <c r="AJ56" t="s">
        <v>590</v>
      </c>
      <c r="AK56" t="s">
        <v>699</v>
      </c>
      <c r="AL56" t="s">
        <v>591</v>
      </c>
    </row>
    <row r="57" spans="1:38" x14ac:dyDescent="0.2">
      <c r="A57">
        <v>1235563</v>
      </c>
      <c r="B57">
        <v>7009411</v>
      </c>
      <c r="C57">
        <v>7589603</v>
      </c>
      <c r="E57" t="b">
        <v>0</v>
      </c>
      <c r="F57">
        <v>53782</v>
      </c>
      <c r="G57" t="s">
        <v>855</v>
      </c>
      <c r="H57">
        <v>1</v>
      </c>
      <c r="I57" t="s">
        <v>856</v>
      </c>
      <c r="J57" t="s">
        <v>574</v>
      </c>
      <c r="K57" t="s">
        <v>573</v>
      </c>
      <c r="L57" t="s">
        <v>575</v>
      </c>
      <c r="M57" t="s">
        <v>857</v>
      </c>
      <c r="N57" t="s">
        <v>257</v>
      </c>
      <c r="O57" t="s">
        <v>257</v>
      </c>
      <c r="P57" t="s">
        <v>491</v>
      </c>
      <c r="S57" t="s">
        <v>619</v>
      </c>
      <c r="U57" t="s">
        <v>858</v>
      </c>
      <c r="V57" t="s">
        <v>859</v>
      </c>
      <c r="W57" t="s">
        <v>482</v>
      </c>
      <c r="X57" t="s">
        <v>576</v>
      </c>
      <c r="Y57" t="s">
        <v>137</v>
      </c>
      <c r="Z57" t="s">
        <v>588</v>
      </c>
      <c r="AB57" t="s">
        <v>614</v>
      </c>
      <c r="AD57" t="s">
        <v>492</v>
      </c>
      <c r="AE57" t="s">
        <v>493</v>
      </c>
      <c r="AF57">
        <v>0</v>
      </c>
      <c r="AG57">
        <v>0</v>
      </c>
      <c r="AH57">
        <v>46</v>
      </c>
      <c r="AI57">
        <v>0</v>
      </c>
      <c r="AJ57" t="s">
        <v>590</v>
      </c>
      <c r="AK57" t="s">
        <v>614</v>
      </c>
      <c r="AL57" t="s">
        <v>623</v>
      </c>
    </row>
    <row r="58" spans="1:38" x14ac:dyDescent="0.2">
      <c r="A58">
        <v>1235428</v>
      </c>
      <c r="B58">
        <v>3934094</v>
      </c>
      <c r="C58">
        <v>7589603</v>
      </c>
      <c r="E58" t="b">
        <v>0</v>
      </c>
      <c r="F58">
        <v>17702</v>
      </c>
      <c r="G58" t="s">
        <v>860</v>
      </c>
      <c r="H58">
        <v>1</v>
      </c>
      <c r="I58" t="s">
        <v>861</v>
      </c>
      <c r="J58" t="s">
        <v>574</v>
      </c>
      <c r="K58" t="s">
        <v>575</v>
      </c>
      <c r="L58" t="s">
        <v>575</v>
      </c>
      <c r="M58" t="s">
        <v>862</v>
      </c>
      <c r="N58" t="s">
        <v>258</v>
      </c>
      <c r="O58" t="s">
        <v>258</v>
      </c>
      <c r="P58" t="s">
        <v>794</v>
      </c>
      <c r="S58" t="s">
        <v>619</v>
      </c>
      <c r="V58" t="s">
        <v>863</v>
      </c>
      <c r="W58" t="s">
        <v>482</v>
      </c>
      <c r="X58" t="s">
        <v>576</v>
      </c>
      <c r="Y58" t="s">
        <v>137</v>
      </c>
      <c r="Z58" t="s">
        <v>588</v>
      </c>
      <c r="AB58" t="s">
        <v>614</v>
      </c>
      <c r="AD58" t="s">
        <v>864</v>
      </c>
      <c r="AE58" t="s">
        <v>865</v>
      </c>
      <c r="AF58">
        <v>0</v>
      </c>
      <c r="AG58">
        <v>0</v>
      </c>
      <c r="AH58">
        <v>41</v>
      </c>
      <c r="AI58">
        <v>0</v>
      </c>
      <c r="AJ58" t="s">
        <v>590</v>
      </c>
      <c r="AK58" t="s">
        <v>614</v>
      </c>
      <c r="AL58" t="s">
        <v>623</v>
      </c>
    </row>
    <row r="59" spans="1:38" x14ac:dyDescent="0.2">
      <c r="A59">
        <v>2822437</v>
      </c>
    </row>
    <row r="60" spans="1:38" x14ac:dyDescent="0.2">
      <c r="A60">
        <v>1235598</v>
      </c>
      <c r="B60">
        <v>7490110</v>
      </c>
      <c r="C60">
        <v>7589602</v>
      </c>
      <c r="E60" t="b">
        <v>0</v>
      </c>
      <c r="F60">
        <v>61175</v>
      </c>
      <c r="G60" t="s">
        <v>866</v>
      </c>
      <c r="H60">
        <v>1</v>
      </c>
      <c r="I60" t="s">
        <v>867</v>
      </c>
      <c r="J60" t="s">
        <v>574</v>
      </c>
      <c r="K60" t="s">
        <v>573</v>
      </c>
      <c r="L60" t="s">
        <v>575</v>
      </c>
      <c r="M60" t="s">
        <v>868</v>
      </c>
      <c r="N60" t="s">
        <v>214</v>
      </c>
      <c r="O60" t="s">
        <v>214</v>
      </c>
      <c r="P60" t="s">
        <v>482</v>
      </c>
      <c r="S60" t="s">
        <v>627</v>
      </c>
      <c r="U60" t="s">
        <v>869</v>
      </c>
      <c r="V60" t="s">
        <v>870</v>
      </c>
      <c r="W60" t="s">
        <v>482</v>
      </c>
      <c r="X60" t="s">
        <v>576</v>
      </c>
      <c r="Y60" t="s">
        <v>137</v>
      </c>
      <c r="Z60" t="s">
        <v>588</v>
      </c>
      <c r="AA60" t="s">
        <v>34</v>
      </c>
      <c r="AB60" t="s">
        <v>631</v>
      </c>
      <c r="AD60" t="s">
        <v>497</v>
      </c>
      <c r="AE60" t="s">
        <v>497</v>
      </c>
      <c r="AF60">
        <v>0</v>
      </c>
      <c r="AG60">
        <v>0</v>
      </c>
      <c r="AH60">
        <v>76.25</v>
      </c>
      <c r="AI60">
        <v>0</v>
      </c>
      <c r="AJ60" t="s">
        <v>590</v>
      </c>
      <c r="AK60" t="s">
        <v>631</v>
      </c>
      <c r="AL60" t="s">
        <v>623</v>
      </c>
    </row>
    <row r="61" spans="1:38" x14ac:dyDescent="0.2">
      <c r="A61">
        <v>1235517</v>
      </c>
      <c r="B61">
        <v>6829128</v>
      </c>
      <c r="C61">
        <v>187510</v>
      </c>
      <c r="E61" t="b">
        <v>0</v>
      </c>
      <c r="F61">
        <v>50907</v>
      </c>
      <c r="G61" t="s">
        <v>871</v>
      </c>
      <c r="H61">
        <v>1</v>
      </c>
      <c r="I61" t="s">
        <v>872</v>
      </c>
      <c r="J61" t="s">
        <v>574</v>
      </c>
      <c r="K61" t="s">
        <v>573</v>
      </c>
      <c r="L61" t="s">
        <v>575</v>
      </c>
      <c r="M61" t="s">
        <v>873</v>
      </c>
      <c r="N61" t="s">
        <v>215</v>
      </c>
      <c r="O61" t="s">
        <v>215</v>
      </c>
      <c r="P61" t="s">
        <v>128</v>
      </c>
      <c r="S61" t="s">
        <v>627</v>
      </c>
      <c r="U61" t="s">
        <v>874</v>
      </c>
      <c r="V61" t="s">
        <v>875</v>
      </c>
      <c r="W61" t="s">
        <v>482</v>
      </c>
      <c r="X61" t="s">
        <v>576</v>
      </c>
      <c r="Y61" t="s">
        <v>137</v>
      </c>
      <c r="Z61" t="s">
        <v>588</v>
      </c>
      <c r="AA61" t="s">
        <v>34</v>
      </c>
      <c r="AB61" t="s">
        <v>631</v>
      </c>
      <c r="AD61" t="s">
        <v>876</v>
      </c>
      <c r="AE61" t="s">
        <v>876</v>
      </c>
      <c r="AF61">
        <v>0</v>
      </c>
      <c r="AG61">
        <v>0</v>
      </c>
      <c r="AH61">
        <v>74.75</v>
      </c>
      <c r="AI61">
        <v>0</v>
      </c>
      <c r="AJ61" t="s">
        <v>590</v>
      </c>
      <c r="AK61" t="s">
        <v>631</v>
      </c>
      <c r="AL61" t="s">
        <v>591</v>
      </c>
    </row>
    <row r="62" spans="1:38" x14ac:dyDescent="0.2">
      <c r="A62">
        <v>2822784</v>
      </c>
      <c r="B62">
        <v>8069275</v>
      </c>
      <c r="E62" t="b">
        <v>0</v>
      </c>
      <c r="F62">
        <v>72690</v>
      </c>
      <c r="G62" t="s">
        <v>877</v>
      </c>
      <c r="H62">
        <v>1</v>
      </c>
      <c r="I62" t="s">
        <v>878</v>
      </c>
      <c r="J62" t="s">
        <v>574</v>
      </c>
      <c r="K62" t="s">
        <v>575</v>
      </c>
      <c r="L62" t="s">
        <v>575</v>
      </c>
      <c r="M62" t="s">
        <v>879</v>
      </c>
      <c r="N62" t="s">
        <v>547</v>
      </c>
      <c r="O62" t="s">
        <v>547</v>
      </c>
      <c r="P62" t="s">
        <v>169</v>
      </c>
      <c r="S62" t="s">
        <v>880</v>
      </c>
      <c r="V62" t="s">
        <v>881</v>
      </c>
      <c r="W62" t="s">
        <v>482</v>
      </c>
      <c r="X62" t="s">
        <v>576</v>
      </c>
      <c r="Y62" t="s">
        <v>622</v>
      </c>
      <c r="Z62" t="s">
        <v>588</v>
      </c>
      <c r="AA62" t="s">
        <v>34</v>
      </c>
      <c r="AD62" t="s">
        <v>548</v>
      </c>
      <c r="AE62" t="s">
        <v>548</v>
      </c>
      <c r="AF62">
        <v>0</v>
      </c>
      <c r="AG62">
        <v>0</v>
      </c>
      <c r="AH62">
        <v>76.25</v>
      </c>
      <c r="AI62">
        <v>0</v>
      </c>
      <c r="AJ62" t="s">
        <v>590</v>
      </c>
    </row>
    <row r="63" spans="1:38" x14ac:dyDescent="0.2">
      <c r="A63">
        <v>1235416</v>
      </c>
      <c r="B63">
        <v>7618351</v>
      </c>
      <c r="C63">
        <v>187510</v>
      </c>
      <c r="E63" t="b">
        <v>0</v>
      </c>
      <c r="F63">
        <v>64375</v>
      </c>
      <c r="G63" t="s">
        <v>882</v>
      </c>
      <c r="H63">
        <v>1</v>
      </c>
      <c r="I63" t="s">
        <v>883</v>
      </c>
      <c r="J63" t="s">
        <v>574</v>
      </c>
      <c r="K63" t="s">
        <v>884</v>
      </c>
      <c r="L63" t="s">
        <v>575</v>
      </c>
      <c r="M63" t="s">
        <v>885</v>
      </c>
      <c r="N63" t="s">
        <v>457</v>
      </c>
      <c r="O63" t="s">
        <v>457</v>
      </c>
      <c r="P63" t="s">
        <v>458</v>
      </c>
      <c r="S63" t="s">
        <v>886</v>
      </c>
      <c r="U63" t="s">
        <v>887</v>
      </c>
      <c r="V63" t="s">
        <v>888</v>
      </c>
      <c r="W63" t="s">
        <v>482</v>
      </c>
      <c r="X63" t="s">
        <v>576</v>
      </c>
      <c r="Y63" t="s">
        <v>137</v>
      </c>
      <c r="Z63" t="s">
        <v>588</v>
      </c>
      <c r="AA63" t="s">
        <v>34</v>
      </c>
      <c r="AB63" t="s">
        <v>631</v>
      </c>
      <c r="AD63" t="s">
        <v>459</v>
      </c>
      <c r="AE63" t="s">
        <v>459</v>
      </c>
      <c r="AF63">
        <v>0</v>
      </c>
      <c r="AG63">
        <v>0</v>
      </c>
      <c r="AH63">
        <v>76.25</v>
      </c>
      <c r="AI63">
        <v>0</v>
      </c>
      <c r="AJ63" t="s">
        <v>590</v>
      </c>
      <c r="AK63" t="s">
        <v>631</v>
      </c>
      <c r="AL63" t="s">
        <v>591</v>
      </c>
    </row>
    <row r="64" spans="1:38" x14ac:dyDescent="0.2">
      <c r="A64">
        <v>1235503</v>
      </c>
      <c r="B64">
        <v>8035837</v>
      </c>
      <c r="C64">
        <v>187508</v>
      </c>
      <c r="E64" t="b">
        <v>0</v>
      </c>
      <c r="F64">
        <v>72022</v>
      </c>
      <c r="G64" t="s">
        <v>889</v>
      </c>
      <c r="H64">
        <v>1</v>
      </c>
      <c r="I64" t="s">
        <v>890</v>
      </c>
      <c r="J64" t="s">
        <v>574</v>
      </c>
      <c r="K64" t="s">
        <v>573</v>
      </c>
      <c r="L64" t="s">
        <v>575</v>
      </c>
      <c r="M64" t="s">
        <v>891</v>
      </c>
      <c r="N64" t="s">
        <v>296</v>
      </c>
      <c r="O64" t="s">
        <v>218</v>
      </c>
      <c r="P64" t="s">
        <v>453</v>
      </c>
      <c r="S64" t="s">
        <v>892</v>
      </c>
      <c r="U64" t="s">
        <v>893</v>
      </c>
      <c r="V64" t="s">
        <v>894</v>
      </c>
      <c r="W64" t="s">
        <v>482</v>
      </c>
      <c r="X64" t="s">
        <v>576</v>
      </c>
      <c r="Y64" t="s">
        <v>587</v>
      </c>
      <c r="Z64" t="s">
        <v>588</v>
      </c>
      <c r="AB64" t="s">
        <v>589</v>
      </c>
      <c r="AD64" t="s">
        <v>297</v>
      </c>
      <c r="AE64" t="s">
        <v>473</v>
      </c>
      <c r="AF64">
        <v>0</v>
      </c>
      <c r="AG64">
        <v>0</v>
      </c>
      <c r="AH64">
        <v>97</v>
      </c>
      <c r="AI64">
        <v>0</v>
      </c>
      <c r="AJ64" t="s">
        <v>590</v>
      </c>
      <c r="AK64" t="s">
        <v>589</v>
      </c>
      <c r="AL64" t="s">
        <v>591</v>
      </c>
    </row>
    <row r="65" spans="1:1" x14ac:dyDescent="0.2">
      <c r="A65">
        <v>1235768</v>
      </c>
    </row>
    <row r="66" spans="1:1" x14ac:dyDescent="0.2">
      <c r="A66">
        <v>1235769</v>
      </c>
    </row>
    <row r="67" spans="1:1" x14ac:dyDescent="0.2">
      <c r="A67">
        <v>1235540</v>
      </c>
    </row>
  </sheetData>
  <sheetProtection algorithmName="SHA-512" hashValue="ba4UOwGZCbNbczJmZMAqIK9e0VUsskO4R8SdKGVPxPhIVCTmgf7uN7CmXw8hoIEDWH1lBUWKR+SLYxSglY/zKg==" saltValue="PArZNZYiNca+c2u/y1Y5dg==" spinCount="100000" sheet="1" objects="1" scenarios="1" autoFilter="0"/>
  <pageMargins left="0.7" right="0.7" top="0.75" bottom="0.75" header="0.3" footer="0.3"/>
  <tableParts count="1">
    <tablePart r:id="rId1"/>
  </tableParts>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66FF9F-BBF9-4AB7-8FB9-C3CC487674C5}">
  <sheetPr codeName="Sheet28"/>
  <dimension ref="A1:C9"/>
  <sheetViews>
    <sheetView workbookViewId="0"/>
  </sheetViews>
  <sheetFormatPr defaultRowHeight="12.75" x14ac:dyDescent="0.2"/>
  <cols>
    <col min="1" max="1" width="11" bestFit="1" customWidth="1"/>
  </cols>
  <sheetData>
    <row r="1" spans="1:3" x14ac:dyDescent="0.2">
      <c r="A1" s="44" t="s">
        <v>607</v>
      </c>
      <c r="B1" s="44" t="s">
        <v>605</v>
      </c>
      <c r="C1" s="44" t="s">
        <v>606</v>
      </c>
    </row>
    <row r="2" spans="1:3" x14ac:dyDescent="0.2">
      <c r="A2" s="44" t="s">
        <v>604</v>
      </c>
      <c r="B2">
        <v>-100</v>
      </c>
      <c r="C2">
        <v>450</v>
      </c>
    </row>
    <row r="3" spans="1:3" x14ac:dyDescent="0.2">
      <c r="A3" s="44" t="s">
        <v>598</v>
      </c>
      <c r="B3">
        <v>-50</v>
      </c>
      <c r="C3">
        <v>450</v>
      </c>
    </row>
    <row r="4" spans="1:3" x14ac:dyDescent="0.2">
      <c r="A4" s="44" t="s">
        <v>597</v>
      </c>
      <c r="B4">
        <v>70</v>
      </c>
      <c r="C4">
        <v>500</v>
      </c>
    </row>
    <row r="5" spans="1:3" x14ac:dyDescent="0.2">
      <c r="A5" s="44" t="s">
        <v>599</v>
      </c>
      <c r="B5">
        <v>70</v>
      </c>
      <c r="C5">
        <v>450</v>
      </c>
    </row>
    <row r="6" spans="1:3" x14ac:dyDescent="0.2">
      <c r="A6" s="44" t="s">
        <v>601</v>
      </c>
      <c r="B6">
        <v>70</v>
      </c>
      <c r="C6">
        <v>1000</v>
      </c>
    </row>
    <row r="7" spans="1:3" x14ac:dyDescent="0.2">
      <c r="A7" s="44" t="s">
        <v>602</v>
      </c>
      <c r="B7">
        <v>200</v>
      </c>
      <c r="C7">
        <v>1850</v>
      </c>
    </row>
    <row r="8" spans="1:3" x14ac:dyDescent="0.2">
      <c r="A8" s="44" t="s">
        <v>600</v>
      </c>
      <c r="B8">
        <v>700</v>
      </c>
      <c r="C8">
        <v>2200</v>
      </c>
    </row>
    <row r="9" spans="1:3" x14ac:dyDescent="0.2">
      <c r="A9" s="44" t="s">
        <v>603</v>
      </c>
      <c r="B9">
        <v>700</v>
      </c>
      <c r="C9">
        <v>2200</v>
      </c>
    </row>
  </sheetData>
  <sheetProtection algorithmName="SHA-512" hashValue="4xZ5RqlQcBdbmy3i9RjOo+yy0FmMd3XMJgcKudiDlGEGPlWXFgT+GL+9tPbQLqxRenAexVVjwBb0VBnNwldoQQ==" saltValue="cvZ8Z8GzgxIme3BVbxgMbA==" spinCount="100000" sheet="1" objects="1" scenarios="1" autoFilter="0"/>
  <pageMargins left="0.7" right="0.7" top="0.75" bottom="0.75" header="0.3" footer="0.3"/>
  <tableParts count="1">
    <tablePart r:id="rId1"/>
  </tableParts>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7">
    <tabColor rgb="FF92D050"/>
  </sheetPr>
  <dimension ref="A1:AS91"/>
  <sheetViews>
    <sheetView zoomScaleNormal="100" workbookViewId="0">
      <selection activeCell="I15" sqref="I15"/>
    </sheetView>
  </sheetViews>
  <sheetFormatPr defaultColWidth="9.140625" defaultRowHeight="12.75" x14ac:dyDescent="0.2"/>
  <cols>
    <col min="1" max="9" width="11" style="76" customWidth="1"/>
    <col min="10" max="10" width="12" style="76" customWidth="1"/>
    <col min="11" max="13" width="12.140625" style="76" customWidth="1"/>
    <col min="14" max="14" width="12.140625" style="71" customWidth="1"/>
    <col min="15" max="15" width="11.28515625" style="76" customWidth="1"/>
    <col min="16" max="16" width="9.85546875" style="342" bestFit="1" customWidth="1"/>
    <col min="17" max="17" width="8.28515625" style="76" bestFit="1" customWidth="1"/>
    <col min="18" max="22" width="6" style="76" bestFit="1" customWidth="1"/>
    <col min="23" max="23" width="4.5703125" style="76" customWidth="1"/>
    <col min="24" max="31" width="6" style="76" bestFit="1" customWidth="1"/>
    <col min="32" max="32" width="9.85546875" style="344" bestFit="1" customWidth="1"/>
    <col min="33" max="33" width="8.28515625" style="76" bestFit="1" customWidth="1"/>
    <col min="34" max="38" width="6" style="76" bestFit="1" customWidth="1"/>
    <col min="39" max="39" width="6.28515625" style="76" customWidth="1"/>
    <col min="40" max="45" width="6" style="76" bestFit="1" customWidth="1"/>
    <col min="46" max="16384" width="9.140625" style="76"/>
  </cols>
  <sheetData>
    <row r="1" spans="1:45" s="75" customFormat="1" ht="13.5" thickBot="1" x14ac:dyDescent="0.25">
      <c r="A1" s="72"/>
      <c r="B1" s="73"/>
      <c r="C1" s="73"/>
      <c r="D1" s="73"/>
      <c r="E1" s="73" t="s">
        <v>90</v>
      </c>
      <c r="F1" s="73"/>
      <c r="G1" s="73"/>
      <c r="H1" s="73"/>
      <c r="I1" s="73"/>
      <c r="J1" s="73"/>
      <c r="K1" s="73"/>
      <c r="L1" s="73"/>
      <c r="M1" s="73"/>
      <c r="N1" s="73"/>
      <c r="O1" s="74"/>
      <c r="P1" s="339" t="s">
        <v>93</v>
      </c>
      <c r="Q1" s="72"/>
      <c r="R1" s="73"/>
      <c r="S1" s="73"/>
      <c r="T1" s="73"/>
      <c r="U1" s="73" t="s">
        <v>91</v>
      </c>
      <c r="V1" s="73"/>
      <c r="W1" s="73"/>
      <c r="X1" s="73"/>
      <c r="Y1" s="73"/>
      <c r="Z1" s="73"/>
      <c r="AA1" s="73"/>
      <c r="AB1" s="73"/>
      <c r="AC1" s="73"/>
      <c r="AD1" s="73"/>
      <c r="AE1" s="74"/>
      <c r="AF1" s="339" t="s">
        <v>93</v>
      </c>
      <c r="AG1" s="72"/>
      <c r="AH1" s="73"/>
      <c r="AI1" s="73"/>
      <c r="AJ1" s="73" t="s">
        <v>92</v>
      </c>
      <c r="AK1" s="73"/>
      <c r="AL1" s="73"/>
      <c r="AM1" s="73"/>
      <c r="AN1" s="73"/>
      <c r="AO1" s="73"/>
      <c r="AP1" s="73"/>
      <c r="AQ1" s="73"/>
      <c r="AR1" s="73"/>
      <c r="AS1" s="74"/>
    </row>
    <row r="2" spans="1:45" s="70" customFormat="1" ht="15" x14ac:dyDescent="0.25">
      <c r="A2" s="334"/>
      <c r="B2" s="334"/>
      <c r="C2" s="334"/>
      <c r="D2" s="334"/>
      <c r="E2" s="334"/>
      <c r="F2" s="334"/>
      <c r="G2" s="334"/>
      <c r="H2" s="334"/>
      <c r="I2" s="334"/>
      <c r="J2" s="334"/>
      <c r="K2" s="172"/>
      <c r="L2" s="61"/>
      <c r="M2" s="61"/>
      <c r="N2" s="61"/>
      <c r="O2" s="62"/>
      <c r="P2" s="340"/>
      <c r="Q2" s="61"/>
      <c r="R2" s="61"/>
      <c r="S2" s="61"/>
      <c r="T2" s="61"/>
      <c r="U2" s="61"/>
      <c r="V2" s="61"/>
      <c r="W2" s="61"/>
      <c r="X2" s="61"/>
      <c r="Y2" s="61"/>
      <c r="Z2" s="61"/>
      <c r="AA2" s="61"/>
      <c r="AB2" s="112"/>
      <c r="AC2" s="112"/>
      <c r="AD2" s="62"/>
      <c r="AE2" s="62"/>
      <c r="AF2" s="343"/>
      <c r="AG2" s="112"/>
      <c r="AH2" s="112"/>
      <c r="AI2" s="112"/>
      <c r="AJ2" s="112"/>
      <c r="AK2" s="112"/>
      <c r="AL2" s="112"/>
      <c r="AM2" s="112"/>
      <c r="AN2" s="112"/>
      <c r="AO2" s="112"/>
      <c r="AP2" s="112"/>
      <c r="AQ2" s="112"/>
      <c r="AR2" s="112"/>
      <c r="AS2" s="112"/>
    </row>
    <row r="3" spans="1:45" x14ac:dyDescent="0.2">
      <c r="A3" s="172"/>
      <c r="B3" s="172"/>
      <c r="C3" s="172"/>
      <c r="D3" s="172"/>
      <c r="E3" s="172"/>
      <c r="F3" s="172"/>
      <c r="G3" s="172"/>
      <c r="H3" s="172"/>
      <c r="I3" s="172"/>
      <c r="J3" s="172"/>
      <c r="K3" s="172"/>
      <c r="L3" s="61"/>
      <c r="M3" s="61"/>
      <c r="N3" s="61"/>
      <c r="O3" s="62"/>
      <c r="P3" s="340"/>
      <c r="Q3" s="61"/>
      <c r="R3" s="61"/>
      <c r="S3" s="61"/>
      <c r="T3" s="61"/>
      <c r="U3" s="61"/>
      <c r="V3" s="61"/>
      <c r="W3" s="61"/>
      <c r="X3" s="61"/>
      <c r="Y3" s="61"/>
      <c r="Z3" s="61"/>
      <c r="AA3" s="61"/>
      <c r="AB3" s="112"/>
      <c r="AC3" s="112"/>
      <c r="AD3" s="69"/>
      <c r="AE3" s="62"/>
      <c r="AF3" s="343"/>
      <c r="AG3" s="112"/>
      <c r="AH3" s="112"/>
      <c r="AI3" s="112"/>
      <c r="AJ3" s="112"/>
      <c r="AK3" s="112"/>
      <c r="AL3" s="112"/>
      <c r="AM3" s="112"/>
      <c r="AN3" s="112"/>
      <c r="AO3" s="112"/>
      <c r="AP3" s="112"/>
      <c r="AQ3" s="112"/>
      <c r="AR3" s="112"/>
      <c r="AS3" s="112"/>
    </row>
    <row r="4" spans="1:45" ht="15" x14ac:dyDescent="0.25">
      <c r="A4" s="172"/>
      <c r="B4" s="172"/>
      <c r="C4" s="172"/>
      <c r="D4" s="172"/>
      <c r="E4" s="172"/>
      <c r="F4" s="172"/>
      <c r="G4" s="172"/>
      <c r="H4" s="172"/>
      <c r="I4" s="172"/>
      <c r="J4" s="172"/>
      <c r="K4" s="172"/>
      <c r="L4" s="61"/>
      <c r="M4" s="61"/>
      <c r="N4" s="61"/>
      <c r="O4" s="62"/>
      <c r="P4" s="341"/>
      <c r="Q4" s="338"/>
      <c r="R4" s="337"/>
      <c r="S4" s="337"/>
      <c r="T4" s="337"/>
      <c r="U4" s="337"/>
      <c r="V4" s="337"/>
      <c r="W4" s="337"/>
      <c r="X4" s="337"/>
      <c r="Y4" s="337"/>
      <c r="Z4" s="337"/>
      <c r="AA4" s="337"/>
      <c r="AB4" s="63"/>
      <c r="AC4" s="63"/>
      <c r="AD4" s="63"/>
      <c r="AE4" s="63"/>
      <c r="AF4" s="343"/>
      <c r="AG4" s="112"/>
      <c r="AH4" s="63"/>
      <c r="AI4" s="63"/>
      <c r="AJ4" s="63"/>
      <c r="AK4" s="63"/>
      <c r="AL4" s="63"/>
      <c r="AM4" s="63"/>
      <c r="AN4" s="63"/>
      <c r="AO4" s="63"/>
      <c r="AP4" s="63"/>
      <c r="AQ4" s="63"/>
      <c r="AR4" s="63"/>
      <c r="AS4" s="63"/>
    </row>
    <row r="5" spans="1:45" ht="15" x14ac:dyDescent="0.25">
      <c r="A5" s="172"/>
      <c r="B5" s="172"/>
      <c r="C5" s="172"/>
      <c r="D5" s="172"/>
      <c r="E5" s="172"/>
      <c r="F5" s="172"/>
      <c r="G5" s="172"/>
      <c r="H5" s="172"/>
      <c r="I5" s="172"/>
      <c r="J5" s="172"/>
      <c r="K5" s="172"/>
      <c r="L5" s="61"/>
      <c r="M5" s="61"/>
      <c r="N5" s="61"/>
      <c r="O5" s="62"/>
      <c r="P5" s="340"/>
      <c r="Q5" s="338"/>
      <c r="R5" s="337"/>
      <c r="S5" s="337"/>
      <c r="T5" s="337"/>
      <c r="U5" s="337"/>
      <c r="V5" s="337"/>
      <c r="W5" s="337"/>
      <c r="X5" s="337"/>
      <c r="Y5" s="337"/>
      <c r="Z5" s="337"/>
      <c r="AA5" s="337"/>
      <c r="AB5" s="63"/>
      <c r="AC5" s="63"/>
      <c r="AD5" s="63"/>
      <c r="AE5" s="63"/>
      <c r="AF5" s="343"/>
      <c r="AG5" s="114"/>
      <c r="AH5" s="63"/>
      <c r="AI5" s="63"/>
      <c r="AJ5" s="63"/>
      <c r="AK5" s="63"/>
      <c r="AL5" s="63"/>
      <c r="AM5" s="63"/>
      <c r="AN5" s="63"/>
      <c r="AO5" s="63"/>
      <c r="AP5" s="63"/>
      <c r="AQ5" s="63"/>
      <c r="AR5" s="63"/>
      <c r="AS5" s="63"/>
    </row>
    <row r="6" spans="1:45" ht="15" x14ac:dyDescent="0.25">
      <c r="A6" s="172"/>
      <c r="B6" s="172"/>
      <c r="C6" s="172"/>
      <c r="D6" s="172"/>
      <c r="E6" s="172"/>
      <c r="F6" s="172"/>
      <c r="G6" s="172"/>
      <c r="H6" s="172"/>
      <c r="I6" s="172"/>
      <c r="J6" s="172"/>
      <c r="K6" s="172"/>
      <c r="L6" s="61"/>
      <c r="M6" s="61"/>
      <c r="N6" s="61"/>
      <c r="O6" s="62"/>
      <c r="P6" s="340"/>
      <c r="Q6" s="338"/>
      <c r="R6" s="337"/>
      <c r="S6" s="337"/>
      <c r="T6" s="337"/>
      <c r="U6" s="337"/>
      <c r="V6" s="337"/>
      <c r="W6" s="337"/>
      <c r="X6" s="337"/>
      <c r="Y6" s="337"/>
      <c r="Z6" s="337"/>
      <c r="AA6" s="337"/>
      <c r="AB6" s="63"/>
      <c r="AC6" s="63"/>
      <c r="AD6" s="63"/>
      <c r="AE6" s="63"/>
      <c r="AF6" s="343"/>
      <c r="AG6" s="114"/>
      <c r="AH6" s="63"/>
      <c r="AI6" s="63"/>
      <c r="AJ6" s="63"/>
      <c r="AK6" s="63"/>
      <c r="AL6" s="63"/>
      <c r="AM6" s="63"/>
      <c r="AN6" s="63"/>
      <c r="AO6" s="63"/>
      <c r="AP6" s="63"/>
      <c r="AQ6" s="63"/>
      <c r="AR6" s="63"/>
      <c r="AS6" s="63"/>
    </row>
    <row r="7" spans="1:45" ht="15" x14ac:dyDescent="0.25">
      <c r="A7" s="172"/>
      <c r="B7" s="172"/>
      <c r="C7" s="172"/>
      <c r="D7" s="172"/>
      <c r="E7" s="172"/>
      <c r="F7" s="172"/>
      <c r="G7" s="172"/>
      <c r="H7" s="172"/>
      <c r="I7" s="172"/>
      <c r="J7" s="172"/>
      <c r="K7" s="172"/>
      <c r="L7" s="61"/>
      <c r="M7" s="61"/>
      <c r="N7" s="61"/>
      <c r="O7" s="62"/>
      <c r="P7" s="340"/>
      <c r="Q7" s="338"/>
      <c r="R7" s="337"/>
      <c r="S7" s="337"/>
      <c r="T7" s="337"/>
      <c r="U7" s="337"/>
      <c r="V7" s="337"/>
      <c r="W7" s="337"/>
      <c r="X7" s="337"/>
      <c r="Y7" s="337"/>
      <c r="Z7" s="337"/>
      <c r="AA7" s="337"/>
      <c r="AB7" s="63"/>
      <c r="AC7" s="63"/>
      <c r="AD7" s="63"/>
      <c r="AE7" s="63"/>
      <c r="AF7" s="343"/>
      <c r="AG7" s="112"/>
      <c r="AH7" s="63"/>
      <c r="AI7" s="63"/>
      <c r="AJ7" s="63"/>
      <c r="AK7" s="63"/>
      <c r="AL7" s="63"/>
      <c r="AM7" s="63"/>
      <c r="AN7" s="63"/>
      <c r="AO7" s="63"/>
      <c r="AP7" s="63"/>
      <c r="AQ7" s="63"/>
      <c r="AR7" s="63"/>
      <c r="AS7" s="63"/>
    </row>
    <row r="8" spans="1:45" ht="15" x14ac:dyDescent="0.25">
      <c r="A8" s="172"/>
      <c r="B8" s="172"/>
      <c r="C8" s="172"/>
      <c r="D8" s="172"/>
      <c r="E8" s="172"/>
      <c r="F8" s="172"/>
      <c r="G8" s="172"/>
      <c r="H8" s="172"/>
      <c r="I8" s="172"/>
      <c r="J8" s="172"/>
      <c r="K8" s="172"/>
      <c r="L8" s="61"/>
      <c r="M8" s="61"/>
      <c r="N8" s="61"/>
      <c r="O8" s="62"/>
      <c r="P8" s="340"/>
      <c r="Q8" s="338"/>
      <c r="R8" s="337"/>
      <c r="S8" s="337"/>
      <c r="T8" s="337"/>
      <c r="U8" s="337"/>
      <c r="V8" s="337"/>
      <c r="W8" s="337"/>
      <c r="X8" s="337"/>
      <c r="Y8" s="337"/>
      <c r="Z8" s="337"/>
      <c r="AA8" s="337"/>
      <c r="AB8" s="63"/>
      <c r="AC8" s="63"/>
      <c r="AD8" s="63"/>
      <c r="AE8" s="63"/>
      <c r="AF8" s="343"/>
      <c r="AG8" s="112"/>
      <c r="AH8" s="63"/>
      <c r="AI8" s="63"/>
      <c r="AJ8" s="63"/>
      <c r="AK8" s="63"/>
      <c r="AL8" s="63"/>
      <c r="AM8" s="63"/>
      <c r="AN8" s="63"/>
      <c r="AO8" s="63"/>
      <c r="AP8" s="63"/>
      <c r="AQ8" s="63"/>
      <c r="AR8" s="63"/>
      <c r="AS8" s="63"/>
    </row>
    <row r="9" spans="1:45" ht="15" x14ac:dyDescent="0.25">
      <c r="A9" s="172"/>
      <c r="B9" s="172"/>
      <c r="C9" s="172"/>
      <c r="D9" s="172"/>
      <c r="E9" s="172"/>
      <c r="F9" s="172"/>
      <c r="G9" s="172"/>
      <c r="H9" s="172"/>
      <c r="I9" s="172"/>
      <c r="J9" s="172"/>
      <c r="K9" s="172"/>
      <c r="L9" s="61"/>
      <c r="M9" s="61"/>
      <c r="N9" s="61"/>
      <c r="O9" s="62"/>
      <c r="P9" s="340"/>
      <c r="Q9" s="338"/>
      <c r="R9" s="337"/>
      <c r="S9" s="337"/>
      <c r="T9" s="337"/>
      <c r="U9" s="337"/>
      <c r="V9" s="337"/>
      <c r="W9" s="337"/>
      <c r="X9" s="337"/>
      <c r="Y9" s="337"/>
      <c r="Z9" s="337"/>
      <c r="AA9" s="337"/>
      <c r="AB9" s="63"/>
      <c r="AC9" s="63"/>
      <c r="AD9" s="63"/>
      <c r="AE9" s="63"/>
      <c r="AF9" s="343"/>
      <c r="AG9" s="114"/>
      <c r="AH9" s="63"/>
      <c r="AI9" s="63"/>
      <c r="AJ9" s="63"/>
      <c r="AK9" s="63"/>
      <c r="AL9" s="63"/>
      <c r="AM9" s="63"/>
      <c r="AN9" s="63"/>
      <c r="AO9" s="63"/>
      <c r="AP9" s="63"/>
      <c r="AQ9" s="63"/>
      <c r="AR9" s="63"/>
      <c r="AS9" s="63"/>
    </row>
    <row r="10" spans="1:45" ht="15" x14ac:dyDescent="0.25">
      <c r="A10" s="172"/>
      <c r="B10" s="172"/>
      <c r="C10" s="172"/>
      <c r="D10" s="172"/>
      <c r="E10" s="172"/>
      <c r="F10" s="172"/>
      <c r="G10" s="172"/>
      <c r="H10" s="172"/>
      <c r="I10" s="172"/>
      <c r="J10" s="172"/>
      <c r="K10" s="172"/>
      <c r="L10" s="61"/>
      <c r="M10" s="61"/>
      <c r="N10" s="61"/>
      <c r="O10" s="62"/>
      <c r="P10" s="340"/>
      <c r="Q10" s="338"/>
      <c r="R10" s="337"/>
      <c r="S10" s="337"/>
      <c r="T10" s="337"/>
      <c r="U10" s="337"/>
      <c r="V10" s="337"/>
      <c r="W10" s="337"/>
      <c r="X10" s="337"/>
      <c r="Y10" s="337"/>
      <c r="Z10" s="337"/>
      <c r="AA10" s="337"/>
      <c r="AB10" s="63"/>
      <c r="AC10" s="63"/>
      <c r="AD10" s="63"/>
      <c r="AE10" s="63"/>
      <c r="AF10" s="343"/>
      <c r="AG10" s="112"/>
      <c r="AH10" s="63"/>
      <c r="AI10" s="63"/>
      <c r="AJ10" s="63"/>
      <c r="AK10" s="63"/>
      <c r="AL10" s="63"/>
      <c r="AM10" s="63"/>
      <c r="AN10" s="63"/>
      <c r="AO10" s="63"/>
      <c r="AP10" s="63"/>
      <c r="AQ10" s="63"/>
      <c r="AR10" s="63"/>
      <c r="AS10" s="63"/>
    </row>
    <row r="11" spans="1:45" ht="15" x14ac:dyDescent="0.25">
      <c r="A11" s="172"/>
      <c r="B11" s="172"/>
      <c r="C11" s="172"/>
      <c r="D11" s="172"/>
      <c r="E11" s="172"/>
      <c r="F11" s="172"/>
      <c r="G11" s="172"/>
      <c r="H11" s="172"/>
      <c r="I11" s="172"/>
      <c r="J11" s="172"/>
      <c r="K11" s="172"/>
      <c r="L11" s="61"/>
      <c r="M11" s="61"/>
      <c r="N11" s="61"/>
      <c r="O11" s="62"/>
      <c r="P11" s="340"/>
      <c r="Q11" s="338"/>
      <c r="R11" s="337"/>
      <c r="S11" s="337"/>
      <c r="T11" s="337"/>
      <c r="U11" s="337"/>
      <c r="V11" s="337"/>
      <c r="W11" s="337"/>
      <c r="X11" s="337"/>
      <c r="Y11" s="337"/>
      <c r="Z11" s="337"/>
      <c r="AA11" s="337"/>
      <c r="AB11" s="63"/>
      <c r="AC11" s="63"/>
      <c r="AD11" s="63"/>
      <c r="AE11" s="63"/>
      <c r="AF11" s="343"/>
      <c r="AG11" s="112"/>
      <c r="AH11" s="63"/>
      <c r="AI11" s="63"/>
      <c r="AJ11" s="63"/>
      <c r="AK11" s="63"/>
      <c r="AL11" s="63"/>
      <c r="AM11" s="63"/>
      <c r="AN11" s="63"/>
      <c r="AO11" s="63"/>
      <c r="AP11" s="63"/>
      <c r="AQ11" s="63"/>
      <c r="AR11" s="63"/>
      <c r="AS11" s="63"/>
    </row>
    <row r="12" spans="1:45" ht="15" x14ac:dyDescent="0.25">
      <c r="A12" s="172"/>
      <c r="B12" s="172"/>
      <c r="C12" s="172"/>
      <c r="D12" s="172"/>
      <c r="E12" s="172"/>
      <c r="F12" s="172"/>
      <c r="G12" s="172"/>
      <c r="H12" s="172"/>
      <c r="I12" s="172"/>
      <c r="J12" s="172"/>
      <c r="K12" s="172"/>
      <c r="L12" s="61"/>
      <c r="M12" s="61"/>
      <c r="N12" s="61"/>
      <c r="O12" s="62"/>
      <c r="P12" s="340"/>
      <c r="Q12" s="338"/>
      <c r="R12" s="337"/>
      <c r="S12" s="337"/>
      <c r="T12" s="337"/>
      <c r="U12" s="337"/>
      <c r="V12" s="337"/>
      <c r="W12" s="337"/>
      <c r="X12" s="337"/>
      <c r="Y12" s="337"/>
      <c r="Z12" s="337"/>
      <c r="AA12" s="337"/>
      <c r="AB12" s="63"/>
      <c r="AC12" s="63"/>
      <c r="AD12" s="63"/>
      <c r="AE12" s="63"/>
      <c r="AF12" s="343"/>
      <c r="AG12" s="112"/>
      <c r="AH12" s="63"/>
      <c r="AI12" s="63"/>
      <c r="AJ12" s="63"/>
      <c r="AK12" s="63"/>
      <c r="AL12" s="63"/>
      <c r="AM12" s="63"/>
      <c r="AN12" s="63"/>
      <c r="AO12" s="63"/>
      <c r="AP12" s="63"/>
      <c r="AQ12" s="63"/>
      <c r="AR12" s="63"/>
      <c r="AS12" s="63"/>
    </row>
    <row r="13" spans="1:45" ht="15" x14ac:dyDescent="0.25">
      <c r="A13" s="172"/>
      <c r="B13" s="172"/>
      <c r="C13" s="172"/>
      <c r="D13" s="172"/>
      <c r="E13" s="172"/>
      <c r="F13" s="172"/>
      <c r="G13" s="172"/>
      <c r="H13" s="172"/>
      <c r="I13" s="172"/>
      <c r="J13" s="172"/>
      <c r="K13" s="172"/>
      <c r="L13" s="61"/>
      <c r="M13" s="61"/>
      <c r="N13" s="61"/>
      <c r="O13" s="62"/>
      <c r="P13" s="340"/>
      <c r="Q13" s="338"/>
      <c r="R13" s="337"/>
      <c r="S13" s="337"/>
      <c r="T13" s="337"/>
      <c r="U13" s="337"/>
      <c r="V13" s="337"/>
      <c r="W13" s="337"/>
      <c r="X13" s="337"/>
      <c r="Y13" s="337"/>
      <c r="Z13" s="337"/>
      <c r="AA13" s="337"/>
      <c r="AB13" s="63"/>
      <c r="AC13" s="63"/>
      <c r="AD13" s="63"/>
      <c r="AE13" s="63"/>
      <c r="AF13" s="343"/>
      <c r="AG13" s="112"/>
      <c r="AH13" s="63"/>
      <c r="AI13" s="63"/>
      <c r="AJ13" s="63"/>
      <c r="AK13" s="63"/>
      <c r="AL13" s="63"/>
      <c r="AM13" s="63"/>
      <c r="AN13" s="63"/>
      <c r="AO13" s="63"/>
      <c r="AP13" s="63"/>
      <c r="AQ13" s="63"/>
      <c r="AR13" s="63"/>
      <c r="AS13" s="63"/>
    </row>
    <row r="14" spans="1:45" ht="15" x14ac:dyDescent="0.25">
      <c r="A14" s="172"/>
      <c r="B14" s="172"/>
      <c r="C14" s="172"/>
      <c r="D14" s="172"/>
      <c r="E14" s="172"/>
      <c r="F14" s="172"/>
      <c r="G14" s="172"/>
      <c r="H14" s="172"/>
      <c r="I14" s="172"/>
      <c r="J14" s="172"/>
      <c r="K14" s="172"/>
      <c r="L14" s="61"/>
      <c r="M14" s="61"/>
      <c r="N14" s="61"/>
      <c r="O14" s="62"/>
      <c r="P14" s="340"/>
      <c r="Q14" s="338"/>
      <c r="R14" s="337"/>
      <c r="S14" s="337"/>
      <c r="T14" s="337"/>
      <c r="U14" s="337"/>
      <c r="V14" s="337"/>
      <c r="W14" s="337"/>
      <c r="X14" s="337"/>
      <c r="Y14" s="337"/>
      <c r="Z14" s="337"/>
      <c r="AA14" s="337"/>
      <c r="AB14" s="63"/>
      <c r="AC14" s="63"/>
      <c r="AD14" s="63"/>
      <c r="AE14" s="63"/>
      <c r="AF14" s="343"/>
      <c r="AG14" s="112"/>
      <c r="AH14" s="63"/>
      <c r="AI14" s="63"/>
      <c r="AJ14" s="63"/>
      <c r="AK14" s="63"/>
      <c r="AL14" s="63"/>
      <c r="AM14" s="63"/>
      <c r="AN14" s="63"/>
      <c r="AO14" s="63"/>
      <c r="AP14" s="63"/>
      <c r="AQ14" s="63"/>
      <c r="AR14" s="63"/>
      <c r="AS14" s="63"/>
    </row>
    <row r="15" spans="1:45" ht="15" x14ac:dyDescent="0.25">
      <c r="A15" s="172"/>
      <c r="B15" s="172"/>
      <c r="C15" s="172"/>
      <c r="D15" s="172"/>
      <c r="E15" s="172"/>
      <c r="F15" s="172"/>
      <c r="G15" s="172"/>
      <c r="H15" s="172"/>
      <c r="I15" s="172"/>
      <c r="J15" s="172"/>
      <c r="K15" s="172"/>
      <c r="L15" s="61"/>
      <c r="M15" s="61"/>
      <c r="N15" s="61"/>
      <c r="O15" s="62"/>
      <c r="P15" s="340"/>
      <c r="Q15" s="338"/>
      <c r="R15" s="337"/>
      <c r="S15" s="337"/>
      <c r="T15" s="337"/>
      <c r="U15" s="337"/>
      <c r="V15" s="337"/>
      <c r="W15" s="337"/>
      <c r="X15" s="337"/>
      <c r="Y15" s="337"/>
      <c r="Z15" s="337"/>
      <c r="AA15" s="337"/>
      <c r="AB15" s="63"/>
      <c r="AC15" s="63"/>
      <c r="AD15" s="63"/>
      <c r="AE15" s="63"/>
      <c r="AF15" s="343"/>
      <c r="AG15" s="114"/>
      <c r="AH15" s="63"/>
      <c r="AI15" s="63"/>
      <c r="AJ15" s="63"/>
      <c r="AK15" s="63"/>
      <c r="AL15" s="63"/>
      <c r="AM15" s="63"/>
      <c r="AN15" s="63"/>
      <c r="AO15" s="63"/>
      <c r="AP15" s="63"/>
      <c r="AQ15" s="63"/>
      <c r="AR15" s="63"/>
      <c r="AS15" s="63"/>
    </row>
    <row r="16" spans="1:45" ht="15" x14ac:dyDescent="0.25">
      <c r="A16" s="172"/>
      <c r="B16" s="172"/>
      <c r="C16" s="172"/>
      <c r="D16" s="172"/>
      <c r="E16" s="172"/>
      <c r="F16" s="172"/>
      <c r="G16" s="172"/>
      <c r="H16" s="172"/>
      <c r="I16" s="172"/>
      <c r="J16" s="172"/>
      <c r="K16" s="172"/>
      <c r="L16" s="61"/>
      <c r="M16" s="61"/>
      <c r="N16" s="61"/>
      <c r="O16" s="62"/>
      <c r="P16" s="340"/>
      <c r="Q16" s="338"/>
      <c r="R16" s="337"/>
      <c r="S16" s="337"/>
      <c r="T16" s="337"/>
      <c r="U16" s="337"/>
      <c r="V16" s="337"/>
      <c r="W16" s="337"/>
      <c r="X16" s="337"/>
      <c r="Y16" s="337"/>
      <c r="Z16" s="337"/>
      <c r="AA16" s="337"/>
      <c r="AB16" s="63"/>
      <c r="AC16" s="63"/>
      <c r="AD16" s="63"/>
      <c r="AE16" s="63"/>
      <c r="AF16" s="343"/>
      <c r="AG16" s="112"/>
      <c r="AH16" s="63"/>
      <c r="AI16" s="63"/>
      <c r="AJ16" s="63"/>
      <c r="AK16" s="63"/>
      <c r="AL16" s="63"/>
      <c r="AM16" s="63"/>
      <c r="AN16" s="63"/>
      <c r="AO16" s="63"/>
      <c r="AP16" s="63"/>
      <c r="AQ16" s="63"/>
      <c r="AR16" s="63"/>
      <c r="AS16" s="63"/>
    </row>
    <row r="17" spans="1:45" ht="15" x14ac:dyDescent="0.25">
      <c r="A17" s="172"/>
      <c r="B17" s="172"/>
      <c r="C17" s="172"/>
      <c r="D17" s="172"/>
      <c r="E17" s="172"/>
      <c r="F17" s="172"/>
      <c r="G17" s="172"/>
      <c r="H17" s="172"/>
      <c r="I17" s="172"/>
      <c r="J17" s="172"/>
      <c r="K17" s="172"/>
      <c r="L17" s="61"/>
      <c r="M17" s="61"/>
      <c r="N17" s="61"/>
      <c r="O17" s="62"/>
      <c r="P17" s="340"/>
      <c r="Q17" s="338"/>
      <c r="R17" s="337"/>
      <c r="S17" s="337"/>
      <c r="T17" s="337"/>
      <c r="U17" s="337"/>
      <c r="V17" s="337"/>
      <c r="W17" s="337"/>
      <c r="X17" s="337"/>
      <c r="Y17" s="337"/>
      <c r="Z17" s="337"/>
      <c r="AA17" s="337"/>
      <c r="AB17" s="63"/>
      <c r="AC17" s="63"/>
      <c r="AD17" s="63"/>
      <c r="AE17" s="63"/>
      <c r="AF17" s="343"/>
      <c r="AG17" s="112"/>
      <c r="AH17" s="63"/>
      <c r="AI17" s="63"/>
      <c r="AJ17" s="63"/>
      <c r="AK17" s="63"/>
      <c r="AL17" s="63"/>
      <c r="AM17" s="63"/>
      <c r="AN17" s="63"/>
      <c r="AO17" s="63"/>
      <c r="AP17" s="63"/>
      <c r="AQ17" s="63"/>
      <c r="AR17" s="63"/>
      <c r="AS17" s="63"/>
    </row>
    <row r="18" spans="1:45" ht="15" x14ac:dyDescent="0.25">
      <c r="A18" s="172"/>
      <c r="B18" s="172"/>
      <c r="C18" s="172"/>
      <c r="D18" s="172"/>
      <c r="E18" s="172"/>
      <c r="F18" s="172"/>
      <c r="G18" s="172"/>
      <c r="H18" s="172"/>
      <c r="I18" s="172"/>
      <c r="J18" s="172"/>
      <c r="K18" s="172"/>
      <c r="L18" s="61"/>
      <c r="M18" s="61"/>
      <c r="N18" s="61"/>
      <c r="O18" s="62"/>
      <c r="P18" s="340"/>
      <c r="Q18" s="338"/>
      <c r="R18" s="337"/>
      <c r="S18" s="337"/>
      <c r="T18" s="337"/>
      <c r="U18" s="337"/>
      <c r="V18" s="337"/>
      <c r="W18" s="337"/>
      <c r="X18" s="337"/>
      <c r="Y18" s="337"/>
      <c r="Z18" s="337"/>
      <c r="AA18" s="337"/>
      <c r="AB18" s="63"/>
      <c r="AC18" s="63"/>
      <c r="AD18" s="63"/>
      <c r="AE18" s="63"/>
      <c r="AF18" s="343"/>
      <c r="AG18" s="112"/>
      <c r="AH18" s="63"/>
      <c r="AI18" s="63"/>
      <c r="AJ18" s="63"/>
      <c r="AK18" s="63"/>
      <c r="AL18" s="63"/>
      <c r="AM18" s="63"/>
      <c r="AN18" s="63"/>
      <c r="AO18" s="63"/>
      <c r="AP18" s="63"/>
      <c r="AQ18" s="63"/>
      <c r="AR18" s="63"/>
      <c r="AS18" s="63"/>
    </row>
    <row r="19" spans="1:45" ht="15" x14ac:dyDescent="0.25">
      <c r="A19" s="335"/>
      <c r="B19" s="336"/>
      <c r="C19" s="336"/>
      <c r="D19" s="336"/>
      <c r="E19" s="336"/>
      <c r="F19" s="336"/>
      <c r="G19" s="336"/>
      <c r="H19" s="336"/>
      <c r="I19" s="336"/>
      <c r="J19" s="336"/>
      <c r="K19" s="336"/>
      <c r="L19" s="336"/>
      <c r="M19" s="336"/>
      <c r="N19" s="337"/>
      <c r="O19" s="112"/>
      <c r="P19" s="340"/>
      <c r="Q19" s="338"/>
      <c r="R19" s="337"/>
      <c r="S19" s="337"/>
      <c r="T19" s="337"/>
      <c r="U19" s="337"/>
      <c r="V19" s="337"/>
      <c r="W19" s="337"/>
      <c r="X19" s="337"/>
      <c r="Y19" s="337"/>
      <c r="Z19" s="337"/>
      <c r="AA19" s="337"/>
      <c r="AB19" s="63"/>
      <c r="AC19" s="63"/>
      <c r="AD19" s="63"/>
      <c r="AE19" s="63"/>
      <c r="AF19" s="343"/>
      <c r="AG19" s="112"/>
      <c r="AH19" s="63"/>
      <c r="AI19" s="63"/>
      <c r="AJ19" s="63"/>
      <c r="AK19" s="63"/>
      <c r="AL19" s="63"/>
      <c r="AM19" s="63"/>
      <c r="AN19" s="63"/>
      <c r="AO19" s="63"/>
      <c r="AP19" s="63"/>
      <c r="AQ19" s="63"/>
      <c r="AR19" s="63"/>
      <c r="AS19" s="63"/>
    </row>
    <row r="20" spans="1:45" ht="15" x14ac:dyDescent="0.25">
      <c r="A20" s="334"/>
      <c r="B20" s="336"/>
      <c r="C20" s="336"/>
      <c r="D20" s="336"/>
      <c r="E20" s="336"/>
      <c r="F20" s="336"/>
      <c r="G20" s="336"/>
      <c r="H20" s="336"/>
      <c r="I20" s="336"/>
      <c r="J20" s="336"/>
      <c r="K20" s="336"/>
      <c r="L20" s="336"/>
      <c r="M20" s="336"/>
      <c r="N20" s="337"/>
      <c r="O20" s="112"/>
      <c r="P20" s="340"/>
      <c r="Q20" s="112"/>
      <c r="R20" s="112"/>
      <c r="S20" s="112"/>
      <c r="T20" s="112"/>
      <c r="U20" s="112"/>
      <c r="V20" s="112"/>
      <c r="W20" s="112"/>
      <c r="X20" s="112"/>
      <c r="Y20" s="112"/>
      <c r="Z20" s="112"/>
      <c r="AA20" s="112"/>
      <c r="AB20" s="63"/>
      <c r="AC20" s="63"/>
      <c r="AD20" s="63"/>
      <c r="AE20" s="63"/>
      <c r="AF20" s="343"/>
      <c r="AG20" s="112"/>
      <c r="AH20" s="63"/>
      <c r="AI20" s="63"/>
      <c r="AJ20" s="63"/>
      <c r="AK20" s="63"/>
      <c r="AL20" s="63"/>
      <c r="AM20" s="63"/>
      <c r="AN20" s="63"/>
      <c r="AO20" s="63"/>
      <c r="AP20" s="63"/>
      <c r="AQ20" s="63"/>
      <c r="AR20" s="63"/>
      <c r="AS20" s="63"/>
    </row>
    <row r="21" spans="1:45" ht="15" x14ac:dyDescent="0.25">
      <c r="A21" s="335"/>
      <c r="B21" s="336"/>
      <c r="C21" s="336"/>
      <c r="D21" s="336"/>
      <c r="E21" s="336"/>
      <c r="F21" s="336"/>
      <c r="G21" s="336"/>
      <c r="H21" s="336"/>
      <c r="I21" s="336"/>
      <c r="J21" s="336"/>
      <c r="K21" s="336"/>
      <c r="L21" s="336"/>
      <c r="M21" s="336"/>
      <c r="N21" s="337"/>
      <c r="O21" s="112"/>
      <c r="P21" s="340"/>
      <c r="Q21" s="112"/>
      <c r="R21" s="112"/>
      <c r="S21" s="112"/>
      <c r="T21" s="112"/>
      <c r="U21" s="112"/>
      <c r="V21" s="112"/>
      <c r="W21" s="112"/>
      <c r="X21" s="112"/>
      <c r="Y21" s="112"/>
      <c r="Z21" s="112"/>
      <c r="AA21" s="112"/>
      <c r="AB21" s="63"/>
      <c r="AC21" s="63"/>
      <c r="AD21" s="63"/>
      <c r="AE21" s="63"/>
      <c r="AF21" s="343"/>
      <c r="AG21" s="112"/>
      <c r="AH21" s="63"/>
      <c r="AI21" s="63"/>
      <c r="AJ21" s="63"/>
      <c r="AK21" s="63"/>
      <c r="AL21" s="63"/>
      <c r="AM21" s="63"/>
      <c r="AN21" s="63"/>
      <c r="AO21" s="63"/>
      <c r="AP21" s="63"/>
      <c r="AQ21" s="63"/>
      <c r="AR21" s="63"/>
      <c r="AS21" s="63"/>
    </row>
    <row r="22" spans="1:45" ht="15" x14ac:dyDescent="0.25">
      <c r="A22" s="334"/>
      <c r="B22" s="336"/>
      <c r="C22" s="336"/>
      <c r="D22" s="336"/>
      <c r="E22" s="336"/>
      <c r="F22" s="336"/>
      <c r="G22" s="336"/>
      <c r="H22" s="336"/>
      <c r="I22" s="336"/>
      <c r="J22" s="336"/>
      <c r="K22" s="336"/>
      <c r="L22" s="336"/>
      <c r="M22" s="336"/>
      <c r="N22" s="337"/>
      <c r="O22" s="112"/>
      <c r="P22" s="340"/>
      <c r="Q22" s="112"/>
      <c r="R22" s="112"/>
      <c r="S22" s="112"/>
      <c r="T22" s="112"/>
      <c r="U22" s="112"/>
      <c r="V22" s="112"/>
      <c r="W22" s="112"/>
      <c r="X22" s="112"/>
      <c r="Y22" s="112"/>
      <c r="Z22" s="112"/>
      <c r="AA22" s="112"/>
      <c r="AB22" s="63"/>
      <c r="AC22" s="63"/>
      <c r="AD22" s="63"/>
      <c r="AE22" s="63"/>
      <c r="AF22" s="343"/>
      <c r="AG22" s="112"/>
      <c r="AH22" s="63"/>
      <c r="AI22" s="63"/>
      <c r="AJ22" s="63"/>
      <c r="AK22" s="63"/>
      <c r="AL22" s="63"/>
      <c r="AM22" s="63"/>
      <c r="AN22" s="63"/>
      <c r="AO22" s="63"/>
      <c r="AP22" s="63"/>
      <c r="AQ22" s="63"/>
      <c r="AR22" s="63"/>
      <c r="AS22" s="63"/>
    </row>
    <row r="23" spans="1:45" ht="15" x14ac:dyDescent="0.25">
      <c r="A23" s="335"/>
      <c r="B23" s="336"/>
      <c r="C23" s="336"/>
      <c r="D23" s="336"/>
      <c r="E23" s="336"/>
      <c r="F23" s="336"/>
      <c r="G23" s="336"/>
      <c r="H23" s="336"/>
      <c r="I23" s="336"/>
      <c r="J23" s="336"/>
      <c r="K23" s="336"/>
      <c r="L23" s="336"/>
      <c r="M23" s="336"/>
      <c r="N23" s="337"/>
      <c r="O23" s="112"/>
      <c r="P23" s="340"/>
      <c r="Q23" s="112"/>
      <c r="R23" s="112"/>
      <c r="S23" s="112"/>
      <c r="T23" s="112"/>
      <c r="U23" s="112"/>
      <c r="V23" s="112"/>
      <c r="W23" s="112"/>
      <c r="X23" s="112"/>
      <c r="Y23" s="112"/>
      <c r="Z23" s="112"/>
      <c r="AA23" s="112"/>
      <c r="AB23" s="63"/>
      <c r="AC23" s="63"/>
      <c r="AD23" s="63"/>
      <c r="AE23" s="63"/>
      <c r="AF23" s="343"/>
      <c r="AG23" s="112"/>
      <c r="AH23" s="63"/>
      <c r="AI23" s="63"/>
      <c r="AJ23" s="63"/>
      <c r="AK23" s="63"/>
      <c r="AL23" s="63"/>
      <c r="AM23" s="63"/>
      <c r="AN23" s="63"/>
      <c r="AO23" s="63"/>
      <c r="AP23" s="63"/>
      <c r="AQ23" s="63"/>
      <c r="AR23" s="63"/>
      <c r="AS23" s="63"/>
    </row>
    <row r="24" spans="1:45" ht="15" x14ac:dyDescent="0.25">
      <c r="A24" s="334"/>
      <c r="B24" s="336"/>
      <c r="C24" s="336"/>
      <c r="D24" s="336"/>
      <c r="E24" s="336"/>
      <c r="F24" s="336"/>
      <c r="G24" s="336"/>
      <c r="H24" s="336"/>
      <c r="I24" s="336"/>
      <c r="J24" s="336"/>
      <c r="K24" s="336"/>
      <c r="L24" s="336"/>
      <c r="M24" s="336"/>
      <c r="N24" s="337"/>
      <c r="O24" s="112"/>
      <c r="P24" s="340"/>
      <c r="Q24" s="112"/>
      <c r="R24" s="112"/>
      <c r="S24" s="112"/>
      <c r="T24" s="112"/>
      <c r="U24" s="112"/>
      <c r="V24" s="112"/>
      <c r="W24" s="112"/>
      <c r="X24" s="112"/>
      <c r="Y24" s="112"/>
      <c r="Z24" s="112"/>
      <c r="AA24" s="112"/>
      <c r="AB24" s="63"/>
      <c r="AC24" s="63"/>
      <c r="AD24" s="63"/>
      <c r="AE24" s="63"/>
      <c r="AF24" s="343"/>
      <c r="AG24" s="112"/>
      <c r="AH24" s="63"/>
      <c r="AI24" s="63"/>
      <c r="AJ24" s="63"/>
      <c r="AK24" s="63"/>
      <c r="AL24" s="63"/>
      <c r="AM24" s="63"/>
      <c r="AN24" s="63"/>
      <c r="AO24" s="63"/>
      <c r="AP24" s="63"/>
      <c r="AQ24" s="63"/>
      <c r="AR24" s="63"/>
      <c r="AS24" s="63"/>
    </row>
    <row r="25" spans="1:45" ht="15" x14ac:dyDescent="0.25">
      <c r="A25" s="335"/>
      <c r="B25" s="336"/>
      <c r="C25" s="336"/>
      <c r="D25" s="336"/>
      <c r="E25" s="336"/>
      <c r="F25" s="336"/>
      <c r="G25" s="336"/>
      <c r="H25" s="336"/>
      <c r="I25" s="336"/>
      <c r="J25" s="336"/>
      <c r="K25" s="336"/>
      <c r="L25" s="336"/>
      <c r="M25" s="336"/>
      <c r="N25" s="337"/>
      <c r="O25" s="112"/>
      <c r="P25" s="340"/>
      <c r="Q25" s="115"/>
      <c r="R25" s="112"/>
      <c r="S25" s="112"/>
      <c r="T25" s="112"/>
      <c r="U25" s="112"/>
      <c r="V25" s="112"/>
      <c r="W25" s="112"/>
      <c r="X25" s="112"/>
      <c r="Y25" s="112"/>
      <c r="Z25" s="112"/>
      <c r="AA25" s="112"/>
      <c r="AB25" s="63"/>
      <c r="AC25" s="63"/>
      <c r="AD25" s="63"/>
      <c r="AE25" s="63"/>
      <c r="AF25" s="343"/>
      <c r="AG25" s="112"/>
      <c r="AH25" s="63"/>
      <c r="AI25" s="63"/>
      <c r="AJ25" s="63"/>
      <c r="AK25" s="63"/>
      <c r="AL25" s="63"/>
      <c r="AM25" s="63"/>
      <c r="AN25" s="63"/>
      <c r="AO25" s="63"/>
      <c r="AP25" s="63"/>
      <c r="AQ25" s="63"/>
      <c r="AR25" s="63"/>
      <c r="AS25" s="63"/>
    </row>
    <row r="26" spans="1:45" ht="15" x14ac:dyDescent="0.25">
      <c r="A26" s="334"/>
      <c r="B26" s="336"/>
      <c r="C26" s="336"/>
      <c r="D26" s="336"/>
      <c r="E26" s="336"/>
      <c r="F26" s="336"/>
      <c r="G26" s="336"/>
      <c r="H26" s="336"/>
      <c r="I26" s="336"/>
      <c r="J26" s="336"/>
      <c r="K26" s="336"/>
      <c r="L26" s="336"/>
      <c r="M26" s="336"/>
      <c r="N26" s="337"/>
      <c r="O26" s="112"/>
      <c r="P26" s="340"/>
      <c r="Q26" s="115"/>
      <c r="R26" s="112"/>
      <c r="S26" s="112"/>
      <c r="T26" s="112"/>
      <c r="U26" s="112"/>
      <c r="V26" s="112"/>
      <c r="W26" s="112"/>
      <c r="X26" s="112"/>
      <c r="Y26" s="112"/>
      <c r="Z26" s="112"/>
      <c r="AA26" s="112"/>
      <c r="AB26" s="63"/>
      <c r="AC26" s="63"/>
      <c r="AD26" s="63"/>
      <c r="AE26" s="63"/>
      <c r="AF26" s="343"/>
      <c r="AG26" s="112"/>
      <c r="AH26" s="63"/>
      <c r="AI26" s="63"/>
      <c r="AJ26" s="63"/>
      <c r="AK26" s="63"/>
      <c r="AL26" s="63"/>
      <c r="AM26" s="63"/>
      <c r="AN26" s="63"/>
      <c r="AO26" s="63"/>
      <c r="AP26" s="63"/>
      <c r="AQ26" s="63"/>
      <c r="AR26" s="63"/>
      <c r="AS26" s="63"/>
    </row>
    <row r="27" spans="1:45" ht="15" x14ac:dyDescent="0.25">
      <c r="A27" s="335"/>
      <c r="B27" s="336"/>
      <c r="C27" s="336"/>
      <c r="D27" s="336"/>
      <c r="E27" s="336"/>
      <c r="F27" s="336"/>
      <c r="G27" s="336"/>
      <c r="H27" s="336"/>
      <c r="I27" s="336"/>
      <c r="J27" s="336"/>
      <c r="K27" s="336"/>
      <c r="L27" s="336"/>
      <c r="M27" s="336"/>
      <c r="N27" s="337"/>
      <c r="O27" s="112"/>
      <c r="P27" s="340"/>
      <c r="Q27" s="112"/>
      <c r="R27" s="112"/>
      <c r="S27" s="112"/>
      <c r="T27" s="112"/>
      <c r="U27" s="112"/>
      <c r="V27" s="112"/>
      <c r="W27" s="112"/>
      <c r="X27" s="112"/>
      <c r="Y27" s="112"/>
      <c r="Z27" s="112"/>
      <c r="AA27" s="112"/>
      <c r="AB27" s="63"/>
      <c r="AC27" s="63"/>
      <c r="AD27" s="63"/>
      <c r="AE27" s="63"/>
      <c r="AF27" s="343"/>
      <c r="AG27" s="115"/>
      <c r="AH27" s="63"/>
      <c r="AI27" s="63"/>
      <c r="AJ27" s="63"/>
      <c r="AK27" s="63"/>
      <c r="AL27" s="63"/>
      <c r="AM27" s="63"/>
      <c r="AN27" s="63"/>
      <c r="AO27" s="63"/>
      <c r="AP27" s="63"/>
      <c r="AQ27" s="63"/>
      <c r="AR27" s="63"/>
      <c r="AS27" s="63"/>
    </row>
    <row r="28" spans="1:45" ht="15" x14ac:dyDescent="0.25">
      <c r="A28" s="334"/>
      <c r="B28" s="336"/>
      <c r="C28" s="336"/>
      <c r="D28" s="336"/>
      <c r="E28" s="336"/>
      <c r="F28" s="336"/>
      <c r="G28" s="336"/>
      <c r="H28" s="336"/>
      <c r="I28" s="336"/>
      <c r="J28" s="336"/>
      <c r="K28" s="336"/>
      <c r="L28" s="336"/>
      <c r="M28" s="336"/>
      <c r="N28" s="337"/>
      <c r="O28" s="112"/>
      <c r="P28" s="340"/>
      <c r="Q28" s="112"/>
      <c r="R28" s="112"/>
      <c r="S28" s="112"/>
      <c r="T28" s="112"/>
      <c r="U28" s="112"/>
      <c r="V28" s="112"/>
      <c r="W28" s="112"/>
      <c r="X28" s="112"/>
      <c r="Y28" s="112"/>
      <c r="Z28" s="112"/>
      <c r="AA28" s="112"/>
      <c r="AB28" s="63"/>
      <c r="AC28" s="63"/>
      <c r="AD28" s="63"/>
      <c r="AE28" s="63"/>
      <c r="AF28" s="343"/>
      <c r="AG28" s="115"/>
      <c r="AH28" s="63"/>
      <c r="AI28" s="63"/>
      <c r="AJ28" s="63"/>
      <c r="AK28" s="63"/>
      <c r="AL28" s="63"/>
      <c r="AM28" s="63"/>
      <c r="AN28" s="63"/>
      <c r="AO28" s="63"/>
      <c r="AP28" s="63"/>
      <c r="AQ28" s="63"/>
      <c r="AR28" s="63"/>
      <c r="AS28" s="63"/>
    </row>
    <row r="29" spans="1:45" ht="15" x14ac:dyDescent="0.25">
      <c r="A29" s="335"/>
      <c r="B29" s="336"/>
      <c r="C29" s="336"/>
      <c r="D29" s="336"/>
      <c r="E29" s="336"/>
      <c r="F29" s="336"/>
      <c r="G29" s="336"/>
      <c r="H29" s="336"/>
      <c r="I29" s="336"/>
      <c r="J29" s="336"/>
      <c r="K29" s="336"/>
      <c r="L29" s="336"/>
      <c r="M29" s="336"/>
      <c r="N29" s="337"/>
      <c r="O29" s="112"/>
      <c r="P29" s="340"/>
      <c r="Q29" s="112"/>
      <c r="R29" s="112"/>
      <c r="S29" s="112"/>
      <c r="T29" s="112"/>
      <c r="U29" s="112"/>
      <c r="V29" s="112"/>
      <c r="W29" s="112"/>
      <c r="X29" s="112"/>
      <c r="Y29" s="112"/>
      <c r="Z29" s="112"/>
      <c r="AA29" s="112"/>
      <c r="AB29" s="63"/>
      <c r="AC29" s="63"/>
      <c r="AD29" s="63"/>
      <c r="AE29" s="63"/>
      <c r="AF29" s="343"/>
      <c r="AG29" s="112"/>
      <c r="AH29" s="63"/>
      <c r="AI29" s="63"/>
      <c r="AJ29" s="63"/>
      <c r="AK29" s="63"/>
      <c r="AL29" s="63"/>
      <c r="AM29" s="63"/>
      <c r="AN29" s="63"/>
      <c r="AO29" s="63"/>
      <c r="AP29" s="63"/>
      <c r="AQ29" s="63"/>
      <c r="AR29" s="63"/>
      <c r="AS29" s="63"/>
    </row>
    <row r="30" spans="1:45" ht="15" x14ac:dyDescent="0.25">
      <c r="A30" s="334"/>
      <c r="B30" s="336"/>
      <c r="C30" s="336"/>
      <c r="D30" s="336"/>
      <c r="E30" s="336"/>
      <c r="F30" s="336"/>
      <c r="G30" s="336"/>
      <c r="H30" s="336"/>
      <c r="I30" s="336"/>
      <c r="J30" s="336"/>
      <c r="K30" s="336"/>
      <c r="L30" s="336"/>
      <c r="M30" s="336"/>
      <c r="N30" s="337"/>
      <c r="O30" s="112"/>
      <c r="P30" s="340"/>
      <c r="Q30" s="112"/>
      <c r="R30" s="112"/>
      <c r="S30" s="112"/>
      <c r="T30" s="112"/>
      <c r="U30" s="112"/>
      <c r="V30" s="112"/>
      <c r="W30" s="112"/>
      <c r="X30" s="112"/>
      <c r="Y30" s="112"/>
      <c r="Z30" s="112"/>
      <c r="AA30" s="112"/>
      <c r="AB30" s="63"/>
      <c r="AC30" s="63"/>
      <c r="AD30" s="63"/>
      <c r="AE30" s="63"/>
      <c r="AF30" s="343"/>
      <c r="AG30" s="112"/>
      <c r="AH30" s="63"/>
      <c r="AI30" s="63"/>
      <c r="AJ30" s="63"/>
      <c r="AK30" s="63"/>
      <c r="AL30" s="63"/>
      <c r="AM30" s="63"/>
      <c r="AN30" s="63"/>
      <c r="AO30" s="63"/>
      <c r="AP30" s="63"/>
      <c r="AQ30" s="63"/>
      <c r="AR30" s="63"/>
      <c r="AS30" s="63"/>
    </row>
    <row r="31" spans="1:45" ht="15" x14ac:dyDescent="0.25">
      <c r="A31" s="335"/>
      <c r="B31" s="336"/>
      <c r="C31" s="336"/>
      <c r="D31" s="336"/>
      <c r="E31" s="336"/>
      <c r="F31" s="336"/>
      <c r="G31" s="336"/>
      <c r="H31" s="336"/>
      <c r="I31" s="336"/>
      <c r="J31" s="336"/>
      <c r="K31" s="336"/>
      <c r="L31" s="336"/>
      <c r="M31" s="336"/>
      <c r="N31" s="337"/>
      <c r="O31" s="112"/>
      <c r="P31" s="340"/>
      <c r="Q31" s="112"/>
      <c r="R31" s="112"/>
      <c r="S31" s="112"/>
      <c r="T31" s="112"/>
      <c r="U31" s="112"/>
      <c r="V31" s="112"/>
      <c r="W31" s="112"/>
      <c r="X31" s="112"/>
      <c r="Y31" s="112"/>
      <c r="Z31" s="112"/>
      <c r="AA31" s="112"/>
      <c r="AB31" s="62"/>
      <c r="AC31" s="62"/>
      <c r="AD31" s="62"/>
      <c r="AE31" s="62"/>
      <c r="AF31" s="343"/>
      <c r="AG31" s="63"/>
      <c r="AH31" s="63"/>
      <c r="AI31" s="63"/>
      <c r="AJ31" s="63"/>
      <c r="AK31" s="63"/>
      <c r="AL31" s="63"/>
      <c r="AM31" s="63"/>
      <c r="AN31" s="63"/>
      <c r="AO31" s="63"/>
      <c r="AP31" s="63"/>
      <c r="AQ31" s="63"/>
      <c r="AR31" s="62"/>
      <c r="AS31" s="62"/>
    </row>
    <row r="32" spans="1:45" ht="15" x14ac:dyDescent="0.25">
      <c r="A32" s="334"/>
      <c r="B32" s="336"/>
      <c r="C32" s="336"/>
      <c r="D32" s="336"/>
      <c r="E32" s="336"/>
      <c r="F32" s="336"/>
      <c r="G32" s="336"/>
      <c r="H32" s="336"/>
      <c r="I32" s="336"/>
      <c r="J32" s="336"/>
      <c r="K32" s="336"/>
      <c r="L32" s="336"/>
      <c r="M32" s="336"/>
      <c r="N32" s="337"/>
      <c r="O32" s="112"/>
      <c r="P32" s="340"/>
      <c r="Q32" s="63"/>
      <c r="R32" s="63"/>
      <c r="S32" s="63"/>
      <c r="T32" s="63"/>
      <c r="U32" s="63"/>
      <c r="V32" s="63"/>
      <c r="W32" s="63"/>
      <c r="X32" s="63"/>
      <c r="Y32" s="63"/>
      <c r="Z32" s="63"/>
      <c r="AA32" s="63"/>
      <c r="AB32" s="62"/>
      <c r="AC32" s="62"/>
      <c r="AD32" s="62"/>
      <c r="AE32" s="62"/>
      <c r="AF32" s="343"/>
      <c r="AG32" s="63"/>
      <c r="AH32" s="63"/>
      <c r="AI32" s="63"/>
      <c r="AJ32" s="63"/>
      <c r="AK32" s="63"/>
      <c r="AL32" s="63"/>
      <c r="AM32" s="63"/>
      <c r="AN32" s="63"/>
      <c r="AO32" s="63"/>
      <c r="AP32" s="63"/>
      <c r="AQ32" s="63"/>
      <c r="AR32" s="62"/>
      <c r="AS32" s="62"/>
    </row>
    <row r="33" spans="1:45" ht="15" x14ac:dyDescent="0.25">
      <c r="A33" s="335"/>
      <c r="B33" s="336"/>
      <c r="C33" s="336"/>
      <c r="D33" s="336"/>
      <c r="E33" s="336"/>
      <c r="F33" s="336"/>
      <c r="G33" s="336"/>
      <c r="H33" s="336"/>
      <c r="I33" s="336"/>
      <c r="J33" s="336"/>
      <c r="K33" s="336"/>
      <c r="L33" s="336"/>
      <c r="M33" s="336"/>
      <c r="N33" s="337"/>
      <c r="O33" s="112"/>
      <c r="P33" s="340"/>
      <c r="Q33" s="63"/>
      <c r="R33" s="63"/>
      <c r="S33" s="63"/>
      <c r="T33" s="63"/>
      <c r="U33" s="63"/>
      <c r="V33" s="63"/>
      <c r="W33" s="63"/>
      <c r="X33" s="63"/>
      <c r="Y33" s="63"/>
      <c r="Z33" s="63"/>
      <c r="AA33" s="63"/>
      <c r="AB33" s="62"/>
      <c r="AC33" s="62"/>
      <c r="AD33" s="62"/>
      <c r="AE33" s="62"/>
      <c r="AF33" s="343"/>
      <c r="AG33" s="63"/>
      <c r="AH33" s="63"/>
      <c r="AI33" s="63"/>
      <c r="AJ33" s="63"/>
      <c r="AK33" s="63"/>
      <c r="AL33" s="63"/>
      <c r="AM33" s="63"/>
      <c r="AN33" s="63"/>
      <c r="AO33" s="63"/>
      <c r="AP33" s="63"/>
      <c r="AQ33" s="63"/>
      <c r="AR33" s="62"/>
      <c r="AS33" s="62"/>
    </row>
    <row r="34" spans="1:45" ht="15" x14ac:dyDescent="0.25">
      <c r="A34" s="334"/>
      <c r="B34" s="336"/>
      <c r="C34" s="336"/>
      <c r="D34" s="336"/>
      <c r="E34" s="336"/>
      <c r="F34" s="336"/>
      <c r="G34" s="336"/>
      <c r="H34" s="336"/>
      <c r="I34" s="336"/>
      <c r="J34" s="336"/>
      <c r="K34" s="336"/>
      <c r="L34" s="336"/>
      <c r="M34" s="336"/>
      <c r="N34" s="337"/>
      <c r="O34" s="112"/>
      <c r="P34" s="340"/>
      <c r="Q34" s="63"/>
      <c r="R34" s="63"/>
      <c r="S34" s="63"/>
      <c r="T34" s="63"/>
      <c r="U34" s="63"/>
      <c r="V34" s="63"/>
      <c r="W34" s="63"/>
      <c r="X34" s="63"/>
      <c r="Y34" s="63"/>
      <c r="Z34" s="63"/>
      <c r="AA34" s="63"/>
      <c r="AB34" s="62"/>
      <c r="AC34" s="62"/>
      <c r="AD34" s="62"/>
      <c r="AE34" s="62"/>
      <c r="AF34" s="343"/>
      <c r="AG34" s="63"/>
      <c r="AH34" s="63"/>
      <c r="AI34" s="63"/>
      <c r="AJ34" s="63"/>
      <c r="AK34" s="63"/>
      <c r="AL34" s="63"/>
      <c r="AM34" s="63"/>
      <c r="AN34" s="63"/>
      <c r="AO34" s="63"/>
      <c r="AP34" s="63"/>
      <c r="AQ34" s="63"/>
      <c r="AR34" s="62"/>
      <c r="AS34" s="62"/>
    </row>
    <row r="35" spans="1:45" ht="15" x14ac:dyDescent="0.25">
      <c r="A35" s="172"/>
      <c r="B35" s="336"/>
      <c r="C35" s="336"/>
      <c r="D35" s="336"/>
      <c r="E35" s="336"/>
      <c r="F35" s="336"/>
      <c r="G35" s="336"/>
      <c r="H35" s="336"/>
      <c r="I35" s="336"/>
      <c r="J35" s="336"/>
      <c r="K35" s="336"/>
      <c r="L35" s="336"/>
      <c r="M35" s="336"/>
      <c r="N35" s="112"/>
      <c r="O35" s="112"/>
      <c r="P35" s="340"/>
      <c r="Q35" s="63"/>
      <c r="R35" s="63"/>
      <c r="S35" s="63"/>
      <c r="T35" s="63"/>
      <c r="U35" s="63"/>
      <c r="V35" s="63"/>
      <c r="W35" s="63"/>
      <c r="X35" s="63"/>
      <c r="Y35" s="63"/>
      <c r="Z35" s="63"/>
      <c r="AA35" s="63"/>
      <c r="AB35" s="62"/>
      <c r="AC35" s="62"/>
      <c r="AD35" s="62"/>
      <c r="AE35" s="62"/>
      <c r="AF35" s="343"/>
      <c r="AG35" s="63"/>
      <c r="AH35" s="63"/>
      <c r="AI35" s="63"/>
      <c r="AJ35" s="63"/>
      <c r="AK35" s="63"/>
      <c r="AL35" s="63"/>
      <c r="AM35" s="63"/>
      <c r="AN35" s="63"/>
      <c r="AO35" s="63"/>
      <c r="AP35" s="63"/>
      <c r="AQ35" s="63"/>
      <c r="AR35" s="62"/>
      <c r="AS35" s="62"/>
    </row>
    <row r="36" spans="1:45" ht="15" x14ac:dyDescent="0.25">
      <c r="A36" s="172"/>
      <c r="B36" s="336"/>
      <c r="C36" s="336"/>
      <c r="D36" s="336"/>
      <c r="E36" s="336"/>
      <c r="F36" s="336"/>
      <c r="G36" s="336"/>
      <c r="H36" s="336"/>
      <c r="I36" s="336"/>
      <c r="J36" s="336"/>
      <c r="K36" s="336"/>
      <c r="L36" s="336"/>
      <c r="M36" s="336"/>
      <c r="N36" s="112"/>
      <c r="O36" s="112"/>
      <c r="P36" s="340"/>
      <c r="Q36" s="63"/>
      <c r="R36" s="63"/>
      <c r="S36" s="63"/>
      <c r="T36" s="63"/>
      <c r="U36" s="63"/>
      <c r="V36" s="63"/>
      <c r="W36" s="63"/>
      <c r="X36" s="63"/>
      <c r="Y36" s="63"/>
      <c r="Z36" s="63"/>
      <c r="AA36" s="63"/>
      <c r="AB36" s="62"/>
      <c r="AC36" s="62"/>
      <c r="AD36" s="62"/>
      <c r="AE36" s="62"/>
      <c r="AF36" s="343"/>
      <c r="AG36" s="63"/>
      <c r="AH36" s="63"/>
      <c r="AI36" s="63"/>
      <c r="AJ36" s="63"/>
      <c r="AK36" s="63"/>
      <c r="AL36" s="63"/>
      <c r="AM36" s="63"/>
      <c r="AN36" s="63"/>
      <c r="AO36" s="63"/>
      <c r="AP36" s="63"/>
      <c r="AQ36" s="63"/>
      <c r="AR36" s="62"/>
      <c r="AS36" s="62"/>
    </row>
    <row r="37" spans="1:45" ht="15" x14ac:dyDescent="0.25">
      <c r="A37" s="172"/>
      <c r="B37" s="336"/>
      <c r="C37" s="336"/>
      <c r="D37" s="336"/>
      <c r="E37" s="336"/>
      <c r="F37" s="336"/>
      <c r="G37" s="336"/>
      <c r="H37" s="336"/>
      <c r="I37" s="336"/>
      <c r="J37" s="336"/>
      <c r="K37" s="336"/>
      <c r="L37" s="336"/>
      <c r="M37" s="336"/>
      <c r="N37" s="112"/>
      <c r="O37" s="112"/>
      <c r="P37" s="340"/>
      <c r="Q37" s="63"/>
      <c r="R37" s="63"/>
      <c r="S37" s="63"/>
      <c r="T37" s="63"/>
      <c r="U37" s="63"/>
      <c r="V37" s="63"/>
      <c r="W37" s="63"/>
      <c r="X37" s="63"/>
      <c r="Y37" s="63"/>
      <c r="Z37" s="63"/>
      <c r="AA37" s="63"/>
      <c r="AB37" s="62"/>
      <c r="AC37" s="62"/>
      <c r="AD37" s="62"/>
      <c r="AE37" s="62"/>
      <c r="AF37" s="343"/>
      <c r="AG37" s="63"/>
      <c r="AH37" s="63"/>
      <c r="AI37" s="63"/>
      <c r="AJ37" s="63"/>
      <c r="AK37" s="63"/>
      <c r="AL37" s="63"/>
      <c r="AM37" s="63"/>
      <c r="AN37" s="63"/>
      <c r="AO37" s="63"/>
      <c r="AP37" s="63"/>
      <c r="AQ37" s="63"/>
      <c r="AR37" s="62"/>
      <c r="AS37" s="62"/>
    </row>
    <row r="38" spans="1:45" ht="15" x14ac:dyDescent="0.25">
      <c r="A38" s="172"/>
      <c r="B38" s="336"/>
      <c r="C38" s="336"/>
      <c r="D38" s="336"/>
      <c r="E38" s="336"/>
      <c r="F38" s="336"/>
      <c r="G38" s="336"/>
      <c r="H38" s="336"/>
      <c r="I38" s="336"/>
      <c r="J38" s="336"/>
      <c r="K38" s="336"/>
      <c r="L38" s="336"/>
      <c r="M38" s="336"/>
      <c r="N38" s="112"/>
      <c r="O38" s="112"/>
      <c r="P38" s="340"/>
      <c r="Q38" s="63"/>
      <c r="R38" s="63"/>
      <c r="S38" s="63"/>
      <c r="T38" s="63"/>
      <c r="U38" s="63"/>
      <c r="V38" s="63"/>
      <c r="W38" s="63"/>
      <c r="X38" s="63"/>
      <c r="Y38" s="63"/>
      <c r="Z38" s="63"/>
      <c r="AA38" s="63"/>
      <c r="AB38" s="62"/>
      <c r="AC38" s="62"/>
      <c r="AD38" s="62"/>
      <c r="AE38" s="62"/>
      <c r="AF38" s="343"/>
      <c r="AG38" s="63"/>
      <c r="AH38" s="63"/>
      <c r="AI38" s="63"/>
      <c r="AJ38" s="63"/>
      <c r="AK38" s="63"/>
      <c r="AL38" s="63"/>
      <c r="AM38" s="63"/>
      <c r="AN38" s="63"/>
      <c r="AO38" s="63"/>
      <c r="AP38" s="63"/>
      <c r="AQ38" s="63"/>
      <c r="AR38" s="62"/>
      <c r="AS38" s="62"/>
    </row>
    <row r="39" spans="1:45" ht="15" x14ac:dyDescent="0.25">
      <c r="A39" s="172"/>
      <c r="B39" s="336"/>
      <c r="C39" s="336"/>
      <c r="D39" s="336"/>
      <c r="E39" s="336"/>
      <c r="F39" s="336"/>
      <c r="G39" s="336"/>
      <c r="H39" s="336"/>
      <c r="I39" s="336"/>
      <c r="J39" s="336"/>
      <c r="K39" s="336"/>
      <c r="L39" s="336"/>
      <c r="M39" s="336"/>
      <c r="N39" s="112"/>
      <c r="O39" s="112"/>
      <c r="P39" s="340"/>
      <c r="Q39" s="63"/>
      <c r="R39" s="63"/>
      <c r="S39" s="63"/>
      <c r="T39" s="63"/>
      <c r="U39" s="63"/>
      <c r="V39" s="63"/>
      <c r="W39" s="63"/>
      <c r="X39" s="63"/>
      <c r="Y39" s="63"/>
      <c r="Z39" s="63"/>
      <c r="AA39" s="63"/>
      <c r="AB39" s="62"/>
      <c r="AC39" s="62"/>
      <c r="AD39" s="62"/>
      <c r="AE39" s="62"/>
      <c r="AF39" s="343"/>
      <c r="AG39" s="63"/>
      <c r="AH39" s="63"/>
      <c r="AI39" s="63"/>
      <c r="AJ39" s="63"/>
      <c r="AK39" s="63"/>
      <c r="AL39" s="63"/>
      <c r="AM39" s="63"/>
      <c r="AN39" s="63"/>
      <c r="AO39" s="63"/>
      <c r="AP39" s="63"/>
      <c r="AQ39" s="63"/>
      <c r="AR39" s="62"/>
      <c r="AS39" s="62"/>
    </row>
    <row r="40" spans="1:45" ht="15" x14ac:dyDescent="0.25">
      <c r="A40" s="173"/>
      <c r="B40" s="336"/>
      <c r="C40" s="336"/>
      <c r="D40" s="336"/>
      <c r="E40" s="336"/>
      <c r="F40" s="336"/>
      <c r="G40" s="336"/>
      <c r="H40" s="336"/>
      <c r="I40" s="336"/>
      <c r="J40" s="336"/>
      <c r="K40" s="336"/>
      <c r="L40" s="336"/>
      <c r="M40" s="336"/>
      <c r="N40" s="112"/>
      <c r="O40" s="112"/>
      <c r="P40" s="340"/>
      <c r="Q40" s="63"/>
      <c r="R40" s="63"/>
      <c r="S40" s="63"/>
      <c r="T40" s="63"/>
      <c r="U40" s="63"/>
      <c r="V40" s="63"/>
      <c r="W40" s="63"/>
      <c r="X40" s="63"/>
      <c r="Y40" s="63"/>
      <c r="Z40" s="63"/>
      <c r="AA40" s="63"/>
      <c r="AB40" s="62"/>
      <c r="AC40" s="62"/>
      <c r="AD40" s="62"/>
      <c r="AE40" s="62"/>
      <c r="AF40" s="343"/>
      <c r="AG40" s="63"/>
      <c r="AH40" s="63"/>
      <c r="AI40" s="63"/>
      <c r="AJ40" s="63"/>
      <c r="AK40" s="63"/>
      <c r="AL40" s="63"/>
      <c r="AM40" s="63"/>
      <c r="AN40" s="63"/>
      <c r="AO40" s="63"/>
      <c r="AP40" s="63"/>
      <c r="AQ40" s="63"/>
      <c r="AR40" s="62"/>
      <c r="AS40" s="62"/>
    </row>
    <row r="41" spans="1:45" ht="15" x14ac:dyDescent="0.25">
      <c r="A41" s="173"/>
      <c r="B41" s="336"/>
      <c r="C41" s="336"/>
      <c r="D41" s="336"/>
      <c r="E41" s="336"/>
      <c r="F41" s="336"/>
      <c r="G41" s="336"/>
      <c r="H41" s="336"/>
      <c r="I41" s="336"/>
      <c r="J41" s="336"/>
      <c r="K41" s="336"/>
      <c r="L41" s="336"/>
      <c r="M41" s="336"/>
      <c r="N41" s="112"/>
      <c r="O41" s="112"/>
      <c r="P41" s="340"/>
      <c r="Q41" s="63"/>
      <c r="R41" s="63"/>
      <c r="S41" s="63"/>
      <c r="T41" s="63"/>
      <c r="U41" s="63"/>
      <c r="V41" s="63"/>
      <c r="W41" s="63"/>
      <c r="X41" s="63"/>
      <c r="Y41" s="63"/>
      <c r="Z41" s="63"/>
      <c r="AA41" s="63"/>
      <c r="AB41" s="62"/>
      <c r="AC41" s="62"/>
      <c r="AD41" s="62"/>
      <c r="AE41" s="62"/>
      <c r="AF41" s="343"/>
      <c r="AG41" s="63"/>
      <c r="AH41" s="63"/>
      <c r="AI41" s="63"/>
      <c r="AJ41" s="63"/>
      <c r="AK41" s="63"/>
      <c r="AL41" s="63"/>
      <c r="AM41" s="63"/>
      <c r="AN41" s="63"/>
      <c r="AO41" s="63"/>
      <c r="AP41" s="63"/>
      <c r="AQ41" s="63"/>
      <c r="AR41" s="62"/>
      <c r="AS41" s="62"/>
    </row>
    <row r="42" spans="1:45" ht="15" x14ac:dyDescent="0.25">
      <c r="A42" s="172"/>
      <c r="B42" s="172"/>
      <c r="C42" s="172"/>
      <c r="D42" s="172"/>
      <c r="E42" s="172"/>
      <c r="F42" s="172"/>
      <c r="G42" s="172"/>
      <c r="H42" s="172"/>
      <c r="I42" s="172"/>
      <c r="J42" s="172"/>
      <c r="K42" s="172"/>
      <c r="L42" s="112"/>
      <c r="M42" s="112"/>
      <c r="N42" s="69"/>
      <c r="O42" s="112"/>
      <c r="P42" s="340"/>
      <c r="Q42" s="63"/>
      <c r="R42" s="63"/>
      <c r="S42" s="63"/>
      <c r="T42" s="63"/>
      <c r="U42" s="63"/>
      <c r="V42" s="63"/>
      <c r="W42" s="63"/>
      <c r="X42" s="63"/>
      <c r="Y42" s="63"/>
      <c r="Z42" s="63"/>
      <c r="AA42" s="63"/>
      <c r="AB42" s="62"/>
      <c r="AC42" s="62"/>
      <c r="AD42" s="62"/>
      <c r="AE42" s="62"/>
      <c r="AF42" s="343"/>
      <c r="AG42" s="63"/>
      <c r="AH42" s="63"/>
      <c r="AI42" s="63"/>
      <c r="AJ42" s="63"/>
      <c r="AK42" s="63"/>
      <c r="AL42" s="63"/>
      <c r="AM42" s="63"/>
      <c r="AN42" s="63"/>
      <c r="AO42" s="63"/>
      <c r="AP42" s="63"/>
      <c r="AQ42" s="63"/>
      <c r="AR42" s="62"/>
      <c r="AS42" s="62"/>
    </row>
    <row r="43" spans="1:45" ht="15" x14ac:dyDescent="0.25">
      <c r="A43" s="112"/>
      <c r="B43" s="112"/>
      <c r="C43" s="112"/>
      <c r="D43" s="112"/>
      <c r="E43" s="112"/>
      <c r="F43" s="112"/>
      <c r="G43" s="112"/>
      <c r="H43" s="112"/>
      <c r="I43" s="112"/>
      <c r="J43" s="112"/>
      <c r="K43" s="112"/>
      <c r="L43" s="112"/>
      <c r="M43" s="112"/>
      <c r="N43" s="69"/>
      <c r="O43" s="112"/>
      <c r="P43" s="340"/>
      <c r="Q43" s="63"/>
      <c r="R43" s="63"/>
      <c r="S43" s="63"/>
      <c r="T43" s="63"/>
      <c r="U43" s="63"/>
      <c r="V43" s="63"/>
      <c r="W43" s="63"/>
      <c r="X43" s="63"/>
      <c r="Y43" s="63"/>
      <c r="Z43" s="63"/>
      <c r="AA43" s="63"/>
      <c r="AB43" s="62"/>
      <c r="AC43" s="62"/>
      <c r="AD43" s="62"/>
      <c r="AE43" s="62"/>
      <c r="AF43" s="343"/>
      <c r="AG43" s="63"/>
      <c r="AH43" s="63"/>
      <c r="AI43" s="63"/>
      <c r="AJ43" s="63"/>
      <c r="AK43" s="63"/>
      <c r="AL43" s="63"/>
      <c r="AM43" s="63"/>
      <c r="AN43" s="63"/>
      <c r="AO43" s="63"/>
      <c r="AP43" s="63"/>
      <c r="AQ43" s="63"/>
      <c r="AR43" s="62"/>
      <c r="AS43" s="62"/>
    </row>
    <row r="44" spans="1:45" ht="15" x14ac:dyDescent="0.25">
      <c r="A44" s="112"/>
      <c r="B44" s="112"/>
      <c r="C44" s="112"/>
      <c r="D44" s="112"/>
      <c r="E44" s="112"/>
      <c r="F44" s="112"/>
      <c r="G44" s="112"/>
      <c r="H44" s="112"/>
      <c r="I44" s="112"/>
      <c r="J44" s="112"/>
      <c r="K44" s="112"/>
      <c r="L44" s="112"/>
      <c r="M44" s="112"/>
      <c r="N44" s="69"/>
      <c r="O44" s="112"/>
      <c r="P44" s="340"/>
      <c r="Q44" s="63"/>
      <c r="R44" s="63"/>
      <c r="S44" s="63"/>
      <c r="T44" s="63"/>
      <c r="U44" s="63"/>
      <c r="V44" s="63"/>
      <c r="W44" s="63"/>
      <c r="X44" s="63"/>
      <c r="Y44" s="63"/>
      <c r="Z44" s="63"/>
      <c r="AA44" s="63"/>
      <c r="AB44" s="62"/>
      <c r="AC44" s="62"/>
      <c r="AD44" s="62"/>
      <c r="AE44" s="62"/>
      <c r="AF44" s="343"/>
      <c r="AG44" s="63"/>
      <c r="AH44" s="63"/>
      <c r="AI44" s="63"/>
      <c r="AJ44" s="63"/>
      <c r="AK44" s="63"/>
      <c r="AL44" s="63"/>
      <c r="AM44" s="63"/>
      <c r="AN44" s="63"/>
      <c r="AO44" s="63"/>
      <c r="AP44" s="63"/>
      <c r="AQ44" s="63"/>
      <c r="AR44" s="62"/>
      <c r="AS44" s="62"/>
    </row>
    <row r="45" spans="1:45" ht="15" x14ac:dyDescent="0.25">
      <c r="A45" s="112"/>
      <c r="B45" s="112"/>
      <c r="C45" s="112"/>
      <c r="D45" s="112"/>
      <c r="E45" s="112"/>
      <c r="F45" s="112"/>
      <c r="G45" s="112"/>
      <c r="H45" s="112"/>
      <c r="I45" s="112"/>
      <c r="J45" s="112"/>
      <c r="K45" s="112"/>
      <c r="L45" s="112"/>
      <c r="M45" s="112"/>
      <c r="N45" s="69"/>
      <c r="O45" s="112"/>
      <c r="P45" s="340"/>
      <c r="Q45" s="63"/>
      <c r="R45" s="63"/>
      <c r="S45" s="63"/>
      <c r="T45" s="63"/>
      <c r="U45" s="63"/>
      <c r="V45" s="63"/>
      <c r="W45" s="63"/>
      <c r="X45" s="63"/>
      <c r="Y45" s="63"/>
      <c r="Z45" s="63"/>
      <c r="AA45" s="63"/>
      <c r="AB45" s="62"/>
      <c r="AC45" s="62"/>
      <c r="AD45" s="62"/>
      <c r="AE45" s="62"/>
      <c r="AF45" s="343"/>
      <c r="AG45" s="63"/>
      <c r="AH45" s="63"/>
      <c r="AI45" s="63"/>
      <c r="AJ45" s="63"/>
      <c r="AK45" s="63"/>
      <c r="AL45" s="63"/>
      <c r="AM45" s="63"/>
      <c r="AN45" s="63"/>
      <c r="AO45" s="63"/>
      <c r="AP45" s="63"/>
      <c r="AQ45" s="63"/>
      <c r="AR45" s="62"/>
      <c r="AS45" s="62"/>
    </row>
    <row r="46" spans="1:45" ht="15" x14ac:dyDescent="0.25">
      <c r="A46" s="112"/>
      <c r="B46" s="112"/>
      <c r="C46" s="112"/>
      <c r="D46" s="112"/>
      <c r="E46" s="112"/>
      <c r="F46" s="112"/>
      <c r="G46" s="112"/>
      <c r="H46" s="112"/>
      <c r="I46" s="112"/>
      <c r="J46" s="112"/>
      <c r="K46" s="112"/>
      <c r="L46" s="112"/>
      <c r="M46" s="112"/>
      <c r="N46" s="69"/>
      <c r="O46" s="62"/>
      <c r="P46" s="340"/>
      <c r="Q46" s="63"/>
      <c r="R46" s="63"/>
      <c r="S46" s="63"/>
      <c r="T46" s="63"/>
      <c r="U46" s="63"/>
      <c r="V46" s="63"/>
      <c r="W46" s="63"/>
      <c r="X46" s="63"/>
      <c r="Y46" s="63"/>
      <c r="Z46" s="63"/>
      <c r="AA46" s="63"/>
      <c r="AB46" s="62"/>
      <c r="AC46" s="62"/>
      <c r="AD46" s="62"/>
      <c r="AE46" s="62"/>
      <c r="AF46" s="343"/>
      <c r="AG46" s="63"/>
      <c r="AH46" s="63"/>
      <c r="AI46" s="63"/>
      <c r="AJ46" s="63"/>
      <c r="AK46" s="63"/>
      <c r="AL46" s="63"/>
      <c r="AM46" s="63"/>
      <c r="AN46" s="63"/>
      <c r="AO46" s="63"/>
      <c r="AP46" s="63"/>
      <c r="AQ46" s="63"/>
      <c r="AR46" s="62"/>
      <c r="AS46" s="62"/>
    </row>
    <row r="47" spans="1:45" ht="15" x14ac:dyDescent="0.25">
      <c r="A47" s="112"/>
      <c r="B47" s="112"/>
      <c r="C47" s="112"/>
      <c r="D47" s="112"/>
      <c r="E47" s="112"/>
      <c r="F47" s="112"/>
      <c r="G47" s="112"/>
      <c r="H47" s="112"/>
      <c r="I47" s="112"/>
      <c r="J47" s="112"/>
      <c r="K47" s="112"/>
      <c r="L47" s="112"/>
      <c r="M47" s="112"/>
      <c r="N47" s="69"/>
      <c r="O47" s="62"/>
      <c r="P47" s="340"/>
      <c r="Q47" s="63"/>
      <c r="R47" s="63"/>
      <c r="S47" s="63"/>
      <c r="T47" s="63"/>
      <c r="U47" s="63"/>
      <c r="V47" s="63"/>
      <c r="W47" s="63"/>
      <c r="X47" s="63"/>
      <c r="Y47" s="63"/>
      <c r="Z47" s="63"/>
      <c r="AA47" s="63"/>
      <c r="AB47" s="62"/>
      <c r="AC47" s="62"/>
      <c r="AD47" s="62"/>
      <c r="AE47" s="62"/>
      <c r="AF47" s="343"/>
      <c r="AG47" s="63"/>
      <c r="AH47" s="63"/>
      <c r="AI47" s="63"/>
      <c r="AJ47" s="63"/>
      <c r="AK47" s="63"/>
      <c r="AL47" s="63"/>
      <c r="AM47" s="63"/>
      <c r="AN47" s="63"/>
      <c r="AO47" s="63"/>
      <c r="AP47" s="63"/>
      <c r="AQ47" s="63"/>
      <c r="AR47" s="62"/>
      <c r="AS47" s="62"/>
    </row>
    <row r="48" spans="1:45" ht="15" x14ac:dyDescent="0.25">
      <c r="A48" s="112"/>
      <c r="B48" s="112"/>
      <c r="C48" s="112"/>
      <c r="D48" s="112"/>
      <c r="E48" s="112"/>
      <c r="F48" s="112"/>
      <c r="G48" s="112"/>
      <c r="H48" s="112"/>
      <c r="I48" s="112"/>
      <c r="J48" s="112"/>
      <c r="K48" s="112"/>
      <c r="L48" s="112"/>
      <c r="M48" s="112"/>
      <c r="N48" s="69"/>
      <c r="O48" s="62"/>
      <c r="P48" s="340"/>
      <c r="Q48" s="63"/>
      <c r="R48" s="63"/>
      <c r="S48" s="63"/>
      <c r="T48" s="63"/>
      <c r="U48" s="63"/>
      <c r="V48" s="63"/>
      <c r="W48" s="63"/>
      <c r="X48" s="63"/>
      <c r="Y48" s="63"/>
      <c r="Z48" s="63"/>
      <c r="AA48" s="63"/>
      <c r="AB48" s="62"/>
      <c r="AC48" s="62"/>
      <c r="AD48" s="62"/>
      <c r="AE48" s="62"/>
      <c r="AF48" s="343"/>
      <c r="AG48" s="63"/>
      <c r="AH48" s="63"/>
      <c r="AI48" s="63"/>
      <c r="AJ48" s="63"/>
      <c r="AK48" s="63"/>
      <c r="AL48" s="63"/>
      <c r="AM48" s="63"/>
      <c r="AN48" s="63"/>
      <c r="AO48" s="63"/>
      <c r="AP48" s="63"/>
      <c r="AQ48" s="63"/>
      <c r="AR48" s="62"/>
      <c r="AS48" s="62"/>
    </row>
    <row r="49" spans="1:45" ht="15" x14ac:dyDescent="0.25">
      <c r="A49" s="112"/>
      <c r="B49" s="112"/>
      <c r="C49" s="112"/>
      <c r="D49" s="112"/>
      <c r="E49" s="112"/>
      <c r="F49" s="112"/>
      <c r="G49" s="112"/>
      <c r="H49" s="112"/>
      <c r="I49" s="112"/>
      <c r="J49" s="112"/>
      <c r="K49" s="112"/>
      <c r="L49" s="112"/>
      <c r="M49" s="112"/>
      <c r="N49" s="69"/>
      <c r="O49" s="62"/>
      <c r="P49" s="340"/>
      <c r="Q49" s="63"/>
      <c r="R49" s="63"/>
      <c r="S49" s="63"/>
      <c r="T49" s="63"/>
      <c r="U49" s="63"/>
      <c r="V49" s="63"/>
      <c r="W49" s="63"/>
      <c r="X49" s="63"/>
      <c r="Y49" s="63"/>
      <c r="Z49" s="63"/>
      <c r="AA49" s="63"/>
      <c r="AB49" s="62"/>
      <c r="AC49" s="62"/>
      <c r="AD49" s="62"/>
      <c r="AE49" s="62"/>
      <c r="AF49" s="343"/>
      <c r="AG49" s="63"/>
      <c r="AH49" s="63"/>
      <c r="AI49" s="63"/>
      <c r="AJ49" s="63"/>
      <c r="AK49" s="63"/>
      <c r="AL49" s="63"/>
      <c r="AM49" s="63"/>
      <c r="AN49" s="63"/>
      <c r="AO49" s="63"/>
      <c r="AP49" s="63"/>
      <c r="AQ49" s="63"/>
      <c r="AR49" s="62"/>
      <c r="AS49" s="62"/>
    </row>
    <row r="50" spans="1:45" ht="15" x14ac:dyDescent="0.25">
      <c r="A50" s="112"/>
      <c r="B50" s="112"/>
      <c r="C50" s="112"/>
      <c r="D50" s="112"/>
      <c r="E50" s="112"/>
      <c r="F50" s="112"/>
      <c r="G50" s="112"/>
      <c r="H50" s="112"/>
      <c r="I50" s="112"/>
      <c r="J50" s="112"/>
      <c r="K50" s="112"/>
      <c r="L50" s="112"/>
      <c r="M50" s="112"/>
      <c r="N50" s="69"/>
      <c r="O50" s="62"/>
      <c r="P50" s="340"/>
      <c r="Q50" s="63"/>
      <c r="R50" s="63"/>
      <c r="S50" s="63"/>
      <c r="T50" s="63"/>
      <c r="U50" s="63"/>
      <c r="V50" s="63"/>
      <c r="W50" s="63"/>
      <c r="X50" s="63"/>
      <c r="Y50" s="63"/>
      <c r="Z50" s="63"/>
      <c r="AA50" s="63"/>
      <c r="AB50" s="62"/>
      <c r="AC50" s="62"/>
      <c r="AD50" s="62"/>
      <c r="AE50" s="62"/>
      <c r="AF50" s="343"/>
      <c r="AG50" s="63"/>
      <c r="AH50" s="63"/>
      <c r="AI50" s="63"/>
      <c r="AJ50" s="63"/>
      <c r="AK50" s="63"/>
      <c r="AL50" s="63"/>
      <c r="AM50" s="63"/>
      <c r="AN50" s="63"/>
      <c r="AO50" s="63"/>
      <c r="AP50" s="63"/>
      <c r="AQ50" s="63"/>
      <c r="AR50" s="62"/>
      <c r="AS50" s="62"/>
    </row>
    <row r="51" spans="1:45" ht="15" x14ac:dyDescent="0.25">
      <c r="A51" s="112"/>
      <c r="B51" s="112"/>
      <c r="C51" s="112"/>
      <c r="D51" s="112"/>
      <c r="E51" s="112"/>
      <c r="F51" s="112"/>
      <c r="G51" s="112"/>
      <c r="H51" s="112"/>
      <c r="I51" s="112"/>
      <c r="J51" s="112"/>
      <c r="K51" s="112"/>
      <c r="L51" s="112"/>
      <c r="M51" s="112"/>
      <c r="N51" s="69"/>
      <c r="O51" s="62"/>
      <c r="P51" s="340"/>
      <c r="Q51" s="63"/>
      <c r="R51" s="63"/>
      <c r="S51" s="63"/>
      <c r="T51" s="63"/>
      <c r="U51" s="63"/>
      <c r="V51" s="63"/>
      <c r="W51" s="63"/>
      <c r="X51" s="63"/>
      <c r="Y51" s="63"/>
      <c r="Z51" s="63"/>
      <c r="AA51" s="63"/>
      <c r="AB51" s="62"/>
      <c r="AC51" s="62"/>
      <c r="AD51" s="62"/>
      <c r="AE51" s="62"/>
      <c r="AF51" s="343"/>
      <c r="AG51" s="63"/>
      <c r="AH51" s="63"/>
      <c r="AI51" s="63"/>
      <c r="AJ51" s="63"/>
      <c r="AK51" s="63"/>
      <c r="AL51" s="63"/>
      <c r="AM51" s="63"/>
      <c r="AN51" s="63"/>
      <c r="AO51" s="63"/>
      <c r="AP51" s="63"/>
      <c r="AQ51" s="63"/>
      <c r="AR51" s="62"/>
      <c r="AS51" s="62"/>
    </row>
    <row r="52" spans="1:45" ht="15" x14ac:dyDescent="0.25">
      <c r="A52" s="112"/>
      <c r="B52" s="112"/>
      <c r="C52" s="112"/>
      <c r="D52" s="112"/>
      <c r="E52" s="112"/>
      <c r="F52" s="112"/>
      <c r="G52" s="112"/>
      <c r="H52" s="112"/>
      <c r="I52" s="112"/>
      <c r="J52" s="112"/>
      <c r="K52" s="112"/>
      <c r="L52" s="112"/>
      <c r="M52" s="112"/>
      <c r="N52" s="69"/>
      <c r="O52" s="62"/>
      <c r="P52" s="340"/>
      <c r="Q52" s="63"/>
      <c r="R52" s="63"/>
      <c r="S52" s="63"/>
      <c r="T52" s="63"/>
      <c r="U52" s="63"/>
      <c r="V52" s="63"/>
      <c r="W52" s="63"/>
      <c r="X52" s="63"/>
      <c r="Y52" s="63"/>
      <c r="Z52" s="63"/>
      <c r="AA52" s="63"/>
      <c r="AB52" s="62"/>
      <c r="AC52" s="62"/>
      <c r="AD52" s="62"/>
      <c r="AE52" s="62"/>
      <c r="AF52" s="343"/>
      <c r="AG52" s="63"/>
      <c r="AH52" s="63"/>
      <c r="AI52" s="63"/>
      <c r="AJ52" s="63"/>
      <c r="AK52" s="63"/>
      <c r="AL52" s="63"/>
      <c r="AM52" s="63"/>
      <c r="AN52" s="63"/>
      <c r="AO52" s="63"/>
      <c r="AP52" s="63"/>
      <c r="AQ52" s="63"/>
      <c r="AR52" s="62"/>
      <c r="AS52" s="62"/>
    </row>
    <row r="53" spans="1:45" ht="15" x14ac:dyDescent="0.25">
      <c r="A53" s="112"/>
      <c r="B53" s="112"/>
      <c r="C53" s="112"/>
      <c r="D53" s="112"/>
      <c r="E53" s="112"/>
      <c r="F53" s="112"/>
      <c r="G53" s="112"/>
      <c r="H53" s="112"/>
      <c r="I53" s="112"/>
      <c r="J53" s="112"/>
      <c r="K53" s="112"/>
      <c r="L53" s="112"/>
      <c r="M53" s="112"/>
      <c r="N53" s="69"/>
      <c r="O53" s="62"/>
      <c r="P53" s="340"/>
      <c r="Q53" s="63"/>
      <c r="R53" s="63"/>
      <c r="S53" s="63"/>
      <c r="T53" s="63"/>
      <c r="U53" s="63"/>
      <c r="V53" s="63"/>
      <c r="W53" s="63"/>
      <c r="X53" s="63"/>
      <c r="Y53" s="63"/>
      <c r="Z53" s="63"/>
      <c r="AA53" s="63"/>
      <c r="AB53" s="62"/>
      <c r="AC53" s="62"/>
      <c r="AD53" s="62"/>
      <c r="AE53" s="62"/>
      <c r="AF53" s="343"/>
      <c r="AG53" s="63"/>
      <c r="AH53" s="63"/>
      <c r="AI53" s="63"/>
      <c r="AJ53" s="63"/>
      <c r="AK53" s="63"/>
      <c r="AL53" s="63"/>
      <c r="AM53" s="63"/>
      <c r="AN53" s="63"/>
      <c r="AO53" s="63"/>
      <c r="AP53" s="63"/>
      <c r="AQ53" s="63"/>
      <c r="AR53" s="62"/>
      <c r="AS53" s="62"/>
    </row>
    <row r="54" spans="1:45" x14ac:dyDescent="0.2">
      <c r="A54" s="112"/>
      <c r="B54" s="112"/>
      <c r="C54" s="112"/>
      <c r="D54" s="112"/>
      <c r="E54" s="112"/>
      <c r="F54" s="112"/>
      <c r="G54" s="112"/>
      <c r="H54" s="112"/>
      <c r="I54" s="112"/>
      <c r="J54" s="112"/>
      <c r="K54" s="112"/>
      <c r="L54" s="112"/>
      <c r="M54" s="112"/>
      <c r="N54" s="69"/>
      <c r="O54" s="62"/>
      <c r="P54" s="340"/>
      <c r="Q54" s="64"/>
      <c r="R54" s="61"/>
      <c r="S54" s="61"/>
      <c r="T54" s="61"/>
      <c r="U54" s="61"/>
      <c r="V54" s="61"/>
      <c r="W54" s="61"/>
      <c r="X54" s="61"/>
      <c r="Y54" s="61"/>
      <c r="Z54" s="61"/>
      <c r="AA54" s="61"/>
      <c r="AB54" s="62"/>
      <c r="AC54" s="62"/>
      <c r="AD54" s="62"/>
      <c r="AE54" s="62"/>
      <c r="AF54" s="343"/>
      <c r="AG54" s="64"/>
      <c r="AH54" s="61"/>
      <c r="AI54" s="61"/>
      <c r="AJ54" s="61"/>
      <c r="AK54" s="61"/>
      <c r="AL54" s="61"/>
      <c r="AM54" s="61"/>
      <c r="AN54" s="61"/>
      <c r="AO54" s="61"/>
      <c r="AP54" s="61"/>
      <c r="AQ54" s="61"/>
      <c r="AR54" s="62"/>
      <c r="AS54" s="62"/>
    </row>
    <row r="55" spans="1:45" x14ac:dyDescent="0.2">
      <c r="A55" s="112"/>
      <c r="B55" s="112"/>
      <c r="C55" s="112"/>
      <c r="D55" s="112"/>
      <c r="E55" s="112"/>
      <c r="F55" s="112"/>
      <c r="G55" s="112"/>
      <c r="H55" s="112"/>
      <c r="I55" s="112"/>
      <c r="J55" s="112"/>
      <c r="K55" s="112"/>
      <c r="L55" s="112"/>
      <c r="M55" s="112"/>
      <c r="N55" s="69"/>
      <c r="O55" s="62"/>
      <c r="Q55" s="64"/>
      <c r="R55" s="61"/>
      <c r="S55" s="61"/>
      <c r="T55" s="61"/>
      <c r="U55" s="61"/>
      <c r="V55" s="61"/>
      <c r="W55" s="61"/>
      <c r="X55" s="61"/>
      <c r="Y55" s="61"/>
      <c r="Z55" s="61"/>
      <c r="AA55" s="61"/>
      <c r="AG55" s="64"/>
      <c r="AH55" s="61"/>
      <c r="AI55" s="61"/>
      <c r="AJ55" s="61"/>
      <c r="AK55" s="61"/>
      <c r="AL55" s="61"/>
      <c r="AM55" s="61"/>
      <c r="AN55" s="61"/>
      <c r="AO55" s="61"/>
      <c r="AP55" s="61"/>
      <c r="AQ55" s="61"/>
    </row>
    <row r="56" spans="1:45" x14ac:dyDescent="0.2">
      <c r="A56" s="112"/>
      <c r="B56" s="112"/>
      <c r="C56" s="112"/>
      <c r="D56" s="112"/>
      <c r="E56" s="112"/>
      <c r="F56" s="112"/>
      <c r="G56" s="112"/>
      <c r="H56" s="112"/>
      <c r="I56" s="112"/>
      <c r="J56" s="112"/>
      <c r="K56" s="112"/>
      <c r="L56" s="112"/>
      <c r="M56" s="112"/>
      <c r="N56" s="69"/>
      <c r="O56" s="62"/>
    </row>
    <row r="57" spans="1:45" x14ac:dyDescent="0.2">
      <c r="A57" s="112"/>
      <c r="B57" s="112"/>
      <c r="C57" s="112"/>
      <c r="D57" s="112"/>
      <c r="E57" s="112"/>
      <c r="F57" s="112"/>
      <c r="G57" s="112"/>
      <c r="H57" s="112"/>
      <c r="I57" s="112"/>
      <c r="J57" s="112"/>
      <c r="K57" s="112"/>
      <c r="L57" s="112"/>
      <c r="M57" s="112"/>
      <c r="N57" s="69"/>
      <c r="O57" s="62"/>
    </row>
    <row r="58" spans="1:45" x14ac:dyDescent="0.2">
      <c r="O58" s="62"/>
    </row>
    <row r="59" spans="1:45" x14ac:dyDescent="0.2">
      <c r="O59" s="62"/>
    </row>
    <row r="60" spans="1:45" x14ac:dyDescent="0.2">
      <c r="O60" s="62"/>
    </row>
    <row r="61" spans="1:45" x14ac:dyDescent="0.2">
      <c r="O61" s="62"/>
    </row>
    <row r="62" spans="1:45" x14ac:dyDescent="0.2">
      <c r="A62" s="112"/>
      <c r="B62" s="112"/>
      <c r="C62" s="112"/>
      <c r="D62" s="112"/>
      <c r="E62" s="112"/>
      <c r="F62" s="112"/>
      <c r="G62" s="112"/>
      <c r="H62" s="112"/>
      <c r="I62" s="112"/>
      <c r="J62" s="112"/>
      <c r="K62" s="112"/>
      <c r="L62" s="112"/>
      <c r="M62" s="112"/>
      <c r="N62" s="69"/>
      <c r="O62" s="62"/>
    </row>
    <row r="63" spans="1:45" x14ac:dyDescent="0.2">
      <c r="A63" s="112"/>
      <c r="B63" s="112"/>
      <c r="C63" s="112"/>
      <c r="D63" s="112"/>
      <c r="E63" s="112"/>
      <c r="F63" s="112"/>
      <c r="G63" s="112"/>
      <c r="H63" s="112"/>
      <c r="I63" s="112"/>
      <c r="J63" s="112"/>
      <c r="K63" s="112"/>
      <c r="L63" s="112"/>
      <c r="M63" s="112"/>
      <c r="N63" s="69"/>
      <c r="O63" s="62"/>
    </row>
    <row r="64" spans="1:45" x14ac:dyDescent="0.2">
      <c r="A64" s="112"/>
      <c r="B64" s="112"/>
      <c r="C64" s="112"/>
      <c r="D64" s="112"/>
      <c r="E64" s="112"/>
      <c r="F64" s="112"/>
      <c r="G64" s="112"/>
      <c r="H64" s="112"/>
      <c r="I64" s="112"/>
      <c r="J64" s="112"/>
      <c r="K64" s="112"/>
      <c r="L64" s="112"/>
      <c r="M64" s="112"/>
      <c r="N64" s="69"/>
      <c r="O64" s="62"/>
    </row>
    <row r="65" spans="1:15" x14ac:dyDescent="0.2">
      <c r="A65" s="112"/>
      <c r="B65" s="112"/>
      <c r="C65" s="112"/>
      <c r="D65" s="112"/>
      <c r="E65" s="112"/>
      <c r="F65" s="112"/>
      <c r="G65" s="112"/>
      <c r="H65" s="112"/>
      <c r="I65" s="112"/>
      <c r="J65" s="112"/>
      <c r="K65" s="112"/>
      <c r="L65" s="112"/>
      <c r="M65" s="112"/>
      <c r="N65" s="69"/>
      <c r="O65" s="62"/>
    </row>
    <row r="66" spans="1:15" x14ac:dyDescent="0.2">
      <c r="A66" s="112"/>
      <c r="B66" s="112"/>
      <c r="C66" s="112"/>
      <c r="D66" s="112"/>
      <c r="E66" s="112"/>
      <c r="F66" s="112"/>
      <c r="G66" s="112"/>
      <c r="H66" s="112"/>
      <c r="I66" s="112"/>
      <c r="J66" s="112"/>
      <c r="K66" s="112"/>
      <c r="L66" s="112"/>
      <c r="M66" s="112"/>
      <c r="N66" s="69"/>
      <c r="O66" s="62"/>
    </row>
    <row r="67" spans="1:15" x14ac:dyDescent="0.2">
      <c r="A67" s="115"/>
      <c r="B67" s="112"/>
      <c r="C67" s="112"/>
      <c r="D67" s="112"/>
      <c r="E67" s="112"/>
      <c r="F67" s="112"/>
      <c r="G67" s="112"/>
      <c r="H67" s="112"/>
      <c r="I67" s="112"/>
      <c r="J67" s="112"/>
      <c r="K67" s="112"/>
      <c r="L67" s="112"/>
      <c r="M67" s="112"/>
      <c r="N67" s="69"/>
      <c r="O67" s="62"/>
    </row>
    <row r="68" spans="1:15" x14ac:dyDescent="0.2">
      <c r="A68" s="115"/>
      <c r="B68" s="112"/>
      <c r="C68" s="112"/>
      <c r="D68" s="112"/>
      <c r="E68" s="112"/>
      <c r="F68" s="112"/>
      <c r="G68" s="112"/>
      <c r="H68" s="112"/>
      <c r="I68" s="112"/>
      <c r="J68" s="112"/>
      <c r="K68" s="112"/>
      <c r="L68" s="113"/>
      <c r="M68" s="113"/>
      <c r="N68" s="69"/>
      <c r="O68" s="62"/>
    </row>
    <row r="69" spans="1:15" x14ac:dyDescent="0.2">
      <c r="A69" s="113"/>
      <c r="B69" s="113"/>
      <c r="C69" s="113"/>
      <c r="D69" s="113"/>
      <c r="E69" s="113"/>
      <c r="F69" s="113"/>
      <c r="G69" s="113"/>
      <c r="H69" s="113"/>
      <c r="I69" s="113"/>
      <c r="J69" s="113"/>
      <c r="K69" s="113"/>
      <c r="L69" s="113"/>
      <c r="M69" s="113"/>
      <c r="N69" s="69"/>
      <c r="O69" s="62"/>
    </row>
    <row r="70" spans="1:15" x14ac:dyDescent="0.2">
      <c r="A70" s="113"/>
      <c r="B70" s="113"/>
      <c r="C70" s="113"/>
      <c r="D70" s="113"/>
      <c r="E70" s="113"/>
      <c r="F70" s="113"/>
      <c r="G70" s="113"/>
      <c r="H70" s="113"/>
      <c r="I70" s="113"/>
      <c r="J70" s="113"/>
      <c r="K70" s="113"/>
      <c r="L70" s="113"/>
      <c r="M70" s="113"/>
    </row>
    <row r="71" spans="1:15" x14ac:dyDescent="0.2">
      <c r="A71" s="113"/>
      <c r="B71" s="113"/>
      <c r="C71" s="113"/>
      <c r="D71" s="113"/>
      <c r="E71" s="113"/>
      <c r="F71" s="113"/>
      <c r="G71" s="113"/>
      <c r="H71" s="113"/>
      <c r="I71" s="113"/>
      <c r="J71" s="113"/>
      <c r="K71" s="113"/>
      <c r="L71" s="113"/>
      <c r="M71" s="113"/>
    </row>
    <row r="72" spans="1:15" x14ac:dyDescent="0.2">
      <c r="A72" s="113"/>
      <c r="B72" s="113"/>
      <c r="C72" s="113"/>
      <c r="D72" s="113"/>
      <c r="E72" s="113"/>
      <c r="F72" s="113"/>
      <c r="G72" s="113"/>
      <c r="H72" s="113"/>
      <c r="I72" s="113"/>
      <c r="J72" s="113"/>
      <c r="K72" s="113"/>
      <c r="L72" s="113"/>
      <c r="M72" s="113"/>
    </row>
    <row r="73" spans="1:15" x14ac:dyDescent="0.2">
      <c r="A73" s="113"/>
      <c r="B73" s="113"/>
      <c r="C73" s="113"/>
      <c r="D73" s="113"/>
      <c r="E73" s="113"/>
      <c r="F73" s="113"/>
      <c r="G73" s="113"/>
      <c r="H73" s="113"/>
      <c r="I73" s="113"/>
      <c r="J73" s="113"/>
      <c r="K73" s="113"/>
      <c r="L73" s="113"/>
      <c r="M73" s="113"/>
    </row>
    <row r="74" spans="1:15" x14ac:dyDescent="0.2">
      <c r="A74" s="113"/>
      <c r="B74" s="113"/>
      <c r="C74" s="113"/>
      <c r="D74" s="113"/>
      <c r="E74" s="113"/>
      <c r="F74" s="113"/>
      <c r="G74" s="113"/>
      <c r="H74" s="113"/>
      <c r="I74" s="113"/>
      <c r="J74" s="113"/>
      <c r="K74" s="113"/>
      <c r="L74" s="113"/>
      <c r="M74" s="113"/>
    </row>
    <row r="75" spans="1:15" x14ac:dyDescent="0.2">
      <c r="A75" s="113"/>
      <c r="B75" s="113"/>
      <c r="C75" s="113"/>
      <c r="D75" s="113"/>
      <c r="E75" s="113"/>
      <c r="F75" s="113"/>
      <c r="G75" s="113"/>
      <c r="H75" s="113"/>
      <c r="I75" s="113"/>
      <c r="J75" s="113"/>
      <c r="K75" s="113"/>
      <c r="L75" s="113"/>
      <c r="M75" s="113"/>
    </row>
    <row r="76" spans="1:15" x14ac:dyDescent="0.2">
      <c r="A76" s="113"/>
      <c r="B76" s="113"/>
      <c r="C76" s="113"/>
      <c r="D76" s="113"/>
      <c r="E76" s="113"/>
      <c r="F76" s="113"/>
      <c r="G76" s="113"/>
      <c r="H76" s="113"/>
      <c r="I76" s="113"/>
      <c r="J76" s="113"/>
      <c r="K76" s="113"/>
      <c r="L76" s="113"/>
      <c r="M76" s="113"/>
    </row>
    <row r="77" spans="1:15" x14ac:dyDescent="0.2">
      <c r="A77" s="113"/>
      <c r="B77" s="113"/>
      <c r="C77" s="113"/>
      <c r="D77" s="113"/>
      <c r="E77" s="113"/>
      <c r="F77" s="113"/>
      <c r="G77" s="113"/>
      <c r="H77" s="113"/>
      <c r="I77" s="113"/>
      <c r="J77" s="113"/>
      <c r="K77" s="113"/>
      <c r="L77" s="113"/>
      <c r="M77" s="113"/>
    </row>
    <row r="78" spans="1:15" x14ac:dyDescent="0.2">
      <c r="A78" s="113"/>
      <c r="B78" s="113"/>
      <c r="C78" s="113"/>
      <c r="D78" s="113"/>
      <c r="E78" s="113"/>
      <c r="F78" s="113"/>
      <c r="G78" s="113"/>
      <c r="H78" s="113"/>
      <c r="I78" s="113"/>
      <c r="J78" s="113"/>
      <c r="K78" s="113"/>
      <c r="L78" s="113"/>
      <c r="M78" s="113"/>
    </row>
    <row r="79" spans="1:15" x14ac:dyDescent="0.2">
      <c r="A79" s="113"/>
      <c r="B79" s="113"/>
      <c r="C79" s="113"/>
      <c r="D79" s="113"/>
      <c r="E79" s="113"/>
      <c r="F79" s="113"/>
      <c r="G79" s="113"/>
      <c r="H79" s="113"/>
      <c r="I79" s="113"/>
      <c r="J79" s="113"/>
      <c r="K79" s="113"/>
      <c r="L79" s="113"/>
      <c r="M79" s="113"/>
    </row>
    <row r="80" spans="1:15" x14ac:dyDescent="0.2">
      <c r="A80" s="113"/>
      <c r="B80" s="113"/>
      <c r="C80" s="113"/>
      <c r="D80" s="113"/>
      <c r="E80" s="113"/>
      <c r="F80" s="113"/>
      <c r="G80" s="113"/>
      <c r="H80" s="113"/>
      <c r="I80" s="113"/>
      <c r="J80" s="113"/>
      <c r="K80" s="113"/>
      <c r="L80" s="113"/>
      <c r="M80" s="113"/>
    </row>
    <row r="81" spans="1:13" x14ac:dyDescent="0.2">
      <c r="A81" s="113"/>
      <c r="B81" s="113"/>
      <c r="C81" s="113"/>
      <c r="D81" s="113"/>
      <c r="E81" s="113"/>
      <c r="F81" s="113"/>
      <c r="G81" s="113"/>
      <c r="H81" s="113"/>
      <c r="I81" s="113"/>
      <c r="J81" s="113"/>
      <c r="K81" s="113"/>
      <c r="L81" s="113"/>
      <c r="M81" s="113"/>
    </row>
    <row r="82" spans="1:13" x14ac:dyDescent="0.2">
      <c r="A82" s="113"/>
      <c r="B82" s="113"/>
      <c r="C82" s="113"/>
      <c r="D82" s="113"/>
      <c r="E82" s="113"/>
      <c r="F82" s="113"/>
      <c r="G82" s="113"/>
      <c r="H82" s="113"/>
      <c r="I82" s="113"/>
      <c r="J82" s="113"/>
      <c r="K82" s="113"/>
      <c r="L82" s="113"/>
      <c r="M82" s="113"/>
    </row>
    <row r="83" spans="1:13" x14ac:dyDescent="0.2">
      <c r="A83" s="113"/>
      <c r="B83" s="113"/>
      <c r="C83" s="113"/>
      <c r="D83" s="113"/>
      <c r="E83" s="113"/>
      <c r="F83" s="113"/>
      <c r="G83" s="113"/>
      <c r="H83" s="113"/>
      <c r="I83" s="113"/>
      <c r="J83" s="113"/>
      <c r="K83" s="113"/>
      <c r="L83" s="113"/>
      <c r="M83" s="113"/>
    </row>
    <row r="84" spans="1:13" x14ac:dyDescent="0.2">
      <c r="A84" s="113"/>
      <c r="B84" s="113"/>
      <c r="C84" s="113"/>
      <c r="D84" s="113"/>
      <c r="E84" s="113"/>
      <c r="F84" s="113"/>
      <c r="G84" s="113"/>
      <c r="H84" s="113"/>
      <c r="I84" s="113"/>
      <c r="J84" s="113"/>
      <c r="K84" s="113"/>
      <c r="L84" s="113"/>
      <c r="M84" s="113"/>
    </row>
    <row r="85" spans="1:13" x14ac:dyDescent="0.2">
      <c r="A85" s="113"/>
      <c r="B85" s="113"/>
      <c r="C85" s="113"/>
      <c r="D85" s="113"/>
      <c r="E85" s="113"/>
      <c r="F85" s="113"/>
      <c r="G85" s="113"/>
      <c r="H85" s="113"/>
      <c r="I85" s="113"/>
      <c r="J85" s="113"/>
      <c r="K85" s="113"/>
      <c r="L85" s="113"/>
      <c r="M85" s="113"/>
    </row>
    <row r="86" spans="1:13" x14ac:dyDescent="0.2">
      <c r="A86" s="113"/>
      <c r="B86" s="113"/>
      <c r="C86" s="113"/>
      <c r="D86" s="113"/>
      <c r="E86" s="113"/>
      <c r="F86" s="113"/>
      <c r="G86" s="113"/>
      <c r="H86" s="113"/>
      <c r="I86" s="113"/>
      <c r="J86" s="113"/>
      <c r="K86" s="113"/>
      <c r="L86" s="113"/>
      <c r="M86" s="113"/>
    </row>
    <row r="87" spans="1:13" x14ac:dyDescent="0.2">
      <c r="A87" s="113"/>
      <c r="B87" s="113"/>
      <c r="C87" s="113"/>
      <c r="D87" s="113"/>
      <c r="E87" s="113"/>
      <c r="F87" s="113"/>
      <c r="G87" s="113"/>
      <c r="H87" s="113"/>
      <c r="I87" s="113"/>
      <c r="J87" s="113"/>
      <c r="K87" s="113"/>
      <c r="L87" s="113"/>
      <c r="M87" s="113"/>
    </row>
    <row r="88" spans="1:13" x14ac:dyDescent="0.2">
      <c r="A88" s="113"/>
      <c r="B88" s="113"/>
      <c r="C88" s="113"/>
      <c r="D88" s="113"/>
      <c r="E88" s="113"/>
      <c r="F88" s="113"/>
      <c r="G88" s="113"/>
      <c r="H88" s="113"/>
      <c r="I88" s="113"/>
      <c r="J88" s="113"/>
      <c r="K88" s="113"/>
      <c r="L88" s="113"/>
      <c r="M88" s="113"/>
    </row>
    <row r="89" spans="1:13" x14ac:dyDescent="0.2">
      <c r="A89" s="113"/>
      <c r="B89" s="113"/>
      <c r="C89" s="113"/>
      <c r="D89" s="113"/>
      <c r="E89" s="113"/>
      <c r="F89" s="113"/>
      <c r="G89" s="113"/>
      <c r="H89" s="113"/>
      <c r="I89" s="113"/>
      <c r="J89" s="113"/>
      <c r="K89" s="113"/>
      <c r="L89" s="113"/>
      <c r="M89" s="113"/>
    </row>
    <row r="90" spans="1:13" x14ac:dyDescent="0.2">
      <c r="A90" s="113"/>
      <c r="B90" s="113"/>
      <c r="C90" s="113"/>
      <c r="D90" s="113"/>
      <c r="E90" s="113"/>
      <c r="F90" s="113"/>
      <c r="G90" s="113"/>
      <c r="H90" s="113"/>
      <c r="I90" s="113"/>
      <c r="J90" s="113"/>
      <c r="K90" s="113"/>
      <c r="L90" s="113"/>
      <c r="M90" s="113"/>
    </row>
    <row r="91" spans="1:13" x14ac:dyDescent="0.2">
      <c r="A91" s="113"/>
      <c r="B91" s="113"/>
      <c r="C91" s="113"/>
      <c r="D91" s="113"/>
      <c r="E91" s="113"/>
      <c r="F91" s="113"/>
      <c r="G91" s="113"/>
      <c r="H91" s="113"/>
      <c r="I91" s="113"/>
      <c r="J91" s="113"/>
      <c r="K91" s="113"/>
      <c r="L91" s="113"/>
      <c r="M91" s="113"/>
    </row>
  </sheetData>
  <sheetProtection algorithmName="SHA-512" hashValue="kyDmlD9kD+T+m3uFQ7cSHsmhsCL5BKhZO55mt9b4OFDd5rt3UOHrvErlCJKTFHVCPm+wnBNVO4jWaNc86MCupg==" saltValue="y9VEQjDt5UD2Cr0WSOT5TA==" spinCount="100000" sheet="1" objects="1" scenarios="1" selectLockedCells="1" autoFilter="0"/>
  <protectedRanges>
    <protectedRange sqref="A2:AS1048576" name="RawDataInput"/>
  </protectedRanges>
  <phoneticPr fontId="23" type="noConversion"/>
  <pageMargins left="0.75" right="0.75" top="1" bottom="1" header="0.5" footer="0.5"/>
  <pageSetup orientation="portrait" r:id="rId1"/>
  <headerFooter alignWithMargins="0"/>
  <customProperties>
    <customPr name="%locator_row%" r:id="rId2"/>
    <customPr name="%startcell%" r:id="rId3"/>
  </customProperties>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12">
    <tabColor rgb="FFFFCC99"/>
  </sheetPr>
  <dimension ref="C1:H46"/>
  <sheetViews>
    <sheetView topLeftCell="A8" workbookViewId="0">
      <selection activeCell="C15" sqref="C15"/>
    </sheetView>
  </sheetViews>
  <sheetFormatPr defaultRowHeight="12.75" x14ac:dyDescent="0.2"/>
  <cols>
    <col min="5" max="5" width="13.5703125" customWidth="1"/>
    <col min="8" max="8" width="13" customWidth="1"/>
  </cols>
  <sheetData>
    <row r="1" spans="3:8" ht="18" x14ac:dyDescent="0.25">
      <c r="E1" s="98" t="s">
        <v>137</v>
      </c>
    </row>
    <row r="2" spans="3:8" x14ac:dyDescent="0.2">
      <c r="E2" s="99" t="s">
        <v>138</v>
      </c>
    </row>
    <row r="3" spans="3:8" x14ac:dyDescent="0.2">
      <c r="E3" s="99" t="s">
        <v>139</v>
      </c>
    </row>
    <row r="6" spans="3:8" ht="26.25" x14ac:dyDescent="0.4">
      <c r="E6" s="105" t="s">
        <v>140</v>
      </c>
    </row>
    <row r="8" spans="3:8" ht="20.25" x14ac:dyDescent="0.3">
      <c r="C8" s="110"/>
      <c r="D8" s="102"/>
      <c r="E8" s="102"/>
    </row>
    <row r="9" spans="3:8" ht="15.75" x14ac:dyDescent="0.25">
      <c r="C9" s="103" t="s">
        <v>53</v>
      </c>
      <c r="D9" s="104" t="e">
        <f>Main!D5</f>
        <v>#N/A</v>
      </c>
    </row>
    <row r="10" spans="3:8" ht="15.75" x14ac:dyDescent="0.25">
      <c r="C10" s="103" t="s">
        <v>141</v>
      </c>
      <c r="D10" s="526">
        <f>Main!D3</f>
        <v>0</v>
      </c>
      <c r="E10" s="526"/>
      <c r="F10" s="526"/>
    </row>
    <row r="11" spans="3:8" ht="15.75" x14ac:dyDescent="0.25">
      <c r="C11" s="103" t="s">
        <v>260</v>
      </c>
      <c r="D11" s="106" t="e">
        <f>Main!D6</f>
        <v>#N/A</v>
      </c>
    </row>
    <row r="14" spans="3:8" ht="15.75" x14ac:dyDescent="0.25">
      <c r="C14" s="108" t="s">
        <v>142</v>
      </c>
      <c r="E14" s="106"/>
      <c r="F14" s="107" t="s">
        <v>143</v>
      </c>
      <c r="G14" s="106"/>
      <c r="H14" s="106"/>
    </row>
    <row r="15" spans="3:8" ht="15.75" customHeight="1" x14ac:dyDescent="0.2">
      <c r="C15" s="164"/>
      <c r="D15" s="101"/>
      <c r="E15" s="525" t="s">
        <v>413</v>
      </c>
      <c r="F15" s="525"/>
      <c r="G15" s="525"/>
      <c r="H15" s="525"/>
    </row>
    <row r="16" spans="3:8" ht="15" x14ac:dyDescent="0.2">
      <c r="C16" s="164"/>
      <c r="D16" s="100"/>
      <c r="E16" s="354" t="s">
        <v>145</v>
      </c>
      <c r="F16" s="354"/>
      <c r="G16" s="354"/>
      <c r="H16" s="354"/>
    </row>
    <row r="17" spans="3:8" ht="15" x14ac:dyDescent="0.2">
      <c r="C17" s="164"/>
      <c r="D17" s="100"/>
      <c r="E17" s="524" t="s">
        <v>146</v>
      </c>
      <c r="F17" s="524"/>
      <c r="G17" s="524"/>
      <c r="H17" s="524"/>
    </row>
    <row r="18" spans="3:8" ht="15" x14ac:dyDescent="0.2">
      <c r="C18" s="164"/>
      <c r="D18" s="100"/>
      <c r="E18" s="524" t="s">
        <v>18</v>
      </c>
      <c r="F18" s="524"/>
      <c r="G18" s="524"/>
      <c r="H18" s="524"/>
    </row>
    <row r="19" spans="3:8" ht="15" x14ac:dyDescent="0.2">
      <c r="C19" s="164"/>
      <c r="D19" s="100"/>
      <c r="E19" s="524" t="s">
        <v>151</v>
      </c>
      <c r="F19" s="524"/>
      <c r="G19" s="524"/>
      <c r="H19" s="524"/>
    </row>
    <row r="20" spans="3:8" ht="15" x14ac:dyDescent="0.2">
      <c r="C20" s="164"/>
      <c r="D20" s="100"/>
      <c r="E20" s="524" t="s">
        <v>148</v>
      </c>
      <c r="F20" s="524"/>
      <c r="G20" s="524"/>
      <c r="H20" s="524"/>
    </row>
    <row r="21" spans="3:8" ht="15" x14ac:dyDescent="0.2">
      <c r="C21" s="164"/>
      <c r="D21" s="100"/>
      <c r="E21" s="524" t="s">
        <v>149</v>
      </c>
      <c r="F21" s="524"/>
      <c r="G21" s="524"/>
      <c r="H21" s="524"/>
    </row>
    <row r="22" spans="3:8" ht="15" x14ac:dyDescent="0.2">
      <c r="C22" s="164"/>
      <c r="D22" s="100"/>
      <c r="E22" s="524" t="s">
        <v>127</v>
      </c>
      <c r="F22" s="524"/>
      <c r="G22" s="524"/>
      <c r="H22" s="524"/>
    </row>
    <row r="23" spans="3:8" ht="15" x14ac:dyDescent="0.2">
      <c r="C23" s="164"/>
      <c r="D23" s="100"/>
      <c r="E23" s="524" t="s">
        <v>150</v>
      </c>
      <c r="F23" s="524"/>
      <c r="G23" s="524"/>
      <c r="H23" s="524"/>
    </row>
    <row r="24" spans="3:8" ht="15" x14ac:dyDescent="0.2">
      <c r="C24" s="109"/>
      <c r="D24" s="100"/>
      <c r="E24" s="524" t="s">
        <v>170</v>
      </c>
      <c r="F24" s="524"/>
      <c r="G24" s="524"/>
      <c r="H24" s="524"/>
    </row>
    <row r="25" spans="3:8" ht="15" x14ac:dyDescent="0.2">
      <c r="C25" s="109"/>
      <c r="D25" s="100"/>
      <c r="E25" s="524"/>
      <c r="F25" s="524"/>
      <c r="G25" s="524"/>
      <c r="H25" s="524"/>
    </row>
    <row r="26" spans="3:8" ht="15" x14ac:dyDescent="0.2">
      <c r="C26" s="109"/>
      <c r="D26" s="100"/>
      <c r="E26" s="524"/>
      <c r="F26" s="524"/>
      <c r="G26" s="524"/>
      <c r="H26" s="524"/>
    </row>
    <row r="27" spans="3:8" ht="15" x14ac:dyDescent="0.2">
      <c r="C27" s="109"/>
      <c r="D27" s="100"/>
      <c r="E27" s="524"/>
      <c r="F27" s="524"/>
      <c r="G27" s="524"/>
      <c r="H27" s="524"/>
    </row>
    <row r="28" spans="3:8" ht="15" x14ac:dyDescent="0.2">
      <c r="C28" s="109"/>
      <c r="D28" s="100"/>
      <c r="E28" s="524"/>
      <c r="F28" s="524"/>
      <c r="G28" s="524"/>
      <c r="H28" s="524"/>
    </row>
    <row r="29" spans="3:8" ht="15" x14ac:dyDescent="0.2">
      <c r="C29" s="109"/>
      <c r="D29" s="100"/>
      <c r="E29" s="524"/>
      <c r="F29" s="524"/>
      <c r="G29" s="524"/>
      <c r="H29" s="524"/>
    </row>
    <row r="30" spans="3:8" ht="15" x14ac:dyDescent="0.2">
      <c r="C30" s="109"/>
      <c r="D30" s="100"/>
      <c r="E30" s="524"/>
      <c r="F30" s="524"/>
      <c r="G30" s="524"/>
      <c r="H30" s="524"/>
    </row>
    <row r="31" spans="3:8" ht="15" x14ac:dyDescent="0.2">
      <c r="C31" s="302" t="s">
        <v>414</v>
      </c>
      <c r="E31" s="524"/>
      <c r="F31" s="524"/>
      <c r="G31" s="524"/>
      <c r="H31" s="524"/>
    </row>
    <row r="32" spans="3:8" ht="15" x14ac:dyDescent="0.2">
      <c r="C32" s="109"/>
      <c r="D32" s="100"/>
      <c r="E32" s="524"/>
      <c r="F32" s="524"/>
      <c r="G32" s="524"/>
      <c r="H32" s="524"/>
    </row>
    <row r="33" spans="3:8" ht="15" x14ac:dyDescent="0.2">
      <c r="C33" s="109"/>
      <c r="D33" s="100"/>
      <c r="E33" s="524"/>
      <c r="F33" s="524"/>
      <c r="G33" s="524"/>
      <c r="H33" s="524"/>
    </row>
    <row r="34" spans="3:8" ht="15" x14ac:dyDescent="0.2">
      <c r="C34" s="109"/>
      <c r="D34" s="100"/>
      <c r="E34" s="524"/>
      <c r="F34" s="524"/>
      <c r="G34" s="524"/>
      <c r="H34" s="524"/>
    </row>
    <row r="35" spans="3:8" ht="15" x14ac:dyDescent="0.2">
      <c r="C35" s="109"/>
      <c r="D35" s="100"/>
      <c r="E35" s="524"/>
      <c r="F35" s="524"/>
      <c r="G35" s="524"/>
      <c r="H35" s="524"/>
    </row>
    <row r="36" spans="3:8" ht="15" x14ac:dyDescent="0.2">
      <c r="C36" s="100"/>
      <c r="D36" s="100"/>
      <c r="E36" s="524"/>
      <c r="F36" s="524"/>
      <c r="G36" s="524"/>
      <c r="H36" s="524"/>
    </row>
    <row r="37" spans="3:8" x14ac:dyDescent="0.2">
      <c r="C37" s="100"/>
      <c r="D37" s="100"/>
      <c r="E37" s="100"/>
    </row>
    <row r="38" spans="3:8" x14ac:dyDescent="0.2">
      <c r="C38" s="100"/>
      <c r="D38" s="100"/>
      <c r="E38" s="100"/>
    </row>
    <row r="39" spans="3:8" x14ac:dyDescent="0.2">
      <c r="C39" s="100"/>
      <c r="D39" s="100"/>
      <c r="E39" s="100"/>
    </row>
    <row r="40" spans="3:8" x14ac:dyDescent="0.2">
      <c r="C40" s="100"/>
      <c r="D40" s="100"/>
      <c r="E40" s="100"/>
    </row>
    <row r="41" spans="3:8" x14ac:dyDescent="0.2">
      <c r="C41" s="100"/>
      <c r="D41" s="100"/>
      <c r="E41" s="100"/>
    </row>
    <row r="42" spans="3:8" x14ac:dyDescent="0.2">
      <c r="D42" s="100"/>
      <c r="E42" s="100"/>
    </row>
    <row r="43" spans="3:8" x14ac:dyDescent="0.2">
      <c r="D43" s="100"/>
      <c r="E43" s="100"/>
    </row>
    <row r="44" spans="3:8" x14ac:dyDescent="0.2">
      <c r="D44" s="100"/>
      <c r="E44" s="100"/>
    </row>
    <row r="45" spans="3:8" x14ac:dyDescent="0.2">
      <c r="D45" s="100"/>
    </row>
    <row r="46" spans="3:8" x14ac:dyDescent="0.2">
      <c r="D46" s="100"/>
    </row>
  </sheetData>
  <sheetProtection algorithmName="SHA-512" hashValue="BMH5BHXid6MXWnDGvY7QqrD1UTsEL6CPqcKqTMtcuNGlWeUJur55G3zlm0MUmXH/aYS/KwbaPDWsmL538cZ+zw==" saltValue="4lv0H5uthQge2WOfHGj0/g==" spinCount="100000" sheet="1" objects="1" scenarios="1" selectLockedCells="1" autoFilter="0"/>
  <mergeCells count="22">
    <mergeCell ref="E20:H20"/>
    <mergeCell ref="E15:H15"/>
    <mergeCell ref="D10:F10"/>
    <mergeCell ref="E17:H17"/>
    <mergeCell ref="E18:H18"/>
    <mergeCell ref="E19:H19"/>
    <mergeCell ref="E23:H23"/>
    <mergeCell ref="E21:H21"/>
    <mergeCell ref="E22:H22"/>
    <mergeCell ref="E36:H36"/>
    <mergeCell ref="E32:H32"/>
    <mergeCell ref="E33:H33"/>
    <mergeCell ref="E34:H34"/>
    <mergeCell ref="E35:H35"/>
    <mergeCell ref="E27:H27"/>
    <mergeCell ref="E31:H31"/>
    <mergeCell ref="E24:H24"/>
    <mergeCell ref="E25:H25"/>
    <mergeCell ref="E26:H26"/>
    <mergeCell ref="E28:H28"/>
    <mergeCell ref="E29:H29"/>
    <mergeCell ref="E30:H30"/>
  </mergeCells>
  <phoneticPr fontId="23" type="noConversion"/>
  <dataValidations count="1">
    <dataValidation type="list" allowBlank="1" showInputMessage="1" showErrorMessage="1" sqref="E17:H36 E16" xr:uid="{00000000-0002-0000-0400-000000000000}">
      <formula1>Packet_Content</formula1>
    </dataValidation>
  </dataValidations>
  <pageMargins left="0.75" right="0.75" top="1" bottom="1" header="0.5" footer="0.5"/>
  <pageSetup orientation="portrait" r:id="rId1"/>
  <headerFooter alignWithMargins="0"/>
  <customProperties>
    <customPr name="%locator_row%" r:id="rId2"/>
    <customPr name="%startcell%" r:id="rId3"/>
  </customProperties>
  <extLst>
    <ext xmlns:x14="http://schemas.microsoft.com/office/spreadsheetml/2009/9/main" uri="{CCE6A557-97BC-4b89-ADB6-D9C93CAAB3DF}">
      <x14:dataValidations xmlns:xm="http://schemas.microsoft.com/office/excel/2006/main" count="1">
        <x14:dataValidation type="list" allowBlank="1" showInputMessage="1" showErrorMessage="1" xr:uid="{E1A04C12-1AFF-486B-9171-F0F2806EEBA9}">
          <x14:formula1>
            <xm:f>Standards_Info!$O$3:$O$13</xm:f>
          </x14:formula1>
          <xm:sqref>E15:H15</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9">
    <tabColor rgb="FFFFCC99"/>
  </sheetPr>
  <dimension ref="A1:T82"/>
  <sheetViews>
    <sheetView view="pageBreakPreview" zoomScale="70" zoomScaleNormal="100" zoomScaleSheetLayoutView="70" workbookViewId="0">
      <selection activeCell="N16" sqref="N16"/>
    </sheetView>
  </sheetViews>
  <sheetFormatPr defaultRowHeight="12.75" x14ac:dyDescent="0.2"/>
  <cols>
    <col min="1" max="1" width="18" customWidth="1"/>
    <col min="2" max="2" width="9.7109375" customWidth="1"/>
    <col min="3" max="3" width="12" customWidth="1"/>
    <col min="8" max="8" width="14.42578125" customWidth="1"/>
    <col min="9" max="9" width="13.5703125" customWidth="1"/>
    <col min="10" max="10" width="11" customWidth="1"/>
    <col min="12" max="12" width="12.5703125" customWidth="1"/>
    <col min="13" max="13" width="10.5703125" customWidth="1"/>
    <col min="14" max="14" width="25.140625" customWidth="1"/>
  </cols>
  <sheetData>
    <row r="1" spans="1:18" ht="30" x14ac:dyDescent="0.4">
      <c r="C1" s="283"/>
      <c r="D1" s="543" t="s">
        <v>137</v>
      </c>
      <c r="E1" s="543"/>
      <c r="F1" s="543"/>
      <c r="G1" s="543"/>
      <c r="H1" s="543"/>
      <c r="I1" s="543"/>
      <c r="J1" s="543"/>
      <c r="K1" s="543"/>
      <c r="L1" s="543"/>
      <c r="M1" s="543"/>
    </row>
    <row r="2" spans="1:18" ht="23.25" customHeight="1" x14ac:dyDescent="0.3">
      <c r="C2" s="284"/>
      <c r="D2" s="284" t="s">
        <v>352</v>
      </c>
      <c r="E2" s="284"/>
      <c r="F2" s="284"/>
      <c r="G2" s="284"/>
      <c r="H2" s="284"/>
      <c r="I2" s="284"/>
      <c r="J2" s="284"/>
      <c r="K2" s="284"/>
      <c r="L2" s="284"/>
      <c r="M2" s="284"/>
    </row>
    <row r="3" spans="1:18" ht="23.25" x14ac:dyDescent="0.35">
      <c r="C3" s="544"/>
      <c r="D3" s="544"/>
      <c r="E3" s="544"/>
      <c r="F3" s="544"/>
      <c r="G3" s="544"/>
      <c r="H3" s="544"/>
      <c r="I3" s="544"/>
      <c r="J3" s="544"/>
      <c r="K3" s="544"/>
      <c r="L3" s="544"/>
      <c r="M3" s="544"/>
    </row>
    <row r="4" spans="1:18" ht="23.25" x14ac:dyDescent="0.35">
      <c r="C4" s="268"/>
      <c r="D4" s="268"/>
      <c r="E4" s="268"/>
      <c r="F4" s="268"/>
      <c r="G4" s="268"/>
      <c r="H4" s="268"/>
      <c r="I4" s="268"/>
      <c r="J4" s="268"/>
      <c r="K4" s="268"/>
      <c r="L4" s="268"/>
      <c r="M4" s="268"/>
    </row>
    <row r="5" spans="1:18" ht="23.25" x14ac:dyDescent="0.35">
      <c r="C5" s="561" t="s">
        <v>18</v>
      </c>
      <c r="D5" s="561"/>
      <c r="E5" s="561"/>
      <c r="F5" s="561"/>
      <c r="G5" s="561"/>
      <c r="H5" s="561"/>
      <c r="I5" s="561"/>
      <c r="J5" s="561"/>
      <c r="K5" s="561"/>
      <c r="L5" s="561"/>
      <c r="M5" s="561"/>
    </row>
    <row r="6" spans="1:18" ht="23.25" x14ac:dyDescent="0.35">
      <c r="C6" s="269"/>
      <c r="D6" s="269"/>
      <c r="E6" s="527" t="str">
        <f>IFERROR(CONCATENATE("Report Number: ", WorkItemNumber),"")</f>
        <v/>
      </c>
      <c r="F6" s="527"/>
      <c r="G6" s="527"/>
      <c r="H6" s="527"/>
      <c r="I6" s="527"/>
      <c r="J6" s="527"/>
      <c r="K6" s="527"/>
      <c r="L6" s="269"/>
      <c r="M6" s="269"/>
    </row>
    <row r="7" spans="1:18" ht="18.75" customHeight="1" x14ac:dyDescent="0.3">
      <c r="G7" s="539"/>
      <c r="H7" s="539"/>
      <c r="I7" s="243"/>
      <c r="R7" t="str">
        <f>CONCATENATE("Page ",Main!L9," of ",Main!L10)</f>
        <v xml:space="preserve">Page  of </v>
      </c>
    </row>
    <row r="8" spans="1:18" ht="18" customHeight="1" x14ac:dyDescent="0.25">
      <c r="G8" s="556"/>
      <c r="H8" s="556"/>
      <c r="J8" s="106"/>
      <c r="K8" s="270" t="s">
        <v>349</v>
      </c>
      <c r="L8" s="540">
        <f>FormNumber</f>
        <v>0</v>
      </c>
      <c r="M8" s="540"/>
      <c r="N8" s="540"/>
      <c r="O8" s="540"/>
    </row>
    <row r="9" spans="1:18" ht="18" customHeight="1" x14ac:dyDescent="0.25">
      <c r="A9" s="270" t="s">
        <v>306</v>
      </c>
      <c r="B9" s="38" t="e">
        <f>Main!D5</f>
        <v>#N/A</v>
      </c>
      <c r="J9" s="106"/>
      <c r="K9" s="270" t="s">
        <v>350</v>
      </c>
      <c r="L9" s="541">
        <f>CalMethod</f>
        <v>0</v>
      </c>
      <c r="M9" s="541"/>
      <c r="N9" s="541"/>
      <c r="O9" s="541"/>
    </row>
    <row r="10" spans="1:18" ht="18" customHeight="1" x14ac:dyDescent="0.25">
      <c r="A10" s="118"/>
      <c r="B10" s="265" t="str" cm="1">
        <f t="array" ref="B10">IFERROR(_xlfn.XLOOKUP(clientCompanyId,customers_table[company_id],customers_table[Address1]),"")</f>
        <v/>
      </c>
      <c r="J10" s="106"/>
      <c r="K10" s="270"/>
      <c r="L10" s="541"/>
      <c r="M10" s="541"/>
      <c r="N10" s="541"/>
      <c r="O10" s="541"/>
    </row>
    <row r="11" spans="1:18" ht="18" customHeight="1" x14ac:dyDescent="0.25">
      <c r="A11" s="118"/>
      <c r="B11" s="265" t="str" cm="1">
        <f t="array" ref="B11">IFERROR(_xlfn.XLOOKUP(clientCompanyId,customers_table[company_id],customers_table[Merged]),"")</f>
        <v/>
      </c>
      <c r="J11" s="106"/>
      <c r="K11" s="270" t="s">
        <v>351</v>
      </c>
      <c r="L11" s="540">
        <f>TolSource</f>
        <v>0</v>
      </c>
      <c r="M11" s="540"/>
      <c r="N11" s="540"/>
      <c r="O11" s="540"/>
    </row>
    <row r="12" spans="1:18" ht="18" customHeight="1" x14ac:dyDescent="0.25">
      <c r="A12" s="118"/>
      <c r="B12" s="265" t="str">
        <f>IF(AddressLine3,AddressLine3,"")</f>
        <v/>
      </c>
      <c r="J12" s="106"/>
      <c r="K12" s="270"/>
      <c r="L12" s="271"/>
      <c r="M12" s="271"/>
      <c r="N12" s="271"/>
      <c r="O12" s="271"/>
    </row>
    <row r="13" spans="1:18" ht="8.1" customHeight="1" x14ac:dyDescent="0.2">
      <c r="A13" s="118"/>
      <c r="K13" s="258"/>
    </row>
    <row r="14" spans="1:18" ht="18" customHeight="1" x14ac:dyDescent="0.25">
      <c r="A14" s="275" t="s">
        <v>307</v>
      </c>
      <c r="B14" s="272">
        <f>Item</f>
        <v>0</v>
      </c>
      <c r="C14" s="273"/>
      <c r="D14" s="273"/>
      <c r="E14" s="273"/>
      <c r="F14" s="247"/>
      <c r="G14" s="261" t="s">
        <v>312</v>
      </c>
      <c r="H14" s="272">
        <f>Range</f>
        <v>0</v>
      </c>
      <c r="I14" s="247"/>
      <c r="J14" s="247"/>
      <c r="K14" s="247"/>
      <c r="L14" s="247"/>
      <c r="M14" s="261" t="s">
        <v>317</v>
      </c>
      <c r="N14" s="272" t="str">
        <f>Main!D7</f>
        <v>Jeff Hall</v>
      </c>
      <c r="O14" s="248"/>
    </row>
    <row r="15" spans="1:18" ht="18" customHeight="1" x14ac:dyDescent="0.25">
      <c r="A15" s="276" t="s">
        <v>308</v>
      </c>
      <c r="B15" s="274">
        <f>ModelNumber</f>
        <v>0</v>
      </c>
      <c r="C15" s="265"/>
      <c r="D15" s="265"/>
      <c r="E15" s="265"/>
      <c r="G15" s="270" t="s">
        <v>313</v>
      </c>
      <c r="H15" s="274">
        <f>Tolerance</f>
        <v>0</v>
      </c>
      <c r="M15" s="270" t="s">
        <v>318</v>
      </c>
      <c r="N15" s="278">
        <f>Main!D3</f>
        <v>0</v>
      </c>
      <c r="O15" s="249"/>
    </row>
    <row r="16" spans="1:18" ht="18" customHeight="1" x14ac:dyDescent="0.25">
      <c r="A16" s="276" t="s">
        <v>309</v>
      </c>
      <c r="B16" s="558">
        <f>SerialNumber</f>
        <v>0</v>
      </c>
      <c r="C16" s="558"/>
      <c r="D16" s="558"/>
      <c r="E16" s="558"/>
      <c r="G16" s="270" t="s">
        <v>314</v>
      </c>
      <c r="H16" s="274">
        <f>HeatingMethod</f>
        <v>0</v>
      </c>
      <c r="M16" s="270" t="s">
        <v>319</v>
      </c>
      <c r="N16" s="278" t="e">
        <f>IF(CalInterval="N/A", "N/A", EDATE(N15, CHOOSE(MATCH(CalInterval, {"M","2 Mo","Q","4 Mo","6 Mo","A","2Yr","3Yr"}, 0), 1, 2, 3, 4, 6, 12, 24, 36)))</f>
        <v>#N/A</v>
      </c>
      <c r="O16" s="249"/>
    </row>
    <row r="17" spans="1:19" ht="18" customHeight="1" x14ac:dyDescent="0.25">
      <c r="A17" s="276" t="s">
        <v>310</v>
      </c>
      <c r="B17" s="299">
        <f>UnitNumber</f>
        <v>0</v>
      </c>
      <c r="C17" s="265"/>
      <c r="D17" s="265"/>
      <c r="E17" s="265"/>
      <c r="G17" s="270" t="s">
        <v>315</v>
      </c>
      <c r="H17" s="274">
        <f>WorkingZoneSize</f>
        <v>0</v>
      </c>
      <c r="M17" s="270" t="str">
        <f>IF(Main!K13="","","PO:")</f>
        <v/>
      </c>
      <c r="N17" s="274" t="str">
        <f>IF(Main!K13="","",Main!K13)</f>
        <v/>
      </c>
      <c r="O17" s="249"/>
    </row>
    <row r="18" spans="1:19" ht="18" customHeight="1" x14ac:dyDescent="0.25">
      <c r="A18" s="276" t="s">
        <v>311</v>
      </c>
      <c r="B18" s="547">
        <f>Class</f>
        <v>0</v>
      </c>
      <c r="C18" s="547"/>
      <c r="D18" s="547"/>
      <c r="E18" s="547"/>
      <c r="G18" s="270" t="s">
        <v>316</v>
      </c>
      <c r="H18" s="274">
        <f>CubicFeet</f>
        <v>0</v>
      </c>
      <c r="M18" s="270" t="s">
        <v>320</v>
      </c>
      <c r="N18" s="274" t="str">
        <f>Main!G18</f>
        <v>ACCEPTED</v>
      </c>
      <c r="O18" s="249"/>
    </row>
    <row r="19" spans="1:19" ht="18" customHeight="1" x14ac:dyDescent="0.25">
      <c r="A19" s="260"/>
      <c r="B19" s="548"/>
      <c r="C19" s="548"/>
      <c r="D19" s="548"/>
      <c r="E19" s="548"/>
      <c r="F19" s="250"/>
      <c r="G19" s="262"/>
      <c r="H19" s="277"/>
      <c r="I19" s="250"/>
      <c r="J19" s="250"/>
      <c r="K19" s="250"/>
      <c r="L19" s="250"/>
      <c r="M19" s="262"/>
      <c r="N19" s="277"/>
      <c r="O19" s="251"/>
    </row>
    <row r="20" spans="1:19" ht="8.1" customHeight="1" x14ac:dyDescent="0.2">
      <c r="A20" s="44"/>
      <c r="B20" s="254"/>
      <c r="C20" s="254"/>
      <c r="D20" s="254"/>
      <c r="N20" s="257"/>
    </row>
    <row r="21" spans="1:19" ht="18" customHeight="1" x14ac:dyDescent="0.25">
      <c r="A21" s="275" t="s">
        <v>321</v>
      </c>
      <c r="B21" s="559">
        <f>Controller</f>
        <v>0</v>
      </c>
      <c r="C21" s="559"/>
      <c r="D21" s="559"/>
      <c r="E21" s="559"/>
      <c r="F21" s="261" t="s">
        <v>323</v>
      </c>
      <c r="G21" s="559">
        <f>ContSN</f>
        <v>0</v>
      </c>
      <c r="H21" s="559"/>
      <c r="I21" s="559"/>
      <c r="J21" s="261" t="s">
        <v>324</v>
      </c>
      <c r="K21" s="273">
        <f>ContTol</f>
        <v>0</v>
      </c>
      <c r="L21" s="247"/>
      <c r="M21" s="261" t="s">
        <v>325</v>
      </c>
      <c r="N21" s="286" t="str">
        <f>Main!G27</f>
        <v/>
      </c>
      <c r="O21" s="248"/>
    </row>
    <row r="22" spans="1:19" ht="18" customHeight="1" x14ac:dyDescent="0.25">
      <c r="A22" s="279" t="s">
        <v>322</v>
      </c>
      <c r="B22" s="560">
        <f>_xlnm.Recorder</f>
        <v>0</v>
      </c>
      <c r="C22" s="560"/>
      <c r="D22" s="560"/>
      <c r="E22" s="560"/>
      <c r="F22" s="262" t="s">
        <v>323</v>
      </c>
      <c r="G22" s="560">
        <f>RecSN</f>
        <v>0</v>
      </c>
      <c r="H22" s="560"/>
      <c r="I22" s="560"/>
      <c r="J22" s="262" t="s">
        <v>324</v>
      </c>
      <c r="K22" s="285">
        <f>RecTol</f>
        <v>0</v>
      </c>
      <c r="L22" s="250"/>
      <c r="M22" s="262" t="s">
        <v>325</v>
      </c>
      <c r="N22" s="287" t="str">
        <f>Main!G28</f>
        <v/>
      </c>
      <c r="O22" s="251"/>
    </row>
    <row r="23" spans="1:19" ht="8.1" customHeight="1" x14ac:dyDescent="0.25">
      <c r="A23" s="106"/>
      <c r="B23" s="265"/>
      <c r="C23" s="265"/>
      <c r="D23" s="265"/>
      <c r="E23" s="254"/>
    </row>
    <row r="24" spans="1:19" ht="18" customHeight="1" x14ac:dyDescent="0.25">
      <c r="A24" s="275" t="s">
        <v>326</v>
      </c>
      <c r="B24" s="281">
        <f>Temperature</f>
        <v>0</v>
      </c>
      <c r="C24" s="273"/>
      <c r="D24" s="273"/>
      <c r="E24" s="255"/>
      <c r="F24" s="247"/>
      <c r="G24" s="261" t="s">
        <v>329</v>
      </c>
      <c r="H24" s="263">
        <f>Main!D26</f>
        <v>0</v>
      </c>
      <c r="I24" s="247"/>
      <c r="J24" s="247"/>
      <c r="K24" s="247"/>
      <c r="L24" s="259"/>
      <c r="M24" s="261" t="s">
        <v>332</v>
      </c>
      <c r="N24" s="273" t="str">
        <f ca="1">TEXT(Access_Data!D33,"0.0") &amp; "°F / " &amp; TEXT(Access_Data!H33,"0.0") &amp; "°F"</f>
        <v>0.0°F / 0.0°F</v>
      </c>
      <c r="O24" s="248"/>
    </row>
    <row r="25" spans="1:19" ht="18" customHeight="1" x14ac:dyDescent="0.25">
      <c r="A25" s="276" t="s">
        <v>327</v>
      </c>
      <c r="B25" s="282">
        <f>Main!D15</f>
        <v>0</v>
      </c>
      <c r="C25" s="265"/>
      <c r="D25" s="265"/>
      <c r="E25" s="254"/>
      <c r="G25" s="270" t="s">
        <v>330</v>
      </c>
      <c r="H25" s="264" t="str">
        <f>Main!E29</f>
        <v/>
      </c>
      <c r="L25" s="106"/>
      <c r="M25" s="270" t="s">
        <v>333</v>
      </c>
      <c r="N25" s="265" t="str">
        <f>IF(Main!H15=TRUE,Main!G17,"VERIFY LOAD!!!")</f>
        <v/>
      </c>
      <c r="O25" s="249"/>
      <c r="R25" s="175"/>
      <c r="S25" s="100"/>
    </row>
    <row r="26" spans="1:19" ht="18" customHeight="1" x14ac:dyDescent="0.25">
      <c r="A26" s="276" t="s">
        <v>328</v>
      </c>
      <c r="B26" s="265" t="s">
        <v>298</v>
      </c>
      <c r="C26" s="265"/>
      <c r="D26" s="265"/>
      <c r="E26" s="254"/>
      <c r="G26" s="270" t="s">
        <v>331</v>
      </c>
      <c r="H26" s="265" t="str">
        <f>Main!I19</f>
        <v>N/A</v>
      </c>
      <c r="L26" s="106"/>
      <c r="M26" s="270" t="s">
        <v>919</v>
      </c>
      <c r="N26" s="265" t="e">
        <f ca="1">TEXT(Access_Data!K33,"0.0") &amp; "°F"</f>
        <v>#VALUE!</v>
      </c>
      <c r="O26" s="249"/>
    </row>
    <row r="27" spans="1:19" ht="18" customHeight="1" x14ac:dyDescent="0.2">
      <c r="A27" s="280"/>
      <c r="B27" s="250"/>
      <c r="C27" s="557" t="s">
        <v>334</v>
      </c>
      <c r="D27" s="557"/>
      <c r="E27" s="557"/>
      <c r="F27" s="557"/>
      <c r="G27" s="557"/>
      <c r="H27" s="557"/>
      <c r="I27" s="557"/>
      <c r="J27" s="557"/>
      <c r="K27" s="557"/>
      <c r="L27" s="557"/>
      <c r="M27" s="557"/>
      <c r="N27" s="250"/>
      <c r="O27" s="251"/>
    </row>
    <row r="28" spans="1:19" ht="8.1" customHeight="1" x14ac:dyDescent="0.2"/>
    <row r="29" spans="1:19" ht="18" customHeight="1" x14ac:dyDescent="0.2">
      <c r="A29" s="553" t="s">
        <v>304</v>
      </c>
      <c r="B29" s="554"/>
      <c r="C29" s="555"/>
      <c r="D29" s="553" t="s">
        <v>335</v>
      </c>
      <c r="E29" s="554"/>
      <c r="F29" s="554"/>
      <c r="G29" s="555"/>
      <c r="H29" s="553" t="s">
        <v>305</v>
      </c>
      <c r="I29" s="554"/>
      <c r="J29" s="554"/>
      <c r="K29" s="555"/>
      <c r="L29" s="553" t="s">
        <v>286</v>
      </c>
      <c r="M29" s="554"/>
      <c r="N29" s="554"/>
      <c r="O29" s="555"/>
    </row>
    <row r="30" spans="1:19" ht="18" customHeight="1" x14ac:dyDescent="0.2">
      <c r="A30" s="266"/>
      <c r="B30" s="256">
        <f>TestLocation</f>
        <v>0</v>
      </c>
      <c r="C30" s="267"/>
      <c r="D30" s="550" t="str">
        <f>CONCATENATE(Main!D22,"°F"," / ",Main!D23,"% RH")</f>
        <v>°F / % RH</v>
      </c>
      <c r="E30" s="551"/>
      <c r="F30" s="551"/>
      <c r="G30" s="552"/>
      <c r="H30" s="550">
        <f>OvenLocation</f>
        <v>0</v>
      </c>
      <c r="I30" s="551"/>
      <c r="J30" s="551"/>
      <c r="K30" s="552"/>
      <c r="L30" s="550">
        <f>Condition</f>
        <v>0</v>
      </c>
      <c r="M30" s="551"/>
      <c r="N30" s="551"/>
      <c r="O30" s="552"/>
    </row>
    <row r="31" spans="1:19" ht="18" customHeight="1" x14ac:dyDescent="0.2"/>
    <row r="32" spans="1:19" ht="18" customHeight="1" x14ac:dyDescent="0.25">
      <c r="A32" s="289" t="s">
        <v>336</v>
      </c>
      <c r="B32" s="542" t="s">
        <v>337</v>
      </c>
      <c r="C32" s="542"/>
      <c r="D32" s="289" t="s">
        <v>300</v>
      </c>
      <c r="E32" s="289" t="s">
        <v>299</v>
      </c>
      <c r="F32" s="289" t="s">
        <v>338</v>
      </c>
      <c r="G32" s="106"/>
      <c r="H32" s="106"/>
      <c r="I32" s="289" t="s">
        <v>336</v>
      </c>
      <c r="J32" s="542" t="s">
        <v>337</v>
      </c>
      <c r="K32" s="542"/>
      <c r="L32" s="289" t="s">
        <v>300</v>
      </c>
      <c r="M32" s="289" t="s">
        <v>299</v>
      </c>
      <c r="N32" s="289" t="s">
        <v>338</v>
      </c>
    </row>
    <row r="33" spans="1:14" ht="18" customHeight="1" x14ac:dyDescent="0.2">
      <c r="A33" s="290" t="str">
        <f>IF(B33="","",1)</f>
        <v/>
      </c>
      <c r="B33" s="539" t="str">
        <f>IF(Main!O5="","",Main!O5)</f>
        <v/>
      </c>
      <c r="C33" s="539"/>
      <c r="D33" s="291" t="str">
        <f ca="1">IF(Access_Data!B27="","",Access_Data!B27)</f>
        <v/>
      </c>
      <c r="E33" s="291" t="str">
        <f ca="1">IF(Access_Data!B29="","",Access_Data!B29)</f>
        <v/>
      </c>
      <c r="F33" s="291" t="str">
        <f ca="1">IF(Access_Data!B31="","",Access_Data!B31)</f>
        <v/>
      </c>
      <c r="G33" s="106"/>
      <c r="H33" s="106"/>
      <c r="I33" s="290" t="str">
        <f>IF(J33="","",21)</f>
        <v/>
      </c>
      <c r="J33" s="539" t="str">
        <f>IF(Main!O25="","",Main!O25)</f>
        <v/>
      </c>
      <c r="K33" s="539"/>
      <c r="L33" s="291" t="str">
        <f ca="1">IF(Access_Data!AB27="","",Access_Data!AB27)</f>
        <v/>
      </c>
      <c r="M33" s="291" t="str">
        <f ca="1">IF(Access_Data!AB29="","",Access_Data!AB29)</f>
        <v/>
      </c>
      <c r="N33" s="291" t="str">
        <f ca="1">IF(Access_Data!AB31="","",Access_Data!AB31)</f>
        <v/>
      </c>
    </row>
    <row r="34" spans="1:14" ht="18" customHeight="1" x14ac:dyDescent="0.2">
      <c r="A34" s="290" t="str">
        <f>IF(B34="","",2)</f>
        <v/>
      </c>
      <c r="B34" s="539" t="str">
        <f>IF(Main!O6="","",Main!O6)</f>
        <v/>
      </c>
      <c r="C34" s="539"/>
      <c r="D34" s="291" t="str">
        <f ca="1">IF(Access_Data!C27="","",Access_Data!C27)</f>
        <v/>
      </c>
      <c r="E34" s="291" t="str">
        <f ca="1">IF(Access_Data!C29="","",Access_Data!C29)</f>
        <v/>
      </c>
      <c r="F34" s="291" t="str">
        <f ca="1">IF(Access_Data!C31="","",Access_Data!C31)</f>
        <v/>
      </c>
      <c r="G34" s="106"/>
      <c r="H34" s="106"/>
      <c r="I34" s="290" t="str">
        <f>IF(J34="","",22)</f>
        <v/>
      </c>
      <c r="J34" s="539" t="str">
        <f>IF(Main!O26="","",Main!O26)</f>
        <v/>
      </c>
      <c r="K34" s="539"/>
      <c r="L34" s="291" t="str">
        <f ca="1">IF(Access_Data!AC27="","",Access_Data!AC27)</f>
        <v/>
      </c>
      <c r="M34" s="291" t="str">
        <f ca="1">IF(Access_Data!AC29="","",Access_Data!AC29)</f>
        <v/>
      </c>
      <c r="N34" s="291" t="str">
        <f ca="1">IF(Access_Data!AC31="","",Access_Data!AC31)</f>
        <v/>
      </c>
    </row>
    <row r="35" spans="1:14" ht="18" customHeight="1" x14ac:dyDescent="0.2">
      <c r="A35" s="290" t="str">
        <f>IF(B35="","",3)</f>
        <v/>
      </c>
      <c r="B35" s="539" t="str">
        <f>IF(Main!O7="","",Main!O7)</f>
        <v/>
      </c>
      <c r="C35" s="539"/>
      <c r="D35" s="291" t="str">
        <f ca="1">IF(Access_Data!D27="","",Access_Data!D27)</f>
        <v/>
      </c>
      <c r="E35" s="291" t="str">
        <f ca="1">IF(Access_Data!D29="","",Access_Data!D29)</f>
        <v/>
      </c>
      <c r="F35" s="291" t="str">
        <f ca="1">IF(Access_Data!D31="","",Access_Data!D31)</f>
        <v/>
      </c>
      <c r="G35" s="106"/>
      <c r="H35" s="106"/>
      <c r="I35" s="290" t="str">
        <f>IF(J35="","",23)</f>
        <v/>
      </c>
      <c r="J35" s="539" t="str">
        <f>IF(Main!O27="","",Main!O27)</f>
        <v/>
      </c>
      <c r="K35" s="539"/>
      <c r="L35" s="291" t="str">
        <f ca="1">IF(Access_Data!AD27="","",Access_Data!AD27)</f>
        <v/>
      </c>
      <c r="M35" s="291" t="str">
        <f ca="1">IF(Access_Data!AD29="","",Access_Data!AD29)</f>
        <v/>
      </c>
      <c r="N35" s="291" t="str">
        <f ca="1">IF(Access_Data!AD31="","",Access_Data!AD31)</f>
        <v/>
      </c>
    </row>
    <row r="36" spans="1:14" ht="18" customHeight="1" x14ac:dyDescent="0.2">
      <c r="A36" s="290" t="str">
        <f>IF(B36="","",4)</f>
        <v/>
      </c>
      <c r="B36" s="539" t="str">
        <f>IF(Main!O8="","",Main!O8)</f>
        <v/>
      </c>
      <c r="C36" s="539"/>
      <c r="D36" s="291" t="str">
        <f ca="1">IF(Access_Data!E27="","",Access_Data!E27)</f>
        <v/>
      </c>
      <c r="E36" s="291" t="str">
        <f ca="1">IF(Access_Data!E29="","",Access_Data!E29)</f>
        <v/>
      </c>
      <c r="F36" s="291" t="str">
        <f ca="1">IF(Access_Data!E31="","",Access_Data!E31)</f>
        <v/>
      </c>
      <c r="G36" s="106"/>
      <c r="H36" s="106"/>
      <c r="I36" s="290" t="str">
        <f>IF(J36="","",24)</f>
        <v/>
      </c>
      <c r="J36" s="539" t="str">
        <f>IF(Main!O28="","",Main!O28)</f>
        <v/>
      </c>
      <c r="K36" s="539"/>
      <c r="L36" s="291" t="str">
        <f ca="1">IF(Access_Data!AE27="","",Access_Data!AE27)</f>
        <v/>
      </c>
      <c r="M36" s="291" t="str">
        <f ca="1">IF(Access_Data!AE29="","",Access_Data!AE29)</f>
        <v/>
      </c>
      <c r="N36" s="291" t="str">
        <f ca="1">IF(Access_Data!AE31="","",Access_Data!AE31)</f>
        <v/>
      </c>
    </row>
    <row r="37" spans="1:14" ht="18" customHeight="1" x14ac:dyDescent="0.2">
      <c r="A37" s="290" t="str">
        <f>IF(B37="","",5)</f>
        <v/>
      </c>
      <c r="B37" s="539" t="str">
        <f>IF(Main!O9="","",Main!O9)</f>
        <v/>
      </c>
      <c r="C37" s="539"/>
      <c r="D37" s="291" t="str">
        <f ca="1">IF(Access_Data!F27="","",Access_Data!F27)</f>
        <v/>
      </c>
      <c r="E37" s="291" t="str">
        <f ca="1">IF(Access_Data!F29="","",Access_Data!F29)</f>
        <v/>
      </c>
      <c r="F37" s="291" t="str">
        <f ca="1">IF(Access_Data!F31="","",Access_Data!F31)</f>
        <v/>
      </c>
      <c r="G37" s="106"/>
      <c r="H37" s="106"/>
      <c r="I37" s="290" t="str">
        <f>IF(J37="","",25)</f>
        <v/>
      </c>
      <c r="J37" s="539" t="str">
        <f>IF(Main!O29="","",Main!O29)</f>
        <v/>
      </c>
      <c r="K37" s="539"/>
      <c r="L37" s="291" t="str">
        <f ca="1">IF(Access_Data!AF27="","",Access_Data!AF27)</f>
        <v/>
      </c>
      <c r="M37" s="291" t="str">
        <f ca="1">IF(Access_Data!AF29="","",Access_Data!AF29)</f>
        <v/>
      </c>
      <c r="N37" s="291" t="str">
        <f ca="1">IF(Access_Data!AF31="","",Access_Data!AF31)</f>
        <v/>
      </c>
    </row>
    <row r="38" spans="1:14" ht="18" customHeight="1" x14ac:dyDescent="0.2">
      <c r="A38" s="290" t="str">
        <f>IF(B38="","",6)</f>
        <v/>
      </c>
      <c r="B38" s="539" t="str">
        <f>IF(Main!O10="","",Main!O10)</f>
        <v/>
      </c>
      <c r="C38" s="539"/>
      <c r="D38" s="291" t="str">
        <f ca="1">IF(Access_Data!G27="","",Access_Data!G27)</f>
        <v/>
      </c>
      <c r="E38" s="291" t="str">
        <f ca="1">IF(Access_Data!G29="","",Access_Data!G29)</f>
        <v/>
      </c>
      <c r="F38" s="291" t="str">
        <f ca="1">IF(Access_Data!G31="","",Access_Data!G31)</f>
        <v/>
      </c>
      <c r="G38" s="106"/>
      <c r="H38" s="106"/>
      <c r="I38" s="290" t="str">
        <f>IF(J38="","",26)</f>
        <v/>
      </c>
      <c r="J38" s="539" t="str">
        <f>IF(Main!O30="","",Main!O30)</f>
        <v/>
      </c>
      <c r="K38" s="539"/>
      <c r="L38" s="291" t="str">
        <f ca="1">IF(Access_Data!AG27="","",Access_Data!AG27)</f>
        <v/>
      </c>
      <c r="M38" s="291" t="str">
        <f ca="1">IF(Access_Data!AG29="","",Access_Data!AG29)</f>
        <v/>
      </c>
      <c r="N38" s="291" t="str">
        <f ca="1">IF(Access_Data!AG31="","",Access_Data!AG31)</f>
        <v/>
      </c>
    </row>
    <row r="39" spans="1:14" ht="18" customHeight="1" x14ac:dyDescent="0.2">
      <c r="A39" s="290" t="str">
        <f>IF(B39="","",7)</f>
        <v/>
      </c>
      <c r="B39" s="539" t="str">
        <f>IF(Main!O11="","",Main!O11)</f>
        <v/>
      </c>
      <c r="C39" s="539"/>
      <c r="D39" s="291" t="str">
        <f ca="1">IF(Access_Data!H27="","",Access_Data!H27)</f>
        <v/>
      </c>
      <c r="E39" s="291" t="str">
        <f ca="1">IF(Access_Data!H29="","",Access_Data!H29)</f>
        <v/>
      </c>
      <c r="F39" s="291" t="str">
        <f ca="1">IF(Access_Data!H31="","",Access_Data!H31)</f>
        <v/>
      </c>
      <c r="G39" s="106"/>
      <c r="H39" s="106"/>
      <c r="I39" s="290" t="str">
        <f>IF(J39="","",27)</f>
        <v/>
      </c>
      <c r="J39" s="539" t="str">
        <f>IF(Main!O31="","",Main!O31)</f>
        <v/>
      </c>
      <c r="K39" s="539"/>
      <c r="L39" s="291" t="str">
        <f ca="1">IF(Access_Data!AH27="","",Access_Data!AH27)</f>
        <v/>
      </c>
      <c r="M39" s="291" t="str">
        <f ca="1">IF(Access_Data!AH29="","",Access_Data!AH29)</f>
        <v/>
      </c>
      <c r="N39" s="291" t="str">
        <f ca="1">IF(Access_Data!AH31="","",Access_Data!AH31)</f>
        <v/>
      </c>
    </row>
    <row r="40" spans="1:14" ht="18" customHeight="1" x14ac:dyDescent="0.2">
      <c r="A40" s="290" t="str">
        <f>IF(B40="","",8)</f>
        <v/>
      </c>
      <c r="B40" s="539" t="str">
        <f>IF(Main!O12="","",Main!O12)</f>
        <v/>
      </c>
      <c r="C40" s="539"/>
      <c r="D40" s="291" t="str">
        <f ca="1">IF(Access_Data!I27="","",Access_Data!I27)</f>
        <v/>
      </c>
      <c r="E40" s="291" t="str">
        <f ca="1">IF(Access_Data!I29="","",Access_Data!I29)</f>
        <v/>
      </c>
      <c r="F40" s="291" t="str">
        <f ca="1">IF(Access_Data!I31="","",Access_Data!I31)</f>
        <v/>
      </c>
      <c r="G40" s="106"/>
      <c r="H40" s="106"/>
      <c r="I40" s="290" t="str">
        <f>IF(J40="","",28)</f>
        <v/>
      </c>
      <c r="J40" s="539" t="str">
        <f>IF(Main!O32="","",Main!O32)</f>
        <v/>
      </c>
      <c r="K40" s="539"/>
      <c r="L40" s="291" t="str">
        <f ca="1">IF(Access_Data!AI27="","",Access_Data!AI27)</f>
        <v/>
      </c>
      <c r="M40" s="291" t="str">
        <f ca="1">IF(Access_Data!AI29="","",Access_Data!AI29)</f>
        <v/>
      </c>
      <c r="N40" s="291" t="str">
        <f ca="1">IF(Access_Data!AI31="","",Access_Data!AI31)</f>
        <v/>
      </c>
    </row>
    <row r="41" spans="1:14" ht="18" customHeight="1" x14ac:dyDescent="0.2">
      <c r="A41" s="290" t="str">
        <f>IF(B41="","",9)</f>
        <v/>
      </c>
      <c r="B41" s="539" t="str">
        <f>IF(Main!O13="","",Main!O13)</f>
        <v/>
      </c>
      <c r="C41" s="539"/>
      <c r="D41" s="291" t="str">
        <f ca="1">IF(Access_Data!J27="","",Access_Data!J27)</f>
        <v/>
      </c>
      <c r="E41" s="291" t="str">
        <f ca="1">IF(Access_Data!J29="","",Access_Data!J29)</f>
        <v/>
      </c>
      <c r="F41" s="291" t="str">
        <f ca="1">IF(Access_Data!J31="","",Access_Data!J31)</f>
        <v/>
      </c>
      <c r="G41" s="106"/>
      <c r="H41" s="106"/>
      <c r="I41" s="290" t="str">
        <f>IF(J41="","",29)</f>
        <v/>
      </c>
      <c r="J41" s="539" t="str">
        <f>IF(Main!O33="","",Main!O33)</f>
        <v/>
      </c>
      <c r="K41" s="539"/>
      <c r="L41" s="291" t="str">
        <f ca="1">IF(Access_Data!AP27="","",Access_Data!AP27)</f>
        <v/>
      </c>
      <c r="M41" s="291" t="str">
        <f ca="1">IF(Access_Data!AP29="","",Access_Data!AP29)</f>
        <v/>
      </c>
      <c r="N41" s="291" t="str">
        <f ca="1">IF(Access_Data!AP31="","",Access_Data!AP31)</f>
        <v/>
      </c>
    </row>
    <row r="42" spans="1:14" ht="18" customHeight="1" x14ac:dyDescent="0.2">
      <c r="A42" s="290" t="str">
        <f>IF(B42="","",10)</f>
        <v/>
      </c>
      <c r="B42" s="539" t="str">
        <f>IF(Main!O14="","",Main!O14)</f>
        <v/>
      </c>
      <c r="C42" s="539"/>
      <c r="D42" s="291" t="str">
        <f ca="1">IF(Access_Data!K27="","",Access_Data!K27)</f>
        <v/>
      </c>
      <c r="E42" s="291" t="str">
        <f ca="1">IF(Access_Data!K29="","",Access_Data!K29)</f>
        <v/>
      </c>
      <c r="F42" s="291" t="str">
        <f ca="1">IF(Access_Data!K31="","",Access_Data!K31)</f>
        <v/>
      </c>
      <c r="G42" s="106"/>
      <c r="H42" s="106"/>
      <c r="I42" s="290" t="str">
        <f>IF(J42="","",30)</f>
        <v/>
      </c>
      <c r="J42" s="539" t="str">
        <f>IF(Main!O34="","",Main!O34)</f>
        <v/>
      </c>
      <c r="K42" s="539"/>
      <c r="L42" s="291" t="str">
        <f ca="1">IF(Access_Data!AQ27="","",Access_Data!AQ27)</f>
        <v/>
      </c>
      <c r="M42" s="291" t="str">
        <f ca="1">IF(Access_Data!AQ29="","",Access_Data!AQ29)</f>
        <v/>
      </c>
      <c r="N42" s="291">
        <f ca="1">IF(Access_Data!AQ31="","",Access_Data!AQ31)</f>
        <v>0</v>
      </c>
    </row>
    <row r="43" spans="1:14" ht="18" customHeight="1" x14ac:dyDescent="0.2">
      <c r="A43" s="290" t="str">
        <f>IF(B43="","",11)</f>
        <v/>
      </c>
      <c r="B43" s="539" t="str">
        <f>IF(Main!O15="","",Main!O15)</f>
        <v/>
      </c>
      <c r="C43" s="539"/>
      <c r="D43" s="291" t="str">
        <f ca="1">IF(Access_Data!L27="","",Access_Data!L27)</f>
        <v/>
      </c>
      <c r="E43" s="291" t="str">
        <f ca="1">IF(Access_Data!L29="","",Access_Data!L29)</f>
        <v/>
      </c>
      <c r="F43" s="291" t="str">
        <f ca="1">IF(Access_Data!L31="","",Access_Data!L31)</f>
        <v/>
      </c>
      <c r="G43" s="106"/>
      <c r="H43" s="106"/>
      <c r="I43" s="290" t="str">
        <f>IF(J43="","",31)</f>
        <v/>
      </c>
      <c r="J43" s="539" t="str">
        <f>IF(Main!O35="","",Main!O35)</f>
        <v/>
      </c>
      <c r="K43" s="539"/>
      <c r="L43" s="291" t="str">
        <f ca="1">IF(Access_Data!AR27="","",Access_Data!AR27)</f>
        <v/>
      </c>
      <c r="M43" s="291" t="str">
        <f ca="1">IF(Access_Data!AR29="","",Access_Data!AR29)</f>
        <v/>
      </c>
      <c r="N43" s="291">
        <f ca="1">IF(Access_Data!AR31="","",Access_Data!AR31)</f>
        <v>0</v>
      </c>
    </row>
    <row r="44" spans="1:14" ht="18" customHeight="1" x14ac:dyDescent="0.2">
      <c r="A44" s="290" t="str">
        <f>IF(B44="","",12)</f>
        <v/>
      </c>
      <c r="B44" s="539" t="str">
        <f>IF(Main!O16="","",Main!O16)</f>
        <v/>
      </c>
      <c r="C44" s="539"/>
      <c r="D44" s="291" t="str">
        <f ca="1">IF(Access_Data!M27="","",Access_Data!M27)</f>
        <v/>
      </c>
      <c r="E44" s="291" t="str">
        <f ca="1">IF(Access_Data!M29="","",Access_Data!M29)</f>
        <v/>
      </c>
      <c r="F44" s="291" t="str">
        <f ca="1">IF(Access_Data!M31="","",Access_Data!M31)</f>
        <v/>
      </c>
      <c r="G44" s="106"/>
      <c r="H44" s="106"/>
      <c r="I44" s="290" t="str">
        <f>IF(J44="","",32)</f>
        <v/>
      </c>
      <c r="J44" s="539" t="str">
        <f>IF(Main!O36="","",Main!O36)</f>
        <v/>
      </c>
      <c r="K44" s="539"/>
      <c r="L44" s="291" t="str">
        <f ca="1">IF(Access_Data!AS27="","",Access_Data!AS27)</f>
        <v/>
      </c>
      <c r="M44" s="291" t="str">
        <f ca="1">IF(Access_Data!AS29="","",Access_Data!AS29)</f>
        <v/>
      </c>
      <c r="N44" s="291">
        <f ca="1">IF(Access_Data!AS31="","",Access_Data!AS31)</f>
        <v>0</v>
      </c>
    </row>
    <row r="45" spans="1:14" ht="18" customHeight="1" x14ac:dyDescent="0.2">
      <c r="A45" s="290" t="str">
        <f>IF(B45="","",13)</f>
        <v/>
      </c>
      <c r="B45" s="539" t="str">
        <f>IF(Main!O17="","",Main!O17)</f>
        <v/>
      </c>
      <c r="C45" s="539"/>
      <c r="D45" s="291" t="str">
        <f ca="1">IF(Access_Data!N27="","",Access_Data!N27)</f>
        <v/>
      </c>
      <c r="E45" s="291" t="str">
        <f ca="1">IF(Access_Data!N29="","",Access_Data!N29)</f>
        <v/>
      </c>
      <c r="F45" s="291" t="str">
        <f ca="1">IF(Access_Data!N31="","",Access_Data!N31)</f>
        <v/>
      </c>
      <c r="G45" s="106"/>
      <c r="H45" s="106"/>
      <c r="I45" s="290" t="str">
        <f>IF(J45="","",33)</f>
        <v/>
      </c>
      <c r="J45" s="539" t="str">
        <f>IF(Main!O37="","",Main!O37)</f>
        <v/>
      </c>
      <c r="K45" s="539"/>
      <c r="L45" s="291" t="str">
        <f ca="1">IF(Access_Data!AT27="","",Access_Data!AT27)</f>
        <v/>
      </c>
      <c r="M45" s="291" t="str">
        <f ca="1">IF(Access_Data!AT29="","",Access_Data!AT29)</f>
        <v/>
      </c>
      <c r="N45" s="291">
        <f ca="1">IF(Access_Data!AT31="","",Access_Data!AT31)</f>
        <v>0</v>
      </c>
    </row>
    <row r="46" spans="1:14" ht="18" customHeight="1" x14ac:dyDescent="0.2">
      <c r="A46" s="290" t="str">
        <f>IF(B46="","",14)</f>
        <v/>
      </c>
      <c r="B46" s="539" t="str">
        <f>IF(Main!O18="","",Main!O18)</f>
        <v/>
      </c>
      <c r="C46" s="539"/>
      <c r="D46" s="291" t="str">
        <f ca="1">IF(Access_Data!O27="","",Access_Data!O27)</f>
        <v/>
      </c>
      <c r="E46" s="291" t="str">
        <f ca="1">IF(Access_Data!O29="","",Access_Data!O29)</f>
        <v/>
      </c>
      <c r="F46" s="291" t="str">
        <f ca="1">IF(Access_Data!O31="","",Access_Data!O31)</f>
        <v/>
      </c>
      <c r="G46" s="106"/>
      <c r="H46" s="106"/>
      <c r="I46" s="290" t="str">
        <f>IF(J46="","",34)</f>
        <v/>
      </c>
      <c r="J46" s="539" t="str">
        <f>IF(Main!O38="","",Main!O38)</f>
        <v/>
      </c>
      <c r="K46" s="539"/>
      <c r="L46" s="291" t="str">
        <f ca="1">IF(Access_Data!AU27="","",Access_Data!AU27)</f>
        <v/>
      </c>
      <c r="M46" s="291" t="str">
        <f ca="1">IF(Access_Data!AU29="","",Access_Data!AU29)</f>
        <v/>
      </c>
      <c r="N46" s="291">
        <f ca="1">IF(Access_Data!AU31="","",Access_Data!AU31)</f>
        <v>0</v>
      </c>
    </row>
    <row r="47" spans="1:14" ht="18" customHeight="1" x14ac:dyDescent="0.2">
      <c r="A47" s="290" t="str">
        <f>IF(B47="","",15)</f>
        <v/>
      </c>
      <c r="B47" s="539" t="str">
        <f>IF(Main!O19="","",Main!O19)</f>
        <v/>
      </c>
      <c r="C47" s="539"/>
      <c r="D47" s="291" t="str">
        <f ca="1">IF(Access_Data!V27="","",Access_Data!V27)</f>
        <v/>
      </c>
      <c r="E47" s="291" t="str">
        <f ca="1">IF(Access_Data!V29="","",Access_Data!V29)</f>
        <v/>
      </c>
      <c r="F47" s="291" t="str">
        <f ca="1">IF(Access_Data!V31="","",Access_Data!V31)</f>
        <v/>
      </c>
      <c r="G47" s="106"/>
      <c r="H47" s="106"/>
      <c r="I47" s="290" t="str">
        <f>IF(J47="","",35)</f>
        <v/>
      </c>
      <c r="J47" s="539" t="str">
        <f>IF(Main!O39="","",Main!O39)</f>
        <v/>
      </c>
      <c r="K47" s="539"/>
      <c r="L47" s="291" t="str">
        <f ca="1">IF(Access_Data!AV27="","",Access_Data!AV27)</f>
        <v/>
      </c>
      <c r="M47" s="291" t="str">
        <f ca="1">IF(Access_Data!AV29="","",Access_Data!AV29)</f>
        <v/>
      </c>
      <c r="N47" s="291">
        <f ca="1">IF(Access_Data!AV31="","",Access_Data!AV31)</f>
        <v>0</v>
      </c>
    </row>
    <row r="48" spans="1:14" ht="18" customHeight="1" x14ac:dyDescent="0.2">
      <c r="A48" s="290" t="str">
        <f>IF(B48="","",16)</f>
        <v/>
      </c>
      <c r="B48" s="539" t="str">
        <f>IF(Main!O20="","",Main!O20)</f>
        <v/>
      </c>
      <c r="C48" s="539"/>
      <c r="D48" s="291" t="str">
        <f ca="1">IF(Access_Data!W27="","",Access_Data!W27)</f>
        <v/>
      </c>
      <c r="E48" s="291" t="str">
        <f ca="1">IF(Access_Data!W29="","",Access_Data!W29)</f>
        <v/>
      </c>
      <c r="F48" s="291" t="str">
        <f ca="1">IF(Access_Data!W31="","",Access_Data!W31)</f>
        <v/>
      </c>
      <c r="G48" s="106"/>
      <c r="H48" s="106"/>
      <c r="I48" s="290" t="str">
        <f>IF(J48="","",36)</f>
        <v/>
      </c>
      <c r="J48" s="539" t="str">
        <f>IF(Main!O40="","",Main!O40)</f>
        <v/>
      </c>
      <c r="K48" s="539"/>
      <c r="L48" s="291" t="str">
        <f ca="1">IF(Access_Data!AW27="","",Access_Data!AW27)</f>
        <v/>
      </c>
      <c r="M48" s="291" t="str">
        <f ca="1">IF(Access_Data!AW29="","",Access_Data!AW29)</f>
        <v/>
      </c>
      <c r="N48" s="291">
        <f ca="1">IF(Access_Data!AW31="","",Access_Data!AW31)</f>
        <v>0</v>
      </c>
    </row>
    <row r="49" spans="1:20" ht="18" customHeight="1" x14ac:dyDescent="0.2">
      <c r="A49" s="290" t="str">
        <f>IF(B49="","",17)</f>
        <v/>
      </c>
      <c r="B49" s="539" t="str">
        <f>IF(Main!O21="","",Main!O21)</f>
        <v/>
      </c>
      <c r="C49" s="539"/>
      <c r="D49" s="291" t="str">
        <f ca="1">IF(Access_Data!X27="","",Access_Data!X27)</f>
        <v/>
      </c>
      <c r="E49" s="291" t="str">
        <f ca="1">IF(Access_Data!X29="","",Access_Data!X29)</f>
        <v/>
      </c>
      <c r="F49" s="291" t="str">
        <f ca="1">IF(Access_Data!X31="","",Access_Data!X31)</f>
        <v/>
      </c>
      <c r="G49" s="106"/>
      <c r="H49" s="106"/>
      <c r="I49" s="290" t="str">
        <f>IF(J49="","",37)</f>
        <v/>
      </c>
      <c r="J49" s="539" t="str">
        <f>IF(Main!O41="","",Main!O41)</f>
        <v/>
      </c>
      <c r="K49" s="539"/>
      <c r="L49" s="291" t="str">
        <f ca="1">IF(Access_Data!AX27="","",Access_Data!AX27)</f>
        <v/>
      </c>
      <c r="M49" s="291" t="str">
        <f ca="1">IF(Access_Data!AX29="","",Access_Data!AX29)</f>
        <v/>
      </c>
      <c r="N49" s="291">
        <f ca="1">IF(Access_Data!AX31="","",Access_Data!AX31)</f>
        <v>0</v>
      </c>
    </row>
    <row r="50" spans="1:20" ht="18" customHeight="1" x14ac:dyDescent="0.2">
      <c r="A50" s="290" t="str">
        <f>IF(B50="","",18)</f>
        <v/>
      </c>
      <c r="B50" s="539" t="str">
        <f>IF(Main!O22="","",Main!O22)</f>
        <v/>
      </c>
      <c r="C50" s="539"/>
      <c r="D50" s="291" t="str">
        <f ca="1">IF(Access_Data!Y27="","",Access_Data!Y27)</f>
        <v/>
      </c>
      <c r="E50" s="291" t="str">
        <f ca="1">IF(Access_Data!Y29="","",Access_Data!Y29)</f>
        <v/>
      </c>
      <c r="F50" s="291" t="str">
        <f ca="1">IF(Access_Data!Y31="","",Access_Data!Y31)</f>
        <v/>
      </c>
      <c r="G50" s="106"/>
      <c r="H50" s="106"/>
      <c r="I50" s="290" t="str">
        <f>IF(J50="","",38)</f>
        <v/>
      </c>
      <c r="J50" s="539" t="str">
        <f>IF(Main!O42="","",Main!O42)</f>
        <v/>
      </c>
      <c r="K50" s="539"/>
      <c r="L50" s="291" t="str">
        <f ca="1">IF(Access_Data!AY27="","",Access_Data!AY27)</f>
        <v/>
      </c>
      <c r="M50" s="291" t="str">
        <f ca="1">IF(Access_Data!AY29="","",Access_Data!AY29)</f>
        <v/>
      </c>
      <c r="N50" s="291">
        <f ca="1">IF(Access_Data!AY31="","",Access_Data!AY31)</f>
        <v>0</v>
      </c>
    </row>
    <row r="51" spans="1:20" ht="18" customHeight="1" x14ac:dyDescent="0.2">
      <c r="A51" s="290" t="str">
        <f>IF(B51="","",19)</f>
        <v/>
      </c>
      <c r="B51" s="539" t="str">
        <f>IF(Main!O23="","",Main!O23)</f>
        <v/>
      </c>
      <c r="C51" s="539"/>
      <c r="D51" s="291" t="str">
        <f ca="1">IF(Access_Data!Z27="","",Access_Data!X27)</f>
        <v/>
      </c>
      <c r="E51" s="291" t="str">
        <f ca="1">IF(Access_Data!Z29="","",Access_Data!Z29)</f>
        <v/>
      </c>
      <c r="F51" s="291" t="str">
        <f ca="1">IF(Access_Data!Z31="","",Access_Data!Z31)</f>
        <v/>
      </c>
      <c r="G51" s="106"/>
      <c r="H51" s="106"/>
      <c r="I51" s="290" t="str">
        <f>IF(J51="","",39)</f>
        <v/>
      </c>
      <c r="J51" s="539" t="str">
        <f>IF(Main!O43="","",Main!O43)</f>
        <v/>
      </c>
      <c r="K51" s="539"/>
      <c r="L51" s="291" t="str">
        <f ca="1">IF(Access_Data!AZ27="","",Access_Data!AZ27)</f>
        <v/>
      </c>
      <c r="M51" s="291" t="str">
        <f ca="1">IF(Access_Data!AZ29="","",Access_Data!AZ29)</f>
        <v/>
      </c>
      <c r="N51" s="291">
        <f ca="1">IF(Access_Data!AZ31="","",Access_Data!AZ31)</f>
        <v>0</v>
      </c>
    </row>
    <row r="52" spans="1:20" ht="18" customHeight="1" x14ac:dyDescent="0.2">
      <c r="A52" s="290" t="str">
        <f>IF(B52="","",20)</f>
        <v/>
      </c>
      <c r="B52" s="539" t="str">
        <f>IF(Main!O24="","",Main!O24)</f>
        <v/>
      </c>
      <c r="C52" s="539"/>
      <c r="D52" s="291" t="str">
        <f ca="1">IF(Access_Data!AA27="","",Access_Data!AA27)</f>
        <v/>
      </c>
      <c r="E52" s="291" t="str">
        <f ca="1">IF(Access_Data!AA29="","",Access_Data!AA29)</f>
        <v/>
      </c>
      <c r="F52" s="291" t="str">
        <f ca="1">IF(Access_Data!AA31="","",Access_Data!AA31)</f>
        <v/>
      </c>
      <c r="G52" s="106"/>
      <c r="H52" s="106"/>
      <c r="I52" s="290" t="str">
        <f>IF(J52="","",40)</f>
        <v/>
      </c>
      <c r="J52" s="539" t="str">
        <f>IF(Main!O44="","",Main!O44)</f>
        <v/>
      </c>
      <c r="K52" s="539"/>
      <c r="L52" s="291" t="str">
        <f ca="1">IF(Access_Data!BA27="","",Access_Data!BA27)</f>
        <v/>
      </c>
      <c r="M52" s="291" t="str">
        <f ca="1">IF(Access_Data!BA29="","",Access_Data!BA29)</f>
        <v/>
      </c>
      <c r="N52" s="291">
        <f ca="1">IF(Access_Data!BA31="","",Access_Data!BA31)</f>
        <v>0</v>
      </c>
    </row>
    <row r="53" spans="1:20" ht="18" customHeight="1" x14ac:dyDescent="0.2">
      <c r="B53" s="546" t="s">
        <v>339</v>
      </c>
      <c r="C53" s="546"/>
      <c r="D53" s="546"/>
      <c r="E53" s="546"/>
      <c r="F53" s="546"/>
      <c r="G53" s="546"/>
      <c r="H53" s="546"/>
      <c r="I53" s="546"/>
      <c r="J53" s="546"/>
      <c r="K53" s="546"/>
      <c r="L53" s="546"/>
      <c r="M53" s="546"/>
      <c r="N53" s="546"/>
    </row>
    <row r="54" spans="1:20" ht="18" customHeight="1" x14ac:dyDescent="0.25">
      <c r="A54" s="292" t="s">
        <v>340</v>
      </c>
      <c r="B54" s="541" t="str">
        <f>CONCATENATE(Main!G23,"  ",FurnaceSpecificComments)</f>
        <v xml:space="preserve">Found in tolerance.  No adjustment required.  </v>
      </c>
      <c r="C54" s="541"/>
      <c r="D54" s="541"/>
      <c r="E54" s="541"/>
      <c r="F54" s="541"/>
      <c r="G54" s="541"/>
      <c r="H54" s="541"/>
      <c r="I54" s="541"/>
      <c r="J54" s="541"/>
      <c r="K54" s="541"/>
      <c r="L54" s="541"/>
      <c r="M54" s="541"/>
      <c r="N54" s="541"/>
      <c r="O54" s="541"/>
    </row>
    <row r="55" spans="1:20" ht="18" customHeight="1" x14ac:dyDescent="0.25">
      <c r="A55" s="103"/>
      <c r="B55" s="541"/>
      <c r="C55" s="541"/>
      <c r="D55" s="541"/>
      <c r="E55" s="541"/>
      <c r="F55" s="541"/>
      <c r="G55" s="541"/>
      <c r="H55" s="541"/>
      <c r="I55" s="541"/>
      <c r="J55" s="541"/>
      <c r="K55" s="541"/>
      <c r="L55" s="541"/>
      <c r="M55" s="541"/>
      <c r="N55" s="541"/>
      <c r="O55" s="541"/>
    </row>
    <row r="56" spans="1:20" ht="18" customHeight="1" x14ac:dyDescent="0.25">
      <c r="A56" s="103"/>
      <c r="B56" s="541"/>
      <c r="C56" s="541"/>
      <c r="D56" s="541"/>
      <c r="E56" s="541"/>
      <c r="F56" s="541"/>
      <c r="G56" s="541"/>
      <c r="H56" s="541"/>
      <c r="I56" s="541"/>
      <c r="J56" s="541"/>
      <c r="K56" s="541"/>
      <c r="L56" s="541"/>
      <c r="M56" s="541"/>
      <c r="N56" s="541"/>
      <c r="O56" s="541"/>
    </row>
    <row r="57" spans="1:20" ht="18" customHeight="1" x14ac:dyDescent="0.25">
      <c r="A57" s="103"/>
      <c r="B57" s="541"/>
      <c r="C57" s="541"/>
      <c r="D57" s="541"/>
      <c r="E57" s="541"/>
      <c r="F57" s="541"/>
      <c r="G57" s="541"/>
      <c r="H57" s="541"/>
      <c r="I57" s="541"/>
      <c r="J57" s="541"/>
      <c r="K57" s="541"/>
      <c r="L57" s="541"/>
      <c r="M57" s="541"/>
      <c r="N57" s="541"/>
      <c r="O57" s="541"/>
    </row>
    <row r="58" spans="1:20" ht="18" customHeight="1" x14ac:dyDescent="0.25">
      <c r="A58" s="103"/>
      <c r="B58" s="541"/>
      <c r="C58" s="541"/>
      <c r="D58" s="541"/>
      <c r="E58" s="541"/>
      <c r="F58" s="541"/>
      <c r="G58" s="541"/>
      <c r="H58" s="541"/>
      <c r="I58" s="541"/>
      <c r="J58" s="541"/>
      <c r="K58" s="541"/>
      <c r="L58" s="541"/>
      <c r="M58" s="541"/>
      <c r="N58" s="541"/>
      <c r="O58" s="541"/>
    </row>
    <row r="59" spans="1:20" ht="18" customHeight="1" x14ac:dyDescent="0.25">
      <c r="A59" s="103"/>
      <c r="B59" s="541"/>
      <c r="C59" s="541"/>
      <c r="D59" s="541"/>
      <c r="E59" s="541"/>
      <c r="F59" s="541"/>
      <c r="G59" s="541"/>
      <c r="H59" s="541"/>
      <c r="I59" s="541"/>
      <c r="J59" s="541"/>
      <c r="K59" s="541"/>
      <c r="L59" s="541"/>
      <c r="M59" s="541"/>
      <c r="N59" s="541"/>
      <c r="O59" s="541"/>
    </row>
    <row r="60" spans="1:20" ht="18" customHeight="1" x14ac:dyDescent="0.2">
      <c r="A60" s="545" t="s">
        <v>348</v>
      </c>
      <c r="B60" s="545"/>
      <c r="C60" s="545"/>
      <c r="D60" s="545"/>
      <c r="E60" s="545"/>
      <c r="F60" s="545"/>
      <c r="G60" s="545"/>
      <c r="H60" s="545"/>
      <c r="I60" s="545"/>
      <c r="J60" s="545"/>
      <c r="K60" s="545"/>
      <c r="L60" s="545"/>
      <c r="M60" s="545"/>
      <c r="N60" s="545"/>
      <c r="O60" s="545"/>
    </row>
    <row r="61" spans="1:20" ht="18" customHeight="1" x14ac:dyDescent="0.2">
      <c r="A61" s="549" t="s">
        <v>341</v>
      </c>
      <c r="B61" s="549"/>
      <c r="C61" s="549"/>
      <c r="D61" s="549"/>
      <c r="E61" s="549"/>
      <c r="F61" s="538" t="s">
        <v>342</v>
      </c>
      <c r="G61" s="538"/>
      <c r="H61" s="538"/>
      <c r="I61" s="538" t="s">
        <v>343</v>
      </c>
      <c r="J61" s="538"/>
      <c r="K61" s="538" t="s">
        <v>344</v>
      </c>
      <c r="L61" s="538"/>
      <c r="M61" s="538" t="s">
        <v>345</v>
      </c>
      <c r="N61" s="538"/>
      <c r="O61" s="538"/>
      <c r="R61" s="44" t="s">
        <v>912</v>
      </c>
      <c r="T61" s="44" t="s">
        <v>913</v>
      </c>
    </row>
    <row r="62" spans="1:20" ht="18" customHeight="1" x14ac:dyDescent="0.2">
      <c r="A62" s="528" t="str">
        <f>IF(F62="","",CONCATENATE(T62," - ",R62))</f>
        <v/>
      </c>
      <c r="B62" s="529"/>
      <c r="C62" s="529"/>
      <c r="D62" s="529"/>
      <c r="E62" s="530"/>
      <c r="F62" s="528" t="str" cm="1">
        <f t="array" ref="F62">IFERROR(
  _xlfn.XLOOKUP(
    Main!D9,
    _xlfn._xlws.FILTER(AssetPool[asset_tag], AssetPool[root_category_name]="DAQ Modules"),
    _xlfn._xlws.FILTER(AssetPool[serial_number], AssetPool[root_category_name]="DAQ Modules")
  ),
  ""
)</f>
        <v/>
      </c>
      <c r="G62" s="529"/>
      <c r="H62" s="530"/>
      <c r="I62" s="534" t="str">
        <f>IF(F62="","",Main!D12)</f>
        <v/>
      </c>
      <c r="J62" s="535"/>
      <c r="K62" s="534" t="str">
        <f>IF(F62="","",Main!D13)</f>
        <v/>
      </c>
      <c r="L62" s="535"/>
      <c r="M62" s="563" t="str">
        <f>IF(F62="","",REPLACE(Main!D14,3,1,""))</f>
        <v/>
      </c>
      <c r="N62" s="564"/>
      <c r="O62" s="565"/>
      <c r="Q62" t="str">
        <f>IF(CERT!F62="","",1)</f>
        <v/>
      </c>
      <c r="R62" s="247" t="str">
        <f>IF(Main!D9="", "", _xlfn.XLOOKUP(Main!D9,AssetPool[asset_tag],AssetPool[manufacturer_part_number]))</f>
        <v/>
      </c>
      <c r="T62" s="247" t="str">
        <f>IF(Main!D9="", "", _xlfn.XLOOKUP(Main!D9,AssetPool[asset_tag],AssetPool[category_name]))</f>
        <v/>
      </c>
    </row>
    <row r="63" spans="1:20" ht="18" customHeight="1" x14ac:dyDescent="0.2">
      <c r="A63" s="531" t="str">
        <f t="shared" ref="A63:A68" si="0">IF(Q63="","",CONCATENATE(T63," - ",R63))</f>
        <v/>
      </c>
      <c r="B63" s="532"/>
      <c r="C63" s="532"/>
      <c r="D63" s="532"/>
      <c r="E63" s="533"/>
      <c r="F63" s="531" t="str">
        <f>IF(Main!D48,Main!D48,"")</f>
        <v/>
      </c>
      <c r="G63" s="532"/>
      <c r="H63" s="533"/>
      <c r="I63" s="536" t="str">
        <f>IF(Q63="","",Main!D49)</f>
        <v/>
      </c>
      <c r="J63" s="537"/>
      <c r="K63" s="536" t="str">
        <f>IF(Q63="","",Main!D50)</f>
        <v/>
      </c>
      <c r="L63" s="537"/>
      <c r="M63" s="531" t="str">
        <f>IF(Q63="","",Main!D54)</f>
        <v/>
      </c>
      <c r="N63" s="532"/>
      <c r="O63" s="533"/>
      <c r="Q63" t="str">
        <f>IF(CERT!F63="","",2)</f>
        <v/>
      </c>
      <c r="R63" s="247" t="str">
        <f>IFERROR(_xlfn.XLOOKUP(F63,AssetPool[serial_number],AssetPool[manufacturer_part_number]),"")</f>
        <v>Generic 3436</v>
      </c>
      <c r="T63" s="247" t="str">
        <f>IFERROR(_xlfn.XLOOKUP(F63,AssetPool[serial_number],AssetPool[category_name]),"")</f>
        <v>TC Wire</v>
      </c>
    </row>
    <row r="64" spans="1:20" ht="18" customHeight="1" x14ac:dyDescent="0.2">
      <c r="A64" s="531" t="str">
        <f t="shared" si="0"/>
        <v/>
      </c>
      <c r="B64" s="532"/>
      <c r="C64" s="532"/>
      <c r="D64" s="532"/>
      <c r="E64" s="533"/>
      <c r="F64" s="531" t="str">
        <f>IF(Main!E48,Main!E48,"")</f>
        <v/>
      </c>
      <c r="G64" s="532"/>
      <c r="H64" s="533"/>
      <c r="I64" s="536" t="str">
        <f>IF(Q64="","",Main!E49)</f>
        <v/>
      </c>
      <c r="J64" s="537"/>
      <c r="K64" s="536" t="str">
        <f>IF(Q64="","",Main!E50)</f>
        <v/>
      </c>
      <c r="L64" s="537"/>
      <c r="M64" s="531" t="str">
        <f>IF(Q64="","",Main!E54)</f>
        <v/>
      </c>
      <c r="N64" s="532"/>
      <c r="O64" s="533"/>
      <c r="Q64" t="str">
        <f>IF(CERT!F64="","",3)</f>
        <v/>
      </c>
      <c r="R64" s="247" t="str">
        <f>IFERROR(_xlfn.XLOOKUP(F64,AssetPool[serial_number],AssetPool[manufacturer_part_number]),"")</f>
        <v>Generic 3436</v>
      </c>
      <c r="T64" s="247" t="str">
        <f>IFERROR(_xlfn.XLOOKUP(F64,AssetPool[serial_number],AssetPool[category_name]),"")</f>
        <v>TC Wire</v>
      </c>
    </row>
    <row r="65" spans="1:20" ht="18" customHeight="1" x14ac:dyDescent="0.2">
      <c r="A65" s="531" t="str">
        <f t="shared" si="0"/>
        <v/>
      </c>
      <c r="B65" s="532"/>
      <c r="C65" s="532"/>
      <c r="D65" s="532"/>
      <c r="E65" s="533"/>
      <c r="F65" s="531" t="str">
        <f>IF(Main!F48,Main!F48,"")</f>
        <v/>
      </c>
      <c r="G65" s="532"/>
      <c r="H65" s="533"/>
      <c r="I65" s="536" t="str">
        <f>IF(Q65="","",Main!F49)</f>
        <v/>
      </c>
      <c r="J65" s="537"/>
      <c r="K65" s="536" t="str">
        <f>IF(Q65="","",Main!F50)</f>
        <v/>
      </c>
      <c r="L65" s="537"/>
      <c r="M65" s="531" t="str">
        <f>IF(Q65="","",Main!F54)</f>
        <v/>
      </c>
      <c r="N65" s="532"/>
      <c r="O65" s="533"/>
      <c r="Q65" t="str">
        <f>IF(CERT!F65="","",4)</f>
        <v/>
      </c>
      <c r="R65" s="247" t="str">
        <f>IFERROR(_xlfn.XLOOKUP(F65,AssetPool[serial_number],AssetPool[manufacturer_part_number]),"")</f>
        <v>Generic 3436</v>
      </c>
      <c r="T65" s="247" t="str">
        <f>IFERROR(_xlfn.XLOOKUP(F65,AssetPool[serial_number],AssetPool[category_name]),"")</f>
        <v>TC Wire</v>
      </c>
    </row>
    <row r="66" spans="1:20" ht="18" customHeight="1" x14ac:dyDescent="0.2">
      <c r="A66" s="531" t="str">
        <f t="shared" si="0"/>
        <v/>
      </c>
      <c r="B66" s="532"/>
      <c r="C66" s="532"/>
      <c r="D66" s="532"/>
      <c r="E66" s="533"/>
      <c r="F66" s="531" t="str">
        <f>IF(Main!G48,Main!G48,"")</f>
        <v/>
      </c>
      <c r="G66" s="532"/>
      <c r="H66" s="533"/>
      <c r="I66" s="536" t="str">
        <f>IF(Q66="","",Main!G49)</f>
        <v/>
      </c>
      <c r="J66" s="537"/>
      <c r="K66" s="536" t="str">
        <f>IF(Q66="","",Main!G50)</f>
        <v/>
      </c>
      <c r="L66" s="537"/>
      <c r="M66" s="531" t="str">
        <f>IF(Q66="","",Main!G54)</f>
        <v/>
      </c>
      <c r="N66" s="532"/>
      <c r="O66" s="533"/>
      <c r="Q66" t="str">
        <f>IF(CERT!F66="","",5)</f>
        <v/>
      </c>
      <c r="R66" s="247" t="str">
        <f>IFERROR(_xlfn.XLOOKUP(F66,AssetPool[serial_number],AssetPool[manufacturer_part_number]),"")</f>
        <v>Generic 3436</v>
      </c>
      <c r="T66" s="247" t="str">
        <f>IFERROR(_xlfn.XLOOKUP(F66,AssetPool[serial_number],AssetPool[category_name]),"")</f>
        <v>TC Wire</v>
      </c>
    </row>
    <row r="67" spans="1:20" ht="18" customHeight="1" x14ac:dyDescent="0.2">
      <c r="A67" s="531" t="str">
        <f t="shared" si="0"/>
        <v/>
      </c>
      <c r="B67" s="532"/>
      <c r="C67" s="532"/>
      <c r="D67" s="532"/>
      <c r="E67" s="533"/>
      <c r="F67" s="531" t="str">
        <f>IF(Main!H48,Main!H48,"")</f>
        <v/>
      </c>
      <c r="G67" s="532"/>
      <c r="H67" s="533"/>
      <c r="I67" s="536" t="str">
        <f>IF(Q67="","",Main!H49)</f>
        <v/>
      </c>
      <c r="J67" s="537"/>
      <c r="K67" s="536" t="str">
        <f>IF(Q67="","",Main!H50)</f>
        <v/>
      </c>
      <c r="L67" s="537"/>
      <c r="M67" s="531" t="str">
        <f>IF(Q67="","",Main!H54)</f>
        <v/>
      </c>
      <c r="N67" s="532"/>
      <c r="O67" s="533"/>
      <c r="Q67" t="str">
        <f>IF(CERT!F67="","",6)</f>
        <v/>
      </c>
      <c r="R67" s="247" t="str">
        <f>IFERROR(_xlfn.XLOOKUP(F67,AssetPool[serial_number],AssetPool[manufacturer_part_number]),"")</f>
        <v>Generic 3436</v>
      </c>
      <c r="T67" s="247" t="str">
        <f>IFERROR(_xlfn.XLOOKUP(F67,AssetPool[serial_number],AssetPool[category_name]),"")</f>
        <v>TC Wire</v>
      </c>
    </row>
    <row r="68" spans="1:20" ht="18" customHeight="1" x14ac:dyDescent="0.2">
      <c r="A68" s="531" t="str">
        <f t="shared" si="0"/>
        <v/>
      </c>
      <c r="B68" s="532"/>
      <c r="C68" s="532"/>
      <c r="D68" s="532"/>
      <c r="E68" s="533"/>
      <c r="F68" s="531" t="str">
        <f>IF(Main!I48,Main!I48,"")</f>
        <v/>
      </c>
      <c r="G68" s="532"/>
      <c r="H68" s="533"/>
      <c r="I68" s="536" t="str">
        <f>IF(Q68="","",Main!I49)</f>
        <v/>
      </c>
      <c r="J68" s="537"/>
      <c r="K68" s="536" t="str">
        <f>IF(Q68="","",Main!I50)</f>
        <v/>
      </c>
      <c r="L68" s="537"/>
      <c r="M68" s="531" t="str">
        <f>IF(Q68="","",Main!I54)</f>
        <v/>
      </c>
      <c r="N68" s="532"/>
      <c r="O68" s="533"/>
      <c r="Q68" t="str">
        <f>IF(CERT!F68="","",7)</f>
        <v/>
      </c>
      <c r="R68" s="247" t="str">
        <f>IFERROR(_xlfn.XLOOKUP(F68,AssetPool[serial_number],AssetPool[manufacturer_part_number]),"")</f>
        <v>Generic 3436</v>
      </c>
      <c r="T68" s="247" t="str">
        <f>IFERROR(_xlfn.XLOOKUP(F68,AssetPool[serial_number],AssetPool[category_name]),"")</f>
        <v>TC Wire</v>
      </c>
    </row>
    <row r="69" spans="1:20" ht="18" customHeight="1" x14ac:dyDescent="0.2">
      <c r="A69" s="550" t="str">
        <f>IF(T69="","",CONCATENATE(T69," - ",R69))</f>
        <v/>
      </c>
      <c r="B69" s="551"/>
      <c r="C69" s="551"/>
      <c r="D69" s="551"/>
      <c r="E69" s="552"/>
      <c r="F69" s="566" t="str">
        <f>IF(W69,W69,"")</f>
        <v/>
      </c>
      <c r="G69" s="567"/>
      <c r="H69" s="568"/>
      <c r="I69" s="569"/>
      <c r="J69" s="570"/>
      <c r="K69" s="569"/>
      <c r="L69" s="570"/>
      <c r="M69" s="550"/>
      <c r="N69" s="551"/>
      <c r="O69" s="552"/>
    </row>
    <row r="70" spans="1:20" ht="18" customHeight="1" x14ac:dyDescent="0.2">
      <c r="B70" s="252"/>
      <c r="C70" s="252"/>
      <c r="D70" s="252"/>
      <c r="E70" s="252"/>
      <c r="F70" s="252"/>
      <c r="G70" s="252"/>
      <c r="H70" s="252"/>
      <c r="I70" s="253"/>
      <c r="J70" s="253"/>
      <c r="K70" s="253"/>
      <c r="L70" s="253"/>
      <c r="M70" s="252"/>
      <c r="N70" s="252"/>
      <c r="O70" s="252"/>
    </row>
    <row r="71" spans="1:20" ht="18" customHeight="1" x14ac:dyDescent="0.2">
      <c r="A71" s="562" t="s">
        <v>401</v>
      </c>
      <c r="B71" s="562"/>
      <c r="C71" s="562"/>
      <c r="D71" s="562"/>
      <c r="E71" s="562"/>
      <c r="F71" s="562"/>
      <c r="G71" s="562"/>
      <c r="H71" s="562"/>
      <c r="I71" s="562"/>
      <c r="J71" s="562"/>
      <c r="K71" s="562"/>
      <c r="L71" s="562"/>
      <c r="M71" s="562"/>
      <c r="N71" s="562"/>
      <c r="O71" s="562"/>
    </row>
    <row r="72" spans="1:20" ht="18" customHeight="1" x14ac:dyDescent="0.2">
      <c r="A72" s="562"/>
      <c r="B72" s="562"/>
      <c r="C72" s="562"/>
      <c r="D72" s="562"/>
      <c r="E72" s="562"/>
      <c r="F72" s="562"/>
      <c r="G72" s="562"/>
      <c r="H72" s="562"/>
      <c r="I72" s="562"/>
      <c r="J72" s="562"/>
      <c r="K72" s="562"/>
      <c r="L72" s="562"/>
      <c r="M72" s="562"/>
      <c r="N72" s="562"/>
      <c r="O72" s="562"/>
    </row>
    <row r="73" spans="1:20" ht="18" customHeight="1" x14ac:dyDescent="0.2">
      <c r="A73" s="562"/>
      <c r="B73" s="562"/>
      <c r="C73" s="562"/>
      <c r="D73" s="562"/>
      <c r="E73" s="562"/>
      <c r="F73" s="562"/>
      <c r="G73" s="562"/>
      <c r="H73" s="562"/>
      <c r="I73" s="562"/>
      <c r="J73" s="562"/>
      <c r="K73" s="562"/>
      <c r="L73" s="562"/>
      <c r="M73" s="562"/>
      <c r="N73" s="562"/>
      <c r="O73" s="562"/>
    </row>
    <row r="74" spans="1:20" ht="18" customHeight="1" x14ac:dyDescent="0.2"/>
    <row r="75" spans="1:20" ht="18" customHeight="1" x14ac:dyDescent="0.2"/>
    <row r="76" spans="1:20" ht="18" customHeight="1" x14ac:dyDescent="0.2"/>
    <row r="77" spans="1:20" ht="18" customHeight="1" x14ac:dyDescent="0.2"/>
    <row r="78" spans="1:20" ht="18" customHeight="1" x14ac:dyDescent="0.2">
      <c r="I78" s="106"/>
    </row>
    <row r="79" spans="1:20" ht="18" customHeight="1" x14ac:dyDescent="0.2"/>
    <row r="80" spans="1:20" ht="18" customHeight="1" x14ac:dyDescent="0.2">
      <c r="A80" s="288" t="s">
        <v>346</v>
      </c>
      <c r="N80" s="288" t="s">
        <v>347</v>
      </c>
    </row>
    <row r="81" ht="15" customHeight="1" x14ac:dyDescent="0.2"/>
    <row r="82" ht="15" customHeight="1" x14ac:dyDescent="0.2"/>
  </sheetData>
  <sheetProtection algorithmName="SHA-512" hashValue="OWNDB83+lnJ8qlCUaxqxRgouJPf6cm9qPCdPphiMlZp+UuxYLNLatNUe0QbOZiHXK5/ayf4+ALpeTKxLpJXy0A==" saltValue="Dp3ldLpSByFNU6Whcw9t+Q==" spinCount="100000" sheet="1" objects="1" scenarios="1" autoFilter="0"/>
  <dataConsolidate/>
  <mergeCells count="114">
    <mergeCell ref="A71:O73"/>
    <mergeCell ref="M63:O63"/>
    <mergeCell ref="M62:O62"/>
    <mergeCell ref="A69:E69"/>
    <mergeCell ref="A68:E68"/>
    <mergeCell ref="A67:E67"/>
    <mergeCell ref="A66:E66"/>
    <mergeCell ref="A65:E65"/>
    <mergeCell ref="A64:E64"/>
    <mergeCell ref="A63:E63"/>
    <mergeCell ref="A62:E62"/>
    <mergeCell ref="M64:O64"/>
    <mergeCell ref="M69:O69"/>
    <mergeCell ref="F69:H69"/>
    <mergeCell ref="F68:H68"/>
    <mergeCell ref="F67:H67"/>
    <mergeCell ref="F66:H66"/>
    <mergeCell ref="F65:H65"/>
    <mergeCell ref="I69:J69"/>
    <mergeCell ref="I68:J68"/>
    <mergeCell ref="I67:J67"/>
    <mergeCell ref="I66:J66"/>
    <mergeCell ref="I65:J65"/>
    <mergeCell ref="K69:L69"/>
    <mergeCell ref="K68:L68"/>
    <mergeCell ref="K67:L67"/>
    <mergeCell ref="K66:L66"/>
    <mergeCell ref="K65:L65"/>
    <mergeCell ref="M68:O68"/>
    <mergeCell ref="M67:O67"/>
    <mergeCell ref="M66:O66"/>
    <mergeCell ref="M65:O65"/>
    <mergeCell ref="C5:M5"/>
    <mergeCell ref="B39:C39"/>
    <mergeCell ref="B40:C40"/>
    <mergeCell ref="B41:C41"/>
    <mergeCell ref="B32:C32"/>
    <mergeCell ref="B33:C33"/>
    <mergeCell ref="B34:C34"/>
    <mergeCell ref="B35:C35"/>
    <mergeCell ref="B36:C36"/>
    <mergeCell ref="J41:K41"/>
    <mergeCell ref="J42:K42"/>
    <mergeCell ref="J43:K43"/>
    <mergeCell ref="J44:K44"/>
    <mergeCell ref="J45:K45"/>
    <mergeCell ref="J46:K46"/>
    <mergeCell ref="J52:K52"/>
    <mergeCell ref="D1:M1"/>
    <mergeCell ref="C3:M3"/>
    <mergeCell ref="G7:H7"/>
    <mergeCell ref="A60:O60"/>
    <mergeCell ref="B53:N53"/>
    <mergeCell ref="B18:E19"/>
    <mergeCell ref="A61:E61"/>
    <mergeCell ref="D30:G30"/>
    <mergeCell ref="H29:K29"/>
    <mergeCell ref="H30:K30"/>
    <mergeCell ref="L29:O29"/>
    <mergeCell ref="L30:O30"/>
    <mergeCell ref="G8:H8"/>
    <mergeCell ref="C27:M27"/>
    <mergeCell ref="A29:C29"/>
    <mergeCell ref="D29:G29"/>
    <mergeCell ref="L9:O10"/>
    <mergeCell ref="B16:E16"/>
    <mergeCell ref="B21:E21"/>
    <mergeCell ref="B22:E22"/>
    <mergeCell ref="G21:I21"/>
    <mergeCell ref="G22:I22"/>
    <mergeCell ref="B37:C37"/>
    <mergeCell ref="B38:C38"/>
    <mergeCell ref="J34:K34"/>
    <mergeCell ref="J35:K35"/>
    <mergeCell ref="J36:K36"/>
    <mergeCell ref="J37:K37"/>
    <mergeCell ref="J38:K38"/>
    <mergeCell ref="J39:K39"/>
    <mergeCell ref="J40:K40"/>
    <mergeCell ref="B52:C52"/>
    <mergeCell ref="B47:C47"/>
    <mergeCell ref="B48:C48"/>
    <mergeCell ref="B49:C49"/>
    <mergeCell ref="B50:C50"/>
    <mergeCell ref="B51:C51"/>
    <mergeCell ref="B42:C42"/>
    <mergeCell ref="B43:C43"/>
    <mergeCell ref="B44:C44"/>
    <mergeCell ref="B45:C45"/>
    <mergeCell ref="B46:C46"/>
    <mergeCell ref="E6:K6"/>
    <mergeCell ref="F62:H62"/>
    <mergeCell ref="F63:H63"/>
    <mergeCell ref="F64:H64"/>
    <mergeCell ref="I62:J62"/>
    <mergeCell ref="I63:J63"/>
    <mergeCell ref="I64:J64"/>
    <mergeCell ref="K62:L62"/>
    <mergeCell ref="K63:L63"/>
    <mergeCell ref="K64:L64"/>
    <mergeCell ref="F61:H61"/>
    <mergeCell ref="I61:J61"/>
    <mergeCell ref="K61:L61"/>
    <mergeCell ref="J47:K47"/>
    <mergeCell ref="J48:K48"/>
    <mergeCell ref="J49:K49"/>
    <mergeCell ref="J50:K50"/>
    <mergeCell ref="J51:K51"/>
    <mergeCell ref="L8:O8"/>
    <mergeCell ref="L11:O11"/>
    <mergeCell ref="M61:O61"/>
    <mergeCell ref="B54:O59"/>
    <mergeCell ref="J32:K32"/>
    <mergeCell ref="J33:K33"/>
  </mergeCells>
  <hyperlinks>
    <hyperlink ref="A80" r:id="rId1" xr:uid="{00000000-0004-0000-0200-000000000000}"/>
    <hyperlink ref="N80" r:id="rId2" xr:uid="{00000000-0004-0000-0200-000001000000}"/>
  </hyperlinks>
  <printOptions horizontalCentered="1"/>
  <pageMargins left="0" right="0" top="0.75" bottom="0" header="0" footer="0"/>
  <pageSetup scale="52" orientation="portrait" r:id="rId3"/>
  <customProperties>
    <customPr name="%locator_row%" r:id="rId4"/>
    <customPr name="%startcell%" r:id="rId5"/>
  </customProperties>
  <ignoredErrors>
    <ignoredError sqref="D33:F52 L33:N52" evalError="1"/>
  </ignoredErrors>
  <drawing r:id="rId6"/>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FF50E5-1BAA-4F8B-B0AF-171820E934A0}">
  <sheetPr codeName="Sheet35"/>
  <dimension ref="A1:CE405"/>
  <sheetViews>
    <sheetView topLeftCell="AF1" workbookViewId="0">
      <selection activeCell="AL77" sqref="AL77"/>
    </sheetView>
  </sheetViews>
  <sheetFormatPr defaultRowHeight="12.75" x14ac:dyDescent="0.2"/>
  <cols>
    <col min="1" max="1" width="9.7109375" bestFit="1" customWidth="1"/>
    <col min="2" max="2" width="19" bestFit="1" customWidth="1"/>
    <col min="3" max="3" width="36" bestFit="1" customWidth="1"/>
    <col min="4" max="4" width="41.42578125" bestFit="1" customWidth="1"/>
    <col min="5" max="5" width="28.7109375" bestFit="1" customWidth="1"/>
    <col min="6" max="6" width="15.5703125" bestFit="1" customWidth="1"/>
    <col min="7" max="7" width="25.5703125" bestFit="1" customWidth="1"/>
    <col min="8" max="8" width="57.85546875" bestFit="1" customWidth="1"/>
    <col min="9" max="9" width="19.140625" bestFit="1" customWidth="1"/>
    <col min="10" max="10" width="34" bestFit="1" customWidth="1"/>
    <col min="11" max="11" width="36.140625" bestFit="1" customWidth="1"/>
    <col min="12" max="12" width="28.5703125" bestFit="1" customWidth="1"/>
    <col min="13" max="13" width="36" bestFit="1" customWidth="1"/>
    <col min="14" max="14" width="66.7109375" bestFit="1" customWidth="1"/>
    <col min="15" max="15" width="27.28515625" bestFit="1" customWidth="1"/>
    <col min="16" max="16" width="26.5703125" bestFit="1" customWidth="1"/>
    <col min="17" max="17" width="27.7109375" bestFit="1" customWidth="1"/>
    <col min="18" max="18" width="21.42578125" bestFit="1" customWidth="1"/>
    <col min="19" max="19" width="12.42578125" bestFit="1" customWidth="1"/>
    <col min="20" max="20" width="13.140625" bestFit="1" customWidth="1"/>
    <col min="21" max="21" width="14" bestFit="1" customWidth="1"/>
    <col min="22" max="22" width="27.7109375" bestFit="1" customWidth="1"/>
    <col min="23" max="23" width="28.140625" bestFit="1" customWidth="1"/>
    <col min="24" max="24" width="32.85546875" bestFit="1" customWidth="1"/>
    <col min="25" max="25" width="13.28515625" bestFit="1" customWidth="1"/>
    <col min="26" max="26" width="29.140625" bestFit="1" customWidth="1"/>
    <col min="27" max="27" width="24.85546875" bestFit="1" customWidth="1"/>
    <col min="28" max="28" width="32.85546875" bestFit="1" customWidth="1"/>
    <col min="29" max="29" width="81.140625" bestFit="1" customWidth="1"/>
    <col min="30" max="30" width="14.85546875" bestFit="1" customWidth="1"/>
    <col min="31" max="31" width="36.85546875" bestFit="1" customWidth="1"/>
    <col min="32" max="32" width="12" bestFit="1" customWidth="1"/>
    <col min="33" max="33" width="13.42578125" bestFit="1" customWidth="1"/>
    <col min="34" max="34" width="13.28515625" bestFit="1" customWidth="1"/>
    <col min="35" max="35" width="15.140625" bestFit="1" customWidth="1"/>
    <col min="36" max="36" width="23.140625" bestFit="1" customWidth="1"/>
    <col min="37" max="37" width="15.42578125" bestFit="1" customWidth="1"/>
    <col min="38" max="38" width="81.140625" bestFit="1" customWidth="1"/>
    <col min="39" max="39" width="37" bestFit="1" customWidth="1"/>
    <col min="40" max="40" width="12" bestFit="1" customWidth="1"/>
    <col min="41" max="44" width="16.42578125" bestFit="1" customWidth="1"/>
  </cols>
  <sheetData>
    <row r="1" spans="1:83" x14ac:dyDescent="0.2">
      <c r="A1"/>
      <c r="B1"/>
      <c r="C1"/>
      <c r="D1"/>
      <c r="E1"/>
      <c r="F1"/>
      <c r="G1"/>
      <c r="H1"/>
      <c r="I1"/>
      <c r="J1"/>
      <c r="K1"/>
      <c r="L1"/>
      <c r="M1"/>
      <c r="N1"/>
      <c r="O1"/>
      <c r="P1"/>
      <c r="Q1"/>
      <c r="R1"/>
      <c r="S1"/>
      <c r="T1"/>
      <c r="U1"/>
      <c r="V1"/>
      <c r="W1"/>
      <c r="X1"/>
      <c r="Y1"/>
      <c r="Z1"/>
      <c r="AA1"/>
      <c r="AB1"/>
      <c r="AC1"/>
      <c r="AD1"/>
      <c r="AE1"/>
      <c r="AF1"/>
      <c r="AG1"/>
      <c r="AH1"/>
      <c r="AI1"/>
      <c r="AJ1"/>
      <c r="AK1"/>
      <c r="AL1"/>
      <c r="AM1"/>
      <c r="AN1"/>
      <c r="AO1"/>
      <c r="AQ1" t="str" cm="1">
        <f t="array" ref="AQ1:CE1">Header_Info[#Headers]</f>
        <v>AssetId</v>
      </c>
      <c r="AR1" t="str">
        <v>ClientCompanyId</v>
      </c>
      <c r="AS1" t="str">
        <v>Furnace</v>
      </c>
      <c r="AT1" t="str">
        <v>AddressLine1</v>
      </c>
      <c r="AU1" t="str">
        <v>AddressLine2</v>
      </c>
      <c r="AV1" t="str">
        <v>AddressLine3</v>
      </c>
      <c r="AW1" t="str">
        <v>FormNumber</v>
      </c>
      <c r="AX1" t="str">
        <v>CalibrationMethod</v>
      </c>
      <c r="AY1" t="str">
        <v>ToleranceSource</v>
      </c>
      <c r="AZ1" t="str">
        <v>Item</v>
      </c>
      <c r="BA1" t="str">
        <v>ModelNumber</v>
      </c>
      <c r="BB1" t="str">
        <v>SerialNumber</v>
      </c>
      <c r="BC1" t="str">
        <v>UnitNumber</v>
      </c>
      <c r="BD1" t="str">
        <v>Class</v>
      </c>
      <c r="BE1" t="str">
        <v>Range</v>
      </c>
      <c r="BF1" t="str">
        <v>Tolerance</v>
      </c>
      <c r="BG1" t="str">
        <v>HeatingMethod</v>
      </c>
      <c r="BH1" t="str">
        <v>WorkingZoneSize</v>
      </c>
      <c r="BI1" t="str">
        <v>CubicFeet</v>
      </c>
      <c r="BJ1" t="str">
        <v>CalInterval</v>
      </c>
      <c r="BK1" t="str">
        <v>ControllerId</v>
      </c>
      <c r="BL1" t="str">
        <v>Controller</v>
      </c>
      <c r="BM1" t="str">
        <v>ContSN</v>
      </c>
      <c r="BN1" t="str">
        <v>ContTol</v>
      </c>
      <c r="BO1" t="str">
        <v>RecorderId</v>
      </c>
      <c r="BP1" t="str">
        <v>Recorder</v>
      </c>
      <c r="BQ1" t="str">
        <v>RecSN</v>
      </c>
      <c r="BR1" t="str">
        <v>RecTol</v>
      </c>
      <c r="BS1" t="str">
        <v>FurnaceSpecificComments</v>
      </c>
      <c r="BT1" t="str">
        <v>TestLocation</v>
      </c>
      <c r="BU1" t="str">
        <v>OvenLocation</v>
      </c>
      <c r="BV1" t="str">
        <v>Condition</v>
      </c>
      <c r="BW1" t="str">
        <v>PB</v>
      </c>
      <c r="BX1" t="str">
        <v>Derivative</v>
      </c>
      <c r="BY1" t="str">
        <v>Integral</v>
      </c>
      <c r="BZ1" t="str">
        <v>Other1</v>
      </c>
      <c r="CA1" t="str">
        <v>Other2</v>
      </c>
      <c r="CB1" t="str">
        <v>CheckRec</v>
      </c>
      <c r="CC1" t="str">
        <v>Load</v>
      </c>
      <c r="CD1" t="str">
        <v>LagLimit</v>
      </c>
      <c r="CE1" t="str">
        <v>RecoveryLimit</v>
      </c>
    </row>
    <row r="2" spans="1:83" x14ac:dyDescent="0.2">
      <c r="A2"/>
      <c r="B2"/>
      <c r="C2"/>
      <c r="D2"/>
      <c r="E2"/>
      <c r="F2"/>
      <c r="G2"/>
      <c r="H2"/>
      <c r="I2"/>
      <c r="J2"/>
      <c r="K2"/>
      <c r="L2"/>
      <c r="M2"/>
      <c r="N2"/>
      <c r="O2"/>
      <c r="P2"/>
      <c r="Q2"/>
      <c r="R2"/>
      <c r="S2"/>
      <c r="T2"/>
      <c r="U2"/>
      <c r="V2"/>
      <c r="W2"/>
      <c r="X2"/>
      <c r="Y2"/>
      <c r="Z2"/>
      <c r="AA2"/>
      <c r="AB2"/>
      <c r="AC2"/>
      <c r="AD2"/>
      <c r="AE2"/>
      <c r="AF2"/>
      <c r="AG2"/>
      <c r="AJ2"/>
      <c r="AK2"/>
      <c r="AL2"/>
      <c r="AM2"/>
      <c r="AQ2" t="e" cm="1">
        <f t="array" ref="AQ2">_xlfn.XLOOKUP(AssetId,Header_Info[AssetId],Header_Info[],"")</f>
        <v>#REF!</v>
      </c>
    </row>
    <row r="3" spans="1:83" x14ac:dyDescent="0.2">
      <c r="A3"/>
      <c r="B3"/>
      <c r="C3"/>
      <c r="D3"/>
      <c r="E3"/>
      <c r="F3"/>
      <c r="G3"/>
      <c r="H3"/>
      <c r="I3"/>
      <c r="J3"/>
      <c r="K3"/>
      <c r="L3"/>
      <c r="M3"/>
      <c r="N3"/>
      <c r="O3"/>
      <c r="P3"/>
      <c r="Q3"/>
      <c r="R3"/>
      <c r="S3"/>
      <c r="T3"/>
      <c r="U3"/>
      <c r="V3"/>
      <c r="W3"/>
      <c r="X3"/>
      <c r="Y3"/>
      <c r="Z3"/>
      <c r="AA3"/>
      <c r="AB3"/>
      <c r="AC3"/>
      <c r="AD3"/>
      <c r="AE3"/>
      <c r="AF3"/>
      <c r="AG3"/>
      <c r="AH3"/>
      <c r="AI3"/>
      <c r="AJ3"/>
      <c r="AK3"/>
      <c r="AL3"/>
      <c r="AM3"/>
    </row>
    <row r="4" spans="1:83" x14ac:dyDescent="0.2">
      <c r="A4"/>
      <c r="B4"/>
      <c r="C4"/>
      <c r="D4"/>
      <c r="E4"/>
      <c r="F4"/>
      <c r="G4"/>
      <c r="H4"/>
      <c r="I4"/>
      <c r="J4"/>
      <c r="K4"/>
      <c r="L4"/>
      <c r="M4"/>
      <c r="N4"/>
      <c r="O4"/>
      <c r="P4"/>
      <c r="Q4"/>
      <c r="R4"/>
      <c r="S4"/>
      <c r="T4"/>
      <c r="U4"/>
      <c r="V4"/>
      <c r="W4"/>
      <c r="X4"/>
      <c r="Y4"/>
      <c r="Z4"/>
      <c r="AA4"/>
      <c r="AB4"/>
      <c r="AC4"/>
      <c r="AD4"/>
      <c r="AE4"/>
      <c r="AF4"/>
      <c r="AG4"/>
      <c r="AH4"/>
      <c r="AI4"/>
      <c r="AJ4"/>
      <c r="AK4"/>
      <c r="AL4"/>
      <c r="AM4"/>
    </row>
    <row r="5" spans="1:83" x14ac:dyDescent="0.2">
      <c r="A5"/>
      <c r="B5"/>
      <c r="C5"/>
      <c r="D5"/>
      <c r="E5"/>
      <c r="F5"/>
      <c r="G5"/>
      <c r="H5"/>
      <c r="I5"/>
      <c r="J5"/>
      <c r="K5"/>
      <c r="L5"/>
      <c r="M5"/>
      <c r="N5"/>
      <c r="O5"/>
      <c r="P5"/>
      <c r="Q5"/>
      <c r="R5"/>
      <c r="S5"/>
      <c r="T5"/>
      <c r="U5"/>
      <c r="V5"/>
      <c r="W5"/>
      <c r="X5"/>
      <c r="Y5"/>
      <c r="Z5"/>
      <c r="AA5"/>
      <c r="AB5"/>
      <c r="AC5"/>
      <c r="AD5"/>
      <c r="AE5"/>
      <c r="AF5"/>
      <c r="AG5"/>
      <c r="AH5"/>
      <c r="AI5"/>
      <c r="AJ5"/>
      <c r="AK5"/>
      <c r="AL5"/>
      <c r="AM5"/>
    </row>
    <row r="6" spans="1:83" x14ac:dyDescent="0.2">
      <c r="A6"/>
      <c r="B6"/>
      <c r="C6"/>
      <c r="D6"/>
      <c r="E6"/>
      <c r="F6"/>
      <c r="G6"/>
      <c r="H6"/>
      <c r="I6"/>
      <c r="J6"/>
      <c r="K6"/>
      <c r="L6"/>
      <c r="M6"/>
      <c r="N6"/>
      <c r="O6"/>
      <c r="P6"/>
      <c r="Q6"/>
      <c r="R6"/>
      <c r="S6"/>
      <c r="T6"/>
      <c r="U6"/>
      <c r="V6"/>
      <c r="W6"/>
      <c r="X6"/>
      <c r="AC6"/>
      <c r="AD6"/>
      <c r="AE6"/>
      <c r="AF6"/>
      <c r="AG6"/>
      <c r="AH6"/>
      <c r="AI6"/>
      <c r="AJ6"/>
      <c r="AK6"/>
      <c r="AL6"/>
      <c r="AM6"/>
    </row>
    <row r="7" spans="1:83" x14ac:dyDescent="0.2">
      <c r="A7"/>
      <c r="B7"/>
      <c r="C7"/>
      <c r="D7"/>
      <c r="E7"/>
      <c r="F7"/>
      <c r="G7"/>
      <c r="H7"/>
      <c r="I7"/>
      <c r="J7"/>
      <c r="K7"/>
      <c r="L7"/>
      <c r="M7"/>
      <c r="N7"/>
      <c r="O7"/>
      <c r="P7"/>
      <c r="Q7"/>
      <c r="R7"/>
      <c r="S7"/>
      <c r="T7"/>
      <c r="U7"/>
      <c r="V7"/>
      <c r="W7"/>
      <c r="X7"/>
      <c r="Y7"/>
      <c r="Z7"/>
      <c r="AA7"/>
      <c r="AB7"/>
      <c r="AC7"/>
      <c r="AD7"/>
      <c r="AE7"/>
      <c r="AF7"/>
      <c r="AG7"/>
      <c r="AH7"/>
      <c r="AI7"/>
      <c r="AJ7"/>
      <c r="AK7"/>
      <c r="AL7"/>
      <c r="AM7"/>
    </row>
    <row r="8" spans="1:83" x14ac:dyDescent="0.2">
      <c r="A8"/>
      <c r="B8"/>
      <c r="C8"/>
      <c r="D8"/>
      <c r="E8"/>
      <c r="F8"/>
      <c r="G8"/>
      <c r="H8"/>
      <c r="I8"/>
      <c r="J8"/>
      <c r="K8"/>
      <c r="L8"/>
      <c r="M8"/>
      <c r="N8"/>
      <c r="O8"/>
      <c r="P8"/>
      <c r="Q8"/>
      <c r="R8"/>
      <c r="S8"/>
      <c r="T8"/>
      <c r="U8"/>
      <c r="V8"/>
      <c r="W8"/>
      <c r="X8"/>
      <c r="Y8"/>
      <c r="Z8"/>
      <c r="AA8"/>
      <c r="AB8"/>
      <c r="AC8"/>
      <c r="AD8"/>
      <c r="AE8"/>
      <c r="AF8"/>
      <c r="AG8"/>
      <c r="AH8"/>
      <c r="AI8"/>
      <c r="AJ8"/>
      <c r="AK8"/>
      <c r="AL8"/>
      <c r="AM8"/>
    </row>
    <row r="9" spans="1:83" x14ac:dyDescent="0.2">
      <c r="A9"/>
      <c r="B9"/>
      <c r="C9"/>
      <c r="D9"/>
      <c r="E9"/>
      <c r="F9"/>
      <c r="G9"/>
      <c r="H9"/>
      <c r="I9"/>
      <c r="J9"/>
      <c r="K9"/>
      <c r="L9"/>
      <c r="M9"/>
      <c r="N9"/>
      <c r="O9"/>
      <c r="P9"/>
      <c r="Q9"/>
      <c r="R9"/>
      <c r="S9"/>
      <c r="T9"/>
      <c r="U9"/>
      <c r="V9"/>
      <c r="W9"/>
      <c r="X9"/>
      <c r="Y9"/>
      <c r="Z9"/>
      <c r="AA9"/>
      <c r="AB9"/>
      <c r="AC9"/>
      <c r="AD9"/>
      <c r="AE9"/>
      <c r="AF9"/>
      <c r="AG9"/>
      <c r="AH9"/>
      <c r="AJ9"/>
      <c r="AK9"/>
      <c r="AL9"/>
      <c r="AM9"/>
    </row>
    <row r="10" spans="1:83" x14ac:dyDescent="0.2">
      <c r="A10"/>
      <c r="B10"/>
      <c r="C10"/>
      <c r="D10"/>
      <c r="E10"/>
      <c r="F10"/>
      <c r="G10"/>
      <c r="H10"/>
      <c r="I10"/>
      <c r="J10"/>
      <c r="K10"/>
      <c r="L10"/>
      <c r="M10"/>
      <c r="N10"/>
      <c r="O10"/>
      <c r="P10"/>
      <c r="Q10"/>
      <c r="R10"/>
      <c r="S10"/>
      <c r="T10"/>
      <c r="U10"/>
      <c r="V10"/>
      <c r="X10"/>
      <c r="Y10"/>
      <c r="Z10"/>
      <c r="AA10"/>
      <c r="AB10"/>
      <c r="AC10"/>
      <c r="AD10"/>
      <c r="AE10"/>
      <c r="AF10"/>
      <c r="AG10"/>
      <c r="AH10"/>
      <c r="AI10"/>
      <c r="AJ10"/>
      <c r="AK10"/>
      <c r="AL10"/>
      <c r="AM10"/>
    </row>
    <row r="11" spans="1:83" x14ac:dyDescent="0.2">
      <c r="A11"/>
      <c r="B11"/>
      <c r="C11"/>
      <c r="D11"/>
      <c r="E11"/>
      <c r="F11"/>
      <c r="G11"/>
      <c r="H11"/>
      <c r="I11"/>
      <c r="J11"/>
      <c r="K11"/>
      <c r="L11"/>
      <c r="M11"/>
      <c r="N11"/>
      <c r="O11"/>
      <c r="P11"/>
      <c r="Q11"/>
      <c r="R11"/>
      <c r="S11"/>
      <c r="T11"/>
      <c r="U11"/>
      <c r="V11"/>
      <c r="W11"/>
      <c r="X11"/>
      <c r="Y11"/>
      <c r="Z11"/>
      <c r="AA11"/>
      <c r="AB11"/>
      <c r="AC11"/>
      <c r="AD11"/>
      <c r="AE11"/>
      <c r="AF11"/>
      <c r="AG11"/>
      <c r="AI11"/>
      <c r="AJ11"/>
      <c r="AK11"/>
      <c r="AL11"/>
      <c r="AM11"/>
    </row>
    <row r="12" spans="1:83" x14ac:dyDescent="0.2">
      <c r="A12"/>
      <c r="B12"/>
      <c r="C12"/>
      <c r="D12"/>
      <c r="E12"/>
      <c r="F12"/>
      <c r="G12"/>
      <c r="H12"/>
      <c r="I12"/>
      <c r="J12"/>
      <c r="K12"/>
      <c r="L12"/>
      <c r="M12"/>
      <c r="N12"/>
      <c r="O12"/>
      <c r="P12"/>
      <c r="Q12"/>
      <c r="R12"/>
      <c r="S12"/>
      <c r="T12"/>
      <c r="U12"/>
      <c r="V12"/>
      <c r="W12"/>
      <c r="X12"/>
      <c r="AC12"/>
      <c r="AD12"/>
      <c r="AE12"/>
      <c r="AF12"/>
      <c r="AG12"/>
      <c r="AH12"/>
      <c r="AI12"/>
      <c r="AJ12"/>
      <c r="AK12"/>
      <c r="AL12"/>
      <c r="AM12"/>
    </row>
    <row r="13" spans="1:83" x14ac:dyDescent="0.2">
      <c r="A13"/>
      <c r="B13"/>
      <c r="C13"/>
      <c r="D13"/>
      <c r="E13"/>
      <c r="F13"/>
      <c r="G13"/>
      <c r="H13"/>
      <c r="I13"/>
      <c r="J13"/>
      <c r="K13"/>
      <c r="L13"/>
      <c r="M13"/>
      <c r="N13"/>
      <c r="O13"/>
      <c r="P13"/>
      <c r="Q13"/>
      <c r="R13"/>
      <c r="S13"/>
      <c r="T13"/>
      <c r="U13"/>
      <c r="V13"/>
      <c r="W13"/>
      <c r="X13"/>
      <c r="Y13"/>
      <c r="Z13"/>
      <c r="AA13"/>
      <c r="AB13"/>
      <c r="AC13"/>
      <c r="AD13"/>
      <c r="AE13"/>
      <c r="AF13"/>
      <c r="AG13"/>
      <c r="AH13"/>
      <c r="AI13"/>
      <c r="AJ13"/>
      <c r="AK13"/>
      <c r="AL13"/>
      <c r="AM13"/>
    </row>
    <row r="14" spans="1:83" x14ac:dyDescent="0.2">
      <c r="A14"/>
      <c r="B14"/>
      <c r="C14"/>
      <c r="D14"/>
      <c r="E14"/>
      <c r="F14"/>
      <c r="G14"/>
      <c r="H14"/>
      <c r="I14"/>
      <c r="J14"/>
      <c r="K14"/>
      <c r="L14"/>
      <c r="M14"/>
      <c r="N14"/>
      <c r="O14"/>
      <c r="P14"/>
      <c r="Q14"/>
      <c r="R14"/>
      <c r="S14"/>
      <c r="T14"/>
      <c r="U14"/>
      <c r="V14"/>
      <c r="W14"/>
      <c r="X14"/>
      <c r="AC14"/>
      <c r="AD14"/>
      <c r="AE14"/>
      <c r="AF14"/>
      <c r="AG14"/>
      <c r="AH14"/>
      <c r="AI14"/>
      <c r="AJ14"/>
      <c r="AK14"/>
      <c r="AL14"/>
      <c r="AM14"/>
    </row>
    <row r="15" spans="1:83" x14ac:dyDescent="0.2">
      <c r="A15"/>
      <c r="B15"/>
      <c r="C15"/>
      <c r="D15"/>
      <c r="E15"/>
      <c r="F15"/>
      <c r="G15"/>
      <c r="H15"/>
      <c r="I15"/>
      <c r="J15"/>
      <c r="K15"/>
      <c r="L15"/>
      <c r="M15"/>
      <c r="N15"/>
      <c r="O15"/>
      <c r="P15"/>
      <c r="Q15"/>
      <c r="R15"/>
      <c r="S15"/>
      <c r="T15"/>
      <c r="U15"/>
      <c r="V15"/>
      <c r="W15"/>
      <c r="X15"/>
      <c r="Y15"/>
      <c r="Z15"/>
      <c r="AA15"/>
      <c r="AB15"/>
      <c r="AC15"/>
      <c r="AD15"/>
      <c r="AE15"/>
      <c r="AF15"/>
      <c r="AG15"/>
      <c r="AH15"/>
      <c r="AI15"/>
      <c r="AJ15"/>
      <c r="AK15"/>
      <c r="AL15"/>
      <c r="AM15"/>
    </row>
    <row r="16" spans="1:83" x14ac:dyDescent="0.2">
      <c r="A16"/>
      <c r="B16"/>
      <c r="C16"/>
      <c r="D16"/>
      <c r="E16"/>
      <c r="F16"/>
      <c r="G16"/>
      <c r="H16"/>
      <c r="I16"/>
      <c r="J16"/>
      <c r="K16"/>
      <c r="L16"/>
      <c r="M16"/>
      <c r="N16"/>
      <c r="O16"/>
      <c r="P16"/>
      <c r="Q16"/>
      <c r="R16"/>
      <c r="S16"/>
      <c r="T16"/>
      <c r="U16"/>
      <c r="V16"/>
      <c r="W16"/>
      <c r="X16"/>
      <c r="AC16"/>
      <c r="AD16"/>
      <c r="AE16"/>
      <c r="AF16"/>
      <c r="AG16"/>
      <c r="AH16"/>
      <c r="AI16"/>
      <c r="AJ16"/>
      <c r="AK16"/>
      <c r="AL16"/>
      <c r="AM16"/>
    </row>
    <row r="17" spans="1:40" x14ac:dyDescent="0.2">
      <c r="A17"/>
      <c r="B17"/>
      <c r="C17"/>
      <c r="D17"/>
      <c r="E17"/>
      <c r="F17"/>
      <c r="G17"/>
      <c r="H17"/>
      <c r="I17"/>
      <c r="J17"/>
      <c r="K17"/>
      <c r="L17"/>
      <c r="M17"/>
      <c r="N17"/>
      <c r="O17"/>
      <c r="P17"/>
      <c r="Q17"/>
      <c r="R17"/>
      <c r="S17"/>
      <c r="T17"/>
      <c r="U17"/>
      <c r="V17"/>
      <c r="W17"/>
      <c r="X17"/>
      <c r="Y17"/>
      <c r="Z17"/>
      <c r="AA17"/>
      <c r="AB17"/>
      <c r="AC17"/>
      <c r="AD17"/>
      <c r="AE17"/>
      <c r="AF17"/>
      <c r="AG17"/>
      <c r="AH17"/>
      <c r="AI17"/>
      <c r="AJ17"/>
      <c r="AK17"/>
      <c r="AL17"/>
      <c r="AM17"/>
    </row>
    <row r="18" spans="1:40" x14ac:dyDescent="0.2">
      <c r="A18"/>
      <c r="B18"/>
      <c r="C18"/>
      <c r="D18"/>
      <c r="E18"/>
      <c r="F18"/>
      <c r="G18"/>
      <c r="H18"/>
      <c r="I18"/>
      <c r="J18"/>
      <c r="K18"/>
      <c r="M18"/>
      <c r="N18"/>
      <c r="O18"/>
      <c r="P18"/>
      <c r="Q18"/>
      <c r="R18"/>
      <c r="S18"/>
      <c r="T18"/>
      <c r="U18"/>
      <c r="V18"/>
      <c r="X18"/>
      <c r="AC18"/>
      <c r="AD18"/>
      <c r="AE18"/>
      <c r="AF18"/>
      <c r="AG18"/>
      <c r="AH18"/>
      <c r="AI18"/>
      <c r="AJ18"/>
      <c r="AK18"/>
      <c r="AL18"/>
      <c r="AM18"/>
    </row>
    <row r="19" spans="1:40" x14ac:dyDescent="0.2">
      <c r="A19"/>
      <c r="B19"/>
      <c r="C19"/>
      <c r="D19"/>
      <c r="E19"/>
      <c r="F19"/>
      <c r="G19"/>
      <c r="H19"/>
      <c r="I19"/>
      <c r="J19"/>
      <c r="K19"/>
      <c r="L19"/>
      <c r="M19"/>
      <c r="N19"/>
      <c r="O19"/>
      <c r="P19"/>
      <c r="Q19"/>
      <c r="R19"/>
      <c r="S19"/>
      <c r="T19"/>
      <c r="U19"/>
      <c r="V19"/>
      <c r="W19"/>
      <c r="X19"/>
      <c r="Y19"/>
      <c r="Z19"/>
      <c r="AA19"/>
      <c r="AB19"/>
      <c r="AC19"/>
      <c r="AD19"/>
      <c r="AE19"/>
      <c r="AF19"/>
      <c r="AG19"/>
      <c r="AH19"/>
      <c r="AI19"/>
      <c r="AJ19"/>
      <c r="AK19"/>
      <c r="AL19"/>
      <c r="AM19"/>
      <c r="AN19"/>
    </row>
    <row r="20" spans="1:40" x14ac:dyDescent="0.2">
      <c r="A20"/>
      <c r="B20"/>
      <c r="C20"/>
      <c r="D20"/>
      <c r="E20"/>
      <c r="F20"/>
      <c r="G20"/>
      <c r="H20"/>
      <c r="I20"/>
      <c r="J20"/>
      <c r="K20"/>
      <c r="L20"/>
      <c r="M20"/>
      <c r="N20"/>
      <c r="O20"/>
      <c r="P20"/>
      <c r="Q20"/>
      <c r="R20"/>
      <c r="S20"/>
      <c r="T20"/>
      <c r="U20"/>
      <c r="V20"/>
      <c r="W20"/>
      <c r="X20"/>
      <c r="AC20"/>
      <c r="AD20"/>
      <c r="AE20"/>
      <c r="AF20"/>
      <c r="AG20"/>
      <c r="AH20"/>
      <c r="AI20"/>
      <c r="AJ20"/>
      <c r="AK20"/>
      <c r="AL20"/>
      <c r="AM20"/>
    </row>
    <row r="21" spans="1:40" x14ac:dyDescent="0.2">
      <c r="A21"/>
      <c r="B21"/>
      <c r="C21"/>
      <c r="D21"/>
      <c r="E21"/>
      <c r="F21"/>
      <c r="G21"/>
      <c r="H21"/>
      <c r="I21"/>
      <c r="J21"/>
      <c r="K21"/>
      <c r="L21"/>
      <c r="M21"/>
      <c r="N21"/>
      <c r="O21"/>
      <c r="P21"/>
      <c r="Q21"/>
      <c r="R21"/>
      <c r="S21"/>
      <c r="T21"/>
      <c r="U21"/>
      <c r="V21"/>
      <c r="W21"/>
      <c r="X21"/>
      <c r="AC21"/>
      <c r="AD21"/>
      <c r="AE21"/>
      <c r="AF21"/>
      <c r="AG21"/>
      <c r="AH21"/>
      <c r="AI21"/>
      <c r="AJ21"/>
      <c r="AK21"/>
      <c r="AL21"/>
      <c r="AM21"/>
    </row>
    <row r="22" spans="1:40" x14ac:dyDescent="0.2">
      <c r="A22"/>
      <c r="B22"/>
      <c r="C22"/>
      <c r="D22"/>
      <c r="E22"/>
      <c r="F22"/>
      <c r="G22"/>
      <c r="H22"/>
      <c r="I22"/>
      <c r="J22"/>
      <c r="K22"/>
      <c r="L22"/>
      <c r="M22"/>
      <c r="N22"/>
      <c r="O22"/>
      <c r="P22"/>
      <c r="Q22"/>
      <c r="R22"/>
      <c r="S22"/>
      <c r="T22"/>
      <c r="U22"/>
      <c r="V22"/>
      <c r="W22"/>
      <c r="X22"/>
      <c r="AC22"/>
      <c r="AD22"/>
      <c r="AE22"/>
      <c r="AF22"/>
      <c r="AG22"/>
      <c r="AH22"/>
      <c r="AI22"/>
      <c r="AJ22"/>
      <c r="AK22"/>
      <c r="AL22"/>
      <c r="AM22"/>
    </row>
    <row r="23" spans="1:40" x14ac:dyDescent="0.2">
      <c r="A23"/>
      <c r="B23"/>
      <c r="C23"/>
      <c r="D23"/>
      <c r="E23"/>
      <c r="F23"/>
      <c r="G23"/>
      <c r="H23"/>
      <c r="I23"/>
      <c r="J23"/>
      <c r="K23"/>
      <c r="L23"/>
      <c r="M23"/>
      <c r="N23"/>
      <c r="O23"/>
      <c r="P23"/>
      <c r="Q23"/>
      <c r="R23"/>
      <c r="S23"/>
      <c r="T23"/>
      <c r="U23"/>
      <c r="V23"/>
      <c r="W23"/>
      <c r="X23"/>
      <c r="Y23"/>
      <c r="Z23"/>
      <c r="AA23"/>
      <c r="AB23"/>
      <c r="AC23"/>
      <c r="AD23"/>
      <c r="AE23"/>
      <c r="AF23"/>
      <c r="AG23"/>
      <c r="AH23"/>
      <c r="AI23"/>
      <c r="AJ23"/>
      <c r="AK23"/>
      <c r="AL23"/>
      <c r="AM23"/>
    </row>
    <row r="24" spans="1:40" x14ac:dyDescent="0.2">
      <c r="A24"/>
      <c r="B24"/>
      <c r="C24"/>
      <c r="D24"/>
      <c r="E24"/>
      <c r="F24"/>
      <c r="G24"/>
      <c r="H24"/>
      <c r="I24"/>
      <c r="J24"/>
      <c r="K24"/>
      <c r="L24"/>
      <c r="M24"/>
      <c r="N24"/>
      <c r="O24"/>
      <c r="P24"/>
      <c r="Q24"/>
      <c r="R24"/>
      <c r="S24"/>
      <c r="T24"/>
      <c r="U24"/>
      <c r="V24"/>
      <c r="W24"/>
      <c r="X24"/>
      <c r="AC24"/>
      <c r="AD24"/>
      <c r="AE24"/>
      <c r="AF24"/>
      <c r="AG24"/>
      <c r="AH24"/>
      <c r="AI24"/>
      <c r="AJ24"/>
      <c r="AK24"/>
      <c r="AL24"/>
      <c r="AM24"/>
    </row>
    <row r="25" spans="1:40" x14ac:dyDescent="0.2">
      <c r="A25"/>
      <c r="B25"/>
      <c r="C25"/>
      <c r="D25"/>
      <c r="E25"/>
      <c r="F25"/>
      <c r="G25"/>
      <c r="H25"/>
      <c r="I25"/>
      <c r="J25"/>
      <c r="K25"/>
      <c r="L25"/>
      <c r="M25"/>
      <c r="N25"/>
      <c r="O25"/>
      <c r="P25"/>
      <c r="Q25"/>
      <c r="R25"/>
      <c r="S25"/>
      <c r="T25"/>
      <c r="U25"/>
      <c r="V25"/>
      <c r="W25"/>
      <c r="X25"/>
      <c r="AC25"/>
      <c r="AD25"/>
      <c r="AE25"/>
      <c r="AF25"/>
      <c r="AG25"/>
      <c r="AH25"/>
      <c r="AI25"/>
      <c r="AJ25"/>
      <c r="AK25"/>
      <c r="AL25"/>
      <c r="AM25"/>
    </row>
    <row r="26" spans="1:40" x14ac:dyDescent="0.2">
      <c r="A26"/>
      <c r="B26"/>
      <c r="C26"/>
      <c r="D26"/>
      <c r="E26"/>
      <c r="F26"/>
      <c r="G26"/>
      <c r="H26"/>
      <c r="I26"/>
      <c r="J26"/>
      <c r="K26"/>
      <c r="L26"/>
      <c r="M26"/>
      <c r="N26"/>
      <c r="O26"/>
      <c r="P26"/>
      <c r="Q26"/>
      <c r="R26"/>
      <c r="S26"/>
      <c r="T26"/>
      <c r="U26"/>
      <c r="V26"/>
      <c r="W26"/>
      <c r="X26"/>
      <c r="AC26"/>
      <c r="AD26"/>
      <c r="AE26"/>
      <c r="AF26"/>
      <c r="AG26"/>
      <c r="AH26"/>
      <c r="AI26"/>
      <c r="AJ26"/>
      <c r="AK26"/>
      <c r="AL26"/>
      <c r="AM26"/>
    </row>
    <row r="27" spans="1:40" x14ac:dyDescent="0.2">
      <c r="A27"/>
      <c r="B27"/>
      <c r="C27"/>
      <c r="D27"/>
      <c r="E27"/>
      <c r="F27"/>
      <c r="G27"/>
      <c r="H27"/>
      <c r="I27"/>
      <c r="J27"/>
      <c r="K27"/>
      <c r="L27"/>
      <c r="M27"/>
      <c r="N27"/>
      <c r="O27"/>
      <c r="P27"/>
      <c r="Q27"/>
      <c r="R27"/>
      <c r="S27"/>
      <c r="T27"/>
      <c r="U27"/>
      <c r="V27"/>
      <c r="W27"/>
      <c r="X27"/>
      <c r="AC27"/>
      <c r="AD27"/>
      <c r="AE27"/>
      <c r="AF27"/>
      <c r="AG27"/>
      <c r="AH27"/>
      <c r="AI27"/>
      <c r="AJ27"/>
      <c r="AK27"/>
      <c r="AL27"/>
      <c r="AM27"/>
    </row>
    <row r="28" spans="1:40" x14ac:dyDescent="0.2">
      <c r="A28"/>
      <c r="B28"/>
      <c r="C28"/>
      <c r="D28"/>
      <c r="E28"/>
      <c r="F28"/>
      <c r="G28"/>
      <c r="H28"/>
      <c r="I28"/>
      <c r="J28"/>
      <c r="K28"/>
      <c r="L28"/>
      <c r="M28"/>
      <c r="N28"/>
      <c r="O28"/>
      <c r="P28"/>
      <c r="Q28"/>
      <c r="R28"/>
      <c r="S28"/>
      <c r="T28"/>
      <c r="U28"/>
      <c r="V28"/>
      <c r="W28"/>
      <c r="X28"/>
      <c r="AC28"/>
      <c r="AD28"/>
      <c r="AE28"/>
      <c r="AF28"/>
      <c r="AG28"/>
      <c r="AH28"/>
      <c r="AI28"/>
      <c r="AJ28"/>
      <c r="AK28"/>
      <c r="AL28"/>
      <c r="AM28"/>
    </row>
    <row r="29" spans="1:40" x14ac:dyDescent="0.2">
      <c r="A29"/>
      <c r="B29"/>
      <c r="C29"/>
      <c r="D29"/>
      <c r="E29"/>
      <c r="F29"/>
      <c r="G29"/>
      <c r="H29"/>
      <c r="I29"/>
      <c r="J29"/>
      <c r="K29"/>
      <c r="L29"/>
      <c r="M29"/>
      <c r="N29"/>
      <c r="O29"/>
      <c r="P29"/>
      <c r="Q29"/>
      <c r="R29"/>
      <c r="S29"/>
      <c r="T29"/>
      <c r="U29"/>
      <c r="V29"/>
      <c r="W29"/>
      <c r="X29"/>
      <c r="Y29"/>
      <c r="Z29"/>
      <c r="AA29"/>
      <c r="AB29"/>
      <c r="AC29"/>
      <c r="AD29"/>
      <c r="AE29"/>
      <c r="AF29"/>
      <c r="AG29"/>
      <c r="AH29"/>
      <c r="AI29"/>
      <c r="AJ29"/>
      <c r="AK29"/>
      <c r="AL29"/>
      <c r="AM29"/>
    </row>
    <row r="30" spans="1:40" x14ac:dyDescent="0.2">
      <c r="A30"/>
      <c r="B30"/>
      <c r="C30"/>
      <c r="D30"/>
      <c r="E30"/>
      <c r="F30"/>
      <c r="G30"/>
      <c r="H30"/>
      <c r="I30"/>
      <c r="J30"/>
      <c r="K30"/>
      <c r="L30"/>
      <c r="M30"/>
      <c r="N30"/>
      <c r="O30"/>
      <c r="P30"/>
      <c r="Q30"/>
      <c r="R30"/>
      <c r="S30"/>
      <c r="T30"/>
      <c r="U30"/>
      <c r="V30"/>
      <c r="W30"/>
      <c r="X30"/>
      <c r="Y30"/>
      <c r="Z30"/>
      <c r="AA30"/>
      <c r="AB30"/>
      <c r="AC30"/>
      <c r="AD30"/>
      <c r="AE30"/>
      <c r="AF30"/>
      <c r="AG30"/>
      <c r="AH30"/>
      <c r="AI30"/>
      <c r="AJ30"/>
      <c r="AK30"/>
      <c r="AL30"/>
      <c r="AM30"/>
    </row>
    <row r="31" spans="1:40" x14ac:dyDescent="0.2">
      <c r="A31"/>
      <c r="B31"/>
      <c r="C31"/>
      <c r="D31"/>
      <c r="E31"/>
      <c r="F31"/>
      <c r="G31"/>
      <c r="H31"/>
      <c r="I31"/>
      <c r="J31"/>
      <c r="K31"/>
      <c r="L31"/>
      <c r="M31"/>
      <c r="N31"/>
      <c r="O31"/>
      <c r="P31"/>
      <c r="Q31"/>
      <c r="R31"/>
      <c r="S31"/>
      <c r="T31"/>
      <c r="U31"/>
      <c r="V31"/>
      <c r="W31"/>
      <c r="X31"/>
      <c r="Y31"/>
      <c r="Z31"/>
      <c r="AA31"/>
      <c r="AB31"/>
      <c r="AC31"/>
      <c r="AD31"/>
      <c r="AE31"/>
      <c r="AF31"/>
      <c r="AG31"/>
      <c r="AH31"/>
      <c r="AI31"/>
      <c r="AJ31"/>
      <c r="AK31"/>
      <c r="AL31"/>
      <c r="AM31"/>
    </row>
    <row r="32" spans="1:40" x14ac:dyDescent="0.2">
      <c r="A32"/>
      <c r="B32"/>
      <c r="C32"/>
      <c r="D32"/>
      <c r="E32"/>
      <c r="F32"/>
      <c r="G32"/>
      <c r="H32"/>
      <c r="I32"/>
      <c r="J32"/>
      <c r="K32"/>
      <c r="L32"/>
      <c r="M32"/>
      <c r="N32"/>
      <c r="O32"/>
      <c r="P32"/>
      <c r="Q32"/>
      <c r="R32"/>
      <c r="S32"/>
      <c r="T32"/>
      <c r="U32"/>
      <c r="V32"/>
      <c r="W32"/>
      <c r="X32"/>
      <c r="Y32"/>
      <c r="Z32"/>
      <c r="AA32"/>
      <c r="AB32"/>
      <c r="AC32"/>
      <c r="AD32"/>
      <c r="AE32"/>
      <c r="AF32"/>
      <c r="AG32"/>
      <c r="AH32"/>
      <c r="AI32"/>
      <c r="AJ32"/>
      <c r="AK32"/>
      <c r="AL32"/>
      <c r="AM32"/>
    </row>
    <row r="33" spans="1:41" x14ac:dyDescent="0.2">
      <c r="A33"/>
      <c r="B33"/>
      <c r="C33"/>
      <c r="D33"/>
      <c r="E33"/>
      <c r="F33"/>
      <c r="G33"/>
      <c r="H33"/>
      <c r="I33"/>
      <c r="J33"/>
      <c r="K33"/>
      <c r="L33"/>
      <c r="M33"/>
      <c r="N33"/>
      <c r="O33"/>
      <c r="P33"/>
      <c r="Q33"/>
      <c r="R33"/>
      <c r="S33"/>
      <c r="T33"/>
      <c r="U33"/>
      <c r="V33"/>
      <c r="W33"/>
      <c r="X33"/>
      <c r="Y33"/>
      <c r="Z33"/>
      <c r="AA33"/>
      <c r="AB33"/>
      <c r="AC33"/>
      <c r="AD33"/>
      <c r="AE33"/>
      <c r="AF33"/>
      <c r="AG33"/>
      <c r="AH33"/>
      <c r="AI33"/>
      <c r="AJ33"/>
      <c r="AK33"/>
      <c r="AL33"/>
      <c r="AM33"/>
    </row>
    <row r="34" spans="1:41" x14ac:dyDescent="0.2">
      <c r="A34"/>
      <c r="B34"/>
      <c r="C34"/>
      <c r="D34"/>
      <c r="E34"/>
      <c r="F34"/>
      <c r="G34"/>
      <c r="H34"/>
      <c r="I34"/>
      <c r="J34"/>
      <c r="K34"/>
      <c r="L34"/>
      <c r="M34"/>
      <c r="N34"/>
      <c r="O34"/>
      <c r="P34"/>
      <c r="Q34"/>
      <c r="R34"/>
      <c r="S34"/>
      <c r="T34"/>
      <c r="U34"/>
      <c r="V34"/>
      <c r="W34"/>
      <c r="X34"/>
      <c r="Y34"/>
      <c r="Z34"/>
      <c r="AA34"/>
      <c r="AB34"/>
      <c r="AC34"/>
      <c r="AD34"/>
      <c r="AE34"/>
      <c r="AF34"/>
      <c r="AG34"/>
      <c r="AH34"/>
      <c r="AI34"/>
      <c r="AJ34"/>
      <c r="AK34"/>
      <c r="AL34"/>
      <c r="AM34"/>
      <c r="AN34"/>
    </row>
    <row r="35" spans="1:41" x14ac:dyDescent="0.2">
      <c r="A35"/>
      <c r="B35"/>
      <c r="C35"/>
      <c r="D35"/>
      <c r="E35"/>
      <c r="F35"/>
      <c r="G35"/>
      <c r="H35"/>
      <c r="I35"/>
      <c r="J35"/>
      <c r="K35"/>
      <c r="L35"/>
      <c r="M35"/>
      <c r="N35"/>
      <c r="O35"/>
      <c r="P35"/>
      <c r="Q35"/>
      <c r="R35"/>
      <c r="S35"/>
      <c r="T35"/>
      <c r="U35"/>
      <c r="V35"/>
      <c r="W35"/>
      <c r="X35"/>
      <c r="Y35"/>
      <c r="Z35"/>
      <c r="AA35"/>
      <c r="AB35"/>
      <c r="AC35"/>
      <c r="AD35"/>
      <c r="AE35"/>
      <c r="AF35"/>
      <c r="AG35"/>
      <c r="AH35"/>
      <c r="AI35"/>
      <c r="AJ35"/>
      <c r="AK35"/>
      <c r="AL35"/>
      <c r="AM35"/>
      <c r="AN35"/>
      <c r="AO35"/>
    </row>
    <row r="36" spans="1:41" x14ac:dyDescent="0.2">
      <c r="A36"/>
      <c r="B36"/>
      <c r="C36"/>
      <c r="D36"/>
      <c r="E36"/>
      <c r="F36"/>
      <c r="G36"/>
      <c r="H36"/>
      <c r="I36"/>
      <c r="J36"/>
      <c r="K36"/>
      <c r="L36"/>
      <c r="M36"/>
      <c r="N36"/>
      <c r="O36"/>
      <c r="P36"/>
      <c r="Q36"/>
      <c r="R36"/>
      <c r="S36"/>
      <c r="T36"/>
      <c r="U36"/>
      <c r="V36"/>
      <c r="W36"/>
      <c r="X36"/>
      <c r="AC36"/>
      <c r="AD36"/>
      <c r="AE36"/>
      <c r="AF36"/>
      <c r="AH36"/>
      <c r="AI36"/>
      <c r="AJ36"/>
      <c r="AK36"/>
      <c r="AL36"/>
      <c r="AM36"/>
    </row>
    <row r="37" spans="1:41" x14ac:dyDescent="0.2">
      <c r="A37"/>
      <c r="B37"/>
      <c r="C37"/>
      <c r="D37"/>
      <c r="E37"/>
      <c r="F37"/>
      <c r="G37"/>
      <c r="H37"/>
      <c r="I37"/>
      <c r="J37"/>
      <c r="K37"/>
      <c r="L37"/>
      <c r="M37"/>
      <c r="N37"/>
      <c r="O37"/>
      <c r="P37"/>
      <c r="Q37"/>
      <c r="R37"/>
      <c r="S37"/>
      <c r="T37"/>
      <c r="U37"/>
      <c r="V37"/>
      <c r="W37"/>
      <c r="X37"/>
      <c r="AC37"/>
      <c r="AD37"/>
      <c r="AE37"/>
      <c r="AF37"/>
      <c r="AG37"/>
      <c r="AH37"/>
      <c r="AI37"/>
      <c r="AJ37"/>
      <c r="AK37"/>
      <c r="AL37"/>
      <c r="AM37"/>
    </row>
    <row r="38" spans="1:41" x14ac:dyDescent="0.2">
      <c r="A38"/>
      <c r="B38"/>
      <c r="C38"/>
      <c r="D38"/>
      <c r="E38"/>
      <c r="F38"/>
      <c r="G38"/>
      <c r="H38"/>
      <c r="I38"/>
      <c r="J38"/>
      <c r="K38"/>
      <c r="L38"/>
      <c r="M38"/>
      <c r="N38"/>
      <c r="O38"/>
      <c r="P38"/>
      <c r="Q38"/>
      <c r="R38"/>
      <c r="S38"/>
      <c r="T38"/>
      <c r="U38"/>
      <c r="V38"/>
      <c r="W38"/>
      <c r="X38"/>
      <c r="Y38"/>
      <c r="Z38"/>
      <c r="AA38"/>
      <c r="AB38"/>
      <c r="AC38"/>
      <c r="AD38"/>
      <c r="AE38"/>
      <c r="AF38"/>
      <c r="AG38"/>
      <c r="AH38"/>
      <c r="AI38"/>
      <c r="AJ38"/>
      <c r="AK38"/>
      <c r="AL38"/>
      <c r="AM38"/>
    </row>
    <row r="39" spans="1:41" x14ac:dyDescent="0.2">
      <c r="A39"/>
      <c r="B39"/>
      <c r="C39"/>
      <c r="D39"/>
      <c r="E39"/>
      <c r="F39"/>
      <c r="G39"/>
      <c r="H39"/>
      <c r="I39"/>
      <c r="J39"/>
      <c r="K39"/>
      <c r="L39"/>
      <c r="M39"/>
      <c r="N39"/>
      <c r="O39"/>
      <c r="P39"/>
      <c r="Q39"/>
      <c r="R39"/>
      <c r="S39"/>
      <c r="T39"/>
      <c r="U39"/>
      <c r="V39"/>
      <c r="W39"/>
      <c r="X39"/>
      <c r="Y39"/>
      <c r="Z39"/>
      <c r="AA39"/>
      <c r="AB39"/>
      <c r="AC39"/>
      <c r="AD39"/>
      <c r="AE39"/>
      <c r="AF39"/>
      <c r="AG39"/>
      <c r="AH39"/>
      <c r="AI39"/>
      <c r="AJ39"/>
      <c r="AK39"/>
      <c r="AL39"/>
      <c r="AM39"/>
      <c r="AN39"/>
    </row>
    <row r="40" spans="1:41" x14ac:dyDescent="0.2">
      <c r="A40"/>
      <c r="B40"/>
      <c r="C40"/>
      <c r="D40"/>
      <c r="E40"/>
      <c r="F40"/>
      <c r="G40"/>
      <c r="H40"/>
      <c r="I40"/>
      <c r="J40"/>
      <c r="K40"/>
      <c r="L40"/>
      <c r="M40"/>
      <c r="N40"/>
      <c r="O40"/>
      <c r="P40"/>
      <c r="Q40"/>
      <c r="R40"/>
      <c r="S40"/>
      <c r="T40"/>
      <c r="U40"/>
      <c r="V40"/>
      <c r="W40"/>
      <c r="X40"/>
      <c r="Y40"/>
      <c r="Z40"/>
      <c r="AA40"/>
      <c r="AB40"/>
      <c r="AC40"/>
      <c r="AD40"/>
      <c r="AE40"/>
      <c r="AF40"/>
      <c r="AG40"/>
      <c r="AH40"/>
      <c r="AI40"/>
      <c r="AJ40"/>
      <c r="AK40"/>
      <c r="AL40"/>
      <c r="AM40"/>
    </row>
    <row r="41" spans="1:41" x14ac:dyDescent="0.2">
      <c r="A41"/>
      <c r="B41"/>
      <c r="C41"/>
      <c r="D41"/>
      <c r="E41"/>
      <c r="F41"/>
      <c r="G41"/>
      <c r="H41"/>
      <c r="I41"/>
      <c r="J41"/>
      <c r="K41"/>
      <c r="L41"/>
      <c r="M41"/>
      <c r="N41"/>
      <c r="O41"/>
      <c r="P41"/>
      <c r="Q41"/>
      <c r="R41"/>
      <c r="S41"/>
      <c r="T41"/>
      <c r="U41"/>
      <c r="V41"/>
      <c r="W41"/>
      <c r="X41"/>
      <c r="AC41"/>
      <c r="AD41"/>
      <c r="AE41"/>
      <c r="AF41"/>
      <c r="AG41"/>
      <c r="AH41"/>
      <c r="AI41"/>
      <c r="AJ41"/>
      <c r="AK41"/>
      <c r="AL41"/>
      <c r="AM41"/>
    </row>
    <row r="42" spans="1:41" x14ac:dyDescent="0.2">
      <c r="A42"/>
      <c r="B42"/>
      <c r="C42"/>
      <c r="D42"/>
      <c r="E42"/>
      <c r="F42"/>
      <c r="G42"/>
      <c r="H42"/>
      <c r="I42"/>
      <c r="J42"/>
      <c r="K42"/>
      <c r="L42"/>
      <c r="M42"/>
      <c r="N42"/>
      <c r="O42"/>
      <c r="P42"/>
      <c r="Q42"/>
      <c r="R42"/>
      <c r="S42"/>
      <c r="T42"/>
      <c r="U42"/>
      <c r="V42"/>
      <c r="W42"/>
      <c r="X42"/>
      <c r="AC42"/>
      <c r="AD42"/>
      <c r="AE42"/>
      <c r="AF42"/>
      <c r="AG42"/>
      <c r="AH42"/>
      <c r="AI42"/>
      <c r="AJ42"/>
      <c r="AK42"/>
      <c r="AL42"/>
      <c r="AM42"/>
    </row>
    <row r="43" spans="1:41" x14ac:dyDescent="0.2">
      <c r="A43"/>
      <c r="B43"/>
      <c r="C43"/>
      <c r="D43"/>
      <c r="E43"/>
      <c r="F43"/>
      <c r="G43"/>
      <c r="H43"/>
      <c r="I43"/>
      <c r="J43"/>
      <c r="K43"/>
      <c r="L43"/>
      <c r="M43"/>
      <c r="N43"/>
      <c r="O43"/>
      <c r="P43"/>
      <c r="Q43"/>
      <c r="R43"/>
      <c r="S43"/>
      <c r="T43"/>
      <c r="U43"/>
      <c r="V43"/>
      <c r="W43"/>
      <c r="X43"/>
      <c r="Y43"/>
      <c r="Z43"/>
      <c r="AA43"/>
      <c r="AB43"/>
      <c r="AC43"/>
      <c r="AD43"/>
      <c r="AE43"/>
      <c r="AF43"/>
      <c r="AG43"/>
      <c r="AH43"/>
      <c r="AI43"/>
      <c r="AJ43"/>
      <c r="AK43"/>
      <c r="AL43"/>
      <c r="AM43"/>
    </row>
    <row r="44" spans="1:41" x14ac:dyDescent="0.2">
      <c r="A44"/>
      <c r="B44"/>
      <c r="C44"/>
      <c r="D44"/>
      <c r="E44"/>
      <c r="F44"/>
      <c r="G44"/>
      <c r="H44"/>
      <c r="I44"/>
      <c r="J44"/>
      <c r="K44"/>
      <c r="L44"/>
      <c r="M44"/>
      <c r="N44"/>
      <c r="O44"/>
      <c r="P44"/>
      <c r="Q44"/>
      <c r="R44"/>
      <c r="S44"/>
      <c r="T44"/>
      <c r="U44"/>
      <c r="V44"/>
      <c r="W44"/>
      <c r="X44"/>
      <c r="AC44"/>
      <c r="AD44"/>
      <c r="AE44"/>
      <c r="AF44"/>
      <c r="AG44"/>
      <c r="AH44"/>
      <c r="AI44"/>
      <c r="AJ44"/>
      <c r="AK44"/>
      <c r="AL44"/>
      <c r="AM44"/>
    </row>
    <row r="45" spans="1:41" x14ac:dyDescent="0.2">
      <c r="A45"/>
      <c r="B45"/>
      <c r="C45"/>
      <c r="D45"/>
      <c r="E45"/>
      <c r="F45"/>
      <c r="G45"/>
      <c r="H45"/>
      <c r="I45"/>
      <c r="J45"/>
      <c r="K45"/>
      <c r="L45"/>
      <c r="M45"/>
      <c r="N45"/>
      <c r="O45"/>
      <c r="P45"/>
      <c r="Q45"/>
      <c r="R45"/>
      <c r="S45"/>
      <c r="T45"/>
      <c r="U45"/>
      <c r="V45"/>
      <c r="W45"/>
      <c r="X45"/>
      <c r="AC45"/>
      <c r="AD45"/>
      <c r="AE45"/>
      <c r="AF45"/>
      <c r="AG45"/>
      <c r="AH45"/>
      <c r="AI45"/>
      <c r="AJ45"/>
      <c r="AK45"/>
      <c r="AL45"/>
      <c r="AM45"/>
    </row>
    <row r="46" spans="1:41" x14ac:dyDescent="0.2">
      <c r="A46"/>
      <c r="B46"/>
      <c r="C46"/>
      <c r="D46"/>
      <c r="E46"/>
      <c r="F46"/>
      <c r="G46"/>
      <c r="H46"/>
      <c r="I46"/>
      <c r="J46"/>
      <c r="K46"/>
      <c r="L46"/>
      <c r="M46"/>
      <c r="N46"/>
      <c r="O46"/>
      <c r="P46"/>
      <c r="Q46"/>
      <c r="R46"/>
      <c r="S46"/>
      <c r="T46"/>
      <c r="U46"/>
      <c r="V46"/>
      <c r="W46"/>
      <c r="X46"/>
      <c r="Y46"/>
      <c r="Z46"/>
      <c r="AA46"/>
      <c r="AB46"/>
      <c r="AC46"/>
      <c r="AD46"/>
      <c r="AE46"/>
      <c r="AF46"/>
      <c r="AG46"/>
      <c r="AH46"/>
      <c r="AI46"/>
      <c r="AJ46"/>
      <c r="AK46"/>
      <c r="AL46"/>
      <c r="AM46"/>
    </row>
    <row r="47" spans="1:41" x14ac:dyDescent="0.2">
      <c r="A47"/>
      <c r="B47"/>
      <c r="C47"/>
      <c r="D47"/>
      <c r="E47"/>
      <c r="F47"/>
      <c r="G47"/>
      <c r="H47"/>
      <c r="I47"/>
      <c r="J47"/>
      <c r="K47"/>
      <c r="L47"/>
      <c r="M47"/>
      <c r="N47"/>
      <c r="O47"/>
      <c r="P47"/>
      <c r="Q47"/>
      <c r="R47"/>
      <c r="S47"/>
      <c r="T47"/>
      <c r="U47"/>
      <c r="V47"/>
      <c r="W47"/>
      <c r="X47"/>
      <c r="Y47"/>
      <c r="Z47"/>
      <c r="AA47"/>
      <c r="AB47"/>
      <c r="AC47"/>
      <c r="AD47"/>
      <c r="AE47"/>
      <c r="AF47"/>
      <c r="AG47"/>
      <c r="AH47"/>
      <c r="AI47"/>
      <c r="AJ47"/>
      <c r="AK47"/>
      <c r="AL47"/>
      <c r="AM47"/>
    </row>
    <row r="48" spans="1:41" x14ac:dyDescent="0.2">
      <c r="A48"/>
      <c r="B48"/>
      <c r="C48"/>
      <c r="D48"/>
      <c r="E48"/>
      <c r="F48"/>
      <c r="G48"/>
      <c r="H48"/>
      <c r="I48"/>
      <c r="J48"/>
      <c r="K48"/>
      <c r="L48"/>
      <c r="M48"/>
      <c r="N48"/>
      <c r="O48"/>
      <c r="P48"/>
      <c r="Q48"/>
      <c r="R48"/>
      <c r="S48"/>
      <c r="T48"/>
      <c r="U48"/>
      <c r="V48"/>
      <c r="W48"/>
      <c r="X48"/>
      <c r="Y48"/>
      <c r="Z48"/>
      <c r="AA48"/>
      <c r="AB48"/>
      <c r="AC48"/>
      <c r="AD48"/>
      <c r="AE48"/>
      <c r="AF48"/>
      <c r="AG48"/>
      <c r="AH48"/>
      <c r="AI48"/>
      <c r="AJ48"/>
      <c r="AK48"/>
      <c r="AL48"/>
      <c r="AM48"/>
    </row>
    <row r="49" spans="1:41" x14ac:dyDescent="0.2">
      <c r="A49"/>
      <c r="B49"/>
      <c r="C49"/>
      <c r="D49"/>
      <c r="E49"/>
      <c r="F49"/>
      <c r="G49"/>
      <c r="H49"/>
      <c r="I49"/>
      <c r="J49"/>
      <c r="K49"/>
      <c r="L49"/>
      <c r="M49"/>
      <c r="N49"/>
      <c r="O49"/>
      <c r="P49"/>
      <c r="Q49"/>
      <c r="R49"/>
      <c r="S49"/>
      <c r="T49"/>
      <c r="U49"/>
      <c r="V49"/>
      <c r="W49"/>
      <c r="X49"/>
      <c r="Y49"/>
      <c r="Z49"/>
      <c r="AA49"/>
      <c r="AB49"/>
      <c r="AC49"/>
      <c r="AD49"/>
      <c r="AE49"/>
      <c r="AF49"/>
      <c r="AG49"/>
      <c r="AH49"/>
      <c r="AI49"/>
      <c r="AJ49"/>
      <c r="AK49"/>
      <c r="AL49"/>
      <c r="AM49"/>
    </row>
    <row r="50" spans="1:41" x14ac:dyDescent="0.2">
      <c r="A50"/>
      <c r="B50"/>
      <c r="C50"/>
      <c r="D50"/>
      <c r="E50"/>
      <c r="F50"/>
      <c r="G50"/>
      <c r="H50"/>
      <c r="I50"/>
      <c r="J50"/>
      <c r="K50"/>
      <c r="L50"/>
      <c r="M50"/>
      <c r="N50"/>
      <c r="O50"/>
      <c r="P50"/>
      <c r="Q50"/>
      <c r="R50"/>
      <c r="S50"/>
      <c r="T50"/>
      <c r="U50"/>
      <c r="V50"/>
      <c r="W50"/>
      <c r="X50"/>
      <c r="Y50"/>
      <c r="Z50"/>
      <c r="AA50"/>
      <c r="AB50"/>
      <c r="AC50"/>
      <c r="AD50"/>
      <c r="AE50"/>
      <c r="AF50"/>
      <c r="AG50"/>
      <c r="AH50"/>
      <c r="AI50"/>
      <c r="AJ50"/>
      <c r="AK50"/>
      <c r="AL50"/>
      <c r="AM50"/>
    </row>
    <row r="51" spans="1:41" x14ac:dyDescent="0.2">
      <c r="A51"/>
      <c r="B51"/>
      <c r="C51"/>
      <c r="D51"/>
      <c r="E51"/>
      <c r="F51"/>
      <c r="G51"/>
      <c r="H51"/>
      <c r="I51"/>
      <c r="J51"/>
      <c r="K51"/>
      <c r="L51"/>
      <c r="M51"/>
      <c r="N51"/>
      <c r="O51"/>
      <c r="P51"/>
      <c r="Q51"/>
      <c r="R51"/>
      <c r="S51"/>
      <c r="T51"/>
      <c r="U51"/>
      <c r="V51"/>
      <c r="W51"/>
      <c r="X51"/>
      <c r="Y51"/>
      <c r="Z51"/>
      <c r="AA51"/>
      <c r="AB51"/>
      <c r="AC51"/>
      <c r="AD51"/>
      <c r="AE51"/>
      <c r="AF51"/>
      <c r="AG51"/>
      <c r="AH51"/>
      <c r="AI51"/>
      <c r="AJ51"/>
      <c r="AK51"/>
      <c r="AL51"/>
      <c r="AM51"/>
    </row>
    <row r="52" spans="1:41" x14ac:dyDescent="0.2">
      <c r="A52"/>
      <c r="B52"/>
      <c r="C52"/>
      <c r="D52"/>
      <c r="E52"/>
      <c r="F52"/>
      <c r="G52"/>
      <c r="H52"/>
      <c r="I52"/>
      <c r="J52"/>
      <c r="K52"/>
      <c r="L52"/>
      <c r="M52"/>
      <c r="N52"/>
      <c r="O52"/>
      <c r="P52"/>
      <c r="Q52"/>
      <c r="R52"/>
      <c r="S52"/>
      <c r="T52"/>
      <c r="U52"/>
      <c r="V52"/>
      <c r="W52"/>
      <c r="X52"/>
      <c r="Y52"/>
      <c r="Z52"/>
      <c r="AA52"/>
      <c r="AB52"/>
      <c r="AC52"/>
      <c r="AD52"/>
      <c r="AE52"/>
      <c r="AF52"/>
      <c r="AG52"/>
      <c r="AH52"/>
      <c r="AI52"/>
      <c r="AJ52"/>
      <c r="AK52"/>
      <c r="AL52"/>
      <c r="AM52"/>
    </row>
    <row r="53" spans="1:41" x14ac:dyDescent="0.2">
      <c r="A53"/>
      <c r="B53"/>
      <c r="C53"/>
      <c r="D53"/>
      <c r="E53"/>
      <c r="F53"/>
      <c r="G53"/>
      <c r="H53"/>
      <c r="I53"/>
      <c r="J53"/>
      <c r="K53"/>
      <c r="L53"/>
      <c r="M53"/>
      <c r="N53"/>
      <c r="O53"/>
      <c r="P53"/>
      <c r="Q53"/>
      <c r="R53"/>
      <c r="S53"/>
      <c r="T53"/>
      <c r="U53"/>
      <c r="V53"/>
      <c r="W53"/>
      <c r="X53"/>
      <c r="Y53"/>
      <c r="Z53"/>
      <c r="AA53"/>
      <c r="AB53"/>
      <c r="AC53"/>
      <c r="AD53"/>
      <c r="AE53"/>
      <c r="AF53"/>
      <c r="AG53"/>
      <c r="AH53"/>
      <c r="AI53"/>
      <c r="AJ53"/>
      <c r="AK53"/>
      <c r="AL53"/>
      <c r="AM53"/>
      <c r="AN53"/>
    </row>
    <row r="54" spans="1:41" x14ac:dyDescent="0.2">
      <c r="A54"/>
      <c r="B54"/>
      <c r="C54"/>
      <c r="D54"/>
      <c r="E54"/>
      <c r="F54"/>
      <c r="G54"/>
      <c r="H54"/>
      <c r="I54"/>
      <c r="J54"/>
      <c r="K54"/>
      <c r="L54"/>
      <c r="M54"/>
      <c r="N54"/>
      <c r="O54"/>
      <c r="P54"/>
      <c r="Q54"/>
      <c r="R54"/>
      <c r="S54"/>
      <c r="T54"/>
      <c r="U54"/>
      <c r="V54"/>
      <c r="W54"/>
      <c r="X54"/>
      <c r="Y54"/>
      <c r="Z54"/>
      <c r="AA54"/>
      <c r="AB54"/>
      <c r="AC54"/>
      <c r="AD54"/>
      <c r="AE54"/>
      <c r="AF54"/>
      <c r="AG54"/>
      <c r="AH54"/>
      <c r="AI54"/>
      <c r="AJ54"/>
      <c r="AK54"/>
      <c r="AL54"/>
      <c r="AM54"/>
      <c r="AN54"/>
    </row>
    <row r="55" spans="1:41" x14ac:dyDescent="0.2">
      <c r="A55"/>
      <c r="B55"/>
      <c r="C55"/>
      <c r="D55"/>
      <c r="E55"/>
      <c r="F55"/>
      <c r="G55"/>
      <c r="H55"/>
      <c r="I55"/>
      <c r="J55"/>
      <c r="K55"/>
      <c r="L55"/>
      <c r="M55"/>
      <c r="N55"/>
      <c r="O55"/>
      <c r="P55"/>
      <c r="Q55"/>
      <c r="R55"/>
      <c r="S55"/>
      <c r="T55"/>
      <c r="U55"/>
      <c r="V55"/>
      <c r="W55"/>
      <c r="X55"/>
      <c r="Y55"/>
      <c r="Z55"/>
      <c r="AA55"/>
      <c r="AB55"/>
      <c r="AC55"/>
      <c r="AD55"/>
      <c r="AE55"/>
      <c r="AF55"/>
      <c r="AG55"/>
      <c r="AH55"/>
      <c r="AI55"/>
      <c r="AJ55"/>
      <c r="AK55"/>
      <c r="AL55"/>
      <c r="AM55"/>
      <c r="AN55"/>
    </row>
    <row r="56" spans="1:41" x14ac:dyDescent="0.2">
      <c r="A56"/>
      <c r="B56"/>
      <c r="C56"/>
      <c r="D56"/>
      <c r="E56"/>
      <c r="G56"/>
      <c r="H56"/>
      <c r="I56"/>
      <c r="J56"/>
      <c r="K56"/>
      <c r="L56"/>
      <c r="M56"/>
      <c r="N56"/>
      <c r="O56"/>
      <c r="P56"/>
      <c r="Q56"/>
      <c r="R56"/>
      <c r="S56"/>
      <c r="T56"/>
      <c r="U56"/>
      <c r="V56"/>
      <c r="W56"/>
      <c r="X56"/>
      <c r="Y56"/>
      <c r="Z56"/>
      <c r="AA56"/>
      <c r="AB56"/>
      <c r="AC56"/>
      <c r="AD56"/>
      <c r="AE56"/>
      <c r="AF56"/>
      <c r="AG56"/>
      <c r="AH56"/>
      <c r="AI56"/>
      <c r="AJ56"/>
      <c r="AL56"/>
      <c r="AM56"/>
      <c r="AN56"/>
    </row>
    <row r="57" spans="1:41" x14ac:dyDescent="0.2">
      <c r="A57"/>
      <c r="B57"/>
      <c r="C57"/>
      <c r="D57"/>
      <c r="E57"/>
      <c r="F57"/>
      <c r="G57"/>
      <c r="H57"/>
      <c r="I57"/>
      <c r="J57"/>
      <c r="K57"/>
      <c r="L57"/>
      <c r="M57"/>
      <c r="N57"/>
      <c r="O57"/>
      <c r="P57"/>
      <c r="Q57"/>
      <c r="R57"/>
      <c r="S57"/>
      <c r="T57"/>
      <c r="U57"/>
      <c r="V57"/>
      <c r="W57"/>
      <c r="X57"/>
      <c r="Y57"/>
      <c r="Z57"/>
      <c r="AA57"/>
      <c r="AB57"/>
      <c r="AC57"/>
      <c r="AD57"/>
      <c r="AE57"/>
      <c r="AF57"/>
      <c r="AG57"/>
      <c r="AH57"/>
      <c r="AI57"/>
      <c r="AJ57"/>
      <c r="AK57"/>
      <c r="AL57"/>
      <c r="AM57"/>
    </row>
    <row r="58" spans="1:41" x14ac:dyDescent="0.2">
      <c r="A58"/>
      <c r="B58"/>
      <c r="C58"/>
      <c r="D58"/>
      <c r="E58"/>
      <c r="F58"/>
      <c r="G58"/>
      <c r="H58"/>
      <c r="I58"/>
      <c r="J58"/>
      <c r="K58"/>
      <c r="L58"/>
      <c r="M58"/>
      <c r="N58"/>
      <c r="O58"/>
      <c r="P58"/>
      <c r="Q58"/>
      <c r="R58"/>
      <c r="S58"/>
      <c r="T58"/>
      <c r="U58"/>
      <c r="V58"/>
      <c r="W58"/>
      <c r="X58"/>
      <c r="Y58"/>
      <c r="Z58"/>
      <c r="AA58"/>
      <c r="AB58"/>
      <c r="AC58"/>
      <c r="AD58"/>
      <c r="AE58"/>
      <c r="AF58"/>
      <c r="AG58"/>
      <c r="AH58"/>
      <c r="AI58"/>
      <c r="AJ58"/>
      <c r="AK58"/>
      <c r="AL58"/>
      <c r="AM58"/>
      <c r="AN58"/>
      <c r="AO58"/>
    </row>
    <row r="59" spans="1:41" x14ac:dyDescent="0.2">
      <c r="A59"/>
      <c r="B59"/>
      <c r="C59"/>
      <c r="D59"/>
      <c r="E59"/>
      <c r="F59"/>
      <c r="G59"/>
      <c r="H59"/>
      <c r="I59"/>
      <c r="J59"/>
      <c r="K59"/>
      <c r="L59"/>
      <c r="M59"/>
      <c r="N59"/>
      <c r="O59"/>
      <c r="P59"/>
      <c r="Q59"/>
      <c r="R59"/>
      <c r="S59"/>
      <c r="T59"/>
      <c r="U59"/>
      <c r="V59"/>
      <c r="W59"/>
      <c r="X59"/>
      <c r="Y59"/>
      <c r="Z59"/>
      <c r="AA59"/>
      <c r="AB59"/>
      <c r="AC59"/>
      <c r="AD59"/>
      <c r="AE59"/>
      <c r="AF59"/>
      <c r="AG59"/>
      <c r="AI59"/>
      <c r="AJ59"/>
      <c r="AK59"/>
      <c r="AL59"/>
      <c r="AM59"/>
      <c r="AN59"/>
      <c r="AO59"/>
    </row>
    <row r="60" spans="1:41" x14ac:dyDescent="0.2">
      <c r="A60"/>
      <c r="B60"/>
      <c r="C60"/>
      <c r="D60"/>
      <c r="E60"/>
      <c r="F60"/>
      <c r="G60"/>
      <c r="H60"/>
      <c r="I60"/>
      <c r="J60"/>
      <c r="K60"/>
      <c r="L60"/>
      <c r="M60"/>
      <c r="N60"/>
      <c r="O60"/>
      <c r="P60"/>
      <c r="Q60"/>
      <c r="R60"/>
      <c r="S60"/>
      <c r="T60"/>
      <c r="U60"/>
      <c r="V60"/>
      <c r="W60"/>
      <c r="X60"/>
      <c r="Y60"/>
      <c r="Z60"/>
      <c r="AA60"/>
      <c r="AB60"/>
      <c r="AC60"/>
      <c r="AD60"/>
      <c r="AE60"/>
      <c r="AF60"/>
      <c r="AG60"/>
      <c r="AH60"/>
      <c r="AI60"/>
      <c r="AJ60"/>
      <c r="AK60"/>
      <c r="AL60"/>
      <c r="AM60"/>
    </row>
    <row r="61" spans="1:41" x14ac:dyDescent="0.2">
      <c r="A61"/>
      <c r="B61"/>
      <c r="C61"/>
      <c r="D61"/>
      <c r="E61"/>
      <c r="F61"/>
      <c r="G61"/>
      <c r="H61"/>
      <c r="I61"/>
      <c r="J61"/>
      <c r="K61"/>
      <c r="L61"/>
      <c r="M61"/>
      <c r="N61"/>
      <c r="O61"/>
      <c r="P61"/>
      <c r="Q61"/>
      <c r="R61"/>
      <c r="S61"/>
      <c r="T61"/>
      <c r="U61"/>
      <c r="V61"/>
      <c r="W61"/>
      <c r="X61"/>
      <c r="Y61"/>
      <c r="Z61"/>
      <c r="AA61"/>
      <c r="AB61"/>
      <c r="AC61"/>
      <c r="AD61"/>
      <c r="AE61"/>
      <c r="AF61"/>
      <c r="AG61"/>
      <c r="AH61"/>
      <c r="AI61"/>
      <c r="AJ61"/>
      <c r="AK61"/>
      <c r="AL61"/>
      <c r="AM61"/>
    </row>
    <row r="62" spans="1:41" x14ac:dyDescent="0.2">
      <c r="A62"/>
      <c r="B62"/>
      <c r="C62"/>
      <c r="D62"/>
      <c r="E62"/>
      <c r="F62"/>
      <c r="G62"/>
      <c r="H62"/>
      <c r="I62"/>
      <c r="J62"/>
      <c r="K62"/>
      <c r="L62"/>
      <c r="M62"/>
      <c r="N62"/>
      <c r="O62"/>
      <c r="P62"/>
      <c r="Q62"/>
      <c r="R62"/>
      <c r="S62"/>
      <c r="T62"/>
      <c r="U62"/>
      <c r="V62"/>
      <c r="W62"/>
      <c r="X62"/>
      <c r="Y62"/>
      <c r="Z62"/>
      <c r="AA62"/>
      <c r="AB62"/>
      <c r="AC62"/>
      <c r="AD62"/>
      <c r="AE62"/>
      <c r="AF62"/>
      <c r="AG62"/>
      <c r="AH62"/>
      <c r="AI62"/>
      <c r="AJ62"/>
      <c r="AK62"/>
      <c r="AL62"/>
      <c r="AM62"/>
    </row>
    <row r="63" spans="1:41" x14ac:dyDescent="0.2">
      <c r="A63"/>
      <c r="B63"/>
      <c r="C63"/>
      <c r="D63"/>
      <c r="E63"/>
      <c r="F63"/>
      <c r="G63"/>
      <c r="H63"/>
      <c r="I63"/>
      <c r="J63"/>
      <c r="K63"/>
      <c r="L63"/>
      <c r="M63"/>
      <c r="N63"/>
      <c r="O63"/>
      <c r="P63"/>
      <c r="Q63"/>
      <c r="R63"/>
      <c r="S63"/>
      <c r="T63"/>
      <c r="U63"/>
      <c r="V63"/>
      <c r="W63"/>
      <c r="X63"/>
      <c r="Y63"/>
      <c r="Z63"/>
      <c r="AA63"/>
      <c r="AB63"/>
      <c r="AC63"/>
      <c r="AD63"/>
      <c r="AE63"/>
      <c r="AF63"/>
      <c r="AG63"/>
      <c r="AH63"/>
      <c r="AI63"/>
      <c r="AJ63"/>
      <c r="AK63"/>
      <c r="AL63"/>
      <c r="AM63"/>
    </row>
    <row r="64" spans="1:41" x14ac:dyDescent="0.2">
      <c r="A64"/>
      <c r="B64"/>
      <c r="C64"/>
      <c r="D64"/>
      <c r="E64"/>
      <c r="F64"/>
      <c r="G64"/>
      <c r="H64"/>
      <c r="I64"/>
      <c r="J64"/>
      <c r="K64"/>
      <c r="L64"/>
      <c r="M64"/>
      <c r="N64"/>
      <c r="O64"/>
      <c r="P64"/>
      <c r="Q64"/>
      <c r="R64"/>
      <c r="S64"/>
      <c r="T64"/>
      <c r="U64"/>
      <c r="V64"/>
      <c r="W64"/>
      <c r="X64"/>
      <c r="Y64"/>
      <c r="Z64"/>
      <c r="AA64"/>
      <c r="AB64"/>
      <c r="AC64"/>
      <c r="AD64"/>
      <c r="AE64"/>
      <c r="AF64"/>
      <c r="AG64"/>
      <c r="AH64"/>
      <c r="AI64"/>
      <c r="AJ64"/>
      <c r="AK64"/>
      <c r="AL64"/>
      <c r="AM64"/>
    </row>
    <row r="65" spans="1:40" x14ac:dyDescent="0.2">
      <c r="A65"/>
      <c r="B65"/>
      <c r="C65"/>
      <c r="D65"/>
      <c r="E65"/>
      <c r="F65"/>
      <c r="G65"/>
      <c r="H65"/>
      <c r="I65"/>
      <c r="J65"/>
      <c r="K65"/>
      <c r="L65"/>
      <c r="M65"/>
      <c r="N65"/>
      <c r="O65"/>
      <c r="P65"/>
      <c r="Q65"/>
      <c r="R65"/>
      <c r="S65"/>
      <c r="T65"/>
      <c r="U65"/>
      <c r="V65"/>
      <c r="W65"/>
      <c r="X65"/>
      <c r="Y65"/>
      <c r="Z65"/>
      <c r="AA65"/>
      <c r="AB65"/>
      <c r="AC65"/>
      <c r="AD65"/>
      <c r="AE65"/>
      <c r="AF65"/>
      <c r="AG65"/>
      <c r="AH65"/>
      <c r="AI65"/>
      <c r="AJ65"/>
      <c r="AK65"/>
      <c r="AL65"/>
      <c r="AM65"/>
    </row>
    <row r="66" spans="1:40" x14ac:dyDescent="0.2">
      <c r="A66"/>
      <c r="B66"/>
      <c r="C66"/>
      <c r="D66"/>
      <c r="E66"/>
      <c r="F66"/>
      <c r="G66"/>
      <c r="H66"/>
      <c r="I66"/>
      <c r="J66"/>
      <c r="K66"/>
      <c r="L66"/>
      <c r="M66"/>
      <c r="N66"/>
      <c r="O66"/>
      <c r="P66"/>
      <c r="Q66"/>
      <c r="R66"/>
      <c r="S66"/>
      <c r="T66"/>
      <c r="U66"/>
      <c r="V66"/>
      <c r="W66"/>
      <c r="X66"/>
      <c r="Y66"/>
      <c r="Z66"/>
      <c r="AA66"/>
      <c r="AB66"/>
      <c r="AC66"/>
      <c r="AD66"/>
      <c r="AE66"/>
      <c r="AF66"/>
      <c r="AG66"/>
      <c r="AH66"/>
      <c r="AI66"/>
      <c r="AJ66"/>
      <c r="AK66"/>
      <c r="AL66"/>
      <c r="AM66"/>
    </row>
    <row r="67" spans="1:40" x14ac:dyDescent="0.2">
      <c r="A67"/>
      <c r="B67"/>
      <c r="C67"/>
      <c r="D67"/>
      <c r="E67"/>
      <c r="F67"/>
      <c r="G67"/>
      <c r="H67"/>
      <c r="I67"/>
      <c r="J67"/>
      <c r="K67"/>
      <c r="L67"/>
      <c r="M67"/>
      <c r="N67"/>
      <c r="O67"/>
      <c r="P67"/>
      <c r="Q67"/>
      <c r="R67"/>
      <c r="S67"/>
      <c r="T67"/>
      <c r="U67"/>
      <c r="V67"/>
      <c r="W67"/>
      <c r="X67"/>
      <c r="Y67"/>
      <c r="Z67"/>
      <c r="AA67"/>
      <c r="AB67"/>
      <c r="AC67"/>
      <c r="AD67"/>
      <c r="AE67"/>
      <c r="AF67"/>
      <c r="AG67"/>
      <c r="AH67"/>
      <c r="AI67"/>
      <c r="AJ67"/>
      <c r="AK67"/>
      <c r="AL67"/>
      <c r="AM67"/>
    </row>
    <row r="68" spans="1:40" x14ac:dyDescent="0.2">
      <c r="A68"/>
      <c r="B68"/>
      <c r="C68"/>
      <c r="D68"/>
      <c r="E68"/>
      <c r="F68"/>
      <c r="G68"/>
      <c r="H68"/>
      <c r="I68"/>
      <c r="J68"/>
      <c r="K68"/>
      <c r="L68"/>
      <c r="M68"/>
      <c r="N68"/>
      <c r="O68"/>
      <c r="P68"/>
      <c r="Q68"/>
      <c r="R68"/>
      <c r="S68"/>
      <c r="T68"/>
      <c r="U68"/>
      <c r="V68"/>
      <c r="W68"/>
      <c r="X68"/>
      <c r="Y68"/>
      <c r="Z68"/>
      <c r="AA68"/>
      <c r="AB68"/>
      <c r="AC68"/>
      <c r="AD68"/>
      <c r="AE68"/>
      <c r="AF68"/>
      <c r="AG68"/>
      <c r="AH68"/>
      <c r="AI68"/>
      <c r="AJ68"/>
      <c r="AK68"/>
      <c r="AL68"/>
      <c r="AM68"/>
    </row>
    <row r="69" spans="1:40" x14ac:dyDescent="0.2">
      <c r="A69"/>
      <c r="B69"/>
      <c r="C69"/>
      <c r="D69"/>
      <c r="E69"/>
      <c r="F69"/>
      <c r="G69"/>
      <c r="H69"/>
      <c r="I69"/>
      <c r="J69"/>
      <c r="K69"/>
      <c r="L69"/>
      <c r="M69"/>
      <c r="N69"/>
      <c r="O69"/>
      <c r="P69"/>
      <c r="Q69"/>
      <c r="R69"/>
      <c r="S69"/>
      <c r="T69"/>
      <c r="U69"/>
      <c r="V69"/>
      <c r="W69"/>
      <c r="X69"/>
      <c r="Y69"/>
      <c r="Z69"/>
      <c r="AA69"/>
      <c r="AB69"/>
      <c r="AC69"/>
      <c r="AD69"/>
      <c r="AE69"/>
      <c r="AF69"/>
      <c r="AG69"/>
      <c r="AH69"/>
      <c r="AI69"/>
      <c r="AJ69"/>
      <c r="AK69"/>
      <c r="AL69"/>
      <c r="AM69"/>
    </row>
    <row r="70" spans="1:40" x14ac:dyDescent="0.2">
      <c r="A70"/>
      <c r="B70"/>
      <c r="C70"/>
      <c r="D70"/>
      <c r="E70"/>
      <c r="F70"/>
      <c r="G70"/>
      <c r="H70"/>
      <c r="I70"/>
      <c r="J70"/>
      <c r="K70"/>
      <c r="L70"/>
      <c r="M70"/>
      <c r="N70"/>
      <c r="O70"/>
      <c r="P70"/>
      <c r="Q70"/>
      <c r="R70"/>
      <c r="S70"/>
      <c r="T70"/>
      <c r="U70"/>
      <c r="V70"/>
      <c r="W70"/>
      <c r="X70"/>
      <c r="Y70"/>
      <c r="Z70"/>
      <c r="AA70"/>
      <c r="AB70"/>
      <c r="AC70"/>
      <c r="AD70"/>
      <c r="AE70"/>
      <c r="AF70"/>
      <c r="AG70"/>
      <c r="AH70"/>
      <c r="AI70"/>
      <c r="AJ70"/>
      <c r="AK70"/>
      <c r="AL70"/>
      <c r="AM70"/>
    </row>
    <row r="71" spans="1:40" x14ac:dyDescent="0.2">
      <c r="A71"/>
      <c r="B71"/>
      <c r="C71"/>
      <c r="D71"/>
      <c r="E71"/>
      <c r="F71"/>
      <c r="G71"/>
      <c r="H71"/>
      <c r="I71"/>
      <c r="J71"/>
      <c r="K71"/>
      <c r="L71"/>
      <c r="M71"/>
      <c r="N71"/>
      <c r="O71"/>
      <c r="P71"/>
      <c r="Q71"/>
      <c r="R71"/>
      <c r="S71"/>
      <c r="T71"/>
      <c r="U71"/>
      <c r="V71"/>
      <c r="W71"/>
      <c r="X71"/>
      <c r="AC71"/>
      <c r="AD71"/>
      <c r="AE71"/>
      <c r="AF71"/>
      <c r="AG71"/>
      <c r="AH71"/>
      <c r="AI71"/>
      <c r="AJ71"/>
      <c r="AK71"/>
      <c r="AL71"/>
      <c r="AM71"/>
    </row>
    <row r="72" spans="1:40" x14ac:dyDescent="0.2">
      <c r="A72"/>
      <c r="B72"/>
      <c r="C72"/>
      <c r="D72"/>
      <c r="E72"/>
      <c r="F72"/>
      <c r="G72"/>
      <c r="H72"/>
      <c r="I72"/>
      <c r="J72"/>
      <c r="K72"/>
      <c r="L72"/>
      <c r="M72"/>
      <c r="N72"/>
      <c r="O72"/>
      <c r="P72"/>
      <c r="Q72"/>
      <c r="R72"/>
      <c r="S72"/>
      <c r="T72"/>
      <c r="U72"/>
      <c r="V72"/>
      <c r="W72"/>
      <c r="X72"/>
      <c r="Y72"/>
      <c r="Z72"/>
      <c r="AA72"/>
      <c r="AB72"/>
      <c r="AC72"/>
      <c r="AD72"/>
      <c r="AE72"/>
      <c r="AF72"/>
      <c r="AG72"/>
      <c r="AH72"/>
      <c r="AI72"/>
      <c r="AJ72"/>
      <c r="AK72"/>
      <c r="AL72"/>
      <c r="AM72"/>
    </row>
    <row r="73" spans="1:40" x14ac:dyDescent="0.2">
      <c r="A73"/>
      <c r="B73"/>
      <c r="C73"/>
      <c r="D73"/>
      <c r="E73"/>
      <c r="F73"/>
      <c r="G73"/>
      <c r="H73"/>
      <c r="I73"/>
      <c r="J73"/>
      <c r="K73"/>
      <c r="L73"/>
      <c r="M73"/>
      <c r="N73"/>
      <c r="O73"/>
      <c r="P73"/>
      <c r="Q73"/>
      <c r="R73"/>
      <c r="S73"/>
      <c r="T73"/>
      <c r="U73"/>
      <c r="V73"/>
      <c r="W73"/>
      <c r="X73"/>
      <c r="Y73"/>
      <c r="Z73"/>
      <c r="AA73"/>
      <c r="AB73"/>
      <c r="AC73"/>
      <c r="AD73"/>
      <c r="AE73"/>
      <c r="AF73"/>
      <c r="AG73"/>
      <c r="AH73"/>
      <c r="AI73"/>
      <c r="AJ73"/>
      <c r="AK73"/>
      <c r="AL73"/>
      <c r="AM73"/>
      <c r="AN73"/>
    </row>
    <row r="74" spans="1:40" x14ac:dyDescent="0.2">
      <c r="A74"/>
      <c r="B74"/>
      <c r="C74"/>
      <c r="D74"/>
      <c r="E74"/>
      <c r="F74"/>
      <c r="G74"/>
      <c r="H74"/>
      <c r="I74"/>
      <c r="J74"/>
      <c r="K74"/>
      <c r="L74"/>
      <c r="M74"/>
      <c r="N74"/>
      <c r="O74"/>
      <c r="P74"/>
      <c r="Q74"/>
      <c r="R74"/>
      <c r="S74"/>
      <c r="T74"/>
      <c r="U74"/>
      <c r="V74"/>
      <c r="W74"/>
      <c r="X74"/>
      <c r="Y74"/>
      <c r="Z74"/>
      <c r="AA74"/>
      <c r="AB74"/>
      <c r="AC74"/>
      <c r="AD74"/>
      <c r="AE74"/>
      <c r="AF74"/>
      <c r="AG74"/>
      <c r="AI74"/>
      <c r="AJ74"/>
      <c r="AK74"/>
      <c r="AL74"/>
      <c r="AM74"/>
      <c r="AN74"/>
    </row>
    <row r="75" spans="1:40" x14ac:dyDescent="0.2">
      <c r="A75"/>
      <c r="B75"/>
      <c r="C75"/>
      <c r="D75"/>
      <c r="E75"/>
      <c r="F75"/>
      <c r="G75"/>
      <c r="H75"/>
      <c r="I75"/>
      <c r="J75"/>
      <c r="K75"/>
      <c r="L75"/>
      <c r="M75"/>
      <c r="N75"/>
      <c r="O75"/>
      <c r="P75"/>
      <c r="Q75"/>
      <c r="R75"/>
      <c r="S75"/>
      <c r="T75"/>
      <c r="U75"/>
      <c r="V75"/>
      <c r="W75"/>
      <c r="X75"/>
      <c r="Y75"/>
      <c r="Z75"/>
      <c r="AA75"/>
      <c r="AB75"/>
      <c r="AC75"/>
      <c r="AD75"/>
      <c r="AE75"/>
      <c r="AF75"/>
      <c r="AG75"/>
      <c r="AH75"/>
      <c r="AI75"/>
      <c r="AJ75"/>
      <c r="AK75"/>
      <c r="AL75"/>
      <c r="AM75"/>
    </row>
    <row r="76" spans="1:40" x14ac:dyDescent="0.2">
      <c r="A76"/>
      <c r="B76"/>
      <c r="C76"/>
      <c r="D76"/>
      <c r="E76"/>
      <c r="F76"/>
      <c r="G76"/>
      <c r="H76"/>
      <c r="I76"/>
      <c r="J76"/>
      <c r="K76"/>
      <c r="L76"/>
      <c r="M76"/>
      <c r="N76"/>
      <c r="O76"/>
      <c r="P76"/>
      <c r="Q76"/>
      <c r="R76"/>
      <c r="S76"/>
      <c r="T76"/>
      <c r="U76"/>
      <c r="V76"/>
      <c r="W76"/>
      <c r="X76"/>
      <c r="Y76"/>
      <c r="Z76"/>
      <c r="AA76"/>
      <c r="AB76"/>
      <c r="AC76"/>
      <c r="AD76"/>
      <c r="AE76"/>
      <c r="AF76"/>
      <c r="AG76"/>
      <c r="AH76"/>
      <c r="AI76"/>
      <c r="AJ76"/>
      <c r="AK76"/>
      <c r="AL76"/>
      <c r="AM76"/>
      <c r="AN76"/>
    </row>
    <row r="77" spans="1:40" x14ac:dyDescent="0.2">
      <c r="A77"/>
      <c r="B77"/>
      <c r="C77"/>
      <c r="D77"/>
      <c r="E77"/>
      <c r="F77"/>
      <c r="G77"/>
      <c r="H77"/>
      <c r="I77"/>
      <c r="J77"/>
      <c r="K77"/>
      <c r="L77"/>
      <c r="M77"/>
      <c r="N77"/>
      <c r="O77"/>
      <c r="P77"/>
      <c r="Q77"/>
      <c r="R77"/>
      <c r="S77"/>
      <c r="T77"/>
      <c r="U77"/>
      <c r="V77"/>
      <c r="W77"/>
      <c r="X77"/>
      <c r="Y77"/>
      <c r="Z77"/>
      <c r="AA77"/>
      <c r="AB77"/>
      <c r="AC77"/>
      <c r="AD77"/>
      <c r="AE77"/>
      <c r="AF77"/>
      <c r="AG77"/>
      <c r="AH77"/>
      <c r="AI77"/>
      <c r="AJ77"/>
      <c r="AK77"/>
      <c r="AL77"/>
      <c r="AM77"/>
      <c r="AN77"/>
    </row>
    <row r="78" spans="1:40" x14ac:dyDescent="0.2">
      <c r="A78"/>
      <c r="B78"/>
      <c r="C78"/>
      <c r="D78"/>
      <c r="E78"/>
      <c r="F78"/>
      <c r="G78"/>
      <c r="H78"/>
      <c r="I78"/>
      <c r="J78"/>
      <c r="K78"/>
      <c r="L78"/>
      <c r="M78"/>
      <c r="N78"/>
      <c r="O78"/>
      <c r="P78"/>
      <c r="Q78"/>
      <c r="R78"/>
      <c r="S78"/>
      <c r="T78"/>
      <c r="U78"/>
      <c r="V78"/>
      <c r="W78"/>
      <c r="X78"/>
      <c r="Y78"/>
      <c r="Z78"/>
      <c r="AA78"/>
      <c r="AB78"/>
      <c r="AC78"/>
      <c r="AD78"/>
      <c r="AE78"/>
      <c r="AF78"/>
      <c r="AG78"/>
      <c r="AH78"/>
      <c r="AI78"/>
      <c r="AJ78"/>
      <c r="AK78"/>
      <c r="AL78"/>
      <c r="AM78"/>
    </row>
    <row r="79" spans="1:40" x14ac:dyDescent="0.2">
      <c r="A79"/>
      <c r="B79"/>
      <c r="C79"/>
      <c r="D79"/>
      <c r="E79"/>
      <c r="F79"/>
      <c r="G79"/>
      <c r="H79"/>
      <c r="I79"/>
      <c r="J79"/>
      <c r="K79"/>
      <c r="L79"/>
      <c r="M79"/>
      <c r="N79"/>
      <c r="O79"/>
      <c r="P79"/>
      <c r="Q79"/>
      <c r="R79"/>
      <c r="S79"/>
      <c r="T79"/>
      <c r="U79"/>
      <c r="V79"/>
      <c r="W79"/>
      <c r="X79"/>
      <c r="AC79"/>
      <c r="AD79"/>
      <c r="AE79"/>
      <c r="AF79"/>
      <c r="AG79"/>
      <c r="AH79"/>
      <c r="AI79"/>
      <c r="AJ79"/>
      <c r="AK79"/>
      <c r="AL79"/>
      <c r="AM79"/>
    </row>
    <row r="80" spans="1:40" x14ac:dyDescent="0.2">
      <c r="A80"/>
      <c r="B80"/>
      <c r="C80"/>
      <c r="D80"/>
      <c r="E80"/>
      <c r="F80"/>
      <c r="G80"/>
      <c r="H80"/>
      <c r="I80"/>
      <c r="J80"/>
      <c r="K80"/>
      <c r="L80"/>
      <c r="M80"/>
      <c r="N80"/>
      <c r="O80"/>
      <c r="P80"/>
      <c r="Q80"/>
      <c r="R80"/>
      <c r="S80"/>
      <c r="T80"/>
      <c r="U80"/>
      <c r="V80"/>
      <c r="W80"/>
      <c r="X80"/>
      <c r="Y80"/>
      <c r="Z80"/>
      <c r="AA80"/>
      <c r="AB80"/>
      <c r="AC80"/>
      <c r="AD80"/>
      <c r="AE80"/>
      <c r="AF80"/>
      <c r="AG80"/>
      <c r="AH80"/>
      <c r="AI80"/>
      <c r="AJ80"/>
      <c r="AK80"/>
      <c r="AL80"/>
      <c r="AM80"/>
    </row>
    <row r="81" spans="1:40" x14ac:dyDescent="0.2">
      <c r="A81"/>
      <c r="B81"/>
      <c r="C81"/>
      <c r="D81"/>
      <c r="E81"/>
      <c r="F81"/>
      <c r="G81"/>
      <c r="H81"/>
      <c r="I81"/>
      <c r="J81"/>
      <c r="K81"/>
      <c r="L81"/>
      <c r="M81"/>
      <c r="N81"/>
      <c r="O81"/>
      <c r="P81"/>
      <c r="Q81"/>
      <c r="R81"/>
      <c r="S81"/>
      <c r="T81"/>
      <c r="U81"/>
      <c r="V81"/>
      <c r="W81"/>
      <c r="X81"/>
      <c r="Y81"/>
      <c r="Z81"/>
      <c r="AA81"/>
      <c r="AB81"/>
      <c r="AC81"/>
      <c r="AD81"/>
      <c r="AE81"/>
      <c r="AF81"/>
      <c r="AG81"/>
      <c r="AH81"/>
      <c r="AI81"/>
      <c r="AJ81"/>
      <c r="AK81"/>
      <c r="AL81"/>
      <c r="AM81"/>
    </row>
    <row r="82" spans="1:40" x14ac:dyDescent="0.2">
      <c r="A82"/>
      <c r="B82"/>
      <c r="C82"/>
      <c r="D82"/>
      <c r="E82"/>
      <c r="F82"/>
      <c r="G82"/>
      <c r="H82"/>
      <c r="I82"/>
      <c r="J82"/>
      <c r="K82"/>
      <c r="L82"/>
      <c r="M82"/>
      <c r="N82"/>
      <c r="O82"/>
      <c r="P82"/>
      <c r="Q82"/>
      <c r="R82"/>
      <c r="S82"/>
      <c r="T82"/>
      <c r="U82"/>
      <c r="V82"/>
      <c r="W82"/>
      <c r="X82"/>
      <c r="Y82"/>
      <c r="Z82"/>
      <c r="AA82"/>
      <c r="AB82"/>
      <c r="AC82"/>
      <c r="AD82"/>
      <c r="AE82"/>
      <c r="AF82"/>
      <c r="AG82"/>
      <c r="AH82"/>
      <c r="AI82"/>
      <c r="AJ82"/>
      <c r="AK82"/>
      <c r="AL82"/>
      <c r="AM82"/>
    </row>
    <row r="83" spans="1:40" x14ac:dyDescent="0.2">
      <c r="A83"/>
      <c r="B83"/>
      <c r="C83"/>
      <c r="D83"/>
      <c r="E83"/>
      <c r="F83"/>
      <c r="G83"/>
      <c r="H83"/>
      <c r="I83"/>
      <c r="J83"/>
      <c r="K83"/>
      <c r="L83"/>
      <c r="M83"/>
      <c r="N83"/>
      <c r="O83"/>
      <c r="P83"/>
      <c r="Q83"/>
      <c r="R83"/>
      <c r="S83"/>
      <c r="T83"/>
      <c r="U83"/>
      <c r="V83"/>
      <c r="W83"/>
      <c r="X83"/>
      <c r="Y83"/>
      <c r="Z83"/>
      <c r="AA83"/>
      <c r="AB83"/>
      <c r="AC83"/>
      <c r="AD83"/>
      <c r="AE83"/>
      <c r="AF83"/>
      <c r="AG83"/>
      <c r="AH83"/>
      <c r="AI83"/>
      <c r="AJ83"/>
      <c r="AK83"/>
      <c r="AL83"/>
      <c r="AM83"/>
    </row>
    <row r="84" spans="1:40" x14ac:dyDescent="0.2">
      <c r="A84"/>
      <c r="B84"/>
      <c r="C84"/>
      <c r="D84"/>
      <c r="E84"/>
      <c r="F84"/>
      <c r="G84"/>
      <c r="H84"/>
      <c r="I84"/>
      <c r="J84"/>
      <c r="K84"/>
      <c r="L84"/>
      <c r="M84"/>
      <c r="N84"/>
      <c r="O84"/>
      <c r="P84"/>
      <c r="Q84"/>
      <c r="R84"/>
      <c r="S84"/>
      <c r="T84"/>
      <c r="U84"/>
      <c r="V84"/>
      <c r="W84"/>
      <c r="X84"/>
      <c r="Y84"/>
      <c r="Z84"/>
      <c r="AA84"/>
      <c r="AB84"/>
      <c r="AC84"/>
      <c r="AD84"/>
      <c r="AE84"/>
      <c r="AF84"/>
      <c r="AG84"/>
      <c r="AH84"/>
      <c r="AI84"/>
      <c r="AJ84"/>
      <c r="AK84"/>
      <c r="AL84"/>
      <c r="AM84"/>
    </row>
    <row r="85" spans="1:40" x14ac:dyDescent="0.2">
      <c r="A85"/>
      <c r="B85"/>
      <c r="C85"/>
      <c r="D85"/>
      <c r="E85"/>
      <c r="F85"/>
      <c r="G85"/>
      <c r="H85"/>
      <c r="I85"/>
      <c r="J85"/>
      <c r="K85"/>
      <c r="L85"/>
      <c r="M85"/>
      <c r="N85"/>
      <c r="O85"/>
      <c r="P85"/>
      <c r="Q85"/>
      <c r="R85"/>
      <c r="S85"/>
      <c r="T85"/>
      <c r="U85"/>
      <c r="V85"/>
      <c r="W85"/>
      <c r="X85"/>
      <c r="Y85"/>
      <c r="Z85"/>
      <c r="AA85"/>
      <c r="AB85"/>
      <c r="AC85"/>
      <c r="AD85"/>
      <c r="AE85"/>
      <c r="AF85"/>
      <c r="AG85"/>
      <c r="AH85"/>
      <c r="AI85"/>
      <c r="AJ85"/>
      <c r="AK85"/>
      <c r="AL85"/>
      <c r="AM85"/>
    </row>
    <row r="86" spans="1:40" x14ac:dyDescent="0.2">
      <c r="A86"/>
      <c r="B86"/>
      <c r="C86"/>
      <c r="D86"/>
      <c r="E86"/>
      <c r="F86"/>
      <c r="G86"/>
      <c r="H86"/>
      <c r="I86"/>
      <c r="J86"/>
      <c r="K86"/>
      <c r="L86"/>
      <c r="M86"/>
      <c r="N86"/>
      <c r="O86"/>
      <c r="P86"/>
      <c r="Q86"/>
      <c r="R86"/>
      <c r="S86"/>
      <c r="T86"/>
      <c r="U86"/>
      <c r="V86"/>
      <c r="W86"/>
      <c r="X86"/>
      <c r="Y86"/>
      <c r="Z86"/>
      <c r="AA86"/>
      <c r="AB86"/>
      <c r="AC86"/>
      <c r="AD86"/>
      <c r="AE86"/>
      <c r="AF86"/>
      <c r="AG86"/>
      <c r="AH86"/>
      <c r="AI86"/>
      <c r="AJ86"/>
      <c r="AK86"/>
      <c r="AL86"/>
      <c r="AM86"/>
    </row>
    <row r="87" spans="1:40" x14ac:dyDescent="0.2">
      <c r="A87"/>
      <c r="B87"/>
      <c r="C87"/>
      <c r="D87"/>
      <c r="E87"/>
      <c r="F87"/>
      <c r="G87"/>
      <c r="H87"/>
      <c r="I87"/>
      <c r="J87"/>
      <c r="K87"/>
      <c r="L87"/>
      <c r="M87"/>
      <c r="N87"/>
      <c r="O87"/>
      <c r="P87"/>
      <c r="Q87"/>
      <c r="R87"/>
      <c r="S87"/>
      <c r="T87"/>
      <c r="U87"/>
      <c r="V87"/>
      <c r="W87"/>
      <c r="X87"/>
      <c r="Y87"/>
      <c r="Z87"/>
      <c r="AA87"/>
      <c r="AB87"/>
      <c r="AC87"/>
      <c r="AD87"/>
      <c r="AE87"/>
      <c r="AF87"/>
      <c r="AG87"/>
      <c r="AH87"/>
      <c r="AI87"/>
      <c r="AJ87"/>
      <c r="AK87"/>
      <c r="AL87"/>
      <c r="AM87"/>
    </row>
    <row r="88" spans="1:40" x14ac:dyDescent="0.2">
      <c r="A88"/>
      <c r="B88"/>
      <c r="C88"/>
      <c r="D88"/>
      <c r="E88"/>
      <c r="F88"/>
      <c r="G88"/>
      <c r="H88"/>
      <c r="I88"/>
      <c r="J88"/>
      <c r="K88"/>
      <c r="L88"/>
      <c r="M88"/>
      <c r="N88"/>
      <c r="O88"/>
      <c r="P88"/>
      <c r="Q88"/>
      <c r="R88"/>
      <c r="S88"/>
      <c r="T88"/>
      <c r="U88"/>
      <c r="V88"/>
      <c r="W88"/>
      <c r="X88"/>
      <c r="Y88"/>
      <c r="Z88"/>
      <c r="AA88"/>
      <c r="AB88"/>
      <c r="AC88"/>
      <c r="AD88"/>
      <c r="AE88"/>
      <c r="AF88"/>
      <c r="AG88"/>
      <c r="AH88"/>
      <c r="AI88"/>
      <c r="AJ88"/>
      <c r="AK88"/>
      <c r="AL88"/>
      <c r="AM88"/>
    </row>
    <row r="89" spans="1:40" x14ac:dyDescent="0.2">
      <c r="A89"/>
      <c r="B89"/>
      <c r="C89"/>
      <c r="D89"/>
      <c r="E89"/>
      <c r="F89"/>
      <c r="G89"/>
      <c r="H89"/>
      <c r="I89"/>
      <c r="J89"/>
      <c r="K89"/>
      <c r="L89"/>
      <c r="M89"/>
      <c r="N89"/>
      <c r="O89"/>
      <c r="P89"/>
      <c r="Q89"/>
      <c r="R89"/>
      <c r="S89"/>
      <c r="T89"/>
      <c r="U89"/>
      <c r="V89"/>
      <c r="W89"/>
      <c r="X89"/>
      <c r="Y89"/>
      <c r="Z89"/>
      <c r="AA89"/>
      <c r="AB89"/>
      <c r="AC89"/>
      <c r="AD89"/>
      <c r="AE89"/>
      <c r="AF89"/>
      <c r="AG89"/>
      <c r="AH89"/>
      <c r="AI89"/>
      <c r="AJ89"/>
      <c r="AK89"/>
      <c r="AL89"/>
      <c r="AM89"/>
    </row>
    <row r="90" spans="1:40" x14ac:dyDescent="0.2">
      <c r="A90"/>
      <c r="B90"/>
      <c r="C90"/>
      <c r="D90"/>
      <c r="E90"/>
      <c r="F90"/>
      <c r="G90"/>
      <c r="H90"/>
      <c r="I90"/>
      <c r="J90"/>
      <c r="K90"/>
      <c r="L90"/>
      <c r="M90"/>
      <c r="N90"/>
      <c r="O90"/>
      <c r="P90"/>
      <c r="Q90"/>
      <c r="R90"/>
      <c r="S90"/>
      <c r="T90"/>
      <c r="U90"/>
      <c r="V90"/>
      <c r="W90"/>
      <c r="X90"/>
      <c r="Y90"/>
      <c r="Z90"/>
      <c r="AA90"/>
      <c r="AB90"/>
      <c r="AC90"/>
      <c r="AD90"/>
      <c r="AE90"/>
      <c r="AF90"/>
      <c r="AG90"/>
      <c r="AH90"/>
      <c r="AI90"/>
      <c r="AJ90"/>
      <c r="AK90"/>
      <c r="AL90"/>
      <c r="AM90"/>
    </row>
    <row r="91" spans="1:40" x14ac:dyDescent="0.2">
      <c r="A91"/>
      <c r="B91"/>
      <c r="C91"/>
      <c r="D91"/>
      <c r="E91"/>
      <c r="F91"/>
      <c r="G91"/>
      <c r="H91"/>
      <c r="I91"/>
      <c r="J91"/>
      <c r="K91"/>
      <c r="L91"/>
      <c r="M91"/>
      <c r="N91"/>
      <c r="O91"/>
      <c r="P91"/>
      <c r="Q91"/>
      <c r="R91"/>
      <c r="S91"/>
      <c r="T91"/>
      <c r="U91"/>
      <c r="V91"/>
      <c r="W91"/>
      <c r="X91"/>
      <c r="Y91"/>
      <c r="Z91"/>
      <c r="AA91"/>
      <c r="AB91"/>
      <c r="AC91"/>
      <c r="AD91"/>
      <c r="AE91"/>
      <c r="AF91"/>
      <c r="AG91"/>
      <c r="AH91"/>
      <c r="AI91"/>
      <c r="AJ91"/>
      <c r="AK91"/>
      <c r="AL91"/>
      <c r="AM91"/>
    </row>
    <row r="92" spans="1:40" x14ac:dyDescent="0.2">
      <c r="A92"/>
      <c r="B92"/>
      <c r="C92"/>
      <c r="D92"/>
      <c r="E92"/>
      <c r="F92"/>
      <c r="G92"/>
      <c r="H92"/>
      <c r="I92"/>
      <c r="J92"/>
      <c r="K92"/>
      <c r="L92"/>
      <c r="M92"/>
      <c r="N92"/>
      <c r="O92"/>
      <c r="P92"/>
      <c r="Q92"/>
      <c r="R92"/>
      <c r="S92"/>
      <c r="T92"/>
      <c r="U92"/>
      <c r="V92"/>
      <c r="W92"/>
      <c r="X92"/>
      <c r="Y92"/>
      <c r="Z92"/>
      <c r="AA92"/>
      <c r="AB92"/>
      <c r="AC92"/>
      <c r="AD92"/>
      <c r="AE92"/>
      <c r="AF92"/>
      <c r="AG92"/>
      <c r="AH92"/>
      <c r="AI92"/>
      <c r="AJ92"/>
      <c r="AK92"/>
      <c r="AL92"/>
      <c r="AM92"/>
    </row>
    <row r="93" spans="1:40" x14ac:dyDescent="0.2">
      <c r="A93"/>
      <c r="B93"/>
      <c r="C93"/>
      <c r="D93"/>
      <c r="E93"/>
      <c r="F93"/>
      <c r="G93"/>
      <c r="H93"/>
      <c r="I93"/>
      <c r="J93"/>
      <c r="K93"/>
      <c r="L93"/>
      <c r="M93"/>
      <c r="N93"/>
      <c r="O93"/>
      <c r="P93"/>
      <c r="Q93"/>
      <c r="R93"/>
      <c r="S93"/>
      <c r="T93"/>
      <c r="U93"/>
      <c r="V93"/>
      <c r="W93"/>
      <c r="X93"/>
      <c r="Y93"/>
      <c r="Z93"/>
      <c r="AA93"/>
      <c r="AB93"/>
      <c r="AC93"/>
      <c r="AD93"/>
      <c r="AE93"/>
      <c r="AF93"/>
      <c r="AG93"/>
      <c r="AH93"/>
      <c r="AI93"/>
      <c r="AJ93"/>
      <c r="AK93"/>
      <c r="AL93"/>
      <c r="AM93"/>
    </row>
    <row r="94" spans="1:40" x14ac:dyDescent="0.2">
      <c r="A94"/>
      <c r="B94"/>
      <c r="C94"/>
      <c r="D94"/>
      <c r="E94"/>
      <c r="G94"/>
      <c r="H94"/>
      <c r="I94"/>
      <c r="J94"/>
      <c r="K94"/>
      <c r="L94"/>
      <c r="M94"/>
      <c r="N94"/>
      <c r="O94"/>
      <c r="P94"/>
      <c r="Q94"/>
      <c r="R94"/>
      <c r="S94"/>
      <c r="T94"/>
      <c r="U94"/>
      <c r="V94"/>
      <c r="W94"/>
      <c r="X94"/>
      <c r="Y94"/>
      <c r="Z94"/>
      <c r="AA94"/>
      <c r="AB94"/>
      <c r="AD94"/>
      <c r="AE94"/>
      <c r="AF94"/>
      <c r="AG94"/>
      <c r="AM94"/>
    </row>
    <row r="95" spans="1:40" x14ac:dyDescent="0.2">
      <c r="A95"/>
      <c r="B95"/>
      <c r="C95"/>
      <c r="D95"/>
      <c r="E95"/>
      <c r="F95"/>
      <c r="G95"/>
      <c r="H95"/>
      <c r="I95"/>
      <c r="J95"/>
      <c r="K95"/>
      <c r="L95"/>
      <c r="M95"/>
      <c r="N95"/>
      <c r="O95"/>
      <c r="P95"/>
      <c r="Q95"/>
      <c r="R95"/>
      <c r="S95"/>
      <c r="T95"/>
      <c r="U95"/>
      <c r="V95"/>
      <c r="W95"/>
      <c r="X95"/>
      <c r="Y95"/>
      <c r="Z95"/>
      <c r="AA95"/>
      <c r="AB95"/>
      <c r="AD95"/>
      <c r="AE95"/>
      <c r="AF95"/>
      <c r="AG95"/>
      <c r="AM95"/>
    </row>
    <row r="96" spans="1:40" x14ac:dyDescent="0.2">
      <c r="A96"/>
      <c r="B96"/>
      <c r="C96"/>
      <c r="D96"/>
      <c r="E96"/>
      <c r="F96"/>
      <c r="G96"/>
      <c r="H96"/>
      <c r="I96"/>
      <c r="J96"/>
      <c r="K96"/>
      <c r="L96"/>
      <c r="M96"/>
      <c r="N96"/>
      <c r="O96"/>
      <c r="P96"/>
      <c r="Q96"/>
      <c r="R96"/>
      <c r="S96"/>
      <c r="T96"/>
      <c r="U96"/>
      <c r="V96"/>
      <c r="W96"/>
      <c r="X96"/>
      <c r="Y96"/>
      <c r="Z96"/>
      <c r="AA96"/>
      <c r="AB96"/>
      <c r="AC96"/>
      <c r="AD96"/>
      <c r="AE96"/>
      <c r="AF96"/>
      <c r="AG96"/>
      <c r="AH96"/>
      <c r="AI96"/>
      <c r="AJ96"/>
      <c r="AK96"/>
      <c r="AL96"/>
      <c r="AM96"/>
      <c r="AN96"/>
    </row>
    <row r="97" spans="1:41" x14ac:dyDescent="0.2">
      <c r="A97"/>
      <c r="B97"/>
      <c r="C97"/>
      <c r="D97"/>
      <c r="E97"/>
      <c r="F97"/>
      <c r="G97"/>
      <c r="H97"/>
      <c r="I97"/>
      <c r="J97"/>
      <c r="K97"/>
      <c r="L97"/>
      <c r="M97"/>
      <c r="N97"/>
      <c r="O97"/>
      <c r="P97"/>
      <c r="Q97"/>
      <c r="R97"/>
      <c r="S97"/>
      <c r="T97"/>
      <c r="U97"/>
      <c r="V97"/>
      <c r="W97"/>
      <c r="X97"/>
      <c r="Y97"/>
      <c r="Z97"/>
      <c r="AA97"/>
      <c r="AB97"/>
      <c r="AC97"/>
      <c r="AD97"/>
      <c r="AE97"/>
      <c r="AF97"/>
      <c r="AG97"/>
      <c r="AH97"/>
      <c r="AI97"/>
      <c r="AJ97"/>
      <c r="AK97"/>
      <c r="AL97"/>
      <c r="AM97"/>
      <c r="AN97"/>
      <c r="AO97"/>
    </row>
    <row r="98" spans="1:41" x14ac:dyDescent="0.2">
      <c r="A98"/>
      <c r="B98"/>
      <c r="C98"/>
      <c r="D98"/>
      <c r="E98"/>
      <c r="F98"/>
      <c r="G98"/>
      <c r="H98"/>
      <c r="I98"/>
      <c r="J98"/>
      <c r="K98"/>
      <c r="L98"/>
      <c r="M98"/>
      <c r="N98"/>
      <c r="O98"/>
      <c r="P98"/>
      <c r="Q98"/>
      <c r="R98"/>
      <c r="S98"/>
      <c r="T98"/>
      <c r="U98"/>
      <c r="V98"/>
      <c r="W98"/>
      <c r="X98"/>
      <c r="Y98"/>
      <c r="Z98"/>
      <c r="AA98"/>
      <c r="AB98"/>
      <c r="AC98"/>
      <c r="AD98"/>
      <c r="AE98"/>
      <c r="AF98"/>
      <c r="AG98"/>
      <c r="AH98"/>
      <c r="AI98"/>
      <c r="AJ98"/>
      <c r="AK98"/>
      <c r="AL98"/>
      <c r="AM98"/>
      <c r="AN98"/>
    </row>
    <row r="99" spans="1:41" x14ac:dyDescent="0.2">
      <c r="A99"/>
      <c r="B99"/>
      <c r="C99"/>
      <c r="D99"/>
      <c r="E99"/>
      <c r="F99"/>
      <c r="G99"/>
      <c r="H99"/>
      <c r="I99"/>
      <c r="J99"/>
      <c r="K99"/>
      <c r="L99"/>
      <c r="M99"/>
      <c r="N99"/>
      <c r="O99"/>
      <c r="P99"/>
      <c r="Q99"/>
      <c r="R99"/>
      <c r="S99"/>
      <c r="T99"/>
      <c r="U99"/>
      <c r="V99"/>
      <c r="W99"/>
      <c r="X99"/>
      <c r="Y99"/>
      <c r="Z99"/>
      <c r="AA99"/>
      <c r="AB99"/>
      <c r="AC99"/>
      <c r="AD99"/>
      <c r="AE99"/>
      <c r="AF99"/>
      <c r="AG99"/>
      <c r="AI99"/>
      <c r="AJ99"/>
      <c r="AK99"/>
      <c r="AL99"/>
      <c r="AM99"/>
      <c r="AN99"/>
    </row>
    <row r="100" spans="1:41" x14ac:dyDescent="0.2">
      <c r="A100"/>
      <c r="B100"/>
      <c r="C100"/>
      <c r="D100"/>
      <c r="E100"/>
      <c r="F100"/>
      <c r="G100"/>
      <c r="H100"/>
      <c r="I100"/>
      <c r="J100"/>
      <c r="K100"/>
      <c r="L100"/>
      <c r="M100"/>
      <c r="N100"/>
      <c r="O100"/>
      <c r="P100"/>
      <c r="Q100"/>
      <c r="R100"/>
      <c r="S100"/>
      <c r="T100"/>
      <c r="U100"/>
      <c r="V100"/>
      <c r="W100"/>
      <c r="X100"/>
      <c r="Y100"/>
      <c r="Z100"/>
      <c r="AA100"/>
      <c r="AB100"/>
      <c r="AC100"/>
      <c r="AD100"/>
      <c r="AE100"/>
      <c r="AF100"/>
      <c r="AG100"/>
      <c r="AI100"/>
      <c r="AJ100"/>
      <c r="AK100"/>
      <c r="AL100"/>
      <c r="AM100"/>
      <c r="AN100"/>
    </row>
    <row r="101" spans="1:41" x14ac:dyDescent="0.2">
      <c r="A101"/>
      <c r="B101"/>
      <c r="C101"/>
      <c r="D101"/>
      <c r="E101"/>
      <c r="F101"/>
      <c r="G101"/>
      <c r="H101"/>
      <c r="I101"/>
      <c r="J101"/>
      <c r="K101"/>
      <c r="L101"/>
      <c r="M101"/>
      <c r="N101"/>
      <c r="O101"/>
      <c r="P101"/>
      <c r="Q101"/>
      <c r="R101"/>
      <c r="S101"/>
      <c r="T101"/>
      <c r="U101"/>
      <c r="V101"/>
      <c r="W101"/>
      <c r="X101"/>
      <c r="Y101"/>
      <c r="Z101"/>
      <c r="AA101"/>
      <c r="AB101"/>
      <c r="AC101"/>
      <c r="AD101"/>
      <c r="AE101"/>
      <c r="AF101"/>
      <c r="AG101"/>
      <c r="AH101"/>
      <c r="AI101"/>
      <c r="AJ101"/>
      <c r="AK101"/>
      <c r="AL101"/>
      <c r="AM101"/>
    </row>
    <row r="102" spans="1:41" x14ac:dyDescent="0.2">
      <c r="A102"/>
      <c r="B102"/>
      <c r="C102"/>
      <c r="D102"/>
      <c r="E102"/>
      <c r="F102"/>
      <c r="G102"/>
      <c r="H102"/>
      <c r="I102"/>
      <c r="J102"/>
      <c r="K102"/>
      <c r="L102"/>
      <c r="M102"/>
      <c r="N102"/>
      <c r="O102"/>
      <c r="P102"/>
      <c r="Q102"/>
      <c r="R102"/>
      <c r="S102"/>
      <c r="T102"/>
      <c r="U102"/>
      <c r="V102"/>
      <c r="W102"/>
      <c r="X102"/>
      <c r="Y102"/>
      <c r="Z102"/>
      <c r="AA102"/>
      <c r="AB102"/>
      <c r="AC102"/>
      <c r="AD102"/>
      <c r="AE102"/>
      <c r="AF102"/>
      <c r="AG102"/>
      <c r="AH102"/>
      <c r="AI102"/>
      <c r="AJ102"/>
      <c r="AK102"/>
      <c r="AL102"/>
      <c r="AM102"/>
    </row>
    <row r="103" spans="1:41" x14ac:dyDescent="0.2">
      <c r="A103"/>
      <c r="B103"/>
      <c r="C103"/>
      <c r="D103"/>
      <c r="E103"/>
      <c r="F103"/>
      <c r="G103"/>
      <c r="H103"/>
      <c r="I103"/>
      <c r="J103"/>
      <c r="K103"/>
      <c r="L103"/>
      <c r="M103"/>
      <c r="N103"/>
      <c r="O103"/>
      <c r="P103"/>
      <c r="Q103"/>
      <c r="R103"/>
      <c r="S103"/>
      <c r="T103"/>
      <c r="U103"/>
      <c r="V103"/>
      <c r="W103"/>
      <c r="X103"/>
      <c r="Y103"/>
      <c r="Z103"/>
      <c r="AA103"/>
      <c r="AB103"/>
      <c r="AC103"/>
      <c r="AD103"/>
      <c r="AE103"/>
      <c r="AF103"/>
      <c r="AG103"/>
      <c r="AH103"/>
      <c r="AI103"/>
      <c r="AJ103"/>
      <c r="AK103"/>
      <c r="AL103"/>
      <c r="AM103"/>
    </row>
    <row r="104" spans="1:41" x14ac:dyDescent="0.2">
      <c r="A104"/>
      <c r="B104"/>
      <c r="C104"/>
      <c r="D104"/>
      <c r="E104"/>
      <c r="F104"/>
      <c r="G104"/>
      <c r="H104"/>
      <c r="I104"/>
      <c r="J104"/>
      <c r="K104"/>
      <c r="L104"/>
      <c r="M104"/>
      <c r="N104"/>
      <c r="O104"/>
      <c r="P104"/>
      <c r="Q104"/>
      <c r="R104"/>
      <c r="S104"/>
      <c r="T104"/>
      <c r="U104"/>
      <c r="V104"/>
      <c r="W104"/>
      <c r="X104"/>
      <c r="AC104"/>
      <c r="AD104"/>
      <c r="AE104"/>
      <c r="AF104"/>
      <c r="AG104"/>
      <c r="AH104"/>
      <c r="AI104"/>
      <c r="AJ104"/>
      <c r="AK104"/>
      <c r="AL104"/>
      <c r="AM104"/>
    </row>
    <row r="105" spans="1:41" x14ac:dyDescent="0.2">
      <c r="A105"/>
      <c r="B105"/>
      <c r="C105"/>
      <c r="D105"/>
      <c r="E105"/>
      <c r="F105"/>
      <c r="G105"/>
      <c r="H105"/>
      <c r="I105"/>
      <c r="J105"/>
      <c r="K105"/>
      <c r="L105"/>
      <c r="M105"/>
      <c r="N105"/>
      <c r="O105"/>
      <c r="P105"/>
      <c r="Q105"/>
      <c r="R105"/>
      <c r="S105"/>
      <c r="T105"/>
      <c r="U105"/>
      <c r="V105"/>
      <c r="W105"/>
      <c r="X105"/>
      <c r="Y105"/>
      <c r="Z105"/>
      <c r="AA105"/>
      <c r="AB105"/>
      <c r="AC105"/>
      <c r="AD105"/>
      <c r="AE105"/>
      <c r="AF105"/>
      <c r="AG105"/>
      <c r="AH105"/>
      <c r="AI105"/>
      <c r="AJ105"/>
      <c r="AK105"/>
      <c r="AL105"/>
      <c r="AM105"/>
    </row>
    <row r="106" spans="1:41" x14ac:dyDescent="0.2">
      <c r="A106"/>
      <c r="B106"/>
      <c r="C106"/>
      <c r="D106"/>
      <c r="E106"/>
      <c r="F106"/>
      <c r="G106"/>
      <c r="H106"/>
      <c r="I106"/>
      <c r="J106"/>
      <c r="K106"/>
      <c r="L106"/>
      <c r="M106"/>
      <c r="N106"/>
      <c r="O106"/>
      <c r="P106"/>
      <c r="Q106"/>
      <c r="R106"/>
      <c r="S106"/>
      <c r="T106"/>
      <c r="U106"/>
      <c r="V106"/>
      <c r="W106"/>
      <c r="X106"/>
      <c r="AC106"/>
      <c r="AD106"/>
      <c r="AE106"/>
      <c r="AF106"/>
      <c r="AG106"/>
      <c r="AH106"/>
      <c r="AI106"/>
      <c r="AJ106"/>
      <c r="AK106"/>
      <c r="AL106"/>
      <c r="AM106"/>
    </row>
    <row r="107" spans="1:41" x14ac:dyDescent="0.2">
      <c r="A107"/>
      <c r="B107"/>
      <c r="C107"/>
      <c r="D107"/>
      <c r="E107"/>
      <c r="F107"/>
      <c r="G107"/>
      <c r="H107"/>
      <c r="I107"/>
      <c r="J107"/>
      <c r="K107"/>
      <c r="L107"/>
      <c r="M107"/>
      <c r="N107"/>
      <c r="O107"/>
      <c r="P107"/>
      <c r="Q107"/>
      <c r="R107"/>
      <c r="S107"/>
      <c r="T107"/>
      <c r="U107"/>
      <c r="V107"/>
      <c r="W107"/>
      <c r="X107"/>
      <c r="Y107"/>
      <c r="Z107"/>
      <c r="AA107"/>
      <c r="AB107"/>
      <c r="AC107"/>
      <c r="AD107"/>
      <c r="AE107"/>
      <c r="AF107"/>
      <c r="AG107"/>
      <c r="AH107"/>
      <c r="AI107"/>
      <c r="AJ107"/>
      <c r="AK107"/>
      <c r="AL107"/>
      <c r="AM107"/>
      <c r="AN107"/>
    </row>
    <row r="108" spans="1:41" x14ac:dyDescent="0.2">
      <c r="A108"/>
      <c r="B108"/>
      <c r="C108"/>
      <c r="D108"/>
      <c r="E108"/>
      <c r="F108"/>
      <c r="G108"/>
      <c r="H108"/>
      <c r="I108"/>
      <c r="J108"/>
      <c r="K108"/>
      <c r="L108"/>
      <c r="M108"/>
      <c r="N108"/>
      <c r="O108"/>
      <c r="P108"/>
      <c r="Q108"/>
      <c r="R108"/>
      <c r="S108"/>
      <c r="T108"/>
      <c r="U108"/>
      <c r="V108"/>
      <c r="W108"/>
      <c r="X108"/>
      <c r="Y108"/>
      <c r="Z108"/>
      <c r="AA108"/>
      <c r="AB108"/>
      <c r="AC108"/>
      <c r="AD108"/>
      <c r="AE108"/>
      <c r="AF108"/>
      <c r="AG108"/>
      <c r="AH108"/>
      <c r="AI108"/>
      <c r="AJ108"/>
      <c r="AK108"/>
      <c r="AL108"/>
      <c r="AM108"/>
    </row>
    <row r="109" spans="1:41" x14ac:dyDescent="0.2">
      <c r="A109"/>
      <c r="B109"/>
      <c r="C109"/>
      <c r="D109"/>
      <c r="E109"/>
      <c r="F109"/>
      <c r="G109"/>
      <c r="H109"/>
      <c r="I109"/>
      <c r="J109"/>
      <c r="K109"/>
      <c r="L109"/>
      <c r="M109"/>
      <c r="N109"/>
      <c r="O109"/>
      <c r="P109"/>
      <c r="Q109"/>
      <c r="R109"/>
      <c r="S109"/>
      <c r="T109"/>
      <c r="U109"/>
      <c r="V109"/>
      <c r="W109"/>
      <c r="X109"/>
      <c r="Y109"/>
      <c r="Z109"/>
      <c r="AA109"/>
      <c r="AB109"/>
      <c r="AC109"/>
      <c r="AD109"/>
      <c r="AE109"/>
      <c r="AF109"/>
      <c r="AG109"/>
      <c r="AH109"/>
      <c r="AI109"/>
      <c r="AJ109"/>
      <c r="AK109"/>
      <c r="AL109"/>
      <c r="AM109"/>
      <c r="AN109"/>
      <c r="AO109"/>
    </row>
    <row r="110" spans="1:41" x14ac:dyDescent="0.2">
      <c r="A110"/>
      <c r="B110"/>
      <c r="C110"/>
      <c r="D110"/>
      <c r="E110"/>
      <c r="F110"/>
      <c r="G110"/>
      <c r="H110"/>
      <c r="I110"/>
      <c r="J110"/>
      <c r="K110"/>
      <c r="L110"/>
      <c r="M110"/>
      <c r="N110"/>
      <c r="O110"/>
      <c r="P110"/>
      <c r="Q110"/>
      <c r="R110"/>
      <c r="S110"/>
      <c r="T110"/>
      <c r="U110"/>
      <c r="V110"/>
      <c r="W110"/>
      <c r="X110"/>
      <c r="Y110"/>
      <c r="Z110"/>
      <c r="AA110"/>
      <c r="AB110"/>
      <c r="AC110"/>
      <c r="AD110"/>
      <c r="AE110"/>
      <c r="AF110"/>
      <c r="AG110"/>
      <c r="AH110"/>
      <c r="AI110"/>
      <c r="AJ110"/>
      <c r="AK110"/>
      <c r="AL110"/>
      <c r="AM110"/>
      <c r="AN110"/>
      <c r="AO110"/>
    </row>
    <row r="111" spans="1:41" x14ac:dyDescent="0.2">
      <c r="A111"/>
      <c r="B111"/>
      <c r="C111"/>
      <c r="D111"/>
      <c r="E111"/>
      <c r="F111"/>
      <c r="G111"/>
      <c r="H111"/>
      <c r="I111"/>
      <c r="J111"/>
      <c r="K111"/>
      <c r="L111"/>
      <c r="M111"/>
      <c r="N111"/>
      <c r="O111"/>
      <c r="P111"/>
      <c r="Q111"/>
      <c r="R111"/>
      <c r="S111"/>
      <c r="T111"/>
      <c r="U111"/>
      <c r="V111"/>
      <c r="W111"/>
      <c r="X111"/>
      <c r="Y111"/>
      <c r="Z111"/>
      <c r="AA111"/>
      <c r="AB111"/>
      <c r="AC111"/>
      <c r="AD111"/>
      <c r="AE111"/>
      <c r="AF111"/>
      <c r="AG111"/>
      <c r="AH111"/>
      <c r="AI111"/>
      <c r="AJ111"/>
      <c r="AK111"/>
      <c r="AL111"/>
      <c r="AM111"/>
    </row>
    <row r="112" spans="1:41" x14ac:dyDescent="0.2">
      <c r="A112"/>
      <c r="B112"/>
      <c r="C112"/>
      <c r="D112"/>
      <c r="E112"/>
      <c r="F112"/>
      <c r="G112"/>
      <c r="H112"/>
      <c r="I112"/>
      <c r="J112"/>
      <c r="K112"/>
      <c r="L112"/>
      <c r="M112"/>
      <c r="N112"/>
      <c r="O112"/>
      <c r="P112"/>
      <c r="Q112"/>
      <c r="R112"/>
      <c r="S112"/>
      <c r="T112"/>
      <c r="U112"/>
      <c r="V112"/>
      <c r="W112"/>
      <c r="X112"/>
      <c r="Y112"/>
      <c r="Z112"/>
      <c r="AA112"/>
      <c r="AB112"/>
      <c r="AC112"/>
      <c r="AD112"/>
      <c r="AE112"/>
      <c r="AF112"/>
      <c r="AG112"/>
      <c r="AH112"/>
      <c r="AI112"/>
      <c r="AJ112"/>
      <c r="AK112"/>
      <c r="AL112"/>
      <c r="AM112"/>
    </row>
    <row r="113" spans="1:39" x14ac:dyDescent="0.2">
      <c r="A113"/>
      <c r="B113"/>
      <c r="C113"/>
      <c r="D113"/>
      <c r="E113"/>
      <c r="F113"/>
      <c r="G113"/>
      <c r="H113"/>
      <c r="I113"/>
      <c r="J113"/>
      <c r="K113"/>
      <c r="L113"/>
      <c r="M113"/>
      <c r="N113"/>
      <c r="O113"/>
      <c r="P113"/>
      <c r="Q113"/>
      <c r="R113"/>
      <c r="S113"/>
      <c r="T113"/>
      <c r="U113"/>
      <c r="V113"/>
      <c r="W113"/>
      <c r="X113"/>
      <c r="Y113"/>
      <c r="Z113"/>
      <c r="AA113"/>
      <c r="AB113"/>
      <c r="AC113"/>
      <c r="AD113"/>
      <c r="AE113"/>
      <c r="AF113"/>
      <c r="AG113"/>
      <c r="AH113"/>
      <c r="AI113"/>
      <c r="AJ113"/>
      <c r="AK113"/>
      <c r="AL113"/>
      <c r="AM113"/>
    </row>
    <row r="114" spans="1:39" x14ac:dyDescent="0.2">
      <c r="A114"/>
      <c r="B114"/>
      <c r="C114"/>
      <c r="D114"/>
      <c r="E114"/>
      <c r="F114"/>
      <c r="G114"/>
      <c r="H114"/>
      <c r="I114"/>
      <c r="J114"/>
      <c r="K114"/>
      <c r="L114"/>
      <c r="M114"/>
      <c r="N114"/>
      <c r="O114"/>
      <c r="P114"/>
      <c r="Q114"/>
      <c r="R114"/>
      <c r="S114"/>
      <c r="T114"/>
      <c r="U114"/>
      <c r="V114"/>
      <c r="W114"/>
      <c r="X114"/>
      <c r="Y114"/>
      <c r="Z114"/>
      <c r="AA114"/>
      <c r="AB114"/>
      <c r="AC114"/>
      <c r="AD114"/>
      <c r="AE114"/>
      <c r="AF114"/>
      <c r="AG114"/>
      <c r="AH114"/>
      <c r="AI114"/>
      <c r="AJ114"/>
      <c r="AK114"/>
      <c r="AL114"/>
      <c r="AM114"/>
    </row>
    <row r="115" spans="1:39" x14ac:dyDescent="0.2">
      <c r="A115"/>
      <c r="B115"/>
      <c r="C115"/>
      <c r="D115"/>
      <c r="E115"/>
      <c r="F115"/>
      <c r="G115"/>
      <c r="H115"/>
      <c r="I115"/>
      <c r="J115"/>
      <c r="K115"/>
      <c r="L115"/>
      <c r="M115"/>
      <c r="N115"/>
      <c r="O115"/>
      <c r="P115"/>
      <c r="Q115"/>
      <c r="R115"/>
      <c r="S115"/>
      <c r="T115"/>
      <c r="U115"/>
      <c r="V115"/>
      <c r="W115"/>
      <c r="X115"/>
      <c r="Y115"/>
      <c r="Z115"/>
      <c r="AA115"/>
      <c r="AB115"/>
      <c r="AC115"/>
      <c r="AD115"/>
      <c r="AE115"/>
      <c r="AF115"/>
      <c r="AG115"/>
      <c r="AH115"/>
      <c r="AI115"/>
      <c r="AJ115"/>
      <c r="AK115"/>
      <c r="AL115"/>
      <c r="AM115"/>
    </row>
    <row r="116" spans="1:39" x14ac:dyDescent="0.2">
      <c r="A116"/>
      <c r="B116"/>
      <c r="C116"/>
      <c r="D116"/>
      <c r="E116"/>
      <c r="F116"/>
      <c r="G116"/>
      <c r="H116"/>
      <c r="I116"/>
      <c r="J116"/>
      <c r="K116"/>
      <c r="L116"/>
      <c r="M116"/>
      <c r="N116"/>
      <c r="O116"/>
      <c r="P116"/>
      <c r="Q116"/>
      <c r="R116"/>
      <c r="T116"/>
      <c r="U116"/>
      <c r="V116"/>
      <c r="W116"/>
      <c r="X116"/>
      <c r="AC116"/>
      <c r="AD116"/>
      <c r="AE116"/>
      <c r="AF116"/>
      <c r="AG116"/>
      <c r="AH116"/>
      <c r="AI116"/>
      <c r="AJ116"/>
      <c r="AK116"/>
      <c r="AL116"/>
      <c r="AM116"/>
    </row>
    <row r="117" spans="1:39" x14ac:dyDescent="0.2">
      <c r="A117"/>
      <c r="B117"/>
      <c r="C117"/>
      <c r="D117"/>
      <c r="E117"/>
      <c r="F117"/>
      <c r="G117"/>
      <c r="H117"/>
      <c r="I117"/>
      <c r="J117"/>
      <c r="K117"/>
      <c r="L117"/>
      <c r="M117"/>
      <c r="N117"/>
      <c r="O117"/>
      <c r="P117"/>
      <c r="Q117"/>
      <c r="R117"/>
      <c r="T117"/>
      <c r="U117"/>
      <c r="V117"/>
      <c r="W117"/>
      <c r="X117"/>
      <c r="AC117"/>
      <c r="AD117"/>
      <c r="AE117"/>
      <c r="AF117"/>
      <c r="AG117"/>
      <c r="AH117"/>
      <c r="AI117"/>
      <c r="AJ117"/>
      <c r="AK117"/>
      <c r="AL117"/>
      <c r="AM117"/>
    </row>
    <row r="118" spans="1:39" x14ac:dyDescent="0.2">
      <c r="A118"/>
      <c r="B118"/>
      <c r="C118"/>
      <c r="D118"/>
      <c r="E118"/>
      <c r="F118"/>
      <c r="G118"/>
      <c r="H118"/>
      <c r="I118"/>
      <c r="J118"/>
      <c r="K118"/>
      <c r="L118"/>
      <c r="M118"/>
      <c r="N118"/>
      <c r="O118"/>
      <c r="P118"/>
      <c r="Q118"/>
      <c r="R118"/>
      <c r="T118"/>
      <c r="U118"/>
      <c r="V118"/>
      <c r="W118"/>
      <c r="X118"/>
      <c r="AC118"/>
      <c r="AD118"/>
      <c r="AE118"/>
      <c r="AF118"/>
      <c r="AG118"/>
      <c r="AH118"/>
      <c r="AI118"/>
      <c r="AJ118"/>
      <c r="AK118"/>
      <c r="AL118"/>
      <c r="AM118"/>
    </row>
    <row r="119" spans="1:39" x14ac:dyDescent="0.2">
      <c r="A119"/>
      <c r="B119"/>
      <c r="C119"/>
      <c r="D119"/>
      <c r="E119"/>
      <c r="F119"/>
      <c r="G119"/>
      <c r="H119"/>
      <c r="I119"/>
      <c r="J119"/>
      <c r="K119"/>
      <c r="L119"/>
      <c r="M119"/>
      <c r="N119"/>
      <c r="O119"/>
      <c r="P119"/>
      <c r="Q119"/>
      <c r="R119"/>
      <c r="S119"/>
      <c r="T119"/>
      <c r="U119"/>
      <c r="V119"/>
      <c r="W119"/>
      <c r="X119"/>
      <c r="AC119"/>
      <c r="AD119"/>
      <c r="AE119"/>
      <c r="AF119"/>
      <c r="AG119"/>
      <c r="AH119"/>
      <c r="AI119"/>
      <c r="AJ119"/>
      <c r="AK119"/>
      <c r="AL119"/>
      <c r="AM119"/>
    </row>
    <row r="120" spans="1:39" x14ac:dyDescent="0.2">
      <c r="A120"/>
      <c r="B120"/>
      <c r="C120"/>
      <c r="D120"/>
      <c r="E120"/>
      <c r="F120"/>
      <c r="G120"/>
      <c r="H120"/>
      <c r="I120"/>
      <c r="J120"/>
      <c r="K120"/>
      <c r="L120"/>
      <c r="M120"/>
      <c r="N120"/>
      <c r="O120"/>
      <c r="P120"/>
      <c r="Q120"/>
      <c r="R120"/>
      <c r="S120"/>
      <c r="T120"/>
      <c r="U120"/>
      <c r="V120"/>
      <c r="W120"/>
      <c r="X120"/>
      <c r="Y120"/>
      <c r="Z120"/>
      <c r="AA120"/>
      <c r="AB120"/>
      <c r="AC120"/>
      <c r="AD120"/>
      <c r="AE120"/>
      <c r="AF120"/>
      <c r="AG120"/>
      <c r="AH120"/>
      <c r="AI120"/>
      <c r="AJ120"/>
      <c r="AK120"/>
      <c r="AL120"/>
      <c r="AM120"/>
    </row>
    <row r="121" spans="1:39" x14ac:dyDescent="0.2">
      <c r="A121"/>
      <c r="B121"/>
      <c r="C121"/>
      <c r="D121"/>
      <c r="E121"/>
      <c r="F121"/>
      <c r="G121"/>
      <c r="H121"/>
      <c r="I121"/>
      <c r="J121"/>
      <c r="K121"/>
      <c r="L121"/>
      <c r="M121"/>
      <c r="N121"/>
      <c r="O121"/>
      <c r="P121"/>
      <c r="Q121"/>
      <c r="R121"/>
      <c r="S121"/>
      <c r="T121"/>
      <c r="U121"/>
      <c r="V121"/>
      <c r="X121"/>
      <c r="AC121"/>
      <c r="AD121"/>
      <c r="AE121"/>
      <c r="AF121"/>
      <c r="AG121"/>
      <c r="AH121"/>
      <c r="AI121"/>
      <c r="AJ121"/>
      <c r="AK121"/>
      <c r="AL121"/>
      <c r="AM121"/>
    </row>
    <row r="122" spans="1:39" x14ac:dyDescent="0.2">
      <c r="A122"/>
      <c r="B122"/>
      <c r="C122"/>
      <c r="D122"/>
      <c r="E122"/>
      <c r="F122"/>
      <c r="G122"/>
      <c r="H122"/>
      <c r="I122"/>
      <c r="J122"/>
      <c r="K122"/>
      <c r="L122"/>
      <c r="M122"/>
      <c r="N122"/>
      <c r="O122"/>
      <c r="P122"/>
      <c r="Q122"/>
      <c r="R122"/>
      <c r="S122"/>
      <c r="T122"/>
      <c r="U122"/>
      <c r="V122"/>
      <c r="W122"/>
      <c r="X122"/>
      <c r="Y122"/>
      <c r="Z122"/>
      <c r="AA122"/>
      <c r="AB122"/>
      <c r="AC122"/>
      <c r="AD122"/>
      <c r="AE122"/>
      <c r="AF122"/>
      <c r="AG122"/>
      <c r="AH122"/>
      <c r="AI122"/>
      <c r="AJ122"/>
      <c r="AK122"/>
      <c r="AL122"/>
      <c r="AM122"/>
    </row>
    <row r="123" spans="1:39" x14ac:dyDescent="0.2">
      <c r="A123"/>
      <c r="B123"/>
      <c r="C123"/>
      <c r="D123"/>
      <c r="E123"/>
      <c r="F123"/>
      <c r="G123"/>
      <c r="H123"/>
      <c r="I123"/>
      <c r="J123"/>
      <c r="K123"/>
      <c r="L123"/>
      <c r="M123"/>
      <c r="N123"/>
      <c r="O123"/>
      <c r="P123"/>
      <c r="Q123"/>
      <c r="R123"/>
      <c r="T123"/>
      <c r="U123"/>
      <c r="V123"/>
      <c r="W123"/>
      <c r="X123"/>
      <c r="AC123"/>
      <c r="AD123"/>
      <c r="AE123"/>
      <c r="AF123"/>
      <c r="AG123"/>
      <c r="AH123"/>
      <c r="AI123"/>
      <c r="AJ123"/>
      <c r="AK123"/>
      <c r="AL123"/>
      <c r="AM123"/>
    </row>
    <row r="124" spans="1:39" x14ac:dyDescent="0.2">
      <c r="A124"/>
      <c r="B124"/>
      <c r="C124"/>
      <c r="D124"/>
      <c r="E124"/>
      <c r="F124"/>
      <c r="G124"/>
      <c r="H124"/>
      <c r="I124"/>
      <c r="J124"/>
      <c r="K124"/>
      <c r="L124"/>
      <c r="M124"/>
      <c r="N124"/>
      <c r="O124"/>
      <c r="P124"/>
      <c r="Q124"/>
      <c r="R124"/>
      <c r="T124"/>
      <c r="U124"/>
      <c r="V124"/>
      <c r="W124"/>
      <c r="X124"/>
      <c r="AC124"/>
      <c r="AD124"/>
      <c r="AE124"/>
      <c r="AF124"/>
      <c r="AG124"/>
      <c r="AH124"/>
      <c r="AI124"/>
      <c r="AJ124"/>
      <c r="AK124"/>
      <c r="AL124"/>
      <c r="AM124"/>
    </row>
    <row r="125" spans="1:39" x14ac:dyDescent="0.2">
      <c r="A125"/>
      <c r="B125"/>
      <c r="C125"/>
      <c r="D125"/>
      <c r="E125"/>
      <c r="F125"/>
      <c r="G125"/>
      <c r="H125"/>
      <c r="I125"/>
      <c r="J125"/>
      <c r="K125"/>
      <c r="L125"/>
      <c r="M125"/>
      <c r="N125"/>
      <c r="O125"/>
      <c r="P125"/>
      <c r="Q125"/>
      <c r="R125"/>
      <c r="S125"/>
      <c r="U125"/>
      <c r="V125"/>
      <c r="W125"/>
      <c r="X125"/>
      <c r="Y125"/>
      <c r="Z125"/>
      <c r="AA125"/>
      <c r="AB125"/>
      <c r="AC125"/>
      <c r="AD125"/>
      <c r="AE125"/>
      <c r="AF125"/>
      <c r="AG125"/>
      <c r="AH125"/>
      <c r="AI125"/>
      <c r="AJ125"/>
      <c r="AK125"/>
      <c r="AL125"/>
      <c r="AM125"/>
    </row>
    <row r="126" spans="1:39" x14ac:dyDescent="0.2">
      <c r="A126"/>
      <c r="B126"/>
      <c r="C126"/>
      <c r="D126"/>
      <c r="E126"/>
      <c r="F126"/>
      <c r="G126"/>
      <c r="H126"/>
      <c r="I126"/>
      <c r="J126"/>
      <c r="K126"/>
      <c r="L126"/>
      <c r="M126"/>
      <c r="N126"/>
      <c r="O126"/>
      <c r="P126"/>
      <c r="Q126"/>
      <c r="R126"/>
      <c r="S126"/>
      <c r="T126"/>
      <c r="U126"/>
      <c r="V126"/>
      <c r="W126"/>
      <c r="X126"/>
      <c r="Y126"/>
      <c r="Z126"/>
      <c r="AA126"/>
      <c r="AB126"/>
      <c r="AC126"/>
      <c r="AD126"/>
      <c r="AE126"/>
      <c r="AF126"/>
      <c r="AG126"/>
      <c r="AH126"/>
      <c r="AI126"/>
      <c r="AJ126"/>
      <c r="AK126"/>
      <c r="AL126"/>
      <c r="AM126"/>
    </row>
    <row r="127" spans="1:39" x14ac:dyDescent="0.2">
      <c r="A127"/>
      <c r="B127"/>
      <c r="C127"/>
      <c r="D127"/>
      <c r="E127"/>
      <c r="F127"/>
      <c r="G127"/>
      <c r="H127"/>
      <c r="I127"/>
      <c r="J127"/>
      <c r="K127"/>
      <c r="L127"/>
      <c r="M127"/>
      <c r="N127"/>
      <c r="O127"/>
      <c r="P127"/>
      <c r="Q127"/>
      <c r="R127"/>
      <c r="S127"/>
      <c r="U127"/>
      <c r="V127"/>
      <c r="W127"/>
      <c r="X127"/>
      <c r="AC127"/>
      <c r="AD127"/>
      <c r="AE127"/>
      <c r="AF127"/>
      <c r="AG127"/>
      <c r="AH127"/>
      <c r="AI127"/>
      <c r="AJ127"/>
      <c r="AK127"/>
      <c r="AL127"/>
      <c r="AM127"/>
    </row>
    <row r="128" spans="1:39" x14ac:dyDescent="0.2">
      <c r="A128"/>
      <c r="B128"/>
      <c r="C128"/>
      <c r="D128"/>
      <c r="E128"/>
      <c r="F128"/>
      <c r="G128"/>
      <c r="H128"/>
      <c r="I128"/>
      <c r="J128"/>
      <c r="K128"/>
      <c r="L128"/>
      <c r="M128"/>
      <c r="N128"/>
      <c r="O128"/>
      <c r="P128"/>
      <c r="Q128"/>
      <c r="R128"/>
      <c r="S128"/>
      <c r="U128"/>
      <c r="V128"/>
      <c r="W128"/>
      <c r="X128"/>
      <c r="Y128"/>
      <c r="Z128"/>
      <c r="AA128"/>
      <c r="AB128"/>
      <c r="AC128"/>
      <c r="AD128"/>
      <c r="AE128"/>
      <c r="AF128"/>
      <c r="AG128"/>
      <c r="AH128"/>
      <c r="AI128"/>
      <c r="AJ128"/>
      <c r="AK128"/>
      <c r="AL128"/>
      <c r="AM128"/>
    </row>
    <row r="129" spans="1:39" x14ac:dyDescent="0.2">
      <c r="A129"/>
      <c r="B129"/>
      <c r="C129"/>
      <c r="D129"/>
      <c r="E129"/>
      <c r="F129"/>
      <c r="G129"/>
      <c r="H129"/>
      <c r="I129"/>
      <c r="J129"/>
      <c r="K129"/>
      <c r="L129"/>
      <c r="M129"/>
      <c r="N129"/>
      <c r="O129"/>
      <c r="P129"/>
      <c r="Q129"/>
      <c r="R129"/>
      <c r="S129"/>
      <c r="U129"/>
      <c r="V129"/>
      <c r="W129"/>
      <c r="X129"/>
      <c r="Y129"/>
      <c r="Z129"/>
      <c r="AA129"/>
      <c r="AB129"/>
      <c r="AC129"/>
      <c r="AD129"/>
      <c r="AE129"/>
      <c r="AF129"/>
      <c r="AG129"/>
      <c r="AH129"/>
      <c r="AI129"/>
      <c r="AJ129"/>
      <c r="AK129"/>
      <c r="AL129"/>
      <c r="AM129"/>
    </row>
    <row r="130" spans="1:39" x14ac:dyDescent="0.2">
      <c r="A130"/>
      <c r="B130"/>
      <c r="C130"/>
      <c r="D130"/>
      <c r="E130"/>
      <c r="F130"/>
      <c r="G130"/>
      <c r="H130"/>
      <c r="I130"/>
      <c r="J130"/>
      <c r="K130"/>
      <c r="L130"/>
      <c r="M130"/>
      <c r="N130"/>
      <c r="O130"/>
      <c r="P130"/>
      <c r="Q130"/>
      <c r="R130"/>
      <c r="S130"/>
      <c r="U130"/>
      <c r="V130"/>
      <c r="W130"/>
      <c r="X130"/>
      <c r="Y130"/>
      <c r="Z130"/>
      <c r="AA130"/>
      <c r="AB130"/>
      <c r="AC130"/>
      <c r="AD130"/>
      <c r="AE130"/>
      <c r="AF130"/>
      <c r="AG130"/>
      <c r="AH130"/>
      <c r="AI130"/>
      <c r="AJ130"/>
      <c r="AK130"/>
      <c r="AL130"/>
      <c r="AM130"/>
    </row>
    <row r="131" spans="1:39" x14ac:dyDescent="0.2">
      <c r="A131"/>
      <c r="B131"/>
      <c r="C131"/>
      <c r="D131"/>
      <c r="E131"/>
      <c r="F131"/>
      <c r="G131"/>
      <c r="H131"/>
      <c r="I131"/>
      <c r="J131"/>
      <c r="K131"/>
      <c r="L131"/>
      <c r="M131"/>
      <c r="N131"/>
      <c r="O131"/>
      <c r="P131"/>
      <c r="Q131"/>
      <c r="R131"/>
      <c r="S131"/>
      <c r="T131"/>
      <c r="U131"/>
      <c r="V131"/>
      <c r="W131"/>
      <c r="X131"/>
      <c r="Y131"/>
      <c r="Z131"/>
      <c r="AA131"/>
      <c r="AB131"/>
      <c r="AC131"/>
      <c r="AD131"/>
      <c r="AE131"/>
      <c r="AF131"/>
      <c r="AG131"/>
      <c r="AH131"/>
      <c r="AI131"/>
      <c r="AJ131"/>
      <c r="AK131"/>
      <c r="AL131"/>
      <c r="AM131"/>
    </row>
    <row r="132" spans="1:39" x14ac:dyDescent="0.2">
      <c r="A132"/>
      <c r="B132"/>
      <c r="C132"/>
      <c r="D132"/>
      <c r="E132"/>
      <c r="F132"/>
      <c r="G132"/>
      <c r="H132"/>
      <c r="I132"/>
      <c r="J132"/>
      <c r="K132"/>
      <c r="L132"/>
      <c r="M132"/>
      <c r="N132"/>
      <c r="O132"/>
      <c r="P132"/>
      <c r="Q132"/>
      <c r="R132"/>
      <c r="S132"/>
      <c r="T132"/>
      <c r="U132"/>
      <c r="V132"/>
      <c r="W132"/>
      <c r="X132"/>
      <c r="Y132"/>
      <c r="Z132"/>
      <c r="AA132"/>
      <c r="AB132"/>
      <c r="AC132"/>
      <c r="AD132"/>
      <c r="AE132"/>
      <c r="AF132"/>
      <c r="AG132"/>
      <c r="AH132"/>
      <c r="AI132"/>
      <c r="AJ132"/>
      <c r="AK132"/>
      <c r="AL132"/>
      <c r="AM132"/>
    </row>
    <row r="133" spans="1:39" x14ac:dyDescent="0.2">
      <c r="A133"/>
      <c r="B133"/>
      <c r="C133"/>
      <c r="D133"/>
      <c r="E133"/>
      <c r="F133"/>
      <c r="G133"/>
      <c r="H133"/>
      <c r="I133"/>
      <c r="J133"/>
      <c r="K133"/>
      <c r="L133"/>
      <c r="M133"/>
      <c r="N133"/>
      <c r="O133"/>
      <c r="P133"/>
      <c r="Q133"/>
      <c r="R133"/>
      <c r="T133"/>
      <c r="U133"/>
      <c r="V133"/>
      <c r="W133"/>
      <c r="X133"/>
      <c r="AC133"/>
      <c r="AD133"/>
      <c r="AE133"/>
      <c r="AF133"/>
      <c r="AG133"/>
      <c r="AH133"/>
      <c r="AI133"/>
      <c r="AJ133"/>
      <c r="AK133"/>
      <c r="AL133"/>
      <c r="AM133"/>
    </row>
    <row r="134" spans="1:39" x14ac:dyDescent="0.2">
      <c r="A134"/>
      <c r="B134"/>
      <c r="C134"/>
      <c r="D134"/>
      <c r="E134"/>
      <c r="F134"/>
      <c r="G134"/>
      <c r="H134"/>
      <c r="I134"/>
      <c r="J134"/>
      <c r="K134"/>
      <c r="L134"/>
      <c r="M134"/>
      <c r="N134"/>
      <c r="O134"/>
      <c r="P134"/>
      <c r="Q134"/>
      <c r="R134"/>
      <c r="S134"/>
      <c r="T134"/>
      <c r="U134"/>
      <c r="V134"/>
      <c r="W134"/>
      <c r="X134"/>
      <c r="AC134"/>
      <c r="AD134"/>
      <c r="AE134"/>
      <c r="AF134"/>
      <c r="AG134"/>
      <c r="AH134"/>
      <c r="AJ134"/>
      <c r="AK134"/>
      <c r="AL134"/>
      <c r="AM134"/>
    </row>
    <row r="135" spans="1:39" x14ac:dyDescent="0.2">
      <c r="A135"/>
      <c r="B135"/>
      <c r="C135"/>
      <c r="D135"/>
      <c r="E135"/>
      <c r="F135"/>
      <c r="G135"/>
      <c r="H135"/>
      <c r="I135"/>
      <c r="J135"/>
      <c r="K135"/>
      <c r="L135"/>
      <c r="M135"/>
      <c r="N135"/>
      <c r="O135"/>
      <c r="P135"/>
      <c r="Q135"/>
      <c r="R135"/>
      <c r="S135"/>
      <c r="T135"/>
      <c r="U135"/>
      <c r="V135"/>
      <c r="W135"/>
      <c r="X135"/>
      <c r="AC135"/>
      <c r="AD135"/>
      <c r="AE135"/>
      <c r="AF135"/>
      <c r="AG135"/>
      <c r="AH135"/>
      <c r="AI135"/>
      <c r="AJ135"/>
      <c r="AK135"/>
      <c r="AL135"/>
      <c r="AM135"/>
    </row>
    <row r="136" spans="1:39" x14ac:dyDescent="0.2">
      <c r="A136"/>
      <c r="B136"/>
      <c r="C136"/>
      <c r="D136"/>
      <c r="E136"/>
      <c r="F136"/>
      <c r="G136"/>
      <c r="H136"/>
      <c r="I136"/>
      <c r="J136"/>
      <c r="K136"/>
      <c r="L136"/>
      <c r="M136"/>
      <c r="N136"/>
      <c r="O136"/>
      <c r="P136"/>
      <c r="Q136"/>
      <c r="R136"/>
      <c r="S136"/>
      <c r="T136"/>
      <c r="U136"/>
      <c r="V136"/>
      <c r="W136"/>
      <c r="X136"/>
      <c r="AC136"/>
      <c r="AD136"/>
      <c r="AE136"/>
      <c r="AF136"/>
      <c r="AG136"/>
      <c r="AH136"/>
      <c r="AI136"/>
      <c r="AJ136"/>
      <c r="AK136"/>
      <c r="AL136"/>
      <c r="AM136"/>
    </row>
    <row r="137" spans="1:39" x14ac:dyDescent="0.2">
      <c r="A137"/>
      <c r="B137"/>
      <c r="C137"/>
      <c r="D137"/>
      <c r="E137"/>
      <c r="F137"/>
      <c r="G137"/>
      <c r="H137"/>
      <c r="I137"/>
      <c r="J137"/>
      <c r="K137"/>
      <c r="L137"/>
      <c r="M137"/>
      <c r="N137"/>
      <c r="O137"/>
      <c r="P137"/>
      <c r="Q137"/>
      <c r="R137"/>
      <c r="S137"/>
      <c r="T137"/>
      <c r="U137"/>
      <c r="V137"/>
      <c r="W137"/>
      <c r="X137"/>
      <c r="AC137"/>
      <c r="AD137"/>
      <c r="AE137"/>
      <c r="AF137"/>
      <c r="AG137"/>
      <c r="AH137"/>
      <c r="AI137"/>
      <c r="AJ137"/>
      <c r="AK137"/>
      <c r="AL137"/>
      <c r="AM137"/>
    </row>
    <row r="138" spans="1:39" x14ac:dyDescent="0.2">
      <c r="A138"/>
      <c r="B138"/>
      <c r="C138"/>
      <c r="D138"/>
      <c r="E138"/>
      <c r="F138"/>
      <c r="G138"/>
      <c r="H138"/>
      <c r="I138"/>
      <c r="J138"/>
      <c r="K138"/>
      <c r="L138"/>
      <c r="M138"/>
      <c r="N138"/>
      <c r="O138"/>
      <c r="P138"/>
      <c r="Q138"/>
      <c r="R138"/>
      <c r="S138"/>
      <c r="T138"/>
      <c r="U138"/>
      <c r="V138"/>
      <c r="W138"/>
      <c r="X138"/>
      <c r="AC138"/>
      <c r="AD138"/>
      <c r="AE138"/>
      <c r="AF138"/>
      <c r="AG138"/>
      <c r="AH138"/>
      <c r="AI138"/>
      <c r="AJ138"/>
      <c r="AK138"/>
      <c r="AL138"/>
      <c r="AM138"/>
    </row>
    <row r="139" spans="1:39" x14ac:dyDescent="0.2">
      <c r="A139"/>
      <c r="B139"/>
      <c r="C139"/>
      <c r="D139"/>
      <c r="E139"/>
      <c r="F139"/>
      <c r="G139"/>
      <c r="H139"/>
      <c r="I139"/>
      <c r="J139"/>
      <c r="K139"/>
      <c r="L139"/>
      <c r="M139"/>
      <c r="N139"/>
      <c r="O139"/>
      <c r="P139"/>
      <c r="Q139"/>
      <c r="R139"/>
      <c r="S139"/>
      <c r="T139"/>
      <c r="U139"/>
      <c r="V139"/>
      <c r="W139"/>
      <c r="X139"/>
      <c r="AC139"/>
      <c r="AD139"/>
      <c r="AE139"/>
      <c r="AF139"/>
      <c r="AG139"/>
      <c r="AH139"/>
      <c r="AI139"/>
      <c r="AJ139"/>
      <c r="AK139"/>
      <c r="AL139"/>
      <c r="AM139"/>
    </row>
    <row r="140" spans="1:39" x14ac:dyDescent="0.2">
      <c r="A140"/>
      <c r="B140"/>
      <c r="C140"/>
      <c r="D140"/>
      <c r="E140"/>
      <c r="F140"/>
      <c r="G140"/>
      <c r="H140"/>
      <c r="I140"/>
      <c r="J140"/>
      <c r="K140"/>
      <c r="L140"/>
      <c r="M140"/>
      <c r="N140"/>
      <c r="O140"/>
      <c r="P140"/>
      <c r="Q140"/>
      <c r="R140"/>
      <c r="S140"/>
      <c r="T140"/>
      <c r="U140"/>
      <c r="V140"/>
      <c r="W140"/>
      <c r="X140"/>
      <c r="AC140"/>
      <c r="AD140"/>
      <c r="AE140"/>
      <c r="AF140"/>
      <c r="AG140"/>
      <c r="AH140"/>
      <c r="AI140"/>
      <c r="AJ140"/>
      <c r="AK140"/>
      <c r="AL140"/>
      <c r="AM140"/>
    </row>
    <row r="141" spans="1:39" x14ac:dyDescent="0.2">
      <c r="A141"/>
      <c r="B141"/>
      <c r="C141"/>
      <c r="D141"/>
      <c r="E141"/>
      <c r="F141"/>
      <c r="G141"/>
      <c r="H141"/>
      <c r="I141"/>
      <c r="J141"/>
      <c r="K141"/>
      <c r="L141"/>
      <c r="M141"/>
      <c r="N141"/>
      <c r="O141"/>
      <c r="P141"/>
      <c r="Q141"/>
      <c r="R141"/>
      <c r="S141"/>
      <c r="T141"/>
      <c r="U141"/>
      <c r="V141"/>
      <c r="W141"/>
      <c r="X141"/>
      <c r="AC141"/>
      <c r="AD141"/>
      <c r="AE141"/>
      <c r="AF141"/>
      <c r="AG141"/>
      <c r="AH141"/>
      <c r="AI141"/>
      <c r="AJ141"/>
      <c r="AK141"/>
      <c r="AL141"/>
      <c r="AM141"/>
    </row>
    <row r="142" spans="1:39" x14ac:dyDescent="0.2">
      <c r="A142"/>
      <c r="B142"/>
      <c r="C142"/>
      <c r="D142"/>
      <c r="E142"/>
      <c r="F142"/>
      <c r="G142"/>
      <c r="H142"/>
      <c r="I142"/>
      <c r="J142"/>
      <c r="K142"/>
      <c r="L142"/>
      <c r="M142"/>
      <c r="N142"/>
      <c r="O142"/>
      <c r="P142"/>
      <c r="Q142"/>
      <c r="R142"/>
      <c r="S142"/>
      <c r="T142"/>
      <c r="U142"/>
      <c r="V142"/>
      <c r="W142"/>
      <c r="X142"/>
      <c r="Y142"/>
      <c r="Z142"/>
      <c r="AA142"/>
      <c r="AB142"/>
      <c r="AC142"/>
      <c r="AD142"/>
      <c r="AE142"/>
      <c r="AF142"/>
      <c r="AG142"/>
      <c r="AH142"/>
      <c r="AI142"/>
      <c r="AJ142"/>
      <c r="AK142"/>
      <c r="AL142"/>
      <c r="AM142"/>
    </row>
    <row r="143" spans="1:39" x14ac:dyDescent="0.2">
      <c r="A143"/>
      <c r="B143"/>
      <c r="C143"/>
      <c r="D143"/>
      <c r="E143"/>
      <c r="F143"/>
      <c r="G143"/>
      <c r="H143"/>
      <c r="I143"/>
      <c r="J143"/>
      <c r="K143"/>
      <c r="L143"/>
      <c r="M143"/>
      <c r="N143"/>
      <c r="O143"/>
      <c r="P143"/>
      <c r="Q143"/>
      <c r="R143"/>
      <c r="S143"/>
      <c r="T143"/>
      <c r="U143"/>
      <c r="V143"/>
      <c r="W143"/>
      <c r="X143"/>
      <c r="AC143"/>
      <c r="AD143"/>
      <c r="AE143"/>
      <c r="AF143"/>
      <c r="AG143"/>
      <c r="AH143"/>
      <c r="AI143"/>
      <c r="AJ143"/>
      <c r="AK143"/>
      <c r="AL143"/>
      <c r="AM143"/>
    </row>
    <row r="144" spans="1:39" x14ac:dyDescent="0.2">
      <c r="A144"/>
      <c r="B144"/>
      <c r="C144"/>
      <c r="D144"/>
      <c r="E144"/>
      <c r="F144"/>
      <c r="G144"/>
      <c r="H144"/>
      <c r="I144"/>
      <c r="J144"/>
      <c r="K144"/>
      <c r="L144"/>
      <c r="M144"/>
      <c r="N144"/>
      <c r="O144"/>
      <c r="P144"/>
      <c r="Q144"/>
      <c r="R144"/>
      <c r="S144"/>
      <c r="T144"/>
      <c r="U144"/>
      <c r="V144"/>
      <c r="W144"/>
      <c r="X144"/>
      <c r="AC144"/>
      <c r="AD144"/>
      <c r="AE144"/>
      <c r="AF144"/>
      <c r="AG144"/>
      <c r="AH144"/>
      <c r="AI144"/>
      <c r="AJ144"/>
      <c r="AK144"/>
      <c r="AL144"/>
      <c r="AM144"/>
    </row>
    <row r="145" spans="1:39" x14ac:dyDescent="0.2">
      <c r="A145"/>
      <c r="B145"/>
      <c r="C145"/>
      <c r="D145"/>
      <c r="E145"/>
      <c r="F145"/>
      <c r="G145"/>
      <c r="H145"/>
      <c r="I145"/>
      <c r="J145"/>
      <c r="K145"/>
      <c r="L145"/>
      <c r="M145"/>
      <c r="N145"/>
      <c r="O145"/>
      <c r="P145"/>
      <c r="Q145"/>
      <c r="R145"/>
      <c r="S145"/>
      <c r="T145"/>
      <c r="U145"/>
      <c r="V145"/>
      <c r="W145"/>
      <c r="X145"/>
      <c r="AC145"/>
      <c r="AD145"/>
      <c r="AE145"/>
      <c r="AF145"/>
      <c r="AG145"/>
      <c r="AH145"/>
      <c r="AI145"/>
      <c r="AJ145"/>
      <c r="AK145"/>
      <c r="AL145"/>
      <c r="AM145"/>
    </row>
    <row r="146" spans="1:39" x14ac:dyDescent="0.2">
      <c r="A146"/>
      <c r="B146"/>
      <c r="C146"/>
      <c r="D146"/>
      <c r="E146"/>
      <c r="F146"/>
      <c r="G146"/>
      <c r="H146"/>
      <c r="I146"/>
      <c r="J146"/>
      <c r="K146"/>
      <c r="L146"/>
      <c r="M146"/>
      <c r="N146"/>
      <c r="O146"/>
      <c r="P146"/>
      <c r="Q146"/>
      <c r="R146"/>
      <c r="S146"/>
      <c r="T146"/>
      <c r="U146"/>
      <c r="V146"/>
      <c r="W146"/>
      <c r="X146"/>
      <c r="AC146"/>
      <c r="AD146"/>
      <c r="AE146"/>
      <c r="AF146"/>
      <c r="AG146"/>
      <c r="AH146"/>
      <c r="AI146"/>
      <c r="AJ146"/>
      <c r="AK146"/>
      <c r="AL146"/>
      <c r="AM146"/>
    </row>
    <row r="147" spans="1:39" x14ac:dyDescent="0.2">
      <c r="A147"/>
      <c r="B147"/>
      <c r="C147"/>
      <c r="D147"/>
      <c r="E147"/>
      <c r="F147"/>
      <c r="G147"/>
      <c r="H147"/>
      <c r="I147"/>
      <c r="J147"/>
      <c r="K147"/>
      <c r="L147"/>
      <c r="M147"/>
      <c r="N147"/>
      <c r="O147"/>
      <c r="P147"/>
      <c r="Q147"/>
      <c r="R147"/>
      <c r="S147"/>
      <c r="T147"/>
      <c r="U147"/>
      <c r="V147"/>
      <c r="W147"/>
      <c r="X147"/>
      <c r="AC147"/>
      <c r="AD147"/>
      <c r="AE147"/>
      <c r="AF147"/>
      <c r="AG147"/>
      <c r="AH147"/>
      <c r="AI147"/>
      <c r="AJ147"/>
      <c r="AK147"/>
      <c r="AL147"/>
      <c r="AM147"/>
    </row>
    <row r="148" spans="1:39" x14ac:dyDescent="0.2">
      <c r="A148"/>
      <c r="B148"/>
      <c r="C148"/>
      <c r="D148"/>
      <c r="E148"/>
      <c r="F148"/>
      <c r="G148"/>
      <c r="H148"/>
      <c r="I148"/>
      <c r="J148"/>
      <c r="K148"/>
      <c r="L148"/>
      <c r="M148"/>
      <c r="N148"/>
      <c r="O148"/>
      <c r="P148"/>
      <c r="Q148"/>
      <c r="R148"/>
      <c r="S148"/>
      <c r="T148"/>
      <c r="U148"/>
      <c r="V148"/>
      <c r="W148"/>
      <c r="X148"/>
      <c r="AC148"/>
      <c r="AD148"/>
      <c r="AE148"/>
      <c r="AF148"/>
      <c r="AM148"/>
    </row>
    <row r="149" spans="1:39" x14ac:dyDescent="0.2">
      <c r="A149"/>
      <c r="B149"/>
      <c r="C149"/>
      <c r="D149"/>
      <c r="E149"/>
      <c r="F149"/>
      <c r="G149"/>
      <c r="H149"/>
      <c r="I149"/>
      <c r="J149"/>
      <c r="K149"/>
      <c r="L149"/>
      <c r="M149"/>
      <c r="N149"/>
      <c r="O149"/>
      <c r="P149"/>
      <c r="Q149"/>
      <c r="R149"/>
      <c r="S149"/>
      <c r="T149"/>
      <c r="U149"/>
      <c r="V149"/>
      <c r="W149"/>
      <c r="X149"/>
      <c r="Y149"/>
      <c r="Z149"/>
      <c r="AA149"/>
      <c r="AB149"/>
      <c r="AC149"/>
      <c r="AD149"/>
      <c r="AE149"/>
      <c r="AF149"/>
      <c r="AG149"/>
      <c r="AH149"/>
      <c r="AI149"/>
      <c r="AJ149"/>
      <c r="AK149"/>
      <c r="AL149"/>
      <c r="AM149"/>
    </row>
    <row r="150" spans="1:39" x14ac:dyDescent="0.2">
      <c r="A150"/>
      <c r="B150"/>
      <c r="C150"/>
      <c r="D150"/>
      <c r="E150"/>
      <c r="F150"/>
      <c r="G150"/>
      <c r="H150"/>
      <c r="I150"/>
      <c r="J150"/>
      <c r="K150"/>
      <c r="L150"/>
      <c r="M150"/>
      <c r="N150"/>
      <c r="O150"/>
      <c r="P150"/>
      <c r="Q150"/>
      <c r="R150"/>
      <c r="S150"/>
      <c r="T150"/>
      <c r="U150"/>
      <c r="V150"/>
      <c r="W150"/>
      <c r="X150"/>
      <c r="Y150"/>
      <c r="Z150"/>
      <c r="AA150"/>
      <c r="AB150"/>
      <c r="AC150"/>
      <c r="AD150"/>
      <c r="AE150"/>
      <c r="AF150"/>
      <c r="AG150"/>
      <c r="AH150"/>
      <c r="AI150"/>
      <c r="AJ150"/>
      <c r="AK150"/>
      <c r="AL150"/>
      <c r="AM150"/>
    </row>
    <row r="151" spans="1:39" x14ac:dyDescent="0.2">
      <c r="A151"/>
      <c r="B151"/>
      <c r="C151"/>
      <c r="D151"/>
      <c r="E151"/>
      <c r="F151"/>
      <c r="G151"/>
      <c r="H151"/>
      <c r="I151"/>
      <c r="J151"/>
      <c r="K151"/>
      <c r="L151"/>
      <c r="M151"/>
      <c r="N151"/>
      <c r="O151"/>
      <c r="P151"/>
      <c r="Q151"/>
      <c r="R151"/>
      <c r="S151"/>
      <c r="T151"/>
      <c r="U151"/>
      <c r="V151"/>
      <c r="W151"/>
      <c r="X151"/>
      <c r="AC151"/>
      <c r="AD151"/>
      <c r="AE151"/>
      <c r="AF151"/>
      <c r="AG151"/>
      <c r="AH151"/>
      <c r="AI151"/>
      <c r="AJ151"/>
      <c r="AK151"/>
      <c r="AL151"/>
      <c r="AM151"/>
    </row>
    <row r="152" spans="1:39" x14ac:dyDescent="0.2">
      <c r="A152"/>
      <c r="B152"/>
      <c r="C152"/>
      <c r="D152"/>
      <c r="E152"/>
      <c r="G152"/>
      <c r="H152"/>
      <c r="I152"/>
      <c r="J152"/>
      <c r="K152"/>
      <c r="L152"/>
      <c r="M152"/>
      <c r="N152"/>
      <c r="O152"/>
      <c r="P152"/>
      <c r="Q152"/>
      <c r="R152"/>
      <c r="S152"/>
      <c r="T152"/>
      <c r="U152"/>
      <c r="V152"/>
      <c r="W152"/>
      <c r="X152"/>
      <c r="Y152"/>
      <c r="Z152"/>
      <c r="AA152"/>
      <c r="AB152"/>
      <c r="AC152"/>
      <c r="AD152"/>
      <c r="AE152"/>
      <c r="AF152"/>
      <c r="AG152"/>
      <c r="AH152"/>
      <c r="AI152"/>
      <c r="AJ152"/>
      <c r="AK152"/>
      <c r="AL152"/>
      <c r="AM152"/>
    </row>
    <row r="153" spans="1:39" x14ac:dyDescent="0.2">
      <c r="A153"/>
      <c r="B153"/>
      <c r="C153"/>
      <c r="D153"/>
      <c r="E153"/>
      <c r="F153"/>
      <c r="G153"/>
      <c r="H153"/>
      <c r="I153"/>
      <c r="J153"/>
      <c r="K153"/>
      <c r="L153"/>
      <c r="M153"/>
      <c r="N153"/>
      <c r="O153"/>
      <c r="P153"/>
      <c r="Q153"/>
      <c r="R153"/>
      <c r="S153"/>
      <c r="T153"/>
      <c r="U153"/>
      <c r="V153"/>
      <c r="W153"/>
      <c r="X153"/>
      <c r="Y153"/>
      <c r="Z153"/>
      <c r="AA153"/>
      <c r="AB153"/>
      <c r="AC153"/>
      <c r="AD153"/>
      <c r="AE153"/>
      <c r="AF153"/>
      <c r="AG153"/>
      <c r="AH153"/>
      <c r="AI153"/>
      <c r="AJ153"/>
      <c r="AK153"/>
      <c r="AL153"/>
      <c r="AM153"/>
    </row>
    <row r="154" spans="1:39" x14ac:dyDescent="0.2">
      <c r="A154"/>
      <c r="B154"/>
      <c r="C154"/>
      <c r="D154"/>
      <c r="E154"/>
      <c r="G154"/>
      <c r="H154"/>
      <c r="I154"/>
      <c r="J154"/>
      <c r="K154"/>
      <c r="L154"/>
      <c r="M154"/>
      <c r="N154"/>
      <c r="O154"/>
      <c r="P154"/>
      <c r="Q154"/>
      <c r="R154"/>
      <c r="S154"/>
      <c r="T154"/>
      <c r="U154"/>
      <c r="V154"/>
      <c r="W154"/>
      <c r="X154"/>
      <c r="Y154"/>
      <c r="Z154"/>
      <c r="AA154"/>
      <c r="AB154"/>
      <c r="AC154"/>
      <c r="AD154"/>
      <c r="AE154"/>
      <c r="AF154"/>
      <c r="AG154"/>
      <c r="AH154"/>
      <c r="AI154"/>
      <c r="AJ154"/>
      <c r="AK154"/>
      <c r="AL154"/>
      <c r="AM154"/>
    </row>
    <row r="155" spans="1:39" x14ac:dyDescent="0.2">
      <c r="A155"/>
      <c r="B155"/>
      <c r="C155"/>
      <c r="D155"/>
      <c r="E155"/>
      <c r="F155"/>
      <c r="G155"/>
      <c r="H155"/>
      <c r="I155"/>
      <c r="J155"/>
      <c r="K155"/>
      <c r="L155"/>
      <c r="M155"/>
      <c r="N155"/>
      <c r="O155"/>
      <c r="P155"/>
      <c r="Q155"/>
      <c r="R155"/>
      <c r="S155"/>
      <c r="T155"/>
      <c r="U155"/>
      <c r="V155"/>
      <c r="W155"/>
      <c r="X155"/>
      <c r="Y155"/>
      <c r="Z155"/>
      <c r="AA155"/>
      <c r="AB155"/>
      <c r="AC155"/>
      <c r="AD155"/>
      <c r="AE155"/>
      <c r="AF155"/>
      <c r="AG155"/>
      <c r="AH155"/>
      <c r="AI155"/>
      <c r="AJ155"/>
      <c r="AK155"/>
      <c r="AL155"/>
      <c r="AM155"/>
    </row>
    <row r="156" spans="1:39" x14ac:dyDescent="0.2">
      <c r="A156"/>
      <c r="B156"/>
      <c r="C156"/>
      <c r="D156"/>
      <c r="E156"/>
      <c r="F156"/>
      <c r="G156"/>
      <c r="H156"/>
      <c r="I156"/>
      <c r="J156"/>
      <c r="K156"/>
      <c r="L156"/>
      <c r="M156"/>
      <c r="N156"/>
      <c r="O156"/>
      <c r="P156"/>
      <c r="Q156"/>
      <c r="R156"/>
      <c r="S156"/>
      <c r="T156"/>
      <c r="U156"/>
      <c r="V156"/>
      <c r="W156"/>
      <c r="X156"/>
      <c r="Y156"/>
      <c r="Z156"/>
      <c r="AA156"/>
      <c r="AB156"/>
      <c r="AC156"/>
      <c r="AD156"/>
      <c r="AE156"/>
      <c r="AF156"/>
      <c r="AG156"/>
      <c r="AH156"/>
      <c r="AI156"/>
      <c r="AJ156"/>
      <c r="AK156"/>
      <c r="AL156"/>
      <c r="AM156"/>
    </row>
    <row r="157" spans="1:39" x14ac:dyDescent="0.2">
      <c r="A157"/>
      <c r="B157"/>
      <c r="C157"/>
      <c r="D157"/>
      <c r="E157"/>
      <c r="F157"/>
      <c r="G157"/>
      <c r="H157"/>
      <c r="I157"/>
      <c r="J157"/>
      <c r="K157"/>
      <c r="L157"/>
      <c r="M157"/>
      <c r="N157"/>
      <c r="O157"/>
      <c r="P157"/>
      <c r="Q157"/>
      <c r="R157"/>
      <c r="S157"/>
      <c r="T157"/>
      <c r="U157"/>
      <c r="V157"/>
      <c r="W157"/>
      <c r="X157"/>
      <c r="Y157"/>
      <c r="Z157"/>
      <c r="AA157"/>
      <c r="AB157"/>
      <c r="AC157"/>
      <c r="AD157"/>
      <c r="AE157"/>
      <c r="AF157"/>
      <c r="AG157"/>
      <c r="AH157"/>
      <c r="AI157"/>
      <c r="AJ157"/>
      <c r="AK157"/>
      <c r="AL157"/>
      <c r="AM157"/>
    </row>
    <row r="158" spans="1:39" x14ac:dyDescent="0.2">
      <c r="A158"/>
      <c r="B158"/>
      <c r="C158"/>
      <c r="D158"/>
      <c r="E158"/>
      <c r="F158"/>
      <c r="G158"/>
      <c r="H158"/>
      <c r="I158"/>
      <c r="J158"/>
      <c r="K158"/>
      <c r="L158"/>
      <c r="M158"/>
      <c r="N158"/>
      <c r="O158"/>
      <c r="P158"/>
      <c r="Q158"/>
      <c r="R158"/>
      <c r="S158"/>
      <c r="T158"/>
      <c r="U158"/>
      <c r="V158"/>
      <c r="W158"/>
      <c r="X158"/>
      <c r="Y158"/>
      <c r="Z158"/>
      <c r="AA158"/>
      <c r="AB158"/>
      <c r="AC158"/>
      <c r="AD158"/>
      <c r="AE158"/>
      <c r="AF158"/>
      <c r="AG158"/>
      <c r="AH158"/>
      <c r="AI158"/>
      <c r="AJ158"/>
      <c r="AK158"/>
      <c r="AL158"/>
      <c r="AM158"/>
    </row>
    <row r="159" spans="1:39" x14ac:dyDescent="0.2">
      <c r="A159"/>
      <c r="B159"/>
      <c r="C159"/>
      <c r="D159"/>
      <c r="E159"/>
      <c r="F159"/>
      <c r="G159"/>
      <c r="H159"/>
      <c r="I159"/>
      <c r="J159"/>
      <c r="K159"/>
      <c r="L159"/>
      <c r="M159"/>
      <c r="N159"/>
      <c r="O159"/>
      <c r="P159"/>
      <c r="Q159"/>
      <c r="R159"/>
      <c r="S159"/>
      <c r="T159"/>
      <c r="U159"/>
      <c r="V159"/>
      <c r="W159"/>
      <c r="X159"/>
      <c r="Y159"/>
      <c r="Z159"/>
      <c r="AA159"/>
      <c r="AB159"/>
      <c r="AC159"/>
      <c r="AD159"/>
      <c r="AE159"/>
      <c r="AF159"/>
      <c r="AG159"/>
      <c r="AH159"/>
      <c r="AI159"/>
      <c r="AJ159"/>
      <c r="AK159"/>
      <c r="AL159"/>
      <c r="AM159"/>
    </row>
    <row r="160" spans="1:39" x14ac:dyDescent="0.2">
      <c r="A160"/>
      <c r="B160"/>
      <c r="C160"/>
      <c r="D160"/>
      <c r="E160"/>
      <c r="F160"/>
      <c r="G160"/>
      <c r="H160"/>
      <c r="I160"/>
      <c r="J160"/>
      <c r="K160"/>
      <c r="L160"/>
      <c r="M160"/>
      <c r="N160"/>
      <c r="O160"/>
      <c r="P160"/>
      <c r="Q160"/>
      <c r="R160"/>
      <c r="S160"/>
      <c r="T160"/>
      <c r="U160"/>
      <c r="V160"/>
      <c r="W160"/>
      <c r="X160"/>
      <c r="Y160"/>
      <c r="Z160"/>
      <c r="AA160"/>
      <c r="AB160"/>
      <c r="AC160"/>
      <c r="AD160"/>
      <c r="AE160"/>
      <c r="AF160"/>
      <c r="AG160"/>
      <c r="AH160"/>
      <c r="AI160"/>
      <c r="AJ160"/>
      <c r="AK160"/>
      <c r="AL160"/>
      <c r="AM160"/>
    </row>
    <row r="161" spans="1:41" x14ac:dyDescent="0.2">
      <c r="A161"/>
      <c r="B161"/>
      <c r="C161"/>
      <c r="D161"/>
      <c r="E161"/>
      <c r="F161"/>
      <c r="G161"/>
      <c r="H161"/>
      <c r="I161"/>
      <c r="J161"/>
      <c r="K161"/>
      <c r="L161"/>
      <c r="M161"/>
      <c r="N161"/>
      <c r="O161"/>
      <c r="P161"/>
      <c r="Q161"/>
      <c r="R161"/>
      <c r="S161"/>
      <c r="T161"/>
      <c r="Y161"/>
      <c r="Z161"/>
      <c r="AA161"/>
      <c r="AB161"/>
      <c r="AC161"/>
      <c r="AD161"/>
      <c r="AE161"/>
      <c r="AF161"/>
      <c r="AG161"/>
      <c r="AH161"/>
      <c r="AI161"/>
      <c r="AJ161"/>
      <c r="AK161"/>
      <c r="AL161"/>
      <c r="AM161"/>
    </row>
    <row r="162" spans="1:41" x14ac:dyDescent="0.2">
      <c r="A162"/>
      <c r="B162"/>
      <c r="C162"/>
      <c r="D162"/>
      <c r="E162"/>
      <c r="F162"/>
      <c r="G162"/>
      <c r="H162"/>
      <c r="I162"/>
      <c r="J162"/>
      <c r="K162"/>
      <c r="L162"/>
      <c r="M162"/>
      <c r="N162"/>
      <c r="O162"/>
      <c r="P162"/>
      <c r="Q162"/>
      <c r="R162"/>
      <c r="S162"/>
      <c r="T162"/>
      <c r="Y162"/>
      <c r="Z162"/>
      <c r="AA162"/>
      <c r="AB162"/>
      <c r="AC162"/>
      <c r="AD162"/>
      <c r="AE162"/>
      <c r="AF162"/>
      <c r="AG162"/>
      <c r="AH162"/>
      <c r="AI162"/>
      <c r="AJ162"/>
      <c r="AK162"/>
      <c r="AL162"/>
      <c r="AM162"/>
    </row>
    <row r="163" spans="1:41" x14ac:dyDescent="0.2">
      <c r="A163"/>
      <c r="B163"/>
      <c r="C163"/>
      <c r="D163"/>
      <c r="E163"/>
      <c r="F163"/>
      <c r="G163"/>
      <c r="H163"/>
      <c r="I163"/>
      <c r="J163"/>
      <c r="K163"/>
      <c r="L163"/>
      <c r="M163"/>
      <c r="N163"/>
      <c r="O163"/>
      <c r="P163"/>
      <c r="Q163"/>
      <c r="R163"/>
      <c r="S163"/>
      <c r="T163"/>
      <c r="U163"/>
      <c r="V163"/>
      <c r="W163"/>
      <c r="X163"/>
      <c r="AC163"/>
      <c r="AD163"/>
      <c r="AE163"/>
      <c r="AF163"/>
      <c r="AG163"/>
      <c r="AH163"/>
      <c r="AI163"/>
      <c r="AJ163"/>
      <c r="AK163"/>
      <c r="AL163"/>
      <c r="AM163"/>
    </row>
    <row r="164" spans="1:41" x14ac:dyDescent="0.2">
      <c r="A164"/>
      <c r="B164"/>
      <c r="C164"/>
      <c r="D164"/>
      <c r="E164"/>
      <c r="F164"/>
      <c r="G164"/>
      <c r="H164"/>
      <c r="I164"/>
      <c r="J164"/>
      <c r="K164"/>
      <c r="L164"/>
      <c r="M164"/>
      <c r="N164"/>
      <c r="O164"/>
      <c r="P164"/>
      <c r="Q164"/>
      <c r="R164"/>
      <c r="S164"/>
      <c r="T164"/>
      <c r="U164"/>
      <c r="V164"/>
      <c r="W164"/>
      <c r="X164"/>
      <c r="AC164"/>
      <c r="AD164"/>
      <c r="AE164"/>
      <c r="AF164"/>
      <c r="AG164"/>
      <c r="AH164"/>
      <c r="AI164"/>
      <c r="AJ164"/>
      <c r="AK164"/>
      <c r="AL164"/>
      <c r="AM164"/>
    </row>
    <row r="165" spans="1:41" x14ac:dyDescent="0.2">
      <c r="A165"/>
      <c r="B165"/>
      <c r="C165"/>
      <c r="D165"/>
      <c r="E165"/>
      <c r="F165"/>
      <c r="G165"/>
      <c r="H165"/>
      <c r="I165"/>
      <c r="J165"/>
      <c r="K165"/>
      <c r="L165"/>
      <c r="M165"/>
      <c r="N165"/>
      <c r="O165"/>
      <c r="P165"/>
      <c r="Q165"/>
      <c r="R165"/>
      <c r="S165"/>
      <c r="T165"/>
      <c r="U165"/>
      <c r="V165"/>
      <c r="W165"/>
      <c r="X165"/>
      <c r="Y165"/>
      <c r="Z165"/>
      <c r="AA165"/>
      <c r="AB165"/>
      <c r="AC165"/>
      <c r="AD165"/>
      <c r="AE165"/>
      <c r="AF165"/>
      <c r="AG165"/>
      <c r="AH165"/>
      <c r="AI165"/>
      <c r="AJ165"/>
      <c r="AK165"/>
      <c r="AL165"/>
      <c r="AM165"/>
    </row>
    <row r="166" spans="1:41" x14ac:dyDescent="0.2">
      <c r="A166"/>
      <c r="B166"/>
      <c r="C166"/>
      <c r="D166"/>
      <c r="E166"/>
      <c r="F166"/>
      <c r="G166"/>
      <c r="H166"/>
      <c r="I166"/>
      <c r="J166"/>
      <c r="K166"/>
      <c r="L166"/>
      <c r="M166"/>
      <c r="N166"/>
      <c r="O166"/>
      <c r="P166"/>
      <c r="Q166"/>
      <c r="R166"/>
      <c r="S166"/>
      <c r="T166"/>
      <c r="U166"/>
      <c r="V166"/>
      <c r="W166"/>
      <c r="X166"/>
      <c r="Y166"/>
      <c r="Z166"/>
      <c r="AA166"/>
      <c r="AB166"/>
      <c r="AC166"/>
      <c r="AD166"/>
      <c r="AE166"/>
      <c r="AF166"/>
      <c r="AG166"/>
      <c r="AI166"/>
      <c r="AJ166"/>
      <c r="AK166"/>
      <c r="AL166"/>
      <c r="AM166"/>
    </row>
    <row r="167" spans="1:41" x14ac:dyDescent="0.2">
      <c r="A167"/>
      <c r="B167"/>
      <c r="C167"/>
      <c r="D167"/>
      <c r="E167"/>
      <c r="F167"/>
      <c r="G167"/>
      <c r="H167"/>
      <c r="I167"/>
      <c r="J167"/>
      <c r="K167"/>
      <c r="L167"/>
      <c r="M167"/>
      <c r="N167"/>
      <c r="O167"/>
      <c r="P167"/>
      <c r="Q167"/>
      <c r="R167"/>
      <c r="S167"/>
      <c r="T167"/>
      <c r="U167"/>
      <c r="V167"/>
      <c r="W167"/>
      <c r="X167"/>
      <c r="AC167"/>
      <c r="AD167"/>
      <c r="AE167"/>
      <c r="AF167"/>
      <c r="AG167"/>
      <c r="AH167"/>
      <c r="AI167"/>
      <c r="AJ167"/>
      <c r="AK167"/>
      <c r="AL167"/>
      <c r="AM167"/>
    </row>
    <row r="168" spans="1:41" x14ac:dyDescent="0.2">
      <c r="A168"/>
      <c r="B168"/>
      <c r="C168"/>
      <c r="D168"/>
      <c r="E168"/>
      <c r="F168"/>
      <c r="G168"/>
      <c r="H168"/>
      <c r="I168"/>
      <c r="J168"/>
      <c r="K168"/>
      <c r="L168"/>
      <c r="M168"/>
      <c r="N168"/>
      <c r="O168"/>
      <c r="P168"/>
      <c r="Q168"/>
      <c r="R168"/>
      <c r="S168"/>
      <c r="T168"/>
      <c r="U168"/>
      <c r="V168"/>
      <c r="W168"/>
      <c r="X168"/>
      <c r="AC168"/>
      <c r="AD168"/>
      <c r="AE168"/>
      <c r="AF168"/>
      <c r="AG168"/>
      <c r="AH168"/>
      <c r="AI168"/>
      <c r="AJ168"/>
      <c r="AK168"/>
      <c r="AL168"/>
      <c r="AM168"/>
    </row>
    <row r="169" spans="1:41" x14ac:dyDescent="0.2">
      <c r="A169"/>
      <c r="B169"/>
      <c r="C169"/>
      <c r="D169"/>
      <c r="E169"/>
      <c r="F169"/>
      <c r="G169"/>
      <c r="H169"/>
      <c r="I169"/>
      <c r="J169"/>
      <c r="K169"/>
      <c r="L169"/>
      <c r="M169"/>
      <c r="N169"/>
      <c r="O169"/>
      <c r="P169"/>
      <c r="Q169"/>
      <c r="R169"/>
      <c r="S169"/>
      <c r="T169"/>
      <c r="U169"/>
      <c r="V169"/>
      <c r="W169"/>
      <c r="X169"/>
      <c r="AC169"/>
      <c r="AD169"/>
      <c r="AE169"/>
      <c r="AF169"/>
      <c r="AL169"/>
      <c r="AM169"/>
    </row>
    <row r="170" spans="1:41" x14ac:dyDescent="0.2">
      <c r="A170"/>
      <c r="B170"/>
      <c r="C170"/>
      <c r="D170"/>
      <c r="E170"/>
      <c r="F170"/>
      <c r="G170"/>
      <c r="H170"/>
      <c r="I170"/>
      <c r="J170"/>
      <c r="K170"/>
      <c r="L170"/>
      <c r="M170"/>
      <c r="N170"/>
      <c r="O170"/>
      <c r="P170"/>
      <c r="Q170"/>
      <c r="R170"/>
      <c r="S170"/>
      <c r="T170"/>
      <c r="U170"/>
      <c r="V170"/>
      <c r="W170"/>
      <c r="X170"/>
      <c r="Y170"/>
      <c r="Z170"/>
      <c r="AA170"/>
      <c r="AB170"/>
      <c r="AC170"/>
      <c r="AD170"/>
      <c r="AE170"/>
      <c r="AF170"/>
      <c r="AG170"/>
      <c r="AH170"/>
      <c r="AI170"/>
      <c r="AJ170"/>
      <c r="AK170"/>
      <c r="AL170"/>
      <c r="AM170"/>
      <c r="AN170"/>
    </row>
    <row r="171" spans="1:41" x14ac:dyDescent="0.2">
      <c r="A171"/>
      <c r="B171"/>
      <c r="C171"/>
      <c r="D171"/>
      <c r="E171"/>
      <c r="F171"/>
      <c r="G171"/>
      <c r="H171"/>
      <c r="I171"/>
      <c r="J171"/>
      <c r="K171"/>
      <c r="L171"/>
      <c r="M171"/>
      <c r="N171"/>
      <c r="O171"/>
      <c r="P171"/>
      <c r="Q171"/>
      <c r="R171"/>
      <c r="S171"/>
      <c r="T171"/>
      <c r="U171"/>
      <c r="V171"/>
      <c r="W171"/>
      <c r="X171"/>
      <c r="Y171"/>
      <c r="Z171"/>
      <c r="AA171"/>
      <c r="AB171"/>
      <c r="AC171"/>
      <c r="AD171"/>
      <c r="AE171"/>
      <c r="AF171"/>
      <c r="AG171"/>
      <c r="AH171"/>
      <c r="AI171"/>
      <c r="AJ171"/>
      <c r="AK171"/>
      <c r="AL171"/>
      <c r="AM171"/>
      <c r="AN171"/>
    </row>
    <row r="172" spans="1:41" x14ac:dyDescent="0.2">
      <c r="A172"/>
      <c r="B172"/>
      <c r="C172"/>
      <c r="D172"/>
      <c r="E172"/>
      <c r="F172"/>
      <c r="G172"/>
      <c r="H172"/>
      <c r="I172"/>
      <c r="J172"/>
      <c r="K172"/>
      <c r="L172"/>
      <c r="M172"/>
      <c r="N172"/>
      <c r="O172"/>
      <c r="P172"/>
      <c r="Q172"/>
      <c r="R172"/>
      <c r="S172"/>
      <c r="T172"/>
      <c r="U172"/>
      <c r="V172"/>
      <c r="W172"/>
      <c r="X172"/>
      <c r="Y172"/>
      <c r="Z172"/>
      <c r="AA172"/>
      <c r="AB172"/>
      <c r="AC172"/>
      <c r="AD172"/>
      <c r="AE172"/>
      <c r="AF172"/>
      <c r="AG172"/>
      <c r="AH172"/>
      <c r="AI172"/>
      <c r="AJ172"/>
      <c r="AK172"/>
      <c r="AL172"/>
      <c r="AM172"/>
      <c r="AN172"/>
      <c r="AO172"/>
    </row>
    <row r="173" spans="1:41" x14ac:dyDescent="0.2">
      <c r="A173"/>
      <c r="B173"/>
      <c r="C173"/>
      <c r="D173"/>
      <c r="E173"/>
      <c r="F173"/>
      <c r="G173"/>
      <c r="H173"/>
      <c r="I173"/>
      <c r="J173"/>
      <c r="K173"/>
      <c r="L173"/>
      <c r="M173"/>
      <c r="N173"/>
      <c r="O173"/>
      <c r="P173"/>
      <c r="Q173"/>
      <c r="R173"/>
      <c r="S173"/>
      <c r="T173"/>
      <c r="U173"/>
      <c r="V173"/>
      <c r="W173"/>
      <c r="X173"/>
      <c r="Y173"/>
      <c r="Z173"/>
      <c r="AA173"/>
      <c r="AB173"/>
      <c r="AC173"/>
      <c r="AD173"/>
      <c r="AE173"/>
      <c r="AF173"/>
      <c r="AG173"/>
      <c r="AH173"/>
      <c r="AI173"/>
      <c r="AJ173"/>
      <c r="AK173"/>
      <c r="AL173"/>
      <c r="AM173"/>
      <c r="AN173"/>
      <c r="AO173"/>
    </row>
    <row r="174" spans="1:41" x14ac:dyDescent="0.2">
      <c r="A174"/>
      <c r="B174"/>
      <c r="C174"/>
      <c r="D174"/>
      <c r="E174"/>
      <c r="F174"/>
      <c r="G174"/>
      <c r="H174"/>
      <c r="I174"/>
      <c r="J174"/>
      <c r="K174"/>
      <c r="L174"/>
      <c r="M174"/>
      <c r="N174"/>
      <c r="O174"/>
      <c r="P174"/>
      <c r="Q174"/>
      <c r="R174"/>
      <c r="S174"/>
      <c r="T174"/>
      <c r="U174"/>
      <c r="V174"/>
      <c r="W174"/>
      <c r="X174"/>
      <c r="Y174"/>
      <c r="Z174"/>
      <c r="AA174"/>
      <c r="AB174"/>
      <c r="AC174"/>
      <c r="AD174"/>
      <c r="AE174"/>
      <c r="AF174"/>
      <c r="AG174"/>
      <c r="AH174"/>
      <c r="AI174"/>
      <c r="AJ174"/>
      <c r="AK174"/>
      <c r="AL174"/>
      <c r="AM174"/>
      <c r="AN174"/>
    </row>
    <row r="175" spans="1:41" x14ac:dyDescent="0.2">
      <c r="A175"/>
      <c r="B175"/>
      <c r="C175"/>
      <c r="D175"/>
      <c r="E175"/>
      <c r="F175"/>
      <c r="G175"/>
      <c r="H175"/>
      <c r="I175"/>
      <c r="J175"/>
      <c r="K175"/>
      <c r="L175"/>
      <c r="M175"/>
      <c r="N175"/>
      <c r="O175"/>
      <c r="P175"/>
      <c r="Q175"/>
      <c r="R175"/>
      <c r="S175"/>
      <c r="T175"/>
      <c r="U175"/>
      <c r="V175"/>
      <c r="W175"/>
      <c r="X175"/>
      <c r="Y175"/>
      <c r="Z175"/>
      <c r="AA175"/>
      <c r="AB175"/>
      <c r="AC175"/>
      <c r="AD175"/>
      <c r="AE175"/>
      <c r="AF175"/>
      <c r="AG175"/>
      <c r="AH175"/>
      <c r="AI175"/>
      <c r="AJ175"/>
      <c r="AK175"/>
      <c r="AL175"/>
      <c r="AM175"/>
      <c r="AN175"/>
    </row>
    <row r="176" spans="1:41" x14ac:dyDescent="0.2">
      <c r="A176"/>
      <c r="B176"/>
      <c r="C176"/>
      <c r="D176"/>
      <c r="E176"/>
      <c r="F176"/>
      <c r="G176"/>
      <c r="H176"/>
      <c r="I176"/>
      <c r="J176"/>
      <c r="K176"/>
      <c r="L176"/>
      <c r="M176"/>
      <c r="N176"/>
      <c r="O176"/>
      <c r="P176"/>
      <c r="Q176"/>
      <c r="R176"/>
      <c r="S176"/>
      <c r="T176"/>
      <c r="U176"/>
      <c r="V176"/>
      <c r="W176"/>
      <c r="X176"/>
      <c r="Y176"/>
      <c r="Z176"/>
      <c r="AA176"/>
      <c r="AB176"/>
      <c r="AC176"/>
      <c r="AD176"/>
      <c r="AE176"/>
      <c r="AF176"/>
      <c r="AG176"/>
      <c r="AH176"/>
      <c r="AI176"/>
      <c r="AJ176"/>
      <c r="AK176"/>
      <c r="AL176"/>
      <c r="AM176"/>
      <c r="AN176"/>
    </row>
    <row r="177" spans="1:40" x14ac:dyDescent="0.2">
      <c r="A177"/>
      <c r="B177"/>
      <c r="C177"/>
      <c r="D177"/>
      <c r="E177"/>
      <c r="F177"/>
      <c r="G177"/>
      <c r="H177"/>
      <c r="I177"/>
      <c r="J177"/>
      <c r="K177"/>
      <c r="L177"/>
      <c r="M177"/>
      <c r="N177"/>
      <c r="O177"/>
      <c r="P177"/>
      <c r="Q177"/>
      <c r="R177"/>
      <c r="S177"/>
      <c r="T177"/>
      <c r="U177"/>
      <c r="V177"/>
      <c r="W177"/>
      <c r="X177"/>
      <c r="Y177"/>
      <c r="Z177"/>
      <c r="AA177"/>
      <c r="AB177"/>
      <c r="AC177"/>
      <c r="AD177"/>
      <c r="AE177"/>
      <c r="AF177"/>
      <c r="AG177"/>
      <c r="AH177"/>
      <c r="AI177"/>
      <c r="AJ177"/>
      <c r="AK177"/>
      <c r="AL177"/>
      <c r="AM177"/>
      <c r="AN177"/>
    </row>
    <row r="178" spans="1:40" x14ac:dyDescent="0.2">
      <c r="A178"/>
      <c r="B178"/>
      <c r="C178"/>
      <c r="D178"/>
      <c r="E178"/>
      <c r="F178"/>
      <c r="G178"/>
      <c r="H178"/>
      <c r="I178"/>
      <c r="J178"/>
      <c r="K178"/>
      <c r="L178"/>
      <c r="M178"/>
      <c r="N178"/>
      <c r="O178"/>
      <c r="P178"/>
      <c r="Q178"/>
      <c r="R178"/>
      <c r="S178"/>
      <c r="T178"/>
      <c r="U178"/>
      <c r="V178"/>
      <c r="W178"/>
      <c r="X178"/>
      <c r="Y178"/>
      <c r="Z178"/>
      <c r="AA178"/>
      <c r="AB178"/>
      <c r="AC178"/>
      <c r="AD178"/>
      <c r="AE178"/>
      <c r="AF178"/>
      <c r="AG178"/>
      <c r="AH178"/>
      <c r="AI178"/>
      <c r="AJ178"/>
      <c r="AK178"/>
      <c r="AL178"/>
      <c r="AM178"/>
      <c r="AN178"/>
    </row>
    <row r="179" spans="1:40" x14ac:dyDescent="0.2">
      <c r="A179"/>
      <c r="B179"/>
      <c r="C179"/>
      <c r="D179"/>
      <c r="E179"/>
      <c r="F179"/>
      <c r="G179"/>
      <c r="H179"/>
      <c r="I179"/>
      <c r="J179"/>
      <c r="K179"/>
      <c r="L179"/>
      <c r="M179"/>
      <c r="N179"/>
      <c r="O179"/>
      <c r="P179"/>
      <c r="Q179"/>
      <c r="R179"/>
      <c r="S179"/>
      <c r="T179"/>
      <c r="U179"/>
      <c r="V179"/>
      <c r="W179"/>
      <c r="X179"/>
      <c r="AC179"/>
      <c r="AD179"/>
      <c r="AE179"/>
      <c r="AF179"/>
      <c r="AH179"/>
      <c r="AJ179"/>
      <c r="AK179"/>
      <c r="AL179"/>
      <c r="AM179"/>
    </row>
    <row r="180" spans="1:40" x14ac:dyDescent="0.2">
      <c r="A180"/>
      <c r="B180"/>
      <c r="C180"/>
      <c r="D180"/>
      <c r="E180"/>
      <c r="F180"/>
      <c r="G180"/>
      <c r="H180"/>
      <c r="I180"/>
      <c r="J180"/>
      <c r="K180"/>
      <c r="L180"/>
      <c r="M180"/>
      <c r="N180"/>
      <c r="O180"/>
      <c r="P180"/>
      <c r="Q180"/>
      <c r="R180"/>
      <c r="S180"/>
      <c r="T180"/>
      <c r="U180"/>
      <c r="V180"/>
      <c r="W180"/>
      <c r="X180"/>
      <c r="Y180"/>
      <c r="Z180"/>
      <c r="AA180"/>
      <c r="AB180"/>
      <c r="AC180"/>
      <c r="AD180"/>
      <c r="AE180"/>
      <c r="AF180"/>
      <c r="AG180"/>
      <c r="AH180"/>
      <c r="AI180"/>
      <c r="AJ180"/>
      <c r="AK180"/>
      <c r="AL180"/>
      <c r="AM180"/>
    </row>
    <row r="181" spans="1:40" x14ac:dyDescent="0.2">
      <c r="A181"/>
      <c r="B181"/>
      <c r="C181"/>
      <c r="D181"/>
      <c r="E181"/>
      <c r="F181"/>
      <c r="G181"/>
      <c r="H181"/>
      <c r="I181"/>
      <c r="J181"/>
      <c r="K181"/>
      <c r="L181"/>
      <c r="M181"/>
      <c r="N181"/>
      <c r="O181"/>
      <c r="P181"/>
      <c r="Q181"/>
      <c r="R181"/>
      <c r="S181"/>
      <c r="T181"/>
      <c r="U181"/>
      <c r="V181"/>
      <c r="W181"/>
      <c r="X181"/>
      <c r="Y181"/>
      <c r="Z181"/>
      <c r="AA181"/>
      <c r="AB181"/>
      <c r="AC181"/>
      <c r="AD181"/>
      <c r="AE181"/>
      <c r="AF181"/>
      <c r="AG181"/>
      <c r="AH181"/>
      <c r="AI181"/>
      <c r="AJ181"/>
      <c r="AK181"/>
      <c r="AL181"/>
      <c r="AM181"/>
    </row>
    <row r="182" spans="1:40" x14ac:dyDescent="0.2">
      <c r="A182"/>
      <c r="B182"/>
      <c r="C182"/>
      <c r="D182"/>
      <c r="E182"/>
      <c r="F182"/>
      <c r="G182"/>
      <c r="H182"/>
      <c r="I182"/>
      <c r="J182"/>
      <c r="K182"/>
      <c r="L182"/>
      <c r="M182"/>
      <c r="N182"/>
      <c r="O182"/>
      <c r="P182"/>
      <c r="Q182"/>
      <c r="R182"/>
      <c r="S182"/>
      <c r="T182"/>
      <c r="U182"/>
      <c r="V182"/>
      <c r="W182"/>
      <c r="X182"/>
      <c r="AC182"/>
      <c r="AD182"/>
      <c r="AE182"/>
      <c r="AF182"/>
      <c r="AG182"/>
      <c r="AH182"/>
      <c r="AI182"/>
      <c r="AJ182"/>
      <c r="AK182"/>
      <c r="AL182"/>
      <c r="AM182"/>
    </row>
    <row r="183" spans="1:40" x14ac:dyDescent="0.2">
      <c r="A183"/>
      <c r="B183"/>
      <c r="C183"/>
      <c r="D183"/>
      <c r="E183"/>
      <c r="F183"/>
      <c r="G183"/>
      <c r="H183"/>
      <c r="I183"/>
      <c r="J183"/>
      <c r="K183"/>
      <c r="L183"/>
      <c r="M183"/>
      <c r="N183"/>
      <c r="O183"/>
      <c r="P183"/>
      <c r="Q183"/>
      <c r="R183"/>
      <c r="S183"/>
      <c r="T183"/>
      <c r="U183"/>
      <c r="V183"/>
      <c r="W183"/>
      <c r="X183"/>
      <c r="AC183"/>
      <c r="AD183"/>
      <c r="AE183"/>
      <c r="AF183"/>
      <c r="AG183"/>
      <c r="AH183"/>
      <c r="AI183"/>
      <c r="AJ183"/>
      <c r="AK183"/>
      <c r="AL183"/>
      <c r="AM183"/>
    </row>
    <row r="184" spans="1:40" x14ac:dyDescent="0.2">
      <c r="A184"/>
      <c r="B184"/>
      <c r="C184"/>
      <c r="D184"/>
      <c r="E184"/>
      <c r="F184"/>
      <c r="G184"/>
      <c r="H184"/>
      <c r="I184"/>
      <c r="J184"/>
      <c r="K184"/>
      <c r="L184"/>
      <c r="M184"/>
      <c r="N184"/>
      <c r="O184"/>
      <c r="P184"/>
      <c r="Q184"/>
      <c r="R184"/>
      <c r="S184"/>
      <c r="T184"/>
      <c r="U184"/>
      <c r="V184"/>
      <c r="W184"/>
      <c r="X184"/>
      <c r="AC184"/>
      <c r="AD184"/>
      <c r="AE184"/>
      <c r="AF184"/>
      <c r="AG184"/>
      <c r="AH184"/>
      <c r="AI184"/>
      <c r="AJ184"/>
      <c r="AK184"/>
      <c r="AL184"/>
      <c r="AM184"/>
    </row>
    <row r="185" spans="1:40" x14ac:dyDescent="0.2">
      <c r="A185"/>
      <c r="B185"/>
      <c r="C185"/>
      <c r="D185"/>
      <c r="E185"/>
      <c r="F185"/>
      <c r="G185"/>
      <c r="H185"/>
      <c r="I185"/>
      <c r="J185"/>
      <c r="K185"/>
      <c r="L185"/>
      <c r="M185"/>
      <c r="O185"/>
      <c r="P185"/>
      <c r="Q185"/>
      <c r="R185"/>
      <c r="S185"/>
      <c r="T185"/>
      <c r="U185"/>
      <c r="V185"/>
      <c r="W185"/>
      <c r="X185"/>
      <c r="Y185"/>
      <c r="Z185"/>
      <c r="AA185"/>
      <c r="AB185"/>
      <c r="AC185"/>
      <c r="AD185"/>
      <c r="AE185"/>
      <c r="AF185"/>
      <c r="AG185"/>
      <c r="AH185"/>
      <c r="AI185"/>
      <c r="AJ185"/>
      <c r="AK185"/>
      <c r="AL185"/>
      <c r="AM185"/>
    </row>
    <row r="186" spans="1:40" x14ac:dyDescent="0.2">
      <c r="A186"/>
      <c r="B186"/>
      <c r="C186"/>
      <c r="D186"/>
      <c r="E186"/>
      <c r="F186"/>
      <c r="G186"/>
      <c r="H186"/>
      <c r="I186"/>
      <c r="J186"/>
      <c r="K186"/>
      <c r="L186"/>
      <c r="M186"/>
      <c r="N186"/>
      <c r="O186"/>
      <c r="P186"/>
      <c r="Q186"/>
      <c r="R186"/>
      <c r="S186"/>
      <c r="T186"/>
      <c r="U186"/>
      <c r="V186"/>
      <c r="W186"/>
      <c r="X186"/>
      <c r="Y186"/>
      <c r="Z186"/>
      <c r="AA186"/>
      <c r="AB186"/>
      <c r="AC186"/>
      <c r="AD186"/>
      <c r="AE186"/>
      <c r="AF186"/>
      <c r="AG186"/>
      <c r="AH186"/>
      <c r="AI186"/>
      <c r="AJ186"/>
      <c r="AK186"/>
      <c r="AL186"/>
      <c r="AM186"/>
    </row>
    <row r="187" spans="1:40" x14ac:dyDescent="0.2">
      <c r="A187"/>
      <c r="B187"/>
      <c r="C187"/>
      <c r="D187"/>
      <c r="E187"/>
      <c r="F187"/>
      <c r="G187"/>
      <c r="H187"/>
      <c r="I187"/>
      <c r="J187"/>
      <c r="K187"/>
      <c r="L187"/>
      <c r="M187"/>
      <c r="N187"/>
      <c r="O187"/>
      <c r="P187"/>
      <c r="Q187"/>
      <c r="R187"/>
      <c r="S187"/>
      <c r="T187"/>
      <c r="U187"/>
      <c r="V187"/>
      <c r="W187"/>
      <c r="X187"/>
      <c r="Y187"/>
      <c r="Z187"/>
      <c r="AA187"/>
      <c r="AB187"/>
      <c r="AC187"/>
      <c r="AD187"/>
      <c r="AE187"/>
      <c r="AF187"/>
      <c r="AG187"/>
      <c r="AH187"/>
      <c r="AI187"/>
      <c r="AJ187"/>
      <c r="AK187"/>
      <c r="AL187"/>
      <c r="AM187"/>
    </row>
    <row r="188" spans="1:40" x14ac:dyDescent="0.2">
      <c r="A188"/>
      <c r="B188"/>
      <c r="C188"/>
      <c r="D188"/>
      <c r="E188"/>
      <c r="F188"/>
      <c r="G188"/>
      <c r="H188"/>
      <c r="I188"/>
      <c r="J188"/>
      <c r="K188"/>
      <c r="L188"/>
      <c r="M188"/>
      <c r="N188"/>
      <c r="O188"/>
      <c r="P188"/>
      <c r="Q188"/>
      <c r="R188"/>
      <c r="S188"/>
      <c r="U188"/>
      <c r="V188"/>
      <c r="W188"/>
      <c r="X188"/>
      <c r="Y188"/>
      <c r="Z188"/>
      <c r="AA188"/>
      <c r="AB188"/>
      <c r="AC188"/>
      <c r="AD188"/>
      <c r="AE188"/>
      <c r="AF188"/>
      <c r="AJ188"/>
      <c r="AK188"/>
      <c r="AL188"/>
      <c r="AM188"/>
    </row>
    <row r="189" spans="1:40" x14ac:dyDescent="0.2">
      <c r="A189"/>
      <c r="B189"/>
      <c r="C189"/>
      <c r="D189"/>
      <c r="E189"/>
      <c r="F189"/>
      <c r="G189"/>
      <c r="H189"/>
      <c r="I189"/>
      <c r="J189"/>
      <c r="K189"/>
      <c r="L189"/>
      <c r="M189"/>
      <c r="N189"/>
      <c r="O189"/>
      <c r="P189"/>
      <c r="Q189"/>
      <c r="R189"/>
      <c r="S189"/>
      <c r="T189"/>
      <c r="U189"/>
      <c r="V189"/>
      <c r="W189"/>
      <c r="X189"/>
      <c r="Y189"/>
      <c r="Z189"/>
      <c r="AA189"/>
      <c r="AB189"/>
      <c r="AC189"/>
      <c r="AD189"/>
      <c r="AE189"/>
      <c r="AF189"/>
      <c r="AG189"/>
      <c r="AH189"/>
      <c r="AI189"/>
      <c r="AJ189"/>
      <c r="AK189"/>
      <c r="AL189"/>
      <c r="AM189"/>
    </row>
    <row r="190" spans="1:40" x14ac:dyDescent="0.2">
      <c r="A190"/>
      <c r="B190"/>
      <c r="C190"/>
      <c r="D190"/>
      <c r="E190"/>
      <c r="F190"/>
      <c r="G190"/>
      <c r="H190"/>
      <c r="I190"/>
      <c r="J190"/>
      <c r="K190"/>
      <c r="L190"/>
      <c r="M190"/>
      <c r="N190"/>
      <c r="O190"/>
      <c r="P190"/>
      <c r="Q190"/>
      <c r="R190"/>
      <c r="S190"/>
      <c r="T190"/>
      <c r="U190"/>
      <c r="V190"/>
      <c r="W190"/>
      <c r="X190"/>
      <c r="Y190"/>
      <c r="Z190"/>
      <c r="AA190"/>
      <c r="AB190"/>
      <c r="AC190"/>
      <c r="AD190"/>
      <c r="AE190"/>
      <c r="AF190"/>
      <c r="AG190"/>
      <c r="AH190"/>
      <c r="AI190"/>
      <c r="AJ190"/>
      <c r="AK190"/>
      <c r="AL190"/>
      <c r="AM190"/>
    </row>
    <row r="191" spans="1:40" x14ac:dyDescent="0.2">
      <c r="A191"/>
      <c r="B191"/>
      <c r="C191"/>
      <c r="D191"/>
      <c r="E191"/>
      <c r="F191"/>
      <c r="G191"/>
      <c r="H191"/>
      <c r="I191"/>
      <c r="J191"/>
      <c r="K191"/>
      <c r="L191"/>
      <c r="M191"/>
      <c r="N191"/>
      <c r="O191"/>
      <c r="P191"/>
      <c r="Q191"/>
      <c r="R191"/>
      <c r="S191"/>
      <c r="T191"/>
      <c r="U191"/>
      <c r="V191"/>
      <c r="W191"/>
      <c r="X191"/>
      <c r="Y191"/>
      <c r="Z191"/>
      <c r="AA191"/>
      <c r="AB191"/>
      <c r="AC191"/>
      <c r="AD191"/>
      <c r="AE191"/>
      <c r="AF191"/>
      <c r="AG191"/>
      <c r="AH191"/>
      <c r="AI191"/>
      <c r="AJ191"/>
      <c r="AK191"/>
      <c r="AL191"/>
      <c r="AM191"/>
    </row>
    <row r="192" spans="1:40" x14ac:dyDescent="0.2">
      <c r="A192"/>
      <c r="B192"/>
      <c r="C192"/>
      <c r="D192"/>
      <c r="E192"/>
      <c r="F192"/>
      <c r="G192"/>
      <c r="H192"/>
      <c r="I192"/>
      <c r="J192"/>
      <c r="K192"/>
      <c r="L192"/>
      <c r="M192"/>
      <c r="N192"/>
      <c r="O192"/>
      <c r="P192"/>
      <c r="Q192"/>
      <c r="R192"/>
      <c r="S192"/>
      <c r="T192"/>
      <c r="U192"/>
      <c r="V192"/>
      <c r="W192"/>
      <c r="X192"/>
      <c r="AC192"/>
      <c r="AD192"/>
      <c r="AE192"/>
      <c r="AF192"/>
      <c r="AG192"/>
      <c r="AH192"/>
      <c r="AI192"/>
      <c r="AJ192"/>
      <c r="AK192"/>
      <c r="AL192"/>
      <c r="AM192"/>
    </row>
    <row r="193" spans="1:39" x14ac:dyDescent="0.2">
      <c r="A193"/>
      <c r="B193"/>
      <c r="C193"/>
      <c r="D193"/>
      <c r="E193"/>
      <c r="F193"/>
      <c r="G193"/>
      <c r="H193"/>
      <c r="I193"/>
      <c r="J193"/>
      <c r="K193"/>
      <c r="L193"/>
      <c r="M193"/>
      <c r="N193"/>
      <c r="O193"/>
      <c r="P193"/>
      <c r="Q193"/>
      <c r="R193"/>
      <c r="S193"/>
      <c r="T193"/>
      <c r="U193"/>
      <c r="V193"/>
      <c r="W193"/>
      <c r="X193"/>
      <c r="AC193"/>
      <c r="AD193"/>
      <c r="AE193"/>
      <c r="AF193"/>
      <c r="AG193"/>
      <c r="AH193"/>
      <c r="AI193"/>
      <c r="AJ193"/>
      <c r="AK193"/>
      <c r="AL193"/>
      <c r="AM193"/>
    </row>
    <row r="194" spans="1:39" x14ac:dyDescent="0.2">
      <c r="A194"/>
      <c r="B194"/>
      <c r="C194"/>
      <c r="D194"/>
      <c r="E194"/>
      <c r="F194"/>
      <c r="G194"/>
      <c r="H194"/>
      <c r="I194"/>
      <c r="J194"/>
      <c r="K194"/>
      <c r="L194"/>
      <c r="M194"/>
      <c r="N194"/>
      <c r="O194"/>
      <c r="P194"/>
      <c r="Q194"/>
      <c r="R194"/>
      <c r="S194"/>
      <c r="T194"/>
      <c r="U194"/>
      <c r="V194"/>
      <c r="W194"/>
      <c r="X194"/>
      <c r="Y194"/>
      <c r="Z194"/>
      <c r="AA194"/>
      <c r="AB194"/>
      <c r="AC194"/>
      <c r="AD194"/>
      <c r="AE194"/>
      <c r="AF194"/>
      <c r="AG194"/>
      <c r="AH194"/>
      <c r="AI194"/>
      <c r="AJ194"/>
      <c r="AK194"/>
      <c r="AL194"/>
      <c r="AM194"/>
    </row>
    <row r="195" spans="1:39" x14ac:dyDescent="0.2">
      <c r="A195"/>
      <c r="B195"/>
      <c r="C195"/>
      <c r="D195"/>
      <c r="E195"/>
      <c r="F195"/>
      <c r="G195"/>
      <c r="H195"/>
      <c r="I195"/>
      <c r="J195"/>
      <c r="K195"/>
      <c r="L195"/>
      <c r="M195"/>
      <c r="N195"/>
      <c r="O195"/>
      <c r="P195"/>
      <c r="Q195"/>
      <c r="R195"/>
      <c r="S195"/>
      <c r="T195"/>
      <c r="U195"/>
      <c r="V195"/>
      <c r="W195"/>
      <c r="X195"/>
      <c r="AB195"/>
      <c r="AC195"/>
      <c r="AD195"/>
      <c r="AE195"/>
      <c r="AF195"/>
      <c r="AG195"/>
      <c r="AH195"/>
      <c r="AI195"/>
      <c r="AJ195"/>
      <c r="AK195"/>
      <c r="AL195"/>
      <c r="AM195"/>
    </row>
    <row r="196" spans="1:39" x14ac:dyDescent="0.2">
      <c r="A196"/>
      <c r="B196"/>
      <c r="C196"/>
      <c r="D196"/>
      <c r="E196"/>
      <c r="F196"/>
      <c r="G196"/>
      <c r="H196"/>
      <c r="I196"/>
      <c r="J196"/>
      <c r="K196"/>
      <c r="L196"/>
      <c r="M196"/>
      <c r="N196"/>
      <c r="O196"/>
      <c r="P196"/>
      <c r="Q196"/>
      <c r="R196"/>
      <c r="S196"/>
      <c r="T196"/>
      <c r="U196"/>
      <c r="V196"/>
      <c r="W196"/>
      <c r="X196"/>
      <c r="AB196"/>
      <c r="AC196"/>
      <c r="AD196"/>
      <c r="AE196"/>
      <c r="AF196"/>
      <c r="AG196"/>
      <c r="AI196"/>
      <c r="AJ196"/>
      <c r="AK196"/>
      <c r="AL196"/>
      <c r="AM196"/>
    </row>
    <row r="197" spans="1:39" x14ac:dyDescent="0.2">
      <c r="A197"/>
      <c r="B197"/>
      <c r="C197"/>
      <c r="D197"/>
      <c r="E197"/>
      <c r="F197"/>
      <c r="G197"/>
      <c r="H197"/>
      <c r="I197"/>
      <c r="J197"/>
      <c r="K197"/>
      <c r="L197"/>
      <c r="M197"/>
      <c r="N197"/>
      <c r="O197"/>
      <c r="P197"/>
      <c r="Q197"/>
      <c r="R197"/>
      <c r="S197"/>
      <c r="T197"/>
      <c r="U197"/>
      <c r="V197"/>
      <c r="W197"/>
      <c r="X197"/>
      <c r="AB197"/>
      <c r="AC197"/>
      <c r="AD197"/>
      <c r="AE197"/>
      <c r="AF197"/>
      <c r="AG197"/>
      <c r="AH197"/>
      <c r="AI197"/>
      <c r="AJ197"/>
      <c r="AK197"/>
      <c r="AL197"/>
      <c r="AM197"/>
    </row>
    <row r="198" spans="1:39" x14ac:dyDescent="0.2">
      <c r="A198"/>
      <c r="B198"/>
      <c r="C198"/>
      <c r="D198"/>
      <c r="E198"/>
      <c r="F198"/>
      <c r="G198"/>
      <c r="H198"/>
      <c r="I198"/>
      <c r="J198"/>
      <c r="K198"/>
      <c r="L198"/>
      <c r="M198"/>
      <c r="N198"/>
      <c r="O198"/>
      <c r="P198"/>
      <c r="Q198"/>
      <c r="R198"/>
      <c r="S198"/>
      <c r="T198"/>
      <c r="U198"/>
      <c r="V198"/>
      <c r="W198"/>
      <c r="X198"/>
      <c r="Y198"/>
      <c r="Z198"/>
      <c r="AA198"/>
      <c r="AB198"/>
      <c r="AC198"/>
      <c r="AD198"/>
      <c r="AE198"/>
      <c r="AF198"/>
      <c r="AG198"/>
      <c r="AH198"/>
      <c r="AI198"/>
      <c r="AJ198"/>
      <c r="AK198"/>
      <c r="AL198"/>
      <c r="AM198"/>
    </row>
    <row r="199" spans="1:39" x14ac:dyDescent="0.2">
      <c r="A199"/>
      <c r="B199"/>
      <c r="C199"/>
      <c r="D199"/>
      <c r="E199"/>
      <c r="F199"/>
      <c r="G199"/>
      <c r="H199"/>
      <c r="I199"/>
      <c r="J199"/>
      <c r="K199"/>
      <c r="L199"/>
      <c r="M199"/>
      <c r="N199"/>
      <c r="O199"/>
      <c r="P199"/>
      <c r="Q199"/>
      <c r="R199"/>
      <c r="S199"/>
      <c r="T199"/>
      <c r="U199"/>
      <c r="V199"/>
      <c r="W199"/>
      <c r="X199"/>
      <c r="AB199"/>
      <c r="AC199"/>
      <c r="AD199"/>
      <c r="AE199"/>
      <c r="AF199"/>
      <c r="AG199"/>
      <c r="AH199"/>
      <c r="AI199"/>
      <c r="AJ199"/>
      <c r="AK199"/>
      <c r="AL199"/>
      <c r="AM199"/>
    </row>
    <row r="200" spans="1:39" x14ac:dyDescent="0.2">
      <c r="A200"/>
      <c r="B200"/>
      <c r="C200"/>
      <c r="D200"/>
      <c r="E200"/>
      <c r="F200"/>
      <c r="G200"/>
      <c r="H200"/>
      <c r="I200"/>
      <c r="J200"/>
      <c r="K200"/>
      <c r="L200"/>
      <c r="M200"/>
      <c r="N200"/>
      <c r="O200"/>
      <c r="P200"/>
      <c r="Q200"/>
      <c r="R200"/>
      <c r="S200"/>
      <c r="T200"/>
      <c r="U200"/>
      <c r="V200"/>
      <c r="W200"/>
      <c r="X200"/>
      <c r="AB200"/>
      <c r="AC200"/>
      <c r="AD200"/>
      <c r="AE200"/>
      <c r="AF200"/>
      <c r="AG200"/>
      <c r="AH200"/>
      <c r="AI200"/>
      <c r="AJ200"/>
      <c r="AK200"/>
      <c r="AL200"/>
      <c r="AM200"/>
    </row>
    <row r="201" spans="1:39" x14ac:dyDescent="0.2">
      <c r="A201"/>
      <c r="B201"/>
      <c r="C201"/>
      <c r="D201"/>
      <c r="E201"/>
      <c r="F201"/>
      <c r="G201"/>
      <c r="H201"/>
      <c r="I201"/>
      <c r="J201"/>
      <c r="K201"/>
      <c r="L201"/>
      <c r="M201"/>
      <c r="N201"/>
      <c r="O201"/>
      <c r="P201"/>
      <c r="Q201"/>
      <c r="R201"/>
      <c r="S201"/>
      <c r="T201"/>
      <c r="U201"/>
      <c r="V201"/>
      <c r="W201"/>
      <c r="X201"/>
      <c r="AB201"/>
      <c r="AC201"/>
      <c r="AD201"/>
      <c r="AE201"/>
      <c r="AF201"/>
      <c r="AG201"/>
      <c r="AH201"/>
      <c r="AI201"/>
      <c r="AJ201"/>
      <c r="AK201"/>
      <c r="AL201"/>
      <c r="AM201"/>
    </row>
    <row r="202" spans="1:39" x14ac:dyDescent="0.2">
      <c r="A202"/>
      <c r="B202"/>
      <c r="C202"/>
      <c r="D202"/>
      <c r="E202"/>
      <c r="F202"/>
      <c r="G202"/>
      <c r="H202"/>
      <c r="I202"/>
      <c r="J202"/>
      <c r="K202"/>
      <c r="L202"/>
      <c r="M202"/>
      <c r="N202"/>
      <c r="O202"/>
      <c r="P202"/>
      <c r="Q202"/>
      <c r="R202"/>
      <c r="S202"/>
      <c r="T202"/>
      <c r="U202"/>
      <c r="V202"/>
      <c r="W202"/>
      <c r="X202"/>
      <c r="AC202"/>
      <c r="AD202"/>
      <c r="AE202"/>
      <c r="AF202"/>
      <c r="AG202"/>
      <c r="AH202"/>
      <c r="AI202"/>
      <c r="AJ202"/>
      <c r="AK202"/>
      <c r="AL202"/>
      <c r="AM202"/>
    </row>
    <row r="203" spans="1:39" x14ac:dyDescent="0.2">
      <c r="A203"/>
      <c r="B203"/>
      <c r="C203"/>
      <c r="D203"/>
      <c r="E203"/>
      <c r="F203"/>
      <c r="G203"/>
      <c r="H203"/>
      <c r="I203"/>
      <c r="J203"/>
      <c r="K203"/>
      <c r="L203"/>
      <c r="M203"/>
      <c r="N203"/>
      <c r="O203"/>
      <c r="P203"/>
      <c r="Q203"/>
      <c r="R203"/>
      <c r="S203"/>
      <c r="T203"/>
      <c r="U203"/>
      <c r="V203"/>
      <c r="W203"/>
      <c r="X203"/>
      <c r="AB203"/>
      <c r="AC203"/>
      <c r="AD203"/>
      <c r="AE203"/>
      <c r="AF203"/>
      <c r="AG203"/>
      <c r="AH203"/>
      <c r="AI203"/>
      <c r="AJ203"/>
      <c r="AK203"/>
      <c r="AL203"/>
      <c r="AM203"/>
    </row>
    <row r="204" spans="1:39" x14ac:dyDescent="0.2">
      <c r="A204"/>
      <c r="B204"/>
      <c r="C204"/>
      <c r="D204"/>
      <c r="E204"/>
      <c r="F204"/>
      <c r="G204"/>
      <c r="H204"/>
      <c r="I204"/>
      <c r="J204"/>
      <c r="K204"/>
      <c r="L204"/>
      <c r="M204"/>
      <c r="N204"/>
      <c r="O204"/>
      <c r="P204"/>
      <c r="Q204"/>
      <c r="R204"/>
      <c r="S204"/>
      <c r="T204"/>
      <c r="U204"/>
      <c r="V204"/>
      <c r="W204"/>
      <c r="X204"/>
      <c r="Y204"/>
      <c r="Z204"/>
      <c r="AA204"/>
      <c r="AB204"/>
      <c r="AC204"/>
      <c r="AD204"/>
      <c r="AE204"/>
      <c r="AF204"/>
      <c r="AG204"/>
      <c r="AH204"/>
      <c r="AI204"/>
      <c r="AJ204"/>
      <c r="AK204"/>
      <c r="AL204"/>
      <c r="AM204"/>
    </row>
    <row r="205" spans="1:39" x14ac:dyDescent="0.2">
      <c r="A205"/>
      <c r="B205"/>
      <c r="C205"/>
      <c r="D205"/>
      <c r="E205"/>
      <c r="F205"/>
      <c r="G205"/>
      <c r="H205"/>
      <c r="I205"/>
      <c r="J205"/>
      <c r="K205"/>
      <c r="L205"/>
      <c r="M205"/>
      <c r="N205"/>
      <c r="O205"/>
      <c r="P205"/>
      <c r="Q205"/>
      <c r="R205"/>
      <c r="S205"/>
      <c r="T205"/>
      <c r="X205"/>
      <c r="AB205"/>
      <c r="AC205"/>
      <c r="AD205"/>
      <c r="AE205"/>
      <c r="AF205"/>
      <c r="AG205"/>
      <c r="AH205"/>
      <c r="AI205"/>
      <c r="AJ205"/>
      <c r="AK205"/>
      <c r="AL205"/>
      <c r="AM205"/>
    </row>
    <row r="206" spans="1:39" x14ac:dyDescent="0.2">
      <c r="A206"/>
      <c r="B206"/>
      <c r="C206"/>
      <c r="D206"/>
      <c r="E206"/>
      <c r="F206"/>
      <c r="G206"/>
      <c r="H206"/>
      <c r="I206"/>
      <c r="J206"/>
      <c r="K206"/>
      <c r="L206"/>
      <c r="M206"/>
      <c r="O206"/>
      <c r="P206"/>
      <c r="Q206"/>
      <c r="R206"/>
      <c r="S206"/>
      <c r="T206"/>
      <c r="Y206"/>
      <c r="Z206"/>
      <c r="AA206"/>
      <c r="AC206"/>
      <c r="AD206"/>
      <c r="AE206"/>
      <c r="AF206"/>
      <c r="AG206"/>
      <c r="AH206"/>
      <c r="AI206"/>
      <c r="AJ206"/>
      <c r="AK206"/>
      <c r="AL206"/>
      <c r="AM206"/>
    </row>
    <row r="207" spans="1:39" x14ac:dyDescent="0.2">
      <c r="A207"/>
      <c r="B207"/>
      <c r="C207"/>
      <c r="D207"/>
      <c r="E207"/>
      <c r="F207"/>
      <c r="G207"/>
      <c r="H207"/>
      <c r="I207"/>
      <c r="J207"/>
      <c r="K207"/>
      <c r="L207"/>
      <c r="M207"/>
      <c r="O207"/>
      <c r="P207"/>
      <c r="Q207"/>
      <c r="R207"/>
      <c r="S207"/>
      <c r="T207"/>
      <c r="Y207"/>
      <c r="Z207"/>
      <c r="AA207"/>
      <c r="AC207"/>
      <c r="AD207"/>
      <c r="AE207"/>
      <c r="AF207"/>
      <c r="AG207"/>
      <c r="AH207"/>
      <c r="AI207"/>
      <c r="AJ207"/>
      <c r="AK207"/>
      <c r="AL207"/>
      <c r="AM207"/>
    </row>
    <row r="208" spans="1:39" x14ac:dyDescent="0.2">
      <c r="A208"/>
      <c r="B208"/>
      <c r="C208"/>
      <c r="D208"/>
      <c r="E208"/>
      <c r="F208"/>
      <c r="G208"/>
      <c r="H208"/>
      <c r="I208"/>
      <c r="J208"/>
      <c r="K208"/>
      <c r="L208"/>
      <c r="M208"/>
      <c r="O208"/>
      <c r="P208"/>
      <c r="Q208"/>
      <c r="R208"/>
      <c r="S208"/>
      <c r="T208"/>
      <c r="Y208"/>
      <c r="Z208"/>
      <c r="AA208"/>
      <c r="AC208"/>
      <c r="AD208"/>
      <c r="AE208"/>
      <c r="AF208"/>
      <c r="AG208"/>
      <c r="AH208"/>
      <c r="AI208"/>
      <c r="AJ208"/>
      <c r="AK208"/>
      <c r="AL208"/>
      <c r="AM208"/>
    </row>
    <row r="209" spans="1:39" x14ac:dyDescent="0.2">
      <c r="A209"/>
      <c r="B209"/>
      <c r="C209"/>
      <c r="D209"/>
      <c r="E209"/>
      <c r="F209"/>
      <c r="G209"/>
      <c r="H209"/>
      <c r="I209"/>
      <c r="J209"/>
      <c r="K209"/>
      <c r="L209"/>
      <c r="M209"/>
      <c r="N209"/>
      <c r="O209"/>
      <c r="P209"/>
      <c r="Q209"/>
      <c r="R209"/>
      <c r="T209"/>
      <c r="U209"/>
      <c r="V209"/>
      <c r="W209"/>
      <c r="X209"/>
      <c r="AC209"/>
      <c r="AD209"/>
      <c r="AE209"/>
      <c r="AF209"/>
      <c r="AG209"/>
      <c r="AH209"/>
      <c r="AI209"/>
      <c r="AJ209"/>
      <c r="AK209"/>
      <c r="AL209"/>
      <c r="AM209"/>
    </row>
    <row r="210" spans="1:39" x14ac:dyDescent="0.2">
      <c r="A210"/>
      <c r="B210"/>
      <c r="C210"/>
      <c r="D210"/>
      <c r="E210"/>
      <c r="F210"/>
      <c r="G210"/>
      <c r="H210"/>
      <c r="I210"/>
      <c r="J210"/>
      <c r="K210"/>
      <c r="L210"/>
      <c r="M210"/>
      <c r="N210"/>
      <c r="O210"/>
      <c r="P210"/>
      <c r="Q210"/>
      <c r="R210"/>
      <c r="S210"/>
      <c r="T210"/>
      <c r="U210"/>
      <c r="V210"/>
      <c r="W210"/>
      <c r="X210"/>
      <c r="AC210"/>
      <c r="AD210"/>
      <c r="AE210"/>
      <c r="AF210"/>
      <c r="AG210"/>
      <c r="AH210"/>
      <c r="AI210"/>
      <c r="AJ210"/>
      <c r="AK210"/>
      <c r="AL210"/>
      <c r="AM210"/>
    </row>
    <row r="211" spans="1:39" x14ac:dyDescent="0.2">
      <c r="A211"/>
      <c r="B211"/>
      <c r="C211"/>
      <c r="D211"/>
      <c r="E211"/>
      <c r="F211"/>
      <c r="G211"/>
      <c r="H211"/>
      <c r="I211"/>
      <c r="J211"/>
      <c r="K211"/>
      <c r="L211"/>
      <c r="M211"/>
      <c r="N211"/>
      <c r="O211"/>
      <c r="P211"/>
      <c r="Q211"/>
      <c r="R211"/>
      <c r="S211"/>
      <c r="T211"/>
      <c r="U211"/>
      <c r="V211"/>
      <c r="W211"/>
      <c r="X211"/>
      <c r="AC211"/>
      <c r="AD211"/>
      <c r="AE211"/>
      <c r="AF211"/>
      <c r="AG211"/>
      <c r="AH211"/>
      <c r="AI211"/>
      <c r="AJ211"/>
      <c r="AK211"/>
      <c r="AL211"/>
      <c r="AM211"/>
    </row>
    <row r="212" spans="1:39" x14ac:dyDescent="0.2">
      <c r="A212"/>
      <c r="B212"/>
      <c r="C212"/>
      <c r="D212"/>
      <c r="E212"/>
      <c r="F212"/>
      <c r="G212"/>
      <c r="H212"/>
      <c r="I212"/>
      <c r="J212"/>
      <c r="K212"/>
      <c r="L212"/>
      <c r="M212"/>
      <c r="N212"/>
      <c r="O212"/>
      <c r="P212"/>
      <c r="Q212"/>
      <c r="R212"/>
      <c r="S212"/>
      <c r="T212"/>
      <c r="U212"/>
      <c r="V212"/>
      <c r="W212"/>
      <c r="X212"/>
      <c r="AC212"/>
      <c r="AD212"/>
      <c r="AE212"/>
      <c r="AF212"/>
      <c r="AH212"/>
      <c r="AI212"/>
      <c r="AJ212"/>
      <c r="AK212"/>
      <c r="AL212"/>
      <c r="AM212"/>
    </row>
    <row r="213" spans="1:39" x14ac:dyDescent="0.2">
      <c r="A213"/>
      <c r="B213"/>
      <c r="C213"/>
      <c r="D213"/>
      <c r="E213"/>
      <c r="F213"/>
      <c r="G213"/>
      <c r="H213"/>
      <c r="I213"/>
      <c r="J213"/>
      <c r="K213"/>
      <c r="L213"/>
      <c r="M213"/>
      <c r="N213"/>
      <c r="O213"/>
      <c r="P213"/>
      <c r="Q213"/>
      <c r="R213"/>
      <c r="S213"/>
      <c r="T213"/>
      <c r="U213"/>
      <c r="V213"/>
      <c r="W213"/>
      <c r="X213"/>
      <c r="Y213"/>
      <c r="Z213"/>
      <c r="AA213"/>
      <c r="AB213"/>
      <c r="AC213"/>
      <c r="AD213"/>
      <c r="AE213"/>
      <c r="AF213"/>
      <c r="AL213"/>
      <c r="AM213"/>
    </row>
    <row r="214" spans="1:39" x14ac:dyDescent="0.2">
      <c r="A214"/>
      <c r="B214"/>
      <c r="C214"/>
      <c r="D214"/>
      <c r="E214"/>
      <c r="F214"/>
      <c r="G214"/>
      <c r="H214"/>
      <c r="I214"/>
      <c r="J214"/>
      <c r="K214"/>
      <c r="L214"/>
      <c r="M214"/>
      <c r="N214"/>
      <c r="O214"/>
      <c r="P214"/>
      <c r="Q214"/>
      <c r="R214"/>
      <c r="S214"/>
      <c r="T214"/>
      <c r="U214"/>
      <c r="V214"/>
      <c r="W214"/>
      <c r="X214"/>
      <c r="Y214"/>
      <c r="Z214"/>
      <c r="AA214"/>
      <c r="AB214"/>
      <c r="AC214"/>
      <c r="AD214"/>
      <c r="AE214"/>
      <c r="AF214"/>
      <c r="AG214"/>
      <c r="AH214"/>
      <c r="AI214"/>
      <c r="AJ214"/>
      <c r="AK214"/>
      <c r="AL214"/>
      <c r="AM214"/>
    </row>
    <row r="215" spans="1:39" x14ac:dyDescent="0.2">
      <c r="A215"/>
      <c r="B215"/>
      <c r="C215"/>
      <c r="D215"/>
      <c r="E215"/>
      <c r="F215"/>
      <c r="G215"/>
      <c r="H215"/>
      <c r="I215"/>
      <c r="J215"/>
      <c r="K215"/>
      <c r="L215"/>
      <c r="M215"/>
      <c r="N215"/>
      <c r="O215"/>
      <c r="P215"/>
      <c r="Q215"/>
      <c r="R215"/>
      <c r="S215"/>
      <c r="T215"/>
      <c r="U215"/>
      <c r="V215"/>
      <c r="W215"/>
      <c r="X215"/>
      <c r="Y215"/>
      <c r="Z215"/>
      <c r="AA215"/>
      <c r="AB215"/>
      <c r="AC215"/>
      <c r="AD215"/>
      <c r="AE215"/>
      <c r="AF215"/>
      <c r="AG215"/>
      <c r="AH215"/>
      <c r="AI215"/>
      <c r="AJ215"/>
      <c r="AK215"/>
      <c r="AL215"/>
      <c r="AM215"/>
    </row>
    <row r="216" spans="1:39" x14ac:dyDescent="0.2">
      <c r="A216"/>
      <c r="B216"/>
      <c r="C216"/>
      <c r="D216"/>
      <c r="E216"/>
      <c r="F216"/>
      <c r="G216"/>
      <c r="H216"/>
      <c r="I216"/>
      <c r="J216"/>
      <c r="K216"/>
      <c r="L216"/>
      <c r="M216"/>
      <c r="N216"/>
      <c r="O216"/>
      <c r="P216"/>
      <c r="Q216"/>
      <c r="R216"/>
      <c r="S216"/>
      <c r="T216"/>
      <c r="U216"/>
      <c r="V216"/>
      <c r="W216"/>
      <c r="X216"/>
      <c r="AA216"/>
      <c r="AC216"/>
      <c r="AD216"/>
      <c r="AE216"/>
      <c r="AF216"/>
      <c r="AG216"/>
      <c r="AH216"/>
      <c r="AI216"/>
      <c r="AJ216"/>
      <c r="AK216"/>
      <c r="AL216"/>
      <c r="AM216"/>
    </row>
    <row r="217" spans="1:39" x14ac:dyDescent="0.2">
      <c r="A217"/>
      <c r="B217"/>
      <c r="C217"/>
      <c r="D217"/>
      <c r="E217"/>
      <c r="F217"/>
      <c r="G217"/>
      <c r="H217"/>
      <c r="I217"/>
      <c r="J217"/>
      <c r="K217"/>
      <c r="L217"/>
      <c r="M217"/>
      <c r="N217"/>
      <c r="O217"/>
      <c r="P217"/>
      <c r="Q217"/>
      <c r="R217"/>
      <c r="S217"/>
      <c r="T217"/>
      <c r="U217"/>
      <c r="V217"/>
      <c r="W217"/>
      <c r="X217"/>
      <c r="Y217"/>
      <c r="Z217"/>
      <c r="AA217"/>
      <c r="AB217"/>
      <c r="AC217"/>
      <c r="AD217"/>
      <c r="AE217"/>
      <c r="AF217"/>
      <c r="AG217"/>
      <c r="AH217"/>
      <c r="AI217"/>
      <c r="AJ217"/>
      <c r="AK217"/>
      <c r="AL217"/>
      <c r="AM217"/>
    </row>
    <row r="218" spans="1:39" x14ac:dyDescent="0.2">
      <c r="A218"/>
      <c r="B218"/>
      <c r="C218"/>
      <c r="D218"/>
      <c r="E218"/>
      <c r="F218"/>
      <c r="G218"/>
      <c r="H218"/>
      <c r="I218"/>
      <c r="J218"/>
      <c r="L218"/>
      <c r="M218"/>
      <c r="N218"/>
      <c r="O218"/>
      <c r="P218"/>
      <c r="Q218"/>
      <c r="R218"/>
      <c r="S218"/>
      <c r="T218"/>
      <c r="U218"/>
      <c r="V218"/>
      <c r="W218"/>
      <c r="X218"/>
      <c r="Y218"/>
      <c r="Z218"/>
      <c r="AA218"/>
      <c r="AB218"/>
      <c r="AC218"/>
      <c r="AD218"/>
      <c r="AE218"/>
      <c r="AF218"/>
      <c r="AG218"/>
      <c r="AH218"/>
      <c r="AI218"/>
      <c r="AJ218"/>
      <c r="AK218"/>
      <c r="AL218"/>
      <c r="AM218"/>
    </row>
    <row r="219" spans="1:39" x14ac:dyDescent="0.2">
      <c r="A219"/>
      <c r="B219"/>
      <c r="C219"/>
      <c r="D219"/>
      <c r="E219"/>
      <c r="F219"/>
      <c r="G219"/>
      <c r="H219"/>
      <c r="I219"/>
      <c r="J219"/>
      <c r="K219"/>
      <c r="L219"/>
      <c r="M219"/>
      <c r="N219"/>
      <c r="O219"/>
      <c r="P219"/>
      <c r="Q219"/>
      <c r="R219"/>
      <c r="S219"/>
      <c r="T219"/>
      <c r="U219"/>
      <c r="V219"/>
      <c r="W219"/>
      <c r="X219"/>
      <c r="Y219"/>
      <c r="Z219"/>
      <c r="AA219"/>
      <c r="AB219"/>
      <c r="AC219"/>
      <c r="AD219"/>
      <c r="AE219"/>
      <c r="AF219"/>
      <c r="AG219"/>
      <c r="AH219"/>
      <c r="AI219"/>
      <c r="AJ219"/>
      <c r="AK219"/>
      <c r="AL219"/>
      <c r="AM219"/>
    </row>
    <row r="220" spans="1:39" x14ac:dyDescent="0.2">
      <c r="A220"/>
      <c r="B220"/>
      <c r="C220"/>
      <c r="D220"/>
      <c r="E220"/>
      <c r="F220"/>
      <c r="G220"/>
      <c r="H220"/>
      <c r="I220"/>
      <c r="J220"/>
      <c r="K220"/>
      <c r="L220"/>
      <c r="M220"/>
      <c r="N220"/>
      <c r="O220"/>
      <c r="P220"/>
      <c r="Q220"/>
      <c r="R220"/>
      <c r="S220"/>
      <c r="T220"/>
      <c r="U220"/>
      <c r="V220"/>
      <c r="W220"/>
      <c r="X220"/>
      <c r="Y220"/>
      <c r="Z220"/>
      <c r="AA220"/>
      <c r="AB220"/>
      <c r="AC220"/>
      <c r="AD220"/>
      <c r="AE220"/>
      <c r="AF220"/>
      <c r="AG220"/>
      <c r="AH220"/>
      <c r="AI220"/>
      <c r="AJ220"/>
      <c r="AK220"/>
      <c r="AL220"/>
      <c r="AM220"/>
    </row>
    <row r="221" spans="1:39" x14ac:dyDescent="0.2">
      <c r="A221"/>
      <c r="B221"/>
      <c r="C221"/>
      <c r="D221"/>
      <c r="E221"/>
      <c r="F221"/>
      <c r="G221"/>
      <c r="H221"/>
      <c r="I221"/>
      <c r="J221"/>
      <c r="K221"/>
      <c r="L221"/>
      <c r="M221"/>
      <c r="N221"/>
      <c r="O221"/>
      <c r="P221"/>
      <c r="Q221"/>
      <c r="R221"/>
      <c r="S221"/>
      <c r="T221"/>
      <c r="U221"/>
      <c r="V221"/>
      <c r="W221"/>
      <c r="X221"/>
      <c r="Y221"/>
      <c r="Z221"/>
      <c r="AA221"/>
      <c r="AB221"/>
      <c r="AC221"/>
      <c r="AD221"/>
      <c r="AE221"/>
      <c r="AF221"/>
      <c r="AG221"/>
      <c r="AH221"/>
      <c r="AI221"/>
      <c r="AJ221"/>
      <c r="AK221"/>
      <c r="AL221"/>
      <c r="AM221"/>
    </row>
    <row r="222" spans="1:39" x14ac:dyDescent="0.2">
      <c r="A222"/>
      <c r="B222"/>
      <c r="C222"/>
      <c r="D222"/>
      <c r="E222"/>
      <c r="F222"/>
      <c r="G222"/>
      <c r="H222"/>
      <c r="I222"/>
      <c r="J222"/>
      <c r="K222"/>
      <c r="L222"/>
      <c r="M222"/>
      <c r="N222"/>
      <c r="O222"/>
      <c r="P222"/>
      <c r="Q222"/>
      <c r="R222"/>
      <c r="S222"/>
      <c r="T222"/>
      <c r="U222"/>
      <c r="V222"/>
      <c r="W222"/>
      <c r="X222"/>
      <c r="Y222"/>
      <c r="Z222"/>
      <c r="AA222"/>
      <c r="AB222"/>
      <c r="AC222"/>
      <c r="AD222"/>
      <c r="AE222"/>
      <c r="AF222"/>
      <c r="AG222"/>
      <c r="AH222"/>
      <c r="AI222"/>
      <c r="AJ222"/>
      <c r="AK222"/>
      <c r="AL222"/>
      <c r="AM222"/>
    </row>
    <row r="223" spans="1:39" x14ac:dyDescent="0.2">
      <c r="A223"/>
      <c r="B223"/>
      <c r="C223"/>
      <c r="D223"/>
      <c r="E223"/>
      <c r="F223"/>
      <c r="G223"/>
      <c r="H223"/>
      <c r="I223"/>
      <c r="J223"/>
      <c r="K223"/>
      <c r="L223"/>
      <c r="M223"/>
      <c r="N223"/>
      <c r="O223"/>
      <c r="P223"/>
      <c r="Q223"/>
      <c r="R223"/>
      <c r="S223"/>
      <c r="T223"/>
      <c r="U223"/>
      <c r="V223"/>
      <c r="W223"/>
      <c r="X223"/>
      <c r="Y223"/>
      <c r="Z223"/>
      <c r="AA223"/>
      <c r="AB223"/>
      <c r="AC223"/>
      <c r="AD223"/>
      <c r="AE223"/>
      <c r="AF223"/>
      <c r="AG223"/>
      <c r="AH223"/>
      <c r="AI223"/>
      <c r="AJ223"/>
      <c r="AK223"/>
      <c r="AL223"/>
      <c r="AM223"/>
    </row>
    <row r="224" spans="1:39" x14ac:dyDescent="0.2">
      <c r="A224"/>
      <c r="B224"/>
      <c r="C224"/>
      <c r="D224"/>
      <c r="E224"/>
      <c r="F224"/>
      <c r="G224"/>
      <c r="H224"/>
      <c r="I224"/>
      <c r="J224"/>
      <c r="K224"/>
      <c r="L224"/>
      <c r="M224"/>
      <c r="N224"/>
      <c r="O224"/>
      <c r="P224"/>
      <c r="Q224"/>
      <c r="R224"/>
      <c r="S224"/>
      <c r="T224"/>
      <c r="U224"/>
      <c r="V224"/>
      <c r="W224"/>
      <c r="X224"/>
      <c r="Y224"/>
      <c r="Z224"/>
      <c r="AA224"/>
      <c r="AB224"/>
      <c r="AC224"/>
      <c r="AD224"/>
      <c r="AE224"/>
      <c r="AF224"/>
      <c r="AG224"/>
      <c r="AH224"/>
      <c r="AI224"/>
      <c r="AJ224"/>
      <c r="AK224"/>
      <c r="AL224"/>
      <c r="AM224"/>
    </row>
    <row r="225" spans="1:39" x14ac:dyDescent="0.2">
      <c r="A225"/>
      <c r="B225"/>
      <c r="C225"/>
      <c r="D225"/>
      <c r="E225"/>
      <c r="F225"/>
      <c r="G225"/>
      <c r="H225"/>
      <c r="I225"/>
      <c r="J225"/>
      <c r="K225"/>
      <c r="L225"/>
      <c r="M225"/>
      <c r="N225"/>
      <c r="O225"/>
      <c r="P225"/>
      <c r="Q225"/>
      <c r="R225"/>
      <c r="S225"/>
      <c r="T225"/>
      <c r="U225"/>
      <c r="V225"/>
      <c r="W225"/>
      <c r="X225"/>
      <c r="AC225"/>
      <c r="AD225"/>
      <c r="AE225"/>
      <c r="AF225"/>
      <c r="AG225"/>
      <c r="AH225"/>
      <c r="AI225"/>
      <c r="AJ225"/>
      <c r="AK225"/>
      <c r="AL225"/>
      <c r="AM225"/>
    </row>
    <row r="226" spans="1:39" x14ac:dyDescent="0.2">
      <c r="A226"/>
      <c r="B226"/>
      <c r="C226"/>
      <c r="D226"/>
      <c r="E226"/>
      <c r="F226"/>
      <c r="G226"/>
      <c r="H226"/>
      <c r="I226"/>
      <c r="J226"/>
      <c r="K226"/>
      <c r="L226"/>
      <c r="M226"/>
      <c r="N226"/>
      <c r="O226"/>
      <c r="P226"/>
      <c r="Q226"/>
      <c r="R226"/>
      <c r="S226"/>
      <c r="T226"/>
      <c r="U226"/>
      <c r="V226"/>
      <c r="W226"/>
      <c r="X226"/>
      <c r="AC226"/>
      <c r="AD226"/>
      <c r="AE226"/>
      <c r="AF226"/>
      <c r="AG226"/>
      <c r="AH226"/>
      <c r="AI226"/>
      <c r="AJ226"/>
      <c r="AK226"/>
      <c r="AL226"/>
      <c r="AM226"/>
    </row>
    <row r="227" spans="1:39" x14ac:dyDescent="0.2">
      <c r="A227"/>
      <c r="B227"/>
      <c r="C227"/>
      <c r="D227"/>
      <c r="E227"/>
      <c r="F227"/>
      <c r="G227"/>
      <c r="H227"/>
      <c r="I227"/>
      <c r="J227"/>
      <c r="K227"/>
      <c r="L227"/>
      <c r="M227"/>
      <c r="N227"/>
      <c r="O227"/>
      <c r="P227"/>
      <c r="Q227"/>
      <c r="R227"/>
      <c r="S227"/>
      <c r="T227"/>
      <c r="U227"/>
      <c r="V227"/>
      <c r="W227"/>
      <c r="X227"/>
      <c r="AC227"/>
      <c r="AD227"/>
      <c r="AE227"/>
      <c r="AF227"/>
      <c r="AG227"/>
      <c r="AJ227"/>
      <c r="AK227"/>
      <c r="AL227"/>
      <c r="AM227"/>
    </row>
    <row r="228" spans="1:39" x14ac:dyDescent="0.2">
      <c r="A228"/>
      <c r="B228"/>
      <c r="C228"/>
      <c r="D228"/>
      <c r="E228"/>
      <c r="F228"/>
      <c r="G228"/>
      <c r="H228"/>
      <c r="I228"/>
      <c r="J228"/>
      <c r="K228"/>
      <c r="L228"/>
      <c r="M228"/>
      <c r="N228"/>
      <c r="O228"/>
      <c r="P228"/>
      <c r="Q228"/>
      <c r="R228"/>
      <c r="S228"/>
      <c r="T228"/>
      <c r="U228"/>
      <c r="V228"/>
      <c r="W228"/>
      <c r="X228"/>
      <c r="Y228"/>
      <c r="Z228"/>
      <c r="AA228"/>
      <c r="AB228"/>
      <c r="AC228"/>
      <c r="AD228"/>
      <c r="AE228"/>
      <c r="AF228"/>
      <c r="AG228"/>
      <c r="AH228"/>
      <c r="AI228"/>
      <c r="AJ228"/>
      <c r="AK228"/>
      <c r="AL228"/>
      <c r="AM228"/>
    </row>
    <row r="229" spans="1:39" x14ac:dyDescent="0.2">
      <c r="A229"/>
      <c r="B229"/>
      <c r="C229"/>
      <c r="D229"/>
      <c r="E229"/>
      <c r="F229"/>
      <c r="G229"/>
      <c r="H229"/>
      <c r="I229"/>
      <c r="J229"/>
      <c r="K229"/>
      <c r="L229"/>
      <c r="M229"/>
      <c r="N229"/>
      <c r="O229"/>
      <c r="P229"/>
      <c r="Q229"/>
      <c r="R229"/>
      <c r="S229"/>
      <c r="T229"/>
      <c r="U229"/>
      <c r="V229"/>
      <c r="W229"/>
      <c r="X229"/>
      <c r="Y229"/>
      <c r="Z229"/>
      <c r="AA229"/>
      <c r="AB229"/>
      <c r="AC229"/>
      <c r="AD229"/>
      <c r="AE229"/>
      <c r="AF229"/>
      <c r="AG229"/>
      <c r="AH229"/>
      <c r="AI229"/>
      <c r="AJ229"/>
      <c r="AK229"/>
      <c r="AL229"/>
      <c r="AM229"/>
    </row>
    <row r="230" spans="1:39" x14ac:dyDescent="0.2">
      <c r="A230"/>
      <c r="B230"/>
      <c r="C230"/>
      <c r="D230"/>
      <c r="E230"/>
      <c r="F230"/>
      <c r="G230"/>
      <c r="H230"/>
      <c r="I230"/>
      <c r="J230"/>
      <c r="K230"/>
      <c r="L230"/>
      <c r="M230"/>
      <c r="N230"/>
      <c r="O230"/>
      <c r="P230"/>
      <c r="Q230"/>
      <c r="R230"/>
      <c r="S230"/>
      <c r="T230"/>
      <c r="U230"/>
      <c r="V230"/>
      <c r="W230"/>
      <c r="X230"/>
      <c r="Y230"/>
      <c r="Z230"/>
      <c r="AA230"/>
      <c r="AB230"/>
      <c r="AC230"/>
      <c r="AD230"/>
      <c r="AE230"/>
      <c r="AF230"/>
      <c r="AG230"/>
      <c r="AH230"/>
      <c r="AI230"/>
      <c r="AJ230"/>
      <c r="AK230"/>
      <c r="AL230"/>
      <c r="AM230"/>
    </row>
    <row r="231" spans="1:39" x14ac:dyDescent="0.2">
      <c r="A231"/>
      <c r="B231"/>
      <c r="C231"/>
      <c r="D231"/>
      <c r="E231"/>
      <c r="F231"/>
      <c r="G231"/>
      <c r="H231"/>
      <c r="I231"/>
      <c r="J231"/>
      <c r="K231"/>
      <c r="L231"/>
      <c r="M231"/>
      <c r="N231"/>
      <c r="O231"/>
      <c r="P231"/>
      <c r="Q231"/>
      <c r="R231"/>
      <c r="S231"/>
      <c r="T231"/>
      <c r="U231"/>
      <c r="V231"/>
      <c r="W231"/>
      <c r="X231"/>
      <c r="Y231"/>
      <c r="Z231"/>
      <c r="AA231"/>
      <c r="AB231"/>
      <c r="AC231"/>
      <c r="AD231"/>
      <c r="AE231"/>
      <c r="AF231"/>
      <c r="AG231"/>
      <c r="AH231"/>
      <c r="AI231"/>
      <c r="AJ231"/>
      <c r="AK231"/>
      <c r="AL231"/>
      <c r="AM231"/>
    </row>
    <row r="232" spans="1:39" x14ac:dyDescent="0.2">
      <c r="A232"/>
      <c r="B232"/>
      <c r="C232"/>
      <c r="D232"/>
      <c r="E232"/>
      <c r="F232"/>
      <c r="G232"/>
      <c r="H232"/>
      <c r="I232"/>
      <c r="J232"/>
      <c r="K232"/>
      <c r="L232"/>
      <c r="M232"/>
      <c r="N232"/>
      <c r="O232"/>
      <c r="P232"/>
      <c r="Q232"/>
      <c r="R232"/>
      <c r="S232"/>
      <c r="T232"/>
      <c r="U232"/>
      <c r="V232"/>
      <c r="W232"/>
      <c r="X232"/>
      <c r="Y232"/>
      <c r="Z232"/>
      <c r="AA232"/>
      <c r="AB232"/>
      <c r="AC232"/>
      <c r="AD232"/>
      <c r="AE232"/>
      <c r="AF232"/>
      <c r="AG232"/>
      <c r="AH232"/>
      <c r="AI232"/>
      <c r="AJ232"/>
      <c r="AK232"/>
      <c r="AL232"/>
      <c r="AM232"/>
    </row>
    <row r="233" spans="1:39" x14ac:dyDescent="0.2">
      <c r="A233"/>
      <c r="B233"/>
      <c r="C233"/>
      <c r="D233"/>
      <c r="E233"/>
      <c r="F233"/>
      <c r="G233"/>
      <c r="H233"/>
      <c r="I233"/>
      <c r="J233"/>
      <c r="K233"/>
      <c r="L233"/>
      <c r="M233"/>
      <c r="N233"/>
      <c r="O233"/>
      <c r="P233"/>
      <c r="Q233"/>
      <c r="R233"/>
      <c r="S233"/>
      <c r="T233"/>
      <c r="U233"/>
      <c r="V233"/>
      <c r="W233"/>
      <c r="X233"/>
      <c r="Y233"/>
      <c r="Z233"/>
      <c r="AA233"/>
      <c r="AB233"/>
      <c r="AC233"/>
      <c r="AD233"/>
      <c r="AE233"/>
      <c r="AF233"/>
      <c r="AG233"/>
      <c r="AH233"/>
      <c r="AI233"/>
      <c r="AJ233"/>
      <c r="AK233"/>
      <c r="AL233"/>
      <c r="AM233"/>
    </row>
    <row r="234" spans="1:39" x14ac:dyDescent="0.2">
      <c r="A234"/>
      <c r="B234"/>
      <c r="C234"/>
      <c r="D234"/>
      <c r="E234"/>
      <c r="F234"/>
      <c r="G234"/>
      <c r="H234"/>
      <c r="I234"/>
      <c r="J234"/>
      <c r="K234"/>
      <c r="L234"/>
      <c r="M234"/>
      <c r="N234"/>
      <c r="O234"/>
      <c r="P234"/>
      <c r="Q234"/>
      <c r="R234"/>
      <c r="S234"/>
      <c r="T234"/>
      <c r="U234"/>
      <c r="V234"/>
      <c r="W234"/>
      <c r="X234"/>
      <c r="Y234"/>
      <c r="Z234"/>
      <c r="AA234"/>
      <c r="AB234"/>
      <c r="AC234"/>
      <c r="AD234"/>
      <c r="AE234"/>
      <c r="AF234"/>
      <c r="AG234"/>
      <c r="AH234"/>
      <c r="AI234"/>
      <c r="AJ234"/>
      <c r="AK234"/>
      <c r="AL234"/>
      <c r="AM234"/>
    </row>
    <row r="235" spans="1:39" x14ac:dyDescent="0.2">
      <c r="A235"/>
      <c r="B235"/>
      <c r="C235"/>
      <c r="D235"/>
      <c r="E235"/>
      <c r="F235"/>
      <c r="G235"/>
      <c r="H235"/>
      <c r="I235"/>
      <c r="J235"/>
      <c r="K235"/>
      <c r="L235"/>
      <c r="M235"/>
      <c r="N235"/>
      <c r="O235"/>
      <c r="P235"/>
      <c r="Q235"/>
      <c r="R235"/>
      <c r="S235"/>
      <c r="T235"/>
      <c r="U235"/>
      <c r="V235"/>
      <c r="W235"/>
      <c r="X235"/>
      <c r="Y235"/>
      <c r="Z235"/>
      <c r="AA235"/>
      <c r="AB235"/>
      <c r="AC235"/>
      <c r="AD235"/>
      <c r="AE235"/>
      <c r="AF235"/>
      <c r="AG235"/>
      <c r="AH235"/>
      <c r="AI235"/>
      <c r="AJ235"/>
      <c r="AK235"/>
      <c r="AL235"/>
      <c r="AM235"/>
    </row>
    <row r="236" spans="1:39" x14ac:dyDescent="0.2">
      <c r="A236"/>
      <c r="B236"/>
      <c r="C236"/>
      <c r="D236"/>
      <c r="E236"/>
      <c r="G236"/>
      <c r="H236"/>
      <c r="I236"/>
      <c r="J236"/>
      <c r="K236"/>
      <c r="L236"/>
      <c r="M236"/>
      <c r="N236"/>
      <c r="O236"/>
      <c r="P236"/>
      <c r="Q236"/>
      <c r="R236"/>
      <c r="S236"/>
      <c r="T236"/>
      <c r="U236"/>
      <c r="V236"/>
      <c r="W236"/>
      <c r="X236"/>
      <c r="Y236"/>
      <c r="Z236"/>
      <c r="AA236"/>
      <c r="AB236"/>
      <c r="AC236"/>
      <c r="AD236"/>
      <c r="AE236"/>
      <c r="AF236"/>
      <c r="AG236"/>
      <c r="AL236"/>
      <c r="AM236"/>
    </row>
    <row r="237" spans="1:39" x14ac:dyDescent="0.2">
      <c r="A237"/>
      <c r="B237"/>
      <c r="C237"/>
      <c r="D237"/>
      <c r="E237"/>
      <c r="F237"/>
      <c r="G237"/>
      <c r="H237"/>
      <c r="I237"/>
      <c r="J237"/>
      <c r="K237"/>
      <c r="L237"/>
      <c r="M237"/>
      <c r="N237"/>
      <c r="O237"/>
      <c r="P237"/>
      <c r="Q237"/>
      <c r="R237"/>
      <c r="S237"/>
      <c r="T237"/>
      <c r="U237"/>
      <c r="V237"/>
      <c r="W237"/>
      <c r="X237"/>
      <c r="AC237"/>
      <c r="AD237"/>
      <c r="AE237"/>
      <c r="AF237"/>
      <c r="AG237"/>
      <c r="AH237"/>
      <c r="AI237"/>
      <c r="AJ237"/>
      <c r="AK237"/>
      <c r="AL237"/>
      <c r="AM237"/>
    </row>
    <row r="238" spans="1:39" x14ac:dyDescent="0.2">
      <c r="A238"/>
      <c r="B238"/>
      <c r="C238"/>
      <c r="D238"/>
      <c r="E238"/>
      <c r="F238"/>
      <c r="G238"/>
      <c r="H238"/>
      <c r="I238"/>
      <c r="J238"/>
      <c r="K238"/>
      <c r="L238"/>
      <c r="M238"/>
      <c r="N238"/>
      <c r="O238"/>
      <c r="P238"/>
      <c r="Q238"/>
      <c r="R238"/>
      <c r="S238"/>
      <c r="T238"/>
      <c r="U238"/>
      <c r="V238"/>
      <c r="W238"/>
      <c r="X238"/>
      <c r="AC238"/>
      <c r="AD238"/>
      <c r="AE238"/>
      <c r="AF238"/>
      <c r="AG238"/>
      <c r="AH238"/>
      <c r="AI238"/>
      <c r="AJ238"/>
      <c r="AK238"/>
      <c r="AL238"/>
      <c r="AM238"/>
    </row>
    <row r="239" spans="1:39" x14ac:dyDescent="0.2">
      <c r="A239"/>
      <c r="B239"/>
      <c r="C239"/>
      <c r="D239"/>
      <c r="E239"/>
      <c r="F239"/>
      <c r="G239"/>
      <c r="H239"/>
      <c r="I239"/>
      <c r="J239"/>
      <c r="K239"/>
      <c r="L239"/>
      <c r="M239"/>
      <c r="N239"/>
      <c r="O239"/>
      <c r="P239"/>
      <c r="Q239"/>
      <c r="R239"/>
      <c r="S239"/>
      <c r="T239"/>
      <c r="U239"/>
      <c r="V239"/>
      <c r="W239"/>
      <c r="Y239"/>
      <c r="Z239"/>
      <c r="AA239"/>
      <c r="AB239"/>
      <c r="AC239"/>
      <c r="AD239"/>
      <c r="AE239"/>
      <c r="AF239"/>
      <c r="AG239"/>
      <c r="AH239"/>
      <c r="AI239"/>
      <c r="AJ239"/>
      <c r="AK239"/>
      <c r="AL239"/>
      <c r="AM239"/>
    </row>
    <row r="240" spans="1:39" x14ac:dyDescent="0.2">
      <c r="A240"/>
      <c r="B240"/>
      <c r="C240"/>
      <c r="D240"/>
      <c r="E240"/>
      <c r="F240"/>
      <c r="G240"/>
      <c r="H240"/>
      <c r="I240"/>
      <c r="J240"/>
      <c r="K240"/>
      <c r="L240"/>
      <c r="M240"/>
      <c r="N240"/>
      <c r="O240"/>
      <c r="P240"/>
      <c r="Q240"/>
      <c r="R240"/>
      <c r="S240"/>
      <c r="T240"/>
      <c r="U240"/>
      <c r="V240"/>
      <c r="W240"/>
      <c r="X240"/>
      <c r="Y240"/>
      <c r="Z240"/>
      <c r="AA240"/>
      <c r="AB240"/>
      <c r="AC240"/>
      <c r="AD240"/>
      <c r="AE240"/>
      <c r="AF240"/>
      <c r="AG240"/>
      <c r="AH240"/>
      <c r="AI240"/>
      <c r="AJ240"/>
      <c r="AK240"/>
      <c r="AL240"/>
      <c r="AM240"/>
    </row>
    <row r="241" spans="1:39" x14ac:dyDescent="0.2">
      <c r="A241"/>
      <c r="B241"/>
      <c r="C241"/>
      <c r="D241"/>
      <c r="E241"/>
      <c r="F241"/>
      <c r="G241"/>
      <c r="H241"/>
      <c r="I241"/>
      <c r="J241"/>
      <c r="K241"/>
      <c r="L241"/>
      <c r="M241"/>
      <c r="N241"/>
      <c r="O241"/>
      <c r="P241"/>
      <c r="Q241"/>
      <c r="R241"/>
      <c r="S241"/>
      <c r="T241"/>
      <c r="X241"/>
      <c r="Y241"/>
      <c r="Z241"/>
      <c r="AA241"/>
      <c r="AB241"/>
      <c r="AC241"/>
      <c r="AD241"/>
      <c r="AE241"/>
      <c r="AF241"/>
      <c r="AG241"/>
      <c r="AH241"/>
      <c r="AI241"/>
      <c r="AJ241"/>
      <c r="AK241"/>
      <c r="AL241"/>
      <c r="AM241"/>
    </row>
    <row r="242" spans="1:39" x14ac:dyDescent="0.2">
      <c r="A242"/>
      <c r="B242"/>
      <c r="C242"/>
      <c r="D242"/>
      <c r="E242"/>
      <c r="F242"/>
      <c r="G242"/>
      <c r="H242"/>
      <c r="I242"/>
      <c r="J242"/>
      <c r="K242"/>
      <c r="L242"/>
      <c r="M242"/>
      <c r="N242"/>
      <c r="O242"/>
      <c r="P242"/>
      <c r="Q242"/>
      <c r="R242"/>
      <c r="S242"/>
      <c r="T242"/>
      <c r="U242"/>
      <c r="V242"/>
      <c r="W242"/>
      <c r="X242"/>
      <c r="Y242"/>
      <c r="Z242"/>
      <c r="AA242"/>
      <c r="AB242"/>
      <c r="AC242"/>
      <c r="AD242"/>
      <c r="AE242"/>
      <c r="AF242"/>
      <c r="AG242"/>
      <c r="AH242"/>
      <c r="AI242"/>
      <c r="AJ242"/>
      <c r="AK242"/>
      <c r="AL242"/>
      <c r="AM242"/>
    </row>
    <row r="243" spans="1:39" x14ac:dyDescent="0.2">
      <c r="A243"/>
      <c r="B243"/>
      <c r="C243"/>
      <c r="D243"/>
      <c r="E243"/>
      <c r="F243"/>
      <c r="G243"/>
      <c r="H243"/>
      <c r="I243"/>
      <c r="J243"/>
      <c r="K243"/>
      <c r="L243"/>
      <c r="M243"/>
      <c r="N243"/>
      <c r="O243"/>
      <c r="P243"/>
      <c r="Q243"/>
      <c r="R243"/>
      <c r="S243"/>
      <c r="T243"/>
      <c r="U243"/>
      <c r="V243"/>
      <c r="W243"/>
      <c r="X243"/>
      <c r="Y243"/>
      <c r="Z243"/>
      <c r="AA243"/>
      <c r="AB243"/>
      <c r="AC243"/>
      <c r="AD243"/>
      <c r="AE243"/>
      <c r="AF243"/>
      <c r="AG243"/>
      <c r="AH243"/>
      <c r="AI243"/>
      <c r="AJ243"/>
      <c r="AK243"/>
      <c r="AL243"/>
      <c r="AM243"/>
    </row>
    <row r="244" spans="1:39" x14ac:dyDescent="0.2">
      <c r="A244"/>
      <c r="B244"/>
      <c r="C244"/>
      <c r="D244"/>
      <c r="E244"/>
      <c r="F244"/>
      <c r="G244"/>
      <c r="H244"/>
      <c r="I244"/>
      <c r="J244"/>
      <c r="K244"/>
      <c r="L244"/>
      <c r="M244"/>
      <c r="N244"/>
      <c r="O244"/>
      <c r="P244"/>
      <c r="Q244"/>
      <c r="R244"/>
      <c r="S244"/>
      <c r="T244"/>
      <c r="U244"/>
      <c r="V244"/>
      <c r="W244"/>
      <c r="X244"/>
      <c r="Y244"/>
      <c r="Z244"/>
      <c r="AA244"/>
      <c r="AB244"/>
      <c r="AC244"/>
      <c r="AD244"/>
      <c r="AE244"/>
      <c r="AF244"/>
      <c r="AG244"/>
      <c r="AH244"/>
      <c r="AI244"/>
      <c r="AJ244"/>
      <c r="AK244"/>
      <c r="AL244"/>
      <c r="AM244"/>
    </row>
    <row r="245" spans="1:39" x14ac:dyDescent="0.2">
      <c r="A245"/>
      <c r="B245"/>
      <c r="C245"/>
      <c r="D245"/>
      <c r="E245"/>
      <c r="F245"/>
      <c r="G245"/>
      <c r="H245"/>
      <c r="I245"/>
      <c r="J245"/>
      <c r="K245"/>
      <c r="L245"/>
      <c r="M245"/>
      <c r="N245"/>
      <c r="O245"/>
      <c r="P245"/>
      <c r="Q245"/>
      <c r="R245"/>
      <c r="S245"/>
      <c r="T245"/>
      <c r="U245"/>
      <c r="V245"/>
      <c r="W245"/>
      <c r="X245"/>
      <c r="Y245"/>
      <c r="Z245"/>
      <c r="AA245"/>
      <c r="AB245"/>
      <c r="AC245"/>
      <c r="AD245"/>
      <c r="AE245"/>
      <c r="AF245"/>
      <c r="AG245"/>
      <c r="AJ245"/>
      <c r="AK245"/>
      <c r="AL245"/>
      <c r="AM245"/>
    </row>
    <row r="246" spans="1:39" x14ac:dyDescent="0.2">
      <c r="A246"/>
      <c r="B246"/>
      <c r="C246"/>
      <c r="D246"/>
      <c r="E246"/>
      <c r="F246"/>
      <c r="G246"/>
      <c r="H246"/>
      <c r="I246"/>
      <c r="J246"/>
      <c r="K246"/>
      <c r="L246"/>
      <c r="M246"/>
      <c r="N246"/>
      <c r="O246"/>
      <c r="P246"/>
      <c r="Q246"/>
      <c r="R246"/>
      <c r="S246"/>
      <c r="T246"/>
      <c r="U246"/>
      <c r="V246"/>
      <c r="W246"/>
      <c r="X246"/>
      <c r="Y246"/>
      <c r="Z246"/>
      <c r="AA246"/>
      <c r="AB246"/>
      <c r="AC246"/>
      <c r="AD246"/>
      <c r="AE246"/>
      <c r="AF246"/>
      <c r="AG246"/>
      <c r="AJ246"/>
      <c r="AK246"/>
      <c r="AL246"/>
      <c r="AM246"/>
    </row>
    <row r="247" spans="1:39" x14ac:dyDescent="0.2">
      <c r="A247"/>
      <c r="B247"/>
      <c r="C247"/>
      <c r="D247"/>
      <c r="E247"/>
      <c r="F247"/>
      <c r="G247"/>
      <c r="H247"/>
      <c r="I247"/>
      <c r="J247"/>
      <c r="K247"/>
      <c r="L247"/>
      <c r="M247"/>
      <c r="N247"/>
      <c r="O247"/>
      <c r="P247"/>
      <c r="Q247"/>
      <c r="R247"/>
      <c r="S247"/>
      <c r="T247"/>
      <c r="U247"/>
      <c r="V247"/>
      <c r="W247"/>
      <c r="X247"/>
      <c r="AC247"/>
      <c r="AD247"/>
      <c r="AE247"/>
      <c r="AF247"/>
      <c r="AG247"/>
      <c r="AH247"/>
      <c r="AI247"/>
      <c r="AJ247"/>
      <c r="AK247"/>
      <c r="AL247"/>
      <c r="AM247"/>
    </row>
    <row r="248" spans="1:39" x14ac:dyDescent="0.2">
      <c r="A248"/>
      <c r="B248"/>
      <c r="C248"/>
      <c r="D248"/>
      <c r="E248"/>
      <c r="F248"/>
      <c r="G248"/>
      <c r="H248"/>
      <c r="I248"/>
      <c r="J248"/>
      <c r="K248"/>
      <c r="L248"/>
      <c r="M248"/>
      <c r="N248"/>
      <c r="O248"/>
      <c r="P248"/>
      <c r="Q248"/>
      <c r="R248"/>
      <c r="S248"/>
      <c r="T248"/>
      <c r="U248"/>
      <c r="V248"/>
      <c r="W248"/>
      <c r="X248"/>
      <c r="Y248"/>
      <c r="Z248"/>
      <c r="AA248"/>
      <c r="AB248"/>
      <c r="AC248"/>
      <c r="AD248"/>
      <c r="AE248"/>
      <c r="AF248"/>
      <c r="AG248"/>
      <c r="AH248"/>
      <c r="AI248"/>
      <c r="AJ248"/>
      <c r="AK248"/>
      <c r="AL248"/>
      <c r="AM248"/>
    </row>
    <row r="249" spans="1:39" x14ac:dyDescent="0.2">
      <c r="A249"/>
      <c r="B249"/>
      <c r="C249"/>
      <c r="D249"/>
      <c r="E249"/>
      <c r="F249"/>
      <c r="G249"/>
      <c r="H249"/>
      <c r="I249"/>
      <c r="J249"/>
      <c r="K249"/>
      <c r="L249"/>
      <c r="M249"/>
      <c r="N249"/>
      <c r="O249"/>
      <c r="P249"/>
      <c r="Q249"/>
      <c r="R249"/>
      <c r="S249"/>
      <c r="T249"/>
      <c r="U249"/>
      <c r="V249"/>
      <c r="W249"/>
      <c r="X249"/>
      <c r="Y249"/>
      <c r="Z249"/>
      <c r="AA249"/>
      <c r="AB249"/>
      <c r="AC249"/>
      <c r="AD249"/>
      <c r="AE249"/>
      <c r="AF249"/>
      <c r="AG249"/>
      <c r="AH249"/>
      <c r="AI249"/>
      <c r="AJ249"/>
      <c r="AK249"/>
      <c r="AL249"/>
      <c r="AM249"/>
    </row>
    <row r="250" spans="1:39" x14ac:dyDescent="0.2">
      <c r="A250"/>
      <c r="B250"/>
      <c r="C250"/>
      <c r="D250"/>
      <c r="E250"/>
      <c r="F250"/>
      <c r="G250"/>
      <c r="H250"/>
      <c r="I250"/>
      <c r="J250"/>
      <c r="K250"/>
      <c r="L250"/>
      <c r="M250"/>
      <c r="N250"/>
      <c r="O250"/>
      <c r="P250"/>
      <c r="Q250"/>
      <c r="R250"/>
      <c r="S250"/>
      <c r="T250"/>
      <c r="U250"/>
      <c r="V250"/>
      <c r="W250"/>
      <c r="X250"/>
      <c r="Y250"/>
      <c r="Z250"/>
      <c r="AA250"/>
      <c r="AB250"/>
      <c r="AC250"/>
      <c r="AD250"/>
      <c r="AE250"/>
      <c r="AF250"/>
      <c r="AG250"/>
      <c r="AH250"/>
      <c r="AI250"/>
      <c r="AJ250"/>
      <c r="AK250"/>
      <c r="AL250"/>
      <c r="AM250"/>
    </row>
    <row r="251" spans="1:39" x14ac:dyDescent="0.2">
      <c r="A251"/>
      <c r="B251"/>
      <c r="C251"/>
      <c r="D251"/>
      <c r="E251"/>
      <c r="F251"/>
      <c r="G251"/>
      <c r="H251"/>
      <c r="I251"/>
      <c r="J251"/>
      <c r="K251"/>
      <c r="L251"/>
      <c r="M251"/>
      <c r="N251"/>
      <c r="O251"/>
      <c r="P251"/>
      <c r="Q251"/>
      <c r="R251"/>
      <c r="S251"/>
      <c r="T251"/>
      <c r="U251"/>
      <c r="V251"/>
      <c r="W251"/>
      <c r="X251"/>
      <c r="Y251"/>
      <c r="Z251"/>
      <c r="AA251"/>
      <c r="AB251"/>
      <c r="AC251"/>
      <c r="AD251"/>
      <c r="AE251"/>
      <c r="AF251"/>
      <c r="AG251"/>
      <c r="AH251"/>
      <c r="AI251"/>
      <c r="AJ251"/>
      <c r="AK251"/>
      <c r="AL251"/>
      <c r="AM251"/>
    </row>
    <row r="252" spans="1:39" x14ac:dyDescent="0.2">
      <c r="A252"/>
      <c r="B252"/>
      <c r="C252"/>
      <c r="D252"/>
      <c r="E252"/>
      <c r="F252"/>
      <c r="G252"/>
      <c r="H252"/>
      <c r="I252"/>
      <c r="J252"/>
      <c r="K252"/>
      <c r="L252"/>
      <c r="M252"/>
      <c r="N252"/>
      <c r="O252"/>
      <c r="P252"/>
      <c r="Q252"/>
      <c r="R252"/>
      <c r="S252"/>
      <c r="T252"/>
      <c r="U252"/>
      <c r="V252"/>
      <c r="W252"/>
      <c r="X252"/>
      <c r="Y252"/>
      <c r="Z252"/>
      <c r="AA252"/>
      <c r="AB252"/>
      <c r="AC252"/>
      <c r="AD252"/>
      <c r="AE252"/>
      <c r="AF252"/>
      <c r="AG252"/>
      <c r="AH252"/>
      <c r="AI252"/>
      <c r="AJ252"/>
      <c r="AK252"/>
      <c r="AL252"/>
      <c r="AM252"/>
    </row>
    <row r="253" spans="1:39" x14ac:dyDescent="0.2">
      <c r="A253"/>
      <c r="B253"/>
      <c r="C253"/>
      <c r="D253"/>
      <c r="E253"/>
      <c r="F253"/>
      <c r="G253"/>
      <c r="H253"/>
      <c r="I253"/>
      <c r="J253"/>
      <c r="K253"/>
      <c r="L253"/>
      <c r="M253"/>
      <c r="N253"/>
      <c r="O253"/>
      <c r="P253"/>
      <c r="Q253"/>
      <c r="R253"/>
      <c r="S253"/>
      <c r="T253"/>
      <c r="U253"/>
      <c r="V253"/>
      <c r="W253"/>
      <c r="X253"/>
      <c r="Y253"/>
      <c r="Z253"/>
      <c r="AA253"/>
      <c r="AB253"/>
      <c r="AC253"/>
      <c r="AD253"/>
      <c r="AE253"/>
      <c r="AF253"/>
      <c r="AG253"/>
      <c r="AH253"/>
      <c r="AI253"/>
      <c r="AJ253"/>
      <c r="AK253"/>
      <c r="AL253"/>
      <c r="AM253"/>
    </row>
    <row r="254" spans="1:39" x14ac:dyDescent="0.2">
      <c r="A254"/>
      <c r="B254"/>
      <c r="C254"/>
      <c r="D254"/>
      <c r="E254"/>
      <c r="F254"/>
      <c r="G254"/>
      <c r="H254"/>
      <c r="I254"/>
      <c r="J254"/>
      <c r="K254"/>
      <c r="L254"/>
      <c r="M254"/>
      <c r="N254"/>
      <c r="O254"/>
      <c r="P254"/>
      <c r="Q254"/>
      <c r="R254"/>
      <c r="S254"/>
      <c r="T254"/>
      <c r="U254"/>
      <c r="V254"/>
      <c r="W254"/>
      <c r="X254"/>
      <c r="Y254"/>
      <c r="Z254"/>
      <c r="AA254"/>
      <c r="AB254"/>
      <c r="AC254"/>
      <c r="AD254"/>
      <c r="AE254"/>
      <c r="AF254"/>
      <c r="AG254"/>
      <c r="AH254"/>
      <c r="AI254"/>
      <c r="AJ254"/>
      <c r="AK254"/>
      <c r="AL254"/>
      <c r="AM254"/>
    </row>
    <row r="255" spans="1:39" x14ac:dyDescent="0.2">
      <c r="A255"/>
      <c r="B255"/>
      <c r="C255"/>
      <c r="D255"/>
      <c r="E255"/>
      <c r="F255"/>
      <c r="G255"/>
      <c r="H255"/>
      <c r="I255"/>
      <c r="J255"/>
      <c r="K255"/>
      <c r="L255"/>
      <c r="M255"/>
      <c r="N255"/>
      <c r="O255"/>
      <c r="P255"/>
      <c r="Q255"/>
      <c r="R255"/>
      <c r="S255"/>
      <c r="T255"/>
      <c r="U255"/>
      <c r="V255"/>
      <c r="W255"/>
      <c r="X255"/>
      <c r="Y255"/>
      <c r="Z255"/>
      <c r="AA255"/>
      <c r="AB255"/>
      <c r="AC255"/>
      <c r="AD255"/>
      <c r="AE255"/>
      <c r="AF255"/>
      <c r="AG255"/>
      <c r="AH255"/>
      <c r="AI255"/>
      <c r="AJ255"/>
      <c r="AK255"/>
      <c r="AL255"/>
      <c r="AM255"/>
    </row>
    <row r="256" spans="1:39" x14ac:dyDescent="0.2">
      <c r="A256"/>
      <c r="B256"/>
      <c r="C256"/>
      <c r="D256"/>
      <c r="E256"/>
      <c r="F256"/>
      <c r="G256"/>
      <c r="H256"/>
      <c r="I256"/>
      <c r="J256"/>
      <c r="K256"/>
      <c r="L256"/>
      <c r="M256"/>
      <c r="N256"/>
      <c r="O256"/>
      <c r="P256"/>
      <c r="Q256"/>
      <c r="R256"/>
      <c r="S256"/>
      <c r="T256"/>
      <c r="U256"/>
      <c r="V256"/>
      <c r="W256"/>
      <c r="X256"/>
      <c r="Y256"/>
      <c r="Z256"/>
      <c r="AA256"/>
      <c r="AB256"/>
      <c r="AC256"/>
      <c r="AD256"/>
      <c r="AE256"/>
      <c r="AF256"/>
      <c r="AG256"/>
      <c r="AH256"/>
      <c r="AI256"/>
      <c r="AJ256"/>
      <c r="AK256"/>
      <c r="AL256"/>
      <c r="AM256"/>
    </row>
    <row r="257" spans="1:39" x14ac:dyDescent="0.2">
      <c r="A257"/>
      <c r="B257"/>
      <c r="C257"/>
      <c r="D257"/>
      <c r="E257"/>
      <c r="F257"/>
      <c r="G257"/>
      <c r="H257"/>
      <c r="I257"/>
      <c r="J257"/>
      <c r="K257"/>
      <c r="L257"/>
      <c r="M257"/>
      <c r="N257"/>
      <c r="O257"/>
      <c r="P257"/>
      <c r="Q257"/>
      <c r="R257"/>
      <c r="S257"/>
      <c r="T257"/>
      <c r="U257"/>
      <c r="V257"/>
      <c r="W257"/>
      <c r="X257"/>
      <c r="Y257"/>
      <c r="Z257"/>
      <c r="AA257"/>
      <c r="AB257"/>
      <c r="AC257"/>
      <c r="AD257"/>
      <c r="AE257"/>
      <c r="AF257"/>
      <c r="AG257"/>
      <c r="AH257"/>
      <c r="AI257"/>
      <c r="AL257"/>
      <c r="AM257"/>
    </row>
    <row r="258" spans="1:39" x14ac:dyDescent="0.2">
      <c r="A258"/>
      <c r="B258"/>
      <c r="C258"/>
      <c r="D258"/>
      <c r="E258"/>
      <c r="F258"/>
      <c r="G258"/>
      <c r="H258"/>
      <c r="I258"/>
      <c r="J258"/>
      <c r="K258"/>
      <c r="L258"/>
      <c r="M258"/>
      <c r="N258"/>
      <c r="O258"/>
      <c r="P258"/>
      <c r="Q258"/>
      <c r="R258"/>
      <c r="S258"/>
      <c r="T258"/>
      <c r="U258"/>
      <c r="V258"/>
      <c r="W258"/>
      <c r="X258"/>
      <c r="Y258"/>
      <c r="Z258"/>
      <c r="AA258"/>
      <c r="AB258"/>
      <c r="AC258"/>
      <c r="AD258"/>
      <c r="AE258"/>
      <c r="AF258"/>
      <c r="AG258"/>
      <c r="AH258"/>
      <c r="AI258"/>
      <c r="AJ258"/>
      <c r="AK258"/>
      <c r="AL258"/>
      <c r="AM258"/>
    </row>
    <row r="259" spans="1:39" x14ac:dyDescent="0.2">
      <c r="A259"/>
      <c r="B259"/>
      <c r="C259"/>
      <c r="D259"/>
      <c r="E259"/>
      <c r="F259"/>
      <c r="G259"/>
      <c r="H259"/>
      <c r="I259"/>
      <c r="J259"/>
      <c r="K259"/>
      <c r="L259"/>
      <c r="M259"/>
      <c r="N259"/>
      <c r="O259"/>
      <c r="P259"/>
      <c r="Q259"/>
      <c r="R259"/>
      <c r="S259"/>
      <c r="T259"/>
      <c r="U259"/>
      <c r="V259"/>
      <c r="W259"/>
      <c r="X259"/>
      <c r="Y259"/>
      <c r="Z259"/>
      <c r="AA259"/>
      <c r="AB259"/>
      <c r="AC259"/>
      <c r="AD259"/>
      <c r="AE259"/>
      <c r="AF259"/>
      <c r="AG259"/>
      <c r="AH259"/>
      <c r="AI259"/>
      <c r="AJ259"/>
      <c r="AK259"/>
      <c r="AL259"/>
      <c r="AM259"/>
    </row>
    <row r="260" spans="1:39" x14ac:dyDescent="0.2">
      <c r="A260"/>
      <c r="B260"/>
      <c r="C260"/>
      <c r="D260"/>
      <c r="E260"/>
      <c r="F260"/>
      <c r="G260"/>
      <c r="H260"/>
      <c r="I260"/>
      <c r="J260"/>
      <c r="K260"/>
      <c r="L260"/>
      <c r="M260"/>
      <c r="N260"/>
      <c r="O260"/>
      <c r="P260"/>
      <c r="Q260"/>
      <c r="R260"/>
      <c r="S260"/>
      <c r="T260"/>
      <c r="U260"/>
      <c r="V260"/>
      <c r="W260"/>
      <c r="X260"/>
      <c r="Y260"/>
      <c r="Z260"/>
      <c r="AA260"/>
      <c r="AB260"/>
      <c r="AC260"/>
      <c r="AD260"/>
      <c r="AE260"/>
      <c r="AF260"/>
      <c r="AG260"/>
      <c r="AH260"/>
      <c r="AI260"/>
      <c r="AL260"/>
      <c r="AM260"/>
    </row>
    <row r="261" spans="1:39" x14ac:dyDescent="0.2">
      <c r="A261"/>
      <c r="B261"/>
      <c r="C261"/>
      <c r="D261"/>
      <c r="E261"/>
      <c r="F261"/>
      <c r="G261"/>
      <c r="H261"/>
      <c r="I261"/>
      <c r="J261"/>
      <c r="K261"/>
      <c r="L261"/>
      <c r="M261"/>
      <c r="N261"/>
      <c r="O261"/>
      <c r="P261"/>
      <c r="Q261"/>
      <c r="R261"/>
      <c r="S261"/>
      <c r="T261"/>
      <c r="U261"/>
      <c r="V261"/>
      <c r="W261"/>
      <c r="X261"/>
      <c r="Y261"/>
      <c r="Z261"/>
      <c r="AA261"/>
      <c r="AB261"/>
      <c r="AC261"/>
      <c r="AD261"/>
      <c r="AE261"/>
      <c r="AF261"/>
      <c r="AG261"/>
      <c r="AH261"/>
      <c r="AI261"/>
      <c r="AL261"/>
      <c r="AM261"/>
    </row>
    <row r="262" spans="1:39" x14ac:dyDescent="0.2">
      <c r="A262"/>
      <c r="B262"/>
      <c r="C262"/>
      <c r="D262"/>
      <c r="E262"/>
      <c r="F262"/>
      <c r="G262"/>
      <c r="H262"/>
      <c r="I262"/>
      <c r="J262"/>
      <c r="K262"/>
      <c r="L262"/>
      <c r="M262"/>
      <c r="N262"/>
      <c r="O262"/>
      <c r="P262"/>
      <c r="Q262"/>
      <c r="R262"/>
      <c r="S262"/>
      <c r="T262"/>
      <c r="U262"/>
      <c r="V262"/>
      <c r="W262"/>
      <c r="X262"/>
      <c r="Y262"/>
      <c r="Z262"/>
      <c r="AA262"/>
      <c r="AB262"/>
      <c r="AC262"/>
      <c r="AD262"/>
      <c r="AE262"/>
      <c r="AF262"/>
      <c r="AG262"/>
      <c r="AH262"/>
      <c r="AI262"/>
      <c r="AJ262"/>
      <c r="AL262"/>
      <c r="AM262"/>
    </row>
    <row r="263" spans="1:39" x14ac:dyDescent="0.2">
      <c r="A263"/>
      <c r="B263"/>
      <c r="C263"/>
      <c r="D263"/>
      <c r="E263"/>
      <c r="F263"/>
      <c r="G263"/>
      <c r="H263"/>
      <c r="I263"/>
      <c r="J263"/>
      <c r="K263"/>
      <c r="L263"/>
      <c r="M263"/>
      <c r="N263"/>
      <c r="O263"/>
      <c r="P263"/>
      <c r="Q263"/>
      <c r="R263"/>
      <c r="S263"/>
      <c r="T263"/>
      <c r="U263"/>
      <c r="V263"/>
      <c r="W263"/>
      <c r="X263"/>
      <c r="Y263"/>
      <c r="Z263"/>
      <c r="AA263"/>
      <c r="AB263"/>
      <c r="AC263"/>
      <c r="AD263"/>
      <c r="AE263"/>
      <c r="AF263"/>
      <c r="AG263"/>
      <c r="AH263"/>
      <c r="AI263"/>
      <c r="AJ263"/>
      <c r="AK263"/>
      <c r="AL263"/>
      <c r="AM263"/>
    </row>
    <row r="264" spans="1:39" x14ac:dyDescent="0.2">
      <c r="A264"/>
      <c r="B264"/>
      <c r="C264"/>
      <c r="D264"/>
      <c r="E264"/>
      <c r="F264"/>
      <c r="G264"/>
      <c r="H264"/>
      <c r="I264"/>
      <c r="J264"/>
      <c r="K264"/>
      <c r="L264"/>
      <c r="M264"/>
      <c r="N264"/>
      <c r="O264"/>
      <c r="P264"/>
      <c r="Q264"/>
      <c r="R264"/>
      <c r="S264"/>
      <c r="T264"/>
      <c r="U264"/>
      <c r="V264"/>
      <c r="W264"/>
      <c r="X264"/>
      <c r="Y264"/>
      <c r="Z264"/>
      <c r="AA264"/>
      <c r="AB264"/>
      <c r="AC264"/>
      <c r="AD264"/>
      <c r="AE264"/>
      <c r="AF264"/>
      <c r="AG264"/>
      <c r="AH264"/>
      <c r="AI264"/>
      <c r="AJ264"/>
      <c r="AK264"/>
      <c r="AL264"/>
      <c r="AM264"/>
    </row>
    <row r="265" spans="1:39" x14ac:dyDescent="0.2">
      <c r="A265"/>
      <c r="B265"/>
      <c r="C265"/>
      <c r="D265"/>
      <c r="E265"/>
      <c r="F265"/>
      <c r="G265"/>
      <c r="H265"/>
      <c r="I265"/>
      <c r="J265"/>
      <c r="K265"/>
      <c r="L265"/>
      <c r="M265"/>
      <c r="N265"/>
      <c r="O265"/>
      <c r="P265"/>
      <c r="Q265"/>
      <c r="R265"/>
      <c r="S265"/>
      <c r="T265"/>
      <c r="U265"/>
      <c r="V265"/>
      <c r="W265"/>
      <c r="X265"/>
      <c r="Y265"/>
      <c r="Z265"/>
      <c r="AA265"/>
      <c r="AB265"/>
      <c r="AC265"/>
      <c r="AD265"/>
      <c r="AE265"/>
      <c r="AF265"/>
      <c r="AG265"/>
      <c r="AH265"/>
      <c r="AI265"/>
      <c r="AJ265"/>
      <c r="AK265"/>
      <c r="AL265"/>
      <c r="AM265"/>
    </row>
    <row r="266" spans="1:39" x14ac:dyDescent="0.2">
      <c r="A266"/>
      <c r="B266"/>
      <c r="C266"/>
      <c r="D266"/>
      <c r="E266"/>
      <c r="F266"/>
      <c r="G266"/>
      <c r="H266"/>
      <c r="I266"/>
      <c r="J266"/>
      <c r="K266"/>
      <c r="L266"/>
      <c r="M266"/>
      <c r="N266"/>
      <c r="O266"/>
      <c r="P266"/>
      <c r="Q266"/>
      <c r="R266"/>
      <c r="S266"/>
      <c r="T266"/>
      <c r="U266"/>
      <c r="V266"/>
      <c r="W266"/>
      <c r="X266"/>
      <c r="Y266"/>
      <c r="Z266"/>
      <c r="AA266"/>
      <c r="AB266"/>
      <c r="AC266"/>
      <c r="AD266"/>
      <c r="AE266"/>
      <c r="AF266"/>
      <c r="AG266"/>
      <c r="AH266"/>
      <c r="AI266"/>
      <c r="AJ266"/>
      <c r="AK266"/>
      <c r="AL266"/>
      <c r="AM266"/>
    </row>
    <row r="267" spans="1:39" x14ac:dyDescent="0.2">
      <c r="A267"/>
      <c r="B267"/>
      <c r="C267"/>
      <c r="D267"/>
      <c r="E267"/>
      <c r="F267"/>
      <c r="G267"/>
      <c r="H267"/>
      <c r="I267"/>
      <c r="J267"/>
      <c r="K267"/>
      <c r="L267"/>
      <c r="M267"/>
      <c r="N267"/>
      <c r="O267"/>
      <c r="P267"/>
      <c r="Q267"/>
      <c r="R267"/>
      <c r="S267"/>
      <c r="T267"/>
      <c r="U267"/>
      <c r="V267"/>
      <c r="W267"/>
      <c r="X267"/>
      <c r="Y267"/>
      <c r="Z267"/>
      <c r="AA267"/>
      <c r="AB267"/>
      <c r="AC267"/>
      <c r="AD267"/>
      <c r="AE267"/>
      <c r="AF267"/>
      <c r="AG267"/>
      <c r="AH267"/>
      <c r="AI267"/>
      <c r="AJ267"/>
      <c r="AK267"/>
      <c r="AL267"/>
      <c r="AM267"/>
    </row>
    <row r="268" spans="1:39" x14ac:dyDescent="0.2">
      <c r="A268"/>
      <c r="B268"/>
      <c r="C268"/>
      <c r="D268"/>
      <c r="E268"/>
      <c r="F268"/>
      <c r="G268"/>
      <c r="H268"/>
      <c r="I268"/>
      <c r="J268"/>
      <c r="K268"/>
      <c r="L268"/>
      <c r="M268"/>
      <c r="N268"/>
      <c r="O268"/>
      <c r="P268"/>
      <c r="Q268"/>
      <c r="R268"/>
      <c r="S268"/>
      <c r="T268"/>
      <c r="U268"/>
      <c r="V268"/>
      <c r="W268"/>
      <c r="X268"/>
      <c r="Y268"/>
      <c r="Z268"/>
      <c r="AA268"/>
      <c r="AB268"/>
      <c r="AC268"/>
      <c r="AD268"/>
      <c r="AE268"/>
      <c r="AF268"/>
      <c r="AG268"/>
      <c r="AH268"/>
      <c r="AI268"/>
      <c r="AJ268"/>
      <c r="AK268"/>
      <c r="AL268"/>
      <c r="AM268"/>
    </row>
    <row r="269" spans="1:39" x14ac:dyDescent="0.2">
      <c r="A269"/>
      <c r="B269"/>
      <c r="C269"/>
      <c r="D269"/>
      <c r="E269"/>
      <c r="F269"/>
      <c r="G269"/>
      <c r="H269"/>
      <c r="I269"/>
      <c r="J269"/>
      <c r="K269"/>
      <c r="L269"/>
      <c r="M269"/>
      <c r="N269"/>
      <c r="O269"/>
      <c r="P269"/>
      <c r="Q269"/>
      <c r="R269"/>
      <c r="S269"/>
      <c r="T269"/>
      <c r="U269"/>
      <c r="V269"/>
      <c r="W269"/>
      <c r="X269"/>
      <c r="Y269"/>
      <c r="Z269"/>
      <c r="AA269"/>
      <c r="AB269"/>
      <c r="AC269"/>
      <c r="AD269"/>
      <c r="AE269"/>
      <c r="AF269"/>
      <c r="AG269"/>
      <c r="AH269"/>
      <c r="AI269"/>
      <c r="AJ269"/>
      <c r="AK269"/>
      <c r="AL269"/>
      <c r="AM269"/>
    </row>
    <row r="270" spans="1:39" x14ac:dyDescent="0.2">
      <c r="A270"/>
      <c r="B270"/>
      <c r="C270"/>
      <c r="D270"/>
      <c r="E270"/>
      <c r="F270"/>
      <c r="G270"/>
      <c r="H270"/>
      <c r="I270"/>
      <c r="J270"/>
      <c r="K270"/>
      <c r="L270"/>
      <c r="M270"/>
      <c r="N270"/>
      <c r="O270"/>
      <c r="P270"/>
      <c r="Q270"/>
      <c r="R270"/>
      <c r="S270"/>
      <c r="T270"/>
      <c r="U270"/>
      <c r="V270"/>
      <c r="W270"/>
      <c r="X270"/>
      <c r="Y270"/>
      <c r="Z270"/>
      <c r="AA270"/>
      <c r="AB270"/>
      <c r="AC270"/>
      <c r="AD270"/>
      <c r="AE270"/>
      <c r="AF270"/>
      <c r="AG270"/>
      <c r="AH270"/>
      <c r="AI270"/>
      <c r="AJ270"/>
      <c r="AK270"/>
      <c r="AL270"/>
      <c r="AM270"/>
    </row>
    <row r="271" spans="1:39" x14ac:dyDescent="0.2">
      <c r="A271"/>
      <c r="B271"/>
      <c r="C271"/>
      <c r="D271"/>
      <c r="E271"/>
      <c r="F271"/>
      <c r="G271"/>
      <c r="H271"/>
      <c r="I271"/>
      <c r="J271"/>
      <c r="K271"/>
      <c r="L271"/>
      <c r="M271"/>
      <c r="N271"/>
      <c r="O271"/>
      <c r="P271"/>
      <c r="Q271"/>
      <c r="R271"/>
      <c r="S271"/>
      <c r="T271"/>
      <c r="U271"/>
      <c r="V271"/>
      <c r="W271"/>
      <c r="X271"/>
      <c r="Y271"/>
      <c r="Z271"/>
      <c r="AA271"/>
      <c r="AB271"/>
      <c r="AC271"/>
      <c r="AD271"/>
      <c r="AE271"/>
      <c r="AF271"/>
      <c r="AG271"/>
      <c r="AH271"/>
      <c r="AI271"/>
      <c r="AJ271"/>
      <c r="AK271"/>
      <c r="AL271"/>
      <c r="AM271"/>
    </row>
    <row r="272" spans="1:39" x14ac:dyDescent="0.2">
      <c r="A272"/>
      <c r="B272"/>
      <c r="C272"/>
      <c r="D272"/>
      <c r="E272"/>
      <c r="G272"/>
      <c r="H272"/>
      <c r="I272"/>
      <c r="J272"/>
      <c r="K272"/>
      <c r="L272"/>
      <c r="M272"/>
      <c r="N272"/>
      <c r="O272"/>
      <c r="P272"/>
      <c r="Q272"/>
      <c r="R272"/>
      <c r="S272"/>
      <c r="T272"/>
      <c r="U272"/>
      <c r="V272"/>
      <c r="W272"/>
      <c r="X272"/>
      <c r="AD272"/>
      <c r="AE272"/>
      <c r="AF272"/>
      <c r="AG272"/>
      <c r="AM272"/>
    </row>
    <row r="273" spans="1:41" x14ac:dyDescent="0.2">
      <c r="A273"/>
      <c r="B273"/>
      <c r="C273"/>
      <c r="D273"/>
      <c r="E273"/>
      <c r="F273"/>
      <c r="G273"/>
      <c r="H273"/>
      <c r="I273"/>
      <c r="J273"/>
      <c r="K273"/>
      <c r="L273"/>
      <c r="M273"/>
      <c r="N273"/>
      <c r="O273"/>
      <c r="P273"/>
      <c r="Q273"/>
      <c r="R273"/>
      <c r="S273"/>
      <c r="T273"/>
      <c r="U273"/>
      <c r="V273"/>
      <c r="W273"/>
      <c r="X273"/>
      <c r="Y273"/>
      <c r="Z273"/>
      <c r="AA273"/>
      <c r="AB273"/>
      <c r="AC273"/>
      <c r="AD273"/>
      <c r="AE273"/>
      <c r="AF273"/>
      <c r="AG273"/>
      <c r="AH273"/>
      <c r="AI273"/>
      <c r="AJ273"/>
      <c r="AK273"/>
      <c r="AL273"/>
      <c r="AM273"/>
    </row>
    <row r="274" spans="1:41" x14ac:dyDescent="0.2">
      <c r="A274"/>
      <c r="B274"/>
      <c r="C274"/>
      <c r="D274"/>
      <c r="E274"/>
      <c r="F274"/>
      <c r="G274"/>
      <c r="H274"/>
      <c r="I274"/>
      <c r="J274"/>
      <c r="K274"/>
      <c r="L274"/>
      <c r="M274"/>
      <c r="N274"/>
      <c r="O274"/>
      <c r="P274"/>
      <c r="Q274"/>
      <c r="R274"/>
      <c r="S274"/>
      <c r="T274"/>
      <c r="U274"/>
      <c r="V274"/>
      <c r="W274"/>
      <c r="X274"/>
      <c r="Y274"/>
      <c r="Z274"/>
      <c r="AA274"/>
      <c r="AB274"/>
      <c r="AC274"/>
      <c r="AD274"/>
      <c r="AE274"/>
      <c r="AF274"/>
      <c r="AG274"/>
      <c r="AH274"/>
      <c r="AI274"/>
      <c r="AJ274"/>
      <c r="AK274"/>
      <c r="AL274"/>
      <c r="AM274"/>
    </row>
    <row r="275" spans="1:41" x14ac:dyDescent="0.2">
      <c r="A275"/>
      <c r="B275"/>
      <c r="C275"/>
      <c r="D275"/>
      <c r="E275"/>
      <c r="F275"/>
      <c r="G275"/>
      <c r="H275"/>
      <c r="I275"/>
      <c r="J275"/>
      <c r="K275"/>
      <c r="L275"/>
      <c r="M275"/>
      <c r="N275"/>
      <c r="O275"/>
      <c r="P275"/>
      <c r="Q275"/>
      <c r="R275"/>
      <c r="S275"/>
      <c r="T275"/>
      <c r="U275"/>
      <c r="V275"/>
      <c r="W275"/>
      <c r="X275"/>
      <c r="Y275"/>
      <c r="Z275"/>
      <c r="AA275"/>
      <c r="AB275"/>
      <c r="AC275"/>
      <c r="AD275"/>
      <c r="AE275"/>
      <c r="AF275"/>
      <c r="AG275"/>
      <c r="AH275"/>
      <c r="AI275"/>
      <c r="AJ275"/>
      <c r="AK275"/>
      <c r="AL275"/>
      <c r="AM275"/>
    </row>
    <row r="276" spans="1:41" x14ac:dyDescent="0.2">
      <c r="A276"/>
      <c r="B276"/>
      <c r="C276"/>
      <c r="D276"/>
      <c r="E276"/>
      <c r="F276"/>
      <c r="G276"/>
      <c r="H276"/>
      <c r="I276"/>
      <c r="J276"/>
      <c r="K276"/>
      <c r="L276"/>
      <c r="M276"/>
      <c r="N276"/>
      <c r="O276"/>
      <c r="P276"/>
      <c r="Q276"/>
      <c r="R276"/>
      <c r="S276"/>
      <c r="T276"/>
      <c r="U276"/>
      <c r="V276"/>
      <c r="W276"/>
      <c r="X276"/>
      <c r="AC276"/>
      <c r="AD276"/>
      <c r="AE276"/>
      <c r="AF276"/>
      <c r="AG276"/>
      <c r="AH276"/>
      <c r="AI276"/>
      <c r="AJ276"/>
      <c r="AK276"/>
      <c r="AL276"/>
      <c r="AM276"/>
    </row>
    <row r="277" spans="1:41" x14ac:dyDescent="0.2">
      <c r="A277"/>
      <c r="B277"/>
      <c r="C277"/>
      <c r="D277"/>
      <c r="E277"/>
      <c r="F277"/>
      <c r="G277"/>
      <c r="H277"/>
      <c r="I277"/>
      <c r="J277"/>
      <c r="K277"/>
      <c r="L277"/>
      <c r="M277"/>
      <c r="N277"/>
      <c r="O277"/>
      <c r="P277"/>
      <c r="Q277"/>
      <c r="R277"/>
      <c r="S277"/>
      <c r="T277"/>
      <c r="U277"/>
      <c r="V277"/>
      <c r="W277"/>
      <c r="X277"/>
      <c r="AC277"/>
      <c r="AD277"/>
      <c r="AE277"/>
      <c r="AF277"/>
      <c r="AG277"/>
      <c r="AH277"/>
      <c r="AI277"/>
      <c r="AJ277"/>
      <c r="AK277"/>
      <c r="AL277"/>
      <c r="AM277"/>
    </row>
    <row r="278" spans="1:41" x14ac:dyDescent="0.2">
      <c r="A278"/>
      <c r="B278"/>
      <c r="C278"/>
      <c r="D278"/>
      <c r="E278"/>
      <c r="F278"/>
      <c r="G278"/>
      <c r="H278"/>
      <c r="I278"/>
      <c r="J278"/>
      <c r="K278"/>
      <c r="L278"/>
      <c r="M278"/>
      <c r="N278"/>
      <c r="O278"/>
      <c r="P278"/>
      <c r="Q278"/>
      <c r="R278"/>
      <c r="S278"/>
      <c r="T278"/>
      <c r="U278"/>
      <c r="V278"/>
      <c r="W278"/>
      <c r="X278"/>
      <c r="Y278"/>
      <c r="Z278"/>
      <c r="AA278"/>
      <c r="AB278"/>
      <c r="AC278"/>
      <c r="AD278"/>
      <c r="AE278"/>
      <c r="AF278"/>
      <c r="AG278"/>
      <c r="AH278"/>
      <c r="AI278"/>
      <c r="AJ278"/>
      <c r="AK278"/>
      <c r="AL278"/>
      <c r="AM278"/>
    </row>
    <row r="279" spans="1:41" x14ac:dyDescent="0.2">
      <c r="A279"/>
      <c r="B279"/>
      <c r="C279"/>
      <c r="D279"/>
      <c r="E279"/>
      <c r="F279"/>
      <c r="G279"/>
      <c r="H279"/>
      <c r="I279"/>
      <c r="J279"/>
      <c r="K279"/>
      <c r="L279"/>
      <c r="M279"/>
      <c r="N279"/>
      <c r="O279"/>
      <c r="P279"/>
      <c r="Q279"/>
      <c r="R279"/>
      <c r="S279"/>
      <c r="T279"/>
      <c r="U279"/>
      <c r="V279"/>
      <c r="W279"/>
      <c r="X279"/>
      <c r="Y279"/>
      <c r="Z279"/>
      <c r="AA279"/>
      <c r="AB279"/>
      <c r="AC279"/>
      <c r="AD279"/>
      <c r="AE279"/>
      <c r="AF279"/>
      <c r="AG279"/>
      <c r="AH279"/>
      <c r="AI279"/>
      <c r="AJ279"/>
      <c r="AK279"/>
      <c r="AL279"/>
      <c r="AM279"/>
      <c r="AN279"/>
    </row>
    <row r="280" spans="1:41" x14ac:dyDescent="0.2">
      <c r="A280"/>
      <c r="B280"/>
      <c r="C280"/>
      <c r="D280"/>
      <c r="E280"/>
      <c r="F280"/>
      <c r="G280"/>
      <c r="H280"/>
      <c r="I280"/>
      <c r="J280"/>
      <c r="K280"/>
      <c r="L280"/>
      <c r="M280"/>
      <c r="N280"/>
      <c r="O280"/>
      <c r="P280"/>
      <c r="Q280"/>
      <c r="R280"/>
      <c r="S280"/>
      <c r="T280"/>
      <c r="U280"/>
      <c r="V280"/>
      <c r="W280"/>
      <c r="X280"/>
      <c r="Y280"/>
      <c r="Z280"/>
      <c r="AA280"/>
      <c r="AB280"/>
      <c r="AC280"/>
      <c r="AD280"/>
      <c r="AE280"/>
      <c r="AF280"/>
      <c r="AG280"/>
      <c r="AH280"/>
      <c r="AI280"/>
      <c r="AJ280"/>
      <c r="AK280"/>
      <c r="AL280"/>
      <c r="AM280"/>
      <c r="AO280"/>
    </row>
    <row r="281" spans="1:41" x14ac:dyDescent="0.2">
      <c r="A281"/>
      <c r="B281"/>
      <c r="C281"/>
      <c r="D281"/>
      <c r="E281"/>
      <c r="F281"/>
      <c r="G281"/>
      <c r="H281"/>
      <c r="I281"/>
      <c r="J281"/>
      <c r="K281"/>
      <c r="L281"/>
      <c r="M281"/>
      <c r="N281"/>
      <c r="O281"/>
      <c r="P281"/>
      <c r="Q281"/>
      <c r="R281"/>
      <c r="S281"/>
      <c r="T281"/>
      <c r="U281"/>
      <c r="V281"/>
      <c r="W281"/>
      <c r="X281"/>
      <c r="Y281"/>
      <c r="Z281"/>
      <c r="AA281"/>
      <c r="AB281"/>
      <c r="AC281"/>
      <c r="AD281"/>
      <c r="AE281"/>
      <c r="AF281"/>
      <c r="AG281"/>
      <c r="AH281"/>
      <c r="AI281"/>
      <c r="AJ281"/>
      <c r="AK281"/>
      <c r="AL281"/>
      <c r="AM281"/>
    </row>
    <row r="282" spans="1:41" x14ac:dyDescent="0.2">
      <c r="A282"/>
      <c r="B282"/>
      <c r="C282"/>
      <c r="D282"/>
      <c r="E282"/>
      <c r="F282"/>
      <c r="G282"/>
      <c r="H282"/>
      <c r="I282"/>
      <c r="J282"/>
      <c r="K282"/>
      <c r="L282"/>
      <c r="M282"/>
      <c r="O282"/>
      <c r="P282"/>
      <c r="Q282"/>
      <c r="R282"/>
      <c r="S282"/>
      <c r="T282"/>
      <c r="U282"/>
      <c r="V282"/>
      <c r="W282"/>
      <c r="X282"/>
      <c r="Y282"/>
      <c r="Z282"/>
      <c r="AA282"/>
      <c r="AB282"/>
      <c r="AC282"/>
      <c r="AD282"/>
      <c r="AE282"/>
      <c r="AF282"/>
      <c r="AG282"/>
      <c r="AH282"/>
      <c r="AI282"/>
      <c r="AJ282"/>
      <c r="AK282"/>
      <c r="AL282"/>
      <c r="AM282"/>
    </row>
    <row r="283" spans="1:41" x14ac:dyDescent="0.2">
      <c r="A283"/>
      <c r="B283"/>
      <c r="C283"/>
      <c r="D283"/>
      <c r="E283"/>
      <c r="F283"/>
      <c r="G283"/>
      <c r="H283"/>
      <c r="I283"/>
      <c r="J283"/>
      <c r="K283"/>
      <c r="L283"/>
      <c r="M283"/>
      <c r="N283"/>
      <c r="O283"/>
      <c r="P283"/>
      <c r="Q283"/>
      <c r="R283"/>
      <c r="S283"/>
      <c r="T283"/>
      <c r="U283"/>
      <c r="V283"/>
      <c r="W283"/>
      <c r="X283"/>
      <c r="AC283"/>
      <c r="AD283"/>
      <c r="AE283"/>
      <c r="AF283"/>
      <c r="AG283"/>
      <c r="AH283"/>
      <c r="AI283"/>
      <c r="AJ283"/>
      <c r="AK283"/>
      <c r="AL283"/>
      <c r="AM283"/>
    </row>
    <row r="284" spans="1:41" x14ac:dyDescent="0.2">
      <c r="A284"/>
      <c r="B284"/>
      <c r="C284"/>
      <c r="D284"/>
      <c r="E284"/>
      <c r="F284"/>
      <c r="G284"/>
      <c r="H284"/>
      <c r="I284"/>
      <c r="J284"/>
      <c r="K284"/>
      <c r="L284"/>
      <c r="M284"/>
      <c r="N284"/>
      <c r="O284"/>
      <c r="P284"/>
      <c r="Q284"/>
      <c r="R284"/>
      <c r="S284"/>
      <c r="T284"/>
      <c r="U284"/>
      <c r="V284"/>
      <c r="W284"/>
      <c r="X284"/>
      <c r="AC284"/>
      <c r="AD284"/>
      <c r="AE284"/>
      <c r="AF284"/>
      <c r="AG284"/>
      <c r="AH284"/>
      <c r="AI284"/>
      <c r="AJ284"/>
      <c r="AK284"/>
      <c r="AL284"/>
      <c r="AM284"/>
    </row>
    <row r="285" spans="1:41" x14ac:dyDescent="0.2">
      <c r="A285"/>
      <c r="B285"/>
      <c r="C285"/>
      <c r="D285"/>
      <c r="E285"/>
      <c r="F285"/>
      <c r="G285"/>
      <c r="H285"/>
      <c r="I285"/>
      <c r="J285"/>
      <c r="K285"/>
      <c r="L285"/>
      <c r="M285"/>
      <c r="N285"/>
      <c r="O285"/>
      <c r="P285"/>
      <c r="Q285"/>
      <c r="R285"/>
      <c r="S285"/>
      <c r="T285"/>
      <c r="U285"/>
      <c r="V285"/>
      <c r="W285"/>
      <c r="X285"/>
      <c r="AC285"/>
      <c r="AD285"/>
      <c r="AE285"/>
      <c r="AF285"/>
      <c r="AG285"/>
      <c r="AH285"/>
      <c r="AI285"/>
      <c r="AJ285"/>
      <c r="AK285"/>
      <c r="AL285"/>
      <c r="AM285"/>
    </row>
    <row r="286" spans="1:41" x14ac:dyDescent="0.2">
      <c r="A286"/>
      <c r="B286"/>
      <c r="C286"/>
      <c r="D286"/>
      <c r="E286"/>
      <c r="F286"/>
      <c r="G286"/>
      <c r="H286"/>
      <c r="I286"/>
      <c r="J286"/>
      <c r="K286"/>
      <c r="L286"/>
      <c r="M286"/>
      <c r="N286"/>
      <c r="O286"/>
      <c r="P286"/>
      <c r="Q286"/>
      <c r="R286"/>
      <c r="S286"/>
      <c r="T286"/>
      <c r="U286"/>
      <c r="V286"/>
      <c r="W286"/>
      <c r="X286"/>
      <c r="AC286"/>
      <c r="AD286"/>
      <c r="AE286"/>
      <c r="AF286"/>
      <c r="AG286"/>
      <c r="AH286"/>
      <c r="AI286"/>
      <c r="AJ286"/>
      <c r="AK286"/>
      <c r="AL286"/>
      <c r="AM286"/>
    </row>
    <row r="287" spans="1:41" x14ac:dyDescent="0.2">
      <c r="A287"/>
      <c r="B287"/>
      <c r="C287"/>
      <c r="D287"/>
      <c r="E287"/>
      <c r="F287"/>
      <c r="G287"/>
      <c r="H287"/>
      <c r="I287"/>
      <c r="J287"/>
      <c r="K287"/>
      <c r="L287"/>
      <c r="M287"/>
      <c r="N287"/>
      <c r="O287"/>
      <c r="P287"/>
      <c r="Q287"/>
      <c r="R287"/>
      <c r="S287"/>
      <c r="T287"/>
      <c r="U287"/>
      <c r="V287"/>
      <c r="W287"/>
      <c r="X287"/>
      <c r="AC287"/>
      <c r="AD287"/>
      <c r="AE287"/>
      <c r="AF287"/>
      <c r="AG287"/>
      <c r="AH287"/>
      <c r="AI287"/>
      <c r="AJ287"/>
      <c r="AK287"/>
      <c r="AL287"/>
      <c r="AM287"/>
    </row>
    <row r="288" spans="1:41" x14ac:dyDescent="0.2">
      <c r="A288"/>
      <c r="B288"/>
      <c r="C288"/>
      <c r="D288"/>
      <c r="E288"/>
      <c r="F288"/>
      <c r="G288"/>
      <c r="H288"/>
      <c r="I288"/>
      <c r="J288"/>
      <c r="K288"/>
      <c r="L288"/>
      <c r="M288"/>
      <c r="N288"/>
      <c r="O288"/>
      <c r="P288"/>
      <c r="Q288"/>
      <c r="R288"/>
      <c r="S288"/>
      <c r="T288"/>
      <c r="U288"/>
      <c r="V288"/>
      <c r="W288"/>
      <c r="X288"/>
      <c r="Y288"/>
      <c r="Z288"/>
      <c r="AA288"/>
      <c r="AB288"/>
      <c r="AC288"/>
      <c r="AD288"/>
      <c r="AE288"/>
      <c r="AF288"/>
      <c r="AG288"/>
      <c r="AH288"/>
      <c r="AI288"/>
      <c r="AJ288"/>
      <c r="AK288"/>
      <c r="AL288"/>
      <c r="AM288"/>
    </row>
    <row r="289" spans="1:39" x14ac:dyDescent="0.2">
      <c r="A289"/>
      <c r="B289"/>
      <c r="C289"/>
      <c r="D289"/>
      <c r="E289"/>
      <c r="F289"/>
      <c r="G289"/>
      <c r="H289"/>
      <c r="I289"/>
      <c r="J289"/>
      <c r="K289"/>
      <c r="L289"/>
      <c r="M289"/>
      <c r="N289"/>
      <c r="O289"/>
      <c r="P289"/>
      <c r="Q289"/>
      <c r="R289"/>
      <c r="S289"/>
      <c r="T289"/>
      <c r="U289"/>
      <c r="V289"/>
      <c r="W289"/>
      <c r="X289"/>
      <c r="Y289"/>
      <c r="Z289"/>
      <c r="AA289"/>
      <c r="AB289"/>
      <c r="AC289"/>
      <c r="AD289"/>
      <c r="AE289"/>
      <c r="AF289"/>
      <c r="AG289"/>
      <c r="AH289"/>
      <c r="AI289"/>
      <c r="AJ289"/>
      <c r="AK289"/>
      <c r="AL289"/>
      <c r="AM289"/>
    </row>
    <row r="290" spans="1:39" x14ac:dyDescent="0.2">
      <c r="A290"/>
      <c r="B290"/>
      <c r="C290"/>
      <c r="D290"/>
      <c r="E290"/>
      <c r="F290"/>
      <c r="G290"/>
      <c r="H290"/>
      <c r="I290"/>
      <c r="J290"/>
      <c r="K290"/>
      <c r="L290"/>
      <c r="M290"/>
      <c r="N290"/>
      <c r="O290"/>
      <c r="P290"/>
      <c r="Q290"/>
      <c r="R290"/>
      <c r="S290"/>
      <c r="T290"/>
      <c r="U290"/>
      <c r="V290"/>
      <c r="W290"/>
      <c r="X290"/>
      <c r="Y290"/>
      <c r="Z290"/>
      <c r="AA290"/>
      <c r="AB290"/>
      <c r="AC290"/>
      <c r="AD290"/>
      <c r="AE290"/>
      <c r="AF290"/>
      <c r="AG290"/>
      <c r="AH290"/>
      <c r="AI290"/>
      <c r="AJ290"/>
      <c r="AK290"/>
      <c r="AL290"/>
      <c r="AM290"/>
    </row>
    <row r="291" spans="1:39" x14ac:dyDescent="0.2">
      <c r="A291"/>
      <c r="B291"/>
      <c r="C291"/>
      <c r="D291"/>
      <c r="E291"/>
      <c r="F291"/>
      <c r="G291"/>
      <c r="H291"/>
      <c r="I291"/>
      <c r="J291"/>
      <c r="K291"/>
      <c r="L291"/>
      <c r="M291"/>
      <c r="N291"/>
      <c r="O291"/>
      <c r="P291"/>
      <c r="Q291"/>
      <c r="R291"/>
      <c r="S291"/>
      <c r="T291"/>
      <c r="U291"/>
      <c r="V291"/>
      <c r="W291"/>
      <c r="X291"/>
      <c r="AC291"/>
      <c r="AD291"/>
      <c r="AE291"/>
      <c r="AF291"/>
      <c r="AG291"/>
      <c r="AH291"/>
      <c r="AI291"/>
      <c r="AJ291"/>
      <c r="AK291"/>
      <c r="AL291"/>
      <c r="AM291"/>
    </row>
    <row r="292" spans="1:39" x14ac:dyDescent="0.2">
      <c r="A292"/>
      <c r="B292"/>
      <c r="C292"/>
      <c r="D292"/>
      <c r="E292"/>
      <c r="F292"/>
      <c r="G292"/>
      <c r="H292"/>
      <c r="I292"/>
      <c r="J292"/>
      <c r="K292"/>
      <c r="L292"/>
      <c r="M292"/>
      <c r="N292"/>
      <c r="O292"/>
      <c r="P292"/>
      <c r="Q292"/>
      <c r="R292"/>
      <c r="S292"/>
      <c r="T292"/>
      <c r="U292"/>
      <c r="V292"/>
      <c r="W292"/>
      <c r="X292"/>
      <c r="Y292"/>
      <c r="Z292"/>
      <c r="AA292"/>
      <c r="AB292"/>
      <c r="AC292"/>
      <c r="AD292"/>
      <c r="AE292"/>
      <c r="AF292"/>
      <c r="AG292"/>
      <c r="AI292"/>
      <c r="AJ292"/>
      <c r="AK292"/>
      <c r="AL292"/>
      <c r="AM292"/>
    </row>
    <row r="293" spans="1:39" x14ac:dyDescent="0.2">
      <c r="A293"/>
      <c r="B293"/>
      <c r="C293"/>
      <c r="D293"/>
      <c r="E293"/>
      <c r="F293"/>
      <c r="G293"/>
      <c r="H293"/>
      <c r="I293"/>
      <c r="J293"/>
      <c r="K293"/>
      <c r="L293"/>
      <c r="M293"/>
      <c r="N293"/>
      <c r="O293"/>
      <c r="P293"/>
      <c r="Q293"/>
      <c r="R293"/>
      <c r="S293"/>
      <c r="T293"/>
      <c r="U293"/>
      <c r="V293"/>
      <c r="W293"/>
      <c r="X293"/>
      <c r="AC293"/>
      <c r="AD293"/>
      <c r="AE293"/>
      <c r="AF293"/>
      <c r="AG293"/>
      <c r="AH293"/>
      <c r="AI293"/>
      <c r="AJ293"/>
      <c r="AK293"/>
      <c r="AL293"/>
      <c r="AM293"/>
    </row>
    <row r="294" spans="1:39" x14ac:dyDescent="0.2">
      <c r="A294"/>
      <c r="B294"/>
      <c r="C294"/>
      <c r="D294"/>
      <c r="E294"/>
      <c r="F294"/>
      <c r="G294"/>
      <c r="H294"/>
      <c r="I294"/>
      <c r="J294"/>
      <c r="K294"/>
      <c r="L294"/>
      <c r="M294"/>
      <c r="N294"/>
      <c r="O294"/>
      <c r="P294"/>
      <c r="Q294"/>
      <c r="R294"/>
      <c r="S294"/>
      <c r="T294"/>
      <c r="U294"/>
      <c r="V294"/>
      <c r="W294"/>
      <c r="X294"/>
      <c r="Y294"/>
      <c r="Z294"/>
      <c r="AA294"/>
      <c r="AC294"/>
      <c r="AD294"/>
      <c r="AE294"/>
      <c r="AF294"/>
      <c r="AG294"/>
      <c r="AH294"/>
      <c r="AI294"/>
      <c r="AJ294"/>
      <c r="AK294"/>
      <c r="AL294"/>
      <c r="AM294"/>
    </row>
    <row r="295" spans="1:39" x14ac:dyDescent="0.2">
      <c r="A295"/>
      <c r="B295"/>
      <c r="C295"/>
      <c r="D295"/>
      <c r="E295"/>
      <c r="F295"/>
      <c r="G295"/>
      <c r="H295"/>
      <c r="I295"/>
      <c r="J295"/>
      <c r="K295"/>
      <c r="L295"/>
      <c r="M295"/>
      <c r="N295"/>
      <c r="O295"/>
      <c r="P295"/>
      <c r="Q295"/>
      <c r="R295"/>
      <c r="S295"/>
      <c r="T295"/>
      <c r="U295"/>
      <c r="V295"/>
      <c r="W295"/>
      <c r="X295"/>
      <c r="Y295"/>
      <c r="Z295"/>
      <c r="AA295"/>
      <c r="AB295"/>
      <c r="AC295"/>
      <c r="AD295"/>
      <c r="AE295"/>
      <c r="AF295"/>
      <c r="AG295"/>
      <c r="AH295"/>
      <c r="AI295"/>
      <c r="AJ295"/>
      <c r="AK295"/>
      <c r="AL295"/>
      <c r="AM295"/>
    </row>
    <row r="296" spans="1:39" x14ac:dyDescent="0.2">
      <c r="A296"/>
      <c r="B296"/>
      <c r="C296"/>
      <c r="D296"/>
      <c r="E296"/>
      <c r="F296"/>
      <c r="G296"/>
      <c r="H296"/>
      <c r="I296"/>
      <c r="J296"/>
      <c r="K296"/>
      <c r="L296"/>
      <c r="M296"/>
      <c r="N296"/>
      <c r="O296"/>
      <c r="P296"/>
      <c r="Q296"/>
      <c r="R296"/>
      <c r="S296"/>
      <c r="T296"/>
      <c r="U296"/>
      <c r="V296"/>
      <c r="W296"/>
      <c r="X296"/>
      <c r="AC296"/>
      <c r="AD296"/>
      <c r="AE296"/>
      <c r="AF296"/>
      <c r="AG296"/>
      <c r="AH296"/>
      <c r="AI296"/>
      <c r="AJ296"/>
      <c r="AK296"/>
      <c r="AL296"/>
      <c r="AM296"/>
    </row>
    <row r="297" spans="1:39" x14ac:dyDescent="0.2">
      <c r="A297"/>
      <c r="B297"/>
      <c r="C297"/>
      <c r="D297"/>
      <c r="E297"/>
      <c r="F297"/>
      <c r="G297"/>
      <c r="H297"/>
      <c r="I297"/>
      <c r="J297"/>
      <c r="K297"/>
      <c r="L297"/>
      <c r="M297"/>
      <c r="N297"/>
      <c r="O297"/>
      <c r="P297"/>
      <c r="Q297"/>
      <c r="R297"/>
      <c r="S297"/>
      <c r="T297"/>
      <c r="U297"/>
      <c r="V297"/>
      <c r="W297"/>
      <c r="X297"/>
      <c r="Y297"/>
      <c r="Z297"/>
      <c r="AA297"/>
      <c r="AB297"/>
      <c r="AC297"/>
      <c r="AD297"/>
      <c r="AE297"/>
      <c r="AF297"/>
      <c r="AG297"/>
      <c r="AH297"/>
      <c r="AI297"/>
      <c r="AJ297"/>
      <c r="AK297"/>
      <c r="AL297"/>
      <c r="AM297"/>
    </row>
    <row r="298" spans="1:39" x14ac:dyDescent="0.2">
      <c r="A298"/>
      <c r="B298"/>
      <c r="C298"/>
      <c r="D298"/>
      <c r="E298"/>
      <c r="F298"/>
      <c r="G298"/>
      <c r="H298"/>
      <c r="I298"/>
      <c r="J298"/>
      <c r="K298"/>
      <c r="L298"/>
      <c r="M298"/>
      <c r="N298"/>
      <c r="O298"/>
      <c r="P298"/>
      <c r="Q298"/>
      <c r="R298"/>
      <c r="S298"/>
      <c r="T298"/>
      <c r="U298"/>
      <c r="V298"/>
      <c r="W298"/>
      <c r="X298"/>
      <c r="Y298"/>
      <c r="Z298"/>
      <c r="AA298"/>
      <c r="AB298"/>
      <c r="AC298"/>
      <c r="AD298"/>
      <c r="AE298"/>
      <c r="AF298"/>
      <c r="AG298"/>
      <c r="AH298"/>
      <c r="AI298"/>
      <c r="AJ298"/>
      <c r="AK298"/>
      <c r="AL298"/>
      <c r="AM298"/>
    </row>
    <row r="299" spans="1:39" x14ac:dyDescent="0.2">
      <c r="A299"/>
      <c r="B299"/>
      <c r="C299"/>
      <c r="D299"/>
      <c r="E299"/>
      <c r="F299"/>
      <c r="G299"/>
      <c r="H299"/>
      <c r="I299"/>
      <c r="J299"/>
      <c r="K299"/>
      <c r="L299"/>
      <c r="M299"/>
      <c r="N299"/>
      <c r="O299"/>
      <c r="P299"/>
      <c r="Q299"/>
      <c r="R299"/>
      <c r="S299"/>
      <c r="T299"/>
      <c r="U299"/>
      <c r="V299"/>
      <c r="W299"/>
      <c r="X299"/>
      <c r="Y299"/>
      <c r="Z299"/>
      <c r="AA299"/>
      <c r="AB299"/>
      <c r="AC299"/>
      <c r="AD299"/>
      <c r="AE299"/>
      <c r="AF299"/>
      <c r="AG299"/>
      <c r="AH299"/>
      <c r="AI299"/>
      <c r="AJ299"/>
      <c r="AK299"/>
      <c r="AL299"/>
      <c r="AM299"/>
    </row>
    <row r="300" spans="1:39" x14ac:dyDescent="0.2">
      <c r="A300"/>
      <c r="B300"/>
      <c r="C300"/>
      <c r="D300"/>
      <c r="E300"/>
      <c r="F300"/>
      <c r="G300"/>
      <c r="H300"/>
      <c r="I300"/>
      <c r="J300"/>
      <c r="K300"/>
      <c r="L300"/>
      <c r="M300"/>
      <c r="N300"/>
      <c r="O300"/>
      <c r="P300"/>
      <c r="Q300"/>
      <c r="R300"/>
      <c r="S300"/>
      <c r="T300"/>
      <c r="U300"/>
      <c r="V300"/>
      <c r="W300"/>
      <c r="X300"/>
      <c r="Y300"/>
      <c r="Z300"/>
      <c r="AA300"/>
      <c r="AB300"/>
      <c r="AC300"/>
      <c r="AD300"/>
      <c r="AE300"/>
      <c r="AF300"/>
      <c r="AG300"/>
      <c r="AH300"/>
      <c r="AI300"/>
      <c r="AJ300"/>
      <c r="AK300"/>
      <c r="AL300"/>
      <c r="AM300"/>
    </row>
    <row r="301" spans="1:39" x14ac:dyDescent="0.2">
      <c r="A301"/>
      <c r="B301"/>
      <c r="C301"/>
      <c r="D301"/>
      <c r="E301"/>
      <c r="G301"/>
      <c r="H301"/>
      <c r="I301"/>
      <c r="J301"/>
      <c r="K301"/>
      <c r="L301"/>
      <c r="M301"/>
      <c r="N301"/>
      <c r="O301"/>
      <c r="P301"/>
      <c r="Q301"/>
      <c r="R301"/>
      <c r="S301"/>
      <c r="T301"/>
      <c r="U301"/>
      <c r="V301"/>
      <c r="W301"/>
      <c r="X301"/>
      <c r="Y301"/>
      <c r="Z301"/>
      <c r="AA301"/>
      <c r="AB301"/>
      <c r="AD301"/>
      <c r="AE301"/>
      <c r="AF301"/>
      <c r="AG301"/>
      <c r="AH301"/>
      <c r="AI301"/>
      <c r="AJ301"/>
      <c r="AM301"/>
    </row>
    <row r="302" spans="1:39" x14ac:dyDescent="0.2">
      <c r="A302"/>
      <c r="B302"/>
      <c r="C302"/>
      <c r="D302"/>
      <c r="E302"/>
      <c r="F302"/>
      <c r="G302"/>
      <c r="H302"/>
      <c r="I302"/>
      <c r="J302"/>
      <c r="K302"/>
      <c r="L302"/>
      <c r="M302"/>
      <c r="N302"/>
      <c r="O302"/>
      <c r="P302"/>
      <c r="Q302"/>
      <c r="R302"/>
      <c r="S302"/>
      <c r="T302"/>
      <c r="U302"/>
      <c r="V302"/>
      <c r="W302"/>
      <c r="X302"/>
      <c r="AC302"/>
      <c r="AD302"/>
      <c r="AE302"/>
      <c r="AF302"/>
      <c r="AG302"/>
      <c r="AI302"/>
      <c r="AJ302"/>
      <c r="AK302"/>
      <c r="AL302"/>
      <c r="AM302"/>
    </row>
    <row r="303" spans="1:39" x14ac:dyDescent="0.2">
      <c r="A303"/>
      <c r="B303"/>
      <c r="C303"/>
      <c r="D303"/>
      <c r="E303"/>
      <c r="F303"/>
      <c r="G303"/>
      <c r="H303"/>
      <c r="I303"/>
      <c r="J303"/>
      <c r="K303"/>
      <c r="L303"/>
      <c r="M303"/>
      <c r="N303"/>
      <c r="O303"/>
      <c r="P303"/>
      <c r="Q303"/>
      <c r="R303"/>
      <c r="S303"/>
      <c r="T303"/>
      <c r="U303"/>
      <c r="V303"/>
      <c r="W303"/>
      <c r="X303"/>
      <c r="Y303"/>
      <c r="Z303"/>
      <c r="AA303"/>
      <c r="AB303"/>
      <c r="AC303"/>
      <c r="AD303"/>
      <c r="AE303"/>
      <c r="AF303"/>
      <c r="AG303"/>
      <c r="AH303"/>
      <c r="AI303"/>
      <c r="AJ303"/>
      <c r="AK303"/>
      <c r="AL303"/>
      <c r="AM303"/>
    </row>
    <row r="304" spans="1:39" x14ac:dyDescent="0.2">
      <c r="A304"/>
      <c r="B304"/>
      <c r="C304"/>
      <c r="D304"/>
      <c r="E304"/>
      <c r="F304"/>
      <c r="G304"/>
      <c r="H304"/>
      <c r="I304"/>
      <c r="J304"/>
      <c r="K304"/>
      <c r="L304"/>
      <c r="M304"/>
      <c r="N304"/>
      <c r="O304"/>
      <c r="P304"/>
      <c r="Q304"/>
      <c r="R304"/>
      <c r="S304"/>
      <c r="T304"/>
      <c r="U304"/>
      <c r="V304"/>
      <c r="W304"/>
      <c r="X304"/>
      <c r="AC304"/>
      <c r="AD304"/>
      <c r="AE304"/>
      <c r="AF304"/>
      <c r="AG304"/>
      <c r="AH304"/>
      <c r="AI304"/>
      <c r="AJ304"/>
      <c r="AK304"/>
      <c r="AL304"/>
      <c r="AM304"/>
    </row>
    <row r="305" spans="1:39" x14ac:dyDescent="0.2">
      <c r="A305"/>
      <c r="B305"/>
      <c r="C305"/>
      <c r="D305"/>
      <c r="E305"/>
      <c r="F305"/>
      <c r="G305"/>
      <c r="H305"/>
      <c r="I305"/>
      <c r="J305"/>
      <c r="K305"/>
      <c r="L305"/>
      <c r="M305"/>
      <c r="N305"/>
      <c r="O305"/>
      <c r="P305"/>
      <c r="Q305"/>
      <c r="R305"/>
      <c r="S305"/>
      <c r="T305"/>
      <c r="U305"/>
      <c r="V305"/>
      <c r="W305"/>
      <c r="X305"/>
      <c r="AC305"/>
      <c r="AD305"/>
      <c r="AE305"/>
      <c r="AF305"/>
      <c r="AG305"/>
      <c r="AH305"/>
      <c r="AI305"/>
      <c r="AJ305"/>
      <c r="AK305"/>
      <c r="AL305"/>
      <c r="AM305"/>
    </row>
    <row r="306" spans="1:39" x14ac:dyDescent="0.2">
      <c r="A306"/>
      <c r="B306"/>
      <c r="C306"/>
      <c r="D306"/>
      <c r="E306"/>
      <c r="F306"/>
      <c r="G306"/>
      <c r="H306"/>
      <c r="I306"/>
      <c r="J306"/>
      <c r="K306"/>
      <c r="L306"/>
      <c r="M306"/>
      <c r="N306"/>
      <c r="O306"/>
      <c r="P306"/>
      <c r="Q306"/>
      <c r="R306"/>
      <c r="S306"/>
      <c r="T306"/>
      <c r="U306"/>
      <c r="V306"/>
      <c r="W306"/>
      <c r="X306"/>
      <c r="Y306"/>
      <c r="Z306"/>
      <c r="AA306"/>
      <c r="AB306"/>
      <c r="AC306"/>
      <c r="AD306"/>
      <c r="AE306"/>
      <c r="AF306"/>
      <c r="AG306"/>
      <c r="AH306"/>
      <c r="AI306"/>
      <c r="AJ306"/>
      <c r="AK306"/>
      <c r="AL306"/>
      <c r="AM306"/>
    </row>
    <row r="307" spans="1:39" x14ac:dyDescent="0.2">
      <c r="A307"/>
      <c r="B307"/>
      <c r="C307"/>
      <c r="D307"/>
      <c r="E307"/>
      <c r="F307"/>
      <c r="G307"/>
      <c r="H307"/>
      <c r="I307"/>
      <c r="J307"/>
      <c r="K307"/>
      <c r="L307"/>
      <c r="M307"/>
      <c r="N307"/>
      <c r="O307"/>
      <c r="P307"/>
      <c r="Q307"/>
      <c r="R307"/>
      <c r="S307"/>
      <c r="T307"/>
      <c r="U307"/>
      <c r="V307"/>
      <c r="W307"/>
      <c r="X307"/>
      <c r="Y307"/>
      <c r="Z307"/>
      <c r="AA307"/>
      <c r="AB307"/>
      <c r="AC307"/>
      <c r="AD307"/>
      <c r="AE307"/>
      <c r="AF307"/>
      <c r="AG307"/>
      <c r="AH307"/>
      <c r="AI307"/>
      <c r="AJ307"/>
      <c r="AK307"/>
      <c r="AL307"/>
      <c r="AM307"/>
    </row>
    <row r="308" spans="1:39" x14ac:dyDescent="0.2">
      <c r="A308"/>
      <c r="B308"/>
      <c r="C308"/>
      <c r="D308"/>
      <c r="E308"/>
      <c r="F308"/>
      <c r="G308"/>
      <c r="H308"/>
      <c r="I308"/>
      <c r="J308"/>
      <c r="K308"/>
      <c r="L308"/>
      <c r="M308"/>
      <c r="N308"/>
      <c r="O308"/>
      <c r="P308"/>
      <c r="Q308"/>
      <c r="R308"/>
      <c r="S308"/>
      <c r="T308"/>
      <c r="U308"/>
      <c r="V308"/>
      <c r="W308"/>
      <c r="X308"/>
      <c r="AC308"/>
      <c r="AD308"/>
      <c r="AE308"/>
      <c r="AF308"/>
      <c r="AG308"/>
      <c r="AH308"/>
      <c r="AI308"/>
      <c r="AJ308"/>
      <c r="AK308"/>
      <c r="AL308"/>
      <c r="AM308"/>
    </row>
    <row r="309" spans="1:39" x14ac:dyDescent="0.2">
      <c r="A309"/>
      <c r="B309"/>
      <c r="C309"/>
      <c r="D309"/>
      <c r="E309"/>
      <c r="F309"/>
      <c r="G309"/>
      <c r="H309"/>
      <c r="I309"/>
      <c r="J309"/>
      <c r="K309"/>
      <c r="L309"/>
      <c r="M309"/>
      <c r="N309"/>
      <c r="O309"/>
      <c r="P309"/>
      <c r="Q309"/>
      <c r="R309"/>
      <c r="S309"/>
      <c r="T309"/>
      <c r="U309"/>
      <c r="V309"/>
      <c r="W309"/>
      <c r="X309"/>
      <c r="Y309"/>
      <c r="Z309"/>
      <c r="AA309"/>
      <c r="AB309"/>
      <c r="AC309"/>
      <c r="AD309"/>
      <c r="AE309"/>
      <c r="AF309"/>
      <c r="AG309"/>
      <c r="AH309"/>
      <c r="AI309"/>
      <c r="AJ309"/>
      <c r="AK309"/>
      <c r="AL309"/>
      <c r="AM309"/>
    </row>
    <row r="310" spans="1:39" x14ac:dyDescent="0.2">
      <c r="A310"/>
      <c r="B310"/>
      <c r="C310"/>
      <c r="D310"/>
      <c r="E310"/>
      <c r="F310"/>
      <c r="G310"/>
      <c r="H310"/>
      <c r="I310"/>
      <c r="J310"/>
      <c r="K310"/>
      <c r="L310"/>
      <c r="M310"/>
      <c r="N310"/>
      <c r="O310"/>
      <c r="P310"/>
      <c r="Q310"/>
      <c r="R310"/>
      <c r="S310"/>
      <c r="T310"/>
      <c r="U310"/>
      <c r="V310"/>
      <c r="W310"/>
      <c r="X310"/>
      <c r="Y310"/>
      <c r="Z310"/>
      <c r="AA310"/>
      <c r="AB310"/>
      <c r="AC310"/>
      <c r="AD310"/>
      <c r="AE310"/>
      <c r="AF310"/>
      <c r="AG310"/>
      <c r="AH310"/>
      <c r="AI310"/>
      <c r="AJ310"/>
      <c r="AK310"/>
      <c r="AL310"/>
      <c r="AM310"/>
    </row>
    <row r="311" spans="1:39" x14ac:dyDescent="0.2">
      <c r="A311"/>
      <c r="B311"/>
      <c r="C311"/>
      <c r="D311"/>
      <c r="E311"/>
      <c r="F311"/>
      <c r="G311"/>
      <c r="H311"/>
      <c r="I311"/>
      <c r="J311"/>
      <c r="K311"/>
      <c r="L311"/>
      <c r="M311"/>
      <c r="N311"/>
      <c r="O311"/>
      <c r="P311"/>
      <c r="Q311"/>
      <c r="R311"/>
      <c r="S311"/>
      <c r="T311"/>
      <c r="Y311"/>
      <c r="Z311"/>
      <c r="AA311"/>
      <c r="AB311"/>
      <c r="AC311"/>
      <c r="AD311"/>
      <c r="AE311"/>
      <c r="AF311"/>
      <c r="AG311"/>
      <c r="AH311"/>
      <c r="AI311"/>
      <c r="AJ311"/>
      <c r="AK311"/>
      <c r="AL311"/>
      <c r="AM311"/>
    </row>
    <row r="312" spans="1:39" x14ac:dyDescent="0.2">
      <c r="A312"/>
      <c r="B312"/>
      <c r="C312"/>
      <c r="D312"/>
      <c r="E312"/>
      <c r="F312"/>
      <c r="G312"/>
      <c r="H312"/>
      <c r="I312"/>
      <c r="J312"/>
      <c r="K312"/>
      <c r="L312"/>
      <c r="M312"/>
      <c r="N312"/>
      <c r="O312"/>
      <c r="P312"/>
      <c r="Q312"/>
      <c r="R312"/>
      <c r="S312"/>
      <c r="T312"/>
      <c r="U312"/>
      <c r="V312"/>
      <c r="W312"/>
      <c r="X312"/>
      <c r="AC312"/>
      <c r="AD312"/>
      <c r="AE312"/>
      <c r="AF312"/>
      <c r="AG312"/>
      <c r="AH312"/>
      <c r="AI312"/>
      <c r="AJ312"/>
      <c r="AK312"/>
      <c r="AL312"/>
      <c r="AM312"/>
    </row>
    <row r="313" spans="1:39" x14ac:dyDescent="0.2">
      <c r="A313"/>
      <c r="B313"/>
      <c r="C313"/>
      <c r="D313"/>
      <c r="E313"/>
      <c r="G313"/>
      <c r="H313"/>
      <c r="I313"/>
      <c r="J313"/>
      <c r="K313"/>
      <c r="L313"/>
      <c r="M313"/>
      <c r="N313"/>
      <c r="O313"/>
      <c r="P313"/>
      <c r="Q313"/>
      <c r="R313"/>
      <c r="S313"/>
      <c r="T313"/>
      <c r="U313"/>
      <c r="V313"/>
      <c r="W313"/>
      <c r="X313"/>
      <c r="Y313"/>
      <c r="Z313"/>
      <c r="AA313"/>
      <c r="AB313"/>
      <c r="AD313"/>
      <c r="AE313"/>
      <c r="AF313"/>
      <c r="AG313"/>
      <c r="AM313"/>
    </row>
    <row r="314" spans="1:39" x14ac:dyDescent="0.2">
      <c r="A314"/>
      <c r="B314"/>
      <c r="C314"/>
      <c r="D314"/>
      <c r="E314"/>
      <c r="F314"/>
      <c r="G314"/>
      <c r="H314"/>
      <c r="I314"/>
      <c r="J314"/>
      <c r="K314"/>
      <c r="L314"/>
      <c r="M314"/>
      <c r="N314"/>
      <c r="O314"/>
      <c r="P314"/>
      <c r="Q314"/>
      <c r="R314"/>
      <c r="S314"/>
      <c r="T314"/>
      <c r="U314"/>
      <c r="V314"/>
      <c r="W314"/>
      <c r="X314"/>
      <c r="Y314"/>
      <c r="Z314"/>
      <c r="AA314"/>
      <c r="AB314"/>
      <c r="AC314"/>
      <c r="AD314"/>
      <c r="AE314"/>
      <c r="AF314"/>
      <c r="AG314"/>
      <c r="AH314"/>
      <c r="AI314"/>
      <c r="AJ314"/>
      <c r="AK314"/>
      <c r="AL314"/>
      <c r="AM314"/>
    </row>
    <row r="315" spans="1:39" x14ac:dyDescent="0.2">
      <c r="A315"/>
      <c r="B315"/>
      <c r="C315"/>
      <c r="D315"/>
      <c r="E315"/>
      <c r="F315"/>
      <c r="G315"/>
      <c r="H315"/>
      <c r="I315"/>
      <c r="J315"/>
      <c r="K315"/>
      <c r="L315"/>
      <c r="M315"/>
      <c r="N315"/>
      <c r="O315"/>
      <c r="P315"/>
      <c r="Q315"/>
      <c r="R315"/>
      <c r="S315"/>
      <c r="T315"/>
      <c r="U315"/>
      <c r="V315"/>
      <c r="W315"/>
      <c r="X315"/>
      <c r="Y315"/>
      <c r="Z315"/>
      <c r="AA315"/>
      <c r="AB315"/>
      <c r="AC315"/>
      <c r="AD315"/>
      <c r="AE315"/>
      <c r="AF315"/>
      <c r="AG315"/>
      <c r="AH315"/>
      <c r="AI315"/>
      <c r="AJ315"/>
      <c r="AK315"/>
      <c r="AL315"/>
      <c r="AM315"/>
    </row>
    <row r="316" spans="1:39" x14ac:dyDescent="0.2">
      <c r="A316"/>
      <c r="B316"/>
      <c r="C316"/>
      <c r="D316"/>
      <c r="E316"/>
      <c r="F316"/>
      <c r="G316"/>
      <c r="H316"/>
      <c r="I316"/>
      <c r="J316"/>
      <c r="K316"/>
      <c r="L316"/>
      <c r="M316"/>
      <c r="N316"/>
      <c r="O316"/>
      <c r="P316"/>
      <c r="Q316"/>
      <c r="R316"/>
      <c r="S316"/>
      <c r="T316"/>
      <c r="U316"/>
      <c r="V316"/>
      <c r="W316"/>
      <c r="X316"/>
      <c r="Y316"/>
      <c r="Z316"/>
      <c r="AA316"/>
      <c r="AB316"/>
      <c r="AC316"/>
      <c r="AD316"/>
      <c r="AE316"/>
      <c r="AF316"/>
      <c r="AG316"/>
      <c r="AH316"/>
      <c r="AI316"/>
      <c r="AJ316"/>
      <c r="AK316"/>
      <c r="AL316"/>
      <c r="AM316"/>
    </row>
    <row r="317" spans="1:39" x14ac:dyDescent="0.2">
      <c r="A317"/>
      <c r="B317"/>
      <c r="C317"/>
      <c r="D317"/>
      <c r="E317"/>
      <c r="F317"/>
      <c r="G317"/>
      <c r="H317"/>
      <c r="I317"/>
      <c r="J317"/>
      <c r="K317"/>
      <c r="L317"/>
      <c r="M317"/>
      <c r="O317"/>
      <c r="P317"/>
      <c r="Q317"/>
      <c r="R317"/>
      <c r="S317"/>
      <c r="T317"/>
      <c r="U317"/>
      <c r="V317"/>
      <c r="W317"/>
      <c r="X317"/>
      <c r="AC317"/>
      <c r="AD317"/>
      <c r="AE317"/>
      <c r="AF317"/>
      <c r="AG317"/>
      <c r="AH317"/>
      <c r="AI317"/>
      <c r="AJ317"/>
      <c r="AK317"/>
      <c r="AL317"/>
      <c r="AM317"/>
    </row>
    <row r="318" spans="1:39" x14ac:dyDescent="0.2">
      <c r="A318"/>
      <c r="B318"/>
      <c r="C318"/>
      <c r="D318"/>
      <c r="E318"/>
      <c r="F318"/>
      <c r="G318"/>
      <c r="H318"/>
      <c r="I318"/>
      <c r="J318"/>
      <c r="K318"/>
      <c r="L318"/>
      <c r="M318"/>
      <c r="N318"/>
      <c r="O318"/>
      <c r="P318"/>
      <c r="Q318"/>
      <c r="R318"/>
      <c r="S318"/>
      <c r="T318"/>
      <c r="U318"/>
      <c r="V318"/>
      <c r="W318"/>
      <c r="X318"/>
      <c r="Y318"/>
      <c r="Z318"/>
      <c r="AA318"/>
      <c r="AB318"/>
      <c r="AC318"/>
      <c r="AD318"/>
      <c r="AE318"/>
      <c r="AF318"/>
      <c r="AG318"/>
      <c r="AH318"/>
      <c r="AI318"/>
      <c r="AJ318"/>
      <c r="AK318"/>
      <c r="AL318"/>
      <c r="AM318"/>
    </row>
    <row r="319" spans="1:39" x14ac:dyDescent="0.2">
      <c r="A319"/>
      <c r="B319"/>
      <c r="C319"/>
      <c r="D319"/>
      <c r="E319"/>
      <c r="F319"/>
      <c r="G319"/>
      <c r="H319"/>
      <c r="I319"/>
      <c r="J319"/>
      <c r="K319"/>
      <c r="L319"/>
      <c r="M319"/>
      <c r="N319"/>
      <c r="O319"/>
      <c r="P319"/>
      <c r="Q319"/>
      <c r="R319"/>
      <c r="S319"/>
      <c r="T319"/>
      <c r="U319"/>
      <c r="V319"/>
      <c r="W319"/>
      <c r="X319"/>
      <c r="Y319"/>
      <c r="Z319"/>
      <c r="AA319"/>
      <c r="AB319"/>
      <c r="AC319"/>
      <c r="AD319"/>
      <c r="AE319"/>
      <c r="AF319"/>
      <c r="AG319"/>
      <c r="AH319"/>
      <c r="AI319"/>
      <c r="AJ319"/>
      <c r="AK319"/>
      <c r="AL319"/>
      <c r="AM319"/>
    </row>
    <row r="320" spans="1:39" x14ac:dyDescent="0.2">
      <c r="A320"/>
      <c r="B320"/>
      <c r="C320"/>
      <c r="D320"/>
      <c r="E320"/>
      <c r="F320"/>
      <c r="G320"/>
      <c r="H320"/>
      <c r="I320"/>
      <c r="J320"/>
      <c r="K320"/>
      <c r="L320"/>
      <c r="M320"/>
      <c r="N320"/>
      <c r="O320"/>
      <c r="P320"/>
      <c r="Q320"/>
      <c r="R320"/>
      <c r="S320"/>
      <c r="T320"/>
      <c r="Y320"/>
      <c r="Z320"/>
      <c r="AA320"/>
      <c r="AB320"/>
      <c r="AC320"/>
      <c r="AD320"/>
      <c r="AE320"/>
      <c r="AF320"/>
      <c r="AG320"/>
      <c r="AH320"/>
      <c r="AI320"/>
      <c r="AJ320"/>
      <c r="AK320"/>
      <c r="AL320"/>
      <c r="AM320"/>
    </row>
    <row r="321" spans="1:41" x14ac:dyDescent="0.2">
      <c r="A321"/>
      <c r="B321"/>
      <c r="C321"/>
      <c r="D321"/>
      <c r="E321"/>
      <c r="F321"/>
      <c r="G321"/>
      <c r="H321"/>
      <c r="I321"/>
      <c r="J321"/>
      <c r="K321"/>
      <c r="L321"/>
      <c r="M321"/>
      <c r="N321"/>
      <c r="O321"/>
      <c r="P321"/>
      <c r="Q321"/>
      <c r="R321"/>
      <c r="S321"/>
      <c r="T321"/>
      <c r="U321"/>
      <c r="V321"/>
      <c r="W321"/>
      <c r="X321"/>
      <c r="Y321"/>
      <c r="Z321"/>
      <c r="AA321"/>
      <c r="AB321"/>
      <c r="AC321"/>
      <c r="AD321"/>
      <c r="AE321"/>
      <c r="AF321"/>
      <c r="AG321"/>
      <c r="AH321"/>
      <c r="AI321"/>
      <c r="AJ321"/>
      <c r="AK321"/>
      <c r="AL321"/>
      <c r="AM321"/>
    </row>
    <row r="322" spans="1:41" x14ac:dyDescent="0.2">
      <c r="A322"/>
      <c r="B322"/>
      <c r="C322"/>
      <c r="D322"/>
      <c r="E322"/>
      <c r="F322"/>
      <c r="G322"/>
      <c r="H322"/>
      <c r="I322"/>
      <c r="J322"/>
      <c r="K322"/>
      <c r="L322"/>
      <c r="M322"/>
      <c r="N322"/>
      <c r="O322"/>
      <c r="P322"/>
      <c r="Q322"/>
      <c r="R322"/>
      <c r="S322"/>
      <c r="T322"/>
      <c r="Y322"/>
      <c r="Z322"/>
      <c r="AA322"/>
      <c r="AB322"/>
      <c r="AC322"/>
      <c r="AD322"/>
      <c r="AE322"/>
      <c r="AF322"/>
      <c r="AH322"/>
      <c r="AI322"/>
      <c r="AJ322"/>
      <c r="AK322"/>
      <c r="AL322"/>
      <c r="AM322"/>
    </row>
    <row r="323" spans="1:41" x14ac:dyDescent="0.2">
      <c r="A323"/>
      <c r="B323"/>
      <c r="C323"/>
      <c r="D323"/>
      <c r="E323"/>
      <c r="F323"/>
      <c r="G323"/>
      <c r="H323"/>
      <c r="I323"/>
      <c r="J323"/>
      <c r="K323"/>
      <c r="L323"/>
      <c r="M323"/>
      <c r="N323"/>
      <c r="O323"/>
      <c r="P323"/>
      <c r="Q323"/>
      <c r="R323"/>
      <c r="S323"/>
      <c r="T323"/>
      <c r="U323"/>
      <c r="V323"/>
      <c r="W323"/>
      <c r="X323"/>
      <c r="Y323"/>
      <c r="Z323"/>
      <c r="AA323"/>
      <c r="AB323"/>
      <c r="AC323"/>
      <c r="AD323"/>
      <c r="AE323"/>
      <c r="AF323"/>
      <c r="AG323"/>
      <c r="AH323"/>
      <c r="AI323"/>
      <c r="AJ323"/>
      <c r="AK323"/>
      <c r="AL323"/>
      <c r="AM323"/>
    </row>
    <row r="324" spans="1:41" x14ac:dyDescent="0.2">
      <c r="A324"/>
      <c r="B324"/>
      <c r="C324"/>
      <c r="D324"/>
      <c r="E324"/>
      <c r="F324"/>
      <c r="G324"/>
      <c r="H324"/>
      <c r="I324"/>
      <c r="J324"/>
      <c r="K324"/>
      <c r="L324"/>
      <c r="M324"/>
      <c r="N324"/>
      <c r="O324"/>
      <c r="P324"/>
      <c r="Q324"/>
      <c r="R324"/>
      <c r="S324"/>
      <c r="T324"/>
      <c r="U324"/>
      <c r="V324"/>
      <c r="W324"/>
      <c r="X324"/>
      <c r="Y324"/>
      <c r="Z324"/>
      <c r="AA324"/>
      <c r="AB324"/>
      <c r="AC324"/>
      <c r="AD324"/>
      <c r="AE324"/>
      <c r="AF324"/>
      <c r="AG324"/>
      <c r="AH324"/>
      <c r="AI324"/>
      <c r="AJ324"/>
      <c r="AK324"/>
      <c r="AL324"/>
      <c r="AM324"/>
    </row>
    <row r="325" spans="1:41" x14ac:dyDescent="0.2">
      <c r="A325"/>
      <c r="B325"/>
      <c r="C325"/>
      <c r="D325"/>
      <c r="E325"/>
      <c r="F325"/>
      <c r="G325"/>
      <c r="H325"/>
      <c r="I325"/>
      <c r="J325"/>
      <c r="K325"/>
      <c r="L325"/>
      <c r="M325"/>
      <c r="N325"/>
      <c r="O325"/>
      <c r="P325"/>
      <c r="Q325"/>
      <c r="R325"/>
      <c r="S325"/>
      <c r="T325"/>
      <c r="U325"/>
      <c r="V325"/>
      <c r="W325"/>
      <c r="X325"/>
      <c r="Y325"/>
      <c r="AC325"/>
      <c r="AD325"/>
      <c r="AE325"/>
      <c r="AF325"/>
      <c r="AG325"/>
      <c r="AH325"/>
      <c r="AI325"/>
      <c r="AJ325"/>
      <c r="AK325"/>
      <c r="AL325"/>
      <c r="AM325"/>
    </row>
    <row r="326" spans="1:41" x14ac:dyDescent="0.2">
      <c r="A326"/>
      <c r="B326"/>
      <c r="C326"/>
      <c r="D326"/>
      <c r="E326"/>
      <c r="F326"/>
      <c r="G326"/>
      <c r="H326"/>
      <c r="I326"/>
      <c r="J326"/>
      <c r="K326"/>
      <c r="L326"/>
      <c r="M326"/>
      <c r="N326"/>
      <c r="O326"/>
      <c r="P326"/>
      <c r="Q326"/>
      <c r="R326"/>
      <c r="S326"/>
      <c r="T326"/>
      <c r="U326"/>
      <c r="V326"/>
      <c r="W326"/>
      <c r="X326"/>
      <c r="AC326"/>
      <c r="AD326"/>
      <c r="AE326"/>
      <c r="AF326"/>
      <c r="AG326"/>
      <c r="AH326"/>
      <c r="AI326"/>
      <c r="AJ326"/>
      <c r="AK326"/>
      <c r="AL326"/>
      <c r="AM326"/>
    </row>
    <row r="327" spans="1:41" x14ac:dyDescent="0.2">
      <c r="A327"/>
      <c r="B327"/>
      <c r="C327"/>
      <c r="D327"/>
      <c r="E327"/>
      <c r="F327"/>
      <c r="G327"/>
      <c r="H327"/>
      <c r="I327"/>
      <c r="J327"/>
      <c r="K327"/>
      <c r="L327"/>
      <c r="M327"/>
      <c r="N327"/>
      <c r="O327"/>
      <c r="P327"/>
      <c r="Q327"/>
      <c r="R327"/>
      <c r="S327"/>
      <c r="T327"/>
      <c r="U327"/>
      <c r="V327"/>
      <c r="W327"/>
      <c r="X327"/>
      <c r="AC327"/>
      <c r="AD327"/>
      <c r="AE327"/>
      <c r="AF327"/>
      <c r="AG327"/>
      <c r="AH327"/>
      <c r="AI327"/>
      <c r="AJ327"/>
      <c r="AK327"/>
      <c r="AL327"/>
      <c r="AM327"/>
    </row>
    <row r="328" spans="1:41" x14ac:dyDescent="0.2">
      <c r="A328"/>
      <c r="B328"/>
      <c r="C328"/>
      <c r="D328"/>
      <c r="E328"/>
      <c r="F328"/>
      <c r="G328"/>
      <c r="H328"/>
      <c r="I328"/>
      <c r="J328"/>
      <c r="K328"/>
      <c r="L328"/>
      <c r="M328"/>
      <c r="N328"/>
      <c r="O328"/>
      <c r="P328"/>
      <c r="Q328"/>
      <c r="R328"/>
      <c r="S328"/>
      <c r="T328"/>
      <c r="U328"/>
      <c r="V328"/>
      <c r="W328"/>
      <c r="X328"/>
      <c r="Y328"/>
      <c r="Z328"/>
      <c r="AA328"/>
      <c r="AB328"/>
      <c r="AC328"/>
      <c r="AD328"/>
      <c r="AE328"/>
      <c r="AF328"/>
      <c r="AG328"/>
      <c r="AH328"/>
      <c r="AI328"/>
      <c r="AJ328"/>
      <c r="AK328"/>
      <c r="AL328"/>
      <c r="AM328"/>
    </row>
    <row r="329" spans="1:41" x14ac:dyDescent="0.2">
      <c r="A329"/>
      <c r="B329"/>
      <c r="C329"/>
      <c r="D329"/>
      <c r="E329"/>
      <c r="F329"/>
      <c r="G329"/>
      <c r="H329"/>
      <c r="I329"/>
      <c r="J329"/>
      <c r="K329"/>
      <c r="L329"/>
      <c r="M329"/>
      <c r="N329"/>
      <c r="O329"/>
      <c r="P329"/>
      <c r="Q329"/>
      <c r="R329"/>
      <c r="S329"/>
      <c r="T329"/>
      <c r="U329"/>
      <c r="V329"/>
      <c r="W329"/>
      <c r="X329"/>
      <c r="Y329"/>
      <c r="Z329"/>
      <c r="AA329"/>
      <c r="AB329"/>
      <c r="AC329"/>
      <c r="AD329"/>
      <c r="AE329"/>
      <c r="AF329"/>
      <c r="AG329"/>
      <c r="AH329"/>
      <c r="AI329"/>
      <c r="AJ329"/>
      <c r="AK329"/>
      <c r="AL329"/>
      <c r="AM329"/>
    </row>
    <row r="330" spans="1:41" x14ac:dyDescent="0.2">
      <c r="A330"/>
      <c r="B330"/>
      <c r="C330"/>
      <c r="D330"/>
      <c r="E330"/>
      <c r="F330"/>
      <c r="G330"/>
      <c r="H330"/>
      <c r="I330"/>
      <c r="J330"/>
      <c r="K330"/>
      <c r="L330"/>
      <c r="M330"/>
      <c r="N330"/>
      <c r="O330"/>
      <c r="P330"/>
      <c r="Q330"/>
      <c r="R330"/>
      <c r="S330"/>
      <c r="T330"/>
      <c r="U330"/>
      <c r="V330"/>
      <c r="W330"/>
      <c r="X330"/>
      <c r="Y330"/>
      <c r="Z330"/>
      <c r="AA330"/>
      <c r="AB330"/>
      <c r="AC330"/>
      <c r="AD330"/>
      <c r="AE330"/>
      <c r="AF330"/>
      <c r="AG330"/>
      <c r="AH330"/>
      <c r="AI330"/>
      <c r="AJ330"/>
      <c r="AK330"/>
      <c r="AL330"/>
      <c r="AM330"/>
    </row>
    <row r="331" spans="1:41" x14ac:dyDescent="0.2">
      <c r="A331"/>
      <c r="B331"/>
      <c r="C331"/>
      <c r="D331"/>
      <c r="E331"/>
      <c r="F331"/>
      <c r="G331"/>
      <c r="H331"/>
      <c r="I331"/>
      <c r="J331"/>
      <c r="K331"/>
      <c r="L331"/>
      <c r="M331"/>
      <c r="N331"/>
      <c r="O331"/>
      <c r="P331"/>
      <c r="Q331"/>
      <c r="R331"/>
      <c r="S331"/>
      <c r="T331"/>
      <c r="U331"/>
      <c r="V331"/>
      <c r="W331"/>
      <c r="X331"/>
      <c r="AC331"/>
      <c r="AD331"/>
      <c r="AE331"/>
      <c r="AF331"/>
      <c r="AG331"/>
      <c r="AH331"/>
      <c r="AI331"/>
      <c r="AJ331"/>
      <c r="AK331"/>
      <c r="AL331"/>
      <c r="AM331"/>
    </row>
    <row r="332" spans="1:41" x14ac:dyDescent="0.2">
      <c r="A332"/>
      <c r="B332"/>
      <c r="C332"/>
      <c r="D332"/>
      <c r="E332"/>
      <c r="F332"/>
      <c r="G332"/>
      <c r="H332"/>
      <c r="I332"/>
      <c r="J332"/>
      <c r="K332"/>
      <c r="L332"/>
      <c r="M332"/>
      <c r="N332"/>
      <c r="O332"/>
      <c r="P332"/>
      <c r="Q332"/>
      <c r="R332"/>
      <c r="S332"/>
      <c r="T332"/>
      <c r="U332"/>
      <c r="V332"/>
      <c r="W332"/>
      <c r="X332"/>
      <c r="Y332"/>
      <c r="Z332"/>
      <c r="AA332"/>
      <c r="AB332"/>
      <c r="AC332"/>
      <c r="AD332"/>
      <c r="AE332"/>
      <c r="AF332"/>
      <c r="AG332"/>
      <c r="AH332"/>
      <c r="AI332"/>
      <c r="AJ332"/>
      <c r="AK332"/>
      <c r="AL332"/>
      <c r="AM332"/>
    </row>
    <row r="333" spans="1:41" x14ac:dyDescent="0.2">
      <c r="A333"/>
      <c r="B333"/>
      <c r="C333"/>
      <c r="D333"/>
      <c r="E333"/>
      <c r="F333"/>
      <c r="G333"/>
      <c r="H333"/>
      <c r="I333"/>
      <c r="J333"/>
      <c r="K333"/>
      <c r="L333"/>
      <c r="M333"/>
      <c r="N333"/>
      <c r="O333"/>
      <c r="P333"/>
      <c r="Q333"/>
      <c r="R333"/>
      <c r="S333"/>
      <c r="T333"/>
      <c r="U333"/>
      <c r="V333"/>
      <c r="W333"/>
      <c r="X333"/>
      <c r="Y333"/>
      <c r="Z333"/>
      <c r="AA333"/>
      <c r="AB333"/>
      <c r="AC333"/>
      <c r="AD333"/>
      <c r="AE333"/>
      <c r="AF333"/>
      <c r="AG333"/>
      <c r="AH333"/>
      <c r="AI333"/>
      <c r="AJ333"/>
      <c r="AK333"/>
      <c r="AL333"/>
      <c r="AM333"/>
      <c r="AN333"/>
    </row>
    <row r="334" spans="1:41" x14ac:dyDescent="0.2">
      <c r="A334"/>
      <c r="B334"/>
      <c r="C334"/>
      <c r="D334"/>
      <c r="E334"/>
      <c r="F334"/>
      <c r="G334"/>
      <c r="H334"/>
      <c r="I334"/>
      <c r="J334"/>
      <c r="K334"/>
      <c r="L334"/>
      <c r="M334"/>
      <c r="N334"/>
      <c r="O334"/>
      <c r="P334"/>
      <c r="Q334"/>
      <c r="R334"/>
      <c r="S334"/>
      <c r="T334"/>
      <c r="U334"/>
      <c r="V334"/>
      <c r="W334"/>
      <c r="X334"/>
      <c r="Y334"/>
      <c r="Z334"/>
      <c r="AA334"/>
      <c r="AB334"/>
      <c r="AC334"/>
      <c r="AD334"/>
      <c r="AE334"/>
      <c r="AF334"/>
      <c r="AG334"/>
      <c r="AH334"/>
      <c r="AI334"/>
      <c r="AJ334"/>
      <c r="AK334"/>
      <c r="AL334"/>
      <c r="AM334"/>
      <c r="AN334"/>
    </row>
    <row r="335" spans="1:41" x14ac:dyDescent="0.2">
      <c r="A335"/>
      <c r="B335"/>
      <c r="C335"/>
      <c r="D335"/>
      <c r="E335"/>
      <c r="F335"/>
      <c r="G335"/>
      <c r="H335"/>
      <c r="I335"/>
      <c r="J335"/>
      <c r="K335"/>
      <c r="L335"/>
      <c r="M335"/>
      <c r="N335"/>
      <c r="O335"/>
      <c r="P335"/>
      <c r="Q335"/>
      <c r="R335"/>
      <c r="S335"/>
      <c r="T335"/>
      <c r="U335"/>
      <c r="V335"/>
      <c r="W335"/>
      <c r="X335"/>
      <c r="Y335"/>
      <c r="Z335"/>
      <c r="AA335"/>
      <c r="AB335"/>
      <c r="AC335"/>
      <c r="AD335"/>
      <c r="AE335"/>
      <c r="AF335"/>
      <c r="AG335"/>
      <c r="AH335"/>
      <c r="AI335"/>
      <c r="AJ335"/>
      <c r="AK335"/>
      <c r="AL335"/>
      <c r="AM335"/>
    </row>
    <row r="336" spans="1:41" x14ac:dyDescent="0.2">
      <c r="A336"/>
      <c r="B336"/>
      <c r="C336"/>
      <c r="D336"/>
      <c r="E336"/>
      <c r="F336"/>
      <c r="G336"/>
      <c r="H336"/>
      <c r="I336"/>
      <c r="J336"/>
      <c r="K336"/>
      <c r="L336"/>
      <c r="M336"/>
      <c r="N336"/>
      <c r="O336"/>
      <c r="P336"/>
      <c r="Q336"/>
      <c r="R336"/>
      <c r="S336"/>
      <c r="T336"/>
      <c r="U336"/>
      <c r="V336"/>
      <c r="W336"/>
      <c r="X336"/>
      <c r="Y336"/>
      <c r="Z336"/>
      <c r="AA336"/>
      <c r="AB336"/>
      <c r="AC336"/>
      <c r="AD336"/>
      <c r="AE336"/>
      <c r="AF336"/>
      <c r="AG336"/>
      <c r="AH336"/>
      <c r="AI336"/>
      <c r="AJ336"/>
      <c r="AK336"/>
      <c r="AL336"/>
      <c r="AM336"/>
      <c r="AO336"/>
    </row>
    <row r="337" spans="1:39" x14ac:dyDescent="0.2">
      <c r="A337"/>
      <c r="B337"/>
      <c r="C337"/>
      <c r="D337"/>
      <c r="E337"/>
      <c r="F337"/>
      <c r="G337"/>
      <c r="H337"/>
      <c r="I337"/>
      <c r="J337"/>
      <c r="K337"/>
      <c r="L337"/>
      <c r="M337"/>
      <c r="N337"/>
      <c r="O337"/>
      <c r="P337"/>
      <c r="Q337"/>
      <c r="R337"/>
      <c r="S337"/>
      <c r="T337"/>
      <c r="U337"/>
      <c r="V337"/>
      <c r="W337"/>
      <c r="X337"/>
      <c r="Y337"/>
      <c r="Z337"/>
      <c r="AA337"/>
      <c r="AB337"/>
      <c r="AC337"/>
      <c r="AD337"/>
      <c r="AE337"/>
      <c r="AF337"/>
      <c r="AG337"/>
      <c r="AH337"/>
      <c r="AI337"/>
      <c r="AJ337"/>
      <c r="AK337"/>
      <c r="AL337"/>
      <c r="AM337"/>
    </row>
    <row r="338" spans="1:39" x14ac:dyDescent="0.2">
      <c r="A338"/>
      <c r="B338"/>
      <c r="C338"/>
      <c r="D338"/>
      <c r="E338"/>
      <c r="F338"/>
      <c r="G338"/>
      <c r="H338"/>
      <c r="I338"/>
      <c r="J338"/>
      <c r="K338"/>
      <c r="L338"/>
      <c r="M338"/>
      <c r="N338"/>
      <c r="O338"/>
      <c r="P338"/>
      <c r="Q338"/>
      <c r="R338"/>
      <c r="S338"/>
      <c r="T338"/>
      <c r="U338"/>
      <c r="V338"/>
      <c r="W338"/>
      <c r="X338"/>
      <c r="Y338"/>
      <c r="Z338"/>
      <c r="AA338"/>
      <c r="AB338"/>
      <c r="AC338"/>
      <c r="AD338"/>
      <c r="AE338"/>
      <c r="AF338"/>
      <c r="AG338"/>
      <c r="AH338"/>
      <c r="AI338"/>
      <c r="AJ338"/>
      <c r="AK338"/>
      <c r="AL338"/>
      <c r="AM338"/>
    </row>
    <row r="339" spans="1:39" x14ac:dyDescent="0.2">
      <c r="A339"/>
      <c r="B339"/>
      <c r="C339"/>
      <c r="D339"/>
      <c r="E339"/>
      <c r="F339"/>
      <c r="G339"/>
      <c r="H339"/>
      <c r="I339"/>
      <c r="J339"/>
      <c r="K339"/>
      <c r="L339"/>
      <c r="M339"/>
      <c r="N339"/>
      <c r="O339"/>
      <c r="P339"/>
      <c r="Q339"/>
      <c r="R339"/>
      <c r="S339"/>
      <c r="U339"/>
      <c r="Y339"/>
      <c r="AC339"/>
      <c r="AD339"/>
      <c r="AE339"/>
      <c r="AF339"/>
      <c r="AG339"/>
      <c r="AH339"/>
      <c r="AI339"/>
      <c r="AJ339"/>
      <c r="AK339"/>
      <c r="AL339"/>
      <c r="AM339"/>
    </row>
    <row r="340" spans="1:39" x14ac:dyDescent="0.2">
      <c r="A340"/>
      <c r="B340"/>
      <c r="C340"/>
      <c r="D340"/>
      <c r="E340"/>
      <c r="F340"/>
      <c r="G340"/>
      <c r="H340"/>
      <c r="I340"/>
      <c r="J340"/>
      <c r="K340"/>
      <c r="L340"/>
      <c r="M340"/>
      <c r="N340"/>
      <c r="O340"/>
      <c r="P340"/>
      <c r="Q340"/>
      <c r="R340"/>
      <c r="S340"/>
      <c r="T340"/>
      <c r="U340"/>
      <c r="Y340"/>
      <c r="AC340"/>
      <c r="AD340"/>
      <c r="AE340"/>
      <c r="AF340"/>
      <c r="AG340"/>
      <c r="AH340"/>
      <c r="AI340"/>
      <c r="AJ340"/>
      <c r="AK340"/>
      <c r="AL340"/>
      <c r="AM340"/>
    </row>
    <row r="341" spans="1:39" x14ac:dyDescent="0.2">
      <c r="A341"/>
      <c r="B341"/>
      <c r="C341"/>
      <c r="D341"/>
      <c r="E341"/>
      <c r="F341"/>
      <c r="G341"/>
      <c r="H341"/>
      <c r="I341"/>
      <c r="J341"/>
      <c r="K341"/>
      <c r="L341"/>
      <c r="M341"/>
      <c r="N341"/>
      <c r="O341"/>
      <c r="P341"/>
      <c r="Q341"/>
      <c r="R341"/>
      <c r="S341"/>
      <c r="T341"/>
      <c r="U341"/>
      <c r="V341"/>
      <c r="W341"/>
      <c r="X341"/>
      <c r="Y341"/>
      <c r="Z341"/>
      <c r="AA341"/>
      <c r="AB341"/>
      <c r="AC341"/>
      <c r="AD341"/>
      <c r="AE341"/>
      <c r="AF341"/>
      <c r="AG341"/>
      <c r="AH341"/>
      <c r="AI341"/>
      <c r="AJ341"/>
      <c r="AK341"/>
      <c r="AL341"/>
      <c r="AM341"/>
    </row>
    <row r="342" spans="1:39" x14ac:dyDescent="0.2">
      <c r="A342"/>
      <c r="B342"/>
      <c r="C342"/>
      <c r="D342"/>
      <c r="E342"/>
      <c r="F342"/>
      <c r="G342"/>
      <c r="H342"/>
      <c r="I342"/>
      <c r="J342"/>
      <c r="K342"/>
      <c r="L342"/>
      <c r="M342"/>
      <c r="N342"/>
      <c r="O342"/>
      <c r="P342"/>
      <c r="Q342"/>
      <c r="R342"/>
      <c r="S342"/>
      <c r="T342"/>
      <c r="U342"/>
      <c r="V342"/>
      <c r="W342"/>
      <c r="X342"/>
      <c r="Y342"/>
      <c r="Z342"/>
      <c r="AA342"/>
      <c r="AB342"/>
      <c r="AC342"/>
      <c r="AD342"/>
      <c r="AE342"/>
      <c r="AF342"/>
      <c r="AG342"/>
      <c r="AH342"/>
      <c r="AI342"/>
      <c r="AJ342"/>
      <c r="AK342"/>
      <c r="AL342"/>
      <c r="AM342"/>
    </row>
    <row r="343" spans="1:39" x14ac:dyDescent="0.2">
      <c r="A343"/>
      <c r="B343"/>
      <c r="C343"/>
      <c r="D343"/>
      <c r="E343"/>
      <c r="F343"/>
      <c r="G343"/>
      <c r="H343"/>
      <c r="I343"/>
      <c r="J343"/>
      <c r="K343"/>
      <c r="L343"/>
      <c r="M343"/>
      <c r="N343"/>
      <c r="O343"/>
      <c r="P343"/>
      <c r="Q343"/>
      <c r="R343"/>
      <c r="S343"/>
      <c r="T343"/>
      <c r="U343"/>
      <c r="V343"/>
      <c r="W343"/>
      <c r="X343"/>
      <c r="Y343"/>
      <c r="Z343"/>
      <c r="AA343"/>
      <c r="AB343"/>
      <c r="AC343"/>
      <c r="AD343"/>
      <c r="AE343"/>
      <c r="AF343"/>
      <c r="AG343"/>
      <c r="AH343"/>
      <c r="AI343"/>
      <c r="AJ343"/>
      <c r="AK343"/>
      <c r="AL343"/>
      <c r="AM343"/>
    </row>
    <row r="344" spans="1:39" x14ac:dyDescent="0.2">
      <c r="A344"/>
      <c r="B344"/>
      <c r="C344"/>
      <c r="D344"/>
      <c r="E344"/>
      <c r="F344"/>
      <c r="G344"/>
      <c r="H344"/>
      <c r="I344"/>
      <c r="J344"/>
      <c r="K344"/>
      <c r="L344"/>
      <c r="M344"/>
      <c r="N344"/>
      <c r="O344"/>
      <c r="P344"/>
      <c r="Q344"/>
      <c r="R344"/>
      <c r="S344"/>
      <c r="T344"/>
      <c r="U344"/>
      <c r="V344"/>
      <c r="W344"/>
      <c r="X344"/>
      <c r="Y344"/>
      <c r="Z344"/>
      <c r="AA344"/>
      <c r="AB344"/>
      <c r="AC344"/>
      <c r="AD344"/>
      <c r="AE344"/>
      <c r="AF344"/>
      <c r="AG344"/>
      <c r="AH344"/>
      <c r="AI344"/>
      <c r="AJ344"/>
      <c r="AK344"/>
      <c r="AL344"/>
      <c r="AM344"/>
    </row>
    <row r="345" spans="1:39" x14ac:dyDescent="0.2">
      <c r="A345"/>
      <c r="B345"/>
      <c r="C345"/>
      <c r="D345"/>
      <c r="E345"/>
      <c r="F345"/>
      <c r="G345"/>
      <c r="H345"/>
      <c r="I345"/>
      <c r="J345"/>
      <c r="K345"/>
      <c r="L345"/>
      <c r="M345"/>
      <c r="N345"/>
      <c r="O345"/>
      <c r="P345"/>
      <c r="Q345"/>
      <c r="R345"/>
      <c r="S345"/>
      <c r="T345"/>
      <c r="U345"/>
      <c r="V345"/>
      <c r="W345"/>
      <c r="X345"/>
      <c r="Y345"/>
      <c r="Z345"/>
      <c r="AA345"/>
      <c r="AB345"/>
      <c r="AC345"/>
      <c r="AD345"/>
      <c r="AE345"/>
      <c r="AF345"/>
      <c r="AG345"/>
      <c r="AH345"/>
      <c r="AI345"/>
      <c r="AJ345"/>
      <c r="AK345"/>
      <c r="AL345"/>
      <c r="AM345"/>
    </row>
    <row r="346" spans="1:39" x14ac:dyDescent="0.2">
      <c r="A346"/>
      <c r="B346"/>
      <c r="C346"/>
      <c r="D346"/>
      <c r="E346"/>
      <c r="F346"/>
      <c r="G346"/>
      <c r="H346"/>
      <c r="I346"/>
      <c r="J346"/>
      <c r="K346"/>
      <c r="L346"/>
      <c r="M346"/>
      <c r="N346"/>
      <c r="O346"/>
      <c r="P346"/>
      <c r="U346"/>
      <c r="Y346"/>
      <c r="AC346"/>
      <c r="AD346"/>
      <c r="AE346"/>
      <c r="AF346"/>
      <c r="AG346"/>
      <c r="AH346"/>
      <c r="AI346"/>
      <c r="AJ346"/>
      <c r="AK346"/>
      <c r="AL346"/>
      <c r="AM346"/>
    </row>
    <row r="347" spans="1:39" x14ac:dyDescent="0.2">
      <c r="A347"/>
      <c r="B347"/>
      <c r="C347"/>
      <c r="D347"/>
      <c r="E347"/>
      <c r="F347"/>
      <c r="G347"/>
      <c r="H347"/>
      <c r="I347"/>
      <c r="J347"/>
      <c r="K347"/>
      <c r="L347"/>
      <c r="M347"/>
      <c r="N347"/>
      <c r="O347"/>
      <c r="P347"/>
      <c r="U347"/>
      <c r="Y347"/>
      <c r="AC347"/>
      <c r="AD347"/>
      <c r="AE347"/>
      <c r="AF347"/>
      <c r="AG347"/>
      <c r="AH347"/>
      <c r="AI347"/>
      <c r="AJ347"/>
      <c r="AK347"/>
      <c r="AL347"/>
      <c r="AM347"/>
    </row>
    <row r="348" spans="1:39" x14ac:dyDescent="0.2">
      <c r="A348"/>
      <c r="B348"/>
      <c r="C348"/>
      <c r="D348"/>
      <c r="E348"/>
      <c r="F348"/>
      <c r="G348"/>
      <c r="H348"/>
      <c r="I348"/>
      <c r="J348"/>
      <c r="K348"/>
      <c r="L348"/>
      <c r="M348"/>
      <c r="N348"/>
      <c r="O348"/>
      <c r="P348"/>
      <c r="Q348"/>
      <c r="R348"/>
      <c r="S348"/>
      <c r="T348"/>
      <c r="U348"/>
      <c r="V348"/>
      <c r="W348"/>
      <c r="X348"/>
      <c r="Y348"/>
      <c r="Z348"/>
      <c r="AA348"/>
      <c r="AB348"/>
      <c r="AC348"/>
      <c r="AD348"/>
      <c r="AE348"/>
      <c r="AF348"/>
      <c r="AG348"/>
      <c r="AH348"/>
      <c r="AI348"/>
      <c r="AJ348"/>
      <c r="AK348"/>
      <c r="AL348"/>
      <c r="AM348"/>
    </row>
    <row r="349" spans="1:39" x14ac:dyDescent="0.2">
      <c r="A349"/>
      <c r="B349"/>
      <c r="C349"/>
      <c r="D349"/>
      <c r="E349"/>
      <c r="F349"/>
      <c r="G349"/>
      <c r="H349"/>
      <c r="I349"/>
      <c r="J349"/>
      <c r="K349"/>
      <c r="L349"/>
      <c r="M349"/>
      <c r="N349"/>
      <c r="O349"/>
      <c r="P349"/>
      <c r="Q349"/>
      <c r="R349"/>
      <c r="S349"/>
      <c r="T349"/>
      <c r="U349"/>
      <c r="V349"/>
      <c r="W349"/>
      <c r="X349"/>
      <c r="AC349"/>
      <c r="AD349"/>
      <c r="AE349"/>
      <c r="AF349"/>
      <c r="AG349"/>
      <c r="AH349"/>
      <c r="AI349"/>
      <c r="AJ349"/>
      <c r="AK349"/>
      <c r="AL349"/>
      <c r="AM349"/>
    </row>
    <row r="350" spans="1:39" x14ac:dyDescent="0.2">
      <c r="A350"/>
      <c r="B350"/>
      <c r="C350"/>
      <c r="D350"/>
      <c r="E350"/>
      <c r="F350"/>
      <c r="G350"/>
      <c r="H350"/>
      <c r="I350"/>
      <c r="J350"/>
      <c r="K350"/>
      <c r="L350"/>
      <c r="M350"/>
      <c r="N350"/>
      <c r="O350"/>
      <c r="P350"/>
      <c r="Q350"/>
      <c r="R350"/>
      <c r="S350"/>
      <c r="T350"/>
      <c r="U350"/>
      <c r="V350"/>
      <c r="W350"/>
      <c r="X350"/>
      <c r="Y350"/>
      <c r="Z350"/>
      <c r="AA350"/>
      <c r="AB350"/>
      <c r="AC350"/>
      <c r="AD350"/>
      <c r="AE350"/>
      <c r="AF350"/>
      <c r="AG350"/>
      <c r="AH350"/>
      <c r="AI350"/>
      <c r="AJ350"/>
      <c r="AK350"/>
      <c r="AL350"/>
      <c r="AM350"/>
    </row>
    <row r="351" spans="1:39" x14ac:dyDescent="0.2">
      <c r="A351"/>
      <c r="B351"/>
      <c r="C351"/>
      <c r="D351"/>
      <c r="E351"/>
      <c r="F351"/>
      <c r="G351"/>
      <c r="H351"/>
      <c r="I351"/>
      <c r="J351"/>
      <c r="K351"/>
      <c r="L351"/>
      <c r="M351"/>
      <c r="N351"/>
      <c r="O351"/>
      <c r="P351"/>
      <c r="Q351"/>
      <c r="R351"/>
      <c r="S351"/>
      <c r="T351"/>
      <c r="U351"/>
      <c r="V351"/>
      <c r="W351"/>
      <c r="X351"/>
      <c r="Y351"/>
      <c r="Z351"/>
      <c r="AA351"/>
      <c r="AB351"/>
      <c r="AC351"/>
      <c r="AD351"/>
      <c r="AE351"/>
      <c r="AF351"/>
      <c r="AG351"/>
      <c r="AI351"/>
      <c r="AJ351"/>
      <c r="AK351"/>
      <c r="AL351"/>
      <c r="AM351"/>
    </row>
    <row r="352" spans="1:39" x14ac:dyDescent="0.2">
      <c r="A352"/>
      <c r="B352"/>
      <c r="C352"/>
      <c r="D352"/>
      <c r="E352"/>
      <c r="F352"/>
      <c r="G352"/>
      <c r="H352"/>
      <c r="I352"/>
      <c r="J352"/>
      <c r="K352"/>
      <c r="L352"/>
      <c r="M352"/>
      <c r="N352"/>
      <c r="O352"/>
      <c r="P352"/>
      <c r="Q352"/>
      <c r="R352"/>
      <c r="S352"/>
      <c r="T352"/>
      <c r="U352"/>
      <c r="V352"/>
      <c r="W352"/>
      <c r="X352"/>
      <c r="Y352"/>
      <c r="Z352"/>
      <c r="AA352"/>
      <c r="AB352"/>
      <c r="AC352"/>
      <c r="AD352"/>
      <c r="AE352"/>
      <c r="AF352"/>
      <c r="AG352"/>
      <c r="AH352"/>
      <c r="AI352"/>
      <c r="AJ352"/>
      <c r="AK352"/>
      <c r="AL352"/>
      <c r="AM352"/>
    </row>
    <row r="353" spans="1:39" x14ac:dyDescent="0.2">
      <c r="A353"/>
      <c r="B353"/>
      <c r="C353"/>
      <c r="D353"/>
      <c r="E353"/>
      <c r="F353"/>
      <c r="G353"/>
      <c r="H353"/>
      <c r="I353"/>
      <c r="J353"/>
      <c r="K353"/>
      <c r="L353"/>
      <c r="M353"/>
      <c r="N353"/>
      <c r="O353"/>
      <c r="P353"/>
      <c r="Q353"/>
      <c r="R353"/>
      <c r="S353"/>
      <c r="T353"/>
      <c r="U353"/>
      <c r="V353"/>
      <c r="W353"/>
      <c r="X353"/>
      <c r="AC353"/>
      <c r="AD353"/>
      <c r="AE353"/>
      <c r="AF353"/>
      <c r="AG353"/>
      <c r="AH353"/>
      <c r="AI353"/>
      <c r="AJ353"/>
      <c r="AK353"/>
      <c r="AL353"/>
      <c r="AM353"/>
    </row>
    <row r="354" spans="1:39" x14ac:dyDescent="0.2">
      <c r="A354"/>
      <c r="B354"/>
      <c r="C354"/>
      <c r="D354"/>
      <c r="E354"/>
      <c r="F354"/>
      <c r="G354"/>
      <c r="H354"/>
      <c r="I354"/>
      <c r="J354"/>
      <c r="K354"/>
      <c r="L354"/>
      <c r="M354"/>
      <c r="N354"/>
      <c r="O354"/>
      <c r="P354"/>
      <c r="Q354"/>
      <c r="R354"/>
      <c r="S354"/>
      <c r="T354"/>
      <c r="U354"/>
      <c r="V354"/>
      <c r="W354"/>
      <c r="X354"/>
      <c r="Y354"/>
      <c r="Z354"/>
      <c r="AA354"/>
      <c r="AB354"/>
      <c r="AC354"/>
      <c r="AD354"/>
      <c r="AE354"/>
      <c r="AF354"/>
      <c r="AG354"/>
      <c r="AH354"/>
      <c r="AI354"/>
      <c r="AJ354"/>
      <c r="AK354"/>
      <c r="AL354"/>
      <c r="AM354"/>
    </row>
    <row r="355" spans="1:39" x14ac:dyDescent="0.2">
      <c r="A355"/>
      <c r="B355"/>
      <c r="C355"/>
      <c r="D355"/>
      <c r="E355"/>
      <c r="F355"/>
      <c r="G355"/>
      <c r="H355"/>
      <c r="I355"/>
      <c r="J355"/>
      <c r="K355"/>
      <c r="L355"/>
      <c r="M355"/>
      <c r="N355"/>
      <c r="O355"/>
      <c r="P355"/>
      <c r="Q355"/>
      <c r="R355"/>
      <c r="S355"/>
      <c r="T355"/>
      <c r="U355"/>
      <c r="V355"/>
      <c r="W355"/>
      <c r="X355"/>
      <c r="AC355"/>
      <c r="AD355"/>
      <c r="AE355"/>
      <c r="AF355"/>
      <c r="AG355"/>
      <c r="AH355"/>
      <c r="AI355"/>
      <c r="AJ355"/>
      <c r="AK355"/>
      <c r="AL355"/>
      <c r="AM355"/>
    </row>
    <row r="356" spans="1:39" x14ac:dyDescent="0.2">
      <c r="A356"/>
      <c r="B356"/>
      <c r="C356"/>
      <c r="D356"/>
      <c r="E356"/>
      <c r="F356"/>
      <c r="G356"/>
      <c r="H356"/>
      <c r="I356"/>
      <c r="J356"/>
      <c r="K356"/>
      <c r="L356"/>
      <c r="M356"/>
      <c r="N356"/>
      <c r="O356"/>
      <c r="P356"/>
      <c r="Q356"/>
      <c r="R356"/>
      <c r="S356"/>
      <c r="T356"/>
      <c r="U356"/>
      <c r="V356"/>
      <c r="W356"/>
      <c r="X356"/>
      <c r="AC356"/>
      <c r="AD356"/>
      <c r="AE356"/>
      <c r="AF356"/>
      <c r="AG356"/>
      <c r="AH356"/>
      <c r="AI356"/>
      <c r="AJ356"/>
      <c r="AK356"/>
      <c r="AL356"/>
      <c r="AM356"/>
    </row>
    <row r="357" spans="1:39" x14ac:dyDescent="0.2">
      <c r="A357"/>
      <c r="B357"/>
      <c r="C357"/>
      <c r="D357"/>
      <c r="E357"/>
      <c r="F357"/>
      <c r="G357"/>
      <c r="H357"/>
      <c r="I357"/>
      <c r="J357"/>
      <c r="K357"/>
      <c r="L357"/>
      <c r="M357"/>
      <c r="N357"/>
      <c r="O357"/>
      <c r="P357"/>
      <c r="Q357"/>
      <c r="R357"/>
      <c r="S357"/>
      <c r="T357"/>
      <c r="U357"/>
      <c r="V357"/>
      <c r="W357"/>
      <c r="X357"/>
      <c r="Y357"/>
      <c r="Z357"/>
      <c r="AA357"/>
      <c r="AB357"/>
      <c r="AC357"/>
      <c r="AD357"/>
      <c r="AE357"/>
      <c r="AF357"/>
      <c r="AG357"/>
      <c r="AH357"/>
      <c r="AI357"/>
      <c r="AJ357"/>
      <c r="AK357"/>
      <c r="AL357"/>
      <c r="AM357"/>
    </row>
    <row r="358" spans="1:39" x14ac:dyDescent="0.2">
      <c r="A358"/>
      <c r="B358"/>
      <c r="C358"/>
      <c r="D358"/>
      <c r="E358"/>
      <c r="F358"/>
      <c r="G358"/>
      <c r="H358"/>
      <c r="I358"/>
      <c r="J358"/>
      <c r="K358"/>
      <c r="L358"/>
      <c r="M358"/>
      <c r="N358"/>
      <c r="O358"/>
      <c r="P358"/>
      <c r="Q358"/>
      <c r="R358"/>
      <c r="S358"/>
      <c r="T358"/>
      <c r="U358"/>
      <c r="V358"/>
      <c r="W358"/>
      <c r="X358"/>
      <c r="Y358"/>
      <c r="Z358"/>
      <c r="AA358"/>
      <c r="AB358"/>
      <c r="AC358"/>
      <c r="AD358"/>
      <c r="AE358"/>
      <c r="AF358"/>
      <c r="AG358"/>
      <c r="AH358"/>
      <c r="AI358"/>
      <c r="AJ358"/>
      <c r="AK358"/>
      <c r="AL358"/>
      <c r="AM358"/>
    </row>
    <row r="359" spans="1:39" x14ac:dyDescent="0.2">
      <c r="A359"/>
      <c r="B359"/>
      <c r="C359"/>
      <c r="D359"/>
      <c r="E359"/>
      <c r="F359"/>
      <c r="G359"/>
      <c r="H359"/>
      <c r="I359"/>
      <c r="J359"/>
      <c r="K359"/>
      <c r="L359"/>
      <c r="M359"/>
      <c r="O359"/>
      <c r="P359"/>
      <c r="Q359"/>
      <c r="R359"/>
      <c r="S359"/>
      <c r="T359"/>
      <c r="U359"/>
      <c r="V359"/>
      <c r="W359"/>
      <c r="X359"/>
      <c r="Y359"/>
      <c r="Z359"/>
      <c r="AA359"/>
      <c r="AB359"/>
      <c r="AC359"/>
      <c r="AD359"/>
      <c r="AE359"/>
      <c r="AF359"/>
      <c r="AG359"/>
      <c r="AH359"/>
      <c r="AI359"/>
      <c r="AJ359"/>
      <c r="AK359"/>
      <c r="AL359"/>
      <c r="AM359"/>
    </row>
    <row r="360" spans="1:39" x14ac:dyDescent="0.2">
      <c r="A360"/>
      <c r="B360"/>
      <c r="C360"/>
      <c r="D360"/>
      <c r="E360"/>
      <c r="F360"/>
      <c r="G360"/>
      <c r="H360"/>
      <c r="I360"/>
      <c r="J360"/>
      <c r="K360"/>
      <c r="L360"/>
      <c r="M360"/>
      <c r="O360"/>
      <c r="P360"/>
      <c r="Q360"/>
      <c r="R360"/>
      <c r="S360"/>
      <c r="T360"/>
      <c r="U360"/>
      <c r="V360"/>
      <c r="W360"/>
      <c r="X360"/>
      <c r="Y360"/>
      <c r="Z360"/>
      <c r="AA360"/>
      <c r="AB360"/>
      <c r="AC360"/>
      <c r="AD360"/>
      <c r="AE360"/>
      <c r="AF360"/>
      <c r="AG360"/>
      <c r="AH360"/>
      <c r="AI360"/>
      <c r="AJ360"/>
      <c r="AK360"/>
      <c r="AL360"/>
      <c r="AM360"/>
    </row>
    <row r="361" spans="1:39" x14ac:dyDescent="0.2">
      <c r="A361"/>
      <c r="B361"/>
      <c r="C361"/>
      <c r="D361"/>
      <c r="E361"/>
      <c r="F361"/>
      <c r="G361"/>
      <c r="H361"/>
      <c r="I361"/>
      <c r="J361"/>
      <c r="K361"/>
      <c r="L361"/>
      <c r="M361"/>
      <c r="O361"/>
      <c r="P361"/>
      <c r="Q361"/>
      <c r="R361"/>
      <c r="S361"/>
      <c r="T361"/>
      <c r="U361"/>
      <c r="V361"/>
      <c r="W361"/>
      <c r="X361"/>
      <c r="Y361"/>
      <c r="Z361"/>
      <c r="AA361"/>
      <c r="AB361"/>
      <c r="AC361"/>
      <c r="AD361"/>
      <c r="AE361"/>
      <c r="AF361"/>
      <c r="AG361"/>
      <c r="AH361"/>
      <c r="AI361"/>
      <c r="AJ361"/>
      <c r="AK361"/>
      <c r="AL361"/>
      <c r="AM361"/>
    </row>
    <row r="362" spans="1:39" x14ac:dyDescent="0.2">
      <c r="A362"/>
      <c r="B362"/>
      <c r="C362"/>
      <c r="D362"/>
      <c r="E362"/>
      <c r="F362"/>
      <c r="G362"/>
      <c r="H362"/>
      <c r="I362"/>
      <c r="J362"/>
      <c r="K362"/>
      <c r="L362"/>
      <c r="M362"/>
      <c r="O362"/>
      <c r="P362"/>
      <c r="Q362"/>
      <c r="R362"/>
      <c r="S362"/>
      <c r="T362"/>
      <c r="U362"/>
      <c r="V362"/>
      <c r="W362"/>
      <c r="X362"/>
      <c r="Y362"/>
      <c r="Z362"/>
      <c r="AA362"/>
      <c r="AB362"/>
      <c r="AC362"/>
      <c r="AD362"/>
      <c r="AE362"/>
      <c r="AF362"/>
      <c r="AG362"/>
      <c r="AH362"/>
      <c r="AI362"/>
      <c r="AJ362"/>
      <c r="AK362"/>
      <c r="AL362"/>
      <c r="AM362"/>
    </row>
    <row r="363" spans="1:39" x14ac:dyDescent="0.2">
      <c r="A363"/>
      <c r="B363"/>
      <c r="C363"/>
      <c r="D363"/>
      <c r="E363"/>
      <c r="F363"/>
      <c r="G363"/>
      <c r="H363"/>
      <c r="I363"/>
      <c r="J363"/>
      <c r="K363"/>
      <c r="L363"/>
      <c r="M363"/>
      <c r="N363"/>
      <c r="O363"/>
      <c r="P363"/>
      <c r="Q363"/>
      <c r="R363"/>
      <c r="S363"/>
      <c r="T363"/>
      <c r="U363"/>
      <c r="V363"/>
      <c r="W363"/>
      <c r="X363"/>
      <c r="Y363"/>
      <c r="Z363"/>
      <c r="AA363"/>
      <c r="AB363"/>
      <c r="AC363"/>
      <c r="AD363"/>
      <c r="AE363"/>
      <c r="AF363"/>
      <c r="AH363"/>
      <c r="AI363"/>
      <c r="AJ363"/>
      <c r="AK363"/>
      <c r="AL363"/>
      <c r="AM363"/>
    </row>
    <row r="364" spans="1:39" x14ac:dyDescent="0.2">
      <c r="A364"/>
      <c r="B364"/>
      <c r="C364"/>
      <c r="D364"/>
      <c r="E364"/>
      <c r="F364"/>
      <c r="G364"/>
      <c r="H364"/>
      <c r="I364"/>
      <c r="J364"/>
      <c r="K364"/>
      <c r="L364"/>
      <c r="M364"/>
      <c r="N364"/>
      <c r="O364"/>
      <c r="P364"/>
      <c r="Q364"/>
      <c r="R364"/>
      <c r="S364"/>
      <c r="T364"/>
      <c r="U364"/>
      <c r="V364"/>
      <c r="W364"/>
      <c r="X364"/>
      <c r="Y364"/>
      <c r="Z364"/>
      <c r="AA364"/>
      <c r="AB364"/>
      <c r="AC364"/>
      <c r="AD364"/>
      <c r="AE364"/>
      <c r="AF364"/>
      <c r="AG364"/>
      <c r="AH364"/>
      <c r="AI364"/>
      <c r="AJ364"/>
      <c r="AK364"/>
      <c r="AL364"/>
      <c r="AM364"/>
    </row>
    <row r="365" spans="1:39" x14ac:dyDescent="0.2">
      <c r="A365"/>
      <c r="B365"/>
      <c r="C365"/>
      <c r="D365"/>
      <c r="E365"/>
      <c r="F365"/>
      <c r="G365"/>
      <c r="H365"/>
      <c r="I365"/>
      <c r="J365"/>
      <c r="K365"/>
      <c r="L365"/>
      <c r="M365"/>
      <c r="O365"/>
      <c r="P365"/>
      <c r="Q365"/>
      <c r="R365"/>
      <c r="S365"/>
      <c r="T365"/>
      <c r="U365"/>
      <c r="V365"/>
      <c r="W365"/>
      <c r="X365"/>
      <c r="Y365"/>
      <c r="Z365"/>
      <c r="AA365"/>
      <c r="AB365"/>
      <c r="AC365"/>
      <c r="AD365"/>
      <c r="AE365"/>
      <c r="AF365"/>
      <c r="AG365"/>
      <c r="AH365"/>
      <c r="AI365"/>
      <c r="AJ365"/>
      <c r="AK365"/>
      <c r="AL365"/>
      <c r="AM365"/>
    </row>
    <row r="366" spans="1:39" x14ac:dyDescent="0.2">
      <c r="A366"/>
      <c r="B366"/>
      <c r="C366"/>
      <c r="D366"/>
      <c r="E366"/>
      <c r="F366"/>
      <c r="G366"/>
      <c r="H366"/>
      <c r="I366"/>
      <c r="J366"/>
      <c r="K366"/>
      <c r="L366"/>
      <c r="M366"/>
      <c r="O366"/>
      <c r="P366"/>
      <c r="Q366"/>
      <c r="R366"/>
      <c r="S366"/>
      <c r="T366"/>
      <c r="U366"/>
      <c r="V366"/>
      <c r="W366"/>
      <c r="X366"/>
      <c r="Y366"/>
      <c r="Z366"/>
      <c r="AA366"/>
      <c r="AB366"/>
      <c r="AC366"/>
      <c r="AD366"/>
      <c r="AE366"/>
      <c r="AF366"/>
      <c r="AG366"/>
      <c r="AH366"/>
      <c r="AI366"/>
      <c r="AJ366"/>
      <c r="AK366"/>
      <c r="AL366"/>
      <c r="AM366"/>
    </row>
    <row r="367" spans="1:39" x14ac:dyDescent="0.2">
      <c r="A367"/>
      <c r="B367"/>
      <c r="C367"/>
      <c r="D367"/>
      <c r="E367"/>
      <c r="F367"/>
      <c r="G367"/>
      <c r="H367"/>
      <c r="I367"/>
      <c r="J367"/>
      <c r="K367"/>
      <c r="L367"/>
      <c r="M367"/>
      <c r="O367"/>
      <c r="P367"/>
      <c r="Q367"/>
      <c r="R367"/>
      <c r="S367"/>
      <c r="T367"/>
      <c r="U367"/>
      <c r="V367"/>
      <c r="W367"/>
      <c r="X367"/>
      <c r="Y367"/>
      <c r="Z367"/>
      <c r="AA367"/>
      <c r="AB367"/>
      <c r="AC367"/>
      <c r="AD367"/>
      <c r="AE367"/>
      <c r="AF367"/>
      <c r="AG367"/>
      <c r="AH367"/>
      <c r="AI367"/>
      <c r="AJ367"/>
      <c r="AK367"/>
      <c r="AL367"/>
      <c r="AM367"/>
    </row>
    <row r="368" spans="1:39" x14ac:dyDescent="0.2">
      <c r="A368"/>
      <c r="B368"/>
      <c r="C368"/>
      <c r="D368"/>
      <c r="E368"/>
      <c r="F368"/>
      <c r="G368"/>
      <c r="H368"/>
      <c r="I368"/>
      <c r="J368"/>
      <c r="K368"/>
      <c r="L368"/>
      <c r="M368"/>
      <c r="O368"/>
      <c r="P368"/>
      <c r="Q368"/>
      <c r="R368"/>
      <c r="S368"/>
      <c r="T368"/>
      <c r="U368"/>
      <c r="V368"/>
      <c r="W368"/>
      <c r="X368"/>
      <c r="Y368"/>
      <c r="Z368"/>
      <c r="AA368"/>
      <c r="AB368"/>
      <c r="AC368"/>
      <c r="AD368"/>
      <c r="AE368"/>
      <c r="AF368"/>
      <c r="AL368"/>
      <c r="AM368"/>
    </row>
    <row r="369" spans="1:39" x14ac:dyDescent="0.2">
      <c r="A369"/>
      <c r="B369"/>
      <c r="C369"/>
      <c r="D369"/>
      <c r="E369"/>
      <c r="F369"/>
      <c r="G369"/>
      <c r="H369"/>
      <c r="I369"/>
      <c r="J369"/>
      <c r="K369"/>
      <c r="L369"/>
      <c r="M369"/>
      <c r="O369"/>
      <c r="P369"/>
      <c r="Q369"/>
      <c r="R369"/>
      <c r="S369"/>
      <c r="T369"/>
      <c r="U369"/>
      <c r="V369"/>
      <c r="W369"/>
      <c r="X369"/>
      <c r="Y369"/>
      <c r="Z369"/>
      <c r="AA369"/>
      <c r="AB369"/>
      <c r="AC369"/>
      <c r="AD369"/>
      <c r="AE369"/>
      <c r="AF369"/>
      <c r="AG369"/>
      <c r="AH369"/>
      <c r="AI369"/>
      <c r="AJ369"/>
      <c r="AK369"/>
      <c r="AL369"/>
      <c r="AM369"/>
    </row>
    <row r="370" spans="1:39" x14ac:dyDescent="0.2">
      <c r="A370"/>
      <c r="B370"/>
      <c r="C370"/>
      <c r="D370"/>
      <c r="E370"/>
      <c r="F370"/>
      <c r="G370"/>
      <c r="H370"/>
      <c r="I370"/>
      <c r="J370"/>
      <c r="K370"/>
      <c r="L370"/>
      <c r="M370"/>
      <c r="N370"/>
      <c r="O370"/>
      <c r="P370"/>
      <c r="Q370"/>
      <c r="R370"/>
      <c r="S370"/>
      <c r="T370"/>
      <c r="U370"/>
      <c r="V370"/>
      <c r="W370"/>
      <c r="X370"/>
      <c r="Y370"/>
      <c r="Z370"/>
      <c r="AA370"/>
      <c r="AB370"/>
      <c r="AC370"/>
      <c r="AD370"/>
      <c r="AE370"/>
      <c r="AF370"/>
      <c r="AG370"/>
      <c r="AH370"/>
      <c r="AI370"/>
      <c r="AJ370"/>
      <c r="AK370"/>
      <c r="AL370"/>
      <c r="AM370"/>
    </row>
    <row r="371" spans="1:39" x14ac:dyDescent="0.2">
      <c r="A371"/>
      <c r="B371"/>
      <c r="C371"/>
      <c r="D371"/>
      <c r="E371"/>
      <c r="F371"/>
      <c r="G371"/>
      <c r="H371"/>
      <c r="I371"/>
      <c r="J371"/>
      <c r="K371"/>
      <c r="L371"/>
      <c r="M371"/>
      <c r="O371"/>
      <c r="P371"/>
      <c r="Q371"/>
      <c r="R371"/>
      <c r="T371"/>
      <c r="U371"/>
      <c r="V371"/>
      <c r="W371"/>
      <c r="X371"/>
      <c r="AC371"/>
      <c r="AD371"/>
      <c r="AE371"/>
      <c r="AF371"/>
      <c r="AG371"/>
      <c r="AH371"/>
      <c r="AI371"/>
      <c r="AJ371"/>
      <c r="AK371"/>
      <c r="AL371"/>
      <c r="AM371"/>
    </row>
    <row r="372" spans="1:39" x14ac:dyDescent="0.2">
      <c r="A372"/>
      <c r="B372"/>
      <c r="C372"/>
      <c r="D372"/>
      <c r="E372"/>
      <c r="F372"/>
      <c r="G372"/>
      <c r="H372"/>
      <c r="I372"/>
      <c r="J372"/>
      <c r="K372"/>
      <c r="L372"/>
      <c r="M372"/>
      <c r="O372"/>
      <c r="P372"/>
      <c r="Q372"/>
      <c r="R372"/>
      <c r="S372"/>
      <c r="T372"/>
      <c r="U372"/>
      <c r="V372"/>
      <c r="W372"/>
      <c r="X372"/>
      <c r="AC372"/>
      <c r="AD372"/>
      <c r="AE372"/>
      <c r="AF372"/>
      <c r="AG372"/>
      <c r="AH372"/>
      <c r="AI372"/>
      <c r="AJ372"/>
      <c r="AK372"/>
      <c r="AL372"/>
      <c r="AM372"/>
    </row>
    <row r="373" spans="1:39" x14ac:dyDescent="0.2">
      <c r="A373"/>
      <c r="B373"/>
      <c r="C373"/>
      <c r="D373"/>
      <c r="E373"/>
      <c r="F373"/>
      <c r="G373"/>
      <c r="H373"/>
      <c r="I373"/>
      <c r="J373"/>
      <c r="K373"/>
      <c r="L373"/>
      <c r="M373"/>
      <c r="N373"/>
      <c r="O373"/>
      <c r="P373"/>
      <c r="Q373"/>
      <c r="R373"/>
      <c r="S373"/>
      <c r="T373"/>
      <c r="U373"/>
      <c r="V373"/>
      <c r="W373"/>
      <c r="X373"/>
      <c r="AC373"/>
      <c r="AD373"/>
      <c r="AE373"/>
      <c r="AF373"/>
      <c r="AG373"/>
      <c r="AH373"/>
      <c r="AI373"/>
      <c r="AJ373"/>
      <c r="AK373"/>
      <c r="AL373"/>
      <c r="AM373"/>
    </row>
    <row r="374" spans="1:39" x14ac:dyDescent="0.2">
      <c r="A374"/>
      <c r="B374"/>
      <c r="C374"/>
      <c r="D374"/>
      <c r="E374"/>
      <c r="F374"/>
      <c r="G374"/>
      <c r="H374"/>
      <c r="I374"/>
      <c r="J374"/>
      <c r="K374"/>
      <c r="L374"/>
      <c r="M374"/>
      <c r="O374"/>
      <c r="P374"/>
      <c r="Q374"/>
      <c r="R374"/>
      <c r="S374"/>
      <c r="T374"/>
      <c r="U374"/>
      <c r="V374"/>
      <c r="W374"/>
      <c r="X374"/>
      <c r="AC374"/>
      <c r="AD374"/>
      <c r="AE374"/>
      <c r="AF374"/>
      <c r="AG374"/>
      <c r="AH374"/>
      <c r="AI374"/>
      <c r="AJ374"/>
      <c r="AK374"/>
      <c r="AL374"/>
      <c r="AM374"/>
    </row>
    <row r="375" spans="1:39" x14ac:dyDescent="0.2">
      <c r="A375"/>
      <c r="B375"/>
      <c r="C375"/>
      <c r="D375"/>
      <c r="E375"/>
      <c r="F375"/>
      <c r="G375"/>
      <c r="H375"/>
      <c r="I375"/>
      <c r="J375"/>
      <c r="K375"/>
      <c r="L375"/>
      <c r="M375"/>
      <c r="O375"/>
      <c r="P375"/>
      <c r="Q375"/>
      <c r="R375"/>
      <c r="S375"/>
      <c r="T375"/>
      <c r="U375"/>
      <c r="V375"/>
      <c r="W375"/>
      <c r="X375"/>
      <c r="AC375"/>
      <c r="AD375"/>
      <c r="AE375"/>
      <c r="AF375"/>
      <c r="AG375"/>
      <c r="AH375"/>
      <c r="AI375"/>
      <c r="AJ375"/>
      <c r="AK375"/>
      <c r="AL375"/>
      <c r="AM375"/>
    </row>
    <row r="376" spans="1:39" x14ac:dyDescent="0.2">
      <c r="A376"/>
      <c r="B376"/>
      <c r="C376"/>
      <c r="D376"/>
      <c r="E376"/>
      <c r="F376"/>
      <c r="G376"/>
      <c r="H376"/>
      <c r="I376"/>
      <c r="J376"/>
      <c r="K376"/>
      <c r="L376"/>
      <c r="M376"/>
      <c r="N376"/>
      <c r="O376"/>
      <c r="P376"/>
      <c r="Q376"/>
      <c r="R376"/>
      <c r="S376"/>
      <c r="T376"/>
      <c r="U376"/>
      <c r="V376"/>
      <c r="W376"/>
      <c r="X376"/>
      <c r="AC376"/>
      <c r="AD376"/>
      <c r="AE376"/>
      <c r="AF376"/>
      <c r="AG376"/>
      <c r="AH376"/>
      <c r="AI376"/>
      <c r="AJ376"/>
      <c r="AK376"/>
      <c r="AL376"/>
      <c r="AM376"/>
    </row>
    <row r="377" spans="1:39" x14ac:dyDescent="0.2">
      <c r="A377"/>
      <c r="B377"/>
      <c r="C377"/>
      <c r="D377"/>
      <c r="E377"/>
      <c r="F377"/>
      <c r="G377"/>
      <c r="H377"/>
      <c r="I377"/>
      <c r="J377"/>
      <c r="K377"/>
      <c r="L377"/>
      <c r="M377"/>
      <c r="O377"/>
      <c r="P377"/>
      <c r="Q377"/>
      <c r="R377"/>
      <c r="S377"/>
      <c r="T377"/>
      <c r="U377"/>
      <c r="V377"/>
      <c r="W377"/>
      <c r="X377"/>
      <c r="AC377"/>
      <c r="AD377"/>
      <c r="AE377"/>
      <c r="AF377"/>
      <c r="AG377"/>
      <c r="AH377"/>
      <c r="AI377"/>
      <c r="AJ377"/>
      <c r="AK377"/>
      <c r="AL377"/>
      <c r="AM377"/>
    </row>
    <row r="378" spans="1:39" x14ac:dyDescent="0.2">
      <c r="A378"/>
      <c r="B378"/>
      <c r="C378"/>
      <c r="D378"/>
      <c r="E378"/>
      <c r="F378"/>
      <c r="G378"/>
      <c r="H378"/>
      <c r="I378"/>
      <c r="J378"/>
      <c r="K378"/>
      <c r="L378"/>
      <c r="M378"/>
      <c r="N378"/>
      <c r="O378"/>
      <c r="P378"/>
      <c r="Q378"/>
      <c r="R378"/>
      <c r="S378"/>
      <c r="T378"/>
      <c r="U378"/>
      <c r="V378"/>
      <c r="W378"/>
      <c r="X378"/>
      <c r="AC378"/>
      <c r="AD378"/>
      <c r="AE378"/>
      <c r="AF378"/>
      <c r="AG378"/>
      <c r="AI378"/>
      <c r="AJ378"/>
      <c r="AK378"/>
      <c r="AL378"/>
      <c r="AM378"/>
    </row>
    <row r="379" spans="1:39" x14ac:dyDescent="0.2">
      <c r="A379"/>
      <c r="B379"/>
      <c r="C379"/>
      <c r="D379"/>
      <c r="E379"/>
      <c r="F379"/>
      <c r="G379"/>
      <c r="H379"/>
      <c r="I379"/>
      <c r="J379"/>
      <c r="K379"/>
      <c r="L379"/>
      <c r="M379"/>
      <c r="N379"/>
      <c r="O379"/>
      <c r="P379"/>
      <c r="Q379"/>
      <c r="R379"/>
      <c r="S379"/>
      <c r="T379"/>
      <c r="U379"/>
      <c r="V379"/>
      <c r="W379"/>
      <c r="X379"/>
      <c r="AC379"/>
      <c r="AD379"/>
      <c r="AE379"/>
      <c r="AF379"/>
      <c r="AG379"/>
      <c r="AI379"/>
      <c r="AJ379"/>
      <c r="AK379"/>
      <c r="AL379"/>
      <c r="AM379"/>
    </row>
    <row r="380" spans="1:39" x14ac:dyDescent="0.2">
      <c r="A380"/>
      <c r="B380"/>
      <c r="C380"/>
      <c r="D380"/>
      <c r="E380"/>
      <c r="F380"/>
      <c r="G380"/>
      <c r="H380"/>
      <c r="I380"/>
      <c r="J380"/>
      <c r="K380"/>
      <c r="L380"/>
      <c r="M380"/>
      <c r="N380"/>
      <c r="O380"/>
      <c r="P380"/>
      <c r="Q380"/>
      <c r="R380"/>
      <c r="S380"/>
      <c r="T380"/>
      <c r="U380"/>
      <c r="V380"/>
      <c r="W380"/>
      <c r="X380"/>
      <c r="AC380"/>
      <c r="AD380"/>
      <c r="AE380"/>
      <c r="AF380"/>
      <c r="AG380"/>
      <c r="AH380"/>
      <c r="AI380"/>
      <c r="AJ380"/>
      <c r="AK380"/>
      <c r="AL380"/>
      <c r="AM380"/>
    </row>
    <row r="381" spans="1:39" x14ac:dyDescent="0.2">
      <c r="A381"/>
      <c r="B381"/>
      <c r="C381"/>
      <c r="D381"/>
      <c r="E381"/>
      <c r="F381"/>
      <c r="G381"/>
      <c r="H381"/>
      <c r="I381"/>
      <c r="J381"/>
      <c r="K381"/>
      <c r="L381"/>
      <c r="M381"/>
      <c r="N381"/>
      <c r="O381"/>
      <c r="P381"/>
      <c r="Q381"/>
      <c r="R381"/>
      <c r="S381"/>
      <c r="T381"/>
      <c r="U381"/>
      <c r="V381"/>
      <c r="W381"/>
      <c r="X381"/>
      <c r="AC381"/>
      <c r="AD381"/>
      <c r="AE381"/>
      <c r="AF381"/>
      <c r="AG381"/>
      <c r="AH381"/>
      <c r="AI381"/>
      <c r="AJ381"/>
      <c r="AK381"/>
      <c r="AL381"/>
      <c r="AM381"/>
    </row>
    <row r="382" spans="1:39" x14ac:dyDescent="0.2">
      <c r="A382"/>
      <c r="B382"/>
      <c r="C382"/>
      <c r="D382"/>
      <c r="E382"/>
      <c r="F382"/>
      <c r="G382"/>
      <c r="H382"/>
      <c r="I382"/>
      <c r="J382"/>
      <c r="K382"/>
      <c r="L382"/>
      <c r="M382"/>
      <c r="N382"/>
      <c r="O382"/>
      <c r="P382"/>
      <c r="Q382"/>
      <c r="R382"/>
      <c r="S382"/>
      <c r="T382"/>
      <c r="U382"/>
      <c r="V382"/>
      <c r="W382"/>
      <c r="X382"/>
      <c r="AC382"/>
      <c r="AD382"/>
      <c r="AE382"/>
      <c r="AF382"/>
      <c r="AG382"/>
      <c r="AH382"/>
      <c r="AI382"/>
      <c r="AJ382"/>
      <c r="AK382"/>
      <c r="AL382"/>
      <c r="AM382"/>
    </row>
    <row r="383" spans="1:39" x14ac:dyDescent="0.2">
      <c r="A383"/>
      <c r="B383"/>
      <c r="C383"/>
      <c r="D383"/>
      <c r="E383"/>
      <c r="F383"/>
      <c r="G383"/>
      <c r="H383"/>
      <c r="I383"/>
      <c r="J383"/>
      <c r="K383"/>
      <c r="L383"/>
      <c r="M383"/>
      <c r="N383"/>
      <c r="O383"/>
      <c r="P383"/>
      <c r="Q383"/>
      <c r="R383"/>
      <c r="S383"/>
      <c r="T383"/>
      <c r="U383"/>
      <c r="V383"/>
      <c r="W383"/>
      <c r="X383"/>
      <c r="AC383"/>
      <c r="AD383"/>
      <c r="AE383"/>
      <c r="AF383"/>
      <c r="AG383"/>
      <c r="AH383"/>
      <c r="AI383"/>
      <c r="AJ383"/>
      <c r="AK383"/>
      <c r="AL383"/>
      <c r="AM383"/>
    </row>
    <row r="384" spans="1:39" x14ac:dyDescent="0.2">
      <c r="A384"/>
      <c r="B384"/>
      <c r="C384"/>
      <c r="D384"/>
      <c r="E384"/>
      <c r="F384"/>
      <c r="G384"/>
      <c r="H384"/>
      <c r="I384"/>
      <c r="J384"/>
      <c r="K384"/>
      <c r="L384"/>
      <c r="M384"/>
      <c r="N384"/>
      <c r="O384"/>
      <c r="P384"/>
      <c r="Q384"/>
      <c r="R384"/>
      <c r="S384"/>
      <c r="T384"/>
      <c r="U384"/>
      <c r="V384"/>
      <c r="W384"/>
      <c r="X384"/>
      <c r="AC384"/>
      <c r="AD384"/>
      <c r="AE384"/>
      <c r="AF384"/>
      <c r="AG384"/>
      <c r="AH384"/>
      <c r="AI384"/>
      <c r="AJ384"/>
      <c r="AK384"/>
      <c r="AL384"/>
      <c r="AM384"/>
    </row>
    <row r="385" spans="1:41" x14ac:dyDescent="0.2">
      <c r="A385"/>
      <c r="B385"/>
      <c r="C385"/>
      <c r="D385"/>
      <c r="E385"/>
      <c r="F385"/>
      <c r="G385"/>
      <c r="H385"/>
      <c r="I385"/>
      <c r="J385"/>
      <c r="K385"/>
      <c r="L385"/>
      <c r="M385"/>
      <c r="N385"/>
      <c r="O385"/>
      <c r="P385"/>
      <c r="Q385"/>
      <c r="R385"/>
      <c r="S385"/>
      <c r="T385"/>
      <c r="U385"/>
      <c r="V385"/>
      <c r="W385"/>
      <c r="X385"/>
      <c r="AC385"/>
      <c r="AD385"/>
      <c r="AE385"/>
      <c r="AF385"/>
      <c r="AG385"/>
      <c r="AH385"/>
      <c r="AI385"/>
      <c r="AJ385"/>
      <c r="AK385"/>
      <c r="AL385"/>
      <c r="AM385"/>
    </row>
    <row r="386" spans="1:41" x14ac:dyDescent="0.2">
      <c r="A386"/>
      <c r="B386"/>
      <c r="C386"/>
      <c r="D386"/>
      <c r="E386"/>
      <c r="F386"/>
      <c r="G386"/>
      <c r="H386"/>
      <c r="I386"/>
      <c r="J386"/>
      <c r="K386"/>
      <c r="L386"/>
      <c r="M386"/>
      <c r="N386"/>
      <c r="O386"/>
      <c r="P386"/>
      <c r="Q386"/>
      <c r="R386"/>
      <c r="S386"/>
      <c r="T386"/>
      <c r="U386"/>
      <c r="V386"/>
      <c r="W386"/>
      <c r="X386"/>
      <c r="AC386"/>
      <c r="AD386"/>
      <c r="AE386"/>
      <c r="AF386"/>
      <c r="AG386"/>
      <c r="AH386"/>
      <c r="AI386"/>
      <c r="AJ386"/>
      <c r="AK386"/>
      <c r="AL386"/>
      <c r="AM386"/>
    </row>
    <row r="387" spans="1:41" x14ac:dyDescent="0.2">
      <c r="A387"/>
      <c r="B387"/>
      <c r="C387"/>
      <c r="D387"/>
      <c r="E387"/>
      <c r="F387"/>
      <c r="G387"/>
      <c r="H387"/>
      <c r="I387"/>
      <c r="J387"/>
      <c r="K387"/>
      <c r="L387"/>
      <c r="M387"/>
      <c r="N387"/>
      <c r="O387"/>
      <c r="P387"/>
      <c r="Q387"/>
      <c r="R387"/>
      <c r="S387"/>
      <c r="T387"/>
      <c r="U387"/>
      <c r="V387"/>
      <c r="W387"/>
      <c r="X387"/>
      <c r="AC387"/>
      <c r="AD387"/>
      <c r="AE387"/>
      <c r="AF387"/>
      <c r="AG387"/>
      <c r="AH387"/>
      <c r="AI387"/>
      <c r="AJ387"/>
      <c r="AK387"/>
      <c r="AL387"/>
      <c r="AM387"/>
    </row>
    <row r="388" spans="1:41" x14ac:dyDescent="0.2">
      <c r="A388"/>
      <c r="B388"/>
      <c r="C388"/>
      <c r="D388"/>
      <c r="E388"/>
      <c r="F388"/>
      <c r="G388"/>
      <c r="H388"/>
      <c r="I388"/>
      <c r="J388"/>
      <c r="K388"/>
      <c r="L388"/>
      <c r="M388"/>
      <c r="N388"/>
      <c r="O388"/>
      <c r="P388"/>
      <c r="Q388"/>
      <c r="R388"/>
      <c r="S388"/>
      <c r="T388"/>
      <c r="U388"/>
      <c r="V388"/>
      <c r="W388"/>
      <c r="X388"/>
      <c r="AC388"/>
      <c r="AD388"/>
      <c r="AE388"/>
      <c r="AF388"/>
      <c r="AG388"/>
      <c r="AH388"/>
      <c r="AI388"/>
      <c r="AJ388"/>
      <c r="AK388"/>
      <c r="AL388"/>
      <c r="AM388"/>
    </row>
    <row r="389" spans="1:41" x14ac:dyDescent="0.2">
      <c r="A389"/>
      <c r="B389"/>
      <c r="C389"/>
      <c r="D389"/>
      <c r="E389"/>
      <c r="F389"/>
      <c r="G389"/>
      <c r="H389"/>
      <c r="I389"/>
      <c r="J389"/>
      <c r="K389"/>
      <c r="L389"/>
      <c r="M389"/>
      <c r="N389"/>
      <c r="O389"/>
      <c r="P389"/>
      <c r="Q389"/>
      <c r="R389"/>
      <c r="S389"/>
      <c r="T389"/>
      <c r="U389"/>
      <c r="V389"/>
      <c r="W389"/>
      <c r="X389"/>
      <c r="AC389"/>
      <c r="AD389"/>
      <c r="AE389"/>
      <c r="AF389"/>
      <c r="AG389"/>
      <c r="AH389"/>
      <c r="AI389"/>
      <c r="AJ389"/>
      <c r="AK389"/>
      <c r="AL389"/>
      <c r="AM389"/>
    </row>
    <row r="390" spans="1:41" x14ac:dyDescent="0.2">
      <c r="A390"/>
      <c r="B390"/>
      <c r="C390"/>
      <c r="D390"/>
      <c r="E390"/>
      <c r="F390"/>
      <c r="G390"/>
      <c r="H390"/>
      <c r="I390"/>
      <c r="J390"/>
      <c r="K390"/>
      <c r="L390"/>
      <c r="M390"/>
      <c r="O390"/>
      <c r="P390"/>
      <c r="Q390"/>
      <c r="R390"/>
      <c r="S390"/>
      <c r="T390"/>
      <c r="U390"/>
      <c r="V390"/>
      <c r="W390"/>
      <c r="X390"/>
      <c r="AC390"/>
      <c r="AD390"/>
      <c r="AE390"/>
      <c r="AF390"/>
      <c r="AG390"/>
      <c r="AH390"/>
      <c r="AI390"/>
      <c r="AJ390"/>
      <c r="AK390"/>
      <c r="AL390"/>
      <c r="AM390"/>
    </row>
    <row r="391" spans="1:41" x14ac:dyDescent="0.2">
      <c r="A391"/>
      <c r="B391"/>
      <c r="C391"/>
      <c r="D391"/>
      <c r="E391"/>
      <c r="F391"/>
      <c r="G391"/>
      <c r="H391"/>
      <c r="I391"/>
      <c r="J391"/>
      <c r="K391"/>
      <c r="L391"/>
      <c r="M391"/>
      <c r="N391"/>
      <c r="O391"/>
      <c r="P391"/>
      <c r="Q391"/>
      <c r="R391"/>
      <c r="S391"/>
      <c r="T391"/>
      <c r="U391"/>
      <c r="V391"/>
      <c r="W391"/>
      <c r="X391"/>
      <c r="AC391"/>
      <c r="AD391"/>
      <c r="AE391"/>
      <c r="AF391"/>
      <c r="AG391"/>
      <c r="AH391"/>
      <c r="AI391"/>
      <c r="AJ391"/>
      <c r="AK391"/>
      <c r="AL391"/>
      <c r="AM391"/>
    </row>
    <row r="392" spans="1:41" x14ac:dyDescent="0.2">
      <c r="A392"/>
      <c r="B392"/>
      <c r="C392"/>
      <c r="D392"/>
      <c r="E392"/>
      <c r="F392"/>
      <c r="G392"/>
      <c r="H392"/>
      <c r="I392"/>
      <c r="J392"/>
      <c r="K392"/>
      <c r="L392"/>
      <c r="M392"/>
      <c r="N392"/>
      <c r="O392"/>
      <c r="P392"/>
      <c r="Q392"/>
      <c r="R392"/>
      <c r="S392"/>
      <c r="T392"/>
      <c r="U392"/>
      <c r="V392"/>
      <c r="W392"/>
      <c r="X392"/>
      <c r="AC392"/>
      <c r="AD392"/>
      <c r="AE392"/>
      <c r="AF392"/>
      <c r="AG392"/>
      <c r="AH392"/>
      <c r="AI392"/>
      <c r="AJ392"/>
      <c r="AK392"/>
      <c r="AL392"/>
      <c r="AM392"/>
    </row>
    <row r="393" spans="1:41" x14ac:dyDescent="0.2">
      <c r="A393"/>
      <c r="B393"/>
      <c r="C393"/>
      <c r="D393"/>
      <c r="E393"/>
      <c r="F393"/>
      <c r="G393"/>
      <c r="H393"/>
      <c r="I393"/>
      <c r="J393"/>
      <c r="K393"/>
      <c r="L393"/>
      <c r="M393"/>
      <c r="N393"/>
      <c r="O393"/>
      <c r="P393"/>
      <c r="Q393"/>
      <c r="R393"/>
      <c r="S393"/>
      <c r="T393"/>
      <c r="U393"/>
      <c r="V393"/>
      <c r="W393"/>
      <c r="X393"/>
      <c r="Y393"/>
      <c r="Z393"/>
      <c r="AA393"/>
      <c r="AB393"/>
      <c r="AC393"/>
      <c r="AD393"/>
      <c r="AE393"/>
      <c r="AF393"/>
      <c r="AG393"/>
      <c r="AH393"/>
      <c r="AI393"/>
      <c r="AJ393"/>
      <c r="AK393"/>
      <c r="AL393"/>
      <c r="AM393"/>
    </row>
    <row r="394" spans="1:41" x14ac:dyDescent="0.2">
      <c r="A394"/>
      <c r="B394"/>
      <c r="C394"/>
      <c r="D394"/>
      <c r="E394"/>
      <c r="F394"/>
      <c r="G394"/>
      <c r="H394"/>
      <c r="I394"/>
      <c r="J394"/>
      <c r="K394"/>
      <c r="L394"/>
      <c r="M394"/>
      <c r="N394"/>
      <c r="O394"/>
      <c r="P394"/>
      <c r="Q394"/>
      <c r="R394"/>
      <c r="S394"/>
      <c r="T394"/>
      <c r="U394"/>
      <c r="V394"/>
      <c r="W394"/>
      <c r="X394"/>
      <c r="AC394"/>
      <c r="AD394"/>
      <c r="AE394"/>
      <c r="AF394"/>
      <c r="AG394"/>
      <c r="AH394"/>
      <c r="AI394"/>
      <c r="AJ394"/>
      <c r="AK394"/>
      <c r="AL394"/>
    </row>
    <row r="395" spans="1:41" x14ac:dyDescent="0.2">
      <c r="A395"/>
      <c r="B395"/>
      <c r="C395"/>
      <c r="D395"/>
      <c r="E395"/>
      <c r="F395"/>
      <c r="G395"/>
      <c r="H395"/>
      <c r="I395"/>
      <c r="J395"/>
      <c r="K395"/>
      <c r="L395"/>
      <c r="M395"/>
      <c r="N395"/>
      <c r="O395"/>
      <c r="P395"/>
      <c r="Q395"/>
      <c r="R395"/>
      <c r="S395"/>
      <c r="T395"/>
      <c r="U395"/>
      <c r="V395"/>
      <c r="W395"/>
      <c r="X395"/>
      <c r="AC395"/>
      <c r="AD395"/>
      <c r="AE395"/>
      <c r="AF395"/>
      <c r="AG395"/>
      <c r="AH395"/>
      <c r="AI395"/>
      <c r="AJ395"/>
      <c r="AK395"/>
      <c r="AL395"/>
      <c r="AM395"/>
    </row>
    <row r="396" spans="1:41" x14ac:dyDescent="0.2">
      <c r="A396"/>
      <c r="B396"/>
      <c r="C396"/>
      <c r="D396"/>
      <c r="E396"/>
      <c r="F396"/>
      <c r="G396"/>
      <c r="H396"/>
      <c r="I396"/>
      <c r="J396"/>
      <c r="K396"/>
      <c r="L396"/>
      <c r="M396"/>
      <c r="N396"/>
      <c r="O396"/>
      <c r="P396"/>
      <c r="Q396"/>
      <c r="R396"/>
      <c r="S396"/>
      <c r="T396"/>
      <c r="U396"/>
      <c r="V396"/>
      <c r="W396"/>
      <c r="X396"/>
      <c r="Y396"/>
      <c r="Z396"/>
      <c r="AA396"/>
      <c r="AB396"/>
      <c r="AC396"/>
      <c r="AD396"/>
      <c r="AE396"/>
      <c r="AF396"/>
      <c r="AG396"/>
      <c r="AH396"/>
      <c r="AI396"/>
      <c r="AJ396"/>
      <c r="AK396"/>
      <c r="AL396"/>
      <c r="AM396"/>
      <c r="AN396"/>
    </row>
    <row r="397" spans="1:41" x14ac:dyDescent="0.2">
      <c r="A397"/>
      <c r="B397"/>
      <c r="C397"/>
      <c r="D397"/>
      <c r="E397"/>
      <c r="F397"/>
      <c r="G397"/>
      <c r="H397"/>
      <c r="I397"/>
      <c r="J397"/>
      <c r="K397"/>
      <c r="L397"/>
      <c r="M397"/>
      <c r="N397"/>
      <c r="O397"/>
      <c r="P397"/>
      <c r="Q397"/>
      <c r="R397"/>
      <c r="S397"/>
      <c r="T397"/>
      <c r="U397"/>
      <c r="V397"/>
      <c r="W397"/>
      <c r="X397"/>
      <c r="Y397"/>
      <c r="Z397"/>
      <c r="AA397"/>
      <c r="AB397"/>
      <c r="AC397"/>
      <c r="AD397"/>
      <c r="AE397"/>
      <c r="AF397"/>
      <c r="AG397"/>
      <c r="AH397"/>
      <c r="AI397"/>
      <c r="AJ397"/>
      <c r="AK397"/>
      <c r="AL397"/>
      <c r="AM397"/>
    </row>
    <row r="398" spans="1:41" x14ac:dyDescent="0.2">
      <c r="A398"/>
      <c r="B398"/>
      <c r="C398"/>
      <c r="D398"/>
      <c r="E398"/>
      <c r="F398"/>
      <c r="G398"/>
      <c r="H398"/>
      <c r="I398"/>
      <c r="J398"/>
      <c r="K398"/>
      <c r="L398"/>
      <c r="M398"/>
      <c r="N398"/>
      <c r="O398"/>
      <c r="P398"/>
      <c r="Q398"/>
      <c r="R398"/>
      <c r="S398"/>
      <c r="T398"/>
      <c r="U398"/>
      <c r="V398"/>
      <c r="W398"/>
      <c r="X398"/>
      <c r="Y398"/>
      <c r="Z398"/>
      <c r="AA398"/>
      <c r="AB398"/>
      <c r="AC398"/>
      <c r="AD398"/>
      <c r="AE398"/>
      <c r="AF398"/>
      <c r="AG398"/>
      <c r="AH398"/>
      <c r="AI398"/>
      <c r="AJ398"/>
      <c r="AK398"/>
      <c r="AL398"/>
      <c r="AM398"/>
      <c r="AN398"/>
    </row>
    <row r="399" spans="1:41" x14ac:dyDescent="0.2">
      <c r="A399"/>
      <c r="B399"/>
      <c r="C399"/>
      <c r="D399"/>
      <c r="E399"/>
      <c r="F399"/>
      <c r="G399"/>
      <c r="H399"/>
      <c r="I399"/>
      <c r="J399"/>
      <c r="K399"/>
      <c r="L399"/>
      <c r="M399"/>
      <c r="N399"/>
      <c r="O399"/>
      <c r="P399"/>
      <c r="Q399"/>
      <c r="R399"/>
      <c r="S399"/>
      <c r="T399"/>
      <c r="U399"/>
      <c r="V399"/>
      <c r="W399"/>
      <c r="X399"/>
      <c r="Y399"/>
      <c r="Z399"/>
      <c r="AA399"/>
      <c r="AB399"/>
      <c r="AC399"/>
      <c r="AD399"/>
      <c r="AE399"/>
      <c r="AF399"/>
      <c r="AG399"/>
      <c r="AH399"/>
      <c r="AI399"/>
      <c r="AJ399"/>
      <c r="AK399"/>
      <c r="AL399"/>
      <c r="AM399"/>
      <c r="AO399"/>
    </row>
    <row r="400" spans="1:41" x14ac:dyDescent="0.2">
      <c r="A400"/>
      <c r="B400"/>
      <c r="C400"/>
      <c r="D400"/>
      <c r="E400"/>
      <c r="F400"/>
      <c r="G400"/>
      <c r="H400"/>
      <c r="I400"/>
      <c r="J400"/>
      <c r="K400"/>
      <c r="L400"/>
      <c r="M400"/>
      <c r="N400"/>
      <c r="O400"/>
      <c r="P400"/>
      <c r="Q400"/>
      <c r="R400"/>
      <c r="S400"/>
      <c r="T400"/>
      <c r="U400"/>
      <c r="V400"/>
      <c r="W400"/>
      <c r="X400"/>
      <c r="AC400"/>
      <c r="AD400"/>
      <c r="AE400"/>
      <c r="AF400"/>
      <c r="AG400"/>
      <c r="AH400"/>
      <c r="AI400"/>
      <c r="AJ400"/>
      <c r="AK400"/>
      <c r="AL400"/>
      <c r="AM400"/>
    </row>
    <row r="401" spans="1:39" x14ac:dyDescent="0.2">
      <c r="A401"/>
      <c r="B401"/>
      <c r="C401"/>
      <c r="D401"/>
      <c r="E401"/>
      <c r="F401"/>
      <c r="G401"/>
      <c r="H401"/>
      <c r="I401"/>
      <c r="J401"/>
      <c r="K401"/>
      <c r="L401"/>
      <c r="M401"/>
      <c r="N401"/>
      <c r="O401"/>
      <c r="P401"/>
      <c r="Q401"/>
      <c r="R401"/>
      <c r="S401"/>
      <c r="T401"/>
      <c r="U401"/>
      <c r="V401"/>
      <c r="W401"/>
      <c r="X401"/>
      <c r="AC401"/>
      <c r="AD401"/>
      <c r="AE401"/>
      <c r="AF401"/>
      <c r="AG401"/>
      <c r="AH401"/>
      <c r="AI401"/>
      <c r="AJ401"/>
      <c r="AK401"/>
      <c r="AL401"/>
      <c r="AM401"/>
    </row>
    <row r="402" spans="1:39" x14ac:dyDescent="0.2">
      <c r="A402"/>
      <c r="B402"/>
      <c r="C402"/>
      <c r="D402"/>
      <c r="E402"/>
      <c r="F402"/>
      <c r="G402"/>
      <c r="H402"/>
      <c r="I402"/>
      <c r="J402"/>
      <c r="K402"/>
      <c r="L402"/>
      <c r="M402"/>
      <c r="N402"/>
      <c r="O402"/>
      <c r="P402"/>
      <c r="Q402"/>
      <c r="R402"/>
      <c r="S402"/>
      <c r="T402"/>
      <c r="U402"/>
      <c r="V402"/>
      <c r="W402"/>
      <c r="X402"/>
      <c r="Y402"/>
      <c r="Z402"/>
      <c r="AA402"/>
      <c r="AB402"/>
      <c r="AC402"/>
      <c r="AD402"/>
      <c r="AE402"/>
      <c r="AF402"/>
      <c r="AG402"/>
      <c r="AH402"/>
      <c r="AI402"/>
      <c r="AJ402"/>
      <c r="AK402"/>
      <c r="AL402"/>
      <c r="AM402"/>
    </row>
    <row r="403" spans="1:39" x14ac:dyDescent="0.2">
      <c r="A403"/>
      <c r="B403"/>
      <c r="C403"/>
      <c r="D403"/>
      <c r="E403"/>
      <c r="F403"/>
      <c r="G403"/>
      <c r="H403"/>
      <c r="I403"/>
      <c r="J403"/>
      <c r="K403"/>
      <c r="L403"/>
      <c r="M403"/>
      <c r="N403"/>
      <c r="O403"/>
      <c r="P403"/>
      <c r="Q403"/>
      <c r="R403"/>
      <c r="S403"/>
      <c r="T403"/>
      <c r="U403"/>
      <c r="V403"/>
      <c r="W403"/>
      <c r="X403"/>
      <c r="AC403"/>
      <c r="AD403"/>
      <c r="AE403"/>
      <c r="AF403"/>
      <c r="AG403"/>
      <c r="AH403"/>
      <c r="AI403"/>
      <c r="AJ403"/>
      <c r="AK403"/>
      <c r="AL403"/>
      <c r="AM403"/>
    </row>
    <row r="404" spans="1:39" x14ac:dyDescent="0.2">
      <c r="A404"/>
      <c r="B404"/>
      <c r="C404"/>
      <c r="D404"/>
      <c r="E404"/>
      <c r="F404"/>
      <c r="G404"/>
      <c r="H404"/>
      <c r="I404"/>
      <c r="J404"/>
      <c r="K404"/>
      <c r="L404"/>
      <c r="M404"/>
      <c r="N404"/>
      <c r="O404"/>
      <c r="P404"/>
      <c r="Q404"/>
      <c r="R404"/>
      <c r="S404"/>
      <c r="T404"/>
      <c r="U404"/>
      <c r="V404"/>
      <c r="W404"/>
      <c r="X404"/>
      <c r="AC404"/>
      <c r="AD404"/>
      <c r="AE404"/>
      <c r="AF404"/>
      <c r="AG404"/>
      <c r="AH404"/>
      <c r="AI404"/>
      <c r="AJ404"/>
      <c r="AK404"/>
      <c r="AL404"/>
      <c r="AM404"/>
    </row>
    <row r="405" spans="1:39" x14ac:dyDescent="0.2">
      <c r="A405"/>
      <c r="B405"/>
      <c r="C405"/>
      <c r="D405"/>
      <c r="E405"/>
      <c r="F405"/>
      <c r="G405"/>
      <c r="H405"/>
      <c r="I405"/>
      <c r="J405"/>
      <c r="K405"/>
      <c r="L405"/>
      <c r="M405"/>
      <c r="N405"/>
      <c r="O405"/>
      <c r="P405"/>
      <c r="Q405"/>
      <c r="R405"/>
      <c r="S405"/>
      <c r="T405"/>
      <c r="U405"/>
      <c r="V405"/>
      <c r="W405"/>
      <c r="X405"/>
      <c r="AC405"/>
      <c r="AD405"/>
      <c r="AE405"/>
      <c r="AF405"/>
      <c r="AG405"/>
      <c r="AH405"/>
      <c r="AI405"/>
      <c r="AJ405"/>
      <c r="AK405"/>
      <c r="AL405"/>
      <c r="AM405"/>
    </row>
  </sheetData>
  <pageMargins left="0.7" right="0.7" top="0.75" bottom="0.75" header="0.3" footer="0.3"/>
  <tableParts count="1">
    <tablePart r:id="rId1"/>
  </tableParts>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300-000000000000}">
  <sheetPr codeName="Sheet21"/>
  <dimension ref="A1:AE1652"/>
  <sheetViews>
    <sheetView topLeftCell="A1609" workbookViewId="0">
      <selection activeCell="R12" sqref="R12"/>
    </sheetView>
  </sheetViews>
  <sheetFormatPr defaultRowHeight="12.75" x14ac:dyDescent="0.2"/>
  <cols>
    <col min="1" max="1" width="53.85546875" bestFit="1" customWidth="1"/>
    <col min="2" max="2" width="39.42578125" bestFit="1" customWidth="1"/>
    <col min="3" max="3" width="41.28515625" bestFit="1" customWidth="1"/>
    <col min="4" max="5" width="12.42578125" bestFit="1" customWidth="1"/>
    <col min="6" max="6" width="57.5703125" bestFit="1" customWidth="1"/>
    <col min="7" max="7" width="12.28515625" bestFit="1" customWidth="1"/>
    <col min="8" max="8" width="39.5703125" bestFit="1" customWidth="1"/>
    <col min="9" max="9" width="16" bestFit="1" customWidth="1"/>
    <col min="10" max="10" width="26" bestFit="1" customWidth="1"/>
    <col min="11" max="11" width="24.5703125" bestFit="1" customWidth="1"/>
    <col min="12" max="12" width="24" bestFit="1" customWidth="1"/>
    <col min="13" max="13" width="16.140625" bestFit="1" customWidth="1"/>
    <col min="14" max="14" width="33" bestFit="1" customWidth="1"/>
    <col min="15" max="15" width="14.28515625" customWidth="1"/>
    <col min="16" max="16" width="2.140625" customWidth="1"/>
    <col min="17" max="17" width="29" bestFit="1" customWidth="1"/>
    <col min="18" max="18" width="16.42578125" bestFit="1" customWidth="1"/>
    <col min="19" max="19" width="8.85546875" bestFit="1" customWidth="1"/>
    <col min="20" max="21" width="9.42578125" bestFit="1" customWidth="1"/>
    <col min="22" max="22" width="39.7109375" bestFit="1" customWidth="1"/>
    <col min="23" max="23" width="12.28515625" bestFit="1" customWidth="1"/>
    <col min="24" max="24" width="5.7109375" bestFit="1" customWidth="1"/>
    <col min="25" max="25" width="13.42578125" bestFit="1" customWidth="1"/>
    <col min="26" max="26" width="9.5703125" bestFit="1" customWidth="1"/>
    <col min="27" max="27" width="9.42578125" bestFit="1" customWidth="1"/>
    <col min="28" max="28" width="13.42578125" bestFit="1" customWidth="1"/>
    <col min="29" max="29" width="12.42578125" bestFit="1" customWidth="1"/>
    <col min="30" max="30" width="17.42578125" bestFit="1" customWidth="1"/>
    <col min="31" max="31" width="11" bestFit="1" customWidth="1"/>
    <col min="32" max="32" width="53.85546875" bestFit="1" customWidth="1"/>
    <col min="33" max="33" width="58.7109375" bestFit="1" customWidth="1"/>
    <col min="34" max="34" width="22.28515625" bestFit="1" customWidth="1"/>
    <col min="35" max="35" width="20.85546875" bestFit="1" customWidth="1"/>
    <col min="36" max="36" width="54.140625" bestFit="1" customWidth="1"/>
    <col min="37" max="37" width="22.28515625" bestFit="1" customWidth="1"/>
    <col min="38" max="38" width="35.5703125" bestFit="1" customWidth="1"/>
    <col min="39" max="39" width="30" bestFit="1" customWidth="1"/>
    <col min="40" max="40" width="29.85546875" bestFit="1" customWidth="1"/>
    <col min="41" max="41" width="16.42578125" bestFit="1" customWidth="1"/>
    <col min="42" max="42" width="18.7109375" bestFit="1" customWidth="1"/>
    <col min="43" max="43" width="11.85546875" bestFit="1" customWidth="1"/>
  </cols>
  <sheetData>
    <row r="1" spans="1:31" x14ac:dyDescent="0.2">
      <c r="A1"/>
      <c r="B1" s="61"/>
      <c r="C1" s="61"/>
      <c r="D1"/>
      <c r="E1"/>
      <c r="F1"/>
      <c r="G1"/>
      <c r="H1"/>
      <c r="I1"/>
      <c r="J1"/>
      <c r="K1"/>
      <c r="L1"/>
      <c r="M1"/>
      <c r="N1" s="61"/>
      <c r="O1"/>
      <c r="Q1" t="str" cm="1">
        <f t="array" ref="Q1:AE1">customers_table[#Headers]</f>
        <v>company_name</v>
      </c>
      <c r="R1" t="str">
        <v>Address1</v>
      </c>
      <c r="S1" t="str">
        <v>Address2</v>
      </c>
      <c r="T1" t="str">
        <v>Attention1</v>
      </c>
      <c r="U1" t="str">
        <v>Attention2</v>
      </c>
      <c r="V1" t="str">
        <v>Company</v>
      </c>
      <c r="W1" t="str">
        <v>Country</v>
      </c>
      <c r="X1" t="str">
        <v>Email</v>
      </c>
      <c r="Y1" t="str">
        <v>FaxNumber</v>
      </c>
      <c r="Z1" t="str">
        <v>FirstName</v>
      </c>
      <c r="AA1" t="str">
        <v>LastName</v>
      </c>
      <c r="AB1" t="str">
        <v>PhoneNumber</v>
      </c>
      <c r="AC1" t="str">
        <v>StateProvince</v>
      </c>
      <c r="AD1" t="str">
        <v>Merged</v>
      </c>
      <c r="AE1" t="str">
        <v>company_id</v>
      </c>
    </row>
    <row r="2" spans="1:31" x14ac:dyDescent="0.2">
      <c r="A2"/>
      <c r="B2" s="61"/>
      <c r="C2" s="61"/>
      <c r="F2"/>
      <c r="G2"/>
      <c r="H2"/>
      <c r="J2"/>
      <c r="K2"/>
      <c r="L2"/>
      <c r="M2"/>
      <c r="N2" s="61"/>
      <c r="O2"/>
      <c r="Q2" t="e" cm="1">
        <f t="array" ref="Q2">_xlfn.XLOOKUP(clientCompanyId,customers_table[company_id],customers_table[])</f>
        <v>#REF!</v>
      </c>
    </row>
    <row r="3" spans="1:31" x14ac:dyDescent="0.2">
      <c r="A3"/>
      <c r="B3" s="61"/>
      <c r="C3" s="61"/>
      <c r="F3"/>
      <c r="G3"/>
      <c r="I3"/>
      <c r="L3"/>
      <c r="M3"/>
      <c r="N3" s="61"/>
      <c r="O3"/>
    </row>
    <row r="4" spans="1:31" x14ac:dyDescent="0.2">
      <c r="A4"/>
      <c r="B4" s="61"/>
      <c r="C4" s="61"/>
      <c r="F4"/>
      <c r="G4"/>
      <c r="L4"/>
      <c r="M4"/>
      <c r="N4" s="61"/>
      <c r="O4"/>
    </row>
    <row r="5" spans="1:31" x14ac:dyDescent="0.2">
      <c r="A5"/>
      <c r="B5" s="61"/>
      <c r="C5" s="61"/>
      <c r="F5"/>
      <c r="G5"/>
      <c r="H5"/>
      <c r="J5"/>
      <c r="K5"/>
      <c r="L5"/>
      <c r="M5"/>
      <c r="N5" s="61"/>
      <c r="O5"/>
    </row>
    <row r="6" spans="1:31" x14ac:dyDescent="0.2">
      <c r="A6"/>
      <c r="B6" s="61"/>
      <c r="C6" s="61"/>
      <c r="F6"/>
      <c r="G6"/>
      <c r="L6"/>
      <c r="M6"/>
      <c r="N6" s="61"/>
      <c r="O6"/>
    </row>
    <row r="7" spans="1:31" x14ac:dyDescent="0.2">
      <c r="A7"/>
      <c r="B7" s="61"/>
      <c r="C7" s="61"/>
      <c r="F7"/>
      <c r="G7"/>
      <c r="I7"/>
      <c r="L7"/>
      <c r="M7"/>
      <c r="N7" s="61"/>
      <c r="O7"/>
    </row>
    <row r="8" spans="1:31" x14ac:dyDescent="0.2">
      <c r="A8"/>
      <c r="B8" s="61"/>
      <c r="C8" s="61"/>
      <c r="F8"/>
      <c r="G8"/>
      <c r="I8"/>
      <c r="L8"/>
      <c r="M8"/>
      <c r="N8" s="61"/>
      <c r="O8"/>
    </row>
    <row r="9" spans="1:31" x14ac:dyDescent="0.2">
      <c r="A9"/>
      <c r="B9" s="61"/>
      <c r="C9" s="61"/>
      <c r="F9"/>
      <c r="G9"/>
      <c r="H9"/>
      <c r="I9"/>
      <c r="L9"/>
      <c r="M9"/>
      <c r="N9" s="61"/>
      <c r="O9"/>
    </row>
    <row r="10" spans="1:31" x14ac:dyDescent="0.2">
      <c r="A10"/>
      <c r="B10" s="61"/>
      <c r="C10" s="61"/>
      <c r="F10"/>
      <c r="G10"/>
      <c r="I10"/>
      <c r="L10"/>
      <c r="M10"/>
      <c r="N10" s="61"/>
      <c r="O10"/>
    </row>
    <row r="11" spans="1:31" x14ac:dyDescent="0.2">
      <c r="A11"/>
      <c r="B11" s="61"/>
      <c r="C11" s="61"/>
      <c r="F11"/>
      <c r="G11"/>
      <c r="I11"/>
      <c r="L11"/>
      <c r="M11"/>
      <c r="N11" s="61"/>
      <c r="O11"/>
    </row>
    <row r="12" spans="1:31" x14ac:dyDescent="0.2">
      <c r="A12"/>
      <c r="B12" s="61"/>
      <c r="C12" s="61"/>
      <c r="F12"/>
      <c r="G12"/>
      <c r="I12"/>
      <c r="L12"/>
      <c r="M12"/>
      <c r="N12" s="61"/>
      <c r="O12"/>
    </row>
    <row r="13" spans="1:31" x14ac:dyDescent="0.2">
      <c r="A13"/>
      <c r="B13" s="61"/>
      <c r="C13" s="61"/>
      <c r="F13"/>
      <c r="G13"/>
      <c r="H13"/>
      <c r="I13"/>
      <c r="L13"/>
      <c r="M13"/>
      <c r="N13" s="61"/>
      <c r="O13"/>
    </row>
    <row r="14" spans="1:31" x14ac:dyDescent="0.2">
      <c r="A14"/>
      <c r="B14" s="61"/>
      <c r="C14" s="61"/>
      <c r="F14"/>
      <c r="G14"/>
      <c r="M14"/>
      <c r="N14" s="61"/>
      <c r="O14"/>
    </row>
    <row r="15" spans="1:31" x14ac:dyDescent="0.2">
      <c r="A15"/>
      <c r="B15" s="61"/>
      <c r="C15" s="61"/>
      <c r="F15"/>
      <c r="G15"/>
      <c r="L15"/>
      <c r="M15"/>
      <c r="N15" s="61"/>
      <c r="O15"/>
    </row>
    <row r="16" spans="1:31" x14ac:dyDescent="0.2">
      <c r="A16"/>
      <c r="B16" s="61"/>
      <c r="C16" s="61"/>
      <c r="F16"/>
      <c r="G16"/>
      <c r="M16"/>
      <c r="N16" s="61"/>
      <c r="O16"/>
    </row>
    <row r="17" spans="1:15" x14ac:dyDescent="0.2">
      <c r="A17"/>
      <c r="B17" s="61"/>
      <c r="C17" s="61"/>
      <c r="F17"/>
      <c r="G17"/>
      <c r="I17"/>
      <c r="L17"/>
      <c r="M17"/>
      <c r="N17" s="61"/>
      <c r="O17"/>
    </row>
    <row r="18" spans="1:15" x14ac:dyDescent="0.2">
      <c r="A18"/>
      <c r="B18" s="61"/>
      <c r="C18" s="61"/>
      <c r="F18"/>
      <c r="G18"/>
      <c r="I18"/>
      <c r="L18"/>
      <c r="M18"/>
      <c r="N18" s="61"/>
      <c r="O18"/>
    </row>
    <row r="19" spans="1:15" x14ac:dyDescent="0.2">
      <c r="A19"/>
      <c r="B19" s="61"/>
      <c r="C19" s="61"/>
      <c r="F19"/>
      <c r="G19"/>
      <c r="L19"/>
      <c r="M19"/>
      <c r="N19" s="61"/>
      <c r="O19"/>
    </row>
    <row r="20" spans="1:15" x14ac:dyDescent="0.2">
      <c r="A20"/>
      <c r="B20" s="61"/>
      <c r="C20" s="61"/>
      <c r="F20"/>
      <c r="G20"/>
      <c r="M20"/>
      <c r="N20" s="61"/>
      <c r="O20"/>
    </row>
    <row r="21" spans="1:15" x14ac:dyDescent="0.2">
      <c r="A21"/>
      <c r="B21" s="61"/>
      <c r="C21" s="61"/>
      <c r="F21"/>
      <c r="G21"/>
      <c r="I21"/>
      <c r="L21"/>
      <c r="M21"/>
      <c r="N21" s="61"/>
      <c r="O21"/>
    </row>
    <row r="22" spans="1:15" x14ac:dyDescent="0.2">
      <c r="A22"/>
      <c r="B22" s="61"/>
      <c r="C22" s="61"/>
      <c r="F22"/>
      <c r="G22"/>
      <c r="I22"/>
      <c r="L22"/>
      <c r="M22"/>
      <c r="N22" s="61"/>
      <c r="O22"/>
    </row>
    <row r="23" spans="1:15" x14ac:dyDescent="0.2">
      <c r="A23"/>
      <c r="B23" s="61"/>
      <c r="C23" s="61"/>
      <c r="F23"/>
      <c r="G23"/>
      <c r="J23"/>
      <c r="K23"/>
      <c r="L23"/>
      <c r="M23"/>
      <c r="N23" s="61"/>
      <c r="O23"/>
    </row>
    <row r="24" spans="1:15" x14ac:dyDescent="0.2">
      <c r="A24"/>
      <c r="B24" s="61"/>
      <c r="C24" s="61"/>
      <c r="F24"/>
      <c r="G24"/>
      <c r="I24"/>
      <c r="L24"/>
      <c r="M24"/>
      <c r="N24" s="61"/>
      <c r="O24"/>
    </row>
    <row r="25" spans="1:15" x14ac:dyDescent="0.2">
      <c r="A25"/>
      <c r="B25" s="61"/>
      <c r="C25" s="61"/>
      <c r="F25"/>
      <c r="G25"/>
      <c r="L25"/>
      <c r="M25"/>
      <c r="N25" s="61"/>
      <c r="O25"/>
    </row>
    <row r="26" spans="1:15" x14ac:dyDescent="0.2">
      <c r="A26"/>
      <c r="B26" s="61"/>
      <c r="C26" s="61"/>
      <c r="F26"/>
      <c r="G26"/>
      <c r="I26"/>
      <c r="L26"/>
      <c r="M26"/>
      <c r="N26" s="61"/>
      <c r="O26"/>
    </row>
    <row r="27" spans="1:15" x14ac:dyDescent="0.2">
      <c r="A27"/>
      <c r="B27" s="61"/>
      <c r="C27" s="61"/>
      <c r="F27"/>
      <c r="G27"/>
      <c r="I27"/>
      <c r="L27"/>
      <c r="M27"/>
      <c r="N27" s="61"/>
      <c r="O27"/>
    </row>
    <row r="28" spans="1:15" x14ac:dyDescent="0.2">
      <c r="A28"/>
      <c r="B28" s="61"/>
      <c r="C28" s="61"/>
      <c r="F28"/>
      <c r="G28"/>
      <c r="L28"/>
      <c r="N28" s="61"/>
      <c r="O28"/>
    </row>
    <row r="29" spans="1:15" x14ac:dyDescent="0.2">
      <c r="A29"/>
      <c r="B29" s="61"/>
      <c r="C29" s="61"/>
      <c r="F29"/>
      <c r="G29"/>
      <c r="L29"/>
      <c r="M29"/>
      <c r="N29" s="61"/>
      <c r="O29"/>
    </row>
    <row r="30" spans="1:15" x14ac:dyDescent="0.2">
      <c r="A30"/>
      <c r="B30" s="61"/>
      <c r="C30" s="61"/>
      <c r="F30"/>
      <c r="G30"/>
      <c r="H30"/>
      <c r="I30"/>
      <c r="L30"/>
      <c r="M30"/>
      <c r="N30" s="61"/>
      <c r="O30"/>
    </row>
    <row r="31" spans="1:15" x14ac:dyDescent="0.2">
      <c r="A31"/>
      <c r="B31" s="61"/>
      <c r="C31" s="61"/>
      <c r="F31"/>
      <c r="G31"/>
      <c r="L31"/>
      <c r="M31"/>
      <c r="N31" s="61"/>
      <c r="O31"/>
    </row>
    <row r="32" spans="1:15" x14ac:dyDescent="0.2">
      <c r="A32"/>
      <c r="B32" s="61"/>
      <c r="C32" s="61"/>
      <c r="F32"/>
      <c r="G32"/>
      <c r="I32"/>
      <c r="L32"/>
      <c r="M32"/>
      <c r="N32" s="61"/>
      <c r="O32"/>
    </row>
    <row r="33" spans="1:15" x14ac:dyDescent="0.2">
      <c r="A33"/>
      <c r="B33" s="61"/>
      <c r="C33" s="61"/>
      <c r="F33"/>
      <c r="G33"/>
      <c r="H33"/>
      <c r="I33"/>
      <c r="L33"/>
      <c r="M33"/>
      <c r="N33" s="61"/>
      <c r="O33"/>
    </row>
    <row r="34" spans="1:15" x14ac:dyDescent="0.2">
      <c r="A34"/>
      <c r="B34" s="61"/>
      <c r="C34" s="61"/>
      <c r="F34"/>
      <c r="G34"/>
      <c r="I34"/>
      <c r="L34"/>
      <c r="M34"/>
      <c r="N34" s="61"/>
      <c r="O34"/>
    </row>
    <row r="35" spans="1:15" x14ac:dyDescent="0.2">
      <c r="A35"/>
      <c r="B35" s="61"/>
      <c r="C35" s="61"/>
      <c r="F35"/>
      <c r="G35"/>
      <c r="I35"/>
      <c r="L35"/>
      <c r="M35"/>
      <c r="N35" s="61"/>
      <c r="O35"/>
    </row>
    <row r="36" spans="1:15" x14ac:dyDescent="0.2">
      <c r="A36"/>
      <c r="B36" s="61"/>
      <c r="C36" s="61"/>
      <c r="F36"/>
      <c r="G36"/>
      <c r="I36"/>
      <c r="L36"/>
      <c r="M36"/>
      <c r="N36" s="61"/>
      <c r="O36"/>
    </row>
    <row r="37" spans="1:15" x14ac:dyDescent="0.2">
      <c r="A37"/>
      <c r="B37" s="61"/>
      <c r="C37" s="61"/>
      <c r="F37"/>
      <c r="G37"/>
      <c r="I37"/>
      <c r="L37"/>
      <c r="M37"/>
      <c r="N37" s="61"/>
      <c r="O37"/>
    </row>
    <row r="38" spans="1:15" x14ac:dyDescent="0.2">
      <c r="A38"/>
      <c r="B38" s="61"/>
      <c r="C38" s="61"/>
      <c r="F38"/>
      <c r="G38"/>
      <c r="I38"/>
      <c r="L38"/>
      <c r="M38"/>
      <c r="N38" s="61"/>
      <c r="O38"/>
    </row>
    <row r="39" spans="1:15" x14ac:dyDescent="0.2">
      <c r="A39"/>
      <c r="B39" s="61"/>
      <c r="C39" s="61"/>
      <c r="F39"/>
      <c r="G39"/>
      <c r="I39"/>
      <c r="L39"/>
      <c r="M39"/>
      <c r="N39" s="61"/>
      <c r="O39"/>
    </row>
    <row r="40" spans="1:15" x14ac:dyDescent="0.2">
      <c r="A40"/>
      <c r="B40" s="61"/>
      <c r="C40" s="61"/>
      <c r="F40"/>
      <c r="G40"/>
      <c r="H40"/>
      <c r="I40"/>
      <c r="L40"/>
      <c r="M40"/>
      <c r="N40" s="61"/>
      <c r="O40"/>
    </row>
    <row r="41" spans="1:15" x14ac:dyDescent="0.2">
      <c r="A41"/>
      <c r="B41" s="61"/>
      <c r="C41" s="61"/>
      <c r="F41"/>
      <c r="G41"/>
      <c r="H41"/>
      <c r="I41"/>
      <c r="L41"/>
      <c r="M41"/>
      <c r="N41" s="61"/>
      <c r="O41"/>
    </row>
    <row r="42" spans="1:15" x14ac:dyDescent="0.2">
      <c r="A42"/>
      <c r="B42" s="61"/>
      <c r="C42" s="61"/>
      <c r="F42"/>
      <c r="G42"/>
      <c r="L42"/>
      <c r="M42"/>
      <c r="N42" s="61"/>
      <c r="O42"/>
    </row>
    <row r="43" spans="1:15" x14ac:dyDescent="0.2">
      <c r="A43"/>
      <c r="B43" s="61"/>
      <c r="C43" s="61"/>
      <c r="F43"/>
      <c r="G43"/>
      <c r="I43"/>
      <c r="L43"/>
      <c r="M43"/>
      <c r="N43" s="61"/>
      <c r="O43"/>
    </row>
    <row r="44" spans="1:15" x14ac:dyDescent="0.2">
      <c r="A44"/>
      <c r="B44" s="61"/>
      <c r="C44" s="61"/>
      <c r="F44"/>
      <c r="G44"/>
      <c r="I44"/>
      <c r="L44"/>
      <c r="M44"/>
      <c r="N44" s="61"/>
      <c r="O44"/>
    </row>
    <row r="45" spans="1:15" x14ac:dyDescent="0.2">
      <c r="A45"/>
      <c r="B45" s="61"/>
      <c r="C45" s="61"/>
      <c r="F45"/>
      <c r="G45"/>
      <c r="I45"/>
      <c r="L45"/>
      <c r="M45"/>
      <c r="N45" s="61"/>
      <c r="O45"/>
    </row>
    <row r="46" spans="1:15" x14ac:dyDescent="0.2">
      <c r="A46"/>
      <c r="B46" s="61"/>
      <c r="C46" s="61"/>
      <c r="F46"/>
      <c r="G46"/>
      <c r="H46"/>
      <c r="I46"/>
      <c r="L46"/>
      <c r="M46"/>
      <c r="N46" s="61"/>
      <c r="O46"/>
    </row>
    <row r="47" spans="1:15" x14ac:dyDescent="0.2">
      <c r="A47"/>
      <c r="B47" s="61"/>
      <c r="C47" s="61"/>
      <c r="F47"/>
      <c r="G47"/>
      <c r="L47"/>
      <c r="M47"/>
      <c r="N47" s="61"/>
      <c r="O47"/>
    </row>
    <row r="48" spans="1:15" x14ac:dyDescent="0.2">
      <c r="A48"/>
      <c r="B48" s="61"/>
      <c r="C48" s="61"/>
      <c r="F48"/>
      <c r="G48"/>
      <c r="I48"/>
      <c r="L48"/>
      <c r="M48"/>
      <c r="N48" s="61"/>
      <c r="O48"/>
    </row>
    <row r="49" spans="1:15" x14ac:dyDescent="0.2">
      <c r="A49"/>
      <c r="B49" s="61"/>
      <c r="C49" s="61"/>
      <c r="F49"/>
      <c r="G49"/>
      <c r="H49"/>
      <c r="I49"/>
      <c r="L49"/>
      <c r="M49"/>
      <c r="N49" s="61"/>
      <c r="O49"/>
    </row>
    <row r="50" spans="1:15" x14ac:dyDescent="0.2">
      <c r="A50"/>
      <c r="B50" s="61"/>
      <c r="C50" s="61"/>
      <c r="F50"/>
      <c r="G50"/>
      <c r="L50"/>
      <c r="M50"/>
      <c r="N50" s="61"/>
      <c r="O50"/>
    </row>
    <row r="51" spans="1:15" x14ac:dyDescent="0.2">
      <c r="A51"/>
      <c r="B51" s="61"/>
      <c r="C51" s="61"/>
      <c r="F51"/>
      <c r="G51"/>
      <c r="H51"/>
      <c r="J51"/>
      <c r="K51"/>
      <c r="L51"/>
      <c r="M51"/>
      <c r="N51" s="61"/>
      <c r="O51"/>
    </row>
    <row r="52" spans="1:15" x14ac:dyDescent="0.2">
      <c r="A52"/>
      <c r="B52" s="61"/>
      <c r="C52" s="61"/>
      <c r="F52"/>
      <c r="G52"/>
      <c r="H52"/>
      <c r="I52"/>
      <c r="L52"/>
      <c r="M52"/>
      <c r="N52" s="61"/>
      <c r="O52"/>
    </row>
    <row r="53" spans="1:15" x14ac:dyDescent="0.2">
      <c r="A53"/>
      <c r="B53" s="61"/>
      <c r="C53" s="61"/>
      <c r="F53"/>
      <c r="G53"/>
      <c r="L53"/>
      <c r="M53"/>
      <c r="N53" s="61"/>
      <c r="O53"/>
    </row>
    <row r="54" spans="1:15" x14ac:dyDescent="0.2">
      <c r="A54"/>
      <c r="B54" s="61"/>
      <c r="C54" s="61"/>
      <c r="F54"/>
      <c r="G54"/>
      <c r="L54"/>
      <c r="M54"/>
      <c r="N54" s="61"/>
      <c r="O54"/>
    </row>
    <row r="55" spans="1:15" x14ac:dyDescent="0.2">
      <c r="A55"/>
      <c r="B55" s="61"/>
      <c r="C55" s="61"/>
      <c r="F55"/>
      <c r="G55"/>
      <c r="I55"/>
      <c r="L55"/>
      <c r="M55"/>
      <c r="N55" s="61"/>
      <c r="O55"/>
    </row>
    <row r="56" spans="1:15" x14ac:dyDescent="0.2">
      <c r="A56"/>
      <c r="B56" s="61"/>
      <c r="C56" s="61"/>
      <c r="F56"/>
      <c r="G56"/>
      <c r="H56"/>
      <c r="I56"/>
      <c r="L56"/>
      <c r="N56" s="61"/>
      <c r="O56"/>
    </row>
    <row r="57" spans="1:15" x14ac:dyDescent="0.2">
      <c r="A57"/>
      <c r="B57" s="61"/>
      <c r="C57" s="61"/>
      <c r="F57"/>
      <c r="G57"/>
      <c r="M57"/>
      <c r="N57" s="61"/>
      <c r="O57"/>
    </row>
    <row r="58" spans="1:15" x14ac:dyDescent="0.2">
      <c r="A58"/>
      <c r="B58" s="61"/>
      <c r="C58" s="61"/>
      <c r="F58"/>
      <c r="G58"/>
      <c r="I58"/>
      <c r="L58"/>
      <c r="M58"/>
      <c r="N58" s="61"/>
      <c r="O58"/>
    </row>
    <row r="59" spans="1:15" x14ac:dyDescent="0.2">
      <c r="A59"/>
      <c r="B59" s="61"/>
      <c r="C59" s="61"/>
      <c r="F59"/>
      <c r="G59"/>
      <c r="H59"/>
      <c r="I59"/>
      <c r="L59"/>
      <c r="N59" s="61"/>
      <c r="O59"/>
    </row>
    <row r="60" spans="1:15" x14ac:dyDescent="0.2">
      <c r="A60"/>
      <c r="B60" s="61"/>
      <c r="C60" s="61"/>
      <c r="F60"/>
      <c r="G60"/>
      <c r="I60"/>
      <c r="L60"/>
      <c r="M60"/>
      <c r="N60" s="61"/>
      <c r="O60"/>
    </row>
    <row r="61" spans="1:15" x14ac:dyDescent="0.2">
      <c r="A61"/>
      <c r="B61" s="61"/>
      <c r="C61" s="61"/>
      <c r="F61"/>
      <c r="G61"/>
      <c r="I61"/>
      <c r="L61"/>
      <c r="N61" s="61"/>
      <c r="O61"/>
    </row>
    <row r="62" spans="1:15" x14ac:dyDescent="0.2">
      <c r="A62"/>
      <c r="B62" s="61"/>
      <c r="C62" s="61"/>
      <c r="F62"/>
      <c r="G62"/>
      <c r="I62"/>
      <c r="L62"/>
      <c r="M62"/>
      <c r="N62" s="61"/>
      <c r="O62"/>
    </row>
    <row r="63" spans="1:15" x14ac:dyDescent="0.2">
      <c r="A63"/>
      <c r="B63" s="61"/>
      <c r="C63" s="61"/>
      <c r="F63"/>
      <c r="G63"/>
      <c r="H63"/>
      <c r="I63"/>
      <c r="L63"/>
      <c r="M63"/>
      <c r="N63" s="61"/>
      <c r="O63"/>
    </row>
    <row r="64" spans="1:15" x14ac:dyDescent="0.2">
      <c r="A64"/>
      <c r="B64" s="61"/>
      <c r="C64" s="61"/>
      <c r="F64"/>
      <c r="G64"/>
      <c r="H64"/>
      <c r="I64"/>
      <c r="L64"/>
      <c r="N64" s="61"/>
      <c r="O64"/>
    </row>
    <row r="65" spans="1:15" x14ac:dyDescent="0.2">
      <c r="A65"/>
      <c r="B65" s="61"/>
      <c r="C65" s="61"/>
      <c r="F65"/>
      <c r="G65"/>
      <c r="I65"/>
      <c r="L65"/>
      <c r="M65"/>
      <c r="N65" s="61"/>
      <c r="O65"/>
    </row>
    <row r="66" spans="1:15" x14ac:dyDescent="0.2">
      <c r="A66"/>
      <c r="B66" s="61"/>
      <c r="C66" s="61"/>
      <c r="F66"/>
      <c r="G66"/>
      <c r="I66"/>
      <c r="L66"/>
      <c r="M66"/>
      <c r="N66" s="61"/>
      <c r="O66"/>
    </row>
    <row r="67" spans="1:15" x14ac:dyDescent="0.2">
      <c r="A67"/>
      <c r="B67" s="61"/>
      <c r="C67" s="61"/>
      <c r="F67"/>
      <c r="G67"/>
      <c r="H67"/>
      <c r="I67"/>
      <c r="L67"/>
      <c r="N67" s="61"/>
      <c r="O67"/>
    </row>
    <row r="68" spans="1:15" x14ac:dyDescent="0.2">
      <c r="A68"/>
      <c r="B68" s="61"/>
      <c r="C68" s="61"/>
      <c r="F68"/>
      <c r="G68"/>
      <c r="I68"/>
      <c r="L68"/>
      <c r="M68"/>
      <c r="N68" s="61"/>
      <c r="O68"/>
    </row>
    <row r="69" spans="1:15" x14ac:dyDescent="0.2">
      <c r="A69"/>
      <c r="B69" s="61"/>
      <c r="C69" s="61"/>
      <c r="F69"/>
      <c r="G69"/>
      <c r="H69"/>
      <c r="I69"/>
      <c r="L69"/>
      <c r="N69" s="61"/>
      <c r="O69"/>
    </row>
    <row r="70" spans="1:15" x14ac:dyDescent="0.2">
      <c r="A70"/>
      <c r="B70" s="61"/>
      <c r="C70" s="61"/>
      <c r="F70"/>
      <c r="G70"/>
      <c r="I70"/>
      <c r="L70"/>
      <c r="M70"/>
      <c r="N70" s="61"/>
      <c r="O70"/>
    </row>
    <row r="71" spans="1:15" x14ac:dyDescent="0.2">
      <c r="A71"/>
      <c r="B71" s="61"/>
      <c r="C71" s="61"/>
      <c r="F71"/>
      <c r="G71"/>
      <c r="L71"/>
      <c r="M71"/>
      <c r="N71" s="61"/>
      <c r="O71"/>
    </row>
    <row r="72" spans="1:15" x14ac:dyDescent="0.2">
      <c r="A72"/>
      <c r="B72" s="61"/>
      <c r="C72" s="61"/>
      <c r="F72"/>
      <c r="G72"/>
      <c r="L72"/>
      <c r="M72"/>
      <c r="N72" s="61"/>
      <c r="O72"/>
    </row>
    <row r="73" spans="1:15" x14ac:dyDescent="0.2">
      <c r="A73"/>
      <c r="B73" s="61"/>
      <c r="C73" s="61"/>
      <c r="F73"/>
      <c r="G73"/>
      <c r="L73"/>
      <c r="M73"/>
      <c r="N73" s="61"/>
      <c r="O73"/>
    </row>
    <row r="74" spans="1:15" x14ac:dyDescent="0.2">
      <c r="A74"/>
      <c r="B74" s="61"/>
      <c r="C74" s="61"/>
      <c r="F74"/>
      <c r="G74"/>
      <c r="I74"/>
      <c r="L74"/>
      <c r="M74"/>
      <c r="N74" s="61"/>
      <c r="O74"/>
    </row>
    <row r="75" spans="1:15" x14ac:dyDescent="0.2">
      <c r="A75"/>
      <c r="B75" s="61"/>
      <c r="C75" s="61"/>
      <c r="F75"/>
      <c r="G75"/>
      <c r="I75"/>
      <c r="L75"/>
      <c r="M75"/>
      <c r="N75" s="61"/>
      <c r="O75"/>
    </row>
    <row r="76" spans="1:15" x14ac:dyDescent="0.2">
      <c r="A76"/>
      <c r="B76" s="61"/>
      <c r="C76" s="61"/>
      <c r="F76"/>
      <c r="G76"/>
      <c r="I76"/>
      <c r="L76"/>
      <c r="M76"/>
      <c r="N76" s="61"/>
      <c r="O76"/>
    </row>
    <row r="77" spans="1:15" x14ac:dyDescent="0.2">
      <c r="A77"/>
      <c r="B77" s="61"/>
      <c r="C77" s="61"/>
      <c r="F77"/>
      <c r="G77"/>
      <c r="I77"/>
      <c r="L77"/>
      <c r="M77"/>
      <c r="N77" s="61"/>
      <c r="O77"/>
    </row>
    <row r="78" spans="1:15" x14ac:dyDescent="0.2">
      <c r="A78"/>
      <c r="B78" s="61"/>
      <c r="C78" s="61"/>
      <c r="F78"/>
      <c r="G78"/>
      <c r="M78"/>
      <c r="N78" s="61"/>
      <c r="O78"/>
    </row>
    <row r="79" spans="1:15" x14ac:dyDescent="0.2">
      <c r="A79"/>
      <c r="B79" s="61"/>
      <c r="C79" s="61"/>
      <c r="F79"/>
      <c r="G79"/>
      <c r="I79"/>
      <c r="L79"/>
      <c r="M79"/>
      <c r="N79" s="61"/>
      <c r="O79"/>
    </row>
    <row r="80" spans="1:15" x14ac:dyDescent="0.2">
      <c r="A80"/>
      <c r="B80" s="61"/>
      <c r="C80" s="61"/>
      <c r="F80"/>
      <c r="G80"/>
      <c r="I80"/>
      <c r="L80"/>
      <c r="M80"/>
      <c r="N80" s="61"/>
      <c r="O80"/>
    </row>
    <row r="81" spans="1:15" x14ac:dyDescent="0.2">
      <c r="A81"/>
      <c r="B81" s="61"/>
      <c r="C81" s="61"/>
      <c r="F81"/>
      <c r="G81"/>
      <c r="H81"/>
      <c r="I81"/>
      <c r="L81"/>
      <c r="N81" s="61"/>
      <c r="O81"/>
    </row>
    <row r="82" spans="1:15" x14ac:dyDescent="0.2">
      <c r="A82"/>
      <c r="B82" s="61"/>
      <c r="C82" s="61"/>
      <c r="F82"/>
      <c r="G82"/>
      <c r="H82"/>
      <c r="J82"/>
      <c r="K82"/>
      <c r="L82"/>
      <c r="M82"/>
      <c r="N82" s="61"/>
      <c r="O82"/>
    </row>
    <row r="83" spans="1:15" x14ac:dyDescent="0.2">
      <c r="A83"/>
      <c r="B83" s="61"/>
      <c r="C83" s="61"/>
      <c r="F83"/>
      <c r="G83"/>
      <c r="H83"/>
      <c r="I83"/>
      <c r="L83"/>
      <c r="N83" s="61"/>
      <c r="O83"/>
    </row>
    <row r="84" spans="1:15" x14ac:dyDescent="0.2">
      <c r="A84"/>
      <c r="B84" s="61"/>
      <c r="C84" s="61"/>
      <c r="F84"/>
      <c r="G84"/>
      <c r="I84"/>
      <c r="J84"/>
      <c r="K84"/>
      <c r="L84"/>
      <c r="M84"/>
      <c r="N84" s="61"/>
      <c r="O84"/>
    </row>
    <row r="85" spans="1:15" x14ac:dyDescent="0.2">
      <c r="A85"/>
      <c r="B85" s="61"/>
      <c r="C85" s="61"/>
      <c r="F85"/>
      <c r="G85"/>
      <c r="I85"/>
      <c r="L85"/>
      <c r="M85"/>
      <c r="N85" s="61"/>
      <c r="O85"/>
    </row>
    <row r="86" spans="1:15" x14ac:dyDescent="0.2">
      <c r="A86"/>
      <c r="B86" s="61"/>
      <c r="C86" s="61"/>
      <c r="F86"/>
      <c r="G86"/>
      <c r="I86"/>
      <c r="L86"/>
      <c r="M86"/>
      <c r="N86" s="61"/>
      <c r="O86"/>
    </row>
    <row r="87" spans="1:15" x14ac:dyDescent="0.2">
      <c r="A87"/>
      <c r="B87" s="61"/>
      <c r="C87" s="61"/>
      <c r="F87"/>
      <c r="G87"/>
      <c r="I87"/>
      <c r="L87"/>
      <c r="M87"/>
      <c r="N87" s="61"/>
      <c r="O87"/>
    </row>
    <row r="88" spans="1:15" x14ac:dyDescent="0.2">
      <c r="A88"/>
      <c r="B88" s="61"/>
      <c r="C88" s="61"/>
      <c r="F88"/>
      <c r="G88"/>
      <c r="I88"/>
      <c r="J88"/>
      <c r="K88"/>
      <c r="L88"/>
      <c r="M88"/>
      <c r="N88" s="61"/>
      <c r="O88"/>
    </row>
    <row r="89" spans="1:15" x14ac:dyDescent="0.2">
      <c r="A89"/>
      <c r="B89" s="61"/>
      <c r="C89" s="61"/>
      <c r="F89"/>
      <c r="G89"/>
      <c r="I89"/>
      <c r="L89"/>
      <c r="M89"/>
      <c r="N89" s="61"/>
      <c r="O89"/>
    </row>
    <row r="90" spans="1:15" x14ac:dyDescent="0.2">
      <c r="A90"/>
      <c r="B90" s="61"/>
      <c r="C90" s="61"/>
      <c r="F90"/>
      <c r="G90"/>
      <c r="I90"/>
      <c r="L90"/>
      <c r="M90"/>
      <c r="N90" s="61"/>
      <c r="O90"/>
    </row>
    <row r="91" spans="1:15" x14ac:dyDescent="0.2">
      <c r="A91"/>
      <c r="B91" s="61"/>
      <c r="C91" s="61"/>
      <c r="F91"/>
      <c r="G91"/>
      <c r="L91"/>
      <c r="M91"/>
      <c r="N91" s="61"/>
      <c r="O91"/>
    </row>
    <row r="92" spans="1:15" x14ac:dyDescent="0.2">
      <c r="A92"/>
      <c r="B92" s="61"/>
      <c r="C92" s="61"/>
      <c r="F92"/>
      <c r="G92"/>
      <c r="I92"/>
      <c r="J92"/>
      <c r="L92"/>
      <c r="M92"/>
      <c r="N92" s="61"/>
      <c r="O92"/>
    </row>
    <row r="93" spans="1:15" x14ac:dyDescent="0.2">
      <c r="A93"/>
      <c r="B93" s="61"/>
      <c r="C93" s="61"/>
      <c r="F93"/>
      <c r="G93"/>
      <c r="I93"/>
      <c r="L93"/>
      <c r="M93"/>
      <c r="N93" s="61"/>
      <c r="O93"/>
    </row>
    <row r="94" spans="1:15" x14ac:dyDescent="0.2">
      <c r="A94"/>
      <c r="B94" s="61"/>
      <c r="C94" s="61"/>
      <c r="F94"/>
      <c r="G94"/>
      <c r="I94"/>
      <c r="L94"/>
      <c r="M94"/>
      <c r="N94" s="61"/>
      <c r="O94"/>
    </row>
    <row r="95" spans="1:15" x14ac:dyDescent="0.2">
      <c r="A95"/>
      <c r="B95" s="61"/>
      <c r="C95" s="61"/>
      <c r="F95"/>
      <c r="G95"/>
      <c r="I95"/>
      <c r="L95"/>
      <c r="M95"/>
      <c r="N95" s="61"/>
      <c r="O95"/>
    </row>
    <row r="96" spans="1:15" x14ac:dyDescent="0.2">
      <c r="A96"/>
      <c r="B96" s="61"/>
      <c r="C96" s="61"/>
      <c r="F96"/>
      <c r="G96"/>
      <c r="N96" s="61"/>
      <c r="O96"/>
    </row>
    <row r="97" spans="1:15" x14ac:dyDescent="0.2">
      <c r="A97"/>
      <c r="B97" s="61"/>
      <c r="C97" s="61"/>
      <c r="F97"/>
      <c r="G97"/>
      <c r="L97"/>
      <c r="M97"/>
      <c r="N97" s="61"/>
      <c r="O97"/>
    </row>
    <row r="98" spans="1:15" x14ac:dyDescent="0.2">
      <c r="A98"/>
      <c r="B98" s="61"/>
      <c r="C98" s="61"/>
      <c r="F98"/>
      <c r="G98"/>
      <c r="L98"/>
      <c r="M98"/>
      <c r="N98" s="61"/>
      <c r="O98"/>
    </row>
    <row r="99" spans="1:15" x14ac:dyDescent="0.2">
      <c r="A99"/>
      <c r="B99" s="61"/>
      <c r="C99" s="61"/>
      <c r="F99"/>
      <c r="G99"/>
      <c r="I99"/>
      <c r="L99"/>
      <c r="M99"/>
      <c r="N99" s="61"/>
      <c r="O99"/>
    </row>
    <row r="100" spans="1:15" x14ac:dyDescent="0.2">
      <c r="A100"/>
      <c r="B100" s="61"/>
      <c r="C100" s="61"/>
      <c r="F100"/>
      <c r="G100"/>
      <c r="I100"/>
      <c r="L100"/>
      <c r="M100"/>
      <c r="N100" s="61"/>
      <c r="O100"/>
    </row>
    <row r="101" spans="1:15" x14ac:dyDescent="0.2">
      <c r="A101"/>
      <c r="B101" s="61"/>
      <c r="C101" s="61"/>
      <c r="F101"/>
      <c r="G101"/>
      <c r="I101"/>
      <c r="L101"/>
      <c r="M101"/>
      <c r="N101" s="61"/>
      <c r="O101"/>
    </row>
    <row r="102" spans="1:15" x14ac:dyDescent="0.2">
      <c r="A102"/>
      <c r="B102" s="61"/>
      <c r="C102" s="61"/>
      <c r="F102"/>
      <c r="G102"/>
      <c r="I102"/>
      <c r="L102"/>
      <c r="M102"/>
      <c r="N102" s="61"/>
      <c r="O102"/>
    </row>
    <row r="103" spans="1:15" x14ac:dyDescent="0.2">
      <c r="A103"/>
      <c r="B103" s="61"/>
      <c r="C103" s="61"/>
      <c r="F103"/>
      <c r="G103"/>
      <c r="L103"/>
      <c r="M103"/>
      <c r="N103" s="61"/>
      <c r="O103"/>
    </row>
    <row r="104" spans="1:15" x14ac:dyDescent="0.2">
      <c r="A104"/>
      <c r="B104" s="61"/>
      <c r="C104" s="61"/>
      <c r="F104"/>
      <c r="G104"/>
      <c r="L104"/>
      <c r="M104"/>
      <c r="N104" s="61"/>
      <c r="O104"/>
    </row>
    <row r="105" spans="1:15" x14ac:dyDescent="0.2">
      <c r="A105"/>
      <c r="B105" s="61"/>
      <c r="C105" s="61"/>
      <c r="F105"/>
      <c r="G105"/>
      <c r="H105"/>
      <c r="J105"/>
      <c r="K105"/>
      <c r="L105"/>
      <c r="M105"/>
      <c r="N105" s="61"/>
      <c r="O105"/>
    </row>
    <row r="106" spans="1:15" x14ac:dyDescent="0.2">
      <c r="A106"/>
      <c r="B106" s="61"/>
      <c r="C106" s="61"/>
      <c r="F106"/>
      <c r="G106"/>
      <c r="L106"/>
      <c r="M106"/>
      <c r="N106" s="61"/>
      <c r="O106"/>
    </row>
    <row r="107" spans="1:15" x14ac:dyDescent="0.2">
      <c r="A107"/>
      <c r="B107" s="61"/>
      <c r="C107" s="61"/>
      <c r="F107"/>
      <c r="G107"/>
      <c r="I107"/>
      <c r="L107"/>
      <c r="M107"/>
      <c r="N107" s="61"/>
      <c r="O107"/>
    </row>
    <row r="108" spans="1:15" x14ac:dyDescent="0.2">
      <c r="A108"/>
      <c r="B108" s="61"/>
      <c r="C108" s="61"/>
      <c r="F108"/>
      <c r="G108"/>
      <c r="I108"/>
      <c r="L108"/>
      <c r="M108"/>
      <c r="N108" s="61"/>
      <c r="O108"/>
    </row>
    <row r="109" spans="1:15" x14ac:dyDescent="0.2">
      <c r="A109"/>
      <c r="B109" s="61"/>
      <c r="C109" s="61"/>
      <c r="F109"/>
      <c r="G109"/>
      <c r="L109"/>
      <c r="M109"/>
      <c r="N109" s="61"/>
      <c r="O109"/>
    </row>
    <row r="110" spans="1:15" x14ac:dyDescent="0.2">
      <c r="A110"/>
      <c r="B110" s="61"/>
      <c r="C110" s="61"/>
      <c r="F110"/>
      <c r="G110"/>
      <c r="M110"/>
      <c r="N110" s="61"/>
      <c r="O110"/>
    </row>
    <row r="111" spans="1:15" x14ac:dyDescent="0.2">
      <c r="A111"/>
      <c r="B111" s="61"/>
      <c r="C111" s="61"/>
      <c r="F111"/>
      <c r="G111"/>
      <c r="I111"/>
      <c r="L111"/>
      <c r="M111"/>
      <c r="N111" s="61"/>
      <c r="O111"/>
    </row>
    <row r="112" spans="1:15" x14ac:dyDescent="0.2">
      <c r="A112"/>
      <c r="B112" s="61"/>
      <c r="C112" s="61"/>
      <c r="F112"/>
      <c r="G112"/>
      <c r="L112"/>
      <c r="M112"/>
      <c r="N112" s="61"/>
      <c r="O112"/>
    </row>
    <row r="113" spans="1:15" x14ac:dyDescent="0.2">
      <c r="A113"/>
      <c r="B113" s="61"/>
      <c r="C113" s="61"/>
      <c r="F113"/>
      <c r="G113"/>
      <c r="I113"/>
      <c r="L113"/>
      <c r="M113"/>
      <c r="N113" s="61"/>
      <c r="O113"/>
    </row>
    <row r="114" spans="1:15" x14ac:dyDescent="0.2">
      <c r="A114"/>
      <c r="B114" s="61"/>
      <c r="C114" s="61"/>
      <c r="F114"/>
      <c r="G114"/>
      <c r="I114"/>
      <c r="L114"/>
      <c r="M114"/>
      <c r="N114" s="61"/>
      <c r="O114"/>
    </row>
    <row r="115" spans="1:15" x14ac:dyDescent="0.2">
      <c r="A115"/>
      <c r="B115" s="61"/>
      <c r="C115" s="61"/>
      <c r="F115"/>
      <c r="G115"/>
      <c r="L115"/>
      <c r="M115"/>
      <c r="N115" s="61"/>
      <c r="O115"/>
    </row>
    <row r="116" spans="1:15" x14ac:dyDescent="0.2">
      <c r="A116"/>
      <c r="B116" s="61"/>
      <c r="C116" s="61"/>
      <c r="F116"/>
      <c r="G116"/>
      <c r="I116"/>
      <c r="L116"/>
      <c r="M116"/>
      <c r="N116" s="61"/>
      <c r="O116"/>
    </row>
    <row r="117" spans="1:15" x14ac:dyDescent="0.2">
      <c r="A117"/>
      <c r="B117" s="61"/>
      <c r="C117" s="61"/>
      <c r="F117"/>
      <c r="G117"/>
      <c r="H117"/>
      <c r="I117"/>
      <c r="L117"/>
      <c r="N117" s="61"/>
      <c r="O117"/>
    </row>
    <row r="118" spans="1:15" x14ac:dyDescent="0.2">
      <c r="A118"/>
      <c r="B118" s="61"/>
      <c r="C118" s="61"/>
      <c r="F118"/>
      <c r="G118"/>
      <c r="L118"/>
      <c r="M118"/>
      <c r="N118" s="61"/>
      <c r="O118"/>
    </row>
    <row r="119" spans="1:15" x14ac:dyDescent="0.2">
      <c r="A119"/>
      <c r="B119" s="61"/>
      <c r="C119" s="61"/>
      <c r="F119"/>
      <c r="G119"/>
      <c r="L119"/>
      <c r="M119"/>
      <c r="N119" s="61"/>
      <c r="O119"/>
    </row>
    <row r="120" spans="1:15" x14ac:dyDescent="0.2">
      <c r="A120"/>
      <c r="B120" s="61"/>
      <c r="C120" s="61"/>
      <c r="F120"/>
      <c r="G120"/>
      <c r="H120"/>
      <c r="I120"/>
      <c r="L120"/>
      <c r="N120" s="61"/>
      <c r="O120"/>
    </row>
    <row r="121" spans="1:15" x14ac:dyDescent="0.2">
      <c r="A121"/>
      <c r="B121" s="61"/>
      <c r="C121" s="61"/>
      <c r="F121"/>
      <c r="G121"/>
      <c r="H121"/>
      <c r="J121"/>
      <c r="K121"/>
      <c r="L121"/>
      <c r="M121"/>
      <c r="N121" s="61"/>
      <c r="O121"/>
    </row>
    <row r="122" spans="1:15" x14ac:dyDescent="0.2">
      <c r="A122"/>
      <c r="B122" s="61"/>
      <c r="C122" s="61"/>
      <c r="F122"/>
      <c r="G122"/>
      <c r="I122"/>
      <c r="L122"/>
      <c r="M122"/>
      <c r="N122" s="61"/>
      <c r="O122"/>
    </row>
    <row r="123" spans="1:15" x14ac:dyDescent="0.2">
      <c r="A123"/>
      <c r="B123" s="61"/>
      <c r="C123" s="61"/>
      <c r="F123"/>
      <c r="G123"/>
      <c r="H123"/>
      <c r="I123"/>
      <c r="L123"/>
      <c r="N123" s="61"/>
      <c r="O123"/>
    </row>
    <row r="124" spans="1:15" x14ac:dyDescent="0.2">
      <c r="A124"/>
      <c r="B124" s="61"/>
      <c r="C124" s="61"/>
      <c r="F124"/>
      <c r="G124"/>
      <c r="I124"/>
      <c r="L124"/>
      <c r="M124"/>
      <c r="N124" s="61"/>
      <c r="O124"/>
    </row>
    <row r="125" spans="1:15" x14ac:dyDescent="0.2">
      <c r="A125"/>
      <c r="B125" s="61"/>
      <c r="C125" s="61"/>
      <c r="F125"/>
      <c r="G125"/>
      <c r="I125"/>
      <c r="L125"/>
      <c r="M125"/>
      <c r="N125" s="61"/>
      <c r="O125"/>
    </row>
    <row r="126" spans="1:15" x14ac:dyDescent="0.2">
      <c r="A126"/>
      <c r="B126" s="61"/>
      <c r="C126" s="61"/>
      <c r="F126"/>
      <c r="G126"/>
      <c r="I126"/>
      <c r="L126"/>
      <c r="M126"/>
      <c r="N126" s="61"/>
      <c r="O126"/>
    </row>
    <row r="127" spans="1:15" x14ac:dyDescent="0.2">
      <c r="A127"/>
      <c r="B127" s="61"/>
      <c r="C127" s="61"/>
      <c r="F127"/>
      <c r="G127"/>
      <c r="I127"/>
      <c r="L127"/>
      <c r="M127"/>
      <c r="N127" s="61"/>
      <c r="O127"/>
    </row>
    <row r="128" spans="1:15" x14ac:dyDescent="0.2">
      <c r="A128"/>
      <c r="B128" s="61"/>
      <c r="C128" s="61"/>
      <c r="F128"/>
      <c r="G128"/>
      <c r="I128"/>
      <c r="L128"/>
      <c r="M128"/>
      <c r="N128" s="61"/>
      <c r="O128"/>
    </row>
    <row r="129" spans="1:15" x14ac:dyDescent="0.2">
      <c r="A129"/>
      <c r="B129" s="61"/>
      <c r="C129" s="61"/>
      <c r="F129"/>
      <c r="G129"/>
      <c r="L129"/>
      <c r="M129"/>
      <c r="N129" s="61"/>
      <c r="O129"/>
    </row>
    <row r="130" spans="1:15" x14ac:dyDescent="0.2">
      <c r="A130"/>
      <c r="B130" s="61"/>
      <c r="C130" s="61"/>
      <c r="F130"/>
      <c r="G130"/>
      <c r="I130"/>
      <c r="L130"/>
      <c r="M130"/>
      <c r="N130" s="61"/>
      <c r="O130"/>
    </row>
    <row r="131" spans="1:15" x14ac:dyDescent="0.2">
      <c r="A131"/>
      <c r="B131" s="61"/>
      <c r="C131" s="61"/>
      <c r="F131"/>
      <c r="G131"/>
      <c r="I131"/>
      <c r="L131"/>
      <c r="M131"/>
      <c r="N131" s="61"/>
      <c r="O131"/>
    </row>
    <row r="132" spans="1:15" x14ac:dyDescent="0.2">
      <c r="A132"/>
      <c r="B132" s="61"/>
      <c r="C132" s="61"/>
      <c r="F132"/>
      <c r="G132"/>
      <c r="I132"/>
      <c r="L132"/>
      <c r="M132"/>
      <c r="N132" s="61"/>
      <c r="O132"/>
    </row>
    <row r="133" spans="1:15" x14ac:dyDescent="0.2">
      <c r="A133"/>
      <c r="B133" s="61"/>
      <c r="C133" s="61"/>
      <c r="F133"/>
      <c r="G133"/>
      <c r="M133"/>
      <c r="N133" s="61"/>
      <c r="O133"/>
    </row>
    <row r="134" spans="1:15" x14ac:dyDescent="0.2">
      <c r="A134"/>
      <c r="B134" s="61"/>
      <c r="C134" s="61"/>
      <c r="F134"/>
      <c r="G134"/>
      <c r="L134"/>
      <c r="M134"/>
      <c r="N134" s="61"/>
      <c r="O134"/>
    </row>
    <row r="135" spans="1:15" x14ac:dyDescent="0.2">
      <c r="A135"/>
      <c r="B135" s="61"/>
      <c r="C135" s="61"/>
      <c r="F135"/>
      <c r="G135"/>
      <c r="I135"/>
      <c r="L135"/>
      <c r="M135"/>
      <c r="N135" s="61"/>
      <c r="O135"/>
    </row>
    <row r="136" spans="1:15" x14ac:dyDescent="0.2">
      <c r="A136"/>
      <c r="B136" s="61"/>
      <c r="C136" s="61"/>
      <c r="F136"/>
      <c r="G136"/>
      <c r="I136"/>
      <c r="L136"/>
      <c r="M136"/>
      <c r="N136" s="61"/>
      <c r="O136"/>
    </row>
    <row r="137" spans="1:15" x14ac:dyDescent="0.2">
      <c r="A137"/>
      <c r="B137" s="61"/>
      <c r="C137" s="61"/>
      <c r="F137"/>
      <c r="G137"/>
      <c r="L137"/>
      <c r="M137"/>
      <c r="N137" s="61"/>
      <c r="O137"/>
    </row>
    <row r="138" spans="1:15" x14ac:dyDescent="0.2">
      <c r="A138"/>
      <c r="B138" s="61"/>
      <c r="C138" s="61"/>
      <c r="F138"/>
      <c r="G138"/>
      <c r="J138"/>
      <c r="K138"/>
      <c r="L138"/>
      <c r="M138"/>
      <c r="N138" s="61"/>
      <c r="O138"/>
    </row>
    <row r="139" spans="1:15" x14ac:dyDescent="0.2">
      <c r="A139"/>
      <c r="B139" s="61"/>
      <c r="C139" s="61"/>
      <c r="F139"/>
      <c r="G139"/>
      <c r="H139"/>
      <c r="J139"/>
      <c r="K139"/>
      <c r="L139"/>
      <c r="M139"/>
      <c r="N139" s="61"/>
      <c r="O139"/>
    </row>
    <row r="140" spans="1:15" x14ac:dyDescent="0.2">
      <c r="A140"/>
      <c r="B140" s="61"/>
      <c r="C140" s="61"/>
      <c r="F140"/>
      <c r="G140"/>
      <c r="H140"/>
      <c r="J140"/>
      <c r="K140"/>
      <c r="L140"/>
      <c r="M140"/>
      <c r="N140" s="61"/>
      <c r="O140"/>
    </row>
    <row r="141" spans="1:15" x14ac:dyDescent="0.2">
      <c r="A141"/>
      <c r="B141" s="61"/>
      <c r="C141" s="61"/>
      <c r="F141"/>
      <c r="G141"/>
      <c r="L141"/>
      <c r="M141"/>
      <c r="N141" s="61"/>
      <c r="O141"/>
    </row>
    <row r="142" spans="1:15" x14ac:dyDescent="0.2">
      <c r="A142"/>
      <c r="B142" s="61"/>
      <c r="C142" s="61"/>
      <c r="F142"/>
      <c r="G142"/>
      <c r="H142"/>
      <c r="J142"/>
      <c r="K142"/>
      <c r="L142"/>
      <c r="M142"/>
      <c r="N142" s="61"/>
      <c r="O142"/>
    </row>
    <row r="143" spans="1:15" x14ac:dyDescent="0.2">
      <c r="A143"/>
      <c r="B143" s="61"/>
      <c r="C143" s="61"/>
      <c r="F143"/>
      <c r="G143"/>
      <c r="J143"/>
      <c r="K143"/>
      <c r="L143"/>
      <c r="M143"/>
      <c r="N143" s="61"/>
      <c r="O143"/>
    </row>
    <row r="144" spans="1:15" x14ac:dyDescent="0.2">
      <c r="A144"/>
      <c r="B144" s="61"/>
      <c r="C144" s="61"/>
      <c r="F144"/>
      <c r="G144"/>
      <c r="H144"/>
      <c r="J144"/>
      <c r="K144"/>
      <c r="L144"/>
      <c r="M144"/>
      <c r="N144" s="61"/>
      <c r="O144"/>
    </row>
    <row r="145" spans="1:15" x14ac:dyDescent="0.2">
      <c r="A145"/>
      <c r="B145" s="61"/>
      <c r="C145" s="61"/>
      <c r="F145"/>
      <c r="G145"/>
      <c r="I145"/>
      <c r="L145"/>
      <c r="M145"/>
      <c r="N145" s="61"/>
      <c r="O145"/>
    </row>
    <row r="146" spans="1:15" x14ac:dyDescent="0.2">
      <c r="A146"/>
      <c r="B146" s="61"/>
      <c r="C146" s="61"/>
      <c r="F146"/>
      <c r="G146"/>
      <c r="I146"/>
      <c r="L146"/>
      <c r="M146"/>
      <c r="N146" s="61"/>
      <c r="O146"/>
    </row>
    <row r="147" spans="1:15" x14ac:dyDescent="0.2">
      <c r="A147"/>
      <c r="B147" s="61"/>
      <c r="C147" s="61"/>
      <c r="F147"/>
      <c r="G147"/>
      <c r="H147"/>
      <c r="I147"/>
      <c r="L147"/>
      <c r="M147"/>
      <c r="N147" s="61"/>
      <c r="O147"/>
    </row>
    <row r="148" spans="1:15" x14ac:dyDescent="0.2">
      <c r="A148"/>
      <c r="B148" s="61"/>
      <c r="C148" s="61"/>
      <c r="F148"/>
      <c r="G148"/>
      <c r="H148"/>
      <c r="I148"/>
      <c r="L148"/>
      <c r="M148"/>
      <c r="N148" s="61"/>
      <c r="O148"/>
    </row>
    <row r="149" spans="1:15" x14ac:dyDescent="0.2">
      <c r="A149"/>
      <c r="B149" s="61"/>
      <c r="C149" s="61"/>
      <c r="F149"/>
      <c r="G149"/>
      <c r="I149"/>
      <c r="L149"/>
      <c r="M149"/>
      <c r="N149" s="61"/>
      <c r="O149"/>
    </row>
    <row r="150" spans="1:15" x14ac:dyDescent="0.2">
      <c r="A150"/>
      <c r="B150" s="61"/>
      <c r="C150" s="61"/>
      <c r="F150"/>
      <c r="G150"/>
      <c r="L150"/>
      <c r="M150"/>
      <c r="N150" s="61"/>
      <c r="O150"/>
    </row>
    <row r="151" spans="1:15" x14ac:dyDescent="0.2">
      <c r="A151"/>
      <c r="B151" s="61"/>
      <c r="C151" s="61"/>
      <c r="F151"/>
      <c r="G151"/>
      <c r="I151"/>
      <c r="L151"/>
      <c r="M151"/>
      <c r="N151" s="61"/>
      <c r="O151"/>
    </row>
    <row r="152" spans="1:15" x14ac:dyDescent="0.2">
      <c r="A152"/>
      <c r="B152" s="61"/>
      <c r="C152" s="61"/>
      <c r="F152"/>
      <c r="G152"/>
      <c r="L152"/>
      <c r="M152"/>
      <c r="N152" s="61"/>
      <c r="O152"/>
    </row>
    <row r="153" spans="1:15" x14ac:dyDescent="0.2">
      <c r="A153"/>
      <c r="B153" s="61"/>
      <c r="C153" s="61"/>
      <c r="F153"/>
      <c r="G153"/>
      <c r="L153"/>
      <c r="M153"/>
      <c r="N153" s="61"/>
      <c r="O153"/>
    </row>
    <row r="154" spans="1:15" x14ac:dyDescent="0.2">
      <c r="A154"/>
      <c r="B154" s="61"/>
      <c r="C154" s="61"/>
      <c r="F154"/>
      <c r="G154"/>
      <c r="H154"/>
      <c r="I154"/>
      <c r="L154"/>
      <c r="M154"/>
      <c r="N154" s="61"/>
      <c r="O154"/>
    </row>
    <row r="155" spans="1:15" x14ac:dyDescent="0.2">
      <c r="A155"/>
      <c r="B155" s="61"/>
      <c r="C155" s="61"/>
      <c r="F155"/>
      <c r="G155"/>
      <c r="H155"/>
      <c r="I155"/>
      <c r="L155"/>
      <c r="M155"/>
      <c r="N155" s="61"/>
      <c r="O155"/>
    </row>
    <row r="156" spans="1:15" x14ac:dyDescent="0.2">
      <c r="A156"/>
      <c r="B156" s="61"/>
      <c r="C156" s="61"/>
      <c r="F156"/>
      <c r="G156"/>
      <c r="I156"/>
      <c r="L156"/>
      <c r="M156"/>
      <c r="N156" s="61"/>
      <c r="O156"/>
    </row>
    <row r="157" spans="1:15" x14ac:dyDescent="0.2">
      <c r="A157"/>
      <c r="B157" s="61"/>
      <c r="C157" s="61"/>
      <c r="F157"/>
      <c r="G157"/>
      <c r="H157"/>
      <c r="I157"/>
      <c r="L157"/>
      <c r="M157"/>
      <c r="N157" s="61"/>
      <c r="O157"/>
    </row>
    <row r="158" spans="1:15" x14ac:dyDescent="0.2">
      <c r="A158"/>
      <c r="B158" s="61"/>
      <c r="C158" s="61"/>
      <c r="F158"/>
      <c r="G158"/>
      <c r="M158"/>
      <c r="N158" s="61"/>
      <c r="O158"/>
    </row>
    <row r="159" spans="1:15" x14ac:dyDescent="0.2">
      <c r="A159"/>
      <c r="B159" s="61"/>
      <c r="C159" s="61"/>
      <c r="F159"/>
      <c r="G159"/>
      <c r="I159"/>
      <c r="L159"/>
      <c r="M159"/>
      <c r="N159" s="61"/>
      <c r="O159"/>
    </row>
    <row r="160" spans="1:15" x14ac:dyDescent="0.2">
      <c r="A160"/>
      <c r="B160" s="61"/>
      <c r="C160" s="61"/>
      <c r="F160"/>
      <c r="G160"/>
      <c r="H160"/>
      <c r="I160"/>
      <c r="L160"/>
      <c r="N160" s="61"/>
      <c r="O160"/>
    </row>
    <row r="161" spans="1:15" x14ac:dyDescent="0.2">
      <c r="A161"/>
      <c r="B161" s="61"/>
      <c r="C161" s="61"/>
      <c r="F161"/>
      <c r="G161"/>
      <c r="H161"/>
      <c r="I161"/>
      <c r="L161"/>
      <c r="M161"/>
      <c r="N161" s="61"/>
      <c r="O161"/>
    </row>
    <row r="162" spans="1:15" x14ac:dyDescent="0.2">
      <c r="A162"/>
      <c r="B162" s="61"/>
      <c r="C162" s="61"/>
      <c r="F162"/>
      <c r="G162"/>
      <c r="H162"/>
      <c r="J162"/>
      <c r="K162"/>
      <c r="L162"/>
      <c r="M162"/>
      <c r="N162" s="61"/>
      <c r="O162"/>
    </row>
    <row r="163" spans="1:15" x14ac:dyDescent="0.2">
      <c r="A163"/>
      <c r="B163" s="61"/>
      <c r="C163" s="61"/>
      <c r="F163"/>
      <c r="G163"/>
      <c r="H163"/>
      <c r="I163"/>
      <c r="L163"/>
      <c r="M163"/>
      <c r="N163" s="61"/>
      <c r="O163"/>
    </row>
    <row r="164" spans="1:15" x14ac:dyDescent="0.2">
      <c r="A164"/>
      <c r="B164" s="61"/>
      <c r="C164" s="61"/>
      <c r="F164"/>
      <c r="G164"/>
      <c r="I164"/>
      <c r="L164"/>
      <c r="M164"/>
      <c r="N164" s="61"/>
      <c r="O164"/>
    </row>
    <row r="165" spans="1:15" x14ac:dyDescent="0.2">
      <c r="A165"/>
      <c r="B165" s="61"/>
      <c r="C165" s="61"/>
      <c r="F165"/>
      <c r="G165"/>
      <c r="H165"/>
      <c r="I165"/>
      <c r="L165"/>
      <c r="M165"/>
      <c r="N165" s="61"/>
      <c r="O165"/>
    </row>
    <row r="166" spans="1:15" x14ac:dyDescent="0.2">
      <c r="A166"/>
      <c r="B166" s="61"/>
      <c r="C166" s="61"/>
      <c r="F166"/>
      <c r="G166"/>
      <c r="H166"/>
      <c r="I166"/>
      <c r="L166"/>
      <c r="N166" s="61"/>
      <c r="O166"/>
    </row>
    <row r="167" spans="1:15" x14ac:dyDescent="0.2">
      <c r="A167"/>
      <c r="B167" s="61"/>
      <c r="C167" s="61"/>
      <c r="F167"/>
      <c r="G167"/>
      <c r="H167"/>
      <c r="I167"/>
      <c r="L167"/>
      <c r="M167"/>
      <c r="N167" s="61"/>
      <c r="O167"/>
    </row>
    <row r="168" spans="1:15" x14ac:dyDescent="0.2">
      <c r="A168"/>
      <c r="B168" s="61"/>
      <c r="C168" s="61"/>
      <c r="F168"/>
      <c r="G168"/>
      <c r="H168"/>
      <c r="I168"/>
      <c r="L168"/>
      <c r="M168"/>
      <c r="N168" s="61"/>
      <c r="O168"/>
    </row>
    <row r="169" spans="1:15" x14ac:dyDescent="0.2">
      <c r="A169"/>
      <c r="B169" s="61"/>
      <c r="C169" s="61"/>
      <c r="F169"/>
      <c r="G169"/>
      <c r="H169"/>
      <c r="I169"/>
      <c r="L169"/>
      <c r="M169"/>
      <c r="N169" s="61"/>
      <c r="O169"/>
    </row>
    <row r="170" spans="1:15" x14ac:dyDescent="0.2">
      <c r="A170"/>
      <c r="B170" s="61"/>
      <c r="C170" s="61"/>
      <c r="F170"/>
      <c r="G170"/>
      <c r="M170"/>
      <c r="N170" s="61"/>
      <c r="O170"/>
    </row>
    <row r="171" spans="1:15" x14ac:dyDescent="0.2">
      <c r="A171"/>
      <c r="B171" s="61"/>
      <c r="C171" s="61"/>
      <c r="F171"/>
      <c r="G171"/>
      <c r="H171"/>
      <c r="J171"/>
      <c r="K171"/>
      <c r="L171"/>
      <c r="M171"/>
      <c r="N171" s="61"/>
      <c r="O171"/>
    </row>
    <row r="172" spans="1:15" x14ac:dyDescent="0.2">
      <c r="A172"/>
      <c r="B172" s="61"/>
      <c r="C172" s="61"/>
      <c r="F172"/>
      <c r="G172"/>
      <c r="H172"/>
      <c r="J172"/>
      <c r="K172"/>
      <c r="L172"/>
      <c r="M172"/>
      <c r="N172" s="61"/>
      <c r="O172"/>
    </row>
    <row r="173" spans="1:15" x14ac:dyDescent="0.2">
      <c r="A173"/>
      <c r="B173" s="61"/>
      <c r="C173" s="61"/>
      <c r="F173"/>
      <c r="G173"/>
      <c r="L173"/>
      <c r="M173"/>
      <c r="N173" s="61"/>
      <c r="O173"/>
    </row>
    <row r="174" spans="1:15" x14ac:dyDescent="0.2">
      <c r="A174"/>
      <c r="B174" s="61"/>
      <c r="C174" s="61"/>
      <c r="F174"/>
      <c r="G174"/>
      <c r="H174"/>
      <c r="J174"/>
      <c r="K174"/>
      <c r="L174"/>
      <c r="M174"/>
      <c r="N174" s="61"/>
      <c r="O174"/>
    </row>
    <row r="175" spans="1:15" x14ac:dyDescent="0.2">
      <c r="A175"/>
      <c r="B175" s="61"/>
      <c r="C175" s="61"/>
      <c r="F175"/>
      <c r="G175"/>
      <c r="H175"/>
      <c r="I175"/>
      <c r="J175"/>
      <c r="K175"/>
      <c r="L175"/>
      <c r="M175"/>
      <c r="N175" s="61"/>
      <c r="O175"/>
    </row>
    <row r="176" spans="1:15" x14ac:dyDescent="0.2">
      <c r="A176"/>
      <c r="B176" s="61"/>
      <c r="C176" s="61"/>
      <c r="F176"/>
      <c r="G176"/>
      <c r="I176"/>
      <c r="L176"/>
      <c r="M176"/>
      <c r="N176" s="61"/>
      <c r="O176"/>
    </row>
    <row r="177" spans="1:15" x14ac:dyDescent="0.2">
      <c r="A177"/>
      <c r="B177" s="61"/>
      <c r="C177" s="61"/>
      <c r="F177"/>
      <c r="G177"/>
      <c r="H177"/>
      <c r="I177"/>
      <c r="L177"/>
      <c r="M177"/>
      <c r="N177" s="61"/>
      <c r="O177"/>
    </row>
    <row r="178" spans="1:15" x14ac:dyDescent="0.2">
      <c r="A178"/>
      <c r="B178" s="61"/>
      <c r="C178" s="61"/>
      <c r="F178"/>
      <c r="G178"/>
      <c r="H178"/>
      <c r="I178"/>
      <c r="L178"/>
      <c r="M178"/>
      <c r="N178" s="61"/>
      <c r="O178"/>
    </row>
    <row r="179" spans="1:15" x14ac:dyDescent="0.2">
      <c r="A179"/>
      <c r="B179" s="61"/>
      <c r="C179" s="61"/>
      <c r="F179"/>
      <c r="G179"/>
      <c r="I179"/>
      <c r="L179"/>
      <c r="M179"/>
      <c r="N179" s="61"/>
      <c r="O179"/>
    </row>
    <row r="180" spans="1:15" x14ac:dyDescent="0.2">
      <c r="A180"/>
      <c r="B180" s="61"/>
      <c r="C180" s="61"/>
      <c r="F180"/>
      <c r="G180"/>
      <c r="M180"/>
      <c r="N180" s="61"/>
      <c r="O180"/>
    </row>
    <row r="181" spans="1:15" x14ac:dyDescent="0.2">
      <c r="A181"/>
      <c r="B181" s="61"/>
      <c r="C181" s="61"/>
      <c r="F181"/>
      <c r="G181"/>
      <c r="H181"/>
      <c r="I181"/>
      <c r="L181"/>
      <c r="N181" s="61"/>
      <c r="O181"/>
    </row>
    <row r="182" spans="1:15" x14ac:dyDescent="0.2">
      <c r="A182"/>
      <c r="B182" s="61"/>
      <c r="C182" s="61"/>
      <c r="F182"/>
      <c r="G182"/>
      <c r="I182"/>
      <c r="L182"/>
      <c r="M182"/>
      <c r="N182" s="61"/>
      <c r="O182"/>
    </row>
    <row r="183" spans="1:15" x14ac:dyDescent="0.2">
      <c r="A183"/>
      <c r="B183" s="61"/>
      <c r="C183" s="61"/>
      <c r="F183"/>
      <c r="G183"/>
      <c r="H183"/>
      <c r="I183"/>
      <c r="L183"/>
      <c r="M183"/>
      <c r="N183" s="61"/>
      <c r="O183"/>
    </row>
    <row r="184" spans="1:15" x14ac:dyDescent="0.2">
      <c r="A184"/>
      <c r="B184" s="61"/>
      <c r="C184" s="61"/>
      <c r="F184"/>
      <c r="G184"/>
      <c r="H184"/>
      <c r="I184"/>
      <c r="L184"/>
      <c r="M184"/>
      <c r="N184" s="61"/>
      <c r="O184"/>
    </row>
    <row r="185" spans="1:15" x14ac:dyDescent="0.2">
      <c r="A185"/>
      <c r="B185" s="61"/>
      <c r="C185" s="61"/>
      <c r="F185"/>
      <c r="G185"/>
      <c r="L185"/>
      <c r="M185"/>
      <c r="N185" s="61"/>
      <c r="O185"/>
    </row>
    <row r="186" spans="1:15" x14ac:dyDescent="0.2">
      <c r="A186"/>
      <c r="B186" s="61"/>
      <c r="C186" s="61"/>
      <c r="F186"/>
      <c r="G186"/>
      <c r="M186"/>
      <c r="N186" s="61"/>
      <c r="O186"/>
    </row>
    <row r="187" spans="1:15" x14ac:dyDescent="0.2">
      <c r="A187"/>
      <c r="B187" s="61"/>
      <c r="C187" s="61"/>
      <c r="F187"/>
      <c r="G187"/>
      <c r="M187"/>
      <c r="N187" s="61"/>
      <c r="O187"/>
    </row>
    <row r="188" spans="1:15" x14ac:dyDescent="0.2">
      <c r="A188"/>
      <c r="B188" s="61"/>
      <c r="C188" s="61"/>
      <c r="F188"/>
      <c r="G188"/>
      <c r="H188"/>
      <c r="I188"/>
      <c r="L188"/>
      <c r="M188"/>
      <c r="N188" s="61"/>
      <c r="O188"/>
    </row>
    <row r="189" spans="1:15" x14ac:dyDescent="0.2">
      <c r="A189"/>
      <c r="B189" s="61"/>
      <c r="C189" s="61"/>
      <c r="F189"/>
      <c r="G189"/>
      <c r="H189"/>
      <c r="I189"/>
      <c r="L189"/>
      <c r="M189"/>
      <c r="N189" s="61"/>
      <c r="O189"/>
    </row>
    <row r="190" spans="1:15" x14ac:dyDescent="0.2">
      <c r="A190"/>
      <c r="B190" s="61"/>
      <c r="C190" s="61"/>
      <c r="F190"/>
      <c r="G190"/>
      <c r="H190"/>
      <c r="I190"/>
      <c r="L190"/>
      <c r="M190"/>
      <c r="N190" s="61"/>
      <c r="O190"/>
    </row>
    <row r="191" spans="1:15" x14ac:dyDescent="0.2">
      <c r="A191"/>
      <c r="B191" s="61"/>
      <c r="C191" s="61"/>
      <c r="F191"/>
      <c r="G191"/>
      <c r="H191"/>
      <c r="I191"/>
      <c r="L191"/>
      <c r="M191"/>
      <c r="N191" s="61"/>
      <c r="O191"/>
    </row>
    <row r="192" spans="1:15" x14ac:dyDescent="0.2">
      <c r="A192"/>
      <c r="B192" s="61"/>
      <c r="C192" s="61"/>
      <c r="F192"/>
      <c r="G192"/>
      <c r="L192"/>
      <c r="M192"/>
      <c r="N192" s="61"/>
      <c r="O192"/>
    </row>
    <row r="193" spans="1:15" x14ac:dyDescent="0.2">
      <c r="A193"/>
      <c r="B193" s="61"/>
      <c r="C193" s="61"/>
      <c r="F193"/>
      <c r="G193"/>
      <c r="L193"/>
      <c r="M193"/>
      <c r="N193" s="61"/>
      <c r="O193"/>
    </row>
    <row r="194" spans="1:15" x14ac:dyDescent="0.2">
      <c r="A194"/>
      <c r="B194" s="61"/>
      <c r="C194" s="61"/>
      <c r="F194"/>
      <c r="G194"/>
      <c r="H194"/>
      <c r="I194"/>
      <c r="L194"/>
      <c r="M194"/>
      <c r="N194" s="61"/>
      <c r="O194"/>
    </row>
    <row r="195" spans="1:15" x14ac:dyDescent="0.2">
      <c r="A195"/>
      <c r="B195" s="61"/>
      <c r="C195" s="61"/>
      <c r="F195"/>
      <c r="G195"/>
      <c r="I195"/>
      <c r="L195"/>
      <c r="M195"/>
      <c r="N195" s="61"/>
      <c r="O195"/>
    </row>
    <row r="196" spans="1:15" x14ac:dyDescent="0.2">
      <c r="A196"/>
      <c r="B196" s="61"/>
      <c r="C196" s="61"/>
      <c r="F196"/>
      <c r="G196"/>
      <c r="I196"/>
      <c r="L196"/>
      <c r="M196"/>
      <c r="N196" s="61"/>
      <c r="O196"/>
    </row>
    <row r="197" spans="1:15" x14ac:dyDescent="0.2">
      <c r="A197"/>
      <c r="B197" s="61"/>
      <c r="C197" s="61"/>
      <c r="F197"/>
      <c r="G197"/>
      <c r="I197"/>
      <c r="L197"/>
      <c r="M197"/>
      <c r="N197" s="61"/>
      <c r="O197"/>
    </row>
    <row r="198" spans="1:15" x14ac:dyDescent="0.2">
      <c r="A198"/>
      <c r="B198" s="61"/>
      <c r="C198" s="61"/>
      <c r="F198"/>
      <c r="G198"/>
      <c r="L198"/>
      <c r="M198"/>
      <c r="N198" s="61"/>
      <c r="O198"/>
    </row>
    <row r="199" spans="1:15" x14ac:dyDescent="0.2">
      <c r="A199"/>
      <c r="B199" s="61"/>
      <c r="C199" s="61"/>
      <c r="F199"/>
      <c r="G199"/>
      <c r="H199"/>
      <c r="L199"/>
      <c r="M199"/>
      <c r="N199" s="61"/>
      <c r="O199"/>
    </row>
    <row r="200" spans="1:15" x14ac:dyDescent="0.2">
      <c r="A200"/>
      <c r="B200" s="61"/>
      <c r="C200" s="61"/>
      <c r="F200"/>
      <c r="G200"/>
      <c r="H200"/>
      <c r="I200"/>
      <c r="L200"/>
      <c r="N200" s="61"/>
      <c r="O200"/>
    </row>
    <row r="201" spans="1:15" x14ac:dyDescent="0.2">
      <c r="A201"/>
      <c r="B201" s="61"/>
      <c r="C201" s="61"/>
      <c r="F201"/>
      <c r="G201"/>
      <c r="L201"/>
      <c r="M201"/>
      <c r="N201" s="61"/>
      <c r="O201"/>
    </row>
    <row r="202" spans="1:15" x14ac:dyDescent="0.2">
      <c r="A202"/>
      <c r="B202" s="61"/>
      <c r="C202" s="61"/>
      <c r="F202"/>
      <c r="G202"/>
      <c r="H202"/>
      <c r="I202"/>
      <c r="L202"/>
      <c r="M202"/>
      <c r="N202" s="61"/>
      <c r="O202"/>
    </row>
    <row r="203" spans="1:15" x14ac:dyDescent="0.2">
      <c r="A203"/>
      <c r="B203" s="61"/>
      <c r="C203" s="61"/>
      <c r="F203"/>
      <c r="G203"/>
      <c r="H203"/>
      <c r="I203"/>
      <c r="L203"/>
      <c r="M203"/>
      <c r="N203" s="61"/>
      <c r="O203"/>
    </row>
    <row r="204" spans="1:15" x14ac:dyDescent="0.2">
      <c r="A204"/>
      <c r="B204" s="61"/>
      <c r="C204" s="61"/>
      <c r="F204"/>
      <c r="G204"/>
      <c r="H204"/>
      <c r="I204"/>
      <c r="L204"/>
      <c r="M204"/>
      <c r="N204" s="61"/>
      <c r="O204"/>
    </row>
    <row r="205" spans="1:15" x14ac:dyDescent="0.2">
      <c r="A205"/>
      <c r="B205" s="61"/>
      <c r="C205" s="61"/>
      <c r="F205"/>
      <c r="G205"/>
      <c r="H205"/>
      <c r="I205"/>
      <c r="L205"/>
      <c r="M205"/>
      <c r="N205" s="61"/>
      <c r="O205"/>
    </row>
    <row r="206" spans="1:15" x14ac:dyDescent="0.2">
      <c r="A206"/>
      <c r="B206" s="61"/>
      <c r="C206" s="61"/>
      <c r="F206"/>
      <c r="G206"/>
      <c r="I206"/>
      <c r="L206"/>
      <c r="M206"/>
      <c r="N206" s="61"/>
      <c r="O206"/>
    </row>
    <row r="207" spans="1:15" x14ac:dyDescent="0.2">
      <c r="A207"/>
      <c r="B207" s="61"/>
      <c r="C207" s="61"/>
      <c r="F207"/>
      <c r="G207"/>
      <c r="I207"/>
      <c r="L207"/>
      <c r="M207"/>
      <c r="N207" s="61"/>
      <c r="O207"/>
    </row>
    <row r="208" spans="1:15" x14ac:dyDescent="0.2">
      <c r="A208"/>
      <c r="B208" s="61"/>
      <c r="C208" s="61"/>
      <c r="F208"/>
      <c r="G208"/>
      <c r="H208"/>
      <c r="I208"/>
      <c r="L208"/>
      <c r="M208"/>
      <c r="N208" s="61"/>
      <c r="O208"/>
    </row>
    <row r="209" spans="1:15" x14ac:dyDescent="0.2">
      <c r="A209"/>
      <c r="B209" s="61"/>
      <c r="C209" s="61"/>
      <c r="F209"/>
      <c r="G209"/>
      <c r="H209"/>
      <c r="I209"/>
      <c r="J209"/>
      <c r="K209"/>
      <c r="L209"/>
      <c r="M209"/>
      <c r="N209" s="61"/>
      <c r="O209"/>
    </row>
    <row r="210" spans="1:15" x14ac:dyDescent="0.2">
      <c r="A210"/>
      <c r="B210" s="61"/>
      <c r="C210" s="61"/>
      <c r="F210"/>
      <c r="G210"/>
      <c r="L210"/>
      <c r="M210"/>
      <c r="N210" s="61"/>
      <c r="O210"/>
    </row>
    <row r="211" spans="1:15" x14ac:dyDescent="0.2">
      <c r="A211"/>
      <c r="B211" s="61"/>
      <c r="C211" s="61"/>
      <c r="F211"/>
      <c r="G211"/>
      <c r="H211"/>
      <c r="I211"/>
      <c r="L211"/>
      <c r="M211"/>
      <c r="N211" s="61"/>
      <c r="O211"/>
    </row>
    <row r="212" spans="1:15" x14ac:dyDescent="0.2">
      <c r="A212"/>
      <c r="B212" s="61"/>
      <c r="C212" s="61"/>
      <c r="F212"/>
      <c r="G212"/>
      <c r="H212"/>
      <c r="I212"/>
      <c r="L212"/>
      <c r="M212"/>
      <c r="N212" s="61"/>
      <c r="O212"/>
    </row>
    <row r="213" spans="1:15" x14ac:dyDescent="0.2">
      <c r="A213"/>
      <c r="B213" s="61"/>
      <c r="C213" s="61"/>
      <c r="F213"/>
      <c r="G213"/>
      <c r="I213"/>
      <c r="L213"/>
      <c r="M213"/>
      <c r="N213" s="61"/>
      <c r="O213"/>
    </row>
    <row r="214" spans="1:15" x14ac:dyDescent="0.2">
      <c r="A214"/>
      <c r="B214" s="61"/>
      <c r="C214" s="61"/>
      <c r="F214"/>
      <c r="G214"/>
      <c r="H214"/>
      <c r="I214"/>
      <c r="L214"/>
      <c r="M214"/>
      <c r="N214" s="61"/>
      <c r="O214"/>
    </row>
    <row r="215" spans="1:15" x14ac:dyDescent="0.2">
      <c r="A215"/>
      <c r="B215" s="61"/>
      <c r="C215" s="61"/>
      <c r="F215"/>
      <c r="G215"/>
      <c r="I215"/>
      <c r="L215"/>
      <c r="M215"/>
      <c r="N215" s="61"/>
      <c r="O215"/>
    </row>
    <row r="216" spans="1:15" x14ac:dyDescent="0.2">
      <c r="A216"/>
      <c r="B216" s="61"/>
      <c r="C216" s="61"/>
      <c r="F216"/>
      <c r="G216"/>
      <c r="L216"/>
      <c r="M216"/>
      <c r="N216" s="61"/>
      <c r="O216"/>
    </row>
    <row r="217" spans="1:15" x14ac:dyDescent="0.2">
      <c r="A217"/>
      <c r="B217" s="61"/>
      <c r="C217" s="61"/>
      <c r="F217"/>
      <c r="G217"/>
      <c r="M217"/>
      <c r="N217" s="61"/>
      <c r="O217"/>
    </row>
    <row r="218" spans="1:15" x14ac:dyDescent="0.2">
      <c r="A218"/>
      <c r="B218" s="61"/>
      <c r="C218" s="61"/>
      <c r="F218"/>
      <c r="G218"/>
      <c r="H218"/>
      <c r="I218"/>
      <c r="L218"/>
      <c r="M218"/>
      <c r="N218" s="61"/>
      <c r="O218"/>
    </row>
    <row r="219" spans="1:15" x14ac:dyDescent="0.2">
      <c r="A219"/>
      <c r="B219" s="61"/>
      <c r="C219" s="61"/>
      <c r="F219"/>
      <c r="G219"/>
      <c r="I219"/>
      <c r="L219"/>
      <c r="M219"/>
      <c r="N219" s="61"/>
      <c r="O219"/>
    </row>
    <row r="220" spans="1:15" x14ac:dyDescent="0.2">
      <c r="A220"/>
      <c r="B220" s="61"/>
      <c r="C220" s="61"/>
      <c r="F220"/>
      <c r="G220"/>
      <c r="H220"/>
      <c r="I220"/>
      <c r="L220"/>
      <c r="M220"/>
      <c r="N220" s="61"/>
      <c r="O220"/>
    </row>
    <row r="221" spans="1:15" x14ac:dyDescent="0.2">
      <c r="A221"/>
      <c r="B221" s="61"/>
      <c r="C221" s="61"/>
      <c r="F221"/>
      <c r="G221"/>
      <c r="L221"/>
      <c r="M221"/>
      <c r="N221" s="61"/>
      <c r="O221"/>
    </row>
    <row r="222" spans="1:15" x14ac:dyDescent="0.2">
      <c r="A222"/>
      <c r="B222" s="61"/>
      <c r="C222" s="61"/>
      <c r="F222"/>
      <c r="G222"/>
      <c r="L222"/>
      <c r="M222"/>
      <c r="N222" s="61"/>
      <c r="O222"/>
    </row>
    <row r="223" spans="1:15" x14ac:dyDescent="0.2">
      <c r="A223"/>
      <c r="B223" s="61"/>
      <c r="C223" s="61"/>
      <c r="F223"/>
      <c r="G223"/>
      <c r="I223"/>
      <c r="L223"/>
      <c r="M223"/>
      <c r="N223" s="61"/>
      <c r="O223"/>
    </row>
    <row r="224" spans="1:15" x14ac:dyDescent="0.2">
      <c r="A224"/>
      <c r="B224" s="61"/>
      <c r="C224" s="61"/>
      <c r="F224"/>
      <c r="G224"/>
      <c r="H224"/>
      <c r="I224"/>
      <c r="L224"/>
      <c r="M224"/>
      <c r="N224" s="61"/>
      <c r="O224"/>
    </row>
    <row r="225" spans="1:15" x14ac:dyDescent="0.2">
      <c r="A225"/>
      <c r="B225" s="61"/>
      <c r="C225" s="61"/>
      <c r="F225"/>
      <c r="G225"/>
      <c r="I225"/>
      <c r="L225"/>
      <c r="M225"/>
      <c r="N225" s="61"/>
      <c r="O225"/>
    </row>
    <row r="226" spans="1:15" x14ac:dyDescent="0.2">
      <c r="A226"/>
      <c r="B226" s="61"/>
      <c r="C226" s="61"/>
      <c r="F226"/>
      <c r="G226"/>
      <c r="I226"/>
      <c r="L226"/>
      <c r="M226"/>
      <c r="N226" s="61"/>
      <c r="O226"/>
    </row>
    <row r="227" spans="1:15" x14ac:dyDescent="0.2">
      <c r="A227"/>
      <c r="B227" s="61"/>
      <c r="C227" s="61"/>
      <c r="F227"/>
      <c r="G227"/>
      <c r="I227"/>
      <c r="L227"/>
      <c r="M227"/>
      <c r="N227" s="61"/>
      <c r="O227"/>
    </row>
    <row r="228" spans="1:15" x14ac:dyDescent="0.2">
      <c r="A228"/>
      <c r="B228" s="61"/>
      <c r="C228" s="61"/>
      <c r="F228"/>
      <c r="G228"/>
      <c r="L228"/>
      <c r="M228"/>
      <c r="N228" s="61"/>
      <c r="O228"/>
    </row>
    <row r="229" spans="1:15" x14ac:dyDescent="0.2">
      <c r="A229"/>
      <c r="B229" s="61"/>
      <c r="C229" s="61"/>
      <c r="F229"/>
      <c r="G229"/>
      <c r="H229"/>
      <c r="I229"/>
      <c r="L229"/>
      <c r="M229"/>
      <c r="N229" s="61"/>
      <c r="O229"/>
    </row>
    <row r="230" spans="1:15" x14ac:dyDescent="0.2">
      <c r="A230"/>
      <c r="B230" s="61"/>
      <c r="C230" s="61"/>
      <c r="F230"/>
      <c r="G230"/>
      <c r="H230"/>
      <c r="I230"/>
      <c r="L230"/>
      <c r="M230"/>
      <c r="N230" s="61"/>
      <c r="O230"/>
    </row>
    <row r="231" spans="1:15" x14ac:dyDescent="0.2">
      <c r="A231"/>
      <c r="B231" s="61"/>
      <c r="C231" s="61"/>
      <c r="F231"/>
      <c r="G231"/>
      <c r="H231"/>
      <c r="I231"/>
      <c r="L231"/>
      <c r="M231"/>
      <c r="N231" s="61"/>
      <c r="O231"/>
    </row>
    <row r="232" spans="1:15" x14ac:dyDescent="0.2">
      <c r="A232"/>
      <c r="B232" s="61"/>
      <c r="C232" s="61"/>
      <c r="F232"/>
      <c r="G232"/>
      <c r="L232"/>
      <c r="M232"/>
      <c r="N232" s="61"/>
      <c r="O232"/>
    </row>
    <row r="233" spans="1:15" x14ac:dyDescent="0.2">
      <c r="A233"/>
      <c r="B233" s="61"/>
      <c r="C233" s="61"/>
      <c r="F233"/>
      <c r="G233"/>
      <c r="H233"/>
      <c r="L233"/>
      <c r="M233"/>
      <c r="N233" s="61"/>
      <c r="O233"/>
    </row>
    <row r="234" spans="1:15" x14ac:dyDescent="0.2">
      <c r="A234"/>
      <c r="B234" s="61"/>
      <c r="C234" s="61"/>
      <c r="F234"/>
      <c r="G234"/>
      <c r="I234"/>
      <c r="L234"/>
      <c r="M234"/>
      <c r="N234" s="61"/>
      <c r="O234"/>
    </row>
    <row r="235" spans="1:15" x14ac:dyDescent="0.2">
      <c r="A235"/>
      <c r="B235" s="61"/>
      <c r="C235" s="61"/>
      <c r="F235"/>
      <c r="G235"/>
      <c r="H235"/>
      <c r="I235"/>
      <c r="L235"/>
      <c r="M235"/>
      <c r="N235" s="61"/>
      <c r="O235"/>
    </row>
    <row r="236" spans="1:15" x14ac:dyDescent="0.2">
      <c r="A236"/>
      <c r="B236" s="61"/>
      <c r="C236" s="61"/>
      <c r="F236"/>
      <c r="G236"/>
      <c r="H236"/>
      <c r="J236"/>
      <c r="K236"/>
      <c r="L236"/>
      <c r="M236"/>
      <c r="N236" s="61"/>
      <c r="O236"/>
    </row>
    <row r="237" spans="1:15" x14ac:dyDescent="0.2">
      <c r="A237"/>
      <c r="B237" s="61"/>
      <c r="C237" s="61"/>
      <c r="F237"/>
      <c r="G237"/>
      <c r="H237"/>
      <c r="J237"/>
      <c r="K237"/>
      <c r="L237"/>
      <c r="M237"/>
      <c r="N237" s="61"/>
      <c r="O237"/>
    </row>
    <row r="238" spans="1:15" x14ac:dyDescent="0.2">
      <c r="A238"/>
      <c r="B238" s="61"/>
      <c r="C238" s="61"/>
      <c r="F238"/>
      <c r="G238"/>
      <c r="H238"/>
      <c r="J238"/>
      <c r="K238"/>
      <c r="L238"/>
      <c r="M238"/>
      <c r="N238" s="61"/>
      <c r="O238"/>
    </row>
    <row r="239" spans="1:15" x14ac:dyDescent="0.2">
      <c r="A239"/>
      <c r="B239" s="61"/>
      <c r="C239" s="61"/>
      <c r="F239"/>
      <c r="G239"/>
      <c r="J239"/>
      <c r="K239"/>
      <c r="L239"/>
      <c r="M239"/>
      <c r="N239" s="61"/>
      <c r="O239"/>
    </row>
    <row r="240" spans="1:15" x14ac:dyDescent="0.2">
      <c r="A240"/>
      <c r="B240" s="61"/>
      <c r="C240" s="61"/>
      <c r="F240"/>
      <c r="G240"/>
      <c r="M240"/>
      <c r="N240" s="61"/>
      <c r="O240"/>
    </row>
    <row r="241" spans="1:15" x14ac:dyDescent="0.2">
      <c r="A241"/>
      <c r="B241" s="61"/>
      <c r="C241" s="61"/>
      <c r="F241"/>
      <c r="G241"/>
      <c r="H241"/>
      <c r="I241"/>
      <c r="L241"/>
      <c r="M241"/>
      <c r="N241" s="61"/>
      <c r="O241"/>
    </row>
    <row r="242" spans="1:15" x14ac:dyDescent="0.2">
      <c r="A242"/>
      <c r="B242" s="61"/>
      <c r="C242" s="61"/>
      <c r="F242"/>
      <c r="G242"/>
      <c r="L242"/>
      <c r="M242"/>
      <c r="N242" s="61"/>
      <c r="O242"/>
    </row>
    <row r="243" spans="1:15" x14ac:dyDescent="0.2">
      <c r="A243"/>
      <c r="B243" s="61"/>
      <c r="C243" s="61"/>
      <c r="F243"/>
      <c r="G243"/>
      <c r="H243"/>
      <c r="I243"/>
      <c r="L243"/>
      <c r="M243"/>
      <c r="N243" s="61"/>
      <c r="O243"/>
    </row>
    <row r="244" spans="1:15" x14ac:dyDescent="0.2">
      <c r="A244"/>
      <c r="B244" s="61"/>
      <c r="C244" s="61"/>
      <c r="F244"/>
      <c r="G244"/>
      <c r="H244"/>
      <c r="I244"/>
      <c r="L244"/>
      <c r="M244"/>
      <c r="N244" s="61"/>
      <c r="O244"/>
    </row>
    <row r="245" spans="1:15" x14ac:dyDescent="0.2">
      <c r="A245"/>
      <c r="B245" s="61"/>
      <c r="C245" s="61"/>
      <c r="F245"/>
      <c r="G245"/>
      <c r="H245"/>
      <c r="I245"/>
      <c r="L245"/>
      <c r="M245"/>
      <c r="N245" s="61"/>
      <c r="O245"/>
    </row>
    <row r="246" spans="1:15" x14ac:dyDescent="0.2">
      <c r="A246"/>
      <c r="B246" s="61"/>
      <c r="C246" s="61"/>
      <c r="F246"/>
      <c r="G246"/>
      <c r="H246"/>
      <c r="J246"/>
      <c r="K246"/>
      <c r="L246"/>
      <c r="M246"/>
      <c r="N246" s="61"/>
      <c r="O246"/>
    </row>
    <row r="247" spans="1:15" x14ac:dyDescent="0.2">
      <c r="A247"/>
      <c r="B247" s="61"/>
      <c r="C247" s="61"/>
      <c r="F247"/>
      <c r="G247"/>
      <c r="L247"/>
      <c r="M247"/>
      <c r="N247" s="61"/>
      <c r="O247"/>
    </row>
    <row r="248" spans="1:15" x14ac:dyDescent="0.2">
      <c r="A248"/>
      <c r="B248" s="61"/>
      <c r="C248" s="61"/>
      <c r="F248"/>
      <c r="G248"/>
      <c r="I248"/>
      <c r="L248"/>
      <c r="M248"/>
      <c r="N248" s="61"/>
      <c r="O248"/>
    </row>
    <row r="249" spans="1:15" x14ac:dyDescent="0.2">
      <c r="A249"/>
      <c r="B249" s="61"/>
      <c r="C249" s="61"/>
      <c r="F249"/>
      <c r="G249"/>
      <c r="H249"/>
      <c r="I249"/>
      <c r="L249"/>
      <c r="N249" s="61"/>
      <c r="O249"/>
    </row>
    <row r="250" spans="1:15" x14ac:dyDescent="0.2">
      <c r="A250"/>
      <c r="B250" s="61"/>
      <c r="C250" s="61"/>
      <c r="F250"/>
      <c r="G250"/>
      <c r="H250"/>
      <c r="J250"/>
      <c r="K250"/>
      <c r="L250"/>
      <c r="M250"/>
      <c r="N250" s="61"/>
      <c r="O250"/>
    </row>
    <row r="251" spans="1:15" x14ac:dyDescent="0.2">
      <c r="A251"/>
      <c r="B251" s="61"/>
      <c r="C251" s="61"/>
      <c r="F251"/>
      <c r="G251"/>
      <c r="L251"/>
      <c r="M251"/>
      <c r="N251" s="61"/>
      <c r="O251"/>
    </row>
    <row r="252" spans="1:15" x14ac:dyDescent="0.2">
      <c r="A252"/>
      <c r="B252" s="61"/>
      <c r="C252" s="61"/>
      <c r="F252"/>
      <c r="G252"/>
      <c r="H252"/>
      <c r="I252"/>
      <c r="L252"/>
      <c r="M252"/>
      <c r="N252" s="61"/>
      <c r="O252"/>
    </row>
    <row r="253" spans="1:15" x14ac:dyDescent="0.2">
      <c r="A253"/>
      <c r="B253" s="61"/>
      <c r="C253" s="61"/>
      <c r="F253"/>
      <c r="G253"/>
      <c r="I253"/>
      <c r="L253"/>
      <c r="M253"/>
      <c r="N253" s="61"/>
      <c r="O253"/>
    </row>
    <row r="254" spans="1:15" x14ac:dyDescent="0.2">
      <c r="A254"/>
      <c r="B254" s="61"/>
      <c r="C254" s="61"/>
      <c r="F254"/>
      <c r="G254"/>
      <c r="H254"/>
      <c r="J254"/>
      <c r="K254"/>
      <c r="L254"/>
      <c r="M254"/>
      <c r="N254" s="61"/>
      <c r="O254"/>
    </row>
    <row r="255" spans="1:15" x14ac:dyDescent="0.2">
      <c r="A255"/>
      <c r="B255" s="61"/>
      <c r="C255" s="61"/>
      <c r="F255"/>
      <c r="G255"/>
      <c r="J255"/>
      <c r="L255"/>
      <c r="M255"/>
      <c r="N255" s="61"/>
      <c r="O255"/>
    </row>
    <row r="256" spans="1:15" x14ac:dyDescent="0.2">
      <c r="A256"/>
      <c r="B256" s="61"/>
      <c r="C256" s="61"/>
      <c r="F256"/>
      <c r="G256"/>
      <c r="I256"/>
      <c r="L256"/>
      <c r="M256"/>
      <c r="N256" s="61"/>
      <c r="O256"/>
    </row>
    <row r="257" spans="1:15" x14ac:dyDescent="0.2">
      <c r="A257"/>
      <c r="B257" s="61"/>
      <c r="C257" s="61"/>
      <c r="F257"/>
      <c r="G257"/>
      <c r="I257"/>
      <c r="L257"/>
      <c r="M257"/>
      <c r="N257" s="61"/>
      <c r="O257"/>
    </row>
    <row r="258" spans="1:15" x14ac:dyDescent="0.2">
      <c r="A258"/>
      <c r="B258" s="61"/>
      <c r="C258" s="61"/>
      <c r="F258"/>
      <c r="G258"/>
      <c r="L258"/>
      <c r="M258"/>
      <c r="N258" s="61"/>
      <c r="O258"/>
    </row>
    <row r="259" spans="1:15" x14ac:dyDescent="0.2">
      <c r="A259"/>
      <c r="B259" s="61"/>
      <c r="C259" s="61"/>
      <c r="F259"/>
      <c r="G259"/>
      <c r="H259"/>
      <c r="I259"/>
      <c r="L259"/>
      <c r="M259"/>
      <c r="N259" s="61"/>
      <c r="O259"/>
    </row>
    <row r="260" spans="1:15" x14ac:dyDescent="0.2">
      <c r="A260"/>
      <c r="B260" s="61"/>
      <c r="C260" s="61"/>
      <c r="F260"/>
      <c r="G260"/>
      <c r="I260"/>
      <c r="L260"/>
      <c r="M260"/>
      <c r="N260" s="61"/>
      <c r="O260"/>
    </row>
    <row r="261" spans="1:15" x14ac:dyDescent="0.2">
      <c r="A261"/>
      <c r="B261" s="61"/>
      <c r="C261" s="61"/>
      <c r="F261"/>
      <c r="G261"/>
      <c r="L261"/>
      <c r="M261"/>
      <c r="N261" s="61"/>
      <c r="O261"/>
    </row>
    <row r="262" spans="1:15" x14ac:dyDescent="0.2">
      <c r="A262"/>
      <c r="B262" s="61"/>
      <c r="C262" s="61"/>
      <c r="F262"/>
      <c r="G262"/>
      <c r="H262"/>
      <c r="I262"/>
      <c r="L262"/>
      <c r="M262"/>
      <c r="N262" s="61"/>
      <c r="O262"/>
    </row>
    <row r="263" spans="1:15" x14ac:dyDescent="0.2">
      <c r="A263"/>
      <c r="B263" s="61"/>
      <c r="C263" s="61"/>
      <c r="F263"/>
      <c r="G263"/>
      <c r="H263"/>
      <c r="I263"/>
      <c r="L263"/>
      <c r="M263"/>
      <c r="N263" s="61"/>
      <c r="O263"/>
    </row>
    <row r="264" spans="1:15" x14ac:dyDescent="0.2">
      <c r="A264"/>
      <c r="B264" s="61"/>
      <c r="C264" s="61"/>
      <c r="F264"/>
      <c r="G264"/>
      <c r="I264"/>
      <c r="L264"/>
      <c r="M264"/>
      <c r="N264" s="61"/>
      <c r="O264"/>
    </row>
    <row r="265" spans="1:15" x14ac:dyDescent="0.2">
      <c r="A265"/>
      <c r="B265" s="61"/>
      <c r="C265" s="61"/>
      <c r="F265"/>
      <c r="G265"/>
      <c r="I265"/>
      <c r="L265"/>
      <c r="M265"/>
      <c r="N265" s="61"/>
      <c r="O265"/>
    </row>
    <row r="266" spans="1:15" x14ac:dyDescent="0.2">
      <c r="A266"/>
      <c r="B266" s="61"/>
      <c r="C266" s="61"/>
      <c r="F266"/>
      <c r="G266"/>
      <c r="H266"/>
      <c r="I266"/>
      <c r="L266"/>
      <c r="M266"/>
      <c r="N266" s="61"/>
      <c r="O266"/>
    </row>
    <row r="267" spans="1:15" x14ac:dyDescent="0.2">
      <c r="A267"/>
      <c r="B267" s="61"/>
      <c r="C267" s="61"/>
      <c r="F267"/>
      <c r="G267"/>
      <c r="H267"/>
      <c r="I267"/>
      <c r="L267"/>
      <c r="M267"/>
      <c r="N267" s="61"/>
      <c r="O267"/>
    </row>
    <row r="268" spans="1:15" x14ac:dyDescent="0.2">
      <c r="A268"/>
      <c r="B268" s="61"/>
      <c r="C268" s="61"/>
      <c r="F268"/>
      <c r="G268"/>
      <c r="L268"/>
      <c r="M268"/>
      <c r="N268" s="61"/>
      <c r="O268"/>
    </row>
    <row r="269" spans="1:15" x14ac:dyDescent="0.2">
      <c r="A269"/>
      <c r="B269" s="61"/>
      <c r="C269" s="61"/>
      <c r="F269"/>
      <c r="G269"/>
      <c r="H269"/>
      <c r="I269"/>
      <c r="L269"/>
      <c r="M269"/>
      <c r="N269" s="61"/>
      <c r="O269"/>
    </row>
    <row r="270" spans="1:15" x14ac:dyDescent="0.2">
      <c r="A270"/>
      <c r="B270" s="61"/>
      <c r="C270" s="61"/>
      <c r="F270"/>
      <c r="G270"/>
      <c r="H270"/>
      <c r="I270"/>
      <c r="L270"/>
      <c r="M270"/>
      <c r="N270" s="61"/>
      <c r="O270"/>
    </row>
    <row r="271" spans="1:15" x14ac:dyDescent="0.2">
      <c r="A271"/>
      <c r="B271" s="61"/>
      <c r="C271" s="61"/>
      <c r="F271"/>
      <c r="G271"/>
      <c r="H271"/>
      <c r="I271"/>
      <c r="L271"/>
      <c r="M271"/>
      <c r="N271" s="61"/>
      <c r="O271"/>
    </row>
    <row r="272" spans="1:15" x14ac:dyDescent="0.2">
      <c r="A272"/>
      <c r="B272" s="61"/>
      <c r="C272" s="61"/>
      <c r="F272"/>
      <c r="G272"/>
      <c r="N272" s="61"/>
      <c r="O272"/>
    </row>
    <row r="273" spans="1:15" x14ac:dyDescent="0.2">
      <c r="A273"/>
      <c r="B273" s="61"/>
      <c r="C273" s="61"/>
      <c r="F273"/>
      <c r="G273"/>
      <c r="I273"/>
      <c r="L273"/>
      <c r="M273"/>
      <c r="N273" s="61"/>
      <c r="O273"/>
    </row>
    <row r="274" spans="1:15" x14ac:dyDescent="0.2">
      <c r="A274"/>
      <c r="B274" s="61"/>
      <c r="C274" s="61"/>
      <c r="F274"/>
      <c r="G274"/>
      <c r="H274"/>
      <c r="I274"/>
      <c r="L274"/>
      <c r="M274"/>
      <c r="N274" s="61"/>
      <c r="O274"/>
    </row>
    <row r="275" spans="1:15" x14ac:dyDescent="0.2">
      <c r="A275"/>
      <c r="B275" s="61"/>
      <c r="C275" s="61"/>
      <c r="F275"/>
      <c r="G275"/>
      <c r="H275"/>
      <c r="I275"/>
      <c r="L275"/>
      <c r="M275"/>
      <c r="N275" s="61"/>
      <c r="O275"/>
    </row>
    <row r="276" spans="1:15" x14ac:dyDescent="0.2">
      <c r="A276"/>
      <c r="B276" s="61"/>
      <c r="C276" s="61"/>
      <c r="F276"/>
      <c r="G276"/>
      <c r="I276"/>
      <c r="L276"/>
      <c r="M276"/>
      <c r="N276" s="61"/>
      <c r="O276"/>
    </row>
    <row r="277" spans="1:15" x14ac:dyDescent="0.2">
      <c r="A277"/>
      <c r="B277" s="61"/>
      <c r="C277" s="61"/>
      <c r="F277"/>
      <c r="G277"/>
      <c r="H277"/>
      <c r="I277"/>
      <c r="L277"/>
      <c r="M277"/>
      <c r="N277" s="61"/>
      <c r="O277"/>
    </row>
    <row r="278" spans="1:15" x14ac:dyDescent="0.2">
      <c r="A278"/>
      <c r="B278" s="61"/>
      <c r="C278" s="61"/>
      <c r="F278"/>
      <c r="G278"/>
      <c r="I278"/>
      <c r="L278"/>
      <c r="M278"/>
      <c r="N278" s="61"/>
      <c r="O278"/>
    </row>
    <row r="279" spans="1:15" x14ac:dyDescent="0.2">
      <c r="A279"/>
      <c r="B279" s="61"/>
      <c r="C279" s="61"/>
      <c r="F279"/>
      <c r="G279"/>
      <c r="H279"/>
      <c r="I279"/>
      <c r="L279"/>
      <c r="M279"/>
      <c r="N279" s="61"/>
      <c r="O279"/>
    </row>
    <row r="280" spans="1:15" x14ac:dyDescent="0.2">
      <c r="A280"/>
      <c r="B280" s="61"/>
      <c r="C280" s="61"/>
      <c r="F280"/>
      <c r="G280"/>
      <c r="I280"/>
      <c r="L280"/>
      <c r="M280"/>
      <c r="N280" s="61"/>
      <c r="O280"/>
    </row>
    <row r="281" spans="1:15" x14ac:dyDescent="0.2">
      <c r="A281"/>
      <c r="B281" s="61"/>
      <c r="C281" s="61"/>
      <c r="F281"/>
      <c r="G281"/>
      <c r="I281"/>
      <c r="L281"/>
      <c r="M281"/>
      <c r="N281" s="61"/>
      <c r="O281"/>
    </row>
    <row r="282" spans="1:15" x14ac:dyDescent="0.2">
      <c r="A282"/>
      <c r="B282" s="61"/>
      <c r="C282" s="61"/>
      <c r="F282"/>
      <c r="G282"/>
      <c r="H282"/>
      <c r="I282"/>
      <c r="L282"/>
      <c r="M282"/>
      <c r="N282" s="61"/>
      <c r="O282"/>
    </row>
    <row r="283" spans="1:15" x14ac:dyDescent="0.2">
      <c r="A283"/>
      <c r="B283" s="61"/>
      <c r="C283" s="61"/>
      <c r="F283"/>
      <c r="G283"/>
      <c r="H283"/>
      <c r="I283"/>
      <c r="L283"/>
      <c r="M283"/>
      <c r="N283" s="61"/>
      <c r="O283"/>
    </row>
    <row r="284" spans="1:15" x14ac:dyDescent="0.2">
      <c r="A284"/>
      <c r="B284" s="61"/>
      <c r="C284" s="61"/>
      <c r="F284"/>
      <c r="G284"/>
      <c r="H284"/>
      <c r="I284"/>
      <c r="L284"/>
      <c r="M284"/>
      <c r="N284" s="61"/>
      <c r="O284"/>
    </row>
    <row r="285" spans="1:15" x14ac:dyDescent="0.2">
      <c r="A285"/>
      <c r="B285" s="61"/>
      <c r="C285" s="61"/>
      <c r="F285"/>
      <c r="G285"/>
      <c r="H285"/>
      <c r="I285"/>
      <c r="L285"/>
      <c r="M285"/>
      <c r="N285" s="61"/>
      <c r="O285"/>
    </row>
    <row r="286" spans="1:15" x14ac:dyDescent="0.2">
      <c r="A286"/>
      <c r="B286" s="61"/>
      <c r="C286" s="61"/>
      <c r="F286"/>
      <c r="G286"/>
      <c r="H286"/>
      <c r="I286"/>
      <c r="L286"/>
      <c r="M286"/>
      <c r="N286" s="61"/>
      <c r="O286"/>
    </row>
    <row r="287" spans="1:15" x14ac:dyDescent="0.2">
      <c r="A287"/>
      <c r="B287" s="61"/>
      <c r="C287" s="61"/>
      <c r="F287"/>
      <c r="G287"/>
      <c r="I287"/>
      <c r="L287"/>
      <c r="M287"/>
      <c r="N287" s="61"/>
      <c r="O287"/>
    </row>
    <row r="288" spans="1:15" x14ac:dyDescent="0.2">
      <c r="A288"/>
      <c r="B288" s="61"/>
      <c r="C288" s="61"/>
      <c r="F288"/>
      <c r="G288"/>
      <c r="L288"/>
      <c r="M288"/>
      <c r="N288" s="61"/>
      <c r="O288"/>
    </row>
    <row r="289" spans="1:15" x14ac:dyDescent="0.2">
      <c r="A289"/>
      <c r="B289" s="61"/>
      <c r="C289" s="61"/>
      <c r="F289"/>
      <c r="G289"/>
      <c r="H289"/>
      <c r="I289"/>
      <c r="L289"/>
      <c r="M289"/>
      <c r="N289" s="61"/>
      <c r="O289"/>
    </row>
    <row r="290" spans="1:15" x14ac:dyDescent="0.2">
      <c r="A290"/>
      <c r="B290" s="61"/>
      <c r="C290" s="61"/>
      <c r="F290"/>
      <c r="G290"/>
      <c r="H290"/>
      <c r="I290"/>
      <c r="L290"/>
      <c r="M290"/>
      <c r="N290" s="61"/>
      <c r="O290"/>
    </row>
    <row r="291" spans="1:15" x14ac:dyDescent="0.2">
      <c r="A291"/>
      <c r="B291" s="61"/>
      <c r="C291" s="61"/>
      <c r="F291"/>
      <c r="G291"/>
      <c r="H291"/>
      <c r="I291"/>
      <c r="L291"/>
      <c r="M291"/>
      <c r="N291" s="61"/>
      <c r="O291"/>
    </row>
    <row r="292" spans="1:15" x14ac:dyDescent="0.2">
      <c r="A292"/>
      <c r="B292" s="61"/>
      <c r="C292" s="61"/>
      <c r="F292"/>
      <c r="G292"/>
      <c r="H292"/>
      <c r="I292"/>
      <c r="L292"/>
      <c r="M292"/>
      <c r="N292" s="61"/>
      <c r="O292"/>
    </row>
    <row r="293" spans="1:15" x14ac:dyDescent="0.2">
      <c r="A293"/>
      <c r="B293" s="61"/>
      <c r="C293" s="61"/>
      <c r="F293"/>
      <c r="G293"/>
      <c r="H293"/>
      <c r="I293"/>
      <c r="L293"/>
      <c r="M293"/>
      <c r="N293" s="61"/>
      <c r="O293"/>
    </row>
    <row r="294" spans="1:15" x14ac:dyDescent="0.2">
      <c r="A294"/>
      <c r="B294" s="61"/>
      <c r="C294" s="61"/>
      <c r="F294"/>
      <c r="G294"/>
      <c r="H294"/>
      <c r="I294"/>
      <c r="L294"/>
      <c r="N294" s="61"/>
      <c r="O294"/>
    </row>
    <row r="295" spans="1:15" x14ac:dyDescent="0.2">
      <c r="A295"/>
      <c r="B295" s="61"/>
      <c r="C295" s="61"/>
      <c r="F295"/>
      <c r="G295"/>
      <c r="H295"/>
      <c r="I295"/>
      <c r="L295"/>
      <c r="M295"/>
      <c r="N295" s="61"/>
      <c r="O295"/>
    </row>
    <row r="296" spans="1:15" x14ac:dyDescent="0.2">
      <c r="A296"/>
      <c r="B296" s="61"/>
      <c r="C296" s="61"/>
      <c r="F296"/>
      <c r="G296"/>
      <c r="H296"/>
      <c r="I296"/>
      <c r="L296"/>
      <c r="M296"/>
      <c r="N296" s="61"/>
      <c r="O296"/>
    </row>
    <row r="297" spans="1:15" x14ac:dyDescent="0.2">
      <c r="A297"/>
      <c r="B297" s="61"/>
      <c r="C297" s="61"/>
      <c r="F297"/>
      <c r="G297"/>
      <c r="H297"/>
      <c r="I297"/>
      <c r="L297"/>
      <c r="M297"/>
      <c r="N297" s="61"/>
      <c r="O297"/>
    </row>
    <row r="298" spans="1:15" x14ac:dyDescent="0.2">
      <c r="A298"/>
      <c r="B298" s="61"/>
      <c r="C298" s="61"/>
      <c r="F298"/>
      <c r="G298"/>
      <c r="H298"/>
      <c r="I298"/>
      <c r="L298"/>
      <c r="M298"/>
      <c r="N298" s="61"/>
      <c r="O298"/>
    </row>
    <row r="299" spans="1:15" x14ac:dyDescent="0.2">
      <c r="A299"/>
      <c r="B299" s="61"/>
      <c r="C299" s="61"/>
      <c r="F299"/>
      <c r="G299"/>
      <c r="H299"/>
      <c r="I299"/>
      <c r="L299"/>
      <c r="M299"/>
      <c r="N299" s="61"/>
      <c r="O299"/>
    </row>
    <row r="300" spans="1:15" x14ac:dyDescent="0.2">
      <c r="A300"/>
      <c r="B300" s="61"/>
      <c r="C300" s="61"/>
      <c r="F300"/>
      <c r="G300"/>
      <c r="H300"/>
      <c r="I300"/>
      <c r="L300"/>
      <c r="M300"/>
      <c r="N300" s="61"/>
      <c r="O300"/>
    </row>
    <row r="301" spans="1:15" x14ac:dyDescent="0.2">
      <c r="A301"/>
      <c r="B301" s="61"/>
      <c r="C301" s="61"/>
      <c r="F301"/>
      <c r="G301"/>
      <c r="H301"/>
      <c r="I301"/>
      <c r="L301"/>
      <c r="M301"/>
      <c r="N301" s="61"/>
      <c r="O301"/>
    </row>
    <row r="302" spans="1:15" x14ac:dyDescent="0.2">
      <c r="A302"/>
      <c r="B302" s="61"/>
      <c r="C302" s="61"/>
      <c r="F302"/>
      <c r="G302"/>
      <c r="H302"/>
      <c r="I302"/>
      <c r="L302"/>
      <c r="M302"/>
      <c r="N302" s="61"/>
      <c r="O302"/>
    </row>
    <row r="303" spans="1:15" x14ac:dyDescent="0.2">
      <c r="A303"/>
      <c r="B303" s="61"/>
      <c r="C303" s="61"/>
      <c r="F303"/>
      <c r="G303"/>
      <c r="H303"/>
      <c r="I303"/>
      <c r="L303"/>
      <c r="M303"/>
      <c r="N303" s="61"/>
      <c r="O303"/>
    </row>
    <row r="304" spans="1:15" x14ac:dyDescent="0.2">
      <c r="A304"/>
      <c r="B304" s="61"/>
      <c r="C304" s="61"/>
      <c r="F304"/>
      <c r="G304"/>
      <c r="H304"/>
      <c r="I304"/>
      <c r="L304"/>
      <c r="M304"/>
      <c r="N304" s="61"/>
      <c r="O304"/>
    </row>
    <row r="305" spans="1:15" x14ac:dyDescent="0.2">
      <c r="A305"/>
      <c r="B305" s="61"/>
      <c r="C305" s="61"/>
      <c r="F305"/>
      <c r="G305"/>
      <c r="H305"/>
      <c r="I305"/>
      <c r="L305"/>
      <c r="M305"/>
      <c r="N305" s="61"/>
      <c r="O305"/>
    </row>
    <row r="306" spans="1:15" x14ac:dyDescent="0.2">
      <c r="A306"/>
      <c r="B306" s="61"/>
      <c r="C306" s="61"/>
      <c r="F306"/>
      <c r="G306"/>
      <c r="H306"/>
      <c r="I306"/>
      <c r="L306"/>
      <c r="M306"/>
      <c r="N306" s="61"/>
      <c r="O306"/>
    </row>
    <row r="307" spans="1:15" x14ac:dyDescent="0.2">
      <c r="A307"/>
      <c r="B307" s="61"/>
      <c r="C307" s="61"/>
      <c r="F307"/>
      <c r="G307"/>
      <c r="H307"/>
      <c r="I307"/>
      <c r="L307"/>
      <c r="N307" s="61"/>
      <c r="O307"/>
    </row>
    <row r="308" spans="1:15" x14ac:dyDescent="0.2">
      <c r="A308"/>
      <c r="B308" s="61"/>
      <c r="C308" s="61"/>
      <c r="F308"/>
      <c r="G308"/>
      <c r="H308"/>
      <c r="I308"/>
      <c r="L308"/>
      <c r="M308"/>
      <c r="N308" s="61"/>
      <c r="O308"/>
    </row>
    <row r="309" spans="1:15" x14ac:dyDescent="0.2">
      <c r="A309"/>
      <c r="B309" s="61"/>
      <c r="C309" s="61"/>
      <c r="F309"/>
      <c r="G309"/>
      <c r="H309"/>
      <c r="I309"/>
      <c r="L309"/>
      <c r="N309" s="61"/>
      <c r="O309"/>
    </row>
    <row r="310" spans="1:15" x14ac:dyDescent="0.2">
      <c r="A310"/>
      <c r="B310" s="61"/>
      <c r="C310" s="61"/>
      <c r="F310"/>
      <c r="G310"/>
      <c r="H310"/>
      <c r="I310"/>
      <c r="L310"/>
      <c r="M310"/>
      <c r="N310" s="61"/>
      <c r="O310"/>
    </row>
    <row r="311" spans="1:15" x14ac:dyDescent="0.2">
      <c r="A311"/>
      <c r="B311" s="61"/>
      <c r="C311" s="61"/>
      <c r="F311"/>
      <c r="G311"/>
      <c r="L311"/>
      <c r="M311"/>
      <c r="N311" s="61"/>
      <c r="O311"/>
    </row>
    <row r="312" spans="1:15" x14ac:dyDescent="0.2">
      <c r="A312"/>
      <c r="B312" s="61"/>
      <c r="C312" s="61"/>
      <c r="F312"/>
      <c r="G312"/>
      <c r="H312"/>
      <c r="I312"/>
      <c r="L312"/>
      <c r="M312"/>
      <c r="N312" s="61"/>
      <c r="O312"/>
    </row>
    <row r="313" spans="1:15" x14ac:dyDescent="0.2">
      <c r="A313"/>
      <c r="B313" s="61"/>
      <c r="C313" s="61"/>
      <c r="F313"/>
      <c r="G313"/>
      <c r="H313"/>
      <c r="I313"/>
      <c r="L313"/>
      <c r="M313"/>
      <c r="N313" s="61"/>
      <c r="O313"/>
    </row>
    <row r="314" spans="1:15" x14ac:dyDescent="0.2">
      <c r="A314"/>
      <c r="B314" s="61"/>
      <c r="C314" s="61"/>
      <c r="F314"/>
      <c r="G314"/>
      <c r="H314"/>
      <c r="I314"/>
      <c r="L314"/>
      <c r="M314"/>
      <c r="N314" s="61"/>
      <c r="O314"/>
    </row>
    <row r="315" spans="1:15" x14ac:dyDescent="0.2">
      <c r="A315"/>
      <c r="B315" s="61"/>
      <c r="C315" s="61"/>
      <c r="F315"/>
      <c r="G315"/>
      <c r="H315"/>
      <c r="I315"/>
      <c r="L315"/>
      <c r="M315"/>
      <c r="N315" s="61"/>
      <c r="O315"/>
    </row>
    <row r="316" spans="1:15" x14ac:dyDescent="0.2">
      <c r="A316"/>
      <c r="B316" s="61"/>
      <c r="C316" s="61"/>
      <c r="F316"/>
      <c r="G316"/>
      <c r="H316"/>
      <c r="I316"/>
      <c r="L316"/>
      <c r="M316"/>
      <c r="N316" s="61"/>
      <c r="O316"/>
    </row>
    <row r="317" spans="1:15" x14ac:dyDescent="0.2">
      <c r="A317"/>
      <c r="B317" s="61"/>
      <c r="C317" s="61"/>
      <c r="F317"/>
      <c r="G317"/>
      <c r="H317"/>
      <c r="I317"/>
      <c r="L317"/>
      <c r="M317"/>
      <c r="N317" s="61"/>
      <c r="O317"/>
    </row>
    <row r="318" spans="1:15" x14ac:dyDescent="0.2">
      <c r="A318"/>
      <c r="B318" s="61"/>
      <c r="C318" s="61"/>
      <c r="F318"/>
      <c r="G318"/>
      <c r="H318"/>
      <c r="I318"/>
      <c r="L318"/>
      <c r="M318"/>
      <c r="N318" s="61"/>
      <c r="O318"/>
    </row>
    <row r="319" spans="1:15" x14ac:dyDescent="0.2">
      <c r="A319"/>
      <c r="B319" s="61"/>
      <c r="C319" s="61"/>
      <c r="F319"/>
      <c r="G319"/>
      <c r="H319"/>
      <c r="I319"/>
      <c r="L319"/>
      <c r="M319"/>
      <c r="N319" s="61"/>
      <c r="O319"/>
    </row>
    <row r="320" spans="1:15" x14ac:dyDescent="0.2">
      <c r="A320"/>
      <c r="B320" s="61"/>
      <c r="C320" s="61"/>
      <c r="F320"/>
      <c r="G320"/>
      <c r="H320"/>
      <c r="I320"/>
      <c r="L320"/>
      <c r="M320"/>
      <c r="N320" s="61"/>
      <c r="O320"/>
    </row>
    <row r="321" spans="1:15" x14ac:dyDescent="0.2">
      <c r="A321"/>
      <c r="B321" s="61"/>
      <c r="C321" s="61"/>
      <c r="F321"/>
      <c r="G321"/>
      <c r="H321"/>
      <c r="I321"/>
      <c r="L321"/>
      <c r="M321"/>
      <c r="N321" s="61"/>
      <c r="O321"/>
    </row>
    <row r="322" spans="1:15" x14ac:dyDescent="0.2">
      <c r="A322"/>
      <c r="B322" s="61"/>
      <c r="C322" s="61"/>
      <c r="F322"/>
      <c r="G322"/>
      <c r="H322"/>
      <c r="I322"/>
      <c r="L322"/>
      <c r="N322" s="61"/>
      <c r="O322"/>
    </row>
    <row r="323" spans="1:15" x14ac:dyDescent="0.2">
      <c r="A323"/>
      <c r="B323" s="61"/>
      <c r="C323" s="61"/>
      <c r="F323"/>
      <c r="G323"/>
      <c r="H323"/>
      <c r="I323"/>
      <c r="L323"/>
      <c r="M323"/>
      <c r="N323" s="61"/>
      <c r="O323"/>
    </row>
    <row r="324" spans="1:15" x14ac:dyDescent="0.2">
      <c r="A324"/>
      <c r="B324" s="61"/>
      <c r="C324" s="61"/>
      <c r="F324"/>
      <c r="G324"/>
      <c r="H324"/>
      <c r="I324"/>
      <c r="L324"/>
      <c r="M324"/>
      <c r="N324" s="61"/>
      <c r="O324"/>
    </row>
    <row r="325" spans="1:15" x14ac:dyDescent="0.2">
      <c r="A325"/>
      <c r="B325" s="61"/>
      <c r="C325" s="61"/>
      <c r="F325"/>
      <c r="G325"/>
      <c r="H325"/>
      <c r="I325"/>
      <c r="L325"/>
      <c r="M325"/>
      <c r="N325" s="61"/>
      <c r="O325"/>
    </row>
    <row r="326" spans="1:15" x14ac:dyDescent="0.2">
      <c r="A326"/>
      <c r="B326" s="61"/>
      <c r="C326" s="61"/>
      <c r="F326"/>
      <c r="G326"/>
      <c r="H326"/>
      <c r="I326"/>
      <c r="L326"/>
      <c r="M326"/>
      <c r="N326" s="61"/>
      <c r="O326"/>
    </row>
    <row r="327" spans="1:15" x14ac:dyDescent="0.2">
      <c r="A327"/>
      <c r="B327" s="61"/>
      <c r="C327" s="61"/>
      <c r="F327"/>
      <c r="G327"/>
      <c r="I327"/>
      <c r="L327"/>
      <c r="M327"/>
      <c r="N327" s="61"/>
      <c r="O327"/>
    </row>
    <row r="328" spans="1:15" x14ac:dyDescent="0.2">
      <c r="A328"/>
      <c r="B328" s="61"/>
      <c r="C328" s="61"/>
      <c r="F328"/>
      <c r="G328"/>
      <c r="I328"/>
      <c r="L328"/>
      <c r="M328"/>
      <c r="N328" s="61"/>
      <c r="O328"/>
    </row>
    <row r="329" spans="1:15" x14ac:dyDescent="0.2">
      <c r="A329"/>
      <c r="B329" s="61"/>
      <c r="C329" s="61"/>
      <c r="F329"/>
      <c r="G329"/>
      <c r="H329"/>
      <c r="I329"/>
      <c r="L329"/>
      <c r="M329"/>
      <c r="N329" s="61"/>
      <c r="O329"/>
    </row>
    <row r="330" spans="1:15" x14ac:dyDescent="0.2">
      <c r="A330"/>
      <c r="B330" s="61"/>
      <c r="C330" s="61"/>
      <c r="F330"/>
      <c r="G330"/>
      <c r="H330"/>
      <c r="I330"/>
      <c r="L330"/>
      <c r="M330"/>
      <c r="N330" s="61"/>
      <c r="O330"/>
    </row>
    <row r="331" spans="1:15" x14ac:dyDescent="0.2">
      <c r="A331"/>
      <c r="B331" s="61"/>
      <c r="C331" s="61"/>
      <c r="F331"/>
      <c r="G331"/>
      <c r="H331"/>
      <c r="I331"/>
      <c r="L331"/>
      <c r="M331"/>
      <c r="N331" s="61"/>
      <c r="O331"/>
    </row>
    <row r="332" spans="1:15" x14ac:dyDescent="0.2">
      <c r="A332"/>
      <c r="B332" s="61"/>
      <c r="C332" s="61"/>
      <c r="F332"/>
      <c r="G332"/>
      <c r="H332"/>
      <c r="I332"/>
      <c r="L332"/>
      <c r="N332" s="61"/>
      <c r="O332"/>
    </row>
    <row r="333" spans="1:15" x14ac:dyDescent="0.2">
      <c r="A333"/>
      <c r="B333" s="61"/>
      <c r="C333" s="61"/>
      <c r="F333"/>
      <c r="G333"/>
      <c r="H333"/>
      <c r="I333"/>
      <c r="L333"/>
      <c r="M333"/>
      <c r="N333" s="61"/>
      <c r="O333"/>
    </row>
    <row r="334" spans="1:15" x14ac:dyDescent="0.2">
      <c r="A334"/>
      <c r="B334" s="61"/>
      <c r="C334" s="61"/>
      <c r="F334"/>
      <c r="G334"/>
      <c r="J334"/>
      <c r="K334"/>
      <c r="L334"/>
      <c r="M334"/>
      <c r="N334" s="61"/>
      <c r="O334"/>
    </row>
    <row r="335" spans="1:15" x14ac:dyDescent="0.2">
      <c r="A335"/>
      <c r="B335" s="61"/>
      <c r="C335" s="61"/>
      <c r="F335"/>
      <c r="G335"/>
      <c r="H335"/>
      <c r="J335"/>
      <c r="K335"/>
      <c r="L335"/>
      <c r="M335"/>
      <c r="N335" s="61"/>
      <c r="O335"/>
    </row>
    <row r="336" spans="1:15" x14ac:dyDescent="0.2">
      <c r="A336"/>
      <c r="B336" s="61"/>
      <c r="C336" s="61"/>
      <c r="F336"/>
      <c r="G336"/>
      <c r="M336"/>
      <c r="N336" s="61"/>
      <c r="O336"/>
    </row>
    <row r="337" spans="1:15" x14ac:dyDescent="0.2">
      <c r="A337"/>
      <c r="B337" s="61"/>
      <c r="C337" s="61"/>
      <c r="F337"/>
      <c r="G337"/>
      <c r="H337"/>
      <c r="I337"/>
      <c r="L337"/>
      <c r="M337"/>
      <c r="N337" s="61"/>
      <c r="O337"/>
    </row>
    <row r="338" spans="1:15" x14ac:dyDescent="0.2">
      <c r="A338"/>
      <c r="B338" s="61"/>
      <c r="C338" s="61"/>
      <c r="F338"/>
      <c r="G338"/>
      <c r="I338"/>
      <c r="L338"/>
      <c r="M338"/>
      <c r="N338" s="61"/>
      <c r="O338"/>
    </row>
    <row r="339" spans="1:15" x14ac:dyDescent="0.2">
      <c r="A339"/>
      <c r="B339" s="61"/>
      <c r="C339" s="61"/>
      <c r="F339"/>
      <c r="G339"/>
      <c r="H339"/>
      <c r="I339"/>
      <c r="L339"/>
      <c r="M339"/>
      <c r="N339" s="61"/>
      <c r="O339"/>
    </row>
    <row r="340" spans="1:15" x14ac:dyDescent="0.2">
      <c r="A340"/>
      <c r="B340" s="61"/>
      <c r="C340" s="61"/>
      <c r="F340"/>
      <c r="G340"/>
      <c r="H340"/>
      <c r="J340"/>
      <c r="K340"/>
      <c r="L340"/>
      <c r="M340"/>
      <c r="N340" s="61"/>
      <c r="O340"/>
    </row>
    <row r="341" spans="1:15" x14ac:dyDescent="0.2">
      <c r="A341"/>
      <c r="B341" s="61"/>
      <c r="C341" s="61"/>
      <c r="F341"/>
      <c r="G341"/>
      <c r="M341"/>
      <c r="N341" s="61"/>
      <c r="O341"/>
    </row>
    <row r="342" spans="1:15" x14ac:dyDescent="0.2">
      <c r="A342"/>
      <c r="B342" s="61"/>
      <c r="C342" s="61"/>
      <c r="F342"/>
      <c r="G342"/>
      <c r="L342"/>
      <c r="M342"/>
      <c r="N342" s="61"/>
      <c r="O342"/>
    </row>
    <row r="343" spans="1:15" x14ac:dyDescent="0.2">
      <c r="A343"/>
      <c r="B343" s="61"/>
      <c r="C343" s="61"/>
      <c r="F343"/>
      <c r="G343"/>
      <c r="H343"/>
      <c r="I343"/>
      <c r="J343"/>
      <c r="K343"/>
      <c r="L343"/>
      <c r="M343"/>
      <c r="N343" s="61"/>
      <c r="O343"/>
    </row>
    <row r="344" spans="1:15" x14ac:dyDescent="0.2">
      <c r="A344"/>
      <c r="B344" s="61"/>
      <c r="C344" s="61"/>
      <c r="F344"/>
      <c r="G344"/>
      <c r="H344"/>
      <c r="I344"/>
      <c r="L344"/>
      <c r="M344"/>
      <c r="N344" s="61"/>
      <c r="O344"/>
    </row>
    <row r="345" spans="1:15" x14ac:dyDescent="0.2">
      <c r="A345"/>
      <c r="B345" s="61"/>
      <c r="C345" s="61"/>
      <c r="F345"/>
      <c r="G345"/>
      <c r="H345"/>
      <c r="I345"/>
      <c r="L345"/>
      <c r="M345"/>
      <c r="N345" s="61"/>
      <c r="O345"/>
    </row>
    <row r="346" spans="1:15" x14ac:dyDescent="0.2">
      <c r="A346"/>
      <c r="B346" s="61"/>
      <c r="C346" s="61"/>
      <c r="F346"/>
      <c r="G346"/>
      <c r="H346"/>
      <c r="I346"/>
      <c r="L346"/>
      <c r="M346"/>
      <c r="N346" s="61"/>
      <c r="O346"/>
    </row>
    <row r="347" spans="1:15" x14ac:dyDescent="0.2">
      <c r="A347"/>
      <c r="B347" s="61"/>
      <c r="C347" s="61"/>
      <c r="F347"/>
      <c r="G347"/>
      <c r="I347"/>
      <c r="L347"/>
      <c r="M347"/>
      <c r="N347" s="61"/>
      <c r="O347"/>
    </row>
    <row r="348" spans="1:15" x14ac:dyDescent="0.2">
      <c r="A348"/>
      <c r="B348" s="61"/>
      <c r="C348" s="61"/>
      <c r="F348"/>
      <c r="G348"/>
      <c r="I348"/>
      <c r="L348"/>
      <c r="M348"/>
      <c r="N348" s="61"/>
      <c r="O348"/>
    </row>
    <row r="349" spans="1:15" x14ac:dyDescent="0.2">
      <c r="A349"/>
      <c r="B349" s="61"/>
      <c r="C349" s="61"/>
      <c r="F349"/>
      <c r="G349"/>
      <c r="J349"/>
      <c r="L349"/>
      <c r="M349"/>
      <c r="N349" s="61"/>
      <c r="O349"/>
    </row>
    <row r="350" spans="1:15" x14ac:dyDescent="0.2">
      <c r="A350"/>
      <c r="B350" s="61"/>
      <c r="C350" s="61"/>
      <c r="F350"/>
      <c r="G350"/>
      <c r="H350"/>
      <c r="I350"/>
      <c r="L350"/>
      <c r="M350"/>
      <c r="N350" s="61"/>
      <c r="O350"/>
    </row>
    <row r="351" spans="1:15" x14ac:dyDescent="0.2">
      <c r="A351"/>
      <c r="B351" s="61"/>
      <c r="C351" s="61"/>
      <c r="F351"/>
      <c r="G351"/>
      <c r="I351"/>
      <c r="L351"/>
      <c r="M351"/>
      <c r="N351" s="61"/>
      <c r="O351"/>
    </row>
    <row r="352" spans="1:15" x14ac:dyDescent="0.2">
      <c r="A352"/>
      <c r="B352" s="61"/>
      <c r="C352" s="61"/>
      <c r="F352"/>
      <c r="G352"/>
      <c r="H352"/>
      <c r="I352"/>
      <c r="L352"/>
      <c r="M352"/>
      <c r="N352" s="61"/>
      <c r="O352"/>
    </row>
    <row r="353" spans="1:15" x14ac:dyDescent="0.2">
      <c r="A353"/>
      <c r="B353" s="61"/>
      <c r="C353" s="61"/>
      <c r="F353"/>
      <c r="G353"/>
      <c r="H353"/>
      <c r="I353"/>
      <c r="L353"/>
      <c r="M353"/>
      <c r="N353" s="61"/>
      <c r="O353"/>
    </row>
    <row r="354" spans="1:15" x14ac:dyDescent="0.2">
      <c r="A354"/>
      <c r="B354" s="61"/>
      <c r="C354" s="61"/>
      <c r="F354"/>
      <c r="G354"/>
      <c r="H354"/>
      <c r="I354"/>
      <c r="L354"/>
      <c r="M354"/>
      <c r="N354" s="61"/>
      <c r="O354"/>
    </row>
    <row r="355" spans="1:15" x14ac:dyDescent="0.2">
      <c r="A355"/>
      <c r="B355" s="61"/>
      <c r="C355" s="61"/>
      <c r="F355"/>
      <c r="G355"/>
      <c r="H355"/>
      <c r="I355"/>
      <c r="L355"/>
      <c r="M355"/>
      <c r="N355" s="61"/>
      <c r="O355"/>
    </row>
    <row r="356" spans="1:15" x14ac:dyDescent="0.2">
      <c r="A356"/>
      <c r="B356" s="61"/>
      <c r="C356" s="61"/>
      <c r="F356"/>
      <c r="G356"/>
      <c r="M356"/>
      <c r="N356" s="61"/>
      <c r="O356"/>
    </row>
    <row r="357" spans="1:15" x14ac:dyDescent="0.2">
      <c r="A357"/>
      <c r="B357" s="61"/>
      <c r="C357" s="61"/>
      <c r="F357"/>
      <c r="G357"/>
      <c r="H357"/>
      <c r="I357"/>
      <c r="L357"/>
      <c r="M357"/>
      <c r="N357" s="61"/>
      <c r="O357"/>
    </row>
    <row r="358" spans="1:15" x14ac:dyDescent="0.2">
      <c r="A358"/>
      <c r="B358" s="61"/>
      <c r="C358" s="61"/>
      <c r="F358"/>
      <c r="G358"/>
      <c r="H358"/>
      <c r="I358"/>
      <c r="L358"/>
      <c r="M358"/>
      <c r="N358" s="61"/>
      <c r="O358"/>
    </row>
    <row r="359" spans="1:15" x14ac:dyDescent="0.2">
      <c r="A359"/>
      <c r="B359" s="61"/>
      <c r="C359" s="61"/>
      <c r="F359"/>
      <c r="G359"/>
      <c r="H359"/>
      <c r="I359"/>
      <c r="L359"/>
      <c r="N359" s="61"/>
      <c r="O359"/>
    </row>
    <row r="360" spans="1:15" x14ac:dyDescent="0.2">
      <c r="A360"/>
      <c r="B360" s="61"/>
      <c r="C360" s="61"/>
      <c r="F360"/>
      <c r="G360"/>
      <c r="H360"/>
      <c r="I360"/>
      <c r="L360"/>
      <c r="M360"/>
      <c r="N360" s="61"/>
      <c r="O360"/>
    </row>
    <row r="361" spans="1:15" x14ac:dyDescent="0.2">
      <c r="A361"/>
      <c r="B361" s="61"/>
      <c r="C361" s="61"/>
      <c r="F361"/>
      <c r="G361"/>
      <c r="L361"/>
      <c r="M361"/>
      <c r="N361" s="61"/>
      <c r="O361"/>
    </row>
    <row r="362" spans="1:15" x14ac:dyDescent="0.2">
      <c r="A362"/>
      <c r="B362" s="61"/>
      <c r="C362" s="61"/>
      <c r="F362"/>
      <c r="G362"/>
      <c r="I362"/>
      <c r="L362"/>
      <c r="M362"/>
      <c r="N362" s="61"/>
      <c r="O362"/>
    </row>
    <row r="363" spans="1:15" x14ac:dyDescent="0.2">
      <c r="A363"/>
      <c r="B363" s="61"/>
      <c r="C363" s="61"/>
      <c r="F363"/>
      <c r="G363"/>
      <c r="H363"/>
      <c r="I363"/>
      <c r="L363"/>
      <c r="N363" s="61"/>
      <c r="O363"/>
    </row>
    <row r="364" spans="1:15" x14ac:dyDescent="0.2">
      <c r="A364"/>
      <c r="B364" s="61"/>
      <c r="C364" s="61"/>
      <c r="F364"/>
      <c r="G364"/>
      <c r="I364"/>
      <c r="L364"/>
      <c r="M364"/>
      <c r="N364" s="61"/>
      <c r="O364"/>
    </row>
    <row r="365" spans="1:15" x14ac:dyDescent="0.2">
      <c r="A365"/>
      <c r="B365" s="61"/>
      <c r="C365" s="61"/>
      <c r="F365"/>
      <c r="G365"/>
      <c r="L365"/>
      <c r="M365"/>
      <c r="N365" s="61"/>
      <c r="O365"/>
    </row>
    <row r="366" spans="1:15" x14ac:dyDescent="0.2">
      <c r="A366"/>
      <c r="B366" s="61"/>
      <c r="C366" s="61"/>
      <c r="F366"/>
      <c r="G366"/>
      <c r="H366"/>
      <c r="I366"/>
      <c r="L366"/>
      <c r="M366"/>
      <c r="N366" s="61"/>
      <c r="O366"/>
    </row>
    <row r="367" spans="1:15" x14ac:dyDescent="0.2">
      <c r="A367"/>
      <c r="B367" s="61"/>
      <c r="C367" s="61"/>
      <c r="F367"/>
      <c r="G367"/>
      <c r="H367"/>
      <c r="I367"/>
      <c r="L367"/>
      <c r="M367"/>
      <c r="N367" s="61"/>
      <c r="O367"/>
    </row>
    <row r="368" spans="1:15" x14ac:dyDescent="0.2">
      <c r="A368"/>
      <c r="B368" s="61"/>
      <c r="C368" s="61"/>
      <c r="F368"/>
      <c r="G368"/>
      <c r="H368"/>
      <c r="I368"/>
      <c r="L368"/>
      <c r="M368"/>
      <c r="N368" s="61"/>
      <c r="O368"/>
    </row>
    <row r="369" spans="1:15" x14ac:dyDescent="0.2">
      <c r="A369"/>
      <c r="B369" s="61"/>
      <c r="C369" s="61"/>
      <c r="F369"/>
      <c r="G369"/>
      <c r="I369"/>
      <c r="L369"/>
      <c r="M369"/>
      <c r="N369" s="61"/>
      <c r="O369"/>
    </row>
    <row r="370" spans="1:15" x14ac:dyDescent="0.2">
      <c r="A370"/>
      <c r="B370" s="61"/>
      <c r="C370" s="61"/>
      <c r="F370"/>
      <c r="G370"/>
      <c r="I370"/>
      <c r="L370"/>
      <c r="M370"/>
      <c r="N370" s="61"/>
      <c r="O370"/>
    </row>
    <row r="371" spans="1:15" x14ac:dyDescent="0.2">
      <c r="A371"/>
      <c r="B371" s="61"/>
      <c r="C371" s="61"/>
      <c r="F371"/>
      <c r="G371"/>
      <c r="L371"/>
      <c r="N371" s="61"/>
      <c r="O371"/>
    </row>
    <row r="372" spans="1:15" x14ac:dyDescent="0.2">
      <c r="A372"/>
      <c r="B372" s="61"/>
      <c r="C372" s="61"/>
      <c r="F372"/>
      <c r="G372"/>
      <c r="H372"/>
      <c r="I372"/>
      <c r="L372"/>
      <c r="M372"/>
      <c r="N372" s="61"/>
      <c r="O372"/>
    </row>
    <row r="373" spans="1:15" x14ac:dyDescent="0.2">
      <c r="A373"/>
      <c r="B373" s="61"/>
      <c r="C373" s="61"/>
      <c r="F373"/>
      <c r="G373"/>
      <c r="H373"/>
      <c r="I373"/>
      <c r="L373"/>
      <c r="M373"/>
      <c r="N373" s="61"/>
      <c r="O373"/>
    </row>
    <row r="374" spans="1:15" x14ac:dyDescent="0.2">
      <c r="A374"/>
      <c r="B374" s="61"/>
      <c r="C374" s="61"/>
      <c r="F374"/>
      <c r="G374"/>
      <c r="H374"/>
      <c r="I374"/>
      <c r="L374"/>
      <c r="M374"/>
      <c r="N374" s="61"/>
      <c r="O374"/>
    </row>
    <row r="375" spans="1:15" x14ac:dyDescent="0.2">
      <c r="A375"/>
      <c r="B375" s="61"/>
      <c r="C375" s="61"/>
      <c r="F375"/>
      <c r="G375"/>
      <c r="L375"/>
      <c r="M375"/>
      <c r="N375" s="61"/>
      <c r="O375"/>
    </row>
    <row r="376" spans="1:15" x14ac:dyDescent="0.2">
      <c r="A376"/>
      <c r="B376" s="61"/>
      <c r="C376" s="61"/>
      <c r="F376"/>
      <c r="G376"/>
      <c r="J376"/>
      <c r="K376"/>
      <c r="L376"/>
      <c r="M376"/>
      <c r="N376" s="61"/>
      <c r="O376"/>
    </row>
    <row r="377" spans="1:15" x14ac:dyDescent="0.2">
      <c r="A377"/>
      <c r="B377" s="61"/>
      <c r="C377" s="61"/>
      <c r="F377"/>
      <c r="G377"/>
      <c r="I377"/>
      <c r="L377"/>
      <c r="M377"/>
      <c r="N377" s="61"/>
      <c r="O377"/>
    </row>
    <row r="378" spans="1:15" x14ac:dyDescent="0.2">
      <c r="A378"/>
      <c r="B378" s="61"/>
      <c r="C378" s="61"/>
      <c r="F378"/>
      <c r="G378"/>
      <c r="I378"/>
      <c r="L378"/>
      <c r="M378"/>
      <c r="N378" s="61"/>
      <c r="O378"/>
    </row>
    <row r="379" spans="1:15" x14ac:dyDescent="0.2">
      <c r="A379"/>
      <c r="B379" s="61"/>
      <c r="C379" s="61"/>
      <c r="F379"/>
      <c r="G379"/>
      <c r="H379"/>
      <c r="I379"/>
      <c r="L379"/>
      <c r="M379"/>
      <c r="N379" s="61"/>
      <c r="O379"/>
    </row>
    <row r="380" spans="1:15" x14ac:dyDescent="0.2">
      <c r="A380"/>
      <c r="B380" s="61"/>
      <c r="C380" s="61"/>
      <c r="F380"/>
      <c r="G380"/>
      <c r="H380"/>
      <c r="I380"/>
      <c r="L380"/>
      <c r="M380"/>
      <c r="N380" s="61"/>
      <c r="O380"/>
    </row>
    <row r="381" spans="1:15" x14ac:dyDescent="0.2">
      <c r="A381"/>
      <c r="B381" s="61"/>
      <c r="C381" s="61"/>
      <c r="F381"/>
      <c r="G381"/>
      <c r="H381"/>
      <c r="I381"/>
      <c r="L381"/>
      <c r="M381"/>
      <c r="N381" s="61"/>
      <c r="O381"/>
    </row>
    <row r="382" spans="1:15" x14ac:dyDescent="0.2">
      <c r="A382"/>
      <c r="B382" s="61"/>
      <c r="C382" s="61"/>
      <c r="F382"/>
      <c r="G382"/>
      <c r="M382"/>
      <c r="N382" s="61"/>
      <c r="O382"/>
    </row>
    <row r="383" spans="1:15" x14ac:dyDescent="0.2">
      <c r="A383"/>
      <c r="B383" s="61"/>
      <c r="C383" s="61"/>
      <c r="F383"/>
      <c r="G383"/>
      <c r="J383"/>
      <c r="K383"/>
      <c r="L383"/>
      <c r="M383"/>
      <c r="N383" s="61"/>
      <c r="O383"/>
    </row>
    <row r="384" spans="1:15" x14ac:dyDescent="0.2">
      <c r="A384"/>
      <c r="B384" s="61"/>
      <c r="C384" s="61"/>
      <c r="F384"/>
      <c r="G384"/>
      <c r="H384"/>
      <c r="I384"/>
      <c r="L384"/>
      <c r="M384"/>
      <c r="N384" s="61"/>
      <c r="O384"/>
    </row>
    <row r="385" spans="1:15" x14ac:dyDescent="0.2">
      <c r="A385"/>
      <c r="B385" s="61"/>
      <c r="C385" s="61"/>
      <c r="F385"/>
      <c r="G385"/>
      <c r="I385"/>
      <c r="L385"/>
      <c r="M385"/>
      <c r="N385" s="61"/>
      <c r="O385"/>
    </row>
    <row r="386" spans="1:15" x14ac:dyDescent="0.2">
      <c r="A386"/>
      <c r="B386" s="61"/>
      <c r="C386" s="61"/>
      <c r="F386"/>
      <c r="G386"/>
      <c r="H386"/>
      <c r="I386"/>
      <c r="L386"/>
      <c r="M386"/>
      <c r="N386" s="61"/>
      <c r="O386"/>
    </row>
    <row r="387" spans="1:15" x14ac:dyDescent="0.2">
      <c r="A387"/>
      <c r="B387" s="61"/>
      <c r="C387" s="61"/>
      <c r="F387"/>
      <c r="G387"/>
      <c r="I387"/>
      <c r="L387"/>
      <c r="M387"/>
      <c r="N387" s="61"/>
      <c r="O387"/>
    </row>
    <row r="388" spans="1:15" x14ac:dyDescent="0.2">
      <c r="A388"/>
      <c r="B388" s="61"/>
      <c r="C388" s="61"/>
      <c r="F388"/>
      <c r="G388"/>
      <c r="J388"/>
      <c r="K388"/>
      <c r="L388"/>
      <c r="M388"/>
      <c r="N388" s="61"/>
      <c r="O388"/>
    </row>
    <row r="389" spans="1:15" x14ac:dyDescent="0.2">
      <c r="A389"/>
      <c r="B389" s="61"/>
      <c r="C389" s="61"/>
      <c r="F389"/>
      <c r="G389"/>
      <c r="I389"/>
      <c r="L389"/>
      <c r="M389"/>
      <c r="N389" s="61"/>
      <c r="O389"/>
    </row>
    <row r="390" spans="1:15" x14ac:dyDescent="0.2">
      <c r="A390"/>
      <c r="B390" s="61"/>
      <c r="C390" s="61"/>
      <c r="F390"/>
      <c r="G390"/>
      <c r="H390"/>
      <c r="I390"/>
      <c r="L390"/>
      <c r="N390" s="61"/>
      <c r="O390"/>
    </row>
    <row r="391" spans="1:15" x14ac:dyDescent="0.2">
      <c r="A391"/>
      <c r="B391" s="61"/>
      <c r="C391" s="61"/>
      <c r="F391"/>
      <c r="G391"/>
      <c r="H391"/>
      <c r="I391"/>
      <c r="L391"/>
      <c r="M391"/>
      <c r="N391" s="61"/>
      <c r="O391"/>
    </row>
    <row r="392" spans="1:15" x14ac:dyDescent="0.2">
      <c r="A392"/>
      <c r="B392" s="61"/>
      <c r="C392" s="61"/>
      <c r="F392"/>
      <c r="G392"/>
      <c r="H392"/>
      <c r="I392"/>
      <c r="L392"/>
      <c r="M392"/>
      <c r="N392" s="61"/>
      <c r="O392"/>
    </row>
    <row r="393" spans="1:15" x14ac:dyDescent="0.2">
      <c r="A393"/>
      <c r="B393" s="61"/>
      <c r="C393" s="61"/>
      <c r="F393"/>
      <c r="G393"/>
      <c r="L393"/>
      <c r="M393"/>
      <c r="N393" s="61"/>
      <c r="O393"/>
    </row>
    <row r="394" spans="1:15" x14ac:dyDescent="0.2">
      <c r="A394"/>
      <c r="B394" s="61"/>
      <c r="C394" s="61"/>
      <c r="F394"/>
      <c r="G394"/>
      <c r="I394"/>
      <c r="L394"/>
      <c r="M394"/>
      <c r="N394" s="61"/>
      <c r="O394"/>
    </row>
    <row r="395" spans="1:15" x14ac:dyDescent="0.2">
      <c r="A395"/>
      <c r="B395" s="61"/>
      <c r="C395" s="61"/>
      <c r="F395"/>
      <c r="G395"/>
      <c r="H395"/>
      <c r="I395"/>
      <c r="L395"/>
      <c r="M395"/>
      <c r="N395" s="61"/>
      <c r="O395"/>
    </row>
    <row r="396" spans="1:15" x14ac:dyDescent="0.2">
      <c r="A396"/>
      <c r="B396" s="61"/>
      <c r="C396" s="61"/>
      <c r="F396"/>
      <c r="G396"/>
      <c r="M396"/>
      <c r="N396" s="61"/>
      <c r="O396"/>
    </row>
    <row r="397" spans="1:15" x14ac:dyDescent="0.2">
      <c r="A397"/>
      <c r="B397" s="61"/>
      <c r="C397" s="61"/>
      <c r="F397"/>
      <c r="G397"/>
      <c r="H397"/>
      <c r="J397"/>
      <c r="K397"/>
      <c r="L397"/>
      <c r="M397"/>
      <c r="N397" s="61"/>
      <c r="O397"/>
    </row>
    <row r="398" spans="1:15" x14ac:dyDescent="0.2">
      <c r="A398"/>
      <c r="B398" s="61"/>
      <c r="C398" s="61"/>
      <c r="F398"/>
      <c r="G398"/>
      <c r="H398"/>
      <c r="J398"/>
      <c r="K398"/>
      <c r="L398"/>
      <c r="M398"/>
      <c r="N398" s="61"/>
      <c r="O398"/>
    </row>
    <row r="399" spans="1:15" x14ac:dyDescent="0.2">
      <c r="A399"/>
      <c r="B399" s="61"/>
      <c r="C399" s="61"/>
      <c r="F399"/>
      <c r="G399"/>
      <c r="H399"/>
      <c r="L399"/>
      <c r="M399"/>
      <c r="N399" s="61"/>
      <c r="O399"/>
    </row>
    <row r="400" spans="1:15" x14ac:dyDescent="0.2">
      <c r="A400"/>
      <c r="B400" s="61"/>
      <c r="C400" s="61"/>
      <c r="F400"/>
      <c r="G400"/>
      <c r="J400"/>
      <c r="K400"/>
      <c r="L400"/>
      <c r="M400"/>
      <c r="N400" s="61"/>
      <c r="O400"/>
    </row>
    <row r="401" spans="1:15" x14ac:dyDescent="0.2">
      <c r="A401"/>
      <c r="B401" s="61"/>
      <c r="C401" s="61"/>
      <c r="F401"/>
      <c r="G401"/>
      <c r="H401"/>
      <c r="J401"/>
      <c r="K401"/>
      <c r="L401"/>
      <c r="M401"/>
      <c r="N401" s="61"/>
      <c r="O401"/>
    </row>
    <row r="402" spans="1:15" x14ac:dyDescent="0.2">
      <c r="A402"/>
      <c r="B402" s="61"/>
      <c r="C402" s="61"/>
      <c r="G402"/>
      <c r="M402"/>
      <c r="N402" s="61"/>
      <c r="O402"/>
    </row>
    <row r="403" spans="1:15" x14ac:dyDescent="0.2">
      <c r="A403"/>
      <c r="B403" s="61"/>
      <c r="C403" s="61"/>
      <c r="F403"/>
      <c r="G403"/>
      <c r="H403"/>
      <c r="J403"/>
      <c r="K403"/>
      <c r="L403"/>
      <c r="M403"/>
      <c r="N403" s="61"/>
      <c r="O403"/>
    </row>
    <row r="404" spans="1:15" x14ac:dyDescent="0.2">
      <c r="A404"/>
      <c r="B404" s="61"/>
      <c r="C404" s="61"/>
      <c r="F404"/>
      <c r="G404"/>
      <c r="H404"/>
      <c r="K404"/>
      <c r="L404"/>
      <c r="M404"/>
      <c r="N404" s="61"/>
      <c r="O404"/>
    </row>
    <row r="405" spans="1:15" x14ac:dyDescent="0.2">
      <c r="A405"/>
      <c r="B405" s="61"/>
      <c r="C405" s="61"/>
      <c r="F405"/>
      <c r="G405"/>
      <c r="H405"/>
      <c r="I405"/>
      <c r="L405"/>
      <c r="N405" s="61"/>
      <c r="O405"/>
    </row>
    <row r="406" spans="1:15" x14ac:dyDescent="0.2">
      <c r="A406"/>
      <c r="B406" s="61"/>
      <c r="C406" s="61"/>
      <c r="F406"/>
      <c r="G406"/>
      <c r="J406"/>
      <c r="K406"/>
      <c r="L406"/>
      <c r="M406"/>
      <c r="N406" s="61"/>
      <c r="O406"/>
    </row>
    <row r="407" spans="1:15" x14ac:dyDescent="0.2">
      <c r="A407"/>
      <c r="B407" s="61"/>
      <c r="C407" s="61"/>
      <c r="F407"/>
      <c r="G407"/>
      <c r="H407"/>
      <c r="J407"/>
      <c r="K407"/>
      <c r="L407"/>
      <c r="M407"/>
      <c r="N407" s="61"/>
      <c r="O407"/>
    </row>
    <row r="408" spans="1:15" x14ac:dyDescent="0.2">
      <c r="A408"/>
      <c r="B408" s="61"/>
      <c r="C408" s="61"/>
      <c r="F408"/>
      <c r="G408"/>
      <c r="H408"/>
      <c r="J408"/>
      <c r="K408"/>
      <c r="L408"/>
      <c r="M408"/>
      <c r="N408" s="61"/>
      <c r="O408"/>
    </row>
    <row r="409" spans="1:15" x14ac:dyDescent="0.2">
      <c r="A409"/>
      <c r="B409" s="61"/>
      <c r="C409" s="61"/>
      <c r="F409"/>
      <c r="G409"/>
      <c r="H409"/>
      <c r="J409"/>
      <c r="K409"/>
      <c r="L409"/>
      <c r="M409"/>
      <c r="N409" s="61"/>
      <c r="O409"/>
    </row>
    <row r="410" spans="1:15" x14ac:dyDescent="0.2">
      <c r="A410"/>
      <c r="B410" s="61"/>
      <c r="C410" s="61"/>
      <c r="F410"/>
      <c r="G410"/>
      <c r="H410"/>
      <c r="J410"/>
      <c r="K410"/>
      <c r="L410"/>
      <c r="M410"/>
      <c r="N410" s="61"/>
      <c r="O410"/>
    </row>
    <row r="411" spans="1:15" x14ac:dyDescent="0.2">
      <c r="A411"/>
      <c r="B411" s="61"/>
      <c r="C411" s="61"/>
      <c r="F411"/>
      <c r="G411"/>
      <c r="H411"/>
      <c r="J411"/>
      <c r="K411"/>
      <c r="M411"/>
      <c r="N411" s="61"/>
      <c r="O411"/>
    </row>
    <row r="412" spans="1:15" x14ac:dyDescent="0.2">
      <c r="A412"/>
      <c r="B412" s="61"/>
      <c r="C412" s="61"/>
      <c r="F412"/>
      <c r="G412"/>
      <c r="H412"/>
      <c r="J412"/>
      <c r="K412"/>
      <c r="L412"/>
      <c r="M412"/>
      <c r="N412" s="61"/>
      <c r="O412"/>
    </row>
    <row r="413" spans="1:15" x14ac:dyDescent="0.2">
      <c r="A413"/>
      <c r="B413" s="61"/>
      <c r="C413" s="61"/>
      <c r="F413"/>
      <c r="G413"/>
      <c r="H413"/>
      <c r="I413"/>
      <c r="L413"/>
      <c r="M413"/>
      <c r="N413" s="61"/>
      <c r="O413"/>
    </row>
    <row r="414" spans="1:15" x14ac:dyDescent="0.2">
      <c r="A414"/>
      <c r="B414" s="61"/>
      <c r="C414" s="61"/>
      <c r="F414"/>
      <c r="G414"/>
      <c r="H414"/>
      <c r="I414"/>
      <c r="L414"/>
      <c r="M414"/>
      <c r="N414" s="61"/>
      <c r="O414"/>
    </row>
    <row r="415" spans="1:15" x14ac:dyDescent="0.2">
      <c r="A415"/>
      <c r="B415" s="61"/>
      <c r="C415" s="61"/>
      <c r="F415"/>
      <c r="G415"/>
      <c r="L415"/>
      <c r="M415"/>
      <c r="N415" s="61"/>
      <c r="O415"/>
    </row>
    <row r="416" spans="1:15" x14ac:dyDescent="0.2">
      <c r="A416"/>
      <c r="B416" s="61"/>
      <c r="C416" s="61"/>
      <c r="F416"/>
      <c r="G416"/>
      <c r="I416"/>
      <c r="L416"/>
      <c r="M416"/>
      <c r="N416" s="61"/>
      <c r="O416"/>
    </row>
    <row r="417" spans="1:15" x14ac:dyDescent="0.2">
      <c r="A417"/>
      <c r="B417" s="61"/>
      <c r="C417" s="61"/>
      <c r="F417"/>
      <c r="G417"/>
      <c r="H417"/>
      <c r="I417"/>
      <c r="L417"/>
      <c r="N417" s="61"/>
      <c r="O417"/>
    </row>
    <row r="418" spans="1:15" x14ac:dyDescent="0.2">
      <c r="A418"/>
      <c r="B418" s="61"/>
      <c r="C418" s="61"/>
      <c r="F418"/>
      <c r="G418"/>
      <c r="I418"/>
      <c r="L418"/>
      <c r="M418"/>
      <c r="N418" s="61"/>
      <c r="O418"/>
    </row>
    <row r="419" spans="1:15" x14ac:dyDescent="0.2">
      <c r="A419"/>
      <c r="B419" s="61"/>
      <c r="C419" s="61"/>
      <c r="F419"/>
      <c r="G419"/>
      <c r="I419"/>
      <c r="L419"/>
      <c r="M419"/>
      <c r="N419" s="61"/>
      <c r="O419"/>
    </row>
    <row r="420" spans="1:15" x14ac:dyDescent="0.2">
      <c r="A420"/>
      <c r="B420" s="61"/>
      <c r="C420" s="61"/>
      <c r="F420"/>
      <c r="G420"/>
      <c r="H420"/>
      <c r="I420"/>
      <c r="L420"/>
      <c r="M420"/>
      <c r="N420" s="61"/>
      <c r="O420"/>
    </row>
    <row r="421" spans="1:15" x14ac:dyDescent="0.2">
      <c r="A421"/>
      <c r="B421" s="61"/>
      <c r="C421" s="61"/>
      <c r="F421"/>
      <c r="G421"/>
      <c r="H421"/>
      <c r="I421"/>
      <c r="L421"/>
      <c r="M421"/>
      <c r="N421" s="61"/>
      <c r="O421"/>
    </row>
    <row r="422" spans="1:15" x14ac:dyDescent="0.2">
      <c r="A422"/>
      <c r="B422" s="61"/>
      <c r="C422" s="61"/>
      <c r="F422"/>
      <c r="G422"/>
      <c r="H422"/>
      <c r="I422"/>
      <c r="L422"/>
      <c r="N422" s="61"/>
      <c r="O422"/>
    </row>
    <row r="423" spans="1:15" x14ac:dyDescent="0.2">
      <c r="A423"/>
      <c r="B423" s="61"/>
      <c r="C423" s="61"/>
      <c r="F423"/>
      <c r="G423"/>
      <c r="H423"/>
      <c r="I423"/>
      <c r="L423"/>
      <c r="N423" s="61"/>
      <c r="O423"/>
    </row>
    <row r="424" spans="1:15" x14ac:dyDescent="0.2">
      <c r="A424"/>
      <c r="B424" s="61"/>
      <c r="C424" s="61"/>
      <c r="F424"/>
      <c r="G424"/>
      <c r="H424"/>
      <c r="I424"/>
      <c r="L424"/>
      <c r="M424"/>
      <c r="N424" s="61"/>
      <c r="O424"/>
    </row>
    <row r="425" spans="1:15" x14ac:dyDescent="0.2">
      <c r="A425"/>
      <c r="B425" s="61"/>
      <c r="C425" s="61"/>
      <c r="F425"/>
      <c r="G425"/>
      <c r="H425"/>
      <c r="I425"/>
      <c r="L425"/>
      <c r="M425"/>
      <c r="N425" s="61"/>
      <c r="O425"/>
    </row>
    <row r="426" spans="1:15" x14ac:dyDescent="0.2">
      <c r="A426"/>
      <c r="B426" s="61"/>
      <c r="C426" s="61"/>
      <c r="F426"/>
      <c r="G426"/>
      <c r="H426"/>
      <c r="I426"/>
      <c r="L426"/>
      <c r="M426"/>
      <c r="N426" s="61"/>
      <c r="O426"/>
    </row>
    <row r="427" spans="1:15" x14ac:dyDescent="0.2">
      <c r="A427"/>
      <c r="B427" s="61"/>
      <c r="C427" s="61"/>
      <c r="F427"/>
      <c r="G427"/>
      <c r="H427"/>
      <c r="I427"/>
      <c r="L427"/>
      <c r="M427"/>
      <c r="N427" s="61"/>
      <c r="O427"/>
    </row>
    <row r="428" spans="1:15" x14ac:dyDescent="0.2">
      <c r="A428"/>
      <c r="B428" s="61"/>
      <c r="C428" s="61"/>
      <c r="F428"/>
      <c r="G428"/>
      <c r="H428"/>
      <c r="I428"/>
      <c r="L428"/>
      <c r="M428"/>
      <c r="N428" s="61"/>
      <c r="O428"/>
    </row>
    <row r="429" spans="1:15" x14ac:dyDescent="0.2">
      <c r="A429"/>
      <c r="B429" s="61"/>
      <c r="C429" s="61"/>
      <c r="F429"/>
      <c r="G429"/>
      <c r="H429"/>
      <c r="I429"/>
      <c r="L429"/>
      <c r="M429"/>
      <c r="N429" s="61"/>
      <c r="O429"/>
    </row>
    <row r="430" spans="1:15" x14ac:dyDescent="0.2">
      <c r="A430"/>
      <c r="B430" s="61"/>
      <c r="C430" s="61"/>
      <c r="F430"/>
      <c r="G430"/>
      <c r="H430"/>
      <c r="I430"/>
      <c r="L430"/>
      <c r="N430" s="61"/>
      <c r="O430"/>
    </row>
    <row r="431" spans="1:15" x14ac:dyDescent="0.2">
      <c r="A431"/>
      <c r="B431" s="61"/>
      <c r="C431" s="61"/>
      <c r="F431"/>
      <c r="G431"/>
      <c r="H431"/>
      <c r="I431"/>
      <c r="L431"/>
      <c r="N431" s="61"/>
      <c r="O431"/>
    </row>
    <row r="432" spans="1:15" x14ac:dyDescent="0.2">
      <c r="A432"/>
      <c r="B432" s="61"/>
      <c r="C432" s="61"/>
      <c r="F432"/>
      <c r="G432"/>
      <c r="I432"/>
      <c r="L432"/>
      <c r="M432"/>
      <c r="N432" s="61"/>
      <c r="O432"/>
    </row>
    <row r="433" spans="1:15" x14ac:dyDescent="0.2">
      <c r="A433"/>
      <c r="B433" s="61"/>
      <c r="C433" s="61"/>
      <c r="F433"/>
      <c r="G433"/>
      <c r="L433"/>
      <c r="M433"/>
      <c r="N433" s="61"/>
      <c r="O433"/>
    </row>
    <row r="434" spans="1:15" x14ac:dyDescent="0.2">
      <c r="A434"/>
      <c r="B434" s="61"/>
      <c r="C434" s="61"/>
      <c r="F434"/>
      <c r="G434"/>
      <c r="H434"/>
      <c r="I434"/>
      <c r="L434"/>
      <c r="M434"/>
      <c r="N434" s="61"/>
      <c r="O434"/>
    </row>
    <row r="435" spans="1:15" x14ac:dyDescent="0.2">
      <c r="A435"/>
      <c r="B435" s="61"/>
      <c r="C435" s="61"/>
      <c r="F435"/>
      <c r="G435"/>
      <c r="H435"/>
      <c r="I435"/>
      <c r="L435"/>
      <c r="M435"/>
      <c r="N435" s="61"/>
      <c r="O435"/>
    </row>
    <row r="436" spans="1:15" x14ac:dyDescent="0.2">
      <c r="A436"/>
      <c r="B436" s="61"/>
      <c r="C436" s="61"/>
      <c r="F436"/>
      <c r="G436"/>
      <c r="H436"/>
      <c r="I436"/>
      <c r="L436"/>
      <c r="M436"/>
      <c r="N436" s="61"/>
      <c r="O436"/>
    </row>
    <row r="437" spans="1:15" x14ac:dyDescent="0.2">
      <c r="A437"/>
      <c r="B437" s="61"/>
      <c r="C437" s="61"/>
      <c r="F437"/>
      <c r="G437"/>
      <c r="H437"/>
      <c r="I437"/>
      <c r="L437"/>
      <c r="N437" s="61"/>
      <c r="O437"/>
    </row>
    <row r="438" spans="1:15" x14ac:dyDescent="0.2">
      <c r="A438"/>
      <c r="B438" s="61"/>
      <c r="C438" s="61"/>
      <c r="F438"/>
      <c r="G438"/>
      <c r="H438"/>
      <c r="I438"/>
      <c r="L438"/>
      <c r="M438"/>
      <c r="N438" s="61"/>
      <c r="O438"/>
    </row>
    <row r="439" spans="1:15" x14ac:dyDescent="0.2">
      <c r="A439"/>
      <c r="B439" s="61"/>
      <c r="C439" s="61"/>
      <c r="F439"/>
      <c r="G439"/>
      <c r="H439"/>
      <c r="I439"/>
      <c r="L439"/>
      <c r="M439"/>
      <c r="N439" s="61"/>
      <c r="O439"/>
    </row>
    <row r="440" spans="1:15" x14ac:dyDescent="0.2">
      <c r="A440"/>
      <c r="B440" s="61"/>
      <c r="C440" s="61"/>
      <c r="F440"/>
      <c r="G440"/>
      <c r="H440"/>
      <c r="I440"/>
      <c r="L440"/>
      <c r="N440" s="61"/>
      <c r="O440"/>
    </row>
    <row r="441" spans="1:15" x14ac:dyDescent="0.2">
      <c r="A441"/>
      <c r="B441" s="61"/>
      <c r="C441" s="61"/>
      <c r="F441"/>
      <c r="G441"/>
      <c r="H441"/>
      <c r="I441"/>
      <c r="L441"/>
      <c r="M441"/>
      <c r="N441" s="61"/>
      <c r="O441"/>
    </row>
    <row r="442" spans="1:15" x14ac:dyDescent="0.2">
      <c r="A442"/>
      <c r="B442" s="61"/>
      <c r="C442" s="61"/>
      <c r="F442"/>
      <c r="G442"/>
      <c r="H442"/>
      <c r="I442"/>
      <c r="L442"/>
      <c r="M442"/>
      <c r="N442" s="61"/>
      <c r="O442"/>
    </row>
    <row r="443" spans="1:15" x14ac:dyDescent="0.2">
      <c r="A443"/>
      <c r="B443" s="61"/>
      <c r="C443" s="61"/>
      <c r="F443"/>
      <c r="G443"/>
      <c r="I443"/>
      <c r="L443"/>
      <c r="N443" s="61"/>
      <c r="O443"/>
    </row>
    <row r="444" spans="1:15" x14ac:dyDescent="0.2">
      <c r="A444"/>
      <c r="B444" s="61"/>
      <c r="C444" s="61"/>
      <c r="F444"/>
      <c r="G444"/>
      <c r="H444"/>
      <c r="I444"/>
      <c r="L444"/>
      <c r="M444"/>
      <c r="N444" s="61"/>
      <c r="O444"/>
    </row>
    <row r="445" spans="1:15" x14ac:dyDescent="0.2">
      <c r="A445"/>
      <c r="B445" s="61"/>
      <c r="C445" s="61"/>
      <c r="F445"/>
      <c r="G445"/>
      <c r="H445"/>
      <c r="I445"/>
      <c r="L445"/>
      <c r="M445"/>
      <c r="N445" s="61"/>
      <c r="O445"/>
    </row>
    <row r="446" spans="1:15" x14ac:dyDescent="0.2">
      <c r="A446"/>
      <c r="B446" s="61"/>
      <c r="C446" s="61"/>
      <c r="F446"/>
      <c r="G446"/>
      <c r="L446"/>
      <c r="M446"/>
      <c r="N446" s="61"/>
      <c r="O446"/>
    </row>
    <row r="447" spans="1:15" x14ac:dyDescent="0.2">
      <c r="A447"/>
      <c r="B447" s="61"/>
      <c r="C447" s="61"/>
      <c r="F447"/>
      <c r="G447"/>
      <c r="H447"/>
      <c r="I447"/>
      <c r="L447"/>
      <c r="M447"/>
      <c r="N447" s="61"/>
      <c r="O447"/>
    </row>
    <row r="448" spans="1:15" x14ac:dyDescent="0.2">
      <c r="A448"/>
      <c r="B448" s="61"/>
      <c r="C448" s="61"/>
      <c r="F448"/>
      <c r="G448"/>
      <c r="H448"/>
      <c r="I448"/>
      <c r="L448"/>
      <c r="M448"/>
      <c r="N448" s="61"/>
      <c r="O448"/>
    </row>
    <row r="449" spans="1:15" x14ac:dyDescent="0.2">
      <c r="A449"/>
      <c r="B449" s="61"/>
      <c r="C449" s="61"/>
      <c r="F449"/>
      <c r="G449"/>
      <c r="H449"/>
      <c r="I449"/>
      <c r="L449"/>
      <c r="M449"/>
      <c r="N449" s="61"/>
      <c r="O449"/>
    </row>
    <row r="450" spans="1:15" x14ac:dyDescent="0.2">
      <c r="A450"/>
      <c r="B450" s="61"/>
      <c r="C450" s="61"/>
      <c r="F450"/>
      <c r="G450"/>
      <c r="H450"/>
      <c r="I450"/>
      <c r="L450"/>
      <c r="M450"/>
      <c r="N450" s="61"/>
      <c r="O450"/>
    </row>
    <row r="451" spans="1:15" x14ac:dyDescent="0.2">
      <c r="A451"/>
      <c r="B451" s="61"/>
      <c r="C451" s="61"/>
      <c r="F451"/>
      <c r="G451"/>
      <c r="I451"/>
      <c r="L451"/>
      <c r="M451"/>
      <c r="N451" s="61"/>
      <c r="O451"/>
    </row>
    <row r="452" spans="1:15" x14ac:dyDescent="0.2">
      <c r="A452"/>
      <c r="B452" s="61"/>
      <c r="C452" s="61"/>
      <c r="F452"/>
      <c r="G452"/>
      <c r="I452"/>
      <c r="L452"/>
      <c r="M452"/>
      <c r="N452" s="61"/>
      <c r="O452"/>
    </row>
    <row r="453" spans="1:15" x14ac:dyDescent="0.2">
      <c r="A453"/>
      <c r="B453" s="61"/>
      <c r="C453" s="61"/>
      <c r="F453"/>
      <c r="G453"/>
      <c r="M453"/>
      <c r="N453" s="61"/>
      <c r="O453"/>
    </row>
    <row r="454" spans="1:15" x14ac:dyDescent="0.2">
      <c r="A454"/>
      <c r="B454" s="61"/>
      <c r="C454" s="61"/>
      <c r="F454"/>
      <c r="G454"/>
      <c r="H454"/>
      <c r="I454"/>
      <c r="L454"/>
      <c r="M454"/>
      <c r="N454" s="61"/>
      <c r="O454"/>
    </row>
    <row r="455" spans="1:15" x14ac:dyDescent="0.2">
      <c r="A455"/>
      <c r="B455" s="61"/>
      <c r="C455" s="61"/>
      <c r="F455"/>
      <c r="G455"/>
      <c r="M455"/>
      <c r="N455" s="61"/>
      <c r="O455"/>
    </row>
    <row r="456" spans="1:15" x14ac:dyDescent="0.2">
      <c r="A456"/>
      <c r="B456" s="61"/>
      <c r="C456" s="61"/>
      <c r="F456"/>
      <c r="G456"/>
      <c r="I456"/>
      <c r="L456"/>
      <c r="M456"/>
      <c r="N456" s="61"/>
      <c r="O456"/>
    </row>
    <row r="457" spans="1:15" x14ac:dyDescent="0.2">
      <c r="A457"/>
      <c r="B457" s="61"/>
      <c r="C457" s="61"/>
      <c r="F457"/>
      <c r="G457"/>
      <c r="H457"/>
      <c r="I457"/>
      <c r="J457"/>
      <c r="K457"/>
      <c r="L457"/>
      <c r="M457"/>
      <c r="N457" s="61"/>
      <c r="O457"/>
    </row>
    <row r="458" spans="1:15" x14ac:dyDescent="0.2">
      <c r="A458"/>
      <c r="B458" s="61"/>
      <c r="C458" s="61"/>
      <c r="F458"/>
      <c r="G458"/>
      <c r="I458"/>
      <c r="L458"/>
      <c r="M458"/>
      <c r="N458" s="61"/>
      <c r="O458"/>
    </row>
    <row r="459" spans="1:15" x14ac:dyDescent="0.2">
      <c r="A459"/>
      <c r="B459" s="61"/>
      <c r="C459" s="61"/>
      <c r="F459"/>
      <c r="G459"/>
      <c r="L459"/>
      <c r="M459"/>
      <c r="N459" s="61"/>
      <c r="O459"/>
    </row>
    <row r="460" spans="1:15" x14ac:dyDescent="0.2">
      <c r="A460"/>
      <c r="B460" s="61"/>
      <c r="C460" s="61"/>
      <c r="F460"/>
      <c r="G460"/>
      <c r="H460"/>
      <c r="I460"/>
      <c r="L460"/>
      <c r="M460"/>
      <c r="N460" s="61"/>
      <c r="O460"/>
    </row>
    <row r="461" spans="1:15" x14ac:dyDescent="0.2">
      <c r="A461"/>
      <c r="B461" s="61"/>
      <c r="C461" s="61"/>
      <c r="F461"/>
      <c r="G461"/>
      <c r="I461"/>
      <c r="L461"/>
      <c r="M461"/>
      <c r="N461" s="61"/>
      <c r="O461"/>
    </row>
    <row r="462" spans="1:15" x14ac:dyDescent="0.2">
      <c r="A462"/>
      <c r="B462" s="61"/>
      <c r="C462" s="61"/>
      <c r="F462"/>
      <c r="G462"/>
      <c r="H462"/>
      <c r="I462"/>
      <c r="L462"/>
      <c r="M462"/>
      <c r="N462" s="61"/>
      <c r="O462"/>
    </row>
    <row r="463" spans="1:15" x14ac:dyDescent="0.2">
      <c r="A463"/>
      <c r="B463" s="61"/>
      <c r="C463" s="61"/>
      <c r="F463"/>
      <c r="G463"/>
      <c r="H463"/>
      <c r="I463"/>
      <c r="L463"/>
      <c r="M463"/>
      <c r="N463" s="61"/>
      <c r="O463"/>
    </row>
    <row r="464" spans="1:15" x14ac:dyDescent="0.2">
      <c r="A464"/>
      <c r="B464" s="61"/>
      <c r="C464" s="61"/>
      <c r="F464"/>
      <c r="G464"/>
      <c r="H464"/>
      <c r="I464"/>
      <c r="L464"/>
      <c r="M464"/>
      <c r="N464" s="61"/>
      <c r="O464"/>
    </row>
    <row r="465" spans="1:15" x14ac:dyDescent="0.2">
      <c r="A465"/>
      <c r="B465" s="61"/>
      <c r="C465" s="61"/>
      <c r="F465"/>
      <c r="G465"/>
      <c r="H465"/>
      <c r="J465"/>
      <c r="K465"/>
      <c r="L465"/>
      <c r="M465"/>
      <c r="N465" s="61"/>
      <c r="O465"/>
    </row>
    <row r="466" spans="1:15" x14ac:dyDescent="0.2">
      <c r="A466"/>
      <c r="B466" s="61"/>
      <c r="C466" s="61"/>
      <c r="F466"/>
      <c r="G466"/>
      <c r="J466"/>
      <c r="K466"/>
      <c r="L466"/>
      <c r="M466"/>
      <c r="N466" s="61"/>
      <c r="O466"/>
    </row>
    <row r="467" spans="1:15" x14ac:dyDescent="0.2">
      <c r="A467"/>
      <c r="B467" s="61"/>
      <c r="C467" s="61"/>
      <c r="F467"/>
      <c r="G467"/>
      <c r="J467"/>
      <c r="K467"/>
      <c r="L467"/>
      <c r="M467"/>
      <c r="N467" s="61"/>
      <c r="O467"/>
    </row>
    <row r="468" spans="1:15" x14ac:dyDescent="0.2">
      <c r="A468"/>
      <c r="B468" s="61"/>
      <c r="C468" s="61"/>
      <c r="F468"/>
      <c r="G468"/>
      <c r="H468"/>
      <c r="I468"/>
      <c r="L468"/>
      <c r="N468" s="61"/>
      <c r="O468"/>
    </row>
    <row r="469" spans="1:15" x14ac:dyDescent="0.2">
      <c r="A469"/>
      <c r="B469" s="61"/>
      <c r="C469" s="61"/>
      <c r="F469"/>
      <c r="G469"/>
      <c r="J469"/>
      <c r="K469"/>
      <c r="L469"/>
      <c r="M469"/>
      <c r="N469" s="61"/>
      <c r="O469"/>
    </row>
    <row r="470" spans="1:15" x14ac:dyDescent="0.2">
      <c r="A470"/>
      <c r="B470" s="61"/>
      <c r="C470" s="61"/>
      <c r="F470"/>
      <c r="G470"/>
      <c r="I470"/>
      <c r="L470"/>
      <c r="M470"/>
      <c r="N470" s="61"/>
      <c r="O470"/>
    </row>
    <row r="471" spans="1:15" x14ac:dyDescent="0.2">
      <c r="A471"/>
      <c r="B471" s="61"/>
      <c r="C471" s="61"/>
      <c r="F471"/>
      <c r="G471"/>
      <c r="H471"/>
      <c r="I471"/>
      <c r="L471"/>
      <c r="M471"/>
      <c r="N471" s="61"/>
      <c r="O471"/>
    </row>
    <row r="472" spans="1:15" x14ac:dyDescent="0.2">
      <c r="A472"/>
      <c r="B472" s="61"/>
      <c r="C472" s="61"/>
      <c r="F472"/>
      <c r="G472"/>
      <c r="L472"/>
      <c r="M472"/>
      <c r="N472" s="61"/>
      <c r="O472"/>
    </row>
    <row r="473" spans="1:15" x14ac:dyDescent="0.2">
      <c r="A473"/>
      <c r="B473" s="61"/>
      <c r="C473" s="61"/>
      <c r="F473"/>
      <c r="G473"/>
      <c r="L473"/>
      <c r="M473"/>
      <c r="N473" s="61"/>
      <c r="O473"/>
    </row>
    <row r="474" spans="1:15" x14ac:dyDescent="0.2">
      <c r="A474"/>
      <c r="B474" s="61"/>
      <c r="C474" s="61"/>
      <c r="F474"/>
      <c r="G474"/>
      <c r="L474"/>
      <c r="M474"/>
      <c r="N474" s="61"/>
      <c r="O474"/>
    </row>
    <row r="475" spans="1:15" x14ac:dyDescent="0.2">
      <c r="A475"/>
      <c r="B475" s="61"/>
      <c r="C475" s="61"/>
      <c r="F475"/>
      <c r="G475"/>
      <c r="L475"/>
      <c r="M475"/>
      <c r="N475" s="61"/>
      <c r="O475"/>
    </row>
    <row r="476" spans="1:15" x14ac:dyDescent="0.2">
      <c r="A476"/>
      <c r="B476" s="61"/>
      <c r="C476" s="61"/>
      <c r="F476"/>
      <c r="G476"/>
      <c r="H476"/>
      <c r="I476"/>
      <c r="L476"/>
      <c r="M476"/>
      <c r="N476" s="61"/>
      <c r="O476"/>
    </row>
    <row r="477" spans="1:15" x14ac:dyDescent="0.2">
      <c r="A477"/>
      <c r="B477" s="61"/>
      <c r="C477" s="61"/>
      <c r="F477"/>
      <c r="G477"/>
      <c r="H477"/>
      <c r="I477"/>
      <c r="L477"/>
      <c r="M477"/>
      <c r="N477" s="61"/>
      <c r="O477"/>
    </row>
    <row r="478" spans="1:15" x14ac:dyDescent="0.2">
      <c r="A478"/>
      <c r="B478" s="61"/>
      <c r="C478" s="61"/>
      <c r="F478"/>
      <c r="G478"/>
      <c r="H478"/>
      <c r="I478"/>
      <c r="L478"/>
      <c r="M478"/>
      <c r="N478" s="61"/>
      <c r="O478"/>
    </row>
    <row r="479" spans="1:15" x14ac:dyDescent="0.2">
      <c r="A479"/>
      <c r="B479" s="61"/>
      <c r="C479" s="61"/>
      <c r="F479"/>
      <c r="G479"/>
      <c r="I479"/>
      <c r="L479"/>
      <c r="M479"/>
      <c r="N479" s="61"/>
      <c r="O479"/>
    </row>
    <row r="480" spans="1:15" x14ac:dyDescent="0.2">
      <c r="A480"/>
      <c r="B480" s="61"/>
      <c r="C480" s="61"/>
      <c r="F480"/>
      <c r="G480"/>
      <c r="I480"/>
      <c r="L480"/>
      <c r="M480"/>
      <c r="N480" s="61"/>
      <c r="O480"/>
    </row>
    <row r="481" spans="1:15" x14ac:dyDescent="0.2">
      <c r="A481"/>
      <c r="B481" s="61"/>
      <c r="C481" s="61"/>
      <c r="F481"/>
      <c r="G481"/>
      <c r="H481"/>
      <c r="I481"/>
      <c r="L481"/>
      <c r="M481"/>
      <c r="N481" s="61"/>
      <c r="O481"/>
    </row>
    <row r="482" spans="1:15" x14ac:dyDescent="0.2">
      <c r="A482"/>
      <c r="B482" s="61"/>
      <c r="C482" s="61"/>
      <c r="F482"/>
      <c r="G482"/>
      <c r="H482"/>
      <c r="I482"/>
      <c r="L482"/>
      <c r="M482"/>
      <c r="N482" s="61"/>
      <c r="O482"/>
    </row>
    <row r="483" spans="1:15" x14ac:dyDescent="0.2">
      <c r="A483"/>
      <c r="B483" s="61"/>
      <c r="C483" s="61"/>
      <c r="F483"/>
      <c r="G483"/>
      <c r="H483"/>
      <c r="I483"/>
      <c r="L483"/>
      <c r="M483"/>
      <c r="N483" s="61"/>
      <c r="O483"/>
    </row>
    <row r="484" spans="1:15" x14ac:dyDescent="0.2">
      <c r="A484"/>
      <c r="B484" s="61"/>
      <c r="C484" s="61"/>
      <c r="F484"/>
      <c r="G484"/>
      <c r="J484"/>
      <c r="L484"/>
      <c r="M484"/>
      <c r="N484" s="61"/>
      <c r="O484"/>
    </row>
    <row r="485" spans="1:15" x14ac:dyDescent="0.2">
      <c r="A485"/>
      <c r="B485" s="61"/>
      <c r="C485" s="61"/>
      <c r="F485"/>
      <c r="G485"/>
      <c r="H485"/>
      <c r="I485"/>
      <c r="L485"/>
      <c r="M485"/>
      <c r="N485" s="61"/>
      <c r="O485"/>
    </row>
    <row r="486" spans="1:15" x14ac:dyDescent="0.2">
      <c r="A486"/>
      <c r="B486" s="61"/>
      <c r="C486" s="61"/>
      <c r="F486"/>
      <c r="G486"/>
      <c r="I486"/>
      <c r="L486"/>
      <c r="M486"/>
      <c r="N486" s="61"/>
      <c r="O486"/>
    </row>
    <row r="487" spans="1:15" x14ac:dyDescent="0.2">
      <c r="A487"/>
      <c r="B487" s="61"/>
      <c r="C487" s="61"/>
      <c r="F487"/>
      <c r="G487"/>
      <c r="I487"/>
      <c r="L487"/>
      <c r="M487"/>
      <c r="N487" s="61"/>
      <c r="O487"/>
    </row>
    <row r="488" spans="1:15" x14ac:dyDescent="0.2">
      <c r="A488"/>
      <c r="B488" s="61"/>
      <c r="C488" s="61"/>
      <c r="F488"/>
      <c r="G488"/>
      <c r="I488"/>
      <c r="L488"/>
      <c r="M488"/>
      <c r="N488" s="61"/>
      <c r="O488"/>
    </row>
    <row r="489" spans="1:15" x14ac:dyDescent="0.2">
      <c r="A489"/>
      <c r="B489" s="61"/>
      <c r="C489" s="61"/>
      <c r="F489"/>
      <c r="G489"/>
      <c r="H489"/>
      <c r="I489"/>
      <c r="L489"/>
      <c r="M489"/>
      <c r="N489" s="61"/>
      <c r="O489"/>
    </row>
    <row r="490" spans="1:15" x14ac:dyDescent="0.2">
      <c r="A490"/>
      <c r="B490" s="61"/>
      <c r="C490" s="61"/>
      <c r="F490"/>
      <c r="G490"/>
      <c r="I490"/>
      <c r="L490"/>
      <c r="M490"/>
      <c r="N490" s="61"/>
      <c r="O490"/>
    </row>
    <row r="491" spans="1:15" x14ac:dyDescent="0.2">
      <c r="A491"/>
      <c r="B491" s="61"/>
      <c r="C491" s="61"/>
      <c r="F491"/>
      <c r="G491"/>
      <c r="L491"/>
      <c r="M491"/>
      <c r="N491" s="61"/>
      <c r="O491"/>
    </row>
    <row r="492" spans="1:15" x14ac:dyDescent="0.2">
      <c r="A492"/>
      <c r="B492" s="61"/>
      <c r="C492" s="61"/>
      <c r="F492"/>
      <c r="G492"/>
      <c r="I492"/>
      <c r="L492"/>
      <c r="M492"/>
      <c r="N492" s="61"/>
      <c r="O492"/>
    </row>
    <row r="493" spans="1:15" x14ac:dyDescent="0.2">
      <c r="A493"/>
      <c r="B493" s="61"/>
      <c r="C493" s="61"/>
      <c r="F493"/>
      <c r="G493"/>
      <c r="H493"/>
      <c r="I493"/>
      <c r="L493"/>
      <c r="M493"/>
      <c r="N493" s="61"/>
      <c r="O493"/>
    </row>
    <row r="494" spans="1:15" x14ac:dyDescent="0.2">
      <c r="A494"/>
      <c r="B494" s="61"/>
      <c r="C494" s="61"/>
      <c r="F494"/>
      <c r="G494"/>
      <c r="I494"/>
      <c r="L494"/>
      <c r="M494"/>
      <c r="N494" s="61"/>
      <c r="O494"/>
    </row>
    <row r="495" spans="1:15" x14ac:dyDescent="0.2">
      <c r="A495"/>
      <c r="B495" s="61"/>
      <c r="C495" s="61"/>
      <c r="F495"/>
      <c r="G495"/>
      <c r="H495"/>
      <c r="J495"/>
      <c r="K495"/>
      <c r="L495"/>
      <c r="M495"/>
      <c r="N495" s="61"/>
      <c r="O495"/>
    </row>
    <row r="496" spans="1:15" x14ac:dyDescent="0.2">
      <c r="A496"/>
      <c r="B496" s="61"/>
      <c r="C496" s="61"/>
      <c r="F496"/>
      <c r="G496"/>
      <c r="H496"/>
      <c r="I496"/>
      <c r="L496"/>
      <c r="M496"/>
      <c r="N496" s="61"/>
      <c r="O496"/>
    </row>
    <row r="497" spans="1:15" x14ac:dyDescent="0.2">
      <c r="A497"/>
      <c r="B497" s="61"/>
      <c r="C497" s="61"/>
      <c r="F497"/>
      <c r="G497"/>
      <c r="I497"/>
      <c r="L497"/>
      <c r="M497"/>
      <c r="N497" s="61"/>
      <c r="O497"/>
    </row>
    <row r="498" spans="1:15" x14ac:dyDescent="0.2">
      <c r="A498"/>
      <c r="B498" s="61"/>
      <c r="C498" s="61"/>
      <c r="F498"/>
      <c r="G498"/>
      <c r="H498"/>
      <c r="I498"/>
      <c r="L498"/>
      <c r="M498"/>
      <c r="N498" s="61"/>
      <c r="O498"/>
    </row>
    <row r="499" spans="1:15" x14ac:dyDescent="0.2">
      <c r="A499"/>
      <c r="B499" s="61"/>
      <c r="C499" s="61"/>
      <c r="F499"/>
      <c r="G499"/>
      <c r="H499"/>
      <c r="I499"/>
      <c r="L499"/>
      <c r="M499"/>
      <c r="N499" s="61"/>
      <c r="O499"/>
    </row>
    <row r="500" spans="1:15" x14ac:dyDescent="0.2">
      <c r="A500"/>
      <c r="B500" s="61"/>
      <c r="C500" s="61"/>
      <c r="F500"/>
      <c r="G500"/>
      <c r="H500"/>
      <c r="I500"/>
      <c r="L500"/>
      <c r="M500"/>
      <c r="N500" s="61"/>
      <c r="O500"/>
    </row>
    <row r="501" spans="1:15" x14ac:dyDescent="0.2">
      <c r="A501"/>
      <c r="B501" s="61"/>
      <c r="C501" s="61"/>
      <c r="F501"/>
      <c r="G501"/>
      <c r="H501"/>
      <c r="J501"/>
      <c r="K501"/>
      <c r="L501"/>
      <c r="M501"/>
      <c r="N501" s="61"/>
      <c r="O501"/>
    </row>
    <row r="502" spans="1:15" x14ac:dyDescent="0.2">
      <c r="A502"/>
      <c r="B502" s="61"/>
      <c r="C502" s="61"/>
      <c r="F502"/>
      <c r="G502"/>
      <c r="M502"/>
      <c r="N502" s="61"/>
      <c r="O502"/>
    </row>
    <row r="503" spans="1:15" x14ac:dyDescent="0.2">
      <c r="A503"/>
      <c r="B503" s="61"/>
      <c r="C503" s="61"/>
      <c r="F503"/>
      <c r="G503"/>
      <c r="H503"/>
      <c r="I503"/>
      <c r="L503"/>
      <c r="M503"/>
      <c r="N503" s="61"/>
      <c r="O503"/>
    </row>
    <row r="504" spans="1:15" x14ac:dyDescent="0.2">
      <c r="A504"/>
      <c r="B504" s="61"/>
      <c r="C504" s="61"/>
      <c r="F504"/>
      <c r="G504"/>
      <c r="I504"/>
      <c r="L504"/>
      <c r="M504"/>
      <c r="N504" s="61"/>
      <c r="O504"/>
    </row>
    <row r="505" spans="1:15" x14ac:dyDescent="0.2">
      <c r="A505"/>
      <c r="B505" s="61"/>
      <c r="C505" s="61"/>
      <c r="F505"/>
      <c r="G505"/>
      <c r="H505"/>
      <c r="I505"/>
      <c r="L505"/>
      <c r="M505"/>
      <c r="N505" s="61"/>
      <c r="O505"/>
    </row>
    <row r="506" spans="1:15" x14ac:dyDescent="0.2">
      <c r="A506"/>
      <c r="B506" s="61"/>
      <c r="C506" s="61"/>
      <c r="F506"/>
      <c r="G506"/>
      <c r="H506"/>
      <c r="I506"/>
      <c r="L506"/>
      <c r="M506"/>
      <c r="N506" s="61"/>
      <c r="O506"/>
    </row>
    <row r="507" spans="1:15" x14ac:dyDescent="0.2">
      <c r="A507"/>
      <c r="B507" s="61"/>
      <c r="C507" s="61"/>
      <c r="F507"/>
      <c r="G507"/>
      <c r="I507"/>
      <c r="L507"/>
      <c r="M507"/>
      <c r="N507" s="61"/>
      <c r="O507"/>
    </row>
    <row r="508" spans="1:15" x14ac:dyDescent="0.2">
      <c r="A508"/>
      <c r="B508" s="61"/>
      <c r="C508" s="61"/>
      <c r="F508"/>
      <c r="G508"/>
      <c r="H508"/>
      <c r="J508"/>
      <c r="K508"/>
      <c r="L508"/>
      <c r="M508"/>
      <c r="N508" s="61"/>
      <c r="O508"/>
    </row>
    <row r="509" spans="1:15" x14ac:dyDescent="0.2">
      <c r="A509"/>
      <c r="B509" s="61"/>
      <c r="C509" s="61"/>
      <c r="F509"/>
      <c r="G509"/>
      <c r="H509"/>
      <c r="I509"/>
      <c r="L509"/>
      <c r="M509"/>
      <c r="N509" s="61"/>
      <c r="O509"/>
    </row>
    <row r="510" spans="1:15" x14ac:dyDescent="0.2">
      <c r="A510"/>
      <c r="B510" s="61"/>
      <c r="C510" s="61"/>
      <c r="F510"/>
      <c r="G510"/>
      <c r="H510"/>
      <c r="J510"/>
      <c r="K510"/>
      <c r="L510"/>
      <c r="M510"/>
      <c r="N510" s="61"/>
      <c r="O510"/>
    </row>
    <row r="511" spans="1:15" x14ac:dyDescent="0.2">
      <c r="A511"/>
      <c r="B511" s="61"/>
      <c r="C511" s="61"/>
      <c r="F511"/>
      <c r="G511"/>
      <c r="H511"/>
      <c r="I511"/>
      <c r="L511"/>
      <c r="M511"/>
      <c r="N511" s="61"/>
      <c r="O511"/>
    </row>
    <row r="512" spans="1:15" x14ac:dyDescent="0.2">
      <c r="A512"/>
      <c r="B512" s="61"/>
      <c r="C512" s="61"/>
      <c r="F512"/>
      <c r="G512"/>
      <c r="I512"/>
      <c r="L512"/>
      <c r="M512"/>
      <c r="N512" s="61"/>
      <c r="O512"/>
    </row>
    <row r="513" spans="1:15" x14ac:dyDescent="0.2">
      <c r="A513"/>
      <c r="B513" s="61"/>
      <c r="C513" s="61"/>
      <c r="F513"/>
      <c r="G513"/>
      <c r="I513"/>
      <c r="L513"/>
      <c r="M513"/>
      <c r="N513" s="61"/>
      <c r="O513"/>
    </row>
    <row r="514" spans="1:15" x14ac:dyDescent="0.2">
      <c r="A514"/>
      <c r="B514" s="61"/>
      <c r="C514" s="61"/>
      <c r="F514"/>
      <c r="G514"/>
      <c r="I514"/>
      <c r="L514"/>
      <c r="M514"/>
      <c r="N514" s="61"/>
      <c r="O514"/>
    </row>
    <row r="515" spans="1:15" x14ac:dyDescent="0.2">
      <c r="A515"/>
      <c r="B515" s="61"/>
      <c r="C515" s="61"/>
      <c r="F515"/>
      <c r="G515"/>
      <c r="I515"/>
      <c r="L515"/>
      <c r="M515"/>
      <c r="N515" s="61"/>
      <c r="O515"/>
    </row>
    <row r="516" spans="1:15" x14ac:dyDescent="0.2">
      <c r="A516"/>
      <c r="B516" s="61"/>
      <c r="C516" s="61"/>
      <c r="F516"/>
      <c r="G516"/>
      <c r="H516"/>
      <c r="I516"/>
      <c r="L516"/>
      <c r="M516"/>
      <c r="N516" s="61"/>
      <c r="O516"/>
    </row>
    <row r="517" spans="1:15" x14ac:dyDescent="0.2">
      <c r="A517"/>
      <c r="B517" s="61"/>
      <c r="C517" s="61"/>
      <c r="F517"/>
      <c r="G517"/>
      <c r="H517"/>
      <c r="I517"/>
      <c r="L517"/>
      <c r="M517"/>
      <c r="N517" s="61"/>
      <c r="O517"/>
    </row>
    <row r="518" spans="1:15" x14ac:dyDescent="0.2">
      <c r="A518"/>
      <c r="B518" s="61"/>
      <c r="C518" s="61"/>
      <c r="F518"/>
      <c r="G518"/>
      <c r="H518"/>
      <c r="I518"/>
      <c r="L518"/>
      <c r="M518"/>
      <c r="N518" s="61"/>
      <c r="O518"/>
    </row>
    <row r="519" spans="1:15" x14ac:dyDescent="0.2">
      <c r="A519"/>
      <c r="B519" s="61"/>
      <c r="C519" s="61"/>
      <c r="F519"/>
      <c r="G519"/>
      <c r="H519"/>
      <c r="I519"/>
      <c r="L519"/>
      <c r="M519"/>
      <c r="N519" s="61"/>
      <c r="O519"/>
    </row>
    <row r="520" spans="1:15" x14ac:dyDescent="0.2">
      <c r="A520"/>
      <c r="B520" s="61"/>
      <c r="C520" s="61"/>
      <c r="F520"/>
      <c r="G520"/>
      <c r="H520"/>
      <c r="I520"/>
      <c r="L520"/>
      <c r="M520"/>
      <c r="N520" s="61"/>
      <c r="O520"/>
    </row>
    <row r="521" spans="1:15" x14ac:dyDescent="0.2">
      <c r="A521"/>
      <c r="B521" s="61"/>
      <c r="C521" s="61"/>
      <c r="F521"/>
      <c r="G521"/>
      <c r="J521"/>
      <c r="L521"/>
      <c r="M521"/>
      <c r="N521" s="61"/>
      <c r="O521"/>
    </row>
    <row r="522" spans="1:15" x14ac:dyDescent="0.2">
      <c r="A522"/>
      <c r="B522" s="61"/>
      <c r="C522" s="61"/>
      <c r="F522"/>
      <c r="G522"/>
      <c r="H522"/>
      <c r="L522"/>
      <c r="M522"/>
      <c r="N522" s="61"/>
      <c r="O522"/>
    </row>
    <row r="523" spans="1:15" x14ac:dyDescent="0.2">
      <c r="A523"/>
      <c r="B523" s="61"/>
      <c r="C523" s="61"/>
      <c r="F523"/>
      <c r="G523"/>
      <c r="J523"/>
      <c r="K523"/>
      <c r="L523"/>
      <c r="M523"/>
      <c r="N523" s="61"/>
      <c r="O523"/>
    </row>
    <row r="524" spans="1:15" x14ac:dyDescent="0.2">
      <c r="A524"/>
      <c r="B524" s="61"/>
      <c r="C524" s="61"/>
      <c r="F524"/>
      <c r="G524"/>
      <c r="L524"/>
      <c r="M524"/>
      <c r="N524" s="61"/>
      <c r="O524"/>
    </row>
    <row r="525" spans="1:15" x14ac:dyDescent="0.2">
      <c r="A525"/>
      <c r="B525" s="61"/>
      <c r="C525" s="61"/>
      <c r="F525"/>
      <c r="G525"/>
      <c r="H525"/>
      <c r="J525"/>
      <c r="K525"/>
      <c r="L525"/>
      <c r="M525"/>
      <c r="N525" s="61"/>
      <c r="O525"/>
    </row>
    <row r="526" spans="1:15" x14ac:dyDescent="0.2">
      <c r="A526"/>
      <c r="B526" s="61"/>
      <c r="C526" s="61"/>
      <c r="F526"/>
      <c r="G526"/>
      <c r="L526"/>
      <c r="M526"/>
      <c r="N526" s="61"/>
      <c r="O526"/>
    </row>
    <row r="527" spans="1:15" x14ac:dyDescent="0.2">
      <c r="A527"/>
      <c r="B527" s="61"/>
      <c r="C527" s="61"/>
      <c r="F527"/>
      <c r="G527"/>
      <c r="L527"/>
      <c r="M527"/>
      <c r="N527" s="61"/>
      <c r="O527"/>
    </row>
    <row r="528" spans="1:15" x14ac:dyDescent="0.2">
      <c r="A528"/>
      <c r="B528" s="61"/>
      <c r="C528" s="61"/>
      <c r="F528"/>
      <c r="G528"/>
      <c r="L528"/>
      <c r="M528"/>
      <c r="N528" s="61"/>
      <c r="O528"/>
    </row>
    <row r="529" spans="1:15" x14ac:dyDescent="0.2">
      <c r="A529"/>
      <c r="B529" s="61"/>
      <c r="C529" s="61"/>
      <c r="F529"/>
      <c r="G529"/>
      <c r="L529"/>
      <c r="M529"/>
      <c r="N529" s="61"/>
      <c r="O529"/>
    </row>
    <row r="530" spans="1:15" x14ac:dyDescent="0.2">
      <c r="A530"/>
      <c r="B530" s="61"/>
      <c r="C530" s="61"/>
      <c r="F530"/>
      <c r="G530"/>
      <c r="L530"/>
      <c r="M530"/>
      <c r="N530" s="61"/>
      <c r="O530"/>
    </row>
    <row r="531" spans="1:15" x14ac:dyDescent="0.2">
      <c r="A531"/>
      <c r="B531" s="61"/>
      <c r="C531" s="61"/>
      <c r="F531"/>
      <c r="G531"/>
      <c r="L531"/>
      <c r="M531"/>
      <c r="N531" s="61"/>
      <c r="O531"/>
    </row>
    <row r="532" spans="1:15" x14ac:dyDescent="0.2">
      <c r="A532"/>
      <c r="B532" s="61"/>
      <c r="C532" s="61"/>
      <c r="F532"/>
      <c r="G532"/>
      <c r="I532"/>
      <c r="L532"/>
      <c r="M532"/>
      <c r="N532" s="61"/>
      <c r="O532"/>
    </row>
    <row r="533" spans="1:15" x14ac:dyDescent="0.2">
      <c r="A533"/>
      <c r="B533" s="61"/>
      <c r="C533" s="61"/>
      <c r="F533"/>
      <c r="G533"/>
      <c r="I533"/>
      <c r="L533"/>
      <c r="M533"/>
      <c r="N533" s="61"/>
      <c r="O533"/>
    </row>
    <row r="534" spans="1:15" x14ac:dyDescent="0.2">
      <c r="A534"/>
      <c r="B534" s="61"/>
      <c r="C534" s="61"/>
      <c r="F534"/>
      <c r="G534"/>
      <c r="I534"/>
      <c r="L534"/>
      <c r="M534"/>
      <c r="N534" s="61"/>
      <c r="O534"/>
    </row>
    <row r="535" spans="1:15" x14ac:dyDescent="0.2">
      <c r="A535"/>
      <c r="B535" s="61"/>
      <c r="C535" s="61"/>
      <c r="F535"/>
      <c r="G535"/>
      <c r="H535"/>
      <c r="I535"/>
      <c r="L535"/>
      <c r="M535"/>
      <c r="N535" s="61"/>
      <c r="O535"/>
    </row>
    <row r="536" spans="1:15" x14ac:dyDescent="0.2">
      <c r="A536"/>
      <c r="B536" s="61"/>
      <c r="C536" s="61"/>
      <c r="F536"/>
      <c r="G536"/>
      <c r="L536"/>
      <c r="M536"/>
      <c r="N536" s="61"/>
      <c r="O536"/>
    </row>
    <row r="537" spans="1:15" x14ac:dyDescent="0.2">
      <c r="A537"/>
      <c r="B537" s="61"/>
      <c r="C537" s="61"/>
      <c r="F537"/>
      <c r="G537"/>
      <c r="L537"/>
      <c r="M537"/>
      <c r="N537" s="61"/>
      <c r="O537"/>
    </row>
    <row r="538" spans="1:15" x14ac:dyDescent="0.2">
      <c r="A538"/>
      <c r="B538" s="61"/>
      <c r="C538" s="61"/>
      <c r="F538"/>
      <c r="G538"/>
      <c r="H538"/>
      <c r="I538"/>
      <c r="L538"/>
      <c r="M538"/>
      <c r="N538" s="61"/>
      <c r="O538"/>
    </row>
    <row r="539" spans="1:15" x14ac:dyDescent="0.2">
      <c r="A539"/>
      <c r="B539" s="61"/>
      <c r="C539" s="61"/>
      <c r="F539"/>
      <c r="G539"/>
      <c r="I539"/>
      <c r="L539"/>
      <c r="M539"/>
      <c r="N539" s="61"/>
      <c r="O539"/>
    </row>
    <row r="540" spans="1:15" x14ac:dyDescent="0.2">
      <c r="A540"/>
      <c r="B540" s="61"/>
      <c r="C540" s="61"/>
      <c r="F540"/>
      <c r="G540"/>
      <c r="H540"/>
      <c r="I540"/>
      <c r="L540"/>
      <c r="M540"/>
      <c r="N540" s="61"/>
      <c r="O540"/>
    </row>
    <row r="541" spans="1:15" x14ac:dyDescent="0.2">
      <c r="A541"/>
      <c r="B541" s="61"/>
      <c r="C541" s="61"/>
      <c r="F541"/>
      <c r="G541"/>
      <c r="H541"/>
      <c r="I541"/>
      <c r="L541"/>
      <c r="M541"/>
      <c r="N541" s="61"/>
      <c r="O541"/>
    </row>
    <row r="542" spans="1:15" x14ac:dyDescent="0.2">
      <c r="A542"/>
      <c r="B542" s="61"/>
      <c r="C542" s="61"/>
      <c r="F542"/>
      <c r="G542"/>
      <c r="M542"/>
      <c r="N542" s="61"/>
      <c r="O542"/>
    </row>
    <row r="543" spans="1:15" x14ac:dyDescent="0.2">
      <c r="A543"/>
      <c r="B543" s="61"/>
      <c r="C543" s="61"/>
      <c r="F543"/>
      <c r="G543"/>
      <c r="H543"/>
      <c r="I543"/>
      <c r="L543"/>
      <c r="M543"/>
      <c r="N543" s="61"/>
      <c r="O543"/>
    </row>
    <row r="544" spans="1:15" x14ac:dyDescent="0.2">
      <c r="A544"/>
      <c r="B544" s="61"/>
      <c r="C544" s="61"/>
      <c r="F544"/>
      <c r="G544"/>
      <c r="I544"/>
      <c r="L544"/>
      <c r="M544"/>
      <c r="N544" s="61"/>
      <c r="O544"/>
    </row>
    <row r="545" spans="1:15" x14ac:dyDescent="0.2">
      <c r="A545"/>
      <c r="B545" s="61"/>
      <c r="C545" s="61"/>
      <c r="F545"/>
      <c r="G545"/>
      <c r="M545"/>
      <c r="N545" s="61"/>
      <c r="O545"/>
    </row>
    <row r="546" spans="1:15" x14ac:dyDescent="0.2">
      <c r="A546"/>
      <c r="B546" s="61"/>
      <c r="C546" s="61"/>
      <c r="F546"/>
      <c r="G546"/>
      <c r="H546"/>
      <c r="I546"/>
      <c r="L546"/>
      <c r="M546"/>
      <c r="N546" s="61"/>
      <c r="O546"/>
    </row>
    <row r="547" spans="1:15" x14ac:dyDescent="0.2">
      <c r="A547"/>
      <c r="B547" s="61"/>
      <c r="C547" s="61"/>
      <c r="F547"/>
      <c r="G547"/>
      <c r="H547"/>
      <c r="I547"/>
      <c r="L547"/>
      <c r="M547"/>
      <c r="N547" s="61"/>
      <c r="O547"/>
    </row>
    <row r="548" spans="1:15" x14ac:dyDescent="0.2">
      <c r="A548"/>
      <c r="B548" s="61"/>
      <c r="C548" s="61"/>
      <c r="F548"/>
      <c r="G548"/>
      <c r="H548"/>
      <c r="I548"/>
      <c r="L548"/>
      <c r="M548"/>
      <c r="N548" s="61"/>
      <c r="O548"/>
    </row>
    <row r="549" spans="1:15" x14ac:dyDescent="0.2">
      <c r="A549"/>
      <c r="B549" s="61"/>
      <c r="C549" s="61"/>
      <c r="F549"/>
      <c r="G549"/>
      <c r="L549"/>
      <c r="M549"/>
      <c r="N549" s="61"/>
      <c r="O549"/>
    </row>
    <row r="550" spans="1:15" x14ac:dyDescent="0.2">
      <c r="A550"/>
      <c r="B550" s="61"/>
      <c r="C550" s="61"/>
      <c r="F550"/>
      <c r="G550"/>
      <c r="H550"/>
      <c r="I550"/>
      <c r="L550"/>
      <c r="M550"/>
      <c r="N550" s="61"/>
      <c r="O550"/>
    </row>
    <row r="551" spans="1:15" x14ac:dyDescent="0.2">
      <c r="A551"/>
      <c r="B551" s="61"/>
      <c r="C551" s="61"/>
      <c r="F551"/>
      <c r="G551"/>
      <c r="I551"/>
      <c r="L551"/>
      <c r="M551"/>
      <c r="N551" s="61"/>
      <c r="O551"/>
    </row>
    <row r="552" spans="1:15" x14ac:dyDescent="0.2">
      <c r="A552"/>
      <c r="B552" s="61"/>
      <c r="C552" s="61"/>
      <c r="F552"/>
      <c r="G552"/>
      <c r="I552"/>
      <c r="L552"/>
      <c r="M552"/>
      <c r="N552" s="61"/>
      <c r="O552"/>
    </row>
    <row r="553" spans="1:15" x14ac:dyDescent="0.2">
      <c r="A553"/>
      <c r="B553" s="61"/>
      <c r="C553" s="61"/>
      <c r="F553"/>
      <c r="G553"/>
      <c r="H553"/>
      <c r="I553"/>
      <c r="L553"/>
      <c r="N553" s="61"/>
      <c r="O553"/>
    </row>
    <row r="554" spans="1:15" x14ac:dyDescent="0.2">
      <c r="A554"/>
      <c r="B554" s="61"/>
      <c r="C554" s="61"/>
      <c r="F554"/>
      <c r="G554"/>
      <c r="H554"/>
      <c r="I554"/>
      <c r="L554"/>
      <c r="N554" s="61"/>
      <c r="O554"/>
    </row>
    <row r="555" spans="1:15" x14ac:dyDescent="0.2">
      <c r="A555"/>
      <c r="B555" s="61"/>
      <c r="C555" s="61"/>
      <c r="F555"/>
      <c r="G555"/>
      <c r="M555"/>
      <c r="N555" s="61"/>
      <c r="O555"/>
    </row>
    <row r="556" spans="1:15" x14ac:dyDescent="0.2">
      <c r="A556"/>
      <c r="B556" s="61"/>
      <c r="C556" s="61"/>
      <c r="F556"/>
      <c r="G556"/>
      <c r="I556"/>
      <c r="L556"/>
      <c r="M556"/>
      <c r="N556" s="61"/>
      <c r="O556"/>
    </row>
    <row r="557" spans="1:15" x14ac:dyDescent="0.2">
      <c r="A557"/>
      <c r="B557" s="61"/>
      <c r="C557" s="61"/>
      <c r="F557"/>
      <c r="G557"/>
      <c r="H557"/>
      <c r="I557"/>
      <c r="L557"/>
      <c r="M557"/>
      <c r="N557" s="61"/>
      <c r="O557"/>
    </row>
    <row r="558" spans="1:15" x14ac:dyDescent="0.2">
      <c r="A558"/>
      <c r="B558" s="61"/>
      <c r="C558" s="61"/>
      <c r="F558"/>
      <c r="G558"/>
      <c r="L558"/>
      <c r="M558"/>
      <c r="N558" s="61"/>
      <c r="O558"/>
    </row>
    <row r="559" spans="1:15" x14ac:dyDescent="0.2">
      <c r="A559"/>
      <c r="B559" s="61"/>
      <c r="C559" s="61"/>
      <c r="F559"/>
      <c r="G559"/>
      <c r="H559"/>
      <c r="I559"/>
      <c r="L559"/>
      <c r="M559"/>
      <c r="N559" s="61"/>
      <c r="O559"/>
    </row>
    <row r="560" spans="1:15" x14ac:dyDescent="0.2">
      <c r="A560"/>
      <c r="B560" s="61"/>
      <c r="C560" s="61"/>
      <c r="F560"/>
      <c r="G560"/>
      <c r="J560"/>
      <c r="K560"/>
      <c r="L560"/>
      <c r="M560"/>
      <c r="N560" s="61"/>
      <c r="O560"/>
    </row>
    <row r="561" spans="1:15" x14ac:dyDescent="0.2">
      <c r="A561"/>
      <c r="B561" s="61"/>
      <c r="C561" s="61"/>
      <c r="F561"/>
      <c r="G561"/>
      <c r="H561"/>
      <c r="I561"/>
      <c r="L561"/>
      <c r="M561"/>
      <c r="N561" s="61"/>
      <c r="O561"/>
    </row>
    <row r="562" spans="1:15" x14ac:dyDescent="0.2">
      <c r="A562"/>
      <c r="B562" s="61"/>
      <c r="C562" s="61"/>
      <c r="F562"/>
      <c r="G562"/>
      <c r="H562"/>
      <c r="I562"/>
      <c r="L562"/>
      <c r="M562"/>
      <c r="N562" s="61"/>
      <c r="O562"/>
    </row>
    <row r="563" spans="1:15" x14ac:dyDescent="0.2">
      <c r="A563"/>
      <c r="B563" s="61"/>
      <c r="C563" s="61"/>
      <c r="F563"/>
      <c r="G563"/>
      <c r="H563"/>
      <c r="I563"/>
      <c r="L563"/>
      <c r="M563"/>
      <c r="N563" s="61"/>
      <c r="O563"/>
    </row>
    <row r="564" spans="1:15" x14ac:dyDescent="0.2">
      <c r="A564"/>
      <c r="B564" s="61"/>
      <c r="C564" s="61"/>
      <c r="F564"/>
      <c r="G564"/>
      <c r="J564"/>
      <c r="M564"/>
      <c r="N564" s="61"/>
      <c r="O564"/>
    </row>
    <row r="565" spans="1:15" x14ac:dyDescent="0.2">
      <c r="A565"/>
      <c r="B565" s="61"/>
      <c r="C565" s="61"/>
      <c r="F565"/>
      <c r="G565"/>
      <c r="H565"/>
      <c r="I565"/>
      <c r="L565"/>
      <c r="M565"/>
      <c r="N565" s="61"/>
      <c r="O565"/>
    </row>
    <row r="566" spans="1:15" x14ac:dyDescent="0.2">
      <c r="A566"/>
      <c r="B566" s="61"/>
      <c r="C566" s="61"/>
      <c r="F566"/>
      <c r="G566"/>
      <c r="H566"/>
      <c r="I566"/>
      <c r="L566"/>
      <c r="M566"/>
      <c r="N566" s="61"/>
      <c r="O566"/>
    </row>
    <row r="567" spans="1:15" x14ac:dyDescent="0.2">
      <c r="A567"/>
      <c r="B567" s="61"/>
      <c r="C567" s="61"/>
      <c r="F567"/>
      <c r="G567"/>
      <c r="H567"/>
      <c r="I567"/>
      <c r="L567"/>
      <c r="M567"/>
      <c r="N567" s="61"/>
      <c r="O567"/>
    </row>
    <row r="568" spans="1:15" x14ac:dyDescent="0.2">
      <c r="A568"/>
      <c r="B568" s="61"/>
      <c r="C568" s="61"/>
      <c r="F568"/>
      <c r="G568"/>
      <c r="H568"/>
      <c r="I568"/>
      <c r="L568"/>
      <c r="N568" s="61"/>
      <c r="O568"/>
    </row>
    <row r="569" spans="1:15" x14ac:dyDescent="0.2">
      <c r="A569"/>
      <c r="B569" s="61"/>
      <c r="C569" s="61"/>
      <c r="F569"/>
      <c r="G569"/>
      <c r="H569"/>
      <c r="L569"/>
      <c r="M569"/>
      <c r="N569" s="61"/>
      <c r="O569"/>
    </row>
    <row r="570" spans="1:15" x14ac:dyDescent="0.2">
      <c r="A570"/>
      <c r="B570" s="61"/>
      <c r="C570" s="61"/>
      <c r="F570"/>
      <c r="G570"/>
      <c r="H570"/>
      <c r="I570"/>
      <c r="L570"/>
      <c r="M570"/>
      <c r="N570" s="61"/>
      <c r="O570"/>
    </row>
    <row r="571" spans="1:15" x14ac:dyDescent="0.2">
      <c r="A571"/>
      <c r="B571" s="61"/>
      <c r="C571" s="61"/>
      <c r="F571"/>
      <c r="G571"/>
      <c r="H571"/>
      <c r="I571"/>
      <c r="L571"/>
      <c r="M571"/>
      <c r="N571" s="61"/>
      <c r="O571"/>
    </row>
    <row r="572" spans="1:15" x14ac:dyDescent="0.2">
      <c r="A572"/>
      <c r="B572" s="61"/>
      <c r="C572" s="61"/>
      <c r="F572"/>
      <c r="G572"/>
      <c r="I572"/>
      <c r="L572"/>
      <c r="M572"/>
      <c r="N572" s="61"/>
      <c r="O572"/>
    </row>
    <row r="573" spans="1:15" x14ac:dyDescent="0.2">
      <c r="A573"/>
      <c r="B573" s="61"/>
      <c r="C573" s="61"/>
      <c r="F573"/>
      <c r="G573"/>
      <c r="H573"/>
      <c r="I573"/>
      <c r="L573"/>
      <c r="M573"/>
      <c r="N573" s="61"/>
      <c r="O573"/>
    </row>
    <row r="574" spans="1:15" x14ac:dyDescent="0.2">
      <c r="A574"/>
      <c r="B574" s="61"/>
      <c r="C574" s="61"/>
      <c r="F574"/>
      <c r="G574"/>
      <c r="I574"/>
      <c r="L574"/>
      <c r="M574"/>
      <c r="N574" s="61"/>
      <c r="O574"/>
    </row>
    <row r="575" spans="1:15" x14ac:dyDescent="0.2">
      <c r="A575"/>
      <c r="B575" s="61"/>
      <c r="C575" s="61"/>
      <c r="F575"/>
      <c r="G575"/>
      <c r="H575"/>
      <c r="I575"/>
      <c r="L575"/>
      <c r="M575"/>
      <c r="N575" s="61"/>
      <c r="O575"/>
    </row>
    <row r="576" spans="1:15" x14ac:dyDescent="0.2">
      <c r="A576"/>
      <c r="B576" s="61"/>
      <c r="C576" s="61"/>
      <c r="F576"/>
      <c r="G576"/>
      <c r="H576"/>
      <c r="I576"/>
      <c r="L576"/>
      <c r="M576"/>
      <c r="N576" s="61"/>
      <c r="O576"/>
    </row>
    <row r="577" spans="1:15" x14ac:dyDescent="0.2">
      <c r="A577"/>
      <c r="B577" s="61"/>
      <c r="C577" s="61"/>
      <c r="F577"/>
      <c r="G577"/>
      <c r="H577"/>
      <c r="J577"/>
      <c r="K577"/>
      <c r="L577"/>
      <c r="M577"/>
      <c r="N577" s="61"/>
      <c r="O577"/>
    </row>
    <row r="578" spans="1:15" x14ac:dyDescent="0.2">
      <c r="A578"/>
      <c r="B578" s="61"/>
      <c r="C578" s="61"/>
      <c r="F578"/>
      <c r="G578"/>
      <c r="H578"/>
      <c r="J578"/>
      <c r="K578"/>
      <c r="L578"/>
      <c r="M578"/>
      <c r="N578" s="61"/>
      <c r="O578"/>
    </row>
    <row r="579" spans="1:15" x14ac:dyDescent="0.2">
      <c r="A579"/>
      <c r="B579" s="61"/>
      <c r="C579" s="61"/>
      <c r="F579"/>
      <c r="G579"/>
      <c r="L579"/>
      <c r="M579"/>
      <c r="N579" s="61"/>
      <c r="O579"/>
    </row>
    <row r="580" spans="1:15" x14ac:dyDescent="0.2">
      <c r="A580"/>
      <c r="B580" s="61"/>
      <c r="C580" s="61"/>
      <c r="F580"/>
      <c r="G580"/>
      <c r="H580"/>
      <c r="I580"/>
      <c r="L580"/>
      <c r="M580"/>
      <c r="N580" s="61"/>
      <c r="O580"/>
    </row>
    <row r="581" spans="1:15" x14ac:dyDescent="0.2">
      <c r="A581"/>
      <c r="B581" s="61"/>
      <c r="C581" s="61"/>
      <c r="F581"/>
      <c r="G581"/>
      <c r="I581"/>
      <c r="L581"/>
      <c r="M581"/>
      <c r="N581" s="61"/>
      <c r="O581"/>
    </row>
    <row r="582" spans="1:15" x14ac:dyDescent="0.2">
      <c r="A582"/>
      <c r="B582" s="61"/>
      <c r="C582" s="61"/>
      <c r="F582"/>
      <c r="G582"/>
      <c r="L582"/>
      <c r="M582"/>
      <c r="N582" s="61"/>
      <c r="O582"/>
    </row>
    <row r="583" spans="1:15" x14ac:dyDescent="0.2">
      <c r="A583"/>
      <c r="B583" s="61"/>
      <c r="C583" s="61"/>
      <c r="F583"/>
      <c r="G583"/>
      <c r="J583"/>
      <c r="K583"/>
      <c r="L583"/>
      <c r="M583"/>
      <c r="N583" s="61"/>
      <c r="O583"/>
    </row>
    <row r="584" spans="1:15" x14ac:dyDescent="0.2">
      <c r="A584"/>
      <c r="B584" s="61"/>
      <c r="C584" s="61"/>
      <c r="F584"/>
      <c r="G584"/>
      <c r="H584"/>
      <c r="J584"/>
      <c r="K584"/>
      <c r="L584"/>
      <c r="M584"/>
      <c r="N584" s="61"/>
      <c r="O584"/>
    </row>
    <row r="585" spans="1:15" x14ac:dyDescent="0.2">
      <c r="A585"/>
      <c r="B585" s="61"/>
      <c r="C585" s="61"/>
      <c r="F585"/>
      <c r="G585"/>
      <c r="M585"/>
      <c r="N585" s="61"/>
      <c r="O585"/>
    </row>
    <row r="586" spans="1:15" x14ac:dyDescent="0.2">
      <c r="A586"/>
      <c r="B586" s="61"/>
      <c r="C586" s="61"/>
      <c r="F586"/>
      <c r="G586"/>
      <c r="L586"/>
      <c r="M586"/>
      <c r="N586" s="61"/>
      <c r="O586"/>
    </row>
    <row r="587" spans="1:15" x14ac:dyDescent="0.2">
      <c r="A587"/>
      <c r="B587" s="61"/>
      <c r="C587" s="61"/>
      <c r="F587"/>
      <c r="G587"/>
      <c r="H587"/>
      <c r="I587"/>
      <c r="L587"/>
      <c r="N587" s="61"/>
      <c r="O587"/>
    </row>
    <row r="588" spans="1:15" x14ac:dyDescent="0.2">
      <c r="A588"/>
      <c r="B588" s="61"/>
      <c r="C588" s="61"/>
      <c r="F588"/>
      <c r="G588"/>
      <c r="H588"/>
      <c r="I588"/>
      <c r="L588"/>
      <c r="M588"/>
      <c r="N588" s="61"/>
      <c r="O588"/>
    </row>
    <row r="589" spans="1:15" x14ac:dyDescent="0.2">
      <c r="A589"/>
      <c r="B589" s="61"/>
      <c r="C589" s="61"/>
      <c r="F589"/>
      <c r="G589"/>
      <c r="L589"/>
      <c r="M589"/>
      <c r="N589" s="61"/>
      <c r="O589"/>
    </row>
    <row r="590" spans="1:15" x14ac:dyDescent="0.2">
      <c r="A590"/>
      <c r="B590" s="61"/>
      <c r="C590" s="61"/>
      <c r="F590"/>
      <c r="G590"/>
      <c r="H590"/>
      <c r="I590"/>
      <c r="L590"/>
      <c r="M590"/>
      <c r="N590" s="61"/>
      <c r="O590"/>
    </row>
    <row r="591" spans="1:15" x14ac:dyDescent="0.2">
      <c r="A591"/>
      <c r="B591" s="61"/>
      <c r="C591" s="61"/>
      <c r="F591"/>
      <c r="G591"/>
      <c r="I591"/>
      <c r="L591"/>
      <c r="M591"/>
      <c r="N591" s="61"/>
      <c r="O591"/>
    </row>
    <row r="592" spans="1:15" x14ac:dyDescent="0.2">
      <c r="A592"/>
      <c r="B592" s="61"/>
      <c r="C592" s="61"/>
      <c r="F592"/>
      <c r="G592"/>
      <c r="I592"/>
      <c r="L592"/>
      <c r="M592"/>
      <c r="N592" s="61"/>
      <c r="O592"/>
    </row>
    <row r="593" spans="1:15" x14ac:dyDescent="0.2">
      <c r="A593"/>
      <c r="B593" s="61"/>
      <c r="C593" s="61"/>
      <c r="F593"/>
      <c r="G593"/>
      <c r="H593"/>
      <c r="L593"/>
      <c r="M593"/>
      <c r="N593" s="61"/>
      <c r="O593"/>
    </row>
    <row r="594" spans="1:15" x14ac:dyDescent="0.2">
      <c r="A594"/>
      <c r="B594" s="61"/>
      <c r="C594" s="61"/>
      <c r="F594"/>
      <c r="G594"/>
      <c r="H594"/>
      <c r="I594"/>
      <c r="L594"/>
      <c r="M594"/>
      <c r="N594" s="61"/>
      <c r="O594"/>
    </row>
    <row r="595" spans="1:15" x14ac:dyDescent="0.2">
      <c r="A595"/>
      <c r="B595" s="61"/>
      <c r="C595" s="61"/>
      <c r="F595"/>
      <c r="G595"/>
      <c r="H595"/>
      <c r="I595"/>
      <c r="L595"/>
      <c r="M595"/>
      <c r="N595" s="61"/>
      <c r="O595"/>
    </row>
    <row r="596" spans="1:15" x14ac:dyDescent="0.2">
      <c r="A596"/>
      <c r="B596" s="61"/>
      <c r="C596" s="61"/>
      <c r="F596"/>
      <c r="G596"/>
      <c r="H596"/>
      <c r="I596"/>
      <c r="L596"/>
      <c r="M596"/>
      <c r="N596" s="61"/>
      <c r="O596"/>
    </row>
    <row r="597" spans="1:15" x14ac:dyDescent="0.2">
      <c r="A597"/>
      <c r="B597" s="61"/>
      <c r="C597" s="61"/>
      <c r="F597"/>
      <c r="G597"/>
      <c r="H597"/>
      <c r="I597"/>
      <c r="L597"/>
      <c r="M597"/>
      <c r="N597" s="61"/>
      <c r="O597"/>
    </row>
    <row r="598" spans="1:15" x14ac:dyDescent="0.2">
      <c r="A598"/>
      <c r="B598" s="61"/>
      <c r="C598" s="61"/>
      <c r="F598"/>
      <c r="G598"/>
      <c r="H598"/>
      <c r="I598"/>
      <c r="L598"/>
      <c r="M598"/>
      <c r="N598" s="61"/>
      <c r="O598"/>
    </row>
    <row r="599" spans="1:15" x14ac:dyDescent="0.2">
      <c r="A599"/>
      <c r="B599" s="61"/>
      <c r="C599" s="61"/>
      <c r="F599"/>
      <c r="G599"/>
      <c r="H599"/>
      <c r="I599"/>
      <c r="L599"/>
      <c r="M599"/>
      <c r="N599" s="61"/>
      <c r="O599"/>
    </row>
    <row r="600" spans="1:15" x14ac:dyDescent="0.2">
      <c r="A600"/>
      <c r="B600" s="61"/>
      <c r="C600" s="61"/>
      <c r="F600"/>
      <c r="G600"/>
      <c r="H600"/>
      <c r="J600"/>
      <c r="K600"/>
      <c r="L600"/>
      <c r="M600"/>
      <c r="N600" s="61"/>
      <c r="O600"/>
    </row>
    <row r="601" spans="1:15" x14ac:dyDescent="0.2">
      <c r="A601"/>
      <c r="B601" s="61"/>
      <c r="C601" s="61"/>
      <c r="F601"/>
      <c r="G601"/>
      <c r="M601"/>
      <c r="N601" s="61"/>
      <c r="O601"/>
    </row>
    <row r="602" spans="1:15" x14ac:dyDescent="0.2">
      <c r="A602"/>
      <c r="B602" s="61"/>
      <c r="C602" s="61"/>
      <c r="F602"/>
      <c r="G602"/>
      <c r="I602"/>
      <c r="L602"/>
      <c r="M602"/>
      <c r="N602" s="61"/>
      <c r="O602"/>
    </row>
    <row r="603" spans="1:15" x14ac:dyDescent="0.2">
      <c r="A603"/>
      <c r="B603" s="61"/>
      <c r="C603" s="61"/>
      <c r="F603"/>
      <c r="G603"/>
      <c r="H603"/>
      <c r="I603"/>
      <c r="L603"/>
      <c r="M603"/>
      <c r="N603" s="61"/>
      <c r="O603"/>
    </row>
    <row r="604" spans="1:15" x14ac:dyDescent="0.2">
      <c r="A604"/>
      <c r="B604" s="61"/>
      <c r="C604" s="61"/>
      <c r="F604"/>
      <c r="G604"/>
      <c r="I604"/>
      <c r="L604"/>
      <c r="M604"/>
      <c r="N604" s="61"/>
      <c r="O604"/>
    </row>
    <row r="605" spans="1:15" x14ac:dyDescent="0.2">
      <c r="A605"/>
      <c r="B605" s="61"/>
      <c r="C605" s="61"/>
      <c r="F605"/>
      <c r="G605"/>
      <c r="H605"/>
      <c r="I605"/>
      <c r="L605"/>
      <c r="M605"/>
      <c r="N605" s="61"/>
      <c r="O605"/>
    </row>
    <row r="606" spans="1:15" x14ac:dyDescent="0.2">
      <c r="A606"/>
      <c r="B606" s="61"/>
      <c r="C606" s="61"/>
      <c r="F606"/>
      <c r="G606"/>
      <c r="I606"/>
      <c r="L606"/>
      <c r="M606"/>
      <c r="N606" s="61"/>
      <c r="O606"/>
    </row>
    <row r="607" spans="1:15" x14ac:dyDescent="0.2">
      <c r="A607"/>
      <c r="B607" s="61"/>
      <c r="C607" s="61"/>
      <c r="F607"/>
      <c r="G607"/>
      <c r="I607"/>
      <c r="L607"/>
      <c r="M607"/>
      <c r="N607" s="61"/>
      <c r="O607"/>
    </row>
    <row r="608" spans="1:15" x14ac:dyDescent="0.2">
      <c r="A608"/>
      <c r="B608" s="61"/>
      <c r="C608" s="61"/>
      <c r="F608"/>
      <c r="G608"/>
      <c r="L608"/>
      <c r="M608"/>
      <c r="N608" s="61"/>
      <c r="O608"/>
    </row>
    <row r="609" spans="1:15" x14ac:dyDescent="0.2">
      <c r="A609"/>
      <c r="B609" s="61"/>
      <c r="C609" s="61"/>
      <c r="F609"/>
      <c r="G609"/>
      <c r="I609"/>
      <c r="L609"/>
      <c r="M609"/>
      <c r="N609" s="61"/>
      <c r="O609"/>
    </row>
    <row r="610" spans="1:15" x14ac:dyDescent="0.2">
      <c r="A610"/>
      <c r="B610" s="61"/>
      <c r="C610" s="61"/>
      <c r="F610"/>
      <c r="G610"/>
      <c r="H610"/>
      <c r="I610"/>
      <c r="L610"/>
      <c r="M610"/>
      <c r="N610" s="61"/>
      <c r="O610"/>
    </row>
    <row r="611" spans="1:15" x14ac:dyDescent="0.2">
      <c r="A611"/>
      <c r="B611" s="61"/>
      <c r="C611" s="61"/>
      <c r="F611"/>
      <c r="G611"/>
      <c r="I611"/>
      <c r="L611"/>
      <c r="M611"/>
      <c r="N611" s="61"/>
      <c r="O611"/>
    </row>
    <row r="612" spans="1:15" x14ac:dyDescent="0.2">
      <c r="A612"/>
      <c r="B612" s="61"/>
      <c r="C612" s="61"/>
      <c r="F612"/>
      <c r="G612"/>
      <c r="I612"/>
      <c r="L612"/>
      <c r="M612"/>
      <c r="N612" s="61"/>
      <c r="O612"/>
    </row>
    <row r="613" spans="1:15" x14ac:dyDescent="0.2">
      <c r="A613"/>
      <c r="B613" s="61"/>
      <c r="C613" s="61"/>
      <c r="F613"/>
      <c r="G613"/>
      <c r="I613"/>
      <c r="L613"/>
      <c r="M613"/>
      <c r="N613" s="61"/>
      <c r="O613"/>
    </row>
    <row r="614" spans="1:15" x14ac:dyDescent="0.2">
      <c r="A614"/>
      <c r="B614" s="61"/>
      <c r="C614" s="61"/>
      <c r="F614"/>
      <c r="G614"/>
      <c r="I614"/>
      <c r="L614"/>
      <c r="M614"/>
      <c r="N614" s="61"/>
      <c r="O614"/>
    </row>
    <row r="615" spans="1:15" x14ac:dyDescent="0.2">
      <c r="A615"/>
      <c r="B615" s="61"/>
      <c r="C615" s="61"/>
      <c r="F615"/>
      <c r="G615"/>
      <c r="I615"/>
      <c r="L615"/>
      <c r="M615"/>
      <c r="N615" s="61"/>
      <c r="O615"/>
    </row>
    <row r="616" spans="1:15" x14ac:dyDescent="0.2">
      <c r="A616"/>
      <c r="B616" s="61"/>
      <c r="C616" s="61"/>
      <c r="F616"/>
      <c r="G616"/>
      <c r="I616"/>
      <c r="L616"/>
      <c r="M616"/>
      <c r="N616" s="61"/>
      <c r="O616"/>
    </row>
    <row r="617" spans="1:15" x14ac:dyDescent="0.2">
      <c r="A617"/>
      <c r="B617" s="61"/>
      <c r="C617" s="61"/>
      <c r="F617"/>
      <c r="G617"/>
      <c r="L617"/>
      <c r="M617"/>
      <c r="N617" s="61"/>
      <c r="O617"/>
    </row>
    <row r="618" spans="1:15" x14ac:dyDescent="0.2">
      <c r="A618"/>
      <c r="B618" s="61"/>
      <c r="C618" s="61"/>
      <c r="F618"/>
      <c r="G618"/>
      <c r="J618"/>
      <c r="K618"/>
      <c r="L618"/>
      <c r="M618"/>
      <c r="N618" s="61"/>
      <c r="O618"/>
    </row>
    <row r="619" spans="1:15" x14ac:dyDescent="0.2">
      <c r="A619"/>
      <c r="B619" s="61"/>
      <c r="C619" s="61"/>
      <c r="F619"/>
      <c r="G619"/>
      <c r="L619"/>
      <c r="M619"/>
      <c r="N619" s="61"/>
      <c r="O619"/>
    </row>
    <row r="620" spans="1:15" x14ac:dyDescent="0.2">
      <c r="A620"/>
      <c r="B620" s="61"/>
      <c r="C620" s="61"/>
      <c r="F620"/>
      <c r="G620"/>
      <c r="H620"/>
      <c r="I620"/>
      <c r="L620"/>
      <c r="M620"/>
      <c r="N620" s="61"/>
      <c r="O620"/>
    </row>
    <row r="621" spans="1:15" x14ac:dyDescent="0.2">
      <c r="A621"/>
      <c r="B621" s="61"/>
      <c r="C621" s="61"/>
      <c r="F621"/>
      <c r="G621"/>
      <c r="M621"/>
      <c r="N621" s="61"/>
      <c r="O621"/>
    </row>
    <row r="622" spans="1:15" x14ac:dyDescent="0.2">
      <c r="A622"/>
      <c r="B622" s="61"/>
      <c r="C622" s="61"/>
      <c r="F622"/>
      <c r="G622"/>
      <c r="I622"/>
      <c r="L622"/>
      <c r="M622"/>
      <c r="N622" s="61"/>
      <c r="O622"/>
    </row>
    <row r="623" spans="1:15" x14ac:dyDescent="0.2">
      <c r="A623"/>
      <c r="B623" s="61"/>
      <c r="C623" s="61"/>
      <c r="F623"/>
      <c r="G623"/>
      <c r="H623"/>
      <c r="I623"/>
      <c r="L623"/>
      <c r="M623"/>
      <c r="N623" s="61"/>
      <c r="O623"/>
    </row>
    <row r="624" spans="1:15" x14ac:dyDescent="0.2">
      <c r="A624"/>
      <c r="B624" s="61"/>
      <c r="C624" s="61"/>
      <c r="F624"/>
      <c r="G624"/>
      <c r="L624"/>
      <c r="M624"/>
      <c r="N624" s="61"/>
      <c r="O624"/>
    </row>
    <row r="625" spans="1:15" x14ac:dyDescent="0.2">
      <c r="A625"/>
      <c r="B625" s="61"/>
      <c r="C625" s="61"/>
      <c r="F625"/>
      <c r="G625"/>
      <c r="H625"/>
      <c r="I625"/>
      <c r="L625"/>
      <c r="M625"/>
      <c r="N625" s="61"/>
      <c r="O625"/>
    </row>
    <row r="626" spans="1:15" x14ac:dyDescent="0.2">
      <c r="A626"/>
      <c r="B626" s="61"/>
      <c r="C626" s="61"/>
      <c r="F626"/>
      <c r="G626"/>
      <c r="H626"/>
      <c r="I626"/>
      <c r="L626"/>
      <c r="M626"/>
      <c r="N626" s="61"/>
      <c r="O626"/>
    </row>
    <row r="627" spans="1:15" x14ac:dyDescent="0.2">
      <c r="A627"/>
      <c r="B627" s="61"/>
      <c r="C627" s="61"/>
      <c r="F627"/>
      <c r="G627"/>
      <c r="I627"/>
      <c r="L627"/>
      <c r="M627"/>
      <c r="N627" s="61"/>
      <c r="O627"/>
    </row>
    <row r="628" spans="1:15" x14ac:dyDescent="0.2">
      <c r="A628"/>
      <c r="B628" s="61"/>
      <c r="C628" s="61"/>
      <c r="F628"/>
      <c r="G628"/>
      <c r="H628"/>
      <c r="I628"/>
      <c r="L628"/>
      <c r="M628"/>
      <c r="N628" s="61"/>
      <c r="O628"/>
    </row>
    <row r="629" spans="1:15" x14ac:dyDescent="0.2">
      <c r="A629"/>
      <c r="B629" s="61"/>
      <c r="C629" s="61"/>
      <c r="F629"/>
      <c r="G629"/>
      <c r="H629"/>
      <c r="I629"/>
      <c r="L629"/>
      <c r="M629"/>
      <c r="N629" s="61"/>
      <c r="O629"/>
    </row>
    <row r="630" spans="1:15" x14ac:dyDescent="0.2">
      <c r="A630"/>
      <c r="B630" s="61"/>
      <c r="C630" s="61"/>
      <c r="F630"/>
      <c r="G630"/>
      <c r="H630"/>
      <c r="J630"/>
      <c r="K630"/>
      <c r="L630"/>
      <c r="M630"/>
      <c r="N630" s="61"/>
      <c r="O630"/>
    </row>
    <row r="631" spans="1:15" x14ac:dyDescent="0.2">
      <c r="A631"/>
      <c r="B631" s="61"/>
      <c r="C631" s="61"/>
      <c r="F631"/>
      <c r="G631"/>
      <c r="H631"/>
      <c r="I631"/>
      <c r="L631"/>
      <c r="M631"/>
      <c r="N631" s="61"/>
      <c r="O631"/>
    </row>
    <row r="632" spans="1:15" x14ac:dyDescent="0.2">
      <c r="A632"/>
      <c r="B632" s="61"/>
      <c r="C632" s="61"/>
      <c r="F632"/>
      <c r="G632"/>
      <c r="H632"/>
      <c r="I632"/>
      <c r="L632"/>
      <c r="M632"/>
      <c r="N632" s="61"/>
      <c r="O632"/>
    </row>
    <row r="633" spans="1:15" x14ac:dyDescent="0.2">
      <c r="A633"/>
      <c r="B633" s="61"/>
      <c r="C633" s="61"/>
      <c r="F633"/>
      <c r="G633"/>
      <c r="I633"/>
      <c r="L633"/>
      <c r="M633"/>
      <c r="N633" s="61"/>
      <c r="O633"/>
    </row>
    <row r="634" spans="1:15" x14ac:dyDescent="0.2">
      <c r="A634"/>
      <c r="B634" s="61"/>
      <c r="C634" s="61"/>
      <c r="F634"/>
      <c r="G634"/>
      <c r="I634"/>
      <c r="L634"/>
      <c r="M634"/>
      <c r="N634" s="61"/>
      <c r="O634"/>
    </row>
    <row r="635" spans="1:15" x14ac:dyDescent="0.2">
      <c r="A635"/>
      <c r="B635" s="61"/>
      <c r="C635" s="61"/>
      <c r="F635"/>
      <c r="G635"/>
      <c r="I635"/>
      <c r="L635"/>
      <c r="M635"/>
      <c r="N635" s="61"/>
      <c r="O635"/>
    </row>
    <row r="636" spans="1:15" x14ac:dyDescent="0.2">
      <c r="A636"/>
      <c r="B636" s="61"/>
      <c r="C636" s="61"/>
      <c r="F636"/>
      <c r="G636"/>
      <c r="H636"/>
      <c r="I636"/>
      <c r="L636"/>
      <c r="N636" s="61"/>
      <c r="O636"/>
    </row>
    <row r="637" spans="1:15" x14ac:dyDescent="0.2">
      <c r="A637"/>
      <c r="B637" s="61"/>
      <c r="C637" s="61"/>
      <c r="F637"/>
      <c r="G637"/>
      <c r="H637"/>
      <c r="I637"/>
      <c r="L637"/>
      <c r="N637" s="61"/>
      <c r="O637"/>
    </row>
    <row r="638" spans="1:15" x14ac:dyDescent="0.2">
      <c r="A638"/>
      <c r="B638" s="61"/>
      <c r="C638" s="61"/>
      <c r="F638"/>
      <c r="G638"/>
      <c r="H638"/>
      <c r="I638"/>
      <c r="L638"/>
      <c r="M638"/>
      <c r="N638" s="61"/>
      <c r="O638"/>
    </row>
    <row r="639" spans="1:15" x14ac:dyDescent="0.2">
      <c r="A639"/>
      <c r="B639" s="61"/>
      <c r="C639" s="61"/>
      <c r="F639"/>
      <c r="G639"/>
      <c r="H639"/>
      <c r="I639"/>
      <c r="L639"/>
      <c r="M639"/>
      <c r="N639" s="61"/>
      <c r="O639"/>
    </row>
    <row r="640" spans="1:15" x14ac:dyDescent="0.2">
      <c r="A640"/>
      <c r="B640" s="61"/>
      <c r="C640" s="61"/>
      <c r="F640"/>
      <c r="G640"/>
      <c r="I640"/>
      <c r="L640"/>
      <c r="M640"/>
      <c r="N640" s="61"/>
      <c r="O640"/>
    </row>
    <row r="641" spans="1:15" x14ac:dyDescent="0.2">
      <c r="A641"/>
      <c r="B641" s="61"/>
      <c r="C641" s="61"/>
      <c r="F641"/>
      <c r="G641"/>
      <c r="H641"/>
      <c r="I641"/>
      <c r="L641"/>
      <c r="M641"/>
      <c r="N641" s="61"/>
      <c r="O641"/>
    </row>
    <row r="642" spans="1:15" x14ac:dyDescent="0.2">
      <c r="A642"/>
      <c r="B642" s="61"/>
      <c r="C642" s="61"/>
      <c r="F642"/>
      <c r="G642"/>
      <c r="I642"/>
      <c r="L642"/>
      <c r="M642"/>
      <c r="N642" s="61"/>
      <c r="O642"/>
    </row>
    <row r="643" spans="1:15" x14ac:dyDescent="0.2">
      <c r="A643"/>
      <c r="B643" s="61"/>
      <c r="C643" s="61"/>
      <c r="F643"/>
      <c r="G643"/>
      <c r="M643"/>
      <c r="N643" s="61"/>
      <c r="O643"/>
    </row>
    <row r="644" spans="1:15" x14ac:dyDescent="0.2">
      <c r="A644"/>
      <c r="B644" s="61"/>
      <c r="C644" s="61"/>
      <c r="F644"/>
      <c r="G644"/>
      <c r="H644"/>
      <c r="I644"/>
      <c r="L644"/>
      <c r="M644"/>
      <c r="N644" s="61"/>
      <c r="O644"/>
    </row>
    <row r="645" spans="1:15" x14ac:dyDescent="0.2">
      <c r="A645"/>
      <c r="B645" s="61"/>
      <c r="C645" s="61"/>
      <c r="F645"/>
      <c r="G645"/>
      <c r="H645"/>
      <c r="I645"/>
      <c r="L645"/>
      <c r="M645"/>
      <c r="N645" s="61"/>
      <c r="O645"/>
    </row>
    <row r="646" spans="1:15" x14ac:dyDescent="0.2">
      <c r="A646"/>
      <c r="B646" s="61"/>
      <c r="C646" s="61"/>
      <c r="F646"/>
      <c r="G646"/>
      <c r="H646"/>
      <c r="I646"/>
      <c r="L646"/>
      <c r="M646"/>
      <c r="N646" s="61"/>
      <c r="O646"/>
    </row>
    <row r="647" spans="1:15" x14ac:dyDescent="0.2">
      <c r="A647"/>
      <c r="B647" s="61"/>
      <c r="C647" s="61"/>
      <c r="F647"/>
      <c r="G647"/>
      <c r="H647"/>
      <c r="I647"/>
      <c r="L647"/>
      <c r="M647"/>
      <c r="N647" s="61"/>
      <c r="O647"/>
    </row>
    <row r="648" spans="1:15" x14ac:dyDescent="0.2">
      <c r="A648"/>
      <c r="B648" s="61"/>
      <c r="C648" s="61"/>
      <c r="F648"/>
      <c r="G648"/>
      <c r="L648"/>
      <c r="M648"/>
      <c r="N648" s="61"/>
      <c r="O648"/>
    </row>
    <row r="649" spans="1:15" x14ac:dyDescent="0.2">
      <c r="A649"/>
      <c r="B649" s="61"/>
      <c r="C649" s="61"/>
      <c r="F649"/>
      <c r="G649"/>
      <c r="H649"/>
      <c r="I649"/>
      <c r="L649"/>
      <c r="M649"/>
      <c r="N649" s="61"/>
      <c r="O649"/>
    </row>
    <row r="650" spans="1:15" x14ac:dyDescent="0.2">
      <c r="A650"/>
      <c r="B650" s="61"/>
      <c r="C650" s="61"/>
      <c r="F650"/>
      <c r="G650"/>
      <c r="H650"/>
      <c r="I650"/>
      <c r="L650"/>
      <c r="M650"/>
      <c r="N650" s="61"/>
      <c r="O650"/>
    </row>
    <row r="651" spans="1:15" x14ac:dyDescent="0.2">
      <c r="A651"/>
      <c r="B651" s="61"/>
      <c r="C651" s="61"/>
      <c r="F651"/>
      <c r="G651"/>
      <c r="H651"/>
      <c r="I651"/>
      <c r="L651"/>
      <c r="N651" s="61"/>
      <c r="O651"/>
    </row>
    <row r="652" spans="1:15" x14ac:dyDescent="0.2">
      <c r="A652"/>
      <c r="B652" s="61"/>
      <c r="C652" s="61"/>
      <c r="F652"/>
      <c r="G652"/>
      <c r="H652"/>
      <c r="I652"/>
      <c r="L652"/>
      <c r="M652"/>
      <c r="N652" s="61"/>
      <c r="O652"/>
    </row>
    <row r="653" spans="1:15" x14ac:dyDescent="0.2">
      <c r="A653"/>
      <c r="B653" s="61"/>
      <c r="C653" s="61"/>
      <c r="F653"/>
      <c r="G653"/>
      <c r="J653"/>
      <c r="K653"/>
      <c r="L653"/>
      <c r="M653"/>
      <c r="N653" s="61"/>
      <c r="O653"/>
    </row>
    <row r="654" spans="1:15" x14ac:dyDescent="0.2">
      <c r="A654"/>
      <c r="B654" s="61"/>
      <c r="C654" s="61"/>
      <c r="F654"/>
      <c r="G654"/>
      <c r="H654"/>
      <c r="I654"/>
      <c r="L654"/>
      <c r="M654"/>
      <c r="N654" s="61"/>
      <c r="O654"/>
    </row>
    <row r="655" spans="1:15" x14ac:dyDescent="0.2">
      <c r="A655"/>
      <c r="B655" s="61"/>
      <c r="C655" s="61"/>
      <c r="F655"/>
      <c r="G655"/>
      <c r="H655"/>
      <c r="I655"/>
      <c r="L655"/>
      <c r="M655"/>
      <c r="N655" s="61"/>
      <c r="O655"/>
    </row>
    <row r="656" spans="1:15" x14ac:dyDescent="0.2">
      <c r="A656"/>
      <c r="B656" s="61"/>
      <c r="C656" s="61"/>
      <c r="F656"/>
      <c r="G656"/>
      <c r="I656"/>
      <c r="L656"/>
      <c r="M656"/>
      <c r="N656" s="61"/>
      <c r="O656"/>
    </row>
    <row r="657" spans="1:15" x14ac:dyDescent="0.2">
      <c r="A657"/>
      <c r="B657" s="61"/>
      <c r="C657" s="61"/>
      <c r="F657"/>
      <c r="G657"/>
      <c r="H657"/>
      <c r="I657"/>
      <c r="L657"/>
      <c r="M657"/>
      <c r="N657" s="61"/>
      <c r="O657"/>
    </row>
    <row r="658" spans="1:15" x14ac:dyDescent="0.2">
      <c r="A658"/>
      <c r="B658" s="61"/>
      <c r="C658" s="61"/>
      <c r="F658"/>
      <c r="G658"/>
      <c r="H658"/>
      <c r="I658"/>
      <c r="L658"/>
      <c r="M658"/>
      <c r="N658" s="61"/>
      <c r="O658"/>
    </row>
    <row r="659" spans="1:15" x14ac:dyDescent="0.2">
      <c r="A659"/>
      <c r="B659" s="61"/>
      <c r="C659" s="61"/>
      <c r="F659"/>
      <c r="G659"/>
      <c r="H659"/>
      <c r="I659"/>
      <c r="L659"/>
      <c r="M659"/>
      <c r="N659" s="61"/>
      <c r="O659"/>
    </row>
    <row r="660" spans="1:15" x14ac:dyDescent="0.2">
      <c r="A660"/>
      <c r="B660" s="61"/>
      <c r="C660" s="61"/>
      <c r="F660"/>
      <c r="G660"/>
      <c r="I660"/>
      <c r="L660"/>
      <c r="M660"/>
      <c r="N660" s="61"/>
      <c r="O660"/>
    </row>
    <row r="661" spans="1:15" x14ac:dyDescent="0.2">
      <c r="A661"/>
      <c r="B661" s="61"/>
      <c r="C661" s="61"/>
      <c r="F661"/>
      <c r="G661"/>
      <c r="H661"/>
      <c r="I661"/>
      <c r="L661"/>
      <c r="M661"/>
      <c r="N661" s="61"/>
      <c r="O661"/>
    </row>
    <row r="662" spans="1:15" x14ac:dyDescent="0.2">
      <c r="A662"/>
      <c r="B662" s="61"/>
      <c r="C662" s="61"/>
      <c r="F662"/>
      <c r="G662"/>
      <c r="L662"/>
      <c r="M662"/>
      <c r="N662" s="61"/>
      <c r="O662"/>
    </row>
    <row r="663" spans="1:15" x14ac:dyDescent="0.2">
      <c r="A663"/>
      <c r="B663" s="61"/>
      <c r="C663" s="61"/>
      <c r="F663"/>
      <c r="G663"/>
      <c r="I663"/>
      <c r="L663"/>
      <c r="M663"/>
      <c r="N663" s="61"/>
      <c r="O663"/>
    </row>
    <row r="664" spans="1:15" x14ac:dyDescent="0.2">
      <c r="A664"/>
      <c r="B664" s="61"/>
      <c r="C664" s="61"/>
      <c r="F664"/>
      <c r="G664"/>
      <c r="H664"/>
      <c r="I664"/>
      <c r="L664"/>
      <c r="M664"/>
      <c r="N664" s="61"/>
      <c r="O664"/>
    </row>
    <row r="665" spans="1:15" x14ac:dyDescent="0.2">
      <c r="A665"/>
      <c r="B665" s="61"/>
      <c r="C665" s="61"/>
      <c r="F665"/>
      <c r="G665"/>
      <c r="H665"/>
      <c r="I665"/>
      <c r="L665"/>
      <c r="N665" s="61"/>
      <c r="O665"/>
    </row>
    <row r="666" spans="1:15" x14ac:dyDescent="0.2">
      <c r="A666"/>
      <c r="B666" s="61"/>
      <c r="C666" s="61"/>
      <c r="F666"/>
      <c r="G666"/>
      <c r="H666"/>
      <c r="I666"/>
      <c r="L666"/>
      <c r="M666"/>
      <c r="N666" s="61"/>
      <c r="O666"/>
    </row>
    <row r="667" spans="1:15" x14ac:dyDescent="0.2">
      <c r="A667"/>
      <c r="B667" s="61"/>
      <c r="C667" s="61"/>
      <c r="F667"/>
      <c r="G667"/>
      <c r="H667"/>
      <c r="J667"/>
      <c r="L667"/>
      <c r="M667"/>
      <c r="N667" s="61"/>
      <c r="O667"/>
    </row>
    <row r="668" spans="1:15" x14ac:dyDescent="0.2">
      <c r="A668"/>
      <c r="B668" s="61"/>
      <c r="C668" s="61"/>
      <c r="F668"/>
      <c r="G668"/>
      <c r="H668"/>
      <c r="I668"/>
      <c r="L668"/>
      <c r="M668"/>
      <c r="N668" s="61"/>
      <c r="O668"/>
    </row>
    <row r="669" spans="1:15" x14ac:dyDescent="0.2">
      <c r="A669"/>
      <c r="B669" s="61"/>
      <c r="C669" s="61"/>
      <c r="F669"/>
      <c r="G669"/>
      <c r="I669"/>
      <c r="L669"/>
      <c r="M669"/>
      <c r="N669" s="61"/>
      <c r="O669"/>
    </row>
    <row r="670" spans="1:15" x14ac:dyDescent="0.2">
      <c r="A670"/>
      <c r="B670" s="61"/>
      <c r="C670" s="61"/>
      <c r="F670"/>
      <c r="G670"/>
      <c r="M670"/>
      <c r="N670" s="61"/>
      <c r="O670"/>
    </row>
    <row r="671" spans="1:15" x14ac:dyDescent="0.2">
      <c r="A671"/>
      <c r="B671" s="61"/>
      <c r="C671" s="61"/>
      <c r="F671"/>
      <c r="G671"/>
      <c r="H671"/>
      <c r="M671"/>
      <c r="N671" s="61"/>
      <c r="O671"/>
    </row>
    <row r="672" spans="1:15" x14ac:dyDescent="0.2">
      <c r="A672"/>
      <c r="B672" s="61"/>
      <c r="C672" s="61"/>
      <c r="F672"/>
      <c r="G672"/>
      <c r="L672"/>
      <c r="M672"/>
      <c r="N672" s="61"/>
      <c r="O672"/>
    </row>
    <row r="673" spans="1:15" x14ac:dyDescent="0.2">
      <c r="A673"/>
      <c r="B673" s="61"/>
      <c r="C673" s="61"/>
      <c r="F673"/>
      <c r="G673"/>
      <c r="H673"/>
      <c r="I673"/>
      <c r="L673"/>
      <c r="M673"/>
      <c r="N673" s="61"/>
      <c r="O673"/>
    </row>
    <row r="674" spans="1:15" x14ac:dyDescent="0.2">
      <c r="A674"/>
      <c r="B674" s="61"/>
      <c r="C674" s="61"/>
      <c r="F674"/>
      <c r="G674"/>
      <c r="H674"/>
      <c r="I674"/>
      <c r="L674"/>
      <c r="M674"/>
      <c r="N674" s="61"/>
      <c r="O674"/>
    </row>
    <row r="675" spans="1:15" x14ac:dyDescent="0.2">
      <c r="A675"/>
      <c r="B675" s="61"/>
      <c r="C675" s="61"/>
      <c r="F675"/>
      <c r="G675"/>
      <c r="M675"/>
      <c r="N675" s="61"/>
      <c r="O675"/>
    </row>
    <row r="676" spans="1:15" x14ac:dyDescent="0.2">
      <c r="A676"/>
      <c r="B676" s="61"/>
      <c r="C676" s="61"/>
      <c r="F676"/>
      <c r="G676"/>
      <c r="H676"/>
      <c r="I676"/>
      <c r="L676"/>
      <c r="M676"/>
      <c r="N676" s="61"/>
      <c r="O676"/>
    </row>
    <row r="677" spans="1:15" x14ac:dyDescent="0.2">
      <c r="A677"/>
      <c r="B677" s="61"/>
      <c r="C677" s="61"/>
      <c r="F677"/>
      <c r="G677"/>
      <c r="L677"/>
      <c r="M677"/>
      <c r="N677" s="61"/>
      <c r="O677"/>
    </row>
    <row r="678" spans="1:15" x14ac:dyDescent="0.2">
      <c r="A678"/>
      <c r="B678" s="61"/>
      <c r="C678" s="61"/>
      <c r="F678"/>
      <c r="G678"/>
      <c r="H678"/>
      <c r="I678"/>
      <c r="L678"/>
      <c r="M678"/>
      <c r="N678" s="61"/>
      <c r="O678"/>
    </row>
    <row r="679" spans="1:15" x14ac:dyDescent="0.2">
      <c r="A679"/>
      <c r="B679" s="61"/>
      <c r="C679" s="61"/>
      <c r="F679"/>
      <c r="G679"/>
      <c r="H679"/>
      <c r="I679"/>
      <c r="L679"/>
      <c r="M679"/>
      <c r="N679" s="61"/>
      <c r="O679"/>
    </row>
    <row r="680" spans="1:15" x14ac:dyDescent="0.2">
      <c r="A680"/>
      <c r="B680" s="61"/>
      <c r="C680" s="61"/>
      <c r="F680"/>
      <c r="G680"/>
      <c r="H680"/>
      <c r="I680"/>
      <c r="L680"/>
      <c r="M680"/>
      <c r="N680" s="61"/>
      <c r="O680"/>
    </row>
    <row r="681" spans="1:15" x14ac:dyDescent="0.2">
      <c r="A681"/>
      <c r="B681" s="61"/>
      <c r="C681" s="61"/>
      <c r="F681"/>
      <c r="G681"/>
      <c r="H681"/>
      <c r="I681"/>
      <c r="L681"/>
      <c r="M681"/>
      <c r="N681" s="61"/>
      <c r="O681"/>
    </row>
    <row r="682" spans="1:15" x14ac:dyDescent="0.2">
      <c r="A682"/>
      <c r="B682" s="61"/>
      <c r="C682" s="61"/>
      <c r="F682"/>
      <c r="G682"/>
      <c r="M682"/>
      <c r="N682" s="61"/>
      <c r="O682"/>
    </row>
    <row r="683" spans="1:15" x14ac:dyDescent="0.2">
      <c r="A683"/>
      <c r="B683" s="61"/>
      <c r="C683" s="61"/>
      <c r="F683"/>
      <c r="G683"/>
      <c r="L683"/>
      <c r="M683"/>
      <c r="N683" s="61"/>
      <c r="O683"/>
    </row>
    <row r="684" spans="1:15" x14ac:dyDescent="0.2">
      <c r="A684"/>
      <c r="B684" s="61"/>
      <c r="C684" s="61"/>
      <c r="F684"/>
      <c r="G684"/>
      <c r="I684"/>
      <c r="L684"/>
      <c r="M684"/>
      <c r="N684" s="61"/>
      <c r="O684"/>
    </row>
    <row r="685" spans="1:15" x14ac:dyDescent="0.2">
      <c r="A685"/>
      <c r="B685" s="61"/>
      <c r="C685" s="61"/>
      <c r="F685"/>
      <c r="G685"/>
      <c r="H685"/>
      <c r="I685"/>
      <c r="L685"/>
      <c r="M685"/>
      <c r="N685" s="61"/>
      <c r="O685"/>
    </row>
    <row r="686" spans="1:15" x14ac:dyDescent="0.2">
      <c r="A686"/>
      <c r="B686" s="61"/>
      <c r="C686" s="61"/>
      <c r="F686"/>
      <c r="G686"/>
      <c r="H686"/>
      <c r="I686"/>
      <c r="L686"/>
      <c r="M686"/>
      <c r="N686" s="61"/>
      <c r="O686"/>
    </row>
    <row r="687" spans="1:15" x14ac:dyDescent="0.2">
      <c r="A687"/>
      <c r="B687" s="61"/>
      <c r="C687" s="61"/>
      <c r="F687"/>
      <c r="G687"/>
      <c r="H687"/>
      <c r="I687"/>
      <c r="L687"/>
      <c r="M687"/>
      <c r="N687" s="61"/>
      <c r="O687"/>
    </row>
    <row r="688" spans="1:15" x14ac:dyDescent="0.2">
      <c r="A688"/>
      <c r="B688" s="61"/>
      <c r="C688" s="61"/>
      <c r="F688"/>
      <c r="G688"/>
      <c r="H688"/>
      <c r="I688"/>
      <c r="L688"/>
      <c r="M688"/>
      <c r="N688" s="61"/>
      <c r="O688"/>
    </row>
    <row r="689" spans="1:15" x14ac:dyDescent="0.2">
      <c r="A689"/>
      <c r="B689" s="61"/>
      <c r="C689" s="61"/>
      <c r="F689"/>
      <c r="G689"/>
      <c r="H689"/>
      <c r="I689"/>
      <c r="L689"/>
      <c r="N689" s="61"/>
      <c r="O689"/>
    </row>
    <row r="690" spans="1:15" x14ac:dyDescent="0.2">
      <c r="A690"/>
      <c r="B690" s="61"/>
      <c r="C690" s="61"/>
      <c r="F690"/>
      <c r="G690"/>
      <c r="M690"/>
      <c r="N690" s="61"/>
      <c r="O690"/>
    </row>
    <row r="691" spans="1:15" x14ac:dyDescent="0.2">
      <c r="A691"/>
      <c r="B691" s="61"/>
      <c r="C691" s="61"/>
      <c r="F691"/>
      <c r="G691"/>
      <c r="H691"/>
      <c r="I691"/>
      <c r="L691"/>
      <c r="M691"/>
      <c r="N691" s="61"/>
      <c r="O691"/>
    </row>
    <row r="692" spans="1:15" x14ac:dyDescent="0.2">
      <c r="A692"/>
      <c r="B692" s="61"/>
      <c r="C692" s="61"/>
      <c r="F692"/>
      <c r="G692"/>
      <c r="H692"/>
      <c r="I692"/>
      <c r="L692"/>
      <c r="M692"/>
      <c r="N692" s="61"/>
      <c r="O692"/>
    </row>
    <row r="693" spans="1:15" x14ac:dyDescent="0.2">
      <c r="A693"/>
      <c r="B693" s="61"/>
      <c r="C693" s="61"/>
      <c r="F693"/>
      <c r="G693"/>
      <c r="M693"/>
      <c r="N693" s="61"/>
      <c r="O693"/>
    </row>
    <row r="694" spans="1:15" x14ac:dyDescent="0.2">
      <c r="A694"/>
      <c r="B694" s="61"/>
      <c r="C694" s="61"/>
      <c r="F694"/>
      <c r="G694"/>
      <c r="I694"/>
      <c r="L694"/>
      <c r="M694"/>
      <c r="N694" s="61"/>
      <c r="O694"/>
    </row>
    <row r="695" spans="1:15" x14ac:dyDescent="0.2">
      <c r="A695"/>
      <c r="B695" s="61"/>
      <c r="C695" s="61"/>
      <c r="F695"/>
      <c r="G695"/>
      <c r="J695"/>
      <c r="K695"/>
      <c r="L695"/>
      <c r="M695"/>
      <c r="N695" s="61"/>
      <c r="O695"/>
    </row>
    <row r="696" spans="1:15" x14ac:dyDescent="0.2">
      <c r="A696"/>
      <c r="B696" s="61"/>
      <c r="C696" s="61"/>
      <c r="F696"/>
      <c r="G696"/>
      <c r="H696"/>
      <c r="I696"/>
      <c r="L696"/>
      <c r="M696"/>
      <c r="N696" s="61"/>
      <c r="O696"/>
    </row>
    <row r="697" spans="1:15" x14ac:dyDescent="0.2">
      <c r="A697"/>
      <c r="B697" s="61"/>
      <c r="C697" s="61"/>
      <c r="F697"/>
      <c r="G697"/>
      <c r="I697"/>
      <c r="L697"/>
      <c r="M697"/>
      <c r="N697" s="61"/>
      <c r="O697"/>
    </row>
    <row r="698" spans="1:15" x14ac:dyDescent="0.2">
      <c r="A698"/>
      <c r="B698" s="61"/>
      <c r="C698" s="61"/>
      <c r="F698"/>
      <c r="G698"/>
      <c r="L698"/>
      <c r="M698"/>
      <c r="N698" s="61"/>
      <c r="O698"/>
    </row>
    <row r="699" spans="1:15" x14ac:dyDescent="0.2">
      <c r="A699"/>
      <c r="B699" s="61"/>
      <c r="C699" s="61"/>
      <c r="F699"/>
      <c r="G699"/>
      <c r="H699"/>
      <c r="J699"/>
      <c r="K699"/>
      <c r="L699"/>
      <c r="M699"/>
      <c r="N699" s="61"/>
      <c r="O699"/>
    </row>
    <row r="700" spans="1:15" x14ac:dyDescent="0.2">
      <c r="A700"/>
      <c r="B700" s="61"/>
      <c r="C700" s="61"/>
      <c r="F700"/>
      <c r="G700"/>
      <c r="H700"/>
      <c r="J700"/>
      <c r="K700"/>
      <c r="L700"/>
      <c r="M700"/>
      <c r="N700" s="61"/>
      <c r="O700"/>
    </row>
    <row r="701" spans="1:15" x14ac:dyDescent="0.2">
      <c r="A701"/>
      <c r="B701" s="61"/>
      <c r="C701" s="61"/>
      <c r="F701"/>
      <c r="G701"/>
      <c r="H701"/>
      <c r="J701"/>
      <c r="K701"/>
      <c r="L701"/>
      <c r="M701"/>
      <c r="N701" s="61"/>
      <c r="O701"/>
    </row>
    <row r="702" spans="1:15" x14ac:dyDescent="0.2">
      <c r="A702"/>
      <c r="B702" s="61"/>
      <c r="C702" s="61"/>
      <c r="F702"/>
      <c r="G702"/>
      <c r="I702"/>
      <c r="L702"/>
      <c r="M702"/>
      <c r="N702" s="61"/>
      <c r="O702"/>
    </row>
    <row r="703" spans="1:15" x14ac:dyDescent="0.2">
      <c r="A703"/>
      <c r="B703" s="61"/>
      <c r="C703" s="61"/>
      <c r="F703"/>
      <c r="G703"/>
      <c r="I703"/>
      <c r="L703"/>
      <c r="M703"/>
      <c r="N703" s="61"/>
      <c r="O703"/>
    </row>
    <row r="704" spans="1:15" x14ac:dyDescent="0.2">
      <c r="A704"/>
      <c r="B704" s="61"/>
      <c r="C704" s="61"/>
      <c r="F704"/>
      <c r="G704"/>
      <c r="H704"/>
      <c r="I704"/>
      <c r="J704"/>
      <c r="K704"/>
      <c r="L704"/>
      <c r="M704"/>
      <c r="N704" s="61"/>
      <c r="O704"/>
    </row>
    <row r="705" spans="1:15" x14ac:dyDescent="0.2">
      <c r="A705"/>
      <c r="B705" s="61"/>
      <c r="C705" s="61"/>
      <c r="F705"/>
      <c r="G705"/>
      <c r="H705"/>
      <c r="I705"/>
      <c r="L705"/>
      <c r="M705"/>
      <c r="N705" s="61"/>
      <c r="O705"/>
    </row>
    <row r="706" spans="1:15" x14ac:dyDescent="0.2">
      <c r="A706"/>
      <c r="B706" s="61"/>
      <c r="C706" s="61"/>
      <c r="F706"/>
      <c r="G706"/>
      <c r="H706"/>
      <c r="I706"/>
      <c r="J706"/>
      <c r="K706"/>
      <c r="L706"/>
      <c r="M706"/>
      <c r="N706" s="61"/>
      <c r="O706"/>
    </row>
    <row r="707" spans="1:15" x14ac:dyDescent="0.2">
      <c r="A707"/>
      <c r="B707" s="61"/>
      <c r="C707" s="61"/>
      <c r="F707"/>
      <c r="G707"/>
      <c r="I707"/>
      <c r="L707"/>
      <c r="M707"/>
      <c r="N707" s="61"/>
      <c r="O707"/>
    </row>
    <row r="708" spans="1:15" x14ac:dyDescent="0.2">
      <c r="A708"/>
      <c r="B708" s="61"/>
      <c r="C708" s="61"/>
      <c r="F708"/>
      <c r="G708"/>
      <c r="H708"/>
      <c r="I708"/>
      <c r="L708"/>
      <c r="M708"/>
      <c r="N708" s="61"/>
      <c r="O708"/>
    </row>
    <row r="709" spans="1:15" x14ac:dyDescent="0.2">
      <c r="A709"/>
      <c r="B709" s="61"/>
      <c r="C709" s="61"/>
      <c r="F709"/>
      <c r="G709"/>
      <c r="H709"/>
      <c r="I709"/>
      <c r="L709"/>
      <c r="M709"/>
      <c r="N709" s="61"/>
      <c r="O709"/>
    </row>
    <row r="710" spans="1:15" x14ac:dyDescent="0.2">
      <c r="A710"/>
      <c r="B710" s="61"/>
      <c r="C710" s="61"/>
      <c r="F710"/>
      <c r="G710"/>
      <c r="H710"/>
      <c r="I710"/>
      <c r="L710"/>
      <c r="M710"/>
      <c r="N710" s="61"/>
      <c r="O710"/>
    </row>
    <row r="711" spans="1:15" x14ac:dyDescent="0.2">
      <c r="A711"/>
      <c r="B711" s="61"/>
      <c r="C711" s="61"/>
      <c r="F711"/>
      <c r="G711"/>
      <c r="H711"/>
      <c r="I711"/>
      <c r="L711"/>
      <c r="M711"/>
      <c r="N711" s="61"/>
      <c r="O711"/>
    </row>
    <row r="712" spans="1:15" x14ac:dyDescent="0.2">
      <c r="A712"/>
      <c r="B712" s="61"/>
      <c r="C712" s="61"/>
      <c r="F712"/>
      <c r="G712"/>
      <c r="I712"/>
      <c r="L712"/>
      <c r="M712"/>
      <c r="N712" s="61"/>
      <c r="O712"/>
    </row>
    <row r="713" spans="1:15" x14ac:dyDescent="0.2">
      <c r="A713"/>
      <c r="B713" s="61"/>
      <c r="C713" s="61"/>
      <c r="F713"/>
      <c r="G713"/>
      <c r="H713"/>
      <c r="I713"/>
      <c r="L713"/>
      <c r="M713"/>
      <c r="N713" s="61"/>
      <c r="O713"/>
    </row>
    <row r="714" spans="1:15" x14ac:dyDescent="0.2">
      <c r="A714"/>
      <c r="B714" s="61"/>
      <c r="C714" s="61"/>
      <c r="F714"/>
      <c r="G714"/>
      <c r="H714"/>
      <c r="I714"/>
      <c r="L714"/>
      <c r="M714"/>
      <c r="N714" s="61"/>
      <c r="O714"/>
    </row>
    <row r="715" spans="1:15" x14ac:dyDescent="0.2">
      <c r="A715"/>
      <c r="B715" s="61"/>
      <c r="C715" s="61"/>
      <c r="F715"/>
      <c r="G715"/>
      <c r="H715"/>
      <c r="I715"/>
      <c r="L715"/>
      <c r="M715"/>
      <c r="N715" s="61"/>
      <c r="O715"/>
    </row>
    <row r="716" spans="1:15" x14ac:dyDescent="0.2">
      <c r="A716"/>
      <c r="B716" s="61"/>
      <c r="C716" s="61"/>
      <c r="F716"/>
      <c r="G716"/>
      <c r="L716"/>
      <c r="M716"/>
      <c r="N716" s="61"/>
      <c r="O716"/>
    </row>
    <row r="717" spans="1:15" x14ac:dyDescent="0.2">
      <c r="A717"/>
      <c r="B717" s="61"/>
      <c r="C717" s="61"/>
      <c r="F717"/>
      <c r="G717"/>
      <c r="H717"/>
      <c r="I717"/>
      <c r="L717"/>
      <c r="M717"/>
      <c r="N717" s="61"/>
      <c r="O717"/>
    </row>
    <row r="718" spans="1:15" x14ac:dyDescent="0.2">
      <c r="A718"/>
      <c r="B718" s="61"/>
      <c r="C718" s="61"/>
      <c r="F718"/>
      <c r="G718"/>
      <c r="H718"/>
      <c r="I718"/>
      <c r="L718"/>
      <c r="M718"/>
      <c r="N718" s="61"/>
      <c r="O718"/>
    </row>
    <row r="719" spans="1:15" x14ac:dyDescent="0.2">
      <c r="A719"/>
      <c r="B719" s="61"/>
      <c r="C719" s="61"/>
      <c r="F719"/>
      <c r="G719"/>
      <c r="I719"/>
      <c r="L719"/>
      <c r="M719"/>
      <c r="N719" s="61"/>
      <c r="O719"/>
    </row>
    <row r="720" spans="1:15" x14ac:dyDescent="0.2">
      <c r="A720"/>
      <c r="B720" s="61"/>
      <c r="C720" s="61"/>
      <c r="F720"/>
      <c r="G720"/>
      <c r="L720"/>
      <c r="M720"/>
      <c r="N720" s="61"/>
      <c r="O720"/>
    </row>
    <row r="721" spans="1:15" x14ac:dyDescent="0.2">
      <c r="A721"/>
      <c r="B721" s="61"/>
      <c r="C721" s="61"/>
      <c r="F721"/>
      <c r="G721"/>
      <c r="H721"/>
      <c r="J721"/>
      <c r="K721"/>
      <c r="L721"/>
      <c r="M721"/>
      <c r="N721" s="61"/>
      <c r="O721"/>
    </row>
    <row r="722" spans="1:15" x14ac:dyDescent="0.2">
      <c r="A722"/>
      <c r="B722" s="61"/>
      <c r="C722" s="61"/>
      <c r="F722"/>
      <c r="G722"/>
      <c r="H722"/>
      <c r="I722"/>
      <c r="L722"/>
      <c r="M722"/>
      <c r="N722" s="61"/>
      <c r="O722"/>
    </row>
    <row r="723" spans="1:15" x14ac:dyDescent="0.2">
      <c r="A723"/>
      <c r="B723" s="61"/>
      <c r="C723" s="61"/>
      <c r="F723"/>
      <c r="G723"/>
      <c r="J723"/>
      <c r="K723"/>
      <c r="L723"/>
      <c r="M723"/>
      <c r="N723" s="61"/>
      <c r="O723"/>
    </row>
    <row r="724" spans="1:15" x14ac:dyDescent="0.2">
      <c r="A724"/>
      <c r="B724" s="61"/>
      <c r="C724" s="61"/>
      <c r="F724"/>
      <c r="G724"/>
      <c r="H724"/>
      <c r="I724"/>
      <c r="L724"/>
      <c r="M724"/>
      <c r="N724" s="61"/>
      <c r="O724"/>
    </row>
    <row r="725" spans="1:15" x14ac:dyDescent="0.2">
      <c r="A725"/>
      <c r="B725" s="61"/>
      <c r="C725" s="61"/>
      <c r="F725"/>
      <c r="G725"/>
      <c r="H725"/>
      <c r="I725"/>
      <c r="L725"/>
      <c r="M725"/>
      <c r="N725" s="61"/>
      <c r="O725"/>
    </row>
    <row r="726" spans="1:15" x14ac:dyDescent="0.2">
      <c r="A726"/>
      <c r="B726" s="61"/>
      <c r="C726" s="61"/>
      <c r="F726"/>
      <c r="G726"/>
      <c r="I726"/>
      <c r="K726"/>
      <c r="L726"/>
      <c r="M726"/>
      <c r="N726" s="61"/>
      <c r="O726"/>
    </row>
    <row r="727" spans="1:15" x14ac:dyDescent="0.2">
      <c r="A727"/>
      <c r="B727" s="61"/>
      <c r="C727" s="61"/>
      <c r="F727"/>
      <c r="G727"/>
      <c r="L727"/>
      <c r="M727"/>
      <c r="N727" s="61"/>
      <c r="O727"/>
    </row>
    <row r="728" spans="1:15" x14ac:dyDescent="0.2">
      <c r="A728"/>
      <c r="B728" s="61"/>
      <c r="C728" s="61"/>
      <c r="F728"/>
      <c r="G728"/>
      <c r="L728"/>
      <c r="M728"/>
      <c r="N728" s="61"/>
      <c r="O728"/>
    </row>
    <row r="729" spans="1:15" x14ac:dyDescent="0.2">
      <c r="A729"/>
      <c r="B729" s="61"/>
      <c r="C729" s="61"/>
      <c r="F729"/>
      <c r="G729"/>
      <c r="H729"/>
      <c r="I729"/>
      <c r="L729"/>
      <c r="M729"/>
      <c r="N729" s="61"/>
      <c r="O729"/>
    </row>
    <row r="730" spans="1:15" x14ac:dyDescent="0.2">
      <c r="A730"/>
      <c r="B730" s="61"/>
      <c r="C730" s="61"/>
      <c r="F730"/>
      <c r="G730"/>
      <c r="J730"/>
      <c r="L730"/>
      <c r="M730"/>
      <c r="N730" s="61"/>
      <c r="O730"/>
    </row>
    <row r="731" spans="1:15" x14ac:dyDescent="0.2">
      <c r="A731"/>
      <c r="B731" s="61"/>
      <c r="C731" s="61"/>
      <c r="F731"/>
      <c r="G731"/>
      <c r="H731"/>
      <c r="L731"/>
      <c r="M731"/>
      <c r="N731" s="61"/>
      <c r="O731"/>
    </row>
    <row r="732" spans="1:15" x14ac:dyDescent="0.2">
      <c r="A732"/>
      <c r="B732" s="61"/>
      <c r="C732" s="61"/>
      <c r="F732"/>
      <c r="G732"/>
      <c r="H732"/>
      <c r="I732"/>
      <c r="L732"/>
      <c r="M732"/>
      <c r="N732" s="61"/>
      <c r="O732"/>
    </row>
    <row r="733" spans="1:15" x14ac:dyDescent="0.2">
      <c r="A733"/>
      <c r="B733" s="61"/>
      <c r="C733" s="61"/>
      <c r="F733"/>
      <c r="G733"/>
      <c r="L733"/>
      <c r="M733"/>
      <c r="N733" s="61"/>
      <c r="O733"/>
    </row>
    <row r="734" spans="1:15" x14ac:dyDescent="0.2">
      <c r="A734"/>
      <c r="B734" s="61"/>
      <c r="C734" s="61"/>
      <c r="F734"/>
      <c r="G734"/>
      <c r="J734"/>
      <c r="K734"/>
      <c r="L734"/>
      <c r="M734"/>
      <c r="N734" s="61"/>
      <c r="O734"/>
    </row>
    <row r="735" spans="1:15" x14ac:dyDescent="0.2">
      <c r="A735"/>
      <c r="B735" s="61"/>
      <c r="C735" s="61"/>
      <c r="F735"/>
      <c r="G735"/>
      <c r="H735"/>
      <c r="I735"/>
      <c r="L735"/>
      <c r="M735"/>
      <c r="N735" s="61"/>
      <c r="O735"/>
    </row>
    <row r="736" spans="1:15" x14ac:dyDescent="0.2">
      <c r="A736"/>
      <c r="B736" s="61"/>
      <c r="C736" s="61"/>
      <c r="F736"/>
      <c r="G736"/>
      <c r="M736"/>
      <c r="N736" s="61"/>
      <c r="O736"/>
    </row>
    <row r="737" spans="1:15" x14ac:dyDescent="0.2">
      <c r="A737"/>
      <c r="B737" s="61"/>
      <c r="C737" s="61"/>
      <c r="F737"/>
      <c r="G737"/>
      <c r="H737"/>
      <c r="I737"/>
      <c r="L737"/>
      <c r="M737"/>
      <c r="N737" s="61"/>
      <c r="O737"/>
    </row>
    <row r="738" spans="1:15" x14ac:dyDescent="0.2">
      <c r="A738"/>
      <c r="B738" s="61"/>
      <c r="C738" s="61"/>
      <c r="F738"/>
      <c r="G738"/>
      <c r="I738"/>
      <c r="L738"/>
      <c r="M738"/>
      <c r="N738" s="61"/>
      <c r="O738"/>
    </row>
    <row r="739" spans="1:15" x14ac:dyDescent="0.2">
      <c r="A739"/>
      <c r="B739" s="61"/>
      <c r="C739" s="61"/>
      <c r="F739"/>
      <c r="G739"/>
      <c r="H739"/>
      <c r="I739"/>
      <c r="L739"/>
      <c r="M739"/>
      <c r="N739" s="61"/>
      <c r="O739"/>
    </row>
    <row r="740" spans="1:15" x14ac:dyDescent="0.2">
      <c r="A740"/>
      <c r="B740" s="61"/>
      <c r="C740" s="61"/>
      <c r="F740"/>
      <c r="G740"/>
      <c r="H740"/>
      <c r="I740"/>
      <c r="L740"/>
      <c r="M740"/>
      <c r="N740" s="61"/>
      <c r="O740"/>
    </row>
    <row r="741" spans="1:15" x14ac:dyDescent="0.2">
      <c r="A741"/>
      <c r="B741" s="61"/>
      <c r="C741" s="61"/>
      <c r="F741"/>
      <c r="G741"/>
      <c r="H741"/>
      <c r="I741"/>
      <c r="L741"/>
      <c r="N741" s="61"/>
      <c r="O741"/>
    </row>
    <row r="742" spans="1:15" x14ac:dyDescent="0.2">
      <c r="A742"/>
      <c r="B742" s="61"/>
      <c r="C742" s="61"/>
      <c r="F742"/>
      <c r="G742"/>
      <c r="H742"/>
      <c r="I742"/>
      <c r="L742"/>
      <c r="M742"/>
      <c r="N742" s="61"/>
      <c r="O742"/>
    </row>
    <row r="743" spans="1:15" x14ac:dyDescent="0.2">
      <c r="A743"/>
      <c r="B743" s="61"/>
      <c r="C743" s="61"/>
      <c r="F743"/>
      <c r="G743"/>
      <c r="L743"/>
      <c r="M743"/>
      <c r="N743" s="61"/>
      <c r="O743"/>
    </row>
    <row r="744" spans="1:15" x14ac:dyDescent="0.2">
      <c r="A744"/>
      <c r="B744" s="61"/>
      <c r="C744" s="61"/>
      <c r="F744"/>
      <c r="G744"/>
      <c r="H744"/>
      <c r="I744"/>
      <c r="L744"/>
      <c r="M744"/>
      <c r="N744" s="61"/>
      <c r="O744"/>
    </row>
    <row r="745" spans="1:15" x14ac:dyDescent="0.2">
      <c r="A745"/>
      <c r="B745" s="61"/>
      <c r="C745" s="61"/>
      <c r="F745"/>
      <c r="G745"/>
      <c r="L745"/>
      <c r="M745"/>
      <c r="N745" s="61"/>
      <c r="O745"/>
    </row>
    <row r="746" spans="1:15" x14ac:dyDescent="0.2">
      <c r="A746"/>
      <c r="B746" s="61"/>
      <c r="C746" s="61"/>
      <c r="F746"/>
      <c r="G746"/>
      <c r="H746"/>
      <c r="I746"/>
      <c r="L746"/>
      <c r="M746"/>
      <c r="N746" s="61"/>
      <c r="O746"/>
    </row>
    <row r="747" spans="1:15" x14ac:dyDescent="0.2">
      <c r="A747"/>
      <c r="B747" s="61"/>
      <c r="C747" s="61"/>
      <c r="F747"/>
      <c r="G747"/>
      <c r="H747"/>
      <c r="I747"/>
      <c r="L747"/>
      <c r="M747"/>
      <c r="N747" s="61"/>
      <c r="O747"/>
    </row>
    <row r="748" spans="1:15" x14ac:dyDescent="0.2">
      <c r="A748"/>
      <c r="B748" s="61"/>
      <c r="C748" s="61"/>
      <c r="F748"/>
      <c r="G748"/>
      <c r="H748"/>
      <c r="I748"/>
      <c r="L748"/>
      <c r="M748"/>
      <c r="N748" s="61"/>
      <c r="O748"/>
    </row>
    <row r="749" spans="1:15" x14ac:dyDescent="0.2">
      <c r="A749"/>
      <c r="B749" s="61"/>
      <c r="C749" s="61"/>
      <c r="F749"/>
      <c r="G749"/>
      <c r="L749"/>
      <c r="M749"/>
      <c r="N749" s="61"/>
      <c r="O749"/>
    </row>
    <row r="750" spans="1:15" x14ac:dyDescent="0.2">
      <c r="A750"/>
      <c r="B750" s="61"/>
      <c r="C750" s="61"/>
      <c r="F750"/>
      <c r="G750"/>
      <c r="H750"/>
      <c r="I750"/>
      <c r="L750"/>
      <c r="M750"/>
      <c r="N750" s="61"/>
      <c r="O750"/>
    </row>
    <row r="751" spans="1:15" x14ac:dyDescent="0.2">
      <c r="A751"/>
      <c r="B751" s="61"/>
      <c r="C751" s="61"/>
      <c r="F751"/>
      <c r="G751"/>
      <c r="H751"/>
      <c r="I751"/>
      <c r="L751"/>
      <c r="M751"/>
      <c r="N751" s="61"/>
      <c r="O751"/>
    </row>
    <row r="752" spans="1:15" x14ac:dyDescent="0.2">
      <c r="A752"/>
      <c r="B752" s="61"/>
      <c r="C752" s="61"/>
      <c r="F752"/>
      <c r="G752"/>
      <c r="M752"/>
      <c r="N752" s="61"/>
      <c r="O752"/>
    </row>
    <row r="753" spans="1:15" x14ac:dyDescent="0.2">
      <c r="A753"/>
      <c r="B753" s="61"/>
      <c r="C753" s="61"/>
      <c r="F753"/>
      <c r="G753"/>
      <c r="H753"/>
      <c r="I753"/>
      <c r="L753"/>
      <c r="M753"/>
      <c r="N753" s="61"/>
      <c r="O753"/>
    </row>
    <row r="754" spans="1:15" x14ac:dyDescent="0.2">
      <c r="A754"/>
      <c r="B754" s="61"/>
      <c r="C754" s="61"/>
      <c r="F754"/>
      <c r="G754"/>
      <c r="H754"/>
      <c r="I754"/>
      <c r="L754"/>
      <c r="M754"/>
      <c r="N754" s="61"/>
      <c r="O754"/>
    </row>
    <row r="755" spans="1:15" x14ac:dyDescent="0.2">
      <c r="A755"/>
      <c r="B755" s="61"/>
      <c r="C755" s="61"/>
      <c r="F755"/>
      <c r="G755"/>
      <c r="H755"/>
      <c r="I755"/>
      <c r="L755"/>
      <c r="M755"/>
      <c r="N755" s="61"/>
      <c r="O755"/>
    </row>
    <row r="756" spans="1:15" x14ac:dyDescent="0.2">
      <c r="A756"/>
      <c r="B756" s="61"/>
      <c r="C756" s="61"/>
      <c r="F756"/>
      <c r="G756"/>
      <c r="H756"/>
      <c r="J756"/>
      <c r="K756"/>
      <c r="L756"/>
      <c r="M756"/>
      <c r="N756" s="61"/>
      <c r="O756"/>
    </row>
    <row r="757" spans="1:15" x14ac:dyDescent="0.2">
      <c r="A757"/>
      <c r="B757" s="61"/>
      <c r="C757" s="61"/>
      <c r="F757"/>
      <c r="G757"/>
      <c r="H757"/>
      <c r="L757"/>
      <c r="M757"/>
      <c r="N757" s="61"/>
      <c r="O757"/>
    </row>
    <row r="758" spans="1:15" x14ac:dyDescent="0.2">
      <c r="A758"/>
      <c r="B758" s="61"/>
      <c r="C758" s="61"/>
      <c r="F758"/>
      <c r="G758"/>
      <c r="H758"/>
      <c r="I758"/>
      <c r="L758"/>
      <c r="M758"/>
      <c r="N758" s="61"/>
      <c r="O758"/>
    </row>
    <row r="759" spans="1:15" x14ac:dyDescent="0.2">
      <c r="A759"/>
      <c r="B759" s="61"/>
      <c r="C759" s="61"/>
      <c r="F759"/>
      <c r="G759"/>
      <c r="I759"/>
      <c r="L759"/>
      <c r="M759"/>
      <c r="N759" s="61"/>
      <c r="O759"/>
    </row>
    <row r="760" spans="1:15" x14ac:dyDescent="0.2">
      <c r="A760"/>
      <c r="B760" s="61"/>
      <c r="C760" s="61"/>
      <c r="F760"/>
      <c r="G760"/>
      <c r="H760"/>
      <c r="I760"/>
      <c r="L760"/>
      <c r="M760"/>
      <c r="N760" s="61"/>
      <c r="O760"/>
    </row>
    <row r="761" spans="1:15" x14ac:dyDescent="0.2">
      <c r="A761"/>
      <c r="B761" s="61"/>
      <c r="C761" s="61"/>
      <c r="F761"/>
      <c r="G761"/>
      <c r="H761"/>
      <c r="I761"/>
      <c r="L761"/>
      <c r="M761"/>
      <c r="N761" s="61"/>
      <c r="O761"/>
    </row>
    <row r="762" spans="1:15" x14ac:dyDescent="0.2">
      <c r="A762"/>
      <c r="B762" s="61"/>
      <c r="C762" s="61"/>
      <c r="F762"/>
      <c r="G762"/>
      <c r="H762"/>
      <c r="I762"/>
      <c r="L762"/>
      <c r="M762"/>
      <c r="N762" s="61"/>
      <c r="O762"/>
    </row>
    <row r="763" spans="1:15" x14ac:dyDescent="0.2">
      <c r="A763"/>
      <c r="B763" s="61"/>
      <c r="C763" s="61"/>
      <c r="F763"/>
      <c r="G763"/>
      <c r="H763"/>
      <c r="I763"/>
      <c r="L763"/>
      <c r="M763"/>
      <c r="N763" s="61"/>
      <c r="O763"/>
    </row>
    <row r="764" spans="1:15" x14ac:dyDescent="0.2">
      <c r="A764"/>
      <c r="B764" s="61"/>
      <c r="C764" s="61"/>
      <c r="F764"/>
      <c r="G764"/>
      <c r="L764"/>
      <c r="M764"/>
      <c r="N764" s="61"/>
      <c r="O764"/>
    </row>
    <row r="765" spans="1:15" x14ac:dyDescent="0.2">
      <c r="A765"/>
      <c r="B765" s="61"/>
      <c r="C765" s="61"/>
      <c r="F765"/>
      <c r="G765"/>
      <c r="M765"/>
      <c r="N765" s="61"/>
      <c r="O765"/>
    </row>
    <row r="766" spans="1:15" x14ac:dyDescent="0.2">
      <c r="A766"/>
      <c r="B766" s="61"/>
      <c r="C766" s="61"/>
      <c r="F766"/>
      <c r="G766"/>
      <c r="I766"/>
      <c r="L766"/>
      <c r="M766"/>
      <c r="N766" s="61"/>
      <c r="O766"/>
    </row>
    <row r="767" spans="1:15" x14ac:dyDescent="0.2">
      <c r="A767"/>
      <c r="B767" s="61"/>
      <c r="C767" s="61"/>
      <c r="F767"/>
      <c r="G767"/>
      <c r="H767"/>
      <c r="I767"/>
      <c r="L767"/>
      <c r="M767"/>
      <c r="N767" s="61"/>
      <c r="O767"/>
    </row>
    <row r="768" spans="1:15" x14ac:dyDescent="0.2">
      <c r="A768"/>
      <c r="B768" s="61"/>
      <c r="C768" s="61"/>
      <c r="F768"/>
      <c r="G768"/>
      <c r="H768"/>
      <c r="I768"/>
      <c r="L768"/>
      <c r="M768"/>
      <c r="N768" s="61"/>
      <c r="O768"/>
    </row>
    <row r="769" spans="1:15" x14ac:dyDescent="0.2">
      <c r="A769"/>
      <c r="B769" s="61"/>
      <c r="C769" s="61"/>
      <c r="F769"/>
      <c r="G769"/>
      <c r="H769"/>
      <c r="I769"/>
      <c r="L769"/>
      <c r="M769"/>
      <c r="N769" s="61"/>
      <c r="O769"/>
    </row>
    <row r="770" spans="1:15" x14ac:dyDescent="0.2">
      <c r="A770"/>
      <c r="B770" s="61"/>
      <c r="C770" s="61"/>
      <c r="F770"/>
      <c r="G770"/>
      <c r="L770"/>
      <c r="M770"/>
      <c r="N770" s="61"/>
      <c r="O770"/>
    </row>
    <row r="771" spans="1:15" x14ac:dyDescent="0.2">
      <c r="A771"/>
      <c r="B771" s="61"/>
      <c r="C771" s="61"/>
      <c r="F771"/>
      <c r="G771"/>
      <c r="L771"/>
      <c r="M771"/>
      <c r="N771" s="61"/>
      <c r="O771"/>
    </row>
    <row r="772" spans="1:15" x14ac:dyDescent="0.2">
      <c r="A772"/>
      <c r="B772" s="61"/>
      <c r="C772" s="61"/>
      <c r="F772"/>
      <c r="G772"/>
      <c r="H772"/>
      <c r="J772"/>
      <c r="K772"/>
      <c r="L772"/>
      <c r="M772"/>
      <c r="N772" s="61"/>
      <c r="O772"/>
    </row>
    <row r="773" spans="1:15" x14ac:dyDescent="0.2">
      <c r="A773"/>
      <c r="B773" s="61"/>
      <c r="C773" s="61"/>
      <c r="F773"/>
      <c r="G773"/>
      <c r="H773"/>
      <c r="I773"/>
      <c r="L773"/>
      <c r="M773"/>
      <c r="N773" s="61"/>
      <c r="O773"/>
    </row>
    <row r="774" spans="1:15" x14ac:dyDescent="0.2">
      <c r="A774"/>
      <c r="B774" s="61"/>
      <c r="C774" s="61"/>
      <c r="F774"/>
      <c r="G774"/>
      <c r="L774"/>
      <c r="M774"/>
      <c r="N774" s="61"/>
      <c r="O774"/>
    </row>
    <row r="775" spans="1:15" x14ac:dyDescent="0.2">
      <c r="A775"/>
      <c r="B775" s="61"/>
      <c r="C775" s="61"/>
      <c r="F775"/>
      <c r="G775"/>
      <c r="M775"/>
      <c r="N775" s="61"/>
      <c r="O775"/>
    </row>
    <row r="776" spans="1:15" x14ac:dyDescent="0.2">
      <c r="A776"/>
      <c r="B776" s="61"/>
      <c r="C776" s="61"/>
      <c r="F776"/>
      <c r="G776"/>
      <c r="H776"/>
      <c r="I776"/>
      <c r="L776"/>
      <c r="N776" s="61"/>
      <c r="O776"/>
    </row>
    <row r="777" spans="1:15" x14ac:dyDescent="0.2">
      <c r="A777"/>
      <c r="B777" s="61"/>
      <c r="C777" s="61"/>
      <c r="F777"/>
      <c r="G777"/>
      <c r="H777"/>
      <c r="J777"/>
      <c r="K777"/>
      <c r="L777"/>
      <c r="M777"/>
      <c r="N777" s="61"/>
      <c r="O777"/>
    </row>
    <row r="778" spans="1:15" x14ac:dyDescent="0.2">
      <c r="A778"/>
      <c r="B778" s="61"/>
      <c r="C778" s="61"/>
      <c r="F778"/>
      <c r="G778"/>
      <c r="H778"/>
      <c r="J778"/>
      <c r="K778"/>
      <c r="L778"/>
      <c r="M778"/>
      <c r="N778" s="61"/>
      <c r="O778"/>
    </row>
    <row r="779" spans="1:15" x14ac:dyDescent="0.2">
      <c r="A779"/>
      <c r="B779" s="61"/>
      <c r="C779" s="61"/>
      <c r="F779"/>
      <c r="G779"/>
      <c r="H779"/>
      <c r="J779"/>
      <c r="K779"/>
      <c r="L779"/>
      <c r="M779"/>
      <c r="N779" s="61"/>
      <c r="O779"/>
    </row>
    <row r="780" spans="1:15" x14ac:dyDescent="0.2">
      <c r="A780"/>
      <c r="B780" s="61"/>
      <c r="C780" s="61"/>
      <c r="F780"/>
      <c r="G780"/>
      <c r="H780"/>
      <c r="I780"/>
      <c r="L780"/>
      <c r="M780"/>
      <c r="N780" s="61"/>
      <c r="O780"/>
    </row>
    <row r="781" spans="1:15" x14ac:dyDescent="0.2">
      <c r="A781"/>
      <c r="B781" s="61"/>
      <c r="C781" s="61"/>
      <c r="F781"/>
      <c r="G781"/>
      <c r="L781"/>
      <c r="M781"/>
      <c r="N781" s="61"/>
      <c r="O781"/>
    </row>
    <row r="782" spans="1:15" x14ac:dyDescent="0.2">
      <c r="A782"/>
      <c r="B782" s="61"/>
      <c r="C782" s="61"/>
      <c r="F782"/>
      <c r="G782"/>
      <c r="H782"/>
      <c r="I782"/>
      <c r="L782"/>
      <c r="M782"/>
      <c r="N782" s="61"/>
      <c r="O782"/>
    </row>
    <row r="783" spans="1:15" x14ac:dyDescent="0.2">
      <c r="A783"/>
      <c r="B783" s="61"/>
      <c r="C783" s="61"/>
      <c r="F783"/>
      <c r="G783"/>
      <c r="L783"/>
      <c r="M783"/>
      <c r="N783" s="61"/>
      <c r="O783"/>
    </row>
    <row r="784" spans="1:15" x14ac:dyDescent="0.2">
      <c r="A784"/>
      <c r="B784" s="61"/>
      <c r="C784" s="61"/>
      <c r="F784"/>
      <c r="G784"/>
      <c r="L784"/>
      <c r="M784"/>
      <c r="N784" s="61"/>
      <c r="O784"/>
    </row>
    <row r="785" spans="1:15" x14ac:dyDescent="0.2">
      <c r="A785"/>
      <c r="B785" s="61"/>
      <c r="C785" s="61"/>
      <c r="F785"/>
      <c r="G785"/>
      <c r="I785"/>
      <c r="L785"/>
      <c r="M785"/>
      <c r="N785" s="61"/>
      <c r="O785"/>
    </row>
    <row r="786" spans="1:15" x14ac:dyDescent="0.2">
      <c r="A786"/>
      <c r="B786" s="61"/>
      <c r="C786" s="61"/>
      <c r="F786"/>
      <c r="G786"/>
      <c r="H786"/>
      <c r="I786"/>
      <c r="L786"/>
      <c r="M786"/>
      <c r="N786" s="61"/>
      <c r="O786"/>
    </row>
    <row r="787" spans="1:15" x14ac:dyDescent="0.2">
      <c r="A787"/>
      <c r="B787" s="61"/>
      <c r="C787" s="61"/>
      <c r="F787"/>
      <c r="G787"/>
      <c r="H787"/>
      <c r="I787"/>
      <c r="L787"/>
      <c r="N787" s="61"/>
      <c r="O787"/>
    </row>
    <row r="788" spans="1:15" x14ac:dyDescent="0.2">
      <c r="A788"/>
      <c r="B788" s="61"/>
      <c r="C788" s="61"/>
      <c r="F788"/>
      <c r="G788"/>
      <c r="H788"/>
      <c r="L788"/>
      <c r="M788"/>
      <c r="N788" s="61"/>
      <c r="O788"/>
    </row>
    <row r="789" spans="1:15" x14ac:dyDescent="0.2">
      <c r="A789"/>
      <c r="B789" s="61"/>
      <c r="C789" s="61"/>
      <c r="F789"/>
      <c r="G789"/>
      <c r="L789"/>
      <c r="M789"/>
      <c r="N789" s="61"/>
      <c r="O789"/>
    </row>
    <row r="790" spans="1:15" x14ac:dyDescent="0.2">
      <c r="A790"/>
      <c r="B790" s="61"/>
      <c r="C790" s="61"/>
      <c r="F790"/>
      <c r="G790"/>
      <c r="I790"/>
      <c r="L790"/>
      <c r="M790"/>
      <c r="N790" s="61"/>
      <c r="O790"/>
    </row>
    <row r="791" spans="1:15" x14ac:dyDescent="0.2">
      <c r="A791"/>
      <c r="B791" s="61"/>
      <c r="C791" s="61"/>
      <c r="F791"/>
      <c r="G791"/>
      <c r="L791"/>
      <c r="M791"/>
      <c r="N791" s="61"/>
      <c r="O791"/>
    </row>
    <row r="792" spans="1:15" x14ac:dyDescent="0.2">
      <c r="A792"/>
      <c r="B792" s="61"/>
      <c r="C792" s="61"/>
      <c r="F792"/>
      <c r="G792"/>
      <c r="H792"/>
      <c r="I792"/>
      <c r="J792"/>
      <c r="K792"/>
      <c r="L792"/>
      <c r="M792"/>
      <c r="N792" s="61"/>
      <c r="O792"/>
    </row>
    <row r="793" spans="1:15" x14ac:dyDescent="0.2">
      <c r="A793"/>
      <c r="B793" s="61"/>
      <c r="C793" s="61"/>
      <c r="F793"/>
      <c r="G793"/>
      <c r="J793"/>
      <c r="M793"/>
      <c r="N793" s="61"/>
      <c r="O793"/>
    </row>
    <row r="794" spans="1:15" x14ac:dyDescent="0.2">
      <c r="A794"/>
      <c r="B794" s="61"/>
      <c r="C794" s="61"/>
      <c r="F794"/>
      <c r="G794"/>
      <c r="I794"/>
      <c r="L794"/>
      <c r="M794"/>
      <c r="N794" s="61"/>
      <c r="O794"/>
    </row>
    <row r="795" spans="1:15" x14ac:dyDescent="0.2">
      <c r="A795"/>
      <c r="B795" s="61"/>
      <c r="C795" s="61"/>
      <c r="F795"/>
      <c r="G795"/>
      <c r="H795"/>
      <c r="J795"/>
      <c r="K795"/>
      <c r="L795"/>
      <c r="M795"/>
      <c r="N795" s="61"/>
      <c r="O795"/>
    </row>
    <row r="796" spans="1:15" x14ac:dyDescent="0.2">
      <c r="A796"/>
      <c r="B796" s="61"/>
      <c r="C796" s="61"/>
      <c r="F796"/>
      <c r="G796"/>
      <c r="L796"/>
      <c r="M796"/>
      <c r="N796" s="61"/>
      <c r="O796"/>
    </row>
    <row r="797" spans="1:15" x14ac:dyDescent="0.2">
      <c r="A797"/>
      <c r="B797" s="61"/>
      <c r="C797" s="61"/>
      <c r="F797"/>
      <c r="G797"/>
      <c r="J797"/>
      <c r="K797"/>
      <c r="L797"/>
      <c r="M797"/>
      <c r="N797" s="61"/>
      <c r="O797"/>
    </row>
    <row r="798" spans="1:15" x14ac:dyDescent="0.2">
      <c r="A798"/>
      <c r="B798" s="61"/>
      <c r="C798" s="61"/>
      <c r="F798"/>
      <c r="G798"/>
      <c r="I798"/>
      <c r="L798"/>
      <c r="M798"/>
      <c r="N798" s="61"/>
      <c r="O798"/>
    </row>
    <row r="799" spans="1:15" x14ac:dyDescent="0.2">
      <c r="A799"/>
      <c r="B799" s="61"/>
      <c r="C799" s="61"/>
      <c r="F799"/>
      <c r="G799"/>
      <c r="H799"/>
      <c r="I799"/>
      <c r="L799"/>
      <c r="M799"/>
      <c r="N799" s="61"/>
      <c r="O799"/>
    </row>
    <row r="800" spans="1:15" x14ac:dyDescent="0.2">
      <c r="A800"/>
      <c r="B800" s="61"/>
      <c r="C800" s="61"/>
      <c r="F800"/>
      <c r="G800"/>
      <c r="L800"/>
      <c r="M800"/>
      <c r="N800" s="61"/>
      <c r="O800"/>
    </row>
    <row r="801" spans="1:15" x14ac:dyDescent="0.2">
      <c r="A801"/>
      <c r="B801" s="61"/>
      <c r="C801" s="61"/>
      <c r="F801"/>
      <c r="G801"/>
      <c r="L801"/>
      <c r="M801"/>
      <c r="N801" s="61"/>
      <c r="O801"/>
    </row>
    <row r="802" spans="1:15" x14ac:dyDescent="0.2">
      <c r="A802"/>
      <c r="B802" s="61"/>
      <c r="C802" s="61"/>
      <c r="F802"/>
      <c r="G802"/>
      <c r="H802"/>
      <c r="I802"/>
      <c r="L802"/>
      <c r="M802"/>
      <c r="N802" s="61"/>
      <c r="O802"/>
    </row>
    <row r="803" spans="1:15" x14ac:dyDescent="0.2">
      <c r="A803"/>
      <c r="B803" s="61"/>
      <c r="C803" s="61"/>
      <c r="F803"/>
      <c r="G803"/>
      <c r="L803"/>
      <c r="M803"/>
      <c r="N803" s="61"/>
      <c r="O803"/>
    </row>
    <row r="804" spans="1:15" x14ac:dyDescent="0.2">
      <c r="A804"/>
      <c r="B804" s="61"/>
      <c r="C804" s="61"/>
      <c r="F804"/>
      <c r="G804"/>
      <c r="H804"/>
      <c r="J804"/>
      <c r="K804"/>
      <c r="L804"/>
      <c r="M804"/>
      <c r="N804" s="61"/>
      <c r="O804"/>
    </row>
    <row r="805" spans="1:15" x14ac:dyDescent="0.2">
      <c r="A805"/>
      <c r="B805" s="61"/>
      <c r="C805" s="61"/>
      <c r="F805"/>
      <c r="G805"/>
      <c r="H805"/>
      <c r="I805"/>
      <c r="L805"/>
      <c r="M805"/>
      <c r="N805" s="61"/>
      <c r="O805"/>
    </row>
    <row r="806" spans="1:15" x14ac:dyDescent="0.2">
      <c r="A806"/>
      <c r="B806" s="61"/>
      <c r="C806" s="61"/>
      <c r="F806"/>
      <c r="G806"/>
      <c r="I806"/>
      <c r="L806"/>
      <c r="M806"/>
      <c r="N806" s="61"/>
      <c r="O806"/>
    </row>
    <row r="807" spans="1:15" x14ac:dyDescent="0.2">
      <c r="A807"/>
      <c r="B807" s="61"/>
      <c r="C807" s="61"/>
      <c r="F807"/>
      <c r="G807"/>
      <c r="H807"/>
      <c r="I807"/>
      <c r="L807"/>
      <c r="M807"/>
      <c r="N807" s="61"/>
      <c r="O807"/>
    </row>
    <row r="808" spans="1:15" x14ac:dyDescent="0.2">
      <c r="A808"/>
      <c r="B808" s="61"/>
      <c r="C808" s="61"/>
      <c r="F808"/>
      <c r="G808"/>
      <c r="H808"/>
      <c r="I808"/>
      <c r="L808"/>
      <c r="M808"/>
      <c r="N808" s="61"/>
      <c r="O808"/>
    </row>
    <row r="809" spans="1:15" x14ac:dyDescent="0.2">
      <c r="A809"/>
      <c r="B809" s="61"/>
      <c r="C809" s="61"/>
      <c r="F809"/>
      <c r="G809"/>
      <c r="L809"/>
      <c r="M809"/>
      <c r="N809" s="61"/>
      <c r="O809"/>
    </row>
    <row r="810" spans="1:15" x14ac:dyDescent="0.2">
      <c r="A810"/>
      <c r="B810" s="61"/>
      <c r="C810" s="61"/>
      <c r="F810"/>
      <c r="G810"/>
      <c r="H810"/>
      <c r="I810"/>
      <c r="L810"/>
      <c r="M810"/>
      <c r="N810" s="61"/>
      <c r="O810"/>
    </row>
    <row r="811" spans="1:15" x14ac:dyDescent="0.2">
      <c r="A811"/>
      <c r="B811" s="61"/>
      <c r="C811" s="61"/>
      <c r="F811"/>
      <c r="G811"/>
      <c r="J811"/>
      <c r="K811"/>
      <c r="L811"/>
      <c r="M811"/>
      <c r="N811" s="61"/>
      <c r="O811"/>
    </row>
    <row r="812" spans="1:15" x14ac:dyDescent="0.2">
      <c r="A812"/>
      <c r="B812" s="61"/>
      <c r="C812" s="61"/>
      <c r="F812"/>
      <c r="G812"/>
      <c r="L812"/>
      <c r="M812"/>
      <c r="N812" s="61"/>
      <c r="O812"/>
    </row>
    <row r="813" spans="1:15" x14ac:dyDescent="0.2">
      <c r="A813"/>
      <c r="B813" s="61"/>
      <c r="C813" s="61"/>
      <c r="F813"/>
      <c r="G813"/>
      <c r="M813"/>
      <c r="N813" s="61"/>
      <c r="O813"/>
    </row>
    <row r="814" spans="1:15" x14ac:dyDescent="0.2">
      <c r="A814"/>
      <c r="B814" s="61"/>
      <c r="C814" s="61"/>
      <c r="F814"/>
      <c r="G814"/>
      <c r="H814"/>
      <c r="I814"/>
      <c r="L814"/>
      <c r="M814"/>
      <c r="N814" s="61"/>
      <c r="O814"/>
    </row>
    <row r="815" spans="1:15" x14ac:dyDescent="0.2">
      <c r="A815"/>
      <c r="B815" s="61"/>
      <c r="C815" s="61"/>
      <c r="F815"/>
      <c r="G815"/>
      <c r="H815"/>
      <c r="L815"/>
      <c r="M815"/>
      <c r="N815" s="61"/>
      <c r="O815"/>
    </row>
    <row r="816" spans="1:15" x14ac:dyDescent="0.2">
      <c r="A816"/>
      <c r="B816" s="61"/>
      <c r="C816" s="61"/>
      <c r="F816"/>
      <c r="G816"/>
      <c r="H816"/>
      <c r="I816"/>
      <c r="L816"/>
      <c r="M816"/>
      <c r="N816" s="61"/>
      <c r="O816"/>
    </row>
    <row r="817" spans="1:15" x14ac:dyDescent="0.2">
      <c r="A817"/>
      <c r="B817" s="61"/>
      <c r="C817" s="61"/>
      <c r="F817"/>
      <c r="G817"/>
      <c r="H817"/>
      <c r="I817"/>
      <c r="L817"/>
      <c r="M817"/>
      <c r="N817" s="61"/>
      <c r="O817"/>
    </row>
    <row r="818" spans="1:15" x14ac:dyDescent="0.2">
      <c r="A818"/>
      <c r="B818" s="61"/>
      <c r="C818" s="61"/>
      <c r="F818"/>
      <c r="G818"/>
      <c r="L818"/>
      <c r="M818"/>
      <c r="N818" s="61"/>
      <c r="O818"/>
    </row>
    <row r="819" spans="1:15" x14ac:dyDescent="0.2">
      <c r="A819"/>
      <c r="B819" s="61"/>
      <c r="C819" s="61"/>
      <c r="F819"/>
      <c r="G819"/>
      <c r="I819"/>
      <c r="L819"/>
      <c r="M819"/>
      <c r="N819" s="61"/>
      <c r="O819"/>
    </row>
    <row r="820" spans="1:15" x14ac:dyDescent="0.2">
      <c r="A820"/>
      <c r="B820" s="61"/>
      <c r="C820" s="61"/>
      <c r="F820"/>
      <c r="G820"/>
      <c r="H820"/>
      <c r="I820"/>
      <c r="L820"/>
      <c r="N820" s="61"/>
      <c r="O820"/>
    </row>
    <row r="821" spans="1:15" x14ac:dyDescent="0.2">
      <c r="A821"/>
      <c r="B821" s="61"/>
      <c r="C821" s="61"/>
      <c r="F821"/>
      <c r="G821"/>
      <c r="I821"/>
      <c r="L821"/>
      <c r="M821"/>
      <c r="N821" s="61"/>
      <c r="O821"/>
    </row>
    <row r="822" spans="1:15" x14ac:dyDescent="0.2">
      <c r="A822"/>
      <c r="B822" s="61"/>
      <c r="C822" s="61"/>
      <c r="F822"/>
      <c r="G822"/>
      <c r="H822"/>
      <c r="L822"/>
      <c r="M822"/>
      <c r="N822" s="61"/>
      <c r="O822"/>
    </row>
    <row r="823" spans="1:15" x14ac:dyDescent="0.2">
      <c r="A823"/>
      <c r="B823" s="61"/>
      <c r="C823" s="61"/>
      <c r="F823"/>
      <c r="G823"/>
      <c r="H823"/>
      <c r="I823"/>
      <c r="L823"/>
      <c r="M823"/>
      <c r="N823" s="61"/>
      <c r="O823"/>
    </row>
    <row r="824" spans="1:15" x14ac:dyDescent="0.2">
      <c r="A824"/>
      <c r="B824" s="61"/>
      <c r="C824" s="61"/>
      <c r="F824"/>
      <c r="G824"/>
      <c r="H824"/>
      <c r="I824"/>
      <c r="L824"/>
      <c r="M824"/>
      <c r="N824" s="61"/>
      <c r="O824"/>
    </row>
    <row r="825" spans="1:15" x14ac:dyDescent="0.2">
      <c r="A825"/>
      <c r="B825" s="61"/>
      <c r="C825" s="61"/>
      <c r="F825"/>
      <c r="G825"/>
      <c r="H825"/>
      <c r="I825"/>
      <c r="L825"/>
      <c r="M825"/>
      <c r="N825" s="61"/>
      <c r="O825"/>
    </row>
    <row r="826" spans="1:15" x14ac:dyDescent="0.2">
      <c r="A826"/>
      <c r="B826" s="61"/>
      <c r="C826" s="61"/>
      <c r="F826"/>
      <c r="G826"/>
      <c r="M826"/>
      <c r="N826" s="61"/>
      <c r="O826"/>
    </row>
    <row r="827" spans="1:15" x14ac:dyDescent="0.2">
      <c r="A827"/>
      <c r="B827" s="61"/>
      <c r="C827" s="61"/>
      <c r="F827"/>
      <c r="G827"/>
      <c r="H827"/>
      <c r="M827"/>
      <c r="N827" s="61"/>
      <c r="O827"/>
    </row>
    <row r="828" spans="1:15" x14ac:dyDescent="0.2">
      <c r="A828"/>
      <c r="B828" s="61"/>
      <c r="C828" s="61"/>
      <c r="F828"/>
      <c r="G828"/>
      <c r="I828"/>
      <c r="L828"/>
      <c r="M828"/>
      <c r="N828" s="61"/>
      <c r="O828"/>
    </row>
    <row r="829" spans="1:15" x14ac:dyDescent="0.2">
      <c r="A829"/>
      <c r="B829" s="61"/>
      <c r="C829" s="61"/>
      <c r="F829"/>
      <c r="G829"/>
      <c r="M829"/>
      <c r="N829" s="61"/>
      <c r="O829"/>
    </row>
    <row r="830" spans="1:15" x14ac:dyDescent="0.2">
      <c r="A830"/>
      <c r="B830" s="61"/>
      <c r="C830" s="61"/>
      <c r="F830"/>
      <c r="G830"/>
      <c r="H830"/>
      <c r="I830"/>
      <c r="L830"/>
      <c r="M830"/>
      <c r="N830" s="61"/>
      <c r="O830"/>
    </row>
    <row r="831" spans="1:15" x14ac:dyDescent="0.2">
      <c r="A831"/>
      <c r="B831" s="61"/>
      <c r="C831" s="61"/>
      <c r="F831"/>
      <c r="G831"/>
      <c r="H831"/>
      <c r="I831"/>
      <c r="L831"/>
      <c r="M831"/>
      <c r="N831" s="61"/>
      <c r="O831"/>
    </row>
    <row r="832" spans="1:15" x14ac:dyDescent="0.2">
      <c r="A832"/>
      <c r="B832" s="61"/>
      <c r="C832" s="61"/>
      <c r="F832"/>
      <c r="G832"/>
      <c r="M832"/>
      <c r="N832" s="61"/>
      <c r="O832"/>
    </row>
    <row r="833" spans="1:15" x14ac:dyDescent="0.2">
      <c r="A833"/>
      <c r="B833" s="61"/>
      <c r="C833" s="61"/>
      <c r="F833"/>
      <c r="G833"/>
      <c r="L833"/>
      <c r="M833"/>
      <c r="N833" s="61"/>
      <c r="O833"/>
    </row>
    <row r="834" spans="1:15" x14ac:dyDescent="0.2">
      <c r="A834"/>
      <c r="B834" s="61"/>
      <c r="C834" s="61"/>
      <c r="F834"/>
      <c r="G834"/>
      <c r="H834"/>
      <c r="I834"/>
      <c r="L834"/>
      <c r="M834"/>
      <c r="N834" s="61"/>
      <c r="O834"/>
    </row>
    <row r="835" spans="1:15" x14ac:dyDescent="0.2">
      <c r="A835"/>
      <c r="B835" s="61"/>
      <c r="C835" s="61"/>
      <c r="F835"/>
      <c r="G835"/>
      <c r="L835"/>
      <c r="M835"/>
      <c r="N835" s="61"/>
      <c r="O835"/>
    </row>
    <row r="836" spans="1:15" x14ac:dyDescent="0.2">
      <c r="A836"/>
      <c r="B836" s="61"/>
      <c r="C836" s="61"/>
      <c r="F836"/>
      <c r="G836"/>
      <c r="L836"/>
      <c r="M836"/>
      <c r="N836" s="61"/>
      <c r="O836"/>
    </row>
    <row r="837" spans="1:15" x14ac:dyDescent="0.2">
      <c r="A837"/>
      <c r="B837" s="61"/>
      <c r="C837" s="61"/>
      <c r="F837"/>
      <c r="G837"/>
      <c r="H837"/>
      <c r="I837"/>
      <c r="J837"/>
      <c r="K837"/>
      <c r="L837"/>
      <c r="M837"/>
      <c r="N837" s="61"/>
      <c r="O837"/>
    </row>
    <row r="838" spans="1:15" x14ac:dyDescent="0.2">
      <c r="A838"/>
      <c r="B838" s="61"/>
      <c r="C838" s="61"/>
      <c r="F838"/>
      <c r="G838"/>
      <c r="I838"/>
      <c r="L838"/>
      <c r="M838"/>
      <c r="N838" s="61"/>
      <c r="O838"/>
    </row>
    <row r="839" spans="1:15" x14ac:dyDescent="0.2">
      <c r="A839"/>
      <c r="B839" s="61"/>
      <c r="C839" s="61"/>
      <c r="F839"/>
      <c r="G839"/>
      <c r="H839"/>
      <c r="I839"/>
      <c r="L839"/>
      <c r="M839"/>
      <c r="N839" s="61"/>
      <c r="O839"/>
    </row>
    <row r="840" spans="1:15" x14ac:dyDescent="0.2">
      <c r="A840"/>
      <c r="B840" s="61"/>
      <c r="C840" s="61"/>
      <c r="F840"/>
      <c r="G840"/>
      <c r="I840"/>
      <c r="L840"/>
      <c r="M840"/>
      <c r="N840" s="61"/>
      <c r="O840"/>
    </row>
    <row r="841" spans="1:15" x14ac:dyDescent="0.2">
      <c r="A841"/>
      <c r="B841" s="61"/>
      <c r="C841" s="61"/>
      <c r="F841"/>
      <c r="G841"/>
      <c r="H841"/>
      <c r="I841"/>
      <c r="L841"/>
      <c r="M841"/>
      <c r="N841" s="61"/>
      <c r="O841"/>
    </row>
    <row r="842" spans="1:15" x14ac:dyDescent="0.2">
      <c r="A842"/>
      <c r="B842" s="61"/>
      <c r="C842" s="61"/>
      <c r="F842"/>
      <c r="G842"/>
      <c r="L842"/>
      <c r="M842"/>
      <c r="N842" s="61"/>
      <c r="O842"/>
    </row>
    <row r="843" spans="1:15" x14ac:dyDescent="0.2">
      <c r="A843"/>
      <c r="B843" s="61"/>
      <c r="C843" s="61"/>
      <c r="F843"/>
      <c r="G843"/>
      <c r="J843"/>
      <c r="K843"/>
      <c r="L843"/>
      <c r="M843"/>
      <c r="N843" s="61"/>
      <c r="O843"/>
    </row>
    <row r="844" spans="1:15" x14ac:dyDescent="0.2">
      <c r="A844"/>
      <c r="B844" s="61"/>
      <c r="C844" s="61"/>
      <c r="F844"/>
      <c r="G844"/>
      <c r="I844"/>
      <c r="L844"/>
      <c r="M844"/>
      <c r="N844" s="61"/>
      <c r="O844"/>
    </row>
    <row r="845" spans="1:15" x14ac:dyDescent="0.2">
      <c r="A845"/>
      <c r="B845" s="61"/>
      <c r="C845" s="61"/>
      <c r="F845"/>
      <c r="G845"/>
      <c r="H845"/>
      <c r="I845"/>
      <c r="L845"/>
      <c r="N845" s="61"/>
      <c r="O845"/>
    </row>
    <row r="846" spans="1:15" x14ac:dyDescent="0.2">
      <c r="A846"/>
      <c r="B846" s="61"/>
      <c r="C846" s="61"/>
      <c r="F846"/>
      <c r="G846"/>
      <c r="H846"/>
      <c r="I846"/>
      <c r="L846"/>
      <c r="M846"/>
      <c r="N846" s="61"/>
      <c r="O846"/>
    </row>
    <row r="847" spans="1:15" x14ac:dyDescent="0.2">
      <c r="A847"/>
      <c r="B847" s="61"/>
      <c r="C847" s="61"/>
      <c r="F847"/>
      <c r="G847"/>
      <c r="J847"/>
      <c r="K847"/>
      <c r="L847"/>
      <c r="M847"/>
      <c r="N847" s="61"/>
      <c r="O847"/>
    </row>
    <row r="848" spans="1:15" x14ac:dyDescent="0.2">
      <c r="A848"/>
      <c r="B848" s="61"/>
      <c r="C848" s="61"/>
      <c r="F848"/>
      <c r="G848"/>
      <c r="H848"/>
      <c r="I848"/>
      <c r="L848"/>
      <c r="M848"/>
      <c r="N848" s="61"/>
      <c r="O848"/>
    </row>
    <row r="849" spans="1:15" x14ac:dyDescent="0.2">
      <c r="A849"/>
      <c r="B849" s="61"/>
      <c r="C849" s="61"/>
      <c r="F849"/>
      <c r="G849"/>
      <c r="H849"/>
      <c r="I849"/>
      <c r="L849"/>
      <c r="M849"/>
      <c r="N849" s="61"/>
      <c r="O849"/>
    </row>
    <row r="850" spans="1:15" x14ac:dyDescent="0.2">
      <c r="A850"/>
      <c r="B850" s="61"/>
      <c r="C850" s="61"/>
      <c r="F850"/>
      <c r="G850"/>
      <c r="L850"/>
      <c r="M850"/>
      <c r="N850" s="61"/>
      <c r="O850"/>
    </row>
    <row r="851" spans="1:15" x14ac:dyDescent="0.2">
      <c r="A851"/>
      <c r="B851" s="61"/>
      <c r="C851" s="61"/>
      <c r="F851"/>
      <c r="G851"/>
      <c r="L851"/>
      <c r="M851"/>
      <c r="N851" s="61"/>
      <c r="O851"/>
    </row>
    <row r="852" spans="1:15" x14ac:dyDescent="0.2">
      <c r="A852"/>
      <c r="B852" s="61"/>
      <c r="C852" s="61"/>
      <c r="F852"/>
      <c r="G852"/>
      <c r="H852"/>
      <c r="J852"/>
      <c r="K852"/>
      <c r="L852"/>
      <c r="M852"/>
      <c r="N852" s="61"/>
      <c r="O852"/>
    </row>
    <row r="853" spans="1:15" x14ac:dyDescent="0.2">
      <c r="A853"/>
      <c r="B853" s="61"/>
      <c r="C853" s="61"/>
      <c r="F853"/>
      <c r="G853"/>
      <c r="J853"/>
      <c r="K853"/>
      <c r="L853"/>
      <c r="M853"/>
      <c r="N853" s="61"/>
      <c r="O853"/>
    </row>
    <row r="854" spans="1:15" x14ac:dyDescent="0.2">
      <c r="A854"/>
      <c r="B854" s="61"/>
      <c r="C854" s="61"/>
      <c r="F854"/>
      <c r="G854"/>
      <c r="H854"/>
      <c r="J854"/>
      <c r="K854"/>
      <c r="L854"/>
      <c r="M854"/>
      <c r="N854" s="61"/>
      <c r="O854"/>
    </row>
    <row r="855" spans="1:15" x14ac:dyDescent="0.2">
      <c r="A855"/>
      <c r="B855" s="61"/>
      <c r="C855" s="61"/>
      <c r="F855"/>
      <c r="G855"/>
      <c r="J855"/>
      <c r="K855"/>
      <c r="L855"/>
      <c r="M855"/>
      <c r="N855" s="61"/>
      <c r="O855"/>
    </row>
    <row r="856" spans="1:15" x14ac:dyDescent="0.2">
      <c r="A856"/>
      <c r="B856" s="61"/>
      <c r="C856" s="61"/>
      <c r="F856"/>
      <c r="G856"/>
      <c r="H856"/>
      <c r="J856"/>
      <c r="K856"/>
      <c r="L856"/>
      <c r="M856"/>
      <c r="N856" s="61"/>
      <c r="O856"/>
    </row>
    <row r="857" spans="1:15" x14ac:dyDescent="0.2">
      <c r="A857"/>
      <c r="B857" s="61"/>
      <c r="C857" s="61"/>
      <c r="F857"/>
      <c r="G857"/>
      <c r="H857"/>
      <c r="I857"/>
      <c r="L857"/>
      <c r="N857" s="61"/>
      <c r="O857"/>
    </row>
    <row r="858" spans="1:15" x14ac:dyDescent="0.2">
      <c r="A858"/>
      <c r="B858" s="61"/>
      <c r="C858" s="61"/>
      <c r="F858"/>
      <c r="G858"/>
      <c r="I858"/>
      <c r="L858"/>
      <c r="M858"/>
      <c r="N858" s="61"/>
      <c r="O858"/>
    </row>
    <row r="859" spans="1:15" x14ac:dyDescent="0.2">
      <c r="A859"/>
      <c r="B859" s="61"/>
      <c r="C859" s="61"/>
      <c r="F859"/>
      <c r="G859"/>
      <c r="L859"/>
      <c r="M859"/>
      <c r="N859" s="61"/>
      <c r="O859"/>
    </row>
    <row r="860" spans="1:15" x14ac:dyDescent="0.2">
      <c r="A860"/>
      <c r="B860" s="61"/>
      <c r="C860" s="61"/>
      <c r="F860"/>
      <c r="G860"/>
      <c r="H860"/>
      <c r="J860"/>
      <c r="K860"/>
      <c r="L860"/>
      <c r="M860"/>
      <c r="N860" s="61"/>
      <c r="O860"/>
    </row>
    <row r="861" spans="1:15" x14ac:dyDescent="0.2">
      <c r="A861"/>
      <c r="B861" s="61"/>
      <c r="C861" s="61"/>
      <c r="F861"/>
      <c r="G861"/>
      <c r="H861"/>
      <c r="I861"/>
      <c r="L861"/>
      <c r="M861"/>
      <c r="N861" s="61"/>
      <c r="O861"/>
    </row>
    <row r="862" spans="1:15" x14ac:dyDescent="0.2">
      <c r="A862"/>
      <c r="B862" s="61"/>
      <c r="C862" s="61"/>
      <c r="F862"/>
      <c r="G862"/>
      <c r="H862"/>
      <c r="I862"/>
      <c r="L862"/>
      <c r="N862" s="61"/>
      <c r="O862"/>
    </row>
    <row r="863" spans="1:15" x14ac:dyDescent="0.2">
      <c r="A863"/>
      <c r="B863" s="61"/>
      <c r="C863" s="61"/>
      <c r="F863"/>
      <c r="G863"/>
      <c r="H863"/>
      <c r="I863"/>
      <c r="L863"/>
      <c r="M863"/>
      <c r="N863" s="61"/>
      <c r="O863"/>
    </row>
    <row r="864" spans="1:15" x14ac:dyDescent="0.2">
      <c r="A864"/>
      <c r="B864" s="61"/>
      <c r="C864" s="61"/>
      <c r="F864"/>
      <c r="G864"/>
      <c r="H864"/>
      <c r="I864"/>
      <c r="L864"/>
      <c r="M864"/>
      <c r="N864" s="61"/>
      <c r="O864"/>
    </row>
    <row r="865" spans="1:15" x14ac:dyDescent="0.2">
      <c r="A865"/>
      <c r="B865" s="61"/>
      <c r="C865" s="61"/>
      <c r="F865"/>
      <c r="G865"/>
      <c r="H865"/>
      <c r="I865"/>
      <c r="L865"/>
      <c r="M865"/>
      <c r="N865" s="61"/>
      <c r="O865"/>
    </row>
    <row r="866" spans="1:15" x14ac:dyDescent="0.2">
      <c r="A866"/>
      <c r="B866" s="61"/>
      <c r="C866" s="61"/>
      <c r="F866"/>
      <c r="G866"/>
      <c r="I866"/>
      <c r="L866"/>
      <c r="M866"/>
      <c r="N866" s="61"/>
      <c r="O866"/>
    </row>
    <row r="867" spans="1:15" x14ac:dyDescent="0.2">
      <c r="A867"/>
      <c r="B867" s="61"/>
      <c r="C867" s="61"/>
      <c r="F867"/>
      <c r="G867"/>
      <c r="L867"/>
      <c r="M867"/>
      <c r="N867" s="61"/>
      <c r="O867"/>
    </row>
    <row r="868" spans="1:15" x14ac:dyDescent="0.2">
      <c r="A868"/>
      <c r="B868" s="61"/>
      <c r="C868" s="61"/>
      <c r="F868"/>
      <c r="G868"/>
      <c r="H868"/>
      <c r="J868"/>
      <c r="K868"/>
      <c r="L868"/>
      <c r="M868"/>
      <c r="N868" s="61"/>
      <c r="O868"/>
    </row>
    <row r="869" spans="1:15" x14ac:dyDescent="0.2">
      <c r="A869"/>
      <c r="B869" s="61"/>
      <c r="C869" s="61"/>
      <c r="F869"/>
      <c r="G869"/>
      <c r="I869"/>
      <c r="L869"/>
      <c r="M869"/>
      <c r="N869" s="61"/>
      <c r="O869"/>
    </row>
    <row r="870" spans="1:15" x14ac:dyDescent="0.2">
      <c r="A870"/>
      <c r="B870" s="61"/>
      <c r="C870" s="61"/>
      <c r="F870"/>
      <c r="G870"/>
      <c r="I870"/>
      <c r="L870"/>
      <c r="M870"/>
      <c r="N870" s="61"/>
      <c r="O870"/>
    </row>
    <row r="871" spans="1:15" x14ac:dyDescent="0.2">
      <c r="A871"/>
      <c r="B871" s="61"/>
      <c r="C871" s="61"/>
      <c r="F871"/>
      <c r="G871"/>
      <c r="M871"/>
      <c r="N871" s="61"/>
      <c r="O871"/>
    </row>
    <row r="872" spans="1:15" x14ac:dyDescent="0.2">
      <c r="A872"/>
      <c r="B872" s="61"/>
      <c r="C872" s="61"/>
      <c r="F872"/>
      <c r="G872"/>
      <c r="I872"/>
      <c r="L872"/>
      <c r="M872"/>
      <c r="N872" s="61"/>
      <c r="O872"/>
    </row>
    <row r="873" spans="1:15" x14ac:dyDescent="0.2">
      <c r="A873"/>
      <c r="B873" s="61"/>
      <c r="C873" s="61"/>
      <c r="F873"/>
      <c r="G873"/>
      <c r="I873"/>
      <c r="L873"/>
      <c r="M873"/>
      <c r="N873" s="61"/>
      <c r="O873"/>
    </row>
    <row r="874" spans="1:15" x14ac:dyDescent="0.2">
      <c r="A874"/>
      <c r="B874" s="61"/>
      <c r="C874" s="61"/>
      <c r="F874"/>
      <c r="G874"/>
      <c r="I874"/>
      <c r="L874"/>
      <c r="M874"/>
      <c r="N874" s="61"/>
      <c r="O874"/>
    </row>
    <row r="875" spans="1:15" x14ac:dyDescent="0.2">
      <c r="A875"/>
      <c r="B875" s="61"/>
      <c r="C875" s="61"/>
      <c r="F875"/>
      <c r="G875"/>
      <c r="I875"/>
      <c r="L875"/>
      <c r="M875"/>
      <c r="N875" s="61"/>
      <c r="O875"/>
    </row>
    <row r="876" spans="1:15" x14ac:dyDescent="0.2">
      <c r="A876"/>
      <c r="B876" s="61"/>
      <c r="C876" s="61"/>
      <c r="F876"/>
      <c r="G876"/>
      <c r="H876"/>
      <c r="I876"/>
      <c r="L876"/>
      <c r="M876"/>
      <c r="N876" s="61"/>
      <c r="O876"/>
    </row>
    <row r="877" spans="1:15" x14ac:dyDescent="0.2">
      <c r="A877"/>
      <c r="B877" s="61"/>
      <c r="C877" s="61"/>
      <c r="F877"/>
      <c r="G877"/>
      <c r="H877"/>
      <c r="I877"/>
      <c r="L877"/>
      <c r="M877"/>
      <c r="N877" s="61"/>
      <c r="O877"/>
    </row>
    <row r="878" spans="1:15" x14ac:dyDescent="0.2">
      <c r="A878"/>
      <c r="B878" s="61"/>
      <c r="C878" s="61"/>
      <c r="F878"/>
      <c r="G878"/>
      <c r="H878"/>
      <c r="I878"/>
      <c r="L878"/>
      <c r="M878"/>
      <c r="N878" s="61"/>
      <c r="O878"/>
    </row>
    <row r="879" spans="1:15" x14ac:dyDescent="0.2">
      <c r="A879"/>
      <c r="B879" s="61"/>
      <c r="C879" s="61"/>
      <c r="F879"/>
      <c r="G879"/>
      <c r="L879"/>
      <c r="M879"/>
      <c r="N879" s="61"/>
      <c r="O879"/>
    </row>
    <row r="880" spans="1:15" x14ac:dyDescent="0.2">
      <c r="A880"/>
      <c r="B880" s="61"/>
      <c r="C880" s="61"/>
      <c r="F880"/>
      <c r="G880"/>
      <c r="H880"/>
      <c r="I880"/>
      <c r="L880"/>
      <c r="M880"/>
      <c r="N880" s="61"/>
      <c r="O880"/>
    </row>
    <row r="881" spans="1:15" x14ac:dyDescent="0.2">
      <c r="A881"/>
      <c r="B881" s="61"/>
      <c r="C881" s="61"/>
      <c r="F881"/>
      <c r="G881"/>
      <c r="H881"/>
      <c r="I881"/>
      <c r="L881"/>
      <c r="M881"/>
      <c r="N881" s="61"/>
      <c r="O881"/>
    </row>
    <row r="882" spans="1:15" x14ac:dyDescent="0.2">
      <c r="A882"/>
      <c r="B882" s="61"/>
      <c r="C882" s="61"/>
      <c r="F882"/>
      <c r="G882"/>
      <c r="L882"/>
      <c r="M882"/>
      <c r="N882" s="61"/>
      <c r="O882"/>
    </row>
    <row r="883" spans="1:15" x14ac:dyDescent="0.2">
      <c r="A883"/>
      <c r="B883" s="61"/>
      <c r="C883" s="61"/>
      <c r="F883"/>
      <c r="G883"/>
      <c r="H883"/>
      <c r="I883"/>
      <c r="L883"/>
      <c r="M883"/>
      <c r="N883" s="61"/>
      <c r="O883"/>
    </row>
    <row r="884" spans="1:15" x14ac:dyDescent="0.2">
      <c r="A884"/>
      <c r="B884" s="61"/>
      <c r="C884" s="61"/>
      <c r="F884"/>
      <c r="G884"/>
      <c r="H884"/>
      <c r="I884"/>
      <c r="L884"/>
      <c r="M884"/>
      <c r="N884" s="61"/>
      <c r="O884"/>
    </row>
    <row r="885" spans="1:15" x14ac:dyDescent="0.2">
      <c r="A885"/>
      <c r="B885" s="61"/>
      <c r="C885" s="61"/>
      <c r="F885"/>
      <c r="G885"/>
      <c r="M885"/>
      <c r="N885" s="61"/>
      <c r="O885"/>
    </row>
    <row r="886" spans="1:15" x14ac:dyDescent="0.2">
      <c r="A886"/>
      <c r="B886" s="61"/>
      <c r="C886" s="61"/>
      <c r="F886"/>
      <c r="G886"/>
      <c r="H886"/>
      <c r="I886"/>
      <c r="L886"/>
      <c r="M886"/>
      <c r="N886" s="61"/>
      <c r="O886"/>
    </row>
    <row r="887" spans="1:15" x14ac:dyDescent="0.2">
      <c r="A887"/>
      <c r="B887" s="61"/>
      <c r="C887" s="61"/>
      <c r="F887"/>
      <c r="G887"/>
      <c r="H887"/>
      <c r="I887"/>
      <c r="L887"/>
      <c r="M887"/>
      <c r="N887" s="61"/>
      <c r="O887"/>
    </row>
    <row r="888" spans="1:15" x14ac:dyDescent="0.2">
      <c r="A888"/>
      <c r="B888" s="61"/>
      <c r="C888" s="61"/>
      <c r="F888"/>
      <c r="G888"/>
      <c r="L888"/>
      <c r="M888"/>
      <c r="N888" s="61"/>
      <c r="O888"/>
    </row>
    <row r="889" spans="1:15" x14ac:dyDescent="0.2">
      <c r="A889"/>
      <c r="B889" s="61"/>
      <c r="C889" s="61"/>
      <c r="F889"/>
      <c r="G889"/>
      <c r="I889"/>
      <c r="J889"/>
      <c r="K889"/>
      <c r="L889"/>
      <c r="M889"/>
      <c r="N889" s="61"/>
      <c r="O889"/>
    </row>
    <row r="890" spans="1:15" x14ac:dyDescent="0.2">
      <c r="A890"/>
      <c r="B890" s="61"/>
      <c r="C890" s="61"/>
      <c r="F890"/>
      <c r="G890"/>
      <c r="I890"/>
      <c r="L890"/>
      <c r="M890"/>
      <c r="N890" s="61"/>
      <c r="O890"/>
    </row>
    <row r="891" spans="1:15" x14ac:dyDescent="0.2">
      <c r="A891"/>
      <c r="B891" s="61"/>
      <c r="C891" s="61"/>
      <c r="F891"/>
      <c r="G891"/>
      <c r="I891"/>
      <c r="L891"/>
      <c r="M891"/>
      <c r="N891" s="61"/>
      <c r="O891"/>
    </row>
    <row r="892" spans="1:15" x14ac:dyDescent="0.2">
      <c r="A892"/>
      <c r="B892" s="61"/>
      <c r="C892" s="61"/>
      <c r="F892"/>
      <c r="G892"/>
      <c r="I892"/>
      <c r="L892"/>
      <c r="M892"/>
      <c r="N892" s="61"/>
      <c r="O892"/>
    </row>
    <row r="893" spans="1:15" x14ac:dyDescent="0.2">
      <c r="A893"/>
      <c r="B893" s="61"/>
      <c r="C893" s="61"/>
      <c r="F893"/>
      <c r="G893"/>
      <c r="H893"/>
      <c r="I893"/>
      <c r="L893"/>
      <c r="M893"/>
      <c r="N893" s="61"/>
      <c r="O893"/>
    </row>
    <row r="894" spans="1:15" x14ac:dyDescent="0.2">
      <c r="A894"/>
      <c r="B894" s="61"/>
      <c r="C894" s="61"/>
      <c r="F894"/>
      <c r="G894"/>
      <c r="H894"/>
      <c r="I894"/>
      <c r="L894"/>
      <c r="M894"/>
      <c r="N894" s="61"/>
      <c r="O894"/>
    </row>
    <row r="895" spans="1:15" x14ac:dyDescent="0.2">
      <c r="A895"/>
      <c r="B895" s="61"/>
      <c r="C895" s="61"/>
      <c r="F895"/>
      <c r="G895"/>
      <c r="H895"/>
      <c r="I895"/>
      <c r="L895"/>
      <c r="M895"/>
      <c r="N895" s="61"/>
      <c r="O895"/>
    </row>
    <row r="896" spans="1:15" x14ac:dyDescent="0.2">
      <c r="A896"/>
      <c r="B896" s="61"/>
      <c r="C896" s="61"/>
      <c r="F896"/>
      <c r="G896"/>
      <c r="H896"/>
      <c r="I896"/>
      <c r="L896"/>
      <c r="M896"/>
      <c r="N896" s="61"/>
      <c r="O896"/>
    </row>
    <row r="897" spans="1:15" x14ac:dyDescent="0.2">
      <c r="A897"/>
      <c r="B897" s="61"/>
      <c r="C897" s="61"/>
      <c r="F897"/>
      <c r="G897"/>
      <c r="I897"/>
      <c r="L897"/>
      <c r="M897"/>
      <c r="N897" s="61"/>
      <c r="O897"/>
    </row>
    <row r="898" spans="1:15" x14ac:dyDescent="0.2">
      <c r="A898"/>
      <c r="B898" s="61"/>
      <c r="C898" s="61"/>
      <c r="F898"/>
      <c r="G898"/>
      <c r="I898"/>
      <c r="L898"/>
      <c r="M898"/>
      <c r="N898" s="61"/>
      <c r="O898"/>
    </row>
    <row r="899" spans="1:15" x14ac:dyDescent="0.2">
      <c r="A899"/>
      <c r="B899" s="61"/>
      <c r="C899" s="61"/>
      <c r="F899"/>
      <c r="G899"/>
      <c r="H899"/>
      <c r="I899"/>
      <c r="L899"/>
      <c r="M899"/>
      <c r="N899" s="61"/>
      <c r="O899"/>
    </row>
    <row r="900" spans="1:15" x14ac:dyDescent="0.2">
      <c r="A900"/>
      <c r="B900" s="61"/>
      <c r="C900" s="61"/>
      <c r="F900"/>
      <c r="G900"/>
      <c r="H900"/>
      <c r="I900"/>
      <c r="L900"/>
      <c r="M900"/>
      <c r="N900" s="61"/>
      <c r="O900"/>
    </row>
    <row r="901" spans="1:15" x14ac:dyDescent="0.2">
      <c r="A901"/>
      <c r="B901" s="61"/>
      <c r="C901" s="61"/>
      <c r="F901"/>
      <c r="G901"/>
      <c r="I901"/>
      <c r="L901"/>
      <c r="M901"/>
      <c r="N901" s="61"/>
      <c r="O901"/>
    </row>
    <row r="902" spans="1:15" x14ac:dyDescent="0.2">
      <c r="A902"/>
      <c r="B902" s="61"/>
      <c r="C902" s="61"/>
      <c r="F902"/>
      <c r="G902"/>
      <c r="J902"/>
      <c r="K902"/>
      <c r="L902"/>
      <c r="M902"/>
      <c r="N902" s="61"/>
      <c r="O902"/>
    </row>
    <row r="903" spans="1:15" x14ac:dyDescent="0.2">
      <c r="A903"/>
      <c r="B903" s="61"/>
      <c r="C903" s="61"/>
      <c r="F903"/>
      <c r="G903"/>
      <c r="H903"/>
      <c r="I903"/>
      <c r="L903"/>
      <c r="M903"/>
      <c r="N903" s="61"/>
      <c r="O903"/>
    </row>
    <row r="904" spans="1:15" x14ac:dyDescent="0.2">
      <c r="A904"/>
      <c r="B904" s="61"/>
      <c r="C904" s="61"/>
      <c r="F904"/>
      <c r="G904"/>
      <c r="H904"/>
      <c r="I904"/>
      <c r="L904"/>
      <c r="M904"/>
      <c r="N904" s="61"/>
      <c r="O904"/>
    </row>
    <row r="905" spans="1:15" x14ac:dyDescent="0.2">
      <c r="A905"/>
      <c r="B905" s="61"/>
      <c r="C905" s="61"/>
      <c r="F905"/>
      <c r="G905"/>
      <c r="I905"/>
      <c r="L905"/>
      <c r="M905"/>
      <c r="N905" s="61"/>
      <c r="O905"/>
    </row>
    <row r="906" spans="1:15" x14ac:dyDescent="0.2">
      <c r="A906"/>
      <c r="B906" s="61"/>
      <c r="C906" s="61"/>
      <c r="F906"/>
      <c r="G906"/>
      <c r="H906"/>
      <c r="I906"/>
      <c r="L906"/>
      <c r="M906"/>
      <c r="N906" s="61"/>
      <c r="O906"/>
    </row>
    <row r="907" spans="1:15" x14ac:dyDescent="0.2">
      <c r="A907"/>
      <c r="B907" s="61"/>
      <c r="C907" s="61"/>
      <c r="F907"/>
      <c r="G907"/>
      <c r="I907"/>
      <c r="L907"/>
      <c r="M907"/>
      <c r="N907" s="61"/>
      <c r="O907"/>
    </row>
    <row r="908" spans="1:15" x14ac:dyDescent="0.2">
      <c r="A908"/>
      <c r="B908" s="61"/>
      <c r="C908" s="61"/>
      <c r="F908"/>
      <c r="G908"/>
      <c r="H908"/>
      <c r="I908"/>
      <c r="L908"/>
      <c r="M908"/>
      <c r="N908" s="61"/>
      <c r="O908"/>
    </row>
    <row r="909" spans="1:15" x14ac:dyDescent="0.2">
      <c r="A909"/>
      <c r="B909" s="61"/>
      <c r="C909" s="61"/>
      <c r="F909"/>
      <c r="G909"/>
      <c r="H909"/>
      <c r="I909"/>
      <c r="L909"/>
      <c r="M909"/>
      <c r="N909" s="61"/>
      <c r="O909"/>
    </row>
    <row r="910" spans="1:15" x14ac:dyDescent="0.2">
      <c r="A910"/>
      <c r="B910" s="61"/>
      <c r="C910" s="61"/>
      <c r="F910"/>
      <c r="G910"/>
      <c r="H910"/>
      <c r="J910"/>
      <c r="K910"/>
      <c r="L910"/>
      <c r="M910"/>
      <c r="N910" s="61"/>
      <c r="O910"/>
    </row>
    <row r="911" spans="1:15" x14ac:dyDescent="0.2">
      <c r="A911"/>
      <c r="B911" s="61"/>
      <c r="C911" s="61"/>
      <c r="F911"/>
      <c r="G911"/>
      <c r="H911"/>
      <c r="J911"/>
      <c r="K911"/>
      <c r="L911"/>
      <c r="M911"/>
      <c r="N911" s="61"/>
      <c r="O911"/>
    </row>
    <row r="912" spans="1:15" x14ac:dyDescent="0.2">
      <c r="A912"/>
      <c r="B912" s="61"/>
      <c r="C912" s="61"/>
      <c r="F912"/>
      <c r="G912"/>
      <c r="L912"/>
      <c r="M912"/>
      <c r="N912" s="61"/>
      <c r="O912"/>
    </row>
    <row r="913" spans="1:15" x14ac:dyDescent="0.2">
      <c r="A913"/>
      <c r="B913" s="61"/>
      <c r="C913" s="61"/>
      <c r="F913"/>
      <c r="G913"/>
      <c r="H913"/>
      <c r="J913"/>
      <c r="K913"/>
      <c r="L913"/>
      <c r="M913"/>
      <c r="N913" s="61"/>
      <c r="O913"/>
    </row>
    <row r="914" spans="1:15" x14ac:dyDescent="0.2">
      <c r="A914"/>
      <c r="B914" s="61"/>
      <c r="C914" s="61"/>
      <c r="F914"/>
      <c r="G914"/>
      <c r="H914"/>
      <c r="I914"/>
      <c r="L914"/>
      <c r="M914"/>
      <c r="N914" s="61"/>
      <c r="O914"/>
    </row>
    <row r="915" spans="1:15" x14ac:dyDescent="0.2">
      <c r="A915"/>
      <c r="B915" s="61"/>
      <c r="C915" s="61"/>
      <c r="F915"/>
      <c r="G915"/>
      <c r="H915"/>
      <c r="I915"/>
      <c r="L915"/>
      <c r="M915"/>
      <c r="N915" s="61"/>
      <c r="O915"/>
    </row>
    <row r="916" spans="1:15" x14ac:dyDescent="0.2">
      <c r="A916"/>
      <c r="B916" s="61"/>
      <c r="C916" s="61"/>
      <c r="F916"/>
      <c r="G916"/>
      <c r="H916"/>
      <c r="I916"/>
      <c r="L916"/>
      <c r="M916"/>
      <c r="N916" s="61"/>
      <c r="O916"/>
    </row>
    <row r="917" spans="1:15" x14ac:dyDescent="0.2">
      <c r="A917"/>
      <c r="B917" s="61"/>
      <c r="C917" s="61"/>
      <c r="F917"/>
      <c r="G917"/>
      <c r="H917"/>
      <c r="I917"/>
      <c r="L917"/>
      <c r="M917"/>
      <c r="N917" s="61"/>
      <c r="O917"/>
    </row>
    <row r="918" spans="1:15" x14ac:dyDescent="0.2">
      <c r="A918"/>
      <c r="B918" s="61"/>
      <c r="C918" s="61"/>
      <c r="F918"/>
      <c r="G918"/>
      <c r="H918"/>
      <c r="J918"/>
      <c r="K918"/>
      <c r="L918"/>
      <c r="M918"/>
      <c r="N918" s="61"/>
      <c r="O918"/>
    </row>
    <row r="919" spans="1:15" x14ac:dyDescent="0.2">
      <c r="A919"/>
      <c r="B919" s="61"/>
      <c r="C919" s="61"/>
      <c r="F919"/>
      <c r="G919"/>
      <c r="H919"/>
      <c r="I919"/>
      <c r="L919"/>
      <c r="N919" s="61"/>
      <c r="O919"/>
    </row>
    <row r="920" spans="1:15" x14ac:dyDescent="0.2">
      <c r="A920"/>
      <c r="B920" s="61"/>
      <c r="C920" s="61"/>
      <c r="F920"/>
      <c r="G920"/>
      <c r="H920"/>
      <c r="I920"/>
      <c r="L920"/>
      <c r="M920"/>
      <c r="N920" s="61"/>
      <c r="O920"/>
    </row>
    <row r="921" spans="1:15" x14ac:dyDescent="0.2">
      <c r="A921"/>
      <c r="B921" s="61"/>
      <c r="C921" s="61"/>
      <c r="F921"/>
      <c r="G921"/>
      <c r="H921"/>
      <c r="I921"/>
      <c r="L921"/>
      <c r="M921"/>
      <c r="N921" s="61"/>
      <c r="O921"/>
    </row>
    <row r="922" spans="1:15" x14ac:dyDescent="0.2">
      <c r="A922"/>
      <c r="B922" s="61"/>
      <c r="C922" s="61"/>
      <c r="F922"/>
      <c r="G922"/>
      <c r="L922"/>
      <c r="M922"/>
      <c r="N922" s="61"/>
      <c r="O922"/>
    </row>
    <row r="923" spans="1:15" x14ac:dyDescent="0.2">
      <c r="A923"/>
      <c r="B923" s="61"/>
      <c r="C923" s="61"/>
      <c r="F923"/>
      <c r="G923"/>
      <c r="I923"/>
      <c r="L923"/>
      <c r="M923"/>
      <c r="N923" s="61"/>
      <c r="O923"/>
    </row>
    <row r="924" spans="1:15" x14ac:dyDescent="0.2">
      <c r="A924"/>
      <c r="B924" s="61"/>
      <c r="C924" s="61"/>
      <c r="F924"/>
      <c r="G924"/>
      <c r="H924"/>
      <c r="I924"/>
      <c r="L924"/>
      <c r="M924"/>
      <c r="N924" s="61"/>
      <c r="O924"/>
    </row>
    <row r="925" spans="1:15" x14ac:dyDescent="0.2">
      <c r="A925"/>
      <c r="B925" s="61"/>
      <c r="C925" s="61"/>
      <c r="F925"/>
      <c r="G925"/>
      <c r="L925"/>
      <c r="M925"/>
      <c r="N925" s="61"/>
      <c r="O925"/>
    </row>
    <row r="926" spans="1:15" x14ac:dyDescent="0.2">
      <c r="A926"/>
      <c r="B926" s="61"/>
      <c r="C926" s="61"/>
      <c r="F926"/>
      <c r="G926"/>
      <c r="I926"/>
      <c r="L926"/>
      <c r="M926"/>
      <c r="N926" s="61"/>
      <c r="O926"/>
    </row>
    <row r="927" spans="1:15" x14ac:dyDescent="0.2">
      <c r="A927"/>
      <c r="B927" s="61"/>
      <c r="C927" s="61"/>
      <c r="F927"/>
      <c r="G927"/>
      <c r="I927"/>
      <c r="L927"/>
      <c r="M927"/>
      <c r="N927" s="61"/>
      <c r="O927"/>
    </row>
    <row r="928" spans="1:15" x14ac:dyDescent="0.2">
      <c r="A928"/>
      <c r="B928" s="61"/>
      <c r="C928" s="61"/>
      <c r="F928"/>
      <c r="G928"/>
      <c r="H928"/>
      <c r="I928"/>
      <c r="L928"/>
      <c r="M928"/>
      <c r="N928" s="61"/>
      <c r="O928"/>
    </row>
    <row r="929" spans="1:15" x14ac:dyDescent="0.2">
      <c r="A929"/>
      <c r="B929" s="61"/>
      <c r="C929" s="61"/>
      <c r="F929"/>
      <c r="G929"/>
      <c r="H929"/>
      <c r="I929"/>
      <c r="L929"/>
      <c r="M929"/>
      <c r="N929" s="61"/>
      <c r="O929"/>
    </row>
    <row r="930" spans="1:15" x14ac:dyDescent="0.2">
      <c r="A930"/>
      <c r="B930" s="61"/>
      <c r="C930" s="61"/>
      <c r="F930"/>
      <c r="G930"/>
      <c r="H930"/>
      <c r="I930"/>
      <c r="L930"/>
      <c r="M930"/>
      <c r="N930" s="61"/>
      <c r="O930"/>
    </row>
    <row r="931" spans="1:15" x14ac:dyDescent="0.2">
      <c r="A931"/>
      <c r="B931" s="61"/>
      <c r="C931" s="61"/>
      <c r="F931"/>
      <c r="G931"/>
      <c r="H931"/>
      <c r="I931"/>
      <c r="L931"/>
      <c r="M931"/>
      <c r="N931" s="61"/>
      <c r="O931"/>
    </row>
    <row r="932" spans="1:15" x14ac:dyDescent="0.2">
      <c r="A932"/>
      <c r="B932" s="61"/>
      <c r="C932" s="61"/>
      <c r="F932"/>
      <c r="G932"/>
      <c r="I932"/>
      <c r="L932"/>
      <c r="M932"/>
      <c r="N932" s="61"/>
      <c r="O932"/>
    </row>
    <row r="933" spans="1:15" x14ac:dyDescent="0.2">
      <c r="A933"/>
      <c r="B933" s="61"/>
      <c r="C933" s="61"/>
      <c r="F933"/>
      <c r="G933"/>
      <c r="H933"/>
      <c r="I933"/>
      <c r="L933"/>
      <c r="M933"/>
      <c r="N933" s="61"/>
      <c r="O933"/>
    </row>
    <row r="934" spans="1:15" x14ac:dyDescent="0.2">
      <c r="A934"/>
      <c r="B934" s="61"/>
      <c r="C934" s="61"/>
      <c r="F934"/>
      <c r="G934"/>
      <c r="H934"/>
      <c r="I934"/>
      <c r="L934"/>
      <c r="M934"/>
      <c r="N934" s="61"/>
      <c r="O934"/>
    </row>
    <row r="935" spans="1:15" x14ac:dyDescent="0.2">
      <c r="A935"/>
      <c r="B935" s="61"/>
      <c r="C935" s="61"/>
      <c r="F935"/>
      <c r="G935"/>
      <c r="H935"/>
      <c r="I935"/>
      <c r="L935"/>
      <c r="M935"/>
      <c r="N935" s="61"/>
      <c r="O935"/>
    </row>
    <row r="936" spans="1:15" x14ac:dyDescent="0.2">
      <c r="A936"/>
      <c r="B936" s="61"/>
      <c r="C936" s="61"/>
      <c r="F936"/>
      <c r="G936"/>
      <c r="I936"/>
      <c r="L936"/>
      <c r="M936"/>
      <c r="N936" s="61"/>
      <c r="O936"/>
    </row>
    <row r="937" spans="1:15" x14ac:dyDescent="0.2">
      <c r="A937"/>
      <c r="B937" s="61"/>
      <c r="C937" s="61"/>
      <c r="F937"/>
      <c r="G937"/>
      <c r="H937"/>
      <c r="I937"/>
      <c r="L937"/>
      <c r="M937"/>
      <c r="N937" s="61"/>
      <c r="O937"/>
    </row>
    <row r="938" spans="1:15" x14ac:dyDescent="0.2">
      <c r="A938"/>
      <c r="B938" s="61"/>
      <c r="C938" s="61"/>
      <c r="F938"/>
      <c r="G938"/>
      <c r="H938"/>
      <c r="I938"/>
      <c r="L938"/>
      <c r="M938"/>
      <c r="N938" s="61"/>
      <c r="O938"/>
    </row>
    <row r="939" spans="1:15" x14ac:dyDescent="0.2">
      <c r="A939"/>
      <c r="B939" s="61"/>
      <c r="C939" s="61"/>
      <c r="F939"/>
      <c r="G939"/>
      <c r="L939"/>
      <c r="M939"/>
      <c r="N939" s="61"/>
      <c r="O939"/>
    </row>
    <row r="940" spans="1:15" x14ac:dyDescent="0.2">
      <c r="A940"/>
      <c r="B940" s="61"/>
      <c r="C940" s="61"/>
      <c r="F940"/>
      <c r="G940"/>
      <c r="H940"/>
      <c r="I940"/>
      <c r="L940"/>
      <c r="M940"/>
      <c r="N940" s="61"/>
      <c r="O940"/>
    </row>
    <row r="941" spans="1:15" x14ac:dyDescent="0.2">
      <c r="A941"/>
      <c r="B941" s="61"/>
      <c r="C941" s="61"/>
      <c r="F941"/>
      <c r="G941"/>
      <c r="H941"/>
      <c r="I941"/>
      <c r="L941"/>
      <c r="M941"/>
      <c r="N941" s="61"/>
      <c r="O941"/>
    </row>
    <row r="942" spans="1:15" x14ac:dyDescent="0.2">
      <c r="A942"/>
      <c r="B942" s="61"/>
      <c r="C942" s="61"/>
      <c r="F942"/>
      <c r="G942"/>
      <c r="H942"/>
      <c r="I942"/>
      <c r="J942"/>
      <c r="K942"/>
      <c r="L942"/>
      <c r="M942"/>
      <c r="N942" s="61"/>
      <c r="O942"/>
    </row>
    <row r="943" spans="1:15" x14ac:dyDescent="0.2">
      <c r="A943"/>
      <c r="B943" s="61"/>
      <c r="C943" s="61"/>
      <c r="F943"/>
      <c r="G943"/>
      <c r="H943"/>
      <c r="I943"/>
      <c r="L943"/>
      <c r="M943"/>
      <c r="N943" s="61"/>
      <c r="O943"/>
    </row>
    <row r="944" spans="1:15" x14ac:dyDescent="0.2">
      <c r="A944"/>
      <c r="B944" s="61"/>
      <c r="C944" s="61"/>
      <c r="F944"/>
      <c r="G944"/>
      <c r="H944"/>
      <c r="I944"/>
      <c r="L944"/>
      <c r="M944"/>
      <c r="N944" s="61"/>
      <c r="O944"/>
    </row>
    <row r="945" spans="1:15" x14ac:dyDescent="0.2">
      <c r="A945"/>
      <c r="B945" s="61"/>
      <c r="C945" s="61"/>
      <c r="F945"/>
      <c r="G945"/>
      <c r="H945"/>
      <c r="I945"/>
      <c r="L945"/>
      <c r="M945"/>
      <c r="N945" s="61"/>
      <c r="O945"/>
    </row>
    <row r="946" spans="1:15" x14ac:dyDescent="0.2">
      <c r="A946"/>
      <c r="B946" s="61"/>
      <c r="C946" s="61"/>
      <c r="F946"/>
      <c r="G946"/>
      <c r="I946"/>
      <c r="L946"/>
      <c r="M946"/>
      <c r="N946" s="61"/>
      <c r="O946"/>
    </row>
    <row r="947" spans="1:15" x14ac:dyDescent="0.2">
      <c r="A947"/>
      <c r="B947" s="61"/>
      <c r="C947" s="61"/>
      <c r="F947"/>
      <c r="G947"/>
      <c r="H947"/>
      <c r="I947"/>
      <c r="L947"/>
      <c r="M947"/>
      <c r="N947" s="61"/>
      <c r="O947"/>
    </row>
    <row r="948" spans="1:15" x14ac:dyDescent="0.2">
      <c r="A948"/>
      <c r="B948" s="61"/>
      <c r="C948" s="61"/>
      <c r="F948"/>
      <c r="G948"/>
      <c r="H948"/>
      <c r="J948"/>
      <c r="K948"/>
      <c r="L948"/>
      <c r="M948"/>
      <c r="N948" s="61"/>
      <c r="O948"/>
    </row>
    <row r="949" spans="1:15" x14ac:dyDescent="0.2">
      <c r="A949"/>
      <c r="B949" s="61"/>
      <c r="C949" s="61"/>
      <c r="F949"/>
      <c r="G949"/>
      <c r="L949"/>
      <c r="M949"/>
      <c r="N949" s="61"/>
      <c r="O949"/>
    </row>
    <row r="950" spans="1:15" x14ac:dyDescent="0.2">
      <c r="A950"/>
      <c r="B950" s="61"/>
      <c r="C950" s="61"/>
      <c r="F950"/>
      <c r="G950"/>
      <c r="H950"/>
      <c r="I950"/>
      <c r="L950"/>
      <c r="M950"/>
      <c r="N950" s="61"/>
      <c r="O950"/>
    </row>
    <row r="951" spans="1:15" x14ac:dyDescent="0.2">
      <c r="A951"/>
      <c r="B951" s="61"/>
      <c r="C951" s="61"/>
      <c r="F951"/>
      <c r="G951"/>
      <c r="I951"/>
      <c r="L951"/>
      <c r="M951"/>
      <c r="N951" s="61"/>
      <c r="O951"/>
    </row>
    <row r="952" spans="1:15" x14ac:dyDescent="0.2">
      <c r="A952"/>
      <c r="B952" s="61"/>
      <c r="C952" s="61"/>
      <c r="F952"/>
      <c r="G952"/>
      <c r="I952"/>
      <c r="L952"/>
      <c r="M952"/>
      <c r="N952" s="61"/>
      <c r="O952"/>
    </row>
    <row r="953" spans="1:15" x14ac:dyDescent="0.2">
      <c r="A953"/>
      <c r="B953" s="61"/>
      <c r="C953" s="61"/>
      <c r="F953"/>
      <c r="G953"/>
      <c r="I953"/>
      <c r="L953"/>
      <c r="M953"/>
      <c r="N953" s="61"/>
      <c r="O953"/>
    </row>
    <row r="954" spans="1:15" x14ac:dyDescent="0.2">
      <c r="A954"/>
      <c r="B954" s="61"/>
      <c r="C954" s="61"/>
      <c r="F954"/>
      <c r="G954"/>
      <c r="I954"/>
      <c r="L954"/>
      <c r="M954"/>
      <c r="N954" s="61"/>
      <c r="O954"/>
    </row>
    <row r="955" spans="1:15" x14ac:dyDescent="0.2">
      <c r="A955"/>
      <c r="B955" s="61"/>
      <c r="C955" s="61"/>
      <c r="F955"/>
      <c r="G955"/>
      <c r="H955"/>
      <c r="I955"/>
      <c r="L955"/>
      <c r="M955"/>
      <c r="N955" s="61"/>
      <c r="O955"/>
    </row>
    <row r="956" spans="1:15" x14ac:dyDescent="0.2">
      <c r="A956"/>
      <c r="B956" s="61"/>
      <c r="C956" s="61"/>
      <c r="F956"/>
      <c r="G956"/>
      <c r="H956"/>
      <c r="I956"/>
      <c r="L956"/>
      <c r="M956"/>
      <c r="N956" s="61"/>
      <c r="O956"/>
    </row>
    <row r="957" spans="1:15" x14ac:dyDescent="0.2">
      <c r="A957"/>
      <c r="B957" s="61"/>
      <c r="C957" s="61"/>
      <c r="F957"/>
      <c r="G957"/>
      <c r="H957"/>
      <c r="J957"/>
      <c r="K957"/>
      <c r="L957"/>
      <c r="M957"/>
      <c r="N957" s="61"/>
      <c r="O957"/>
    </row>
    <row r="958" spans="1:15" x14ac:dyDescent="0.2">
      <c r="A958"/>
      <c r="B958" s="61"/>
      <c r="C958" s="61"/>
      <c r="F958"/>
      <c r="G958"/>
      <c r="H958"/>
      <c r="J958"/>
      <c r="K958"/>
      <c r="L958"/>
      <c r="M958"/>
      <c r="N958" s="61"/>
      <c r="O958"/>
    </row>
    <row r="959" spans="1:15" x14ac:dyDescent="0.2">
      <c r="A959"/>
      <c r="B959" s="61"/>
      <c r="C959" s="61"/>
      <c r="F959"/>
      <c r="G959"/>
      <c r="H959"/>
      <c r="I959"/>
      <c r="L959"/>
      <c r="M959"/>
      <c r="N959" s="61"/>
      <c r="O959"/>
    </row>
    <row r="960" spans="1:15" x14ac:dyDescent="0.2">
      <c r="A960"/>
      <c r="B960" s="61"/>
      <c r="C960" s="61"/>
      <c r="F960"/>
      <c r="G960"/>
      <c r="H960"/>
      <c r="I960"/>
      <c r="L960"/>
      <c r="M960"/>
      <c r="N960" s="61"/>
      <c r="O960"/>
    </row>
    <row r="961" spans="1:15" x14ac:dyDescent="0.2">
      <c r="A961"/>
      <c r="B961" s="61"/>
      <c r="C961" s="61"/>
      <c r="F961"/>
      <c r="G961"/>
      <c r="H961"/>
      <c r="I961"/>
      <c r="L961"/>
      <c r="M961"/>
      <c r="N961" s="61"/>
      <c r="O961"/>
    </row>
    <row r="962" spans="1:15" x14ac:dyDescent="0.2">
      <c r="A962"/>
      <c r="B962" s="61"/>
      <c r="C962" s="61"/>
      <c r="F962"/>
      <c r="G962"/>
      <c r="L962"/>
      <c r="M962"/>
      <c r="N962" s="61"/>
      <c r="O962"/>
    </row>
    <row r="963" spans="1:15" x14ac:dyDescent="0.2">
      <c r="A963"/>
      <c r="B963" s="61"/>
      <c r="C963" s="61"/>
      <c r="F963"/>
      <c r="G963"/>
      <c r="L963"/>
      <c r="M963"/>
      <c r="N963" s="61"/>
      <c r="O963"/>
    </row>
    <row r="964" spans="1:15" x14ac:dyDescent="0.2">
      <c r="A964"/>
      <c r="B964" s="61"/>
      <c r="C964" s="61"/>
      <c r="F964"/>
      <c r="G964"/>
      <c r="H964"/>
      <c r="I964"/>
      <c r="L964"/>
      <c r="M964"/>
      <c r="N964" s="61"/>
      <c r="O964"/>
    </row>
    <row r="965" spans="1:15" x14ac:dyDescent="0.2">
      <c r="A965"/>
      <c r="B965" s="61"/>
      <c r="C965" s="61"/>
      <c r="F965"/>
      <c r="G965"/>
      <c r="I965"/>
      <c r="L965"/>
      <c r="M965"/>
      <c r="N965" s="61"/>
      <c r="O965"/>
    </row>
    <row r="966" spans="1:15" x14ac:dyDescent="0.2">
      <c r="A966"/>
      <c r="B966" s="61"/>
      <c r="C966" s="61"/>
      <c r="F966"/>
      <c r="G966"/>
      <c r="H966"/>
      <c r="I966"/>
      <c r="L966"/>
      <c r="M966"/>
      <c r="N966" s="61"/>
      <c r="O966"/>
    </row>
    <row r="967" spans="1:15" x14ac:dyDescent="0.2">
      <c r="A967"/>
      <c r="B967" s="61"/>
      <c r="C967" s="61"/>
      <c r="F967"/>
      <c r="G967"/>
      <c r="I967"/>
      <c r="L967"/>
      <c r="M967"/>
      <c r="N967" s="61"/>
      <c r="O967"/>
    </row>
    <row r="968" spans="1:15" x14ac:dyDescent="0.2">
      <c r="A968"/>
      <c r="B968" s="61"/>
      <c r="C968" s="61"/>
      <c r="F968"/>
      <c r="G968"/>
      <c r="I968"/>
      <c r="L968"/>
      <c r="M968"/>
      <c r="N968" s="61"/>
      <c r="O968"/>
    </row>
    <row r="969" spans="1:15" x14ac:dyDescent="0.2">
      <c r="A969"/>
      <c r="B969" s="61"/>
      <c r="C969" s="61"/>
      <c r="F969"/>
      <c r="G969"/>
      <c r="I969"/>
      <c r="L969"/>
      <c r="M969"/>
      <c r="N969" s="61"/>
      <c r="O969"/>
    </row>
    <row r="970" spans="1:15" x14ac:dyDescent="0.2">
      <c r="A970"/>
      <c r="B970" s="61"/>
      <c r="C970" s="61"/>
      <c r="F970"/>
      <c r="G970"/>
      <c r="L970"/>
      <c r="M970"/>
      <c r="N970" s="61"/>
      <c r="O970"/>
    </row>
    <row r="971" spans="1:15" x14ac:dyDescent="0.2">
      <c r="A971"/>
      <c r="B971" s="61"/>
      <c r="C971" s="61"/>
      <c r="F971"/>
      <c r="G971"/>
      <c r="H971"/>
      <c r="I971"/>
      <c r="L971"/>
      <c r="M971"/>
      <c r="N971" s="61"/>
      <c r="O971"/>
    </row>
    <row r="972" spans="1:15" x14ac:dyDescent="0.2">
      <c r="A972"/>
      <c r="B972" s="61"/>
      <c r="C972" s="61"/>
      <c r="F972"/>
      <c r="G972"/>
      <c r="I972"/>
      <c r="L972"/>
      <c r="M972"/>
      <c r="N972" s="61"/>
      <c r="O972"/>
    </row>
    <row r="973" spans="1:15" x14ac:dyDescent="0.2">
      <c r="A973"/>
      <c r="B973" s="61"/>
      <c r="C973" s="61"/>
      <c r="F973"/>
      <c r="G973"/>
      <c r="M973"/>
      <c r="N973" s="61"/>
      <c r="O973"/>
    </row>
    <row r="974" spans="1:15" x14ac:dyDescent="0.2">
      <c r="A974"/>
      <c r="B974" s="61"/>
      <c r="C974" s="61"/>
      <c r="F974"/>
      <c r="G974"/>
      <c r="M974"/>
      <c r="N974" s="61"/>
      <c r="O974"/>
    </row>
    <row r="975" spans="1:15" x14ac:dyDescent="0.2">
      <c r="A975"/>
      <c r="B975" s="61"/>
      <c r="C975" s="61"/>
      <c r="F975"/>
      <c r="G975"/>
      <c r="H975"/>
      <c r="I975"/>
      <c r="L975"/>
      <c r="M975"/>
      <c r="N975" s="61"/>
      <c r="O975"/>
    </row>
    <row r="976" spans="1:15" x14ac:dyDescent="0.2">
      <c r="A976"/>
      <c r="B976" s="61"/>
      <c r="C976" s="61"/>
      <c r="F976"/>
      <c r="G976"/>
      <c r="H976"/>
      <c r="I976"/>
      <c r="L976"/>
      <c r="M976"/>
      <c r="N976" s="61"/>
      <c r="O976"/>
    </row>
    <row r="977" spans="1:15" x14ac:dyDescent="0.2">
      <c r="A977"/>
      <c r="B977" s="61"/>
      <c r="C977" s="61"/>
      <c r="F977"/>
      <c r="G977"/>
      <c r="H977"/>
      <c r="I977"/>
      <c r="L977"/>
      <c r="M977"/>
      <c r="N977" s="61"/>
      <c r="O977"/>
    </row>
    <row r="978" spans="1:15" x14ac:dyDescent="0.2">
      <c r="A978"/>
      <c r="B978" s="61"/>
      <c r="C978" s="61"/>
      <c r="F978"/>
      <c r="G978"/>
      <c r="I978"/>
      <c r="L978"/>
      <c r="M978"/>
      <c r="N978" s="61"/>
      <c r="O978"/>
    </row>
    <row r="979" spans="1:15" x14ac:dyDescent="0.2">
      <c r="A979"/>
      <c r="B979" s="61"/>
      <c r="C979" s="61"/>
      <c r="F979"/>
      <c r="G979"/>
      <c r="I979"/>
      <c r="L979"/>
      <c r="M979"/>
      <c r="N979" s="61"/>
      <c r="O979"/>
    </row>
    <row r="980" spans="1:15" x14ac:dyDescent="0.2">
      <c r="A980"/>
      <c r="B980" s="61"/>
      <c r="C980" s="61"/>
      <c r="F980"/>
      <c r="G980"/>
      <c r="H980"/>
      <c r="I980"/>
      <c r="L980"/>
      <c r="M980"/>
      <c r="N980" s="61"/>
      <c r="O980"/>
    </row>
    <row r="981" spans="1:15" x14ac:dyDescent="0.2">
      <c r="A981"/>
      <c r="B981" s="61"/>
      <c r="C981" s="61"/>
      <c r="F981"/>
      <c r="G981"/>
      <c r="J981"/>
      <c r="K981"/>
      <c r="L981"/>
      <c r="M981"/>
      <c r="N981" s="61"/>
      <c r="O981"/>
    </row>
    <row r="982" spans="1:15" x14ac:dyDescent="0.2">
      <c r="A982"/>
      <c r="B982" s="61"/>
      <c r="C982" s="61"/>
      <c r="F982"/>
      <c r="G982"/>
      <c r="H982"/>
      <c r="I982"/>
      <c r="L982"/>
      <c r="M982"/>
      <c r="N982" s="61"/>
      <c r="O982"/>
    </row>
    <row r="983" spans="1:15" x14ac:dyDescent="0.2">
      <c r="A983"/>
      <c r="B983" s="61"/>
      <c r="C983" s="61"/>
      <c r="F983"/>
      <c r="G983"/>
      <c r="I983"/>
      <c r="L983"/>
      <c r="M983"/>
      <c r="N983" s="61"/>
      <c r="O983"/>
    </row>
    <row r="984" spans="1:15" x14ac:dyDescent="0.2">
      <c r="A984"/>
      <c r="B984" s="61"/>
      <c r="C984" s="61"/>
      <c r="F984"/>
      <c r="G984"/>
      <c r="I984"/>
      <c r="L984"/>
      <c r="M984"/>
      <c r="N984" s="61"/>
      <c r="O984"/>
    </row>
    <row r="985" spans="1:15" x14ac:dyDescent="0.2">
      <c r="A985"/>
      <c r="B985" s="61"/>
      <c r="C985" s="61"/>
      <c r="F985"/>
      <c r="G985"/>
      <c r="H985"/>
      <c r="I985"/>
      <c r="L985"/>
      <c r="M985"/>
      <c r="N985" s="61"/>
      <c r="O985"/>
    </row>
    <row r="986" spans="1:15" x14ac:dyDescent="0.2">
      <c r="A986"/>
      <c r="B986" s="61"/>
      <c r="C986" s="61"/>
      <c r="F986"/>
      <c r="G986"/>
      <c r="H986"/>
      <c r="I986"/>
      <c r="L986"/>
      <c r="M986"/>
      <c r="N986" s="61"/>
      <c r="O986"/>
    </row>
    <row r="987" spans="1:15" x14ac:dyDescent="0.2">
      <c r="A987"/>
      <c r="B987" s="61"/>
      <c r="C987" s="61"/>
      <c r="F987"/>
      <c r="G987"/>
      <c r="H987"/>
      <c r="I987"/>
      <c r="L987"/>
      <c r="M987"/>
      <c r="N987" s="61"/>
      <c r="O987"/>
    </row>
    <row r="988" spans="1:15" x14ac:dyDescent="0.2">
      <c r="A988"/>
      <c r="B988" s="61"/>
      <c r="C988" s="61"/>
      <c r="F988"/>
      <c r="G988"/>
      <c r="H988"/>
      <c r="I988"/>
      <c r="L988"/>
      <c r="M988"/>
      <c r="N988" s="61"/>
      <c r="O988"/>
    </row>
    <row r="989" spans="1:15" x14ac:dyDescent="0.2">
      <c r="A989"/>
      <c r="B989" s="61"/>
      <c r="C989" s="61"/>
      <c r="F989"/>
      <c r="G989"/>
      <c r="L989"/>
      <c r="M989"/>
      <c r="N989" s="61"/>
      <c r="O989"/>
    </row>
    <row r="990" spans="1:15" x14ac:dyDescent="0.2">
      <c r="A990"/>
      <c r="B990" s="61"/>
      <c r="C990" s="61"/>
      <c r="F990"/>
      <c r="G990"/>
      <c r="H990"/>
      <c r="I990"/>
      <c r="L990"/>
      <c r="M990"/>
      <c r="N990" s="61"/>
      <c r="O990"/>
    </row>
    <row r="991" spans="1:15" x14ac:dyDescent="0.2">
      <c r="A991"/>
      <c r="B991" s="61"/>
      <c r="C991" s="61"/>
      <c r="F991"/>
      <c r="G991"/>
      <c r="L991"/>
      <c r="M991"/>
      <c r="N991" s="61"/>
      <c r="O991"/>
    </row>
    <row r="992" spans="1:15" x14ac:dyDescent="0.2">
      <c r="A992"/>
      <c r="B992" s="61"/>
      <c r="C992" s="61"/>
      <c r="F992"/>
      <c r="G992"/>
      <c r="H992"/>
      <c r="I992"/>
      <c r="L992"/>
      <c r="M992"/>
      <c r="N992" s="61"/>
      <c r="O992"/>
    </row>
    <row r="993" spans="1:15" x14ac:dyDescent="0.2">
      <c r="A993"/>
      <c r="B993" s="61"/>
      <c r="C993" s="61"/>
      <c r="F993"/>
      <c r="G993"/>
      <c r="I993"/>
      <c r="L993"/>
      <c r="M993"/>
      <c r="N993" s="61"/>
      <c r="O993"/>
    </row>
    <row r="994" spans="1:15" x14ac:dyDescent="0.2">
      <c r="A994"/>
      <c r="B994" s="61"/>
      <c r="C994" s="61"/>
      <c r="F994"/>
      <c r="G994"/>
      <c r="H994"/>
      <c r="I994"/>
      <c r="L994"/>
      <c r="M994"/>
      <c r="N994" s="61"/>
      <c r="O994"/>
    </row>
    <row r="995" spans="1:15" x14ac:dyDescent="0.2">
      <c r="A995"/>
      <c r="B995" s="61"/>
      <c r="C995" s="61"/>
      <c r="F995"/>
      <c r="G995"/>
      <c r="H995"/>
      <c r="I995"/>
      <c r="L995"/>
      <c r="M995"/>
      <c r="N995" s="61"/>
      <c r="O995"/>
    </row>
    <row r="996" spans="1:15" x14ac:dyDescent="0.2">
      <c r="A996"/>
      <c r="B996" s="61"/>
      <c r="C996" s="61"/>
      <c r="F996"/>
      <c r="G996"/>
      <c r="H996"/>
      <c r="I996"/>
      <c r="L996"/>
      <c r="M996"/>
      <c r="N996" s="61"/>
      <c r="O996"/>
    </row>
    <row r="997" spans="1:15" x14ac:dyDescent="0.2">
      <c r="A997"/>
      <c r="B997" s="61"/>
      <c r="C997" s="61"/>
      <c r="F997"/>
      <c r="G997"/>
      <c r="H997"/>
      <c r="I997"/>
      <c r="L997"/>
      <c r="M997"/>
      <c r="N997" s="61"/>
      <c r="O997"/>
    </row>
    <row r="998" spans="1:15" x14ac:dyDescent="0.2">
      <c r="A998"/>
      <c r="B998" s="61"/>
      <c r="C998" s="61"/>
      <c r="F998"/>
      <c r="G998"/>
      <c r="H998"/>
      <c r="I998"/>
      <c r="L998"/>
      <c r="M998"/>
      <c r="N998" s="61"/>
      <c r="O998"/>
    </row>
    <row r="999" spans="1:15" x14ac:dyDescent="0.2">
      <c r="A999"/>
      <c r="B999" s="61"/>
      <c r="C999" s="61"/>
      <c r="F999"/>
      <c r="G999"/>
      <c r="H999"/>
      <c r="I999"/>
      <c r="L999"/>
      <c r="M999"/>
      <c r="N999" s="61"/>
      <c r="O999"/>
    </row>
    <row r="1000" spans="1:15" x14ac:dyDescent="0.2">
      <c r="A1000"/>
      <c r="B1000" s="61"/>
      <c r="C1000" s="61"/>
      <c r="F1000"/>
      <c r="G1000"/>
      <c r="I1000"/>
      <c r="L1000"/>
      <c r="M1000"/>
      <c r="N1000" s="61"/>
      <c r="O1000"/>
    </row>
    <row r="1001" spans="1:15" x14ac:dyDescent="0.2">
      <c r="A1001"/>
      <c r="B1001" s="61"/>
      <c r="C1001" s="61"/>
      <c r="F1001"/>
      <c r="G1001"/>
      <c r="I1001"/>
      <c r="L1001"/>
      <c r="M1001"/>
      <c r="N1001" s="61"/>
      <c r="O1001"/>
    </row>
    <row r="1002" spans="1:15" x14ac:dyDescent="0.2">
      <c r="A1002"/>
      <c r="B1002" s="61"/>
      <c r="C1002" s="61"/>
      <c r="F1002"/>
      <c r="G1002"/>
      <c r="I1002"/>
      <c r="J1002"/>
      <c r="K1002"/>
      <c r="L1002"/>
      <c r="M1002"/>
      <c r="N1002" s="61"/>
      <c r="O1002"/>
    </row>
    <row r="1003" spans="1:15" x14ac:dyDescent="0.2">
      <c r="A1003"/>
      <c r="B1003" s="61"/>
      <c r="C1003" s="61"/>
      <c r="F1003"/>
      <c r="G1003"/>
      <c r="H1003"/>
      <c r="I1003"/>
      <c r="L1003"/>
      <c r="M1003"/>
      <c r="N1003" s="61"/>
      <c r="O1003"/>
    </row>
    <row r="1004" spans="1:15" x14ac:dyDescent="0.2">
      <c r="A1004"/>
      <c r="B1004" s="61"/>
      <c r="C1004" s="61"/>
      <c r="F1004"/>
      <c r="G1004"/>
      <c r="H1004"/>
      <c r="I1004"/>
      <c r="L1004"/>
      <c r="M1004"/>
      <c r="N1004" s="61"/>
      <c r="O1004"/>
    </row>
    <row r="1005" spans="1:15" x14ac:dyDescent="0.2">
      <c r="A1005"/>
      <c r="B1005" s="61"/>
      <c r="C1005" s="61"/>
      <c r="F1005"/>
      <c r="G1005"/>
      <c r="L1005"/>
      <c r="M1005"/>
      <c r="N1005" s="61"/>
      <c r="O1005"/>
    </row>
    <row r="1006" spans="1:15" x14ac:dyDescent="0.2">
      <c r="A1006"/>
      <c r="B1006" s="61"/>
      <c r="C1006" s="61"/>
      <c r="F1006"/>
      <c r="G1006"/>
      <c r="I1006"/>
      <c r="L1006"/>
      <c r="M1006"/>
      <c r="N1006" s="61"/>
      <c r="O1006"/>
    </row>
    <row r="1007" spans="1:15" x14ac:dyDescent="0.2">
      <c r="A1007"/>
      <c r="B1007" s="61"/>
      <c r="C1007" s="61"/>
      <c r="F1007"/>
      <c r="G1007"/>
      <c r="H1007"/>
      <c r="I1007"/>
      <c r="L1007"/>
      <c r="M1007"/>
      <c r="N1007" s="61"/>
      <c r="O1007"/>
    </row>
    <row r="1008" spans="1:15" x14ac:dyDescent="0.2">
      <c r="A1008"/>
      <c r="B1008" s="61"/>
      <c r="C1008" s="61"/>
      <c r="F1008"/>
      <c r="G1008"/>
      <c r="H1008"/>
      <c r="I1008"/>
      <c r="L1008"/>
      <c r="M1008"/>
      <c r="N1008" s="61"/>
      <c r="O1008"/>
    </row>
    <row r="1009" spans="1:15" x14ac:dyDescent="0.2">
      <c r="A1009"/>
      <c r="B1009" s="61"/>
      <c r="C1009" s="61"/>
      <c r="F1009"/>
      <c r="G1009"/>
      <c r="H1009"/>
      <c r="I1009"/>
      <c r="L1009"/>
      <c r="M1009"/>
      <c r="N1009" s="61"/>
      <c r="O1009"/>
    </row>
    <row r="1010" spans="1:15" x14ac:dyDescent="0.2">
      <c r="A1010"/>
      <c r="B1010" s="61"/>
      <c r="C1010" s="61"/>
      <c r="F1010"/>
      <c r="G1010"/>
      <c r="H1010"/>
      <c r="I1010"/>
      <c r="L1010"/>
      <c r="M1010"/>
      <c r="N1010" s="61"/>
      <c r="O1010"/>
    </row>
    <row r="1011" spans="1:15" x14ac:dyDescent="0.2">
      <c r="A1011"/>
      <c r="B1011" s="61"/>
      <c r="C1011" s="61"/>
      <c r="F1011"/>
      <c r="G1011"/>
      <c r="L1011"/>
      <c r="M1011"/>
      <c r="N1011" s="61"/>
      <c r="O1011"/>
    </row>
    <row r="1012" spans="1:15" x14ac:dyDescent="0.2">
      <c r="A1012"/>
      <c r="B1012" s="61"/>
      <c r="C1012" s="61"/>
      <c r="F1012"/>
      <c r="G1012"/>
      <c r="H1012"/>
      <c r="I1012"/>
      <c r="L1012"/>
      <c r="M1012"/>
      <c r="N1012" s="61"/>
      <c r="O1012"/>
    </row>
    <row r="1013" spans="1:15" x14ac:dyDescent="0.2">
      <c r="A1013"/>
      <c r="B1013" s="61"/>
      <c r="C1013" s="61"/>
      <c r="F1013"/>
      <c r="G1013"/>
      <c r="J1013"/>
      <c r="K1013"/>
      <c r="M1013"/>
      <c r="N1013" s="61"/>
      <c r="O1013"/>
    </row>
    <row r="1014" spans="1:15" x14ac:dyDescent="0.2">
      <c r="A1014"/>
      <c r="B1014" s="61"/>
      <c r="C1014" s="61"/>
      <c r="F1014"/>
      <c r="G1014"/>
      <c r="H1014"/>
      <c r="I1014"/>
      <c r="L1014"/>
      <c r="M1014"/>
      <c r="N1014" s="61"/>
      <c r="O1014"/>
    </row>
    <row r="1015" spans="1:15" x14ac:dyDescent="0.2">
      <c r="A1015"/>
      <c r="B1015" s="61"/>
      <c r="C1015" s="61"/>
      <c r="F1015"/>
      <c r="G1015"/>
      <c r="H1015"/>
      <c r="I1015"/>
      <c r="L1015"/>
      <c r="M1015"/>
      <c r="N1015" s="61"/>
      <c r="O1015"/>
    </row>
    <row r="1016" spans="1:15" x14ac:dyDescent="0.2">
      <c r="A1016"/>
      <c r="B1016" s="61"/>
      <c r="C1016" s="61"/>
      <c r="F1016"/>
      <c r="G1016"/>
      <c r="I1016"/>
      <c r="L1016"/>
      <c r="M1016"/>
      <c r="N1016" s="61"/>
      <c r="O1016"/>
    </row>
    <row r="1017" spans="1:15" x14ac:dyDescent="0.2">
      <c r="A1017"/>
      <c r="B1017" s="61"/>
      <c r="C1017" s="61"/>
      <c r="F1017"/>
      <c r="G1017"/>
      <c r="H1017"/>
      <c r="I1017"/>
      <c r="L1017"/>
      <c r="M1017"/>
      <c r="N1017" s="61"/>
      <c r="O1017"/>
    </row>
    <row r="1018" spans="1:15" x14ac:dyDescent="0.2">
      <c r="A1018"/>
      <c r="B1018" s="61"/>
      <c r="C1018" s="61"/>
      <c r="F1018"/>
      <c r="G1018"/>
      <c r="H1018"/>
      <c r="I1018"/>
      <c r="L1018"/>
      <c r="M1018"/>
      <c r="N1018" s="61"/>
      <c r="O1018"/>
    </row>
    <row r="1019" spans="1:15" x14ac:dyDescent="0.2">
      <c r="A1019"/>
      <c r="B1019" s="61"/>
      <c r="C1019" s="61"/>
      <c r="F1019"/>
      <c r="G1019"/>
      <c r="H1019"/>
      <c r="I1019"/>
      <c r="L1019"/>
      <c r="M1019"/>
      <c r="N1019" s="61"/>
      <c r="O1019"/>
    </row>
    <row r="1020" spans="1:15" x14ac:dyDescent="0.2">
      <c r="A1020"/>
      <c r="B1020" s="61"/>
      <c r="C1020" s="61"/>
      <c r="F1020"/>
      <c r="G1020"/>
      <c r="I1020"/>
      <c r="L1020"/>
      <c r="M1020"/>
      <c r="N1020" s="61"/>
      <c r="O1020"/>
    </row>
    <row r="1021" spans="1:15" x14ac:dyDescent="0.2">
      <c r="A1021"/>
      <c r="B1021" s="61"/>
      <c r="C1021" s="61"/>
      <c r="F1021"/>
      <c r="G1021"/>
      <c r="H1021"/>
      <c r="I1021"/>
      <c r="L1021"/>
      <c r="M1021"/>
      <c r="N1021" s="61"/>
      <c r="O1021"/>
    </row>
    <row r="1022" spans="1:15" x14ac:dyDescent="0.2">
      <c r="A1022"/>
      <c r="B1022" s="61"/>
      <c r="C1022" s="61"/>
      <c r="F1022"/>
      <c r="G1022"/>
      <c r="I1022"/>
      <c r="L1022"/>
      <c r="M1022"/>
      <c r="N1022" s="61"/>
      <c r="O1022"/>
    </row>
    <row r="1023" spans="1:15" x14ac:dyDescent="0.2">
      <c r="A1023"/>
      <c r="B1023" s="61"/>
      <c r="C1023" s="61"/>
      <c r="F1023"/>
      <c r="G1023"/>
      <c r="I1023"/>
      <c r="L1023"/>
      <c r="M1023"/>
      <c r="N1023" s="61"/>
      <c r="O1023"/>
    </row>
    <row r="1024" spans="1:15" x14ac:dyDescent="0.2">
      <c r="A1024"/>
      <c r="B1024" s="61"/>
      <c r="C1024" s="61"/>
      <c r="F1024"/>
      <c r="G1024"/>
      <c r="L1024"/>
      <c r="M1024"/>
      <c r="N1024" s="61"/>
      <c r="O1024"/>
    </row>
    <row r="1025" spans="1:15" x14ac:dyDescent="0.2">
      <c r="A1025"/>
      <c r="B1025" s="61"/>
      <c r="C1025" s="61"/>
      <c r="F1025"/>
      <c r="G1025"/>
      <c r="H1025"/>
      <c r="I1025"/>
      <c r="L1025"/>
      <c r="M1025"/>
      <c r="N1025" s="61"/>
      <c r="O1025"/>
    </row>
    <row r="1026" spans="1:15" x14ac:dyDescent="0.2">
      <c r="A1026"/>
      <c r="B1026" s="61"/>
      <c r="C1026" s="61"/>
      <c r="F1026"/>
      <c r="G1026"/>
      <c r="H1026"/>
      <c r="I1026"/>
      <c r="L1026"/>
      <c r="M1026"/>
      <c r="N1026" s="61"/>
      <c r="O1026"/>
    </row>
    <row r="1027" spans="1:15" x14ac:dyDescent="0.2">
      <c r="A1027"/>
      <c r="B1027" s="61"/>
      <c r="C1027" s="61"/>
      <c r="F1027"/>
      <c r="G1027"/>
      <c r="H1027"/>
      <c r="I1027"/>
      <c r="L1027"/>
      <c r="M1027"/>
      <c r="N1027" s="61"/>
      <c r="O1027"/>
    </row>
    <row r="1028" spans="1:15" x14ac:dyDescent="0.2">
      <c r="A1028"/>
      <c r="B1028" s="61"/>
      <c r="C1028" s="61"/>
      <c r="F1028"/>
      <c r="G1028"/>
      <c r="H1028"/>
      <c r="J1028"/>
      <c r="K1028"/>
      <c r="L1028"/>
      <c r="M1028"/>
      <c r="N1028" s="61"/>
      <c r="O1028"/>
    </row>
    <row r="1029" spans="1:15" x14ac:dyDescent="0.2">
      <c r="A1029"/>
      <c r="B1029" s="61"/>
      <c r="C1029" s="61"/>
      <c r="F1029"/>
      <c r="G1029"/>
      <c r="H1029"/>
      <c r="I1029"/>
      <c r="J1029"/>
      <c r="K1029"/>
      <c r="L1029"/>
      <c r="M1029"/>
      <c r="N1029" s="61"/>
      <c r="O1029"/>
    </row>
    <row r="1030" spans="1:15" x14ac:dyDescent="0.2">
      <c r="A1030"/>
      <c r="B1030" s="61"/>
      <c r="C1030" s="61"/>
      <c r="F1030"/>
      <c r="G1030"/>
      <c r="I1030"/>
      <c r="L1030"/>
      <c r="M1030"/>
      <c r="N1030" s="61"/>
      <c r="O1030"/>
    </row>
    <row r="1031" spans="1:15" x14ac:dyDescent="0.2">
      <c r="A1031"/>
      <c r="B1031" s="61"/>
      <c r="C1031" s="61"/>
      <c r="F1031"/>
      <c r="G1031"/>
      <c r="H1031"/>
      <c r="I1031"/>
      <c r="L1031"/>
      <c r="M1031"/>
      <c r="N1031" s="61"/>
      <c r="O1031"/>
    </row>
    <row r="1032" spans="1:15" x14ac:dyDescent="0.2">
      <c r="A1032"/>
      <c r="B1032" s="61"/>
      <c r="C1032" s="61"/>
      <c r="F1032"/>
      <c r="G1032"/>
      <c r="H1032"/>
      <c r="I1032"/>
      <c r="L1032"/>
      <c r="M1032"/>
      <c r="N1032" s="61"/>
      <c r="O1032"/>
    </row>
    <row r="1033" spans="1:15" x14ac:dyDescent="0.2">
      <c r="A1033"/>
      <c r="B1033" s="61"/>
      <c r="C1033" s="61"/>
      <c r="F1033"/>
      <c r="G1033"/>
      <c r="J1033"/>
      <c r="K1033"/>
      <c r="L1033"/>
      <c r="M1033"/>
      <c r="N1033" s="61"/>
      <c r="O1033"/>
    </row>
    <row r="1034" spans="1:15" x14ac:dyDescent="0.2">
      <c r="A1034"/>
      <c r="B1034" s="61"/>
      <c r="C1034" s="61"/>
      <c r="F1034"/>
      <c r="G1034"/>
      <c r="H1034"/>
      <c r="I1034"/>
      <c r="L1034"/>
      <c r="M1034"/>
      <c r="N1034" s="61"/>
      <c r="O1034"/>
    </row>
    <row r="1035" spans="1:15" x14ac:dyDescent="0.2">
      <c r="A1035"/>
      <c r="B1035" s="61"/>
      <c r="C1035" s="61"/>
      <c r="F1035"/>
      <c r="G1035"/>
      <c r="H1035"/>
      <c r="I1035"/>
      <c r="L1035"/>
      <c r="M1035"/>
      <c r="N1035" s="61"/>
      <c r="O1035"/>
    </row>
    <row r="1036" spans="1:15" x14ac:dyDescent="0.2">
      <c r="A1036"/>
      <c r="B1036" s="61"/>
      <c r="C1036" s="61"/>
      <c r="F1036"/>
      <c r="G1036"/>
      <c r="H1036"/>
      <c r="J1036"/>
      <c r="K1036"/>
      <c r="L1036"/>
      <c r="M1036"/>
      <c r="N1036" s="61"/>
      <c r="O1036"/>
    </row>
    <row r="1037" spans="1:15" x14ac:dyDescent="0.2">
      <c r="A1037"/>
      <c r="B1037" s="61"/>
      <c r="C1037" s="61"/>
      <c r="F1037"/>
      <c r="G1037"/>
      <c r="H1037"/>
      <c r="J1037"/>
      <c r="K1037"/>
      <c r="L1037"/>
      <c r="M1037"/>
      <c r="N1037" s="61"/>
      <c r="O1037"/>
    </row>
    <row r="1038" spans="1:15" x14ac:dyDescent="0.2">
      <c r="A1038"/>
      <c r="B1038" s="61"/>
      <c r="C1038" s="61"/>
      <c r="F1038"/>
      <c r="G1038"/>
      <c r="H1038"/>
      <c r="I1038"/>
      <c r="L1038"/>
      <c r="N1038" s="61"/>
      <c r="O1038"/>
    </row>
    <row r="1039" spans="1:15" x14ac:dyDescent="0.2">
      <c r="A1039"/>
      <c r="B1039" s="61"/>
      <c r="C1039" s="61"/>
      <c r="F1039"/>
      <c r="G1039"/>
      <c r="H1039"/>
      <c r="J1039"/>
      <c r="K1039"/>
      <c r="L1039"/>
      <c r="M1039"/>
      <c r="N1039" s="61"/>
      <c r="O1039"/>
    </row>
    <row r="1040" spans="1:15" x14ac:dyDescent="0.2">
      <c r="A1040"/>
      <c r="B1040" s="61"/>
      <c r="C1040" s="61"/>
      <c r="F1040"/>
      <c r="G1040"/>
      <c r="H1040"/>
      <c r="J1040"/>
      <c r="K1040"/>
      <c r="L1040"/>
      <c r="M1040"/>
      <c r="N1040" s="61"/>
      <c r="O1040"/>
    </row>
    <row r="1041" spans="1:15" x14ac:dyDescent="0.2">
      <c r="A1041"/>
      <c r="B1041" s="61"/>
      <c r="C1041" s="61"/>
      <c r="F1041"/>
      <c r="G1041"/>
      <c r="H1041"/>
      <c r="I1041"/>
      <c r="L1041"/>
      <c r="M1041"/>
      <c r="N1041" s="61"/>
      <c r="O1041"/>
    </row>
    <row r="1042" spans="1:15" x14ac:dyDescent="0.2">
      <c r="A1042"/>
      <c r="B1042" s="61"/>
      <c r="C1042" s="61"/>
      <c r="F1042"/>
      <c r="G1042"/>
      <c r="H1042"/>
      <c r="J1042"/>
      <c r="K1042"/>
      <c r="L1042"/>
      <c r="M1042"/>
      <c r="N1042" s="61"/>
      <c r="O1042"/>
    </row>
    <row r="1043" spans="1:15" x14ac:dyDescent="0.2">
      <c r="A1043"/>
      <c r="B1043" s="61"/>
      <c r="C1043" s="61"/>
      <c r="G1043"/>
      <c r="J1043"/>
      <c r="K1043"/>
      <c r="L1043"/>
      <c r="M1043"/>
      <c r="N1043" s="61"/>
      <c r="O1043"/>
    </row>
    <row r="1044" spans="1:15" x14ac:dyDescent="0.2">
      <c r="A1044"/>
      <c r="B1044" s="61"/>
      <c r="C1044" s="61"/>
      <c r="F1044"/>
      <c r="G1044"/>
      <c r="H1044"/>
      <c r="I1044"/>
      <c r="L1044"/>
      <c r="N1044" s="61"/>
      <c r="O1044"/>
    </row>
    <row r="1045" spans="1:15" x14ac:dyDescent="0.2">
      <c r="A1045"/>
      <c r="B1045" s="61"/>
      <c r="C1045" s="61"/>
      <c r="F1045"/>
      <c r="G1045"/>
      <c r="L1045"/>
      <c r="M1045"/>
      <c r="N1045" s="61"/>
      <c r="O1045"/>
    </row>
    <row r="1046" spans="1:15" x14ac:dyDescent="0.2">
      <c r="A1046"/>
      <c r="B1046" s="61"/>
      <c r="C1046" s="61"/>
      <c r="F1046"/>
      <c r="G1046"/>
      <c r="J1046"/>
      <c r="K1046"/>
      <c r="L1046"/>
      <c r="M1046"/>
      <c r="N1046" s="61"/>
      <c r="O1046"/>
    </row>
    <row r="1047" spans="1:15" x14ac:dyDescent="0.2">
      <c r="A1047"/>
      <c r="B1047" s="61"/>
      <c r="C1047" s="61"/>
      <c r="F1047"/>
      <c r="G1047"/>
      <c r="H1047"/>
      <c r="I1047"/>
      <c r="L1047"/>
      <c r="M1047"/>
      <c r="N1047" s="61"/>
      <c r="O1047"/>
    </row>
    <row r="1048" spans="1:15" x14ac:dyDescent="0.2">
      <c r="A1048"/>
      <c r="B1048" s="61"/>
      <c r="C1048" s="61"/>
      <c r="F1048"/>
      <c r="G1048"/>
      <c r="H1048"/>
      <c r="I1048"/>
      <c r="L1048"/>
      <c r="M1048"/>
      <c r="N1048" s="61"/>
      <c r="O1048"/>
    </row>
    <row r="1049" spans="1:15" x14ac:dyDescent="0.2">
      <c r="A1049"/>
      <c r="B1049" s="61"/>
      <c r="C1049" s="61"/>
      <c r="F1049"/>
      <c r="G1049"/>
      <c r="L1049"/>
      <c r="M1049"/>
      <c r="N1049" s="61"/>
      <c r="O1049"/>
    </row>
    <row r="1050" spans="1:15" x14ac:dyDescent="0.2">
      <c r="A1050"/>
      <c r="B1050" s="61"/>
      <c r="C1050" s="61"/>
      <c r="F1050"/>
      <c r="G1050"/>
      <c r="I1050"/>
      <c r="L1050"/>
      <c r="M1050"/>
      <c r="N1050" s="61"/>
      <c r="O1050"/>
    </row>
    <row r="1051" spans="1:15" x14ac:dyDescent="0.2">
      <c r="A1051"/>
      <c r="B1051" s="61"/>
      <c r="C1051" s="61"/>
      <c r="F1051"/>
      <c r="G1051"/>
      <c r="H1051"/>
      <c r="I1051"/>
      <c r="L1051"/>
      <c r="M1051"/>
      <c r="N1051" s="61"/>
      <c r="O1051"/>
    </row>
    <row r="1052" spans="1:15" x14ac:dyDescent="0.2">
      <c r="A1052"/>
      <c r="B1052" s="61"/>
      <c r="C1052" s="61"/>
      <c r="F1052"/>
      <c r="G1052"/>
      <c r="H1052"/>
      <c r="I1052"/>
      <c r="L1052"/>
      <c r="M1052"/>
      <c r="N1052" s="61"/>
      <c r="O1052"/>
    </row>
    <row r="1053" spans="1:15" x14ac:dyDescent="0.2">
      <c r="A1053"/>
      <c r="B1053" s="61"/>
      <c r="C1053" s="61"/>
      <c r="F1053"/>
      <c r="G1053"/>
      <c r="M1053"/>
      <c r="N1053" s="61"/>
      <c r="O1053"/>
    </row>
    <row r="1054" spans="1:15" x14ac:dyDescent="0.2">
      <c r="A1054"/>
      <c r="B1054" s="61"/>
      <c r="C1054" s="61"/>
      <c r="F1054"/>
      <c r="G1054"/>
      <c r="M1054"/>
      <c r="N1054" s="61"/>
      <c r="O1054"/>
    </row>
    <row r="1055" spans="1:15" x14ac:dyDescent="0.2">
      <c r="A1055"/>
      <c r="B1055" s="61"/>
      <c r="C1055" s="61"/>
      <c r="F1055"/>
      <c r="G1055"/>
      <c r="N1055" s="61"/>
      <c r="O1055"/>
    </row>
    <row r="1056" spans="1:15" x14ac:dyDescent="0.2">
      <c r="A1056"/>
      <c r="B1056" s="61"/>
      <c r="C1056" s="61"/>
      <c r="F1056"/>
      <c r="G1056"/>
      <c r="H1056"/>
      <c r="I1056"/>
      <c r="L1056"/>
      <c r="M1056"/>
      <c r="N1056" s="61"/>
      <c r="O1056"/>
    </row>
    <row r="1057" spans="1:15" x14ac:dyDescent="0.2">
      <c r="A1057"/>
      <c r="B1057" s="61"/>
      <c r="C1057" s="61"/>
      <c r="F1057"/>
      <c r="G1057"/>
      <c r="L1057"/>
      <c r="M1057"/>
      <c r="N1057" s="61"/>
      <c r="O1057"/>
    </row>
    <row r="1058" spans="1:15" x14ac:dyDescent="0.2">
      <c r="A1058"/>
      <c r="B1058" s="61"/>
      <c r="C1058" s="61"/>
      <c r="F1058"/>
      <c r="G1058"/>
      <c r="H1058"/>
      <c r="I1058"/>
      <c r="L1058"/>
      <c r="M1058"/>
      <c r="N1058" s="61"/>
      <c r="O1058"/>
    </row>
    <row r="1059" spans="1:15" x14ac:dyDescent="0.2">
      <c r="A1059"/>
      <c r="B1059" s="61"/>
      <c r="C1059" s="61"/>
      <c r="F1059"/>
      <c r="G1059"/>
      <c r="H1059"/>
      <c r="I1059"/>
      <c r="L1059"/>
      <c r="N1059" s="61"/>
      <c r="O1059"/>
    </row>
    <row r="1060" spans="1:15" x14ac:dyDescent="0.2">
      <c r="A1060"/>
      <c r="B1060" s="61"/>
      <c r="C1060" s="61"/>
      <c r="F1060"/>
      <c r="G1060"/>
      <c r="I1060"/>
      <c r="L1060"/>
      <c r="M1060"/>
      <c r="N1060" s="61"/>
      <c r="O1060"/>
    </row>
    <row r="1061" spans="1:15" x14ac:dyDescent="0.2">
      <c r="A1061"/>
      <c r="B1061" s="61"/>
      <c r="C1061" s="61"/>
      <c r="F1061"/>
      <c r="G1061"/>
      <c r="H1061"/>
      <c r="I1061"/>
      <c r="L1061"/>
      <c r="M1061"/>
      <c r="N1061" s="61"/>
      <c r="O1061"/>
    </row>
    <row r="1062" spans="1:15" x14ac:dyDescent="0.2">
      <c r="A1062"/>
      <c r="B1062" s="61"/>
      <c r="C1062" s="61"/>
      <c r="F1062"/>
      <c r="G1062"/>
      <c r="H1062"/>
      <c r="I1062"/>
      <c r="L1062"/>
      <c r="M1062"/>
      <c r="N1062" s="61"/>
      <c r="O1062"/>
    </row>
    <row r="1063" spans="1:15" x14ac:dyDescent="0.2">
      <c r="A1063"/>
      <c r="B1063" s="61"/>
      <c r="C1063" s="61"/>
      <c r="F1063"/>
      <c r="G1063"/>
      <c r="I1063"/>
      <c r="L1063"/>
      <c r="M1063"/>
      <c r="N1063" s="61"/>
      <c r="O1063"/>
    </row>
    <row r="1064" spans="1:15" x14ac:dyDescent="0.2">
      <c r="A1064"/>
      <c r="B1064" s="61"/>
      <c r="C1064" s="61"/>
      <c r="F1064"/>
      <c r="G1064"/>
      <c r="I1064"/>
      <c r="L1064"/>
      <c r="M1064"/>
      <c r="N1064" s="61"/>
      <c r="O1064"/>
    </row>
    <row r="1065" spans="1:15" x14ac:dyDescent="0.2">
      <c r="A1065"/>
      <c r="B1065" s="61"/>
      <c r="C1065" s="61"/>
      <c r="F1065"/>
      <c r="G1065"/>
      <c r="L1065"/>
      <c r="M1065"/>
      <c r="N1065" s="61"/>
      <c r="O1065"/>
    </row>
    <row r="1066" spans="1:15" x14ac:dyDescent="0.2">
      <c r="A1066"/>
      <c r="B1066" s="61"/>
      <c r="C1066" s="61"/>
      <c r="F1066"/>
      <c r="G1066"/>
      <c r="H1066"/>
      <c r="I1066"/>
      <c r="L1066"/>
      <c r="M1066"/>
      <c r="N1066" s="61"/>
      <c r="O1066"/>
    </row>
    <row r="1067" spans="1:15" x14ac:dyDescent="0.2">
      <c r="A1067"/>
      <c r="B1067" s="61"/>
      <c r="C1067" s="61"/>
      <c r="F1067"/>
      <c r="G1067"/>
      <c r="L1067"/>
      <c r="M1067"/>
      <c r="N1067" s="61"/>
      <c r="O1067"/>
    </row>
    <row r="1068" spans="1:15" x14ac:dyDescent="0.2">
      <c r="A1068"/>
      <c r="B1068" s="61"/>
      <c r="C1068" s="61"/>
      <c r="F1068"/>
      <c r="G1068"/>
      <c r="H1068"/>
      <c r="I1068"/>
      <c r="L1068"/>
      <c r="M1068"/>
      <c r="N1068" s="61"/>
      <c r="O1068"/>
    </row>
    <row r="1069" spans="1:15" x14ac:dyDescent="0.2">
      <c r="A1069"/>
      <c r="B1069" s="61"/>
      <c r="C1069" s="61"/>
      <c r="F1069"/>
      <c r="G1069"/>
      <c r="M1069"/>
      <c r="N1069" s="61"/>
      <c r="O1069"/>
    </row>
    <row r="1070" spans="1:15" x14ac:dyDescent="0.2">
      <c r="A1070"/>
      <c r="B1070" s="61"/>
      <c r="C1070" s="61"/>
      <c r="F1070"/>
      <c r="G1070"/>
      <c r="H1070"/>
      <c r="I1070"/>
      <c r="L1070"/>
      <c r="M1070"/>
      <c r="N1070" s="61"/>
      <c r="O1070"/>
    </row>
    <row r="1071" spans="1:15" x14ac:dyDescent="0.2">
      <c r="A1071"/>
      <c r="B1071" s="61"/>
      <c r="C1071" s="61"/>
      <c r="F1071"/>
      <c r="G1071"/>
      <c r="H1071"/>
      <c r="I1071"/>
      <c r="L1071"/>
      <c r="M1071"/>
      <c r="N1071" s="61"/>
      <c r="O1071"/>
    </row>
    <row r="1072" spans="1:15" x14ac:dyDescent="0.2">
      <c r="A1072"/>
      <c r="B1072" s="61"/>
      <c r="C1072" s="61"/>
      <c r="F1072"/>
      <c r="G1072"/>
      <c r="H1072"/>
      <c r="I1072"/>
      <c r="L1072"/>
      <c r="M1072"/>
      <c r="N1072" s="61"/>
      <c r="O1072"/>
    </row>
    <row r="1073" spans="1:15" x14ac:dyDescent="0.2">
      <c r="A1073"/>
      <c r="B1073" s="61"/>
      <c r="C1073" s="61"/>
      <c r="F1073"/>
      <c r="G1073"/>
      <c r="H1073"/>
      <c r="I1073"/>
      <c r="L1073"/>
      <c r="M1073"/>
      <c r="N1073" s="61"/>
      <c r="O1073"/>
    </row>
    <row r="1074" spans="1:15" x14ac:dyDescent="0.2">
      <c r="A1074"/>
      <c r="B1074" s="61"/>
      <c r="C1074" s="61"/>
      <c r="F1074"/>
      <c r="G1074"/>
      <c r="H1074"/>
      <c r="J1074"/>
      <c r="K1074"/>
      <c r="L1074"/>
      <c r="M1074"/>
      <c r="N1074" s="61"/>
      <c r="O1074"/>
    </row>
    <row r="1075" spans="1:15" x14ac:dyDescent="0.2">
      <c r="A1075"/>
      <c r="B1075" s="61"/>
      <c r="C1075" s="61"/>
      <c r="F1075"/>
      <c r="G1075"/>
      <c r="H1075"/>
      <c r="J1075"/>
      <c r="K1075"/>
      <c r="L1075"/>
      <c r="M1075"/>
      <c r="N1075" s="61"/>
      <c r="O1075"/>
    </row>
    <row r="1076" spans="1:15" x14ac:dyDescent="0.2">
      <c r="A1076"/>
      <c r="B1076" s="61"/>
      <c r="C1076" s="61"/>
      <c r="F1076"/>
      <c r="G1076"/>
      <c r="H1076"/>
      <c r="J1076"/>
      <c r="K1076"/>
      <c r="L1076"/>
      <c r="M1076"/>
      <c r="N1076" s="61"/>
      <c r="O1076"/>
    </row>
    <row r="1077" spans="1:15" x14ac:dyDescent="0.2">
      <c r="A1077"/>
      <c r="B1077" s="61"/>
      <c r="C1077" s="61"/>
      <c r="F1077"/>
      <c r="G1077"/>
      <c r="H1077"/>
      <c r="L1077"/>
      <c r="M1077"/>
      <c r="N1077" s="61"/>
      <c r="O1077"/>
    </row>
    <row r="1078" spans="1:15" x14ac:dyDescent="0.2">
      <c r="A1078"/>
      <c r="B1078" s="61"/>
      <c r="C1078" s="61"/>
      <c r="F1078"/>
      <c r="G1078"/>
      <c r="I1078"/>
      <c r="L1078"/>
      <c r="M1078"/>
      <c r="N1078" s="61"/>
      <c r="O1078"/>
    </row>
    <row r="1079" spans="1:15" x14ac:dyDescent="0.2">
      <c r="A1079"/>
      <c r="B1079" s="61"/>
      <c r="C1079" s="61"/>
      <c r="F1079"/>
      <c r="G1079"/>
      <c r="I1079"/>
      <c r="L1079"/>
      <c r="M1079"/>
      <c r="N1079" s="61"/>
      <c r="O1079"/>
    </row>
    <row r="1080" spans="1:15" x14ac:dyDescent="0.2">
      <c r="A1080"/>
      <c r="B1080" s="61"/>
      <c r="C1080" s="61"/>
      <c r="F1080"/>
      <c r="G1080"/>
      <c r="M1080"/>
      <c r="N1080" s="61"/>
      <c r="O1080"/>
    </row>
    <row r="1081" spans="1:15" x14ac:dyDescent="0.2">
      <c r="A1081"/>
      <c r="B1081" s="61"/>
      <c r="C1081" s="61"/>
      <c r="F1081"/>
      <c r="G1081"/>
      <c r="H1081"/>
      <c r="I1081"/>
      <c r="L1081"/>
      <c r="M1081"/>
      <c r="N1081" s="61"/>
      <c r="O1081"/>
    </row>
    <row r="1082" spans="1:15" x14ac:dyDescent="0.2">
      <c r="A1082"/>
      <c r="B1082" s="61"/>
      <c r="C1082" s="61"/>
      <c r="F1082"/>
      <c r="G1082"/>
      <c r="J1082"/>
      <c r="K1082"/>
      <c r="L1082"/>
      <c r="M1082"/>
      <c r="N1082" s="61"/>
      <c r="O1082"/>
    </row>
    <row r="1083" spans="1:15" x14ac:dyDescent="0.2">
      <c r="A1083"/>
      <c r="B1083" s="61"/>
      <c r="C1083" s="61"/>
      <c r="F1083"/>
      <c r="G1083"/>
      <c r="H1083"/>
      <c r="I1083"/>
      <c r="L1083"/>
      <c r="M1083"/>
      <c r="N1083" s="61"/>
      <c r="O1083"/>
    </row>
    <row r="1084" spans="1:15" x14ac:dyDescent="0.2">
      <c r="A1084"/>
      <c r="B1084" s="61"/>
      <c r="C1084" s="61"/>
      <c r="F1084"/>
      <c r="G1084"/>
      <c r="H1084"/>
      <c r="I1084"/>
      <c r="L1084"/>
      <c r="N1084" s="61"/>
      <c r="O1084"/>
    </row>
    <row r="1085" spans="1:15" x14ac:dyDescent="0.2">
      <c r="A1085"/>
      <c r="B1085" s="61"/>
      <c r="C1085" s="61"/>
      <c r="F1085"/>
      <c r="G1085"/>
      <c r="H1085"/>
      <c r="J1085"/>
      <c r="K1085"/>
      <c r="L1085"/>
      <c r="M1085"/>
      <c r="N1085" s="61"/>
      <c r="O1085"/>
    </row>
    <row r="1086" spans="1:15" x14ac:dyDescent="0.2">
      <c r="A1086"/>
      <c r="B1086" s="61"/>
      <c r="C1086" s="61"/>
      <c r="F1086"/>
      <c r="G1086"/>
      <c r="H1086"/>
      <c r="I1086"/>
      <c r="L1086"/>
      <c r="M1086"/>
      <c r="N1086" s="61"/>
      <c r="O1086"/>
    </row>
    <row r="1087" spans="1:15" x14ac:dyDescent="0.2">
      <c r="A1087"/>
      <c r="B1087" s="61"/>
      <c r="C1087" s="61"/>
      <c r="F1087"/>
      <c r="G1087"/>
      <c r="I1087"/>
      <c r="L1087"/>
      <c r="M1087"/>
      <c r="N1087" s="61"/>
      <c r="O1087"/>
    </row>
    <row r="1088" spans="1:15" x14ac:dyDescent="0.2">
      <c r="A1088"/>
      <c r="B1088" s="61"/>
      <c r="C1088" s="61"/>
      <c r="F1088"/>
      <c r="G1088"/>
      <c r="H1088"/>
      <c r="I1088"/>
      <c r="L1088"/>
      <c r="M1088"/>
      <c r="N1088" s="61"/>
      <c r="O1088"/>
    </row>
    <row r="1089" spans="1:15" x14ac:dyDescent="0.2">
      <c r="A1089"/>
      <c r="B1089" s="61"/>
      <c r="C1089" s="61"/>
      <c r="F1089"/>
      <c r="G1089"/>
      <c r="L1089"/>
      <c r="M1089"/>
      <c r="N1089" s="61"/>
      <c r="O1089"/>
    </row>
    <row r="1090" spans="1:15" x14ac:dyDescent="0.2">
      <c r="A1090"/>
      <c r="B1090" s="61"/>
      <c r="C1090" s="61"/>
      <c r="F1090"/>
      <c r="G1090"/>
      <c r="L1090"/>
      <c r="M1090"/>
      <c r="N1090" s="61"/>
      <c r="O1090"/>
    </row>
    <row r="1091" spans="1:15" x14ac:dyDescent="0.2">
      <c r="A1091"/>
      <c r="B1091" s="61"/>
      <c r="C1091" s="61"/>
      <c r="F1091"/>
      <c r="G1091"/>
      <c r="L1091"/>
      <c r="M1091"/>
      <c r="N1091" s="61"/>
      <c r="O1091"/>
    </row>
    <row r="1092" spans="1:15" x14ac:dyDescent="0.2">
      <c r="A1092"/>
      <c r="B1092" s="61"/>
      <c r="C1092" s="61"/>
      <c r="F1092"/>
      <c r="G1092"/>
      <c r="I1092"/>
      <c r="L1092"/>
      <c r="M1092"/>
      <c r="N1092" s="61"/>
      <c r="O1092"/>
    </row>
    <row r="1093" spans="1:15" x14ac:dyDescent="0.2">
      <c r="A1093"/>
      <c r="B1093" s="61"/>
      <c r="C1093" s="61"/>
      <c r="F1093"/>
      <c r="G1093"/>
      <c r="I1093"/>
      <c r="L1093"/>
      <c r="M1093"/>
      <c r="N1093" s="61"/>
      <c r="O1093"/>
    </row>
    <row r="1094" spans="1:15" x14ac:dyDescent="0.2">
      <c r="A1094"/>
      <c r="B1094" s="61"/>
      <c r="C1094" s="61"/>
      <c r="F1094"/>
      <c r="G1094"/>
      <c r="I1094"/>
      <c r="L1094"/>
      <c r="M1094"/>
      <c r="N1094" s="61"/>
      <c r="O1094"/>
    </row>
    <row r="1095" spans="1:15" x14ac:dyDescent="0.2">
      <c r="A1095"/>
      <c r="B1095" s="61"/>
      <c r="C1095" s="61"/>
      <c r="F1095"/>
      <c r="G1095"/>
      <c r="H1095"/>
      <c r="I1095"/>
      <c r="L1095"/>
      <c r="M1095"/>
      <c r="N1095" s="61"/>
      <c r="O1095"/>
    </row>
    <row r="1096" spans="1:15" x14ac:dyDescent="0.2">
      <c r="A1096"/>
      <c r="B1096" s="61"/>
      <c r="C1096" s="61"/>
      <c r="F1096"/>
      <c r="G1096"/>
      <c r="I1096"/>
      <c r="L1096"/>
      <c r="M1096"/>
      <c r="N1096" s="61"/>
      <c r="O1096"/>
    </row>
    <row r="1097" spans="1:15" x14ac:dyDescent="0.2">
      <c r="A1097"/>
      <c r="B1097" s="61"/>
      <c r="C1097" s="61"/>
      <c r="F1097"/>
      <c r="G1097"/>
      <c r="H1097"/>
      <c r="L1097"/>
      <c r="M1097"/>
      <c r="N1097" s="61"/>
      <c r="O1097"/>
    </row>
    <row r="1098" spans="1:15" x14ac:dyDescent="0.2">
      <c r="A1098"/>
      <c r="B1098" s="61"/>
      <c r="C1098" s="61"/>
      <c r="F1098"/>
      <c r="G1098"/>
      <c r="N1098" s="61"/>
      <c r="O1098"/>
    </row>
    <row r="1099" spans="1:15" x14ac:dyDescent="0.2">
      <c r="A1099"/>
      <c r="B1099" s="61"/>
      <c r="C1099" s="61"/>
      <c r="F1099"/>
      <c r="G1099"/>
      <c r="I1099"/>
      <c r="L1099"/>
      <c r="M1099"/>
      <c r="N1099" s="61"/>
      <c r="O1099"/>
    </row>
    <row r="1100" spans="1:15" x14ac:dyDescent="0.2">
      <c r="A1100"/>
      <c r="B1100" s="61"/>
      <c r="C1100" s="61"/>
      <c r="F1100"/>
      <c r="G1100"/>
      <c r="L1100"/>
      <c r="M1100"/>
      <c r="N1100" s="61"/>
      <c r="O1100"/>
    </row>
    <row r="1101" spans="1:15" x14ac:dyDescent="0.2">
      <c r="A1101"/>
      <c r="B1101" s="61"/>
      <c r="C1101" s="61"/>
      <c r="F1101"/>
      <c r="G1101"/>
      <c r="I1101"/>
      <c r="L1101"/>
      <c r="M1101"/>
      <c r="N1101" s="61"/>
      <c r="O1101"/>
    </row>
    <row r="1102" spans="1:15" x14ac:dyDescent="0.2">
      <c r="A1102"/>
      <c r="B1102" s="61"/>
      <c r="C1102" s="61"/>
      <c r="F1102"/>
      <c r="G1102"/>
      <c r="H1102"/>
      <c r="I1102"/>
      <c r="L1102"/>
      <c r="M1102"/>
      <c r="N1102" s="61"/>
      <c r="O1102"/>
    </row>
    <row r="1103" spans="1:15" x14ac:dyDescent="0.2">
      <c r="A1103"/>
      <c r="B1103" s="61"/>
      <c r="C1103" s="61"/>
      <c r="F1103"/>
      <c r="G1103"/>
      <c r="H1103"/>
      <c r="J1103"/>
      <c r="K1103"/>
      <c r="L1103"/>
      <c r="M1103"/>
      <c r="N1103" s="61"/>
      <c r="O1103"/>
    </row>
    <row r="1104" spans="1:15" x14ac:dyDescent="0.2">
      <c r="A1104"/>
      <c r="B1104" s="61"/>
      <c r="C1104" s="61"/>
      <c r="F1104"/>
      <c r="G1104"/>
      <c r="I1104"/>
      <c r="L1104"/>
      <c r="M1104"/>
      <c r="N1104" s="61"/>
      <c r="O1104"/>
    </row>
    <row r="1105" spans="1:15" x14ac:dyDescent="0.2">
      <c r="A1105"/>
      <c r="B1105" s="61"/>
      <c r="C1105" s="61"/>
      <c r="F1105"/>
      <c r="G1105"/>
      <c r="J1105"/>
      <c r="K1105"/>
      <c r="L1105"/>
      <c r="M1105"/>
      <c r="N1105" s="61"/>
      <c r="O1105"/>
    </row>
    <row r="1106" spans="1:15" x14ac:dyDescent="0.2">
      <c r="A1106"/>
      <c r="B1106" s="61"/>
      <c r="C1106" s="61"/>
      <c r="F1106"/>
      <c r="G1106"/>
      <c r="I1106"/>
      <c r="L1106"/>
      <c r="M1106"/>
      <c r="N1106" s="61"/>
      <c r="O1106"/>
    </row>
    <row r="1107" spans="1:15" x14ac:dyDescent="0.2">
      <c r="A1107"/>
      <c r="B1107" s="61"/>
      <c r="C1107" s="61"/>
      <c r="F1107"/>
      <c r="G1107"/>
      <c r="I1107"/>
      <c r="L1107"/>
      <c r="M1107"/>
      <c r="N1107" s="61"/>
      <c r="O1107"/>
    </row>
    <row r="1108" spans="1:15" x14ac:dyDescent="0.2">
      <c r="A1108"/>
      <c r="B1108" s="61"/>
      <c r="C1108" s="61"/>
      <c r="F1108"/>
      <c r="G1108"/>
      <c r="M1108"/>
      <c r="N1108" s="61"/>
      <c r="O1108"/>
    </row>
    <row r="1109" spans="1:15" x14ac:dyDescent="0.2">
      <c r="A1109"/>
      <c r="B1109" s="61"/>
      <c r="C1109" s="61"/>
      <c r="F1109"/>
      <c r="G1109"/>
      <c r="H1109"/>
      <c r="L1109"/>
      <c r="M1109"/>
      <c r="N1109" s="61"/>
      <c r="O1109"/>
    </row>
    <row r="1110" spans="1:15" x14ac:dyDescent="0.2">
      <c r="A1110"/>
      <c r="B1110" s="61"/>
      <c r="C1110" s="61"/>
      <c r="F1110"/>
      <c r="G1110"/>
      <c r="I1110"/>
      <c r="L1110"/>
      <c r="M1110"/>
      <c r="N1110" s="61"/>
      <c r="O1110"/>
    </row>
    <row r="1111" spans="1:15" x14ac:dyDescent="0.2">
      <c r="A1111"/>
      <c r="B1111" s="61"/>
      <c r="C1111" s="61"/>
      <c r="F1111"/>
      <c r="G1111"/>
      <c r="H1111"/>
      <c r="I1111"/>
      <c r="L1111"/>
      <c r="M1111"/>
      <c r="N1111" s="61"/>
      <c r="O1111"/>
    </row>
    <row r="1112" spans="1:15" x14ac:dyDescent="0.2">
      <c r="A1112"/>
      <c r="B1112" s="61"/>
      <c r="C1112" s="61"/>
      <c r="F1112"/>
      <c r="G1112"/>
      <c r="H1112"/>
      <c r="I1112"/>
      <c r="L1112"/>
      <c r="M1112"/>
      <c r="N1112" s="61"/>
      <c r="O1112"/>
    </row>
    <row r="1113" spans="1:15" x14ac:dyDescent="0.2">
      <c r="A1113"/>
      <c r="B1113" s="61"/>
      <c r="C1113" s="61"/>
      <c r="F1113"/>
      <c r="G1113"/>
      <c r="H1113"/>
      <c r="J1113"/>
      <c r="K1113"/>
      <c r="L1113"/>
      <c r="M1113"/>
      <c r="N1113" s="61"/>
      <c r="O1113"/>
    </row>
    <row r="1114" spans="1:15" x14ac:dyDescent="0.2">
      <c r="A1114"/>
      <c r="B1114" s="61"/>
      <c r="C1114" s="61"/>
      <c r="F1114"/>
      <c r="G1114"/>
      <c r="L1114"/>
      <c r="M1114"/>
      <c r="N1114" s="61"/>
      <c r="O1114"/>
    </row>
    <row r="1115" spans="1:15" x14ac:dyDescent="0.2">
      <c r="A1115"/>
      <c r="B1115" s="61"/>
      <c r="C1115" s="61"/>
      <c r="F1115"/>
      <c r="G1115"/>
      <c r="J1115"/>
      <c r="K1115"/>
      <c r="L1115"/>
      <c r="M1115"/>
      <c r="N1115" s="61"/>
      <c r="O1115"/>
    </row>
    <row r="1116" spans="1:15" x14ac:dyDescent="0.2">
      <c r="A1116"/>
      <c r="B1116" s="61"/>
      <c r="C1116" s="61"/>
      <c r="F1116"/>
      <c r="G1116"/>
      <c r="H1116"/>
      <c r="L1116"/>
      <c r="M1116"/>
      <c r="N1116" s="61"/>
      <c r="O1116"/>
    </row>
    <row r="1117" spans="1:15" x14ac:dyDescent="0.2">
      <c r="A1117"/>
      <c r="B1117" s="61"/>
      <c r="C1117" s="61"/>
      <c r="F1117"/>
      <c r="G1117"/>
      <c r="L1117"/>
      <c r="M1117"/>
      <c r="N1117" s="61"/>
      <c r="O1117"/>
    </row>
    <row r="1118" spans="1:15" x14ac:dyDescent="0.2">
      <c r="A1118"/>
      <c r="B1118" s="61"/>
      <c r="C1118" s="61"/>
      <c r="F1118"/>
      <c r="G1118"/>
      <c r="L1118"/>
      <c r="M1118"/>
      <c r="N1118" s="61"/>
      <c r="O1118"/>
    </row>
    <row r="1119" spans="1:15" x14ac:dyDescent="0.2">
      <c r="A1119"/>
      <c r="B1119" s="61"/>
      <c r="C1119" s="61"/>
      <c r="F1119"/>
      <c r="G1119"/>
      <c r="H1119"/>
      <c r="L1119"/>
      <c r="M1119"/>
      <c r="N1119" s="61"/>
      <c r="O1119"/>
    </row>
    <row r="1120" spans="1:15" x14ac:dyDescent="0.2">
      <c r="A1120"/>
      <c r="B1120" s="61"/>
      <c r="C1120" s="61"/>
      <c r="F1120"/>
      <c r="G1120"/>
      <c r="H1120"/>
      <c r="I1120"/>
      <c r="L1120"/>
      <c r="M1120"/>
      <c r="N1120" s="61"/>
      <c r="O1120"/>
    </row>
    <row r="1121" spans="1:15" x14ac:dyDescent="0.2">
      <c r="A1121"/>
      <c r="B1121" s="61"/>
      <c r="C1121" s="61"/>
      <c r="F1121"/>
      <c r="G1121"/>
      <c r="L1121"/>
      <c r="M1121"/>
      <c r="N1121" s="61"/>
      <c r="O1121"/>
    </row>
    <row r="1122" spans="1:15" x14ac:dyDescent="0.2">
      <c r="A1122"/>
      <c r="B1122" s="61"/>
      <c r="C1122" s="61"/>
      <c r="F1122"/>
      <c r="G1122"/>
      <c r="L1122"/>
      <c r="M1122"/>
      <c r="N1122" s="61"/>
      <c r="O1122"/>
    </row>
    <row r="1123" spans="1:15" x14ac:dyDescent="0.2">
      <c r="A1123"/>
      <c r="B1123" s="61"/>
      <c r="C1123" s="61"/>
      <c r="F1123"/>
      <c r="G1123"/>
      <c r="H1123"/>
      <c r="I1123"/>
      <c r="L1123"/>
      <c r="M1123"/>
      <c r="N1123" s="61"/>
      <c r="O1123"/>
    </row>
    <row r="1124" spans="1:15" x14ac:dyDescent="0.2">
      <c r="A1124"/>
      <c r="B1124" s="61"/>
      <c r="C1124" s="61"/>
      <c r="F1124"/>
      <c r="G1124"/>
      <c r="J1124"/>
      <c r="K1124"/>
      <c r="L1124"/>
      <c r="M1124"/>
      <c r="N1124" s="61"/>
      <c r="O1124"/>
    </row>
    <row r="1125" spans="1:15" x14ac:dyDescent="0.2">
      <c r="A1125"/>
      <c r="B1125" s="61"/>
      <c r="C1125" s="61"/>
      <c r="F1125"/>
      <c r="G1125"/>
      <c r="I1125"/>
      <c r="L1125"/>
      <c r="M1125"/>
      <c r="N1125" s="61"/>
      <c r="O1125"/>
    </row>
    <row r="1126" spans="1:15" x14ac:dyDescent="0.2">
      <c r="A1126"/>
      <c r="B1126" s="61"/>
      <c r="C1126" s="61"/>
      <c r="F1126"/>
      <c r="G1126"/>
      <c r="H1126"/>
      <c r="I1126"/>
      <c r="L1126"/>
      <c r="M1126"/>
      <c r="N1126" s="61"/>
      <c r="O1126"/>
    </row>
    <row r="1127" spans="1:15" x14ac:dyDescent="0.2">
      <c r="A1127"/>
      <c r="B1127" s="61"/>
      <c r="C1127" s="61"/>
      <c r="F1127"/>
      <c r="G1127"/>
      <c r="H1127"/>
      <c r="J1127"/>
      <c r="L1127"/>
      <c r="M1127"/>
      <c r="N1127" s="61"/>
      <c r="O1127"/>
    </row>
    <row r="1128" spans="1:15" x14ac:dyDescent="0.2">
      <c r="A1128"/>
      <c r="B1128" s="61"/>
      <c r="C1128" s="61"/>
      <c r="F1128"/>
      <c r="G1128"/>
      <c r="H1128"/>
      <c r="I1128"/>
      <c r="L1128"/>
      <c r="M1128"/>
      <c r="N1128" s="61"/>
      <c r="O1128"/>
    </row>
    <row r="1129" spans="1:15" x14ac:dyDescent="0.2">
      <c r="A1129"/>
      <c r="B1129" s="61"/>
      <c r="C1129" s="61"/>
      <c r="F1129"/>
      <c r="G1129"/>
      <c r="H1129"/>
      <c r="I1129"/>
      <c r="L1129"/>
      <c r="M1129"/>
      <c r="N1129" s="61"/>
      <c r="O1129"/>
    </row>
    <row r="1130" spans="1:15" x14ac:dyDescent="0.2">
      <c r="A1130"/>
      <c r="B1130" s="61"/>
      <c r="C1130" s="61"/>
      <c r="F1130"/>
      <c r="G1130"/>
      <c r="L1130"/>
      <c r="M1130"/>
      <c r="N1130" s="61"/>
      <c r="O1130"/>
    </row>
    <row r="1131" spans="1:15" x14ac:dyDescent="0.2">
      <c r="A1131"/>
      <c r="B1131" s="61"/>
      <c r="C1131" s="61"/>
      <c r="F1131"/>
      <c r="G1131"/>
      <c r="H1131"/>
      <c r="I1131"/>
      <c r="L1131"/>
      <c r="M1131"/>
      <c r="N1131" s="61"/>
      <c r="O1131"/>
    </row>
    <row r="1132" spans="1:15" x14ac:dyDescent="0.2">
      <c r="A1132"/>
      <c r="B1132" s="61"/>
      <c r="C1132" s="61"/>
      <c r="F1132"/>
      <c r="G1132"/>
      <c r="H1132"/>
      <c r="I1132"/>
      <c r="L1132"/>
      <c r="M1132"/>
      <c r="N1132" s="61"/>
      <c r="O1132"/>
    </row>
    <row r="1133" spans="1:15" x14ac:dyDescent="0.2">
      <c r="A1133"/>
      <c r="B1133" s="61"/>
      <c r="C1133" s="61"/>
      <c r="F1133"/>
      <c r="G1133"/>
      <c r="I1133"/>
      <c r="L1133"/>
      <c r="M1133"/>
      <c r="N1133" s="61"/>
      <c r="O1133"/>
    </row>
    <row r="1134" spans="1:15" x14ac:dyDescent="0.2">
      <c r="A1134"/>
      <c r="B1134" s="61"/>
      <c r="C1134" s="61"/>
      <c r="F1134"/>
      <c r="G1134"/>
      <c r="H1134"/>
      <c r="I1134"/>
      <c r="L1134"/>
      <c r="N1134" s="61"/>
      <c r="O1134"/>
    </row>
    <row r="1135" spans="1:15" x14ac:dyDescent="0.2">
      <c r="A1135"/>
      <c r="B1135" s="61"/>
      <c r="C1135" s="61"/>
      <c r="F1135"/>
      <c r="G1135"/>
      <c r="I1135"/>
      <c r="L1135"/>
      <c r="M1135"/>
      <c r="N1135" s="61"/>
      <c r="O1135"/>
    </row>
    <row r="1136" spans="1:15" x14ac:dyDescent="0.2">
      <c r="A1136"/>
      <c r="B1136" s="61"/>
      <c r="C1136" s="61"/>
      <c r="F1136"/>
      <c r="G1136"/>
      <c r="I1136"/>
      <c r="L1136"/>
      <c r="M1136"/>
      <c r="N1136" s="61"/>
      <c r="O1136"/>
    </row>
    <row r="1137" spans="1:15" x14ac:dyDescent="0.2">
      <c r="A1137"/>
      <c r="B1137" s="61"/>
      <c r="C1137" s="61"/>
      <c r="F1137"/>
      <c r="G1137"/>
      <c r="J1137"/>
      <c r="K1137"/>
      <c r="L1137"/>
      <c r="M1137"/>
      <c r="N1137" s="61"/>
      <c r="O1137"/>
    </row>
    <row r="1138" spans="1:15" x14ac:dyDescent="0.2">
      <c r="A1138"/>
      <c r="B1138" s="61"/>
      <c r="C1138" s="61"/>
      <c r="F1138"/>
      <c r="G1138"/>
      <c r="I1138"/>
      <c r="L1138"/>
      <c r="M1138"/>
      <c r="N1138" s="61"/>
      <c r="O1138"/>
    </row>
    <row r="1139" spans="1:15" x14ac:dyDescent="0.2">
      <c r="A1139"/>
      <c r="B1139" s="61"/>
      <c r="C1139" s="61"/>
      <c r="F1139"/>
      <c r="G1139"/>
      <c r="I1139"/>
      <c r="L1139"/>
      <c r="M1139"/>
      <c r="N1139" s="61"/>
      <c r="O1139"/>
    </row>
    <row r="1140" spans="1:15" x14ac:dyDescent="0.2">
      <c r="A1140"/>
      <c r="B1140" s="61"/>
      <c r="C1140" s="61"/>
      <c r="F1140"/>
      <c r="G1140"/>
      <c r="H1140"/>
      <c r="I1140"/>
      <c r="L1140"/>
      <c r="M1140"/>
      <c r="N1140" s="61"/>
      <c r="O1140"/>
    </row>
    <row r="1141" spans="1:15" x14ac:dyDescent="0.2">
      <c r="A1141"/>
      <c r="B1141" s="61"/>
      <c r="C1141" s="61"/>
      <c r="F1141"/>
      <c r="G1141"/>
      <c r="H1141"/>
      <c r="I1141"/>
      <c r="L1141"/>
      <c r="M1141"/>
      <c r="N1141" s="61"/>
      <c r="O1141"/>
    </row>
    <row r="1142" spans="1:15" x14ac:dyDescent="0.2">
      <c r="A1142"/>
      <c r="B1142" s="61"/>
      <c r="C1142" s="61"/>
      <c r="F1142"/>
      <c r="G1142"/>
      <c r="H1142"/>
      <c r="I1142"/>
      <c r="L1142"/>
      <c r="M1142"/>
      <c r="N1142" s="61"/>
      <c r="O1142"/>
    </row>
    <row r="1143" spans="1:15" x14ac:dyDescent="0.2">
      <c r="A1143"/>
      <c r="B1143" s="61"/>
      <c r="C1143" s="61"/>
      <c r="F1143"/>
      <c r="G1143"/>
      <c r="H1143"/>
      <c r="I1143"/>
      <c r="L1143"/>
      <c r="M1143"/>
      <c r="N1143" s="61"/>
      <c r="O1143"/>
    </row>
    <row r="1144" spans="1:15" x14ac:dyDescent="0.2">
      <c r="A1144"/>
      <c r="B1144" s="61"/>
      <c r="C1144" s="61"/>
      <c r="F1144"/>
      <c r="G1144"/>
      <c r="I1144"/>
      <c r="L1144"/>
      <c r="M1144"/>
      <c r="N1144" s="61"/>
      <c r="O1144"/>
    </row>
    <row r="1145" spans="1:15" x14ac:dyDescent="0.2">
      <c r="A1145"/>
      <c r="B1145" s="61"/>
      <c r="C1145" s="61"/>
      <c r="F1145"/>
      <c r="G1145"/>
      <c r="H1145"/>
      <c r="I1145"/>
      <c r="L1145"/>
      <c r="M1145"/>
      <c r="N1145" s="61"/>
      <c r="O1145"/>
    </row>
    <row r="1146" spans="1:15" x14ac:dyDescent="0.2">
      <c r="A1146"/>
      <c r="B1146" s="61"/>
      <c r="C1146" s="61"/>
      <c r="F1146"/>
      <c r="G1146"/>
      <c r="H1146"/>
      <c r="I1146"/>
      <c r="L1146"/>
      <c r="N1146" s="61"/>
      <c r="O1146"/>
    </row>
    <row r="1147" spans="1:15" x14ac:dyDescent="0.2">
      <c r="A1147"/>
      <c r="B1147" s="61"/>
      <c r="C1147" s="61"/>
      <c r="F1147"/>
      <c r="G1147"/>
      <c r="I1147"/>
      <c r="L1147"/>
      <c r="M1147"/>
      <c r="N1147" s="61"/>
      <c r="O1147"/>
    </row>
    <row r="1148" spans="1:15" x14ac:dyDescent="0.2">
      <c r="A1148"/>
      <c r="B1148" s="61"/>
      <c r="C1148" s="61"/>
      <c r="F1148"/>
      <c r="G1148"/>
      <c r="H1148"/>
      <c r="I1148"/>
      <c r="L1148"/>
      <c r="M1148"/>
      <c r="N1148" s="61"/>
      <c r="O1148"/>
    </row>
    <row r="1149" spans="1:15" x14ac:dyDescent="0.2">
      <c r="A1149"/>
      <c r="B1149" s="61"/>
      <c r="C1149" s="61"/>
      <c r="F1149"/>
      <c r="G1149"/>
      <c r="L1149"/>
      <c r="M1149"/>
      <c r="N1149" s="61"/>
      <c r="O1149"/>
    </row>
    <row r="1150" spans="1:15" x14ac:dyDescent="0.2">
      <c r="A1150"/>
      <c r="B1150" s="61"/>
      <c r="C1150" s="61"/>
      <c r="F1150"/>
      <c r="G1150"/>
      <c r="H1150"/>
      <c r="L1150"/>
      <c r="M1150"/>
      <c r="N1150" s="61"/>
      <c r="O1150"/>
    </row>
    <row r="1151" spans="1:15" x14ac:dyDescent="0.2">
      <c r="A1151"/>
      <c r="B1151" s="61"/>
      <c r="C1151" s="61"/>
      <c r="F1151"/>
      <c r="G1151"/>
      <c r="H1151"/>
      <c r="I1151"/>
      <c r="L1151"/>
      <c r="M1151"/>
      <c r="N1151" s="61"/>
      <c r="O1151"/>
    </row>
    <row r="1152" spans="1:15" x14ac:dyDescent="0.2">
      <c r="A1152"/>
      <c r="B1152" s="61"/>
      <c r="C1152" s="61"/>
      <c r="F1152"/>
      <c r="G1152"/>
      <c r="H1152"/>
      <c r="J1152"/>
      <c r="K1152"/>
      <c r="L1152"/>
      <c r="M1152"/>
      <c r="N1152" s="61"/>
      <c r="O1152"/>
    </row>
    <row r="1153" spans="1:15" x14ac:dyDescent="0.2">
      <c r="A1153"/>
      <c r="B1153" s="61"/>
      <c r="C1153" s="61"/>
      <c r="F1153"/>
      <c r="G1153"/>
      <c r="H1153"/>
      <c r="I1153"/>
      <c r="L1153"/>
      <c r="M1153"/>
      <c r="N1153" s="61"/>
      <c r="O1153"/>
    </row>
    <row r="1154" spans="1:15" x14ac:dyDescent="0.2">
      <c r="A1154"/>
      <c r="B1154" s="61"/>
      <c r="C1154" s="61"/>
      <c r="F1154"/>
      <c r="G1154"/>
      <c r="L1154"/>
      <c r="M1154"/>
      <c r="N1154" s="61"/>
      <c r="O1154"/>
    </row>
    <row r="1155" spans="1:15" x14ac:dyDescent="0.2">
      <c r="A1155"/>
      <c r="B1155" s="61"/>
      <c r="C1155" s="61"/>
      <c r="F1155"/>
      <c r="G1155"/>
      <c r="H1155"/>
      <c r="I1155"/>
      <c r="L1155"/>
      <c r="M1155"/>
      <c r="N1155" s="61"/>
      <c r="O1155"/>
    </row>
    <row r="1156" spans="1:15" x14ac:dyDescent="0.2">
      <c r="A1156"/>
      <c r="B1156" s="61"/>
      <c r="C1156" s="61"/>
      <c r="F1156"/>
      <c r="G1156"/>
      <c r="M1156"/>
      <c r="N1156" s="61"/>
      <c r="O1156"/>
    </row>
    <row r="1157" spans="1:15" x14ac:dyDescent="0.2">
      <c r="A1157"/>
      <c r="B1157" s="61"/>
      <c r="C1157" s="61"/>
      <c r="F1157"/>
      <c r="G1157"/>
      <c r="H1157"/>
      <c r="L1157"/>
      <c r="M1157"/>
      <c r="N1157" s="61"/>
      <c r="O1157"/>
    </row>
    <row r="1158" spans="1:15" x14ac:dyDescent="0.2">
      <c r="A1158"/>
      <c r="B1158" s="61"/>
      <c r="C1158" s="61"/>
      <c r="F1158"/>
      <c r="G1158"/>
      <c r="H1158"/>
      <c r="I1158"/>
      <c r="L1158"/>
      <c r="M1158"/>
      <c r="N1158" s="61"/>
      <c r="O1158"/>
    </row>
    <row r="1159" spans="1:15" x14ac:dyDescent="0.2">
      <c r="A1159"/>
      <c r="B1159" s="61"/>
      <c r="C1159" s="61"/>
      <c r="F1159"/>
      <c r="G1159"/>
      <c r="L1159"/>
      <c r="M1159"/>
      <c r="N1159" s="61"/>
      <c r="O1159"/>
    </row>
    <row r="1160" spans="1:15" x14ac:dyDescent="0.2">
      <c r="A1160"/>
      <c r="B1160" s="61"/>
      <c r="C1160" s="61"/>
      <c r="F1160"/>
      <c r="G1160"/>
      <c r="I1160"/>
      <c r="L1160"/>
      <c r="M1160"/>
      <c r="N1160" s="61"/>
      <c r="O1160"/>
    </row>
    <row r="1161" spans="1:15" x14ac:dyDescent="0.2">
      <c r="A1161"/>
      <c r="B1161" s="61"/>
      <c r="C1161" s="61"/>
      <c r="F1161"/>
      <c r="G1161"/>
      <c r="H1161"/>
      <c r="J1161"/>
      <c r="K1161"/>
      <c r="L1161"/>
      <c r="M1161"/>
      <c r="N1161" s="61"/>
      <c r="O1161"/>
    </row>
    <row r="1162" spans="1:15" x14ac:dyDescent="0.2">
      <c r="A1162"/>
      <c r="B1162" s="61"/>
      <c r="C1162" s="61"/>
      <c r="F1162"/>
      <c r="G1162"/>
      <c r="L1162"/>
      <c r="M1162"/>
      <c r="N1162" s="61"/>
      <c r="O1162"/>
    </row>
    <row r="1163" spans="1:15" x14ac:dyDescent="0.2">
      <c r="A1163"/>
      <c r="B1163" s="61"/>
      <c r="C1163" s="61"/>
      <c r="F1163"/>
      <c r="G1163"/>
      <c r="H1163"/>
      <c r="J1163"/>
      <c r="K1163"/>
      <c r="L1163"/>
      <c r="M1163"/>
      <c r="N1163" s="61"/>
      <c r="O1163"/>
    </row>
    <row r="1164" spans="1:15" x14ac:dyDescent="0.2">
      <c r="A1164"/>
      <c r="B1164" s="61"/>
      <c r="C1164" s="61"/>
      <c r="F1164"/>
      <c r="G1164"/>
      <c r="H1164"/>
      <c r="J1164"/>
      <c r="K1164"/>
      <c r="L1164"/>
      <c r="M1164"/>
      <c r="N1164" s="61"/>
      <c r="O1164"/>
    </row>
    <row r="1165" spans="1:15" x14ac:dyDescent="0.2">
      <c r="A1165"/>
      <c r="B1165" s="61"/>
      <c r="C1165" s="61"/>
      <c r="F1165"/>
      <c r="G1165"/>
      <c r="H1165"/>
      <c r="L1165"/>
      <c r="M1165"/>
      <c r="N1165" s="61"/>
      <c r="O1165"/>
    </row>
    <row r="1166" spans="1:15" x14ac:dyDescent="0.2">
      <c r="A1166"/>
      <c r="B1166" s="61"/>
      <c r="C1166" s="61"/>
      <c r="F1166"/>
      <c r="G1166"/>
      <c r="H1166"/>
      <c r="J1166"/>
      <c r="K1166"/>
      <c r="L1166"/>
      <c r="M1166"/>
      <c r="N1166" s="61"/>
      <c r="O1166"/>
    </row>
    <row r="1167" spans="1:15" x14ac:dyDescent="0.2">
      <c r="A1167"/>
      <c r="B1167" s="61"/>
      <c r="C1167" s="61"/>
      <c r="F1167"/>
      <c r="G1167"/>
      <c r="H1167"/>
      <c r="I1167"/>
      <c r="L1167"/>
      <c r="M1167"/>
      <c r="N1167" s="61"/>
      <c r="O1167"/>
    </row>
    <row r="1168" spans="1:15" x14ac:dyDescent="0.2">
      <c r="A1168"/>
      <c r="B1168" s="61"/>
      <c r="C1168" s="61"/>
      <c r="F1168"/>
      <c r="G1168"/>
      <c r="H1168"/>
      <c r="I1168"/>
      <c r="L1168"/>
      <c r="M1168"/>
      <c r="N1168" s="61"/>
      <c r="O1168"/>
    </row>
    <row r="1169" spans="1:15" x14ac:dyDescent="0.2">
      <c r="A1169"/>
      <c r="B1169" s="61"/>
      <c r="C1169" s="61"/>
      <c r="F1169"/>
      <c r="G1169"/>
      <c r="H1169"/>
      <c r="I1169"/>
      <c r="L1169"/>
      <c r="M1169"/>
      <c r="N1169" s="61"/>
      <c r="O1169"/>
    </row>
    <row r="1170" spans="1:15" x14ac:dyDescent="0.2">
      <c r="A1170"/>
      <c r="B1170" s="61"/>
      <c r="C1170" s="61"/>
      <c r="F1170"/>
      <c r="G1170"/>
      <c r="H1170"/>
      <c r="I1170"/>
      <c r="L1170"/>
      <c r="M1170"/>
      <c r="N1170" s="61"/>
      <c r="O1170"/>
    </row>
    <row r="1171" spans="1:15" x14ac:dyDescent="0.2">
      <c r="A1171"/>
      <c r="B1171" s="61"/>
      <c r="C1171" s="61"/>
      <c r="F1171"/>
      <c r="G1171"/>
      <c r="H1171"/>
      <c r="I1171"/>
      <c r="L1171"/>
      <c r="M1171"/>
      <c r="N1171" s="61"/>
      <c r="O1171"/>
    </row>
    <row r="1172" spans="1:15" x14ac:dyDescent="0.2">
      <c r="A1172"/>
      <c r="B1172" s="61"/>
      <c r="C1172" s="61"/>
      <c r="F1172"/>
      <c r="G1172"/>
      <c r="J1172"/>
      <c r="K1172"/>
      <c r="L1172"/>
      <c r="M1172"/>
      <c r="N1172" s="61"/>
      <c r="O1172"/>
    </row>
    <row r="1173" spans="1:15" x14ac:dyDescent="0.2">
      <c r="A1173"/>
      <c r="B1173" s="61"/>
      <c r="C1173" s="61"/>
      <c r="F1173"/>
      <c r="G1173"/>
      <c r="H1173"/>
      <c r="I1173"/>
      <c r="L1173"/>
      <c r="M1173"/>
      <c r="N1173" s="61"/>
      <c r="O1173"/>
    </row>
    <row r="1174" spans="1:15" x14ac:dyDescent="0.2">
      <c r="A1174"/>
      <c r="B1174" s="61"/>
      <c r="C1174" s="61"/>
      <c r="F1174"/>
      <c r="G1174"/>
      <c r="I1174"/>
      <c r="L1174"/>
      <c r="M1174"/>
      <c r="N1174" s="61"/>
      <c r="O1174"/>
    </row>
    <row r="1175" spans="1:15" x14ac:dyDescent="0.2">
      <c r="A1175"/>
      <c r="B1175" s="61"/>
      <c r="C1175" s="61"/>
      <c r="F1175"/>
      <c r="G1175"/>
      <c r="H1175"/>
      <c r="I1175"/>
      <c r="L1175"/>
      <c r="M1175"/>
      <c r="N1175" s="61"/>
      <c r="O1175"/>
    </row>
    <row r="1176" spans="1:15" x14ac:dyDescent="0.2">
      <c r="A1176"/>
      <c r="B1176" s="61"/>
      <c r="C1176" s="61"/>
      <c r="F1176"/>
      <c r="G1176"/>
      <c r="H1176"/>
      <c r="I1176"/>
      <c r="L1176"/>
      <c r="M1176"/>
      <c r="N1176" s="61"/>
      <c r="O1176"/>
    </row>
    <row r="1177" spans="1:15" x14ac:dyDescent="0.2">
      <c r="A1177"/>
      <c r="B1177" s="61"/>
      <c r="C1177" s="61"/>
      <c r="F1177"/>
      <c r="G1177"/>
      <c r="H1177"/>
      <c r="I1177"/>
      <c r="L1177"/>
      <c r="M1177"/>
      <c r="N1177" s="61"/>
      <c r="O1177"/>
    </row>
    <row r="1178" spans="1:15" x14ac:dyDescent="0.2">
      <c r="A1178"/>
      <c r="B1178" s="61"/>
      <c r="C1178" s="61"/>
      <c r="F1178"/>
      <c r="G1178"/>
      <c r="J1178"/>
      <c r="K1178"/>
      <c r="L1178"/>
      <c r="M1178"/>
      <c r="N1178" s="61"/>
      <c r="O1178"/>
    </row>
    <row r="1179" spans="1:15" x14ac:dyDescent="0.2">
      <c r="A1179"/>
      <c r="B1179" s="61"/>
      <c r="C1179" s="61"/>
      <c r="F1179"/>
      <c r="G1179"/>
      <c r="H1179"/>
      <c r="I1179"/>
      <c r="L1179"/>
      <c r="N1179" s="61"/>
      <c r="O1179"/>
    </row>
    <row r="1180" spans="1:15" x14ac:dyDescent="0.2">
      <c r="A1180"/>
      <c r="B1180" s="61"/>
      <c r="C1180" s="61"/>
      <c r="F1180"/>
      <c r="G1180"/>
      <c r="J1180"/>
      <c r="K1180"/>
      <c r="L1180"/>
      <c r="M1180"/>
      <c r="N1180" s="61"/>
      <c r="O1180"/>
    </row>
    <row r="1181" spans="1:15" x14ac:dyDescent="0.2">
      <c r="A1181"/>
      <c r="B1181" s="61"/>
      <c r="C1181" s="61"/>
      <c r="F1181"/>
      <c r="G1181"/>
      <c r="H1181"/>
      <c r="I1181"/>
      <c r="L1181"/>
      <c r="M1181"/>
      <c r="N1181" s="61"/>
      <c r="O1181"/>
    </row>
    <row r="1182" spans="1:15" x14ac:dyDescent="0.2">
      <c r="A1182"/>
      <c r="B1182" s="61"/>
      <c r="C1182" s="61"/>
      <c r="F1182"/>
      <c r="G1182"/>
      <c r="I1182"/>
      <c r="L1182"/>
      <c r="M1182"/>
      <c r="N1182" s="61"/>
      <c r="O1182"/>
    </row>
    <row r="1183" spans="1:15" x14ac:dyDescent="0.2">
      <c r="A1183"/>
      <c r="B1183" s="61"/>
      <c r="C1183" s="61"/>
      <c r="F1183"/>
      <c r="G1183"/>
      <c r="J1183"/>
      <c r="K1183"/>
      <c r="L1183"/>
      <c r="M1183"/>
      <c r="N1183" s="61"/>
      <c r="O1183"/>
    </row>
    <row r="1184" spans="1:15" x14ac:dyDescent="0.2">
      <c r="A1184"/>
      <c r="B1184" s="61"/>
      <c r="C1184" s="61"/>
      <c r="F1184"/>
      <c r="G1184"/>
      <c r="L1184"/>
      <c r="M1184"/>
      <c r="N1184" s="61"/>
      <c r="O1184"/>
    </row>
    <row r="1185" spans="1:15" x14ac:dyDescent="0.2">
      <c r="A1185"/>
      <c r="B1185" s="61"/>
      <c r="C1185" s="61"/>
      <c r="F1185"/>
      <c r="G1185"/>
      <c r="H1185"/>
      <c r="I1185"/>
      <c r="L1185"/>
      <c r="M1185"/>
      <c r="N1185" s="61"/>
      <c r="O1185"/>
    </row>
    <row r="1186" spans="1:15" x14ac:dyDescent="0.2">
      <c r="A1186"/>
      <c r="B1186" s="61"/>
      <c r="C1186" s="61"/>
      <c r="F1186"/>
      <c r="G1186"/>
      <c r="I1186"/>
      <c r="L1186"/>
      <c r="M1186"/>
      <c r="N1186" s="61"/>
      <c r="O1186"/>
    </row>
    <row r="1187" spans="1:15" x14ac:dyDescent="0.2">
      <c r="A1187"/>
      <c r="B1187" s="61"/>
      <c r="C1187" s="61"/>
      <c r="F1187"/>
      <c r="G1187"/>
      <c r="I1187"/>
      <c r="L1187"/>
      <c r="M1187"/>
      <c r="N1187" s="61"/>
      <c r="O1187"/>
    </row>
    <row r="1188" spans="1:15" x14ac:dyDescent="0.2">
      <c r="A1188"/>
      <c r="B1188" s="61"/>
      <c r="C1188" s="61"/>
      <c r="F1188"/>
      <c r="G1188"/>
      <c r="H1188"/>
      <c r="L1188"/>
      <c r="M1188"/>
      <c r="N1188" s="61"/>
      <c r="O1188"/>
    </row>
    <row r="1189" spans="1:15" x14ac:dyDescent="0.2">
      <c r="A1189"/>
      <c r="B1189" s="61"/>
      <c r="C1189" s="61"/>
      <c r="F1189"/>
      <c r="G1189"/>
      <c r="H1189"/>
      <c r="I1189"/>
      <c r="L1189"/>
      <c r="M1189"/>
      <c r="N1189" s="61"/>
      <c r="O1189"/>
    </row>
    <row r="1190" spans="1:15" x14ac:dyDescent="0.2">
      <c r="A1190"/>
      <c r="B1190" s="61"/>
      <c r="C1190" s="61"/>
      <c r="F1190"/>
      <c r="G1190"/>
      <c r="I1190"/>
      <c r="L1190"/>
      <c r="M1190"/>
      <c r="N1190" s="61"/>
      <c r="O1190"/>
    </row>
    <row r="1191" spans="1:15" x14ac:dyDescent="0.2">
      <c r="A1191"/>
      <c r="B1191" s="61"/>
      <c r="C1191" s="61"/>
      <c r="F1191"/>
      <c r="G1191"/>
      <c r="H1191"/>
      <c r="J1191"/>
      <c r="K1191"/>
      <c r="L1191"/>
      <c r="M1191"/>
      <c r="N1191" s="61"/>
      <c r="O1191"/>
    </row>
    <row r="1192" spans="1:15" x14ac:dyDescent="0.2">
      <c r="A1192"/>
      <c r="B1192" s="61"/>
      <c r="C1192" s="61"/>
      <c r="F1192"/>
      <c r="G1192"/>
      <c r="H1192"/>
      <c r="I1192"/>
      <c r="L1192"/>
      <c r="M1192"/>
      <c r="N1192" s="61"/>
      <c r="O1192"/>
    </row>
    <row r="1193" spans="1:15" x14ac:dyDescent="0.2">
      <c r="A1193"/>
      <c r="B1193" s="61"/>
      <c r="C1193" s="61"/>
      <c r="F1193"/>
      <c r="G1193"/>
      <c r="H1193"/>
      <c r="I1193"/>
      <c r="L1193"/>
      <c r="M1193"/>
      <c r="N1193" s="61"/>
      <c r="O1193"/>
    </row>
    <row r="1194" spans="1:15" x14ac:dyDescent="0.2">
      <c r="A1194"/>
      <c r="B1194" s="61"/>
      <c r="C1194" s="61"/>
      <c r="F1194"/>
      <c r="G1194"/>
      <c r="L1194"/>
      <c r="M1194"/>
      <c r="N1194" s="61"/>
      <c r="O1194"/>
    </row>
    <row r="1195" spans="1:15" x14ac:dyDescent="0.2">
      <c r="A1195"/>
      <c r="B1195" s="61"/>
      <c r="C1195" s="61"/>
      <c r="F1195"/>
      <c r="G1195"/>
      <c r="H1195"/>
      <c r="I1195"/>
      <c r="L1195"/>
      <c r="M1195"/>
      <c r="N1195" s="61"/>
      <c r="O1195"/>
    </row>
    <row r="1196" spans="1:15" x14ac:dyDescent="0.2">
      <c r="A1196"/>
      <c r="B1196" s="61"/>
      <c r="C1196" s="61"/>
      <c r="F1196"/>
      <c r="G1196"/>
      <c r="H1196"/>
      <c r="I1196"/>
      <c r="L1196"/>
      <c r="M1196"/>
      <c r="N1196" s="61"/>
      <c r="O1196"/>
    </row>
    <row r="1197" spans="1:15" x14ac:dyDescent="0.2">
      <c r="A1197"/>
      <c r="B1197" s="61"/>
      <c r="C1197" s="61"/>
      <c r="F1197"/>
      <c r="G1197"/>
      <c r="H1197"/>
      <c r="I1197"/>
      <c r="L1197"/>
      <c r="M1197"/>
      <c r="N1197" s="61"/>
      <c r="O1197"/>
    </row>
    <row r="1198" spans="1:15" x14ac:dyDescent="0.2">
      <c r="A1198"/>
      <c r="B1198" s="61"/>
      <c r="C1198" s="61"/>
      <c r="F1198"/>
      <c r="G1198"/>
      <c r="I1198"/>
      <c r="L1198"/>
      <c r="M1198"/>
      <c r="N1198" s="61"/>
      <c r="O1198"/>
    </row>
    <row r="1199" spans="1:15" x14ac:dyDescent="0.2">
      <c r="A1199"/>
      <c r="B1199" s="61"/>
      <c r="C1199" s="61"/>
      <c r="F1199"/>
      <c r="G1199"/>
      <c r="H1199"/>
      <c r="I1199"/>
      <c r="L1199"/>
      <c r="M1199"/>
      <c r="N1199" s="61"/>
      <c r="O1199"/>
    </row>
    <row r="1200" spans="1:15" x14ac:dyDescent="0.2">
      <c r="A1200"/>
      <c r="B1200" s="61"/>
      <c r="C1200" s="61"/>
      <c r="F1200"/>
      <c r="G1200"/>
      <c r="I1200"/>
      <c r="L1200"/>
      <c r="M1200"/>
      <c r="N1200" s="61"/>
      <c r="O1200"/>
    </row>
    <row r="1201" spans="1:15" x14ac:dyDescent="0.2">
      <c r="A1201"/>
      <c r="B1201" s="61"/>
      <c r="C1201" s="61"/>
      <c r="F1201"/>
      <c r="G1201"/>
      <c r="L1201"/>
      <c r="M1201"/>
      <c r="N1201" s="61"/>
      <c r="O1201"/>
    </row>
    <row r="1202" spans="1:15" x14ac:dyDescent="0.2">
      <c r="A1202"/>
      <c r="B1202" s="61"/>
      <c r="C1202" s="61"/>
      <c r="F1202"/>
      <c r="G1202"/>
      <c r="I1202"/>
      <c r="L1202"/>
      <c r="M1202"/>
      <c r="N1202" s="61"/>
      <c r="O1202"/>
    </row>
    <row r="1203" spans="1:15" x14ac:dyDescent="0.2">
      <c r="A1203"/>
      <c r="B1203" s="61"/>
      <c r="C1203" s="61"/>
      <c r="F1203"/>
      <c r="G1203"/>
      <c r="H1203"/>
      <c r="I1203"/>
      <c r="L1203"/>
      <c r="M1203"/>
      <c r="N1203" s="61"/>
      <c r="O1203"/>
    </row>
    <row r="1204" spans="1:15" x14ac:dyDescent="0.2">
      <c r="A1204"/>
      <c r="B1204" s="61"/>
      <c r="C1204" s="61"/>
      <c r="F1204"/>
      <c r="G1204"/>
      <c r="H1204"/>
      <c r="I1204"/>
      <c r="L1204"/>
      <c r="M1204"/>
      <c r="N1204" s="61"/>
      <c r="O1204"/>
    </row>
    <row r="1205" spans="1:15" x14ac:dyDescent="0.2">
      <c r="A1205"/>
      <c r="B1205" s="61"/>
      <c r="C1205" s="61"/>
      <c r="F1205"/>
      <c r="G1205"/>
      <c r="H1205"/>
      <c r="L1205"/>
      <c r="M1205"/>
      <c r="N1205" s="61"/>
      <c r="O1205"/>
    </row>
    <row r="1206" spans="1:15" x14ac:dyDescent="0.2">
      <c r="A1206"/>
      <c r="B1206" s="61"/>
      <c r="C1206" s="61"/>
      <c r="F1206"/>
      <c r="G1206"/>
      <c r="H1206"/>
      <c r="M1206"/>
      <c r="N1206" s="61"/>
      <c r="O1206"/>
    </row>
    <row r="1207" spans="1:15" x14ac:dyDescent="0.2">
      <c r="A1207"/>
      <c r="B1207" s="61"/>
      <c r="C1207" s="61"/>
      <c r="F1207"/>
      <c r="G1207"/>
      <c r="H1207"/>
      <c r="I1207"/>
      <c r="L1207"/>
      <c r="M1207"/>
      <c r="N1207" s="61"/>
      <c r="O1207"/>
    </row>
    <row r="1208" spans="1:15" x14ac:dyDescent="0.2">
      <c r="A1208"/>
      <c r="B1208" s="61"/>
      <c r="C1208" s="61"/>
      <c r="F1208"/>
      <c r="G1208"/>
      <c r="H1208"/>
      <c r="I1208"/>
      <c r="L1208"/>
      <c r="M1208"/>
      <c r="N1208" s="61"/>
      <c r="O1208"/>
    </row>
    <row r="1209" spans="1:15" x14ac:dyDescent="0.2">
      <c r="A1209"/>
      <c r="B1209" s="61"/>
      <c r="C1209" s="61"/>
      <c r="F1209"/>
      <c r="G1209"/>
      <c r="L1209"/>
      <c r="M1209"/>
      <c r="N1209" s="61"/>
      <c r="O1209"/>
    </row>
    <row r="1210" spans="1:15" x14ac:dyDescent="0.2">
      <c r="A1210"/>
      <c r="B1210" s="61"/>
      <c r="C1210" s="61"/>
      <c r="F1210"/>
      <c r="G1210"/>
      <c r="H1210"/>
      <c r="I1210"/>
      <c r="J1210"/>
      <c r="K1210"/>
      <c r="L1210"/>
      <c r="M1210"/>
      <c r="N1210" s="61"/>
      <c r="O1210"/>
    </row>
    <row r="1211" spans="1:15" x14ac:dyDescent="0.2">
      <c r="A1211"/>
      <c r="B1211" s="61"/>
      <c r="C1211" s="61"/>
      <c r="F1211"/>
      <c r="G1211"/>
      <c r="H1211"/>
      <c r="I1211"/>
      <c r="L1211"/>
      <c r="M1211"/>
      <c r="N1211" s="61"/>
      <c r="O1211"/>
    </row>
    <row r="1212" spans="1:15" x14ac:dyDescent="0.2">
      <c r="A1212"/>
      <c r="B1212" s="61"/>
      <c r="C1212" s="61"/>
      <c r="F1212"/>
      <c r="G1212"/>
      <c r="H1212"/>
      <c r="J1212"/>
      <c r="K1212"/>
      <c r="L1212"/>
      <c r="M1212"/>
      <c r="N1212" s="61"/>
      <c r="O1212"/>
    </row>
    <row r="1213" spans="1:15" x14ac:dyDescent="0.2">
      <c r="A1213"/>
      <c r="B1213" s="61"/>
      <c r="C1213" s="61"/>
      <c r="F1213"/>
      <c r="G1213"/>
      <c r="H1213"/>
      <c r="J1213"/>
      <c r="K1213"/>
      <c r="L1213"/>
      <c r="M1213"/>
      <c r="N1213" s="61"/>
      <c r="O1213"/>
    </row>
    <row r="1214" spans="1:15" x14ac:dyDescent="0.2">
      <c r="A1214"/>
      <c r="B1214" s="61"/>
      <c r="C1214" s="61"/>
      <c r="F1214"/>
      <c r="G1214"/>
      <c r="H1214"/>
      <c r="J1214"/>
      <c r="K1214"/>
      <c r="L1214"/>
      <c r="M1214"/>
      <c r="N1214" s="61"/>
      <c r="O1214"/>
    </row>
    <row r="1215" spans="1:15" x14ac:dyDescent="0.2">
      <c r="A1215"/>
      <c r="B1215" s="61"/>
      <c r="C1215" s="61"/>
      <c r="F1215"/>
      <c r="G1215"/>
      <c r="H1215"/>
      <c r="J1215"/>
      <c r="K1215"/>
      <c r="L1215"/>
      <c r="M1215"/>
      <c r="N1215" s="61"/>
      <c r="O1215"/>
    </row>
    <row r="1216" spans="1:15" x14ac:dyDescent="0.2">
      <c r="A1216"/>
      <c r="B1216" s="61"/>
      <c r="C1216" s="61"/>
      <c r="F1216"/>
      <c r="G1216"/>
      <c r="H1216"/>
      <c r="I1216"/>
      <c r="J1216"/>
      <c r="K1216"/>
      <c r="L1216"/>
      <c r="M1216"/>
      <c r="N1216" s="61"/>
      <c r="O1216"/>
    </row>
    <row r="1217" spans="1:15" x14ac:dyDescent="0.2">
      <c r="A1217"/>
      <c r="B1217" s="61"/>
      <c r="C1217" s="61"/>
      <c r="F1217"/>
      <c r="G1217"/>
      <c r="H1217"/>
      <c r="J1217"/>
      <c r="K1217"/>
      <c r="L1217"/>
      <c r="M1217"/>
      <c r="N1217" s="61"/>
      <c r="O1217"/>
    </row>
    <row r="1218" spans="1:15" x14ac:dyDescent="0.2">
      <c r="A1218"/>
      <c r="B1218" s="61"/>
      <c r="C1218" s="61"/>
      <c r="F1218"/>
      <c r="G1218"/>
      <c r="J1218"/>
      <c r="K1218"/>
      <c r="L1218"/>
      <c r="M1218"/>
      <c r="N1218" s="61"/>
      <c r="O1218"/>
    </row>
    <row r="1219" spans="1:15" x14ac:dyDescent="0.2">
      <c r="A1219"/>
      <c r="B1219" s="61"/>
      <c r="C1219" s="61"/>
      <c r="F1219"/>
      <c r="G1219"/>
      <c r="H1219"/>
      <c r="J1219"/>
      <c r="K1219"/>
      <c r="L1219"/>
      <c r="M1219"/>
      <c r="N1219" s="61"/>
      <c r="O1219"/>
    </row>
    <row r="1220" spans="1:15" x14ac:dyDescent="0.2">
      <c r="A1220"/>
      <c r="B1220" s="61"/>
      <c r="C1220" s="61"/>
      <c r="F1220"/>
      <c r="G1220"/>
      <c r="H1220"/>
      <c r="J1220"/>
      <c r="K1220"/>
      <c r="L1220"/>
      <c r="M1220"/>
      <c r="N1220" s="61"/>
      <c r="O1220"/>
    </row>
    <row r="1221" spans="1:15" x14ac:dyDescent="0.2">
      <c r="A1221"/>
      <c r="B1221" s="61"/>
      <c r="C1221" s="61"/>
      <c r="F1221"/>
      <c r="G1221"/>
      <c r="H1221"/>
      <c r="I1221"/>
      <c r="L1221"/>
      <c r="M1221"/>
      <c r="N1221" s="61"/>
      <c r="O1221"/>
    </row>
    <row r="1222" spans="1:15" x14ac:dyDescent="0.2">
      <c r="A1222"/>
      <c r="B1222" s="61"/>
      <c r="C1222" s="61"/>
      <c r="F1222"/>
      <c r="G1222"/>
      <c r="H1222"/>
      <c r="J1222"/>
      <c r="K1222"/>
      <c r="L1222"/>
      <c r="M1222"/>
      <c r="N1222" s="61"/>
      <c r="O1222"/>
    </row>
    <row r="1223" spans="1:15" x14ac:dyDescent="0.2">
      <c r="A1223"/>
      <c r="B1223" s="61"/>
      <c r="C1223" s="61"/>
      <c r="F1223"/>
      <c r="G1223"/>
      <c r="H1223"/>
      <c r="I1223"/>
      <c r="L1223"/>
      <c r="M1223"/>
      <c r="N1223" s="61"/>
      <c r="O1223"/>
    </row>
    <row r="1224" spans="1:15" x14ac:dyDescent="0.2">
      <c r="A1224"/>
      <c r="B1224" s="61"/>
      <c r="C1224" s="61"/>
      <c r="F1224"/>
      <c r="G1224"/>
      <c r="H1224"/>
      <c r="I1224"/>
      <c r="L1224"/>
      <c r="M1224"/>
      <c r="N1224" s="61"/>
      <c r="O1224"/>
    </row>
    <row r="1225" spans="1:15" x14ac:dyDescent="0.2">
      <c r="A1225"/>
      <c r="B1225" s="61"/>
      <c r="C1225" s="61"/>
      <c r="F1225"/>
      <c r="G1225"/>
      <c r="L1225"/>
      <c r="M1225"/>
      <c r="N1225" s="61"/>
      <c r="O1225"/>
    </row>
    <row r="1226" spans="1:15" x14ac:dyDescent="0.2">
      <c r="A1226"/>
      <c r="B1226" s="61"/>
      <c r="C1226" s="61"/>
      <c r="F1226"/>
      <c r="G1226"/>
      <c r="H1226"/>
      <c r="I1226"/>
      <c r="L1226"/>
      <c r="M1226"/>
      <c r="N1226" s="61"/>
      <c r="O1226"/>
    </row>
    <row r="1227" spans="1:15" x14ac:dyDescent="0.2">
      <c r="A1227"/>
      <c r="B1227" s="61"/>
      <c r="C1227" s="61"/>
      <c r="F1227"/>
      <c r="G1227"/>
      <c r="L1227"/>
      <c r="M1227"/>
      <c r="N1227" s="61"/>
      <c r="O1227"/>
    </row>
    <row r="1228" spans="1:15" x14ac:dyDescent="0.2">
      <c r="A1228"/>
      <c r="B1228" s="61"/>
      <c r="C1228" s="61"/>
      <c r="F1228"/>
      <c r="G1228"/>
      <c r="H1228"/>
      <c r="I1228"/>
      <c r="L1228"/>
      <c r="M1228"/>
      <c r="N1228" s="61"/>
      <c r="O1228"/>
    </row>
    <row r="1229" spans="1:15" x14ac:dyDescent="0.2">
      <c r="A1229"/>
      <c r="B1229" s="61"/>
      <c r="C1229" s="61"/>
      <c r="F1229"/>
      <c r="G1229"/>
      <c r="L1229"/>
      <c r="M1229"/>
      <c r="N1229" s="61"/>
      <c r="O1229"/>
    </row>
    <row r="1230" spans="1:15" x14ac:dyDescent="0.2">
      <c r="A1230"/>
      <c r="B1230" s="61"/>
      <c r="C1230" s="61"/>
      <c r="F1230"/>
      <c r="G1230"/>
      <c r="I1230"/>
      <c r="L1230"/>
      <c r="M1230"/>
      <c r="N1230" s="61"/>
      <c r="O1230"/>
    </row>
    <row r="1231" spans="1:15" x14ac:dyDescent="0.2">
      <c r="A1231"/>
      <c r="B1231" s="61"/>
      <c r="C1231" s="61"/>
      <c r="F1231"/>
      <c r="G1231"/>
      <c r="J1231"/>
      <c r="K1231"/>
      <c r="L1231"/>
      <c r="M1231"/>
      <c r="N1231" s="61"/>
      <c r="O1231"/>
    </row>
    <row r="1232" spans="1:15" x14ac:dyDescent="0.2">
      <c r="A1232"/>
      <c r="B1232" s="61"/>
      <c r="C1232" s="61"/>
      <c r="F1232"/>
      <c r="G1232"/>
      <c r="H1232"/>
      <c r="I1232"/>
      <c r="L1232"/>
      <c r="M1232"/>
      <c r="N1232" s="61"/>
      <c r="O1232"/>
    </row>
    <row r="1233" spans="1:15" x14ac:dyDescent="0.2">
      <c r="A1233"/>
      <c r="B1233" s="61"/>
      <c r="C1233" s="61"/>
      <c r="F1233"/>
      <c r="G1233"/>
      <c r="L1233"/>
      <c r="M1233"/>
      <c r="N1233" s="61"/>
      <c r="O1233"/>
    </row>
    <row r="1234" spans="1:15" x14ac:dyDescent="0.2">
      <c r="A1234"/>
      <c r="B1234" s="61"/>
      <c r="C1234" s="61"/>
      <c r="F1234"/>
      <c r="G1234"/>
      <c r="I1234"/>
      <c r="L1234"/>
      <c r="M1234"/>
      <c r="N1234" s="61"/>
      <c r="O1234"/>
    </row>
    <row r="1235" spans="1:15" x14ac:dyDescent="0.2">
      <c r="A1235"/>
      <c r="B1235" s="61"/>
      <c r="C1235" s="61"/>
      <c r="F1235"/>
      <c r="G1235"/>
      <c r="H1235"/>
      <c r="I1235"/>
      <c r="L1235"/>
      <c r="M1235"/>
      <c r="N1235" s="61"/>
      <c r="O1235"/>
    </row>
    <row r="1236" spans="1:15" x14ac:dyDescent="0.2">
      <c r="A1236"/>
      <c r="B1236" s="61"/>
      <c r="C1236" s="61"/>
      <c r="F1236"/>
      <c r="G1236"/>
      <c r="H1236"/>
      <c r="I1236"/>
      <c r="L1236"/>
      <c r="M1236"/>
      <c r="N1236" s="61"/>
      <c r="O1236"/>
    </row>
    <row r="1237" spans="1:15" x14ac:dyDescent="0.2">
      <c r="A1237"/>
      <c r="B1237" s="61"/>
      <c r="C1237" s="61"/>
      <c r="F1237"/>
      <c r="G1237"/>
      <c r="H1237"/>
      <c r="I1237"/>
      <c r="L1237"/>
      <c r="M1237"/>
      <c r="N1237" s="61"/>
      <c r="O1237"/>
    </row>
    <row r="1238" spans="1:15" x14ac:dyDescent="0.2">
      <c r="A1238"/>
      <c r="B1238" s="61"/>
      <c r="C1238" s="61"/>
      <c r="F1238"/>
      <c r="G1238"/>
      <c r="I1238"/>
      <c r="L1238"/>
      <c r="M1238"/>
      <c r="N1238" s="61"/>
      <c r="O1238"/>
    </row>
    <row r="1239" spans="1:15" x14ac:dyDescent="0.2">
      <c r="A1239"/>
      <c r="B1239" s="61"/>
      <c r="C1239" s="61"/>
      <c r="F1239"/>
      <c r="G1239"/>
      <c r="I1239"/>
      <c r="L1239"/>
      <c r="M1239"/>
      <c r="N1239" s="61"/>
      <c r="O1239"/>
    </row>
    <row r="1240" spans="1:15" x14ac:dyDescent="0.2">
      <c r="A1240"/>
      <c r="B1240" s="61"/>
      <c r="C1240" s="61"/>
      <c r="F1240"/>
      <c r="G1240"/>
      <c r="H1240"/>
      <c r="I1240"/>
      <c r="L1240"/>
      <c r="M1240"/>
      <c r="N1240" s="61"/>
      <c r="O1240"/>
    </row>
    <row r="1241" spans="1:15" x14ac:dyDescent="0.2">
      <c r="A1241"/>
      <c r="B1241" s="61"/>
      <c r="C1241" s="61"/>
      <c r="F1241"/>
      <c r="G1241"/>
      <c r="L1241"/>
      <c r="M1241"/>
      <c r="N1241" s="61"/>
      <c r="O1241"/>
    </row>
    <row r="1242" spans="1:15" x14ac:dyDescent="0.2">
      <c r="A1242"/>
      <c r="B1242" s="61"/>
      <c r="C1242" s="61"/>
      <c r="F1242"/>
      <c r="G1242"/>
      <c r="H1242"/>
      <c r="I1242"/>
      <c r="L1242"/>
      <c r="M1242"/>
      <c r="N1242" s="61"/>
      <c r="O1242"/>
    </row>
    <row r="1243" spans="1:15" x14ac:dyDescent="0.2">
      <c r="A1243"/>
      <c r="B1243" s="61"/>
      <c r="C1243" s="61"/>
      <c r="F1243"/>
      <c r="G1243"/>
      <c r="I1243"/>
      <c r="L1243"/>
      <c r="M1243"/>
      <c r="N1243" s="61"/>
      <c r="O1243"/>
    </row>
    <row r="1244" spans="1:15" x14ac:dyDescent="0.2">
      <c r="A1244"/>
      <c r="B1244" s="61"/>
      <c r="C1244" s="61"/>
      <c r="F1244"/>
      <c r="G1244"/>
      <c r="H1244"/>
      <c r="I1244"/>
      <c r="L1244"/>
      <c r="M1244"/>
      <c r="N1244" s="61"/>
      <c r="O1244"/>
    </row>
    <row r="1245" spans="1:15" x14ac:dyDescent="0.2">
      <c r="A1245"/>
      <c r="B1245" s="61"/>
      <c r="C1245" s="61"/>
      <c r="F1245"/>
      <c r="G1245"/>
      <c r="I1245"/>
      <c r="L1245"/>
      <c r="M1245"/>
      <c r="N1245" s="61"/>
      <c r="O1245"/>
    </row>
    <row r="1246" spans="1:15" x14ac:dyDescent="0.2">
      <c r="A1246"/>
      <c r="B1246" s="61"/>
      <c r="C1246" s="61"/>
      <c r="F1246"/>
      <c r="G1246"/>
      <c r="H1246"/>
      <c r="I1246"/>
      <c r="L1246"/>
      <c r="M1246"/>
      <c r="N1246" s="61"/>
      <c r="O1246"/>
    </row>
    <row r="1247" spans="1:15" x14ac:dyDescent="0.2">
      <c r="A1247"/>
      <c r="B1247" s="61"/>
      <c r="C1247" s="61"/>
      <c r="F1247"/>
      <c r="G1247"/>
      <c r="H1247"/>
      <c r="I1247"/>
      <c r="L1247"/>
      <c r="M1247"/>
      <c r="N1247" s="61"/>
      <c r="O1247"/>
    </row>
    <row r="1248" spans="1:15" x14ac:dyDescent="0.2">
      <c r="A1248"/>
      <c r="B1248" s="61"/>
      <c r="C1248" s="61"/>
      <c r="F1248"/>
      <c r="G1248"/>
      <c r="H1248"/>
      <c r="J1248"/>
      <c r="K1248"/>
      <c r="L1248"/>
      <c r="M1248"/>
      <c r="N1248" s="61"/>
      <c r="O1248"/>
    </row>
    <row r="1249" spans="1:15" x14ac:dyDescent="0.2">
      <c r="A1249"/>
      <c r="B1249" s="61"/>
      <c r="C1249" s="61"/>
      <c r="F1249"/>
      <c r="G1249"/>
      <c r="H1249"/>
      <c r="J1249"/>
      <c r="K1249"/>
      <c r="L1249"/>
      <c r="M1249"/>
      <c r="N1249" s="61"/>
      <c r="O1249"/>
    </row>
    <row r="1250" spans="1:15" x14ac:dyDescent="0.2">
      <c r="A1250"/>
      <c r="B1250" s="61"/>
      <c r="C1250" s="61"/>
      <c r="F1250"/>
      <c r="G1250"/>
      <c r="L1250"/>
      <c r="M1250"/>
      <c r="N1250" s="61"/>
      <c r="O1250"/>
    </row>
    <row r="1251" spans="1:15" x14ac:dyDescent="0.2">
      <c r="A1251"/>
      <c r="B1251" s="61"/>
      <c r="C1251" s="61"/>
      <c r="F1251"/>
      <c r="G1251"/>
      <c r="H1251"/>
      <c r="I1251"/>
      <c r="L1251"/>
      <c r="M1251"/>
      <c r="N1251" s="61"/>
      <c r="O1251"/>
    </row>
    <row r="1252" spans="1:15" x14ac:dyDescent="0.2">
      <c r="A1252"/>
      <c r="B1252" s="61"/>
      <c r="C1252" s="61"/>
      <c r="F1252"/>
      <c r="G1252"/>
      <c r="H1252"/>
      <c r="I1252"/>
      <c r="L1252"/>
      <c r="M1252"/>
      <c r="N1252" s="61"/>
      <c r="O1252"/>
    </row>
    <row r="1253" spans="1:15" x14ac:dyDescent="0.2">
      <c r="A1253"/>
      <c r="B1253" s="61"/>
      <c r="C1253" s="61"/>
      <c r="F1253"/>
      <c r="G1253"/>
      <c r="H1253"/>
      <c r="J1253"/>
      <c r="K1253"/>
      <c r="L1253"/>
      <c r="M1253"/>
      <c r="N1253" s="61"/>
      <c r="O1253"/>
    </row>
    <row r="1254" spans="1:15" x14ac:dyDescent="0.2">
      <c r="A1254"/>
      <c r="B1254" s="61"/>
      <c r="C1254" s="61"/>
      <c r="F1254"/>
      <c r="G1254"/>
      <c r="H1254"/>
      <c r="I1254"/>
      <c r="L1254"/>
      <c r="M1254"/>
      <c r="N1254" s="61"/>
      <c r="O1254"/>
    </row>
    <row r="1255" spans="1:15" x14ac:dyDescent="0.2">
      <c r="A1255"/>
      <c r="B1255" s="61"/>
      <c r="C1255" s="61"/>
      <c r="F1255"/>
      <c r="G1255"/>
      <c r="H1255"/>
      <c r="I1255"/>
      <c r="L1255"/>
      <c r="M1255"/>
      <c r="N1255" s="61"/>
      <c r="O1255"/>
    </row>
    <row r="1256" spans="1:15" x14ac:dyDescent="0.2">
      <c r="A1256"/>
      <c r="B1256" s="61"/>
      <c r="C1256" s="61"/>
      <c r="F1256"/>
      <c r="G1256"/>
      <c r="J1256"/>
      <c r="K1256"/>
      <c r="L1256"/>
      <c r="M1256"/>
      <c r="N1256" s="61"/>
      <c r="O1256"/>
    </row>
    <row r="1257" spans="1:15" x14ac:dyDescent="0.2">
      <c r="A1257"/>
      <c r="B1257" s="61"/>
      <c r="C1257" s="61"/>
      <c r="F1257"/>
      <c r="G1257"/>
      <c r="L1257"/>
      <c r="M1257"/>
      <c r="N1257" s="61"/>
      <c r="O1257"/>
    </row>
    <row r="1258" spans="1:15" x14ac:dyDescent="0.2">
      <c r="A1258"/>
      <c r="B1258" s="61"/>
      <c r="C1258" s="61"/>
      <c r="F1258"/>
      <c r="G1258"/>
      <c r="H1258"/>
      <c r="I1258"/>
      <c r="L1258"/>
      <c r="M1258"/>
      <c r="N1258" s="61"/>
      <c r="O1258"/>
    </row>
    <row r="1259" spans="1:15" x14ac:dyDescent="0.2">
      <c r="A1259"/>
      <c r="B1259" s="61"/>
      <c r="C1259" s="61"/>
      <c r="F1259"/>
      <c r="G1259"/>
      <c r="H1259"/>
      <c r="I1259"/>
      <c r="L1259"/>
      <c r="M1259"/>
      <c r="N1259" s="61"/>
      <c r="O1259"/>
    </row>
    <row r="1260" spans="1:15" x14ac:dyDescent="0.2">
      <c r="A1260"/>
      <c r="B1260" s="61"/>
      <c r="C1260" s="61"/>
      <c r="F1260"/>
      <c r="G1260"/>
      <c r="I1260"/>
      <c r="L1260"/>
      <c r="M1260"/>
      <c r="N1260" s="61"/>
      <c r="O1260"/>
    </row>
    <row r="1261" spans="1:15" x14ac:dyDescent="0.2">
      <c r="A1261"/>
      <c r="B1261" s="61"/>
      <c r="C1261" s="61"/>
      <c r="F1261"/>
      <c r="G1261"/>
      <c r="H1261"/>
      <c r="I1261"/>
      <c r="L1261"/>
      <c r="M1261"/>
      <c r="N1261" s="61"/>
      <c r="O1261"/>
    </row>
    <row r="1262" spans="1:15" x14ac:dyDescent="0.2">
      <c r="A1262"/>
      <c r="B1262" s="61"/>
      <c r="C1262" s="61"/>
      <c r="F1262"/>
      <c r="G1262"/>
      <c r="H1262"/>
      <c r="J1262"/>
      <c r="K1262"/>
      <c r="L1262"/>
      <c r="M1262"/>
      <c r="N1262" s="61"/>
      <c r="O1262"/>
    </row>
    <row r="1263" spans="1:15" x14ac:dyDescent="0.2">
      <c r="A1263"/>
      <c r="B1263" s="61"/>
      <c r="C1263" s="61"/>
      <c r="F1263"/>
      <c r="G1263"/>
      <c r="H1263"/>
      <c r="I1263"/>
      <c r="L1263"/>
      <c r="M1263"/>
      <c r="N1263" s="61"/>
      <c r="O1263"/>
    </row>
    <row r="1264" spans="1:15" x14ac:dyDescent="0.2">
      <c r="A1264"/>
      <c r="B1264" s="61"/>
      <c r="C1264" s="61"/>
      <c r="F1264"/>
      <c r="G1264"/>
      <c r="I1264"/>
      <c r="L1264"/>
      <c r="M1264"/>
      <c r="N1264" s="61"/>
      <c r="O1264"/>
    </row>
    <row r="1265" spans="1:15" x14ac:dyDescent="0.2">
      <c r="A1265"/>
      <c r="B1265" s="61"/>
      <c r="C1265" s="61"/>
      <c r="F1265"/>
      <c r="G1265"/>
      <c r="H1265"/>
      <c r="I1265"/>
      <c r="L1265"/>
      <c r="M1265"/>
      <c r="N1265" s="61"/>
      <c r="O1265"/>
    </row>
    <row r="1266" spans="1:15" x14ac:dyDescent="0.2">
      <c r="A1266"/>
      <c r="B1266" s="61"/>
      <c r="C1266" s="61"/>
      <c r="F1266"/>
      <c r="G1266"/>
      <c r="I1266"/>
      <c r="L1266"/>
      <c r="M1266"/>
      <c r="N1266" s="61"/>
      <c r="O1266"/>
    </row>
    <row r="1267" spans="1:15" x14ac:dyDescent="0.2">
      <c r="A1267"/>
      <c r="B1267" s="61"/>
      <c r="C1267" s="61"/>
      <c r="F1267"/>
      <c r="G1267"/>
      <c r="I1267"/>
      <c r="L1267"/>
      <c r="M1267"/>
      <c r="N1267" s="61"/>
      <c r="O1267"/>
    </row>
    <row r="1268" spans="1:15" x14ac:dyDescent="0.2">
      <c r="A1268"/>
      <c r="B1268" s="61"/>
      <c r="C1268" s="61"/>
      <c r="F1268"/>
      <c r="G1268"/>
      <c r="H1268"/>
      <c r="I1268"/>
      <c r="L1268"/>
      <c r="M1268"/>
      <c r="N1268" s="61"/>
      <c r="O1268"/>
    </row>
    <row r="1269" spans="1:15" x14ac:dyDescent="0.2">
      <c r="A1269"/>
      <c r="B1269" s="61"/>
      <c r="C1269" s="61"/>
      <c r="F1269"/>
      <c r="G1269"/>
      <c r="H1269"/>
      <c r="I1269"/>
      <c r="L1269"/>
      <c r="M1269"/>
      <c r="N1269" s="61"/>
      <c r="O1269"/>
    </row>
    <row r="1270" spans="1:15" x14ac:dyDescent="0.2">
      <c r="A1270"/>
      <c r="B1270" s="61"/>
      <c r="C1270" s="61"/>
      <c r="F1270"/>
      <c r="G1270"/>
      <c r="H1270"/>
      <c r="I1270"/>
      <c r="L1270"/>
      <c r="M1270"/>
      <c r="N1270" s="61"/>
      <c r="O1270"/>
    </row>
    <row r="1271" spans="1:15" x14ac:dyDescent="0.2">
      <c r="A1271"/>
      <c r="B1271" s="61"/>
      <c r="C1271" s="61"/>
      <c r="F1271"/>
      <c r="G1271"/>
      <c r="H1271"/>
      <c r="I1271"/>
      <c r="L1271"/>
      <c r="M1271"/>
      <c r="N1271" s="61"/>
      <c r="O1271"/>
    </row>
    <row r="1272" spans="1:15" x14ac:dyDescent="0.2">
      <c r="A1272"/>
      <c r="B1272" s="61"/>
      <c r="C1272" s="61"/>
      <c r="F1272"/>
      <c r="G1272"/>
      <c r="H1272"/>
      <c r="I1272"/>
      <c r="L1272"/>
      <c r="N1272" s="61"/>
      <c r="O1272"/>
    </row>
    <row r="1273" spans="1:15" x14ac:dyDescent="0.2">
      <c r="A1273"/>
      <c r="B1273" s="61"/>
      <c r="C1273" s="61"/>
      <c r="F1273"/>
      <c r="G1273"/>
      <c r="I1273"/>
      <c r="L1273"/>
      <c r="M1273"/>
      <c r="N1273" s="61"/>
      <c r="O1273"/>
    </row>
    <row r="1274" spans="1:15" x14ac:dyDescent="0.2">
      <c r="A1274"/>
      <c r="B1274" s="61"/>
      <c r="C1274" s="61"/>
      <c r="F1274"/>
      <c r="G1274"/>
      <c r="I1274"/>
      <c r="L1274"/>
      <c r="M1274"/>
      <c r="N1274" s="61"/>
      <c r="O1274"/>
    </row>
    <row r="1275" spans="1:15" x14ac:dyDescent="0.2">
      <c r="A1275"/>
      <c r="B1275" s="61"/>
      <c r="C1275" s="61"/>
      <c r="F1275"/>
      <c r="G1275"/>
      <c r="I1275"/>
      <c r="L1275"/>
      <c r="M1275"/>
      <c r="N1275" s="61"/>
      <c r="O1275"/>
    </row>
    <row r="1276" spans="1:15" x14ac:dyDescent="0.2">
      <c r="A1276"/>
      <c r="B1276" s="61"/>
      <c r="C1276" s="61"/>
      <c r="F1276"/>
      <c r="G1276"/>
      <c r="H1276"/>
      <c r="I1276"/>
      <c r="L1276"/>
      <c r="M1276"/>
      <c r="N1276" s="61"/>
      <c r="O1276"/>
    </row>
    <row r="1277" spans="1:15" x14ac:dyDescent="0.2">
      <c r="A1277"/>
      <c r="B1277" s="61"/>
      <c r="C1277" s="61"/>
      <c r="F1277"/>
      <c r="G1277"/>
      <c r="H1277"/>
      <c r="I1277"/>
      <c r="L1277"/>
      <c r="M1277"/>
      <c r="N1277" s="61"/>
      <c r="O1277"/>
    </row>
    <row r="1278" spans="1:15" x14ac:dyDescent="0.2">
      <c r="A1278"/>
      <c r="B1278" s="61"/>
      <c r="C1278" s="61"/>
      <c r="F1278"/>
      <c r="G1278"/>
      <c r="H1278"/>
      <c r="I1278"/>
      <c r="L1278"/>
      <c r="M1278"/>
      <c r="N1278" s="61"/>
      <c r="O1278"/>
    </row>
    <row r="1279" spans="1:15" x14ac:dyDescent="0.2">
      <c r="A1279"/>
      <c r="B1279" s="61"/>
      <c r="C1279" s="61"/>
      <c r="F1279"/>
      <c r="G1279"/>
      <c r="H1279"/>
      <c r="I1279"/>
      <c r="L1279"/>
      <c r="M1279"/>
      <c r="N1279" s="61"/>
      <c r="O1279"/>
    </row>
    <row r="1280" spans="1:15" x14ac:dyDescent="0.2">
      <c r="A1280"/>
      <c r="B1280" s="61"/>
      <c r="C1280" s="61"/>
      <c r="F1280"/>
      <c r="G1280"/>
      <c r="I1280"/>
      <c r="L1280"/>
      <c r="M1280"/>
      <c r="N1280" s="61"/>
      <c r="O1280"/>
    </row>
    <row r="1281" spans="1:15" x14ac:dyDescent="0.2">
      <c r="A1281"/>
      <c r="B1281" s="61"/>
      <c r="C1281" s="61"/>
      <c r="F1281"/>
      <c r="G1281"/>
      <c r="I1281"/>
      <c r="L1281"/>
      <c r="M1281"/>
      <c r="N1281" s="61"/>
      <c r="O1281"/>
    </row>
    <row r="1282" spans="1:15" x14ac:dyDescent="0.2">
      <c r="A1282"/>
      <c r="B1282" s="61"/>
      <c r="C1282" s="61"/>
      <c r="F1282"/>
      <c r="G1282"/>
      <c r="I1282"/>
      <c r="L1282"/>
      <c r="M1282"/>
      <c r="N1282" s="61"/>
      <c r="O1282"/>
    </row>
    <row r="1283" spans="1:15" x14ac:dyDescent="0.2">
      <c r="A1283"/>
      <c r="B1283" s="61"/>
      <c r="C1283" s="61"/>
      <c r="F1283"/>
      <c r="G1283"/>
      <c r="M1283"/>
      <c r="N1283" s="61"/>
      <c r="O1283"/>
    </row>
    <row r="1284" spans="1:15" x14ac:dyDescent="0.2">
      <c r="A1284"/>
      <c r="B1284" s="61"/>
      <c r="C1284" s="61"/>
      <c r="F1284"/>
      <c r="G1284"/>
      <c r="H1284"/>
      <c r="I1284"/>
      <c r="L1284"/>
      <c r="M1284"/>
      <c r="N1284" s="61"/>
      <c r="O1284"/>
    </row>
    <row r="1285" spans="1:15" x14ac:dyDescent="0.2">
      <c r="A1285"/>
      <c r="B1285" s="61"/>
      <c r="C1285" s="61"/>
      <c r="F1285"/>
      <c r="G1285"/>
      <c r="H1285"/>
      <c r="I1285"/>
      <c r="L1285"/>
      <c r="M1285"/>
      <c r="N1285" s="61"/>
      <c r="O1285"/>
    </row>
    <row r="1286" spans="1:15" x14ac:dyDescent="0.2">
      <c r="A1286"/>
      <c r="B1286" s="61"/>
      <c r="C1286" s="61"/>
      <c r="F1286"/>
      <c r="G1286"/>
      <c r="H1286"/>
      <c r="I1286"/>
      <c r="L1286"/>
      <c r="M1286"/>
      <c r="N1286" s="61"/>
      <c r="O1286"/>
    </row>
    <row r="1287" spans="1:15" x14ac:dyDescent="0.2">
      <c r="A1287"/>
      <c r="B1287" s="61"/>
      <c r="C1287" s="61"/>
      <c r="F1287"/>
      <c r="G1287"/>
      <c r="H1287"/>
      <c r="I1287"/>
      <c r="L1287"/>
      <c r="M1287"/>
      <c r="N1287" s="61"/>
      <c r="O1287"/>
    </row>
    <row r="1288" spans="1:15" x14ac:dyDescent="0.2">
      <c r="A1288"/>
      <c r="B1288" s="61"/>
      <c r="C1288" s="61"/>
      <c r="F1288"/>
      <c r="G1288"/>
      <c r="H1288"/>
      <c r="J1288"/>
      <c r="K1288"/>
      <c r="L1288"/>
      <c r="M1288"/>
      <c r="N1288" s="61"/>
      <c r="O1288"/>
    </row>
    <row r="1289" spans="1:15" x14ac:dyDescent="0.2">
      <c r="A1289"/>
      <c r="B1289" s="61"/>
      <c r="C1289" s="61"/>
      <c r="F1289"/>
      <c r="G1289"/>
      <c r="H1289"/>
      <c r="J1289"/>
      <c r="K1289"/>
      <c r="L1289"/>
      <c r="M1289"/>
      <c r="N1289" s="61"/>
      <c r="O1289"/>
    </row>
    <row r="1290" spans="1:15" x14ac:dyDescent="0.2">
      <c r="A1290"/>
      <c r="B1290" s="61"/>
      <c r="C1290" s="61"/>
      <c r="F1290"/>
      <c r="G1290"/>
      <c r="J1290"/>
      <c r="K1290"/>
      <c r="L1290"/>
      <c r="M1290"/>
      <c r="N1290" s="61"/>
      <c r="O1290"/>
    </row>
    <row r="1291" spans="1:15" x14ac:dyDescent="0.2">
      <c r="A1291"/>
      <c r="B1291" s="61"/>
      <c r="C1291" s="61"/>
      <c r="F1291"/>
      <c r="G1291"/>
      <c r="H1291"/>
      <c r="I1291"/>
      <c r="L1291"/>
      <c r="N1291" s="61"/>
      <c r="O1291"/>
    </row>
    <row r="1292" spans="1:15" x14ac:dyDescent="0.2">
      <c r="A1292"/>
      <c r="B1292" s="61"/>
      <c r="C1292" s="61"/>
      <c r="F1292"/>
      <c r="G1292"/>
      <c r="I1292"/>
      <c r="L1292"/>
      <c r="M1292"/>
      <c r="N1292" s="61"/>
      <c r="O1292"/>
    </row>
    <row r="1293" spans="1:15" x14ac:dyDescent="0.2">
      <c r="A1293"/>
      <c r="B1293" s="61"/>
      <c r="C1293" s="61"/>
      <c r="F1293"/>
      <c r="G1293"/>
      <c r="L1293"/>
      <c r="M1293"/>
      <c r="N1293" s="61"/>
      <c r="O1293"/>
    </row>
    <row r="1294" spans="1:15" x14ac:dyDescent="0.2">
      <c r="A1294"/>
      <c r="B1294" s="61"/>
      <c r="C1294" s="61"/>
      <c r="F1294"/>
      <c r="G1294"/>
      <c r="I1294"/>
      <c r="L1294"/>
      <c r="M1294"/>
      <c r="N1294" s="61"/>
      <c r="O1294"/>
    </row>
    <row r="1295" spans="1:15" x14ac:dyDescent="0.2">
      <c r="A1295"/>
      <c r="B1295" s="61"/>
      <c r="C1295" s="61"/>
      <c r="F1295"/>
      <c r="G1295"/>
      <c r="L1295"/>
      <c r="M1295"/>
      <c r="N1295" s="61"/>
      <c r="O1295"/>
    </row>
    <row r="1296" spans="1:15" x14ac:dyDescent="0.2">
      <c r="A1296"/>
      <c r="B1296" s="61"/>
      <c r="C1296" s="61"/>
      <c r="F1296"/>
      <c r="G1296"/>
      <c r="L1296"/>
      <c r="M1296"/>
      <c r="N1296" s="61"/>
      <c r="O1296"/>
    </row>
    <row r="1297" spans="1:15" x14ac:dyDescent="0.2">
      <c r="A1297"/>
      <c r="B1297" s="61"/>
      <c r="C1297" s="61"/>
      <c r="F1297"/>
      <c r="G1297"/>
      <c r="I1297"/>
      <c r="L1297"/>
      <c r="M1297"/>
      <c r="N1297" s="61"/>
      <c r="O1297"/>
    </row>
    <row r="1298" spans="1:15" x14ac:dyDescent="0.2">
      <c r="A1298"/>
      <c r="B1298" s="61"/>
      <c r="C1298" s="61"/>
      <c r="F1298"/>
      <c r="G1298"/>
      <c r="H1298"/>
      <c r="I1298"/>
      <c r="L1298"/>
      <c r="M1298"/>
      <c r="N1298" s="61"/>
      <c r="O1298"/>
    </row>
    <row r="1299" spans="1:15" x14ac:dyDescent="0.2">
      <c r="A1299"/>
      <c r="B1299" s="61"/>
      <c r="C1299" s="61"/>
      <c r="F1299"/>
      <c r="G1299"/>
      <c r="L1299"/>
      <c r="M1299"/>
      <c r="N1299" s="61"/>
      <c r="O1299"/>
    </row>
    <row r="1300" spans="1:15" x14ac:dyDescent="0.2">
      <c r="A1300"/>
      <c r="B1300" s="61"/>
      <c r="C1300" s="61"/>
      <c r="F1300"/>
      <c r="G1300"/>
      <c r="H1300"/>
      <c r="I1300"/>
      <c r="L1300"/>
      <c r="M1300"/>
      <c r="N1300" s="61"/>
      <c r="O1300"/>
    </row>
    <row r="1301" spans="1:15" x14ac:dyDescent="0.2">
      <c r="A1301"/>
      <c r="B1301" s="61"/>
      <c r="C1301" s="61"/>
      <c r="F1301"/>
      <c r="G1301"/>
      <c r="H1301"/>
      <c r="I1301"/>
      <c r="L1301"/>
      <c r="M1301"/>
      <c r="N1301" s="61"/>
      <c r="O1301"/>
    </row>
    <row r="1302" spans="1:15" x14ac:dyDescent="0.2">
      <c r="A1302"/>
      <c r="B1302" s="61"/>
      <c r="C1302" s="61"/>
      <c r="F1302"/>
      <c r="G1302"/>
      <c r="H1302"/>
      <c r="I1302"/>
      <c r="L1302"/>
      <c r="M1302"/>
      <c r="N1302" s="61"/>
      <c r="O1302"/>
    </row>
    <row r="1303" spans="1:15" x14ac:dyDescent="0.2">
      <c r="A1303"/>
      <c r="B1303" s="61"/>
      <c r="C1303" s="61"/>
      <c r="F1303"/>
      <c r="G1303"/>
      <c r="H1303"/>
      <c r="I1303"/>
      <c r="L1303"/>
      <c r="M1303"/>
      <c r="N1303" s="61"/>
      <c r="O1303"/>
    </row>
    <row r="1304" spans="1:15" x14ac:dyDescent="0.2">
      <c r="A1304"/>
      <c r="B1304" s="61"/>
      <c r="C1304" s="61"/>
      <c r="F1304"/>
      <c r="G1304"/>
      <c r="I1304"/>
      <c r="L1304"/>
      <c r="M1304"/>
      <c r="N1304" s="61"/>
      <c r="O1304"/>
    </row>
    <row r="1305" spans="1:15" x14ac:dyDescent="0.2">
      <c r="A1305"/>
      <c r="B1305" s="61"/>
      <c r="C1305" s="61"/>
      <c r="F1305"/>
      <c r="G1305"/>
      <c r="H1305"/>
      <c r="I1305"/>
      <c r="L1305"/>
      <c r="N1305" s="61"/>
      <c r="O1305"/>
    </row>
    <row r="1306" spans="1:15" x14ac:dyDescent="0.2">
      <c r="A1306"/>
      <c r="B1306" s="61"/>
      <c r="C1306" s="61"/>
      <c r="F1306"/>
      <c r="G1306"/>
      <c r="I1306"/>
      <c r="L1306"/>
      <c r="M1306"/>
      <c r="N1306" s="61"/>
      <c r="O1306"/>
    </row>
    <row r="1307" spans="1:15" x14ac:dyDescent="0.2">
      <c r="A1307"/>
      <c r="B1307" s="61"/>
      <c r="C1307" s="61"/>
      <c r="F1307"/>
      <c r="G1307"/>
      <c r="I1307"/>
      <c r="L1307"/>
      <c r="M1307"/>
      <c r="N1307" s="61"/>
      <c r="O1307"/>
    </row>
    <row r="1308" spans="1:15" x14ac:dyDescent="0.2">
      <c r="A1308"/>
      <c r="B1308" s="61"/>
      <c r="C1308" s="61"/>
      <c r="F1308"/>
      <c r="G1308"/>
      <c r="H1308"/>
      <c r="I1308"/>
      <c r="L1308"/>
      <c r="M1308"/>
      <c r="N1308" s="61"/>
      <c r="O1308"/>
    </row>
    <row r="1309" spans="1:15" x14ac:dyDescent="0.2">
      <c r="A1309"/>
      <c r="B1309" s="61"/>
      <c r="C1309" s="61"/>
      <c r="F1309"/>
      <c r="G1309"/>
      <c r="J1309"/>
      <c r="K1309"/>
      <c r="L1309"/>
      <c r="M1309"/>
      <c r="N1309" s="61"/>
      <c r="O1309"/>
    </row>
    <row r="1310" spans="1:15" x14ac:dyDescent="0.2">
      <c r="A1310"/>
      <c r="B1310" s="61"/>
      <c r="C1310" s="61"/>
      <c r="F1310"/>
      <c r="G1310"/>
      <c r="H1310"/>
      <c r="I1310"/>
      <c r="L1310"/>
      <c r="M1310"/>
      <c r="N1310" s="61"/>
      <c r="O1310"/>
    </row>
    <row r="1311" spans="1:15" x14ac:dyDescent="0.2">
      <c r="A1311"/>
      <c r="B1311" s="61"/>
      <c r="C1311" s="61"/>
      <c r="F1311"/>
      <c r="G1311"/>
      <c r="H1311"/>
      <c r="I1311"/>
      <c r="L1311"/>
      <c r="M1311"/>
      <c r="N1311" s="61"/>
      <c r="O1311"/>
    </row>
    <row r="1312" spans="1:15" x14ac:dyDescent="0.2">
      <c r="A1312"/>
      <c r="B1312" s="61"/>
      <c r="C1312" s="61"/>
      <c r="F1312"/>
      <c r="G1312"/>
      <c r="I1312"/>
      <c r="L1312"/>
      <c r="M1312"/>
      <c r="N1312" s="61"/>
      <c r="O1312"/>
    </row>
    <row r="1313" spans="1:15" x14ac:dyDescent="0.2">
      <c r="A1313"/>
      <c r="B1313" s="61"/>
      <c r="C1313" s="61"/>
      <c r="F1313"/>
      <c r="G1313"/>
      <c r="I1313"/>
      <c r="L1313"/>
      <c r="M1313"/>
      <c r="N1313" s="61"/>
      <c r="O1313"/>
    </row>
    <row r="1314" spans="1:15" x14ac:dyDescent="0.2">
      <c r="A1314"/>
      <c r="B1314" s="61"/>
      <c r="C1314" s="61"/>
      <c r="F1314"/>
      <c r="G1314"/>
      <c r="H1314"/>
      <c r="I1314"/>
      <c r="L1314"/>
      <c r="M1314"/>
      <c r="N1314" s="61"/>
      <c r="O1314"/>
    </row>
    <row r="1315" spans="1:15" x14ac:dyDescent="0.2">
      <c r="A1315"/>
      <c r="B1315" s="61"/>
      <c r="C1315" s="61"/>
      <c r="F1315"/>
      <c r="G1315"/>
      <c r="L1315"/>
      <c r="M1315"/>
      <c r="N1315" s="61"/>
      <c r="O1315"/>
    </row>
    <row r="1316" spans="1:15" x14ac:dyDescent="0.2">
      <c r="A1316"/>
      <c r="B1316" s="61"/>
      <c r="C1316" s="61"/>
      <c r="F1316"/>
      <c r="G1316"/>
      <c r="M1316"/>
      <c r="N1316" s="61"/>
      <c r="O1316"/>
    </row>
    <row r="1317" spans="1:15" x14ac:dyDescent="0.2">
      <c r="A1317"/>
      <c r="B1317" s="61"/>
      <c r="C1317" s="61"/>
      <c r="F1317"/>
      <c r="G1317"/>
      <c r="H1317"/>
      <c r="I1317"/>
      <c r="L1317"/>
      <c r="M1317"/>
      <c r="N1317" s="61"/>
      <c r="O1317"/>
    </row>
    <row r="1318" spans="1:15" x14ac:dyDescent="0.2">
      <c r="A1318"/>
      <c r="B1318" s="61"/>
      <c r="C1318" s="61"/>
      <c r="F1318"/>
      <c r="G1318"/>
      <c r="H1318"/>
      <c r="I1318"/>
      <c r="L1318"/>
      <c r="M1318"/>
      <c r="N1318" s="61"/>
      <c r="O1318"/>
    </row>
    <row r="1319" spans="1:15" x14ac:dyDescent="0.2">
      <c r="A1319"/>
      <c r="B1319" s="61"/>
      <c r="C1319" s="61"/>
      <c r="F1319"/>
      <c r="G1319"/>
      <c r="I1319"/>
      <c r="L1319"/>
      <c r="M1319"/>
      <c r="N1319" s="61"/>
      <c r="O1319"/>
    </row>
    <row r="1320" spans="1:15" x14ac:dyDescent="0.2">
      <c r="A1320"/>
      <c r="B1320" s="61"/>
      <c r="C1320" s="61"/>
      <c r="F1320"/>
      <c r="G1320"/>
      <c r="I1320"/>
      <c r="L1320"/>
      <c r="M1320"/>
      <c r="N1320" s="61"/>
      <c r="O1320"/>
    </row>
    <row r="1321" spans="1:15" x14ac:dyDescent="0.2">
      <c r="A1321"/>
      <c r="B1321" s="61"/>
      <c r="C1321" s="61"/>
      <c r="F1321"/>
      <c r="G1321"/>
      <c r="H1321"/>
      <c r="I1321"/>
      <c r="L1321"/>
      <c r="M1321"/>
      <c r="N1321" s="61"/>
      <c r="O1321"/>
    </row>
    <row r="1322" spans="1:15" x14ac:dyDescent="0.2">
      <c r="A1322"/>
      <c r="B1322" s="61"/>
      <c r="C1322" s="61"/>
      <c r="F1322"/>
      <c r="G1322"/>
      <c r="H1322"/>
      <c r="I1322"/>
      <c r="L1322"/>
      <c r="M1322"/>
      <c r="N1322" s="61"/>
      <c r="O1322"/>
    </row>
    <row r="1323" spans="1:15" x14ac:dyDescent="0.2">
      <c r="A1323"/>
      <c r="B1323" s="61"/>
      <c r="C1323" s="61"/>
      <c r="F1323"/>
      <c r="G1323"/>
      <c r="I1323"/>
      <c r="L1323"/>
      <c r="M1323"/>
      <c r="N1323" s="61"/>
      <c r="O1323"/>
    </row>
    <row r="1324" spans="1:15" x14ac:dyDescent="0.2">
      <c r="A1324"/>
      <c r="B1324" s="61"/>
      <c r="C1324" s="61"/>
      <c r="F1324"/>
      <c r="G1324"/>
      <c r="I1324"/>
      <c r="L1324"/>
      <c r="M1324"/>
      <c r="N1324" s="61"/>
      <c r="O1324"/>
    </row>
    <row r="1325" spans="1:15" x14ac:dyDescent="0.2">
      <c r="A1325"/>
      <c r="B1325" s="61"/>
      <c r="C1325" s="61"/>
      <c r="F1325"/>
      <c r="G1325"/>
      <c r="H1325"/>
      <c r="I1325"/>
      <c r="L1325"/>
      <c r="M1325"/>
      <c r="N1325" s="61"/>
      <c r="O1325"/>
    </row>
    <row r="1326" spans="1:15" x14ac:dyDescent="0.2">
      <c r="A1326"/>
      <c r="B1326" s="61"/>
      <c r="C1326" s="61"/>
      <c r="F1326"/>
      <c r="G1326"/>
      <c r="I1326"/>
      <c r="L1326"/>
      <c r="M1326"/>
      <c r="N1326" s="61"/>
      <c r="O1326"/>
    </row>
    <row r="1327" spans="1:15" x14ac:dyDescent="0.2">
      <c r="A1327"/>
      <c r="B1327" s="61"/>
      <c r="C1327" s="61"/>
      <c r="F1327"/>
      <c r="G1327"/>
      <c r="I1327"/>
      <c r="L1327"/>
      <c r="M1327"/>
      <c r="N1327" s="61"/>
      <c r="O1327"/>
    </row>
    <row r="1328" spans="1:15" x14ac:dyDescent="0.2">
      <c r="A1328"/>
      <c r="B1328" s="61"/>
      <c r="C1328" s="61"/>
      <c r="F1328"/>
      <c r="G1328"/>
      <c r="H1328"/>
      <c r="I1328"/>
      <c r="L1328"/>
      <c r="M1328"/>
      <c r="N1328" s="61"/>
      <c r="O1328"/>
    </row>
    <row r="1329" spans="1:15" x14ac:dyDescent="0.2">
      <c r="A1329"/>
      <c r="B1329" s="61"/>
      <c r="C1329" s="61"/>
      <c r="F1329"/>
      <c r="G1329"/>
      <c r="J1329"/>
      <c r="K1329"/>
      <c r="L1329"/>
      <c r="M1329"/>
      <c r="N1329" s="61"/>
      <c r="O1329"/>
    </row>
    <row r="1330" spans="1:15" x14ac:dyDescent="0.2">
      <c r="A1330"/>
      <c r="B1330" s="61"/>
      <c r="C1330" s="61"/>
      <c r="F1330"/>
      <c r="G1330"/>
      <c r="H1330"/>
      <c r="I1330"/>
      <c r="L1330"/>
      <c r="M1330"/>
      <c r="N1330" s="61"/>
      <c r="O1330"/>
    </row>
    <row r="1331" spans="1:15" x14ac:dyDescent="0.2">
      <c r="A1331"/>
      <c r="B1331" s="61"/>
      <c r="C1331" s="61"/>
      <c r="F1331"/>
      <c r="G1331"/>
      <c r="I1331"/>
      <c r="L1331"/>
      <c r="M1331"/>
      <c r="N1331" s="61"/>
      <c r="O1331"/>
    </row>
    <row r="1332" spans="1:15" x14ac:dyDescent="0.2">
      <c r="A1332"/>
      <c r="B1332" s="61"/>
      <c r="C1332" s="61"/>
      <c r="F1332"/>
      <c r="G1332"/>
      <c r="L1332"/>
      <c r="M1332"/>
      <c r="N1332" s="61"/>
      <c r="O1332"/>
    </row>
    <row r="1333" spans="1:15" x14ac:dyDescent="0.2">
      <c r="A1333"/>
      <c r="B1333" s="61"/>
      <c r="C1333" s="61"/>
      <c r="F1333"/>
      <c r="G1333"/>
      <c r="H1333"/>
      <c r="I1333"/>
      <c r="L1333"/>
      <c r="M1333"/>
      <c r="N1333" s="61"/>
      <c r="O1333"/>
    </row>
    <row r="1334" spans="1:15" x14ac:dyDescent="0.2">
      <c r="A1334"/>
      <c r="B1334" s="61"/>
      <c r="C1334" s="61"/>
      <c r="F1334"/>
      <c r="G1334"/>
      <c r="H1334"/>
      <c r="I1334"/>
      <c r="L1334"/>
      <c r="M1334"/>
      <c r="N1334" s="61"/>
      <c r="O1334"/>
    </row>
    <row r="1335" spans="1:15" x14ac:dyDescent="0.2">
      <c r="A1335"/>
      <c r="B1335" s="61"/>
      <c r="C1335" s="61"/>
      <c r="F1335"/>
      <c r="G1335"/>
      <c r="J1335"/>
      <c r="K1335"/>
      <c r="L1335"/>
      <c r="M1335"/>
      <c r="N1335" s="61"/>
      <c r="O1335"/>
    </row>
    <row r="1336" spans="1:15" x14ac:dyDescent="0.2">
      <c r="A1336"/>
      <c r="B1336" s="61"/>
      <c r="C1336" s="61"/>
      <c r="F1336"/>
      <c r="G1336"/>
      <c r="H1336"/>
      <c r="I1336"/>
      <c r="L1336"/>
      <c r="M1336"/>
      <c r="N1336" s="61"/>
      <c r="O1336"/>
    </row>
    <row r="1337" spans="1:15" x14ac:dyDescent="0.2">
      <c r="A1337"/>
      <c r="B1337" s="61"/>
      <c r="C1337" s="61"/>
      <c r="F1337"/>
      <c r="G1337"/>
      <c r="I1337"/>
      <c r="L1337"/>
      <c r="M1337"/>
      <c r="N1337" s="61"/>
      <c r="O1337"/>
    </row>
    <row r="1338" spans="1:15" x14ac:dyDescent="0.2">
      <c r="A1338"/>
      <c r="B1338" s="61"/>
      <c r="C1338" s="61"/>
      <c r="F1338"/>
      <c r="G1338"/>
      <c r="L1338"/>
      <c r="M1338"/>
      <c r="N1338" s="61"/>
      <c r="O1338"/>
    </row>
    <row r="1339" spans="1:15" x14ac:dyDescent="0.2">
      <c r="A1339"/>
      <c r="B1339" s="61"/>
      <c r="C1339" s="61"/>
      <c r="F1339"/>
      <c r="G1339"/>
      <c r="I1339"/>
      <c r="L1339"/>
      <c r="M1339"/>
      <c r="N1339" s="61"/>
      <c r="O1339"/>
    </row>
    <row r="1340" spans="1:15" x14ac:dyDescent="0.2">
      <c r="A1340"/>
      <c r="B1340" s="61"/>
      <c r="C1340" s="61"/>
      <c r="F1340"/>
      <c r="G1340"/>
      <c r="H1340"/>
      <c r="I1340"/>
      <c r="L1340"/>
      <c r="M1340"/>
      <c r="N1340" s="61"/>
      <c r="O1340"/>
    </row>
    <row r="1341" spans="1:15" x14ac:dyDescent="0.2">
      <c r="A1341"/>
      <c r="B1341" s="61"/>
      <c r="C1341" s="61"/>
      <c r="F1341"/>
      <c r="G1341"/>
      <c r="I1341"/>
      <c r="L1341"/>
      <c r="M1341"/>
      <c r="N1341" s="61"/>
      <c r="O1341"/>
    </row>
    <row r="1342" spans="1:15" x14ac:dyDescent="0.2">
      <c r="A1342"/>
      <c r="B1342" s="61"/>
      <c r="C1342" s="61"/>
      <c r="F1342"/>
      <c r="G1342"/>
      <c r="H1342"/>
      <c r="I1342"/>
      <c r="L1342"/>
      <c r="M1342"/>
      <c r="N1342" s="61"/>
      <c r="O1342"/>
    </row>
    <row r="1343" spans="1:15" x14ac:dyDescent="0.2">
      <c r="A1343"/>
      <c r="B1343" s="61"/>
      <c r="C1343" s="61"/>
      <c r="F1343"/>
      <c r="G1343"/>
      <c r="H1343"/>
      <c r="J1343"/>
      <c r="K1343"/>
      <c r="L1343"/>
      <c r="M1343"/>
      <c r="N1343" s="61"/>
      <c r="O1343"/>
    </row>
    <row r="1344" spans="1:15" x14ac:dyDescent="0.2">
      <c r="A1344"/>
      <c r="B1344" s="61"/>
      <c r="C1344" s="61"/>
      <c r="F1344"/>
      <c r="G1344"/>
      <c r="H1344"/>
      <c r="I1344"/>
      <c r="L1344"/>
      <c r="M1344"/>
      <c r="N1344" s="61"/>
      <c r="O1344"/>
    </row>
    <row r="1345" spans="1:15" x14ac:dyDescent="0.2">
      <c r="A1345"/>
      <c r="B1345" s="61"/>
      <c r="C1345" s="61"/>
      <c r="F1345"/>
      <c r="G1345"/>
      <c r="H1345"/>
      <c r="I1345"/>
      <c r="L1345"/>
      <c r="M1345"/>
      <c r="N1345" s="61"/>
      <c r="O1345"/>
    </row>
    <row r="1346" spans="1:15" x14ac:dyDescent="0.2">
      <c r="A1346"/>
      <c r="B1346" s="61"/>
      <c r="C1346" s="61"/>
      <c r="F1346"/>
      <c r="G1346"/>
      <c r="I1346"/>
      <c r="L1346"/>
      <c r="M1346"/>
      <c r="N1346" s="61"/>
      <c r="O1346"/>
    </row>
    <row r="1347" spans="1:15" x14ac:dyDescent="0.2">
      <c r="A1347"/>
      <c r="B1347" s="61"/>
      <c r="C1347" s="61"/>
      <c r="F1347"/>
      <c r="G1347"/>
      <c r="L1347"/>
      <c r="M1347"/>
      <c r="N1347" s="61"/>
      <c r="O1347"/>
    </row>
    <row r="1348" spans="1:15" x14ac:dyDescent="0.2">
      <c r="A1348"/>
      <c r="B1348" s="61"/>
      <c r="C1348" s="61"/>
      <c r="F1348"/>
      <c r="G1348"/>
      <c r="H1348"/>
      <c r="I1348"/>
      <c r="L1348"/>
      <c r="M1348"/>
      <c r="N1348" s="61"/>
      <c r="O1348"/>
    </row>
    <row r="1349" spans="1:15" x14ac:dyDescent="0.2">
      <c r="A1349"/>
      <c r="B1349" s="61"/>
      <c r="C1349" s="61"/>
      <c r="F1349"/>
      <c r="G1349"/>
      <c r="L1349"/>
      <c r="M1349"/>
      <c r="N1349" s="61"/>
      <c r="O1349"/>
    </row>
    <row r="1350" spans="1:15" x14ac:dyDescent="0.2">
      <c r="A1350"/>
      <c r="B1350" s="61"/>
      <c r="C1350" s="61"/>
      <c r="F1350"/>
      <c r="G1350"/>
      <c r="H1350"/>
      <c r="J1350"/>
      <c r="K1350"/>
      <c r="L1350"/>
      <c r="N1350" s="61"/>
      <c r="O1350"/>
    </row>
    <row r="1351" spans="1:15" x14ac:dyDescent="0.2">
      <c r="A1351"/>
      <c r="B1351" s="61"/>
      <c r="C1351" s="61"/>
      <c r="F1351"/>
      <c r="G1351"/>
      <c r="L1351"/>
      <c r="M1351"/>
      <c r="N1351" s="61"/>
      <c r="O1351"/>
    </row>
    <row r="1352" spans="1:15" x14ac:dyDescent="0.2">
      <c r="A1352"/>
      <c r="B1352" s="61"/>
      <c r="C1352" s="61"/>
      <c r="F1352"/>
      <c r="G1352"/>
      <c r="H1352"/>
      <c r="I1352"/>
      <c r="L1352"/>
      <c r="M1352"/>
      <c r="N1352" s="61"/>
      <c r="O1352"/>
    </row>
    <row r="1353" spans="1:15" x14ac:dyDescent="0.2">
      <c r="A1353"/>
      <c r="B1353" s="61"/>
      <c r="C1353" s="61"/>
      <c r="F1353"/>
      <c r="G1353"/>
      <c r="H1353"/>
      <c r="I1353"/>
      <c r="L1353"/>
      <c r="M1353"/>
      <c r="N1353" s="61"/>
      <c r="O1353"/>
    </row>
    <row r="1354" spans="1:15" x14ac:dyDescent="0.2">
      <c r="A1354"/>
      <c r="B1354" s="61"/>
      <c r="C1354" s="61"/>
      <c r="F1354"/>
      <c r="G1354"/>
      <c r="L1354"/>
      <c r="M1354"/>
      <c r="N1354" s="61"/>
      <c r="O1354"/>
    </row>
    <row r="1355" spans="1:15" x14ac:dyDescent="0.2">
      <c r="A1355"/>
      <c r="B1355" s="61"/>
      <c r="C1355" s="61"/>
      <c r="F1355"/>
      <c r="G1355"/>
      <c r="L1355"/>
      <c r="M1355"/>
      <c r="N1355" s="61"/>
      <c r="O1355"/>
    </row>
    <row r="1356" spans="1:15" x14ac:dyDescent="0.2">
      <c r="A1356"/>
      <c r="B1356" s="61"/>
      <c r="C1356" s="61"/>
      <c r="F1356"/>
      <c r="G1356"/>
      <c r="J1356"/>
      <c r="K1356"/>
      <c r="L1356"/>
      <c r="M1356"/>
      <c r="N1356" s="61"/>
      <c r="O1356"/>
    </row>
    <row r="1357" spans="1:15" x14ac:dyDescent="0.2">
      <c r="A1357"/>
      <c r="B1357" s="61"/>
      <c r="C1357" s="61"/>
      <c r="F1357"/>
      <c r="G1357"/>
      <c r="H1357"/>
      <c r="I1357"/>
      <c r="L1357"/>
      <c r="M1357"/>
      <c r="N1357" s="61"/>
      <c r="O1357"/>
    </row>
    <row r="1358" spans="1:15" x14ac:dyDescent="0.2">
      <c r="A1358"/>
      <c r="B1358" s="61"/>
      <c r="C1358" s="61"/>
      <c r="F1358"/>
      <c r="G1358"/>
      <c r="I1358"/>
      <c r="L1358"/>
      <c r="M1358"/>
      <c r="N1358" s="61"/>
      <c r="O1358"/>
    </row>
    <row r="1359" spans="1:15" x14ac:dyDescent="0.2">
      <c r="A1359"/>
      <c r="B1359" s="61"/>
      <c r="C1359" s="61"/>
      <c r="F1359"/>
      <c r="G1359"/>
      <c r="I1359"/>
      <c r="L1359"/>
      <c r="M1359"/>
      <c r="N1359" s="61"/>
      <c r="O1359"/>
    </row>
    <row r="1360" spans="1:15" x14ac:dyDescent="0.2">
      <c r="A1360"/>
      <c r="B1360" s="61"/>
      <c r="C1360" s="61"/>
      <c r="F1360"/>
      <c r="G1360"/>
      <c r="H1360"/>
      <c r="I1360"/>
      <c r="L1360"/>
      <c r="M1360"/>
      <c r="N1360" s="61"/>
      <c r="O1360"/>
    </row>
    <row r="1361" spans="1:15" x14ac:dyDescent="0.2">
      <c r="A1361"/>
      <c r="B1361" s="61"/>
      <c r="C1361" s="61"/>
      <c r="F1361"/>
      <c r="G1361"/>
      <c r="H1361"/>
      <c r="I1361"/>
      <c r="L1361"/>
      <c r="M1361"/>
      <c r="N1361" s="61"/>
      <c r="O1361"/>
    </row>
    <row r="1362" spans="1:15" x14ac:dyDescent="0.2">
      <c r="A1362"/>
      <c r="B1362" s="61"/>
      <c r="C1362" s="61"/>
      <c r="F1362"/>
      <c r="G1362"/>
      <c r="I1362"/>
      <c r="L1362"/>
      <c r="M1362"/>
      <c r="N1362" s="61"/>
      <c r="O1362"/>
    </row>
    <row r="1363" spans="1:15" x14ac:dyDescent="0.2">
      <c r="A1363"/>
      <c r="B1363" s="61"/>
      <c r="C1363" s="61"/>
      <c r="F1363"/>
      <c r="G1363"/>
      <c r="H1363"/>
      <c r="L1363"/>
      <c r="M1363"/>
      <c r="N1363" s="61"/>
      <c r="O1363"/>
    </row>
    <row r="1364" spans="1:15" x14ac:dyDescent="0.2">
      <c r="A1364"/>
      <c r="B1364" s="61"/>
      <c r="C1364" s="61"/>
      <c r="F1364"/>
      <c r="G1364"/>
      <c r="H1364"/>
      <c r="I1364"/>
      <c r="L1364"/>
      <c r="M1364"/>
      <c r="N1364" s="61"/>
      <c r="O1364"/>
    </row>
    <row r="1365" spans="1:15" x14ac:dyDescent="0.2">
      <c r="A1365"/>
      <c r="B1365" s="61"/>
      <c r="C1365" s="61"/>
      <c r="F1365"/>
      <c r="G1365"/>
      <c r="H1365"/>
      <c r="M1365"/>
      <c r="N1365" s="61"/>
      <c r="O1365"/>
    </row>
    <row r="1366" spans="1:15" x14ac:dyDescent="0.2">
      <c r="A1366"/>
      <c r="B1366" s="61"/>
      <c r="C1366" s="61"/>
      <c r="F1366"/>
      <c r="G1366"/>
      <c r="L1366"/>
      <c r="M1366"/>
      <c r="N1366" s="61"/>
      <c r="O1366"/>
    </row>
    <row r="1367" spans="1:15" x14ac:dyDescent="0.2">
      <c r="A1367"/>
      <c r="B1367" s="61"/>
      <c r="C1367" s="61"/>
      <c r="F1367"/>
      <c r="G1367"/>
      <c r="H1367"/>
      <c r="I1367"/>
      <c r="L1367"/>
      <c r="M1367"/>
      <c r="N1367" s="61"/>
      <c r="O1367"/>
    </row>
    <row r="1368" spans="1:15" x14ac:dyDescent="0.2">
      <c r="A1368"/>
      <c r="B1368" s="61"/>
      <c r="C1368" s="61"/>
      <c r="F1368"/>
      <c r="G1368"/>
      <c r="H1368"/>
      <c r="I1368"/>
      <c r="L1368"/>
      <c r="M1368"/>
      <c r="N1368" s="61"/>
      <c r="O1368"/>
    </row>
    <row r="1369" spans="1:15" x14ac:dyDescent="0.2">
      <c r="A1369"/>
      <c r="B1369" s="61"/>
      <c r="C1369" s="61"/>
      <c r="F1369"/>
      <c r="G1369"/>
      <c r="H1369"/>
      <c r="I1369"/>
      <c r="L1369"/>
      <c r="M1369"/>
      <c r="N1369" s="61"/>
      <c r="O1369"/>
    </row>
    <row r="1370" spans="1:15" x14ac:dyDescent="0.2">
      <c r="A1370"/>
      <c r="B1370" s="61"/>
      <c r="C1370" s="61"/>
      <c r="F1370"/>
      <c r="G1370"/>
      <c r="I1370"/>
      <c r="L1370"/>
      <c r="M1370"/>
      <c r="N1370" s="61"/>
      <c r="O1370"/>
    </row>
    <row r="1371" spans="1:15" x14ac:dyDescent="0.2">
      <c r="A1371"/>
      <c r="B1371" s="61"/>
      <c r="C1371" s="61"/>
      <c r="F1371"/>
      <c r="G1371"/>
      <c r="H1371"/>
      <c r="L1371"/>
      <c r="M1371"/>
      <c r="N1371" s="61"/>
      <c r="O1371"/>
    </row>
    <row r="1372" spans="1:15" x14ac:dyDescent="0.2">
      <c r="A1372"/>
      <c r="B1372" s="61"/>
      <c r="C1372" s="61"/>
      <c r="F1372"/>
      <c r="G1372"/>
      <c r="H1372"/>
      <c r="I1372"/>
      <c r="L1372"/>
      <c r="M1372"/>
      <c r="N1372" s="61"/>
      <c r="O1372"/>
    </row>
    <row r="1373" spans="1:15" x14ac:dyDescent="0.2">
      <c r="A1373"/>
      <c r="B1373" s="61"/>
      <c r="C1373" s="61"/>
      <c r="F1373"/>
      <c r="G1373"/>
      <c r="H1373"/>
      <c r="I1373"/>
      <c r="L1373"/>
      <c r="M1373"/>
      <c r="N1373" s="61"/>
      <c r="O1373"/>
    </row>
    <row r="1374" spans="1:15" x14ac:dyDescent="0.2">
      <c r="A1374"/>
      <c r="B1374" s="61"/>
      <c r="C1374" s="61"/>
      <c r="F1374"/>
      <c r="G1374"/>
      <c r="H1374"/>
      <c r="I1374"/>
      <c r="L1374"/>
      <c r="M1374"/>
      <c r="N1374" s="61"/>
      <c r="O1374"/>
    </row>
    <row r="1375" spans="1:15" x14ac:dyDescent="0.2">
      <c r="A1375"/>
      <c r="B1375" s="61"/>
      <c r="C1375" s="61"/>
      <c r="F1375"/>
      <c r="G1375"/>
      <c r="H1375"/>
      <c r="I1375"/>
      <c r="L1375"/>
      <c r="M1375"/>
      <c r="N1375" s="61"/>
      <c r="O1375"/>
    </row>
    <row r="1376" spans="1:15" x14ac:dyDescent="0.2">
      <c r="A1376"/>
      <c r="B1376" s="61"/>
      <c r="C1376" s="61"/>
      <c r="F1376"/>
      <c r="G1376"/>
      <c r="L1376"/>
      <c r="M1376"/>
      <c r="N1376" s="61"/>
      <c r="O1376"/>
    </row>
    <row r="1377" spans="1:15" x14ac:dyDescent="0.2">
      <c r="A1377"/>
      <c r="B1377" s="61"/>
      <c r="C1377" s="61"/>
      <c r="F1377"/>
      <c r="G1377"/>
      <c r="I1377"/>
      <c r="L1377"/>
      <c r="M1377"/>
      <c r="N1377" s="61"/>
      <c r="O1377"/>
    </row>
    <row r="1378" spans="1:15" x14ac:dyDescent="0.2">
      <c r="A1378"/>
      <c r="B1378" s="61"/>
      <c r="C1378" s="61"/>
      <c r="F1378"/>
      <c r="G1378"/>
      <c r="H1378"/>
      <c r="I1378"/>
      <c r="L1378"/>
      <c r="M1378"/>
      <c r="N1378" s="61"/>
      <c r="O1378"/>
    </row>
    <row r="1379" spans="1:15" x14ac:dyDescent="0.2">
      <c r="A1379"/>
      <c r="B1379" s="61"/>
      <c r="C1379" s="61"/>
      <c r="F1379"/>
      <c r="G1379"/>
      <c r="H1379"/>
      <c r="I1379"/>
      <c r="L1379"/>
      <c r="M1379"/>
      <c r="N1379" s="61"/>
      <c r="O1379"/>
    </row>
    <row r="1380" spans="1:15" x14ac:dyDescent="0.2">
      <c r="A1380"/>
      <c r="B1380" s="61"/>
      <c r="C1380" s="61"/>
      <c r="F1380"/>
      <c r="G1380"/>
      <c r="H1380"/>
      <c r="I1380"/>
      <c r="L1380"/>
      <c r="M1380"/>
      <c r="N1380" s="61"/>
      <c r="O1380"/>
    </row>
    <row r="1381" spans="1:15" x14ac:dyDescent="0.2">
      <c r="A1381"/>
      <c r="B1381" s="61"/>
      <c r="C1381" s="61"/>
      <c r="F1381"/>
      <c r="G1381"/>
      <c r="L1381"/>
      <c r="M1381"/>
      <c r="N1381" s="61"/>
      <c r="O1381"/>
    </row>
    <row r="1382" spans="1:15" x14ac:dyDescent="0.2">
      <c r="A1382"/>
      <c r="B1382" s="61"/>
      <c r="C1382" s="61"/>
      <c r="F1382"/>
      <c r="G1382"/>
      <c r="L1382"/>
      <c r="M1382"/>
      <c r="N1382" s="61"/>
      <c r="O1382"/>
    </row>
    <row r="1383" spans="1:15" x14ac:dyDescent="0.2">
      <c r="A1383"/>
      <c r="B1383" s="61"/>
      <c r="C1383" s="61"/>
      <c r="F1383"/>
      <c r="G1383"/>
      <c r="J1383"/>
      <c r="K1383"/>
      <c r="L1383"/>
      <c r="M1383"/>
      <c r="N1383" s="61"/>
      <c r="O1383"/>
    </row>
    <row r="1384" spans="1:15" x14ac:dyDescent="0.2">
      <c r="A1384"/>
      <c r="B1384" s="61"/>
      <c r="C1384" s="61"/>
      <c r="F1384"/>
      <c r="G1384"/>
      <c r="L1384"/>
      <c r="M1384"/>
      <c r="N1384" s="61"/>
      <c r="O1384"/>
    </row>
    <row r="1385" spans="1:15" x14ac:dyDescent="0.2">
      <c r="A1385"/>
      <c r="B1385" s="61"/>
      <c r="C1385" s="61"/>
      <c r="F1385"/>
      <c r="G1385"/>
      <c r="I1385"/>
      <c r="L1385"/>
      <c r="M1385"/>
      <c r="N1385" s="61"/>
      <c r="O1385"/>
    </row>
    <row r="1386" spans="1:15" x14ac:dyDescent="0.2">
      <c r="A1386"/>
      <c r="B1386" s="61"/>
      <c r="C1386" s="61"/>
      <c r="F1386"/>
      <c r="G1386"/>
      <c r="H1386"/>
      <c r="I1386"/>
      <c r="L1386"/>
      <c r="M1386"/>
      <c r="N1386" s="61"/>
      <c r="O1386"/>
    </row>
    <row r="1387" spans="1:15" x14ac:dyDescent="0.2">
      <c r="A1387"/>
      <c r="B1387" s="61"/>
      <c r="C1387" s="61"/>
      <c r="F1387"/>
      <c r="G1387"/>
      <c r="L1387"/>
      <c r="M1387"/>
      <c r="N1387" s="61"/>
      <c r="O1387"/>
    </row>
    <row r="1388" spans="1:15" x14ac:dyDescent="0.2">
      <c r="A1388"/>
      <c r="B1388" s="61"/>
      <c r="C1388" s="61"/>
      <c r="F1388"/>
      <c r="G1388"/>
      <c r="I1388"/>
      <c r="L1388"/>
      <c r="M1388"/>
      <c r="N1388" s="61"/>
      <c r="O1388"/>
    </row>
    <row r="1389" spans="1:15" x14ac:dyDescent="0.2">
      <c r="A1389"/>
      <c r="B1389" s="61"/>
      <c r="C1389" s="61"/>
      <c r="F1389"/>
      <c r="G1389"/>
      <c r="H1389"/>
      <c r="J1389"/>
      <c r="K1389"/>
      <c r="L1389"/>
      <c r="M1389"/>
      <c r="N1389" s="61"/>
      <c r="O1389"/>
    </row>
    <row r="1390" spans="1:15" x14ac:dyDescent="0.2">
      <c r="A1390"/>
      <c r="B1390" s="61"/>
      <c r="C1390" s="61"/>
      <c r="F1390"/>
      <c r="G1390"/>
      <c r="H1390"/>
      <c r="I1390"/>
      <c r="L1390"/>
      <c r="M1390"/>
      <c r="N1390" s="61"/>
      <c r="O1390"/>
    </row>
    <row r="1391" spans="1:15" x14ac:dyDescent="0.2">
      <c r="A1391"/>
      <c r="B1391" s="61"/>
      <c r="C1391" s="61"/>
      <c r="F1391"/>
      <c r="G1391"/>
      <c r="H1391"/>
      <c r="I1391"/>
      <c r="L1391"/>
      <c r="M1391"/>
      <c r="N1391" s="61"/>
      <c r="O1391"/>
    </row>
    <row r="1392" spans="1:15" x14ac:dyDescent="0.2">
      <c r="A1392"/>
      <c r="B1392" s="61"/>
      <c r="C1392" s="61"/>
      <c r="F1392"/>
      <c r="G1392"/>
      <c r="H1392"/>
      <c r="I1392"/>
      <c r="L1392"/>
      <c r="M1392"/>
      <c r="N1392" s="61"/>
      <c r="O1392"/>
    </row>
    <row r="1393" spans="1:15" x14ac:dyDescent="0.2">
      <c r="A1393"/>
      <c r="B1393" s="61"/>
      <c r="C1393" s="61"/>
      <c r="F1393"/>
      <c r="G1393"/>
      <c r="H1393"/>
      <c r="I1393"/>
      <c r="L1393"/>
      <c r="M1393"/>
      <c r="N1393" s="61"/>
      <c r="O1393"/>
    </row>
    <row r="1394" spans="1:15" x14ac:dyDescent="0.2">
      <c r="A1394"/>
      <c r="B1394" s="61"/>
      <c r="C1394" s="61"/>
      <c r="F1394"/>
      <c r="G1394"/>
      <c r="I1394"/>
      <c r="L1394"/>
      <c r="M1394"/>
      <c r="N1394" s="61"/>
      <c r="O1394"/>
    </row>
    <row r="1395" spans="1:15" x14ac:dyDescent="0.2">
      <c r="A1395"/>
      <c r="B1395" s="61"/>
      <c r="C1395" s="61"/>
      <c r="F1395"/>
      <c r="G1395"/>
      <c r="H1395"/>
      <c r="I1395"/>
      <c r="L1395"/>
      <c r="M1395"/>
      <c r="N1395" s="61"/>
      <c r="O1395"/>
    </row>
    <row r="1396" spans="1:15" x14ac:dyDescent="0.2">
      <c r="A1396"/>
      <c r="B1396" s="61"/>
      <c r="C1396" s="61"/>
      <c r="F1396"/>
      <c r="G1396"/>
      <c r="H1396"/>
      <c r="I1396"/>
      <c r="L1396"/>
      <c r="N1396" s="61"/>
      <c r="O1396"/>
    </row>
    <row r="1397" spans="1:15" x14ac:dyDescent="0.2">
      <c r="A1397"/>
      <c r="B1397" s="61"/>
      <c r="C1397" s="61"/>
      <c r="F1397"/>
      <c r="G1397"/>
      <c r="J1397"/>
      <c r="K1397"/>
      <c r="L1397"/>
      <c r="M1397"/>
      <c r="N1397" s="61"/>
      <c r="O1397"/>
    </row>
    <row r="1398" spans="1:15" x14ac:dyDescent="0.2">
      <c r="A1398"/>
      <c r="B1398" s="61"/>
      <c r="C1398" s="61"/>
      <c r="F1398"/>
      <c r="G1398"/>
      <c r="H1398"/>
      <c r="J1398"/>
      <c r="K1398"/>
      <c r="L1398"/>
      <c r="M1398"/>
      <c r="N1398" s="61"/>
      <c r="O1398"/>
    </row>
    <row r="1399" spans="1:15" x14ac:dyDescent="0.2">
      <c r="A1399"/>
      <c r="B1399" s="61"/>
      <c r="C1399" s="61"/>
      <c r="F1399"/>
      <c r="G1399"/>
      <c r="L1399"/>
      <c r="M1399"/>
      <c r="N1399" s="61"/>
      <c r="O1399"/>
    </row>
    <row r="1400" spans="1:15" x14ac:dyDescent="0.2">
      <c r="A1400"/>
      <c r="B1400" s="61"/>
      <c r="C1400" s="61"/>
      <c r="F1400"/>
      <c r="G1400"/>
      <c r="H1400"/>
      <c r="I1400"/>
      <c r="J1400"/>
      <c r="K1400"/>
      <c r="L1400"/>
      <c r="M1400"/>
      <c r="N1400" s="61"/>
      <c r="O1400"/>
    </row>
    <row r="1401" spans="1:15" x14ac:dyDescent="0.2">
      <c r="A1401"/>
      <c r="B1401" s="61"/>
      <c r="C1401" s="61"/>
      <c r="F1401"/>
      <c r="G1401"/>
      <c r="H1401"/>
      <c r="J1401"/>
      <c r="K1401"/>
      <c r="M1401"/>
      <c r="N1401" s="61"/>
      <c r="O1401"/>
    </row>
    <row r="1402" spans="1:15" x14ac:dyDescent="0.2">
      <c r="A1402"/>
      <c r="B1402" s="61"/>
      <c r="C1402" s="61"/>
      <c r="F1402"/>
      <c r="G1402"/>
      <c r="H1402"/>
      <c r="J1402"/>
      <c r="K1402"/>
      <c r="L1402"/>
      <c r="M1402"/>
      <c r="N1402" s="61"/>
      <c r="O1402"/>
    </row>
    <row r="1403" spans="1:15" x14ac:dyDescent="0.2">
      <c r="A1403"/>
      <c r="B1403" s="61"/>
      <c r="C1403" s="61"/>
      <c r="F1403"/>
      <c r="G1403"/>
      <c r="J1403"/>
      <c r="K1403"/>
      <c r="L1403"/>
      <c r="M1403"/>
      <c r="N1403" s="61"/>
      <c r="O1403"/>
    </row>
    <row r="1404" spans="1:15" x14ac:dyDescent="0.2">
      <c r="A1404"/>
      <c r="B1404" s="61"/>
      <c r="C1404" s="61"/>
      <c r="F1404"/>
      <c r="G1404"/>
      <c r="H1404"/>
      <c r="I1404"/>
      <c r="J1404"/>
      <c r="K1404"/>
      <c r="L1404"/>
      <c r="M1404"/>
      <c r="N1404" s="61"/>
      <c r="O1404"/>
    </row>
    <row r="1405" spans="1:15" x14ac:dyDescent="0.2">
      <c r="A1405"/>
      <c r="B1405" s="61"/>
      <c r="C1405" s="61"/>
      <c r="F1405"/>
      <c r="G1405"/>
      <c r="J1405"/>
      <c r="L1405"/>
      <c r="M1405"/>
      <c r="N1405" s="61"/>
      <c r="O1405"/>
    </row>
    <row r="1406" spans="1:15" x14ac:dyDescent="0.2">
      <c r="A1406"/>
      <c r="B1406" s="61"/>
      <c r="C1406" s="61"/>
      <c r="F1406"/>
      <c r="G1406"/>
      <c r="I1406"/>
      <c r="L1406"/>
      <c r="N1406" s="61"/>
      <c r="O1406"/>
    </row>
    <row r="1407" spans="1:15" x14ac:dyDescent="0.2">
      <c r="A1407"/>
      <c r="B1407" s="61"/>
      <c r="C1407" s="61"/>
      <c r="F1407"/>
      <c r="G1407"/>
      <c r="L1407"/>
      <c r="M1407"/>
      <c r="N1407" s="61"/>
      <c r="O1407"/>
    </row>
    <row r="1408" spans="1:15" x14ac:dyDescent="0.2">
      <c r="A1408"/>
      <c r="B1408" s="61"/>
      <c r="C1408" s="61"/>
      <c r="F1408"/>
      <c r="G1408"/>
      <c r="H1408"/>
      <c r="J1408"/>
      <c r="K1408"/>
      <c r="L1408"/>
      <c r="M1408"/>
      <c r="N1408" s="61"/>
      <c r="O1408"/>
    </row>
    <row r="1409" spans="1:15" x14ac:dyDescent="0.2">
      <c r="A1409"/>
      <c r="B1409" s="61"/>
      <c r="C1409" s="61"/>
      <c r="F1409"/>
      <c r="G1409"/>
      <c r="J1409"/>
      <c r="K1409"/>
      <c r="L1409"/>
      <c r="M1409"/>
      <c r="N1409" s="61"/>
      <c r="O1409"/>
    </row>
    <row r="1410" spans="1:15" x14ac:dyDescent="0.2">
      <c r="A1410"/>
      <c r="B1410" s="61"/>
      <c r="C1410" s="61"/>
      <c r="F1410"/>
      <c r="G1410"/>
      <c r="H1410"/>
      <c r="I1410"/>
      <c r="L1410"/>
      <c r="M1410"/>
      <c r="N1410" s="61"/>
      <c r="O1410"/>
    </row>
    <row r="1411" spans="1:15" x14ac:dyDescent="0.2">
      <c r="A1411"/>
      <c r="B1411" s="61"/>
      <c r="C1411" s="61"/>
      <c r="F1411"/>
      <c r="G1411"/>
      <c r="H1411"/>
      <c r="L1411"/>
      <c r="M1411"/>
      <c r="N1411" s="61"/>
      <c r="O1411"/>
    </row>
    <row r="1412" spans="1:15" x14ac:dyDescent="0.2">
      <c r="A1412"/>
      <c r="B1412" s="61"/>
      <c r="C1412" s="61"/>
      <c r="F1412"/>
      <c r="G1412"/>
      <c r="H1412"/>
      <c r="I1412"/>
      <c r="L1412"/>
      <c r="N1412" s="61"/>
      <c r="O1412"/>
    </row>
    <row r="1413" spans="1:15" x14ac:dyDescent="0.2">
      <c r="A1413"/>
      <c r="B1413" s="61"/>
      <c r="C1413" s="61"/>
      <c r="F1413"/>
      <c r="G1413"/>
      <c r="I1413"/>
      <c r="L1413"/>
      <c r="M1413"/>
      <c r="N1413" s="61"/>
      <c r="O1413"/>
    </row>
    <row r="1414" spans="1:15" x14ac:dyDescent="0.2">
      <c r="A1414"/>
      <c r="B1414" s="61"/>
      <c r="C1414" s="61"/>
      <c r="F1414"/>
      <c r="G1414"/>
      <c r="L1414"/>
      <c r="M1414"/>
      <c r="N1414" s="61"/>
      <c r="O1414"/>
    </row>
    <row r="1415" spans="1:15" x14ac:dyDescent="0.2">
      <c r="A1415"/>
      <c r="B1415" s="61"/>
      <c r="C1415" s="61"/>
      <c r="F1415"/>
      <c r="G1415"/>
      <c r="L1415"/>
      <c r="M1415"/>
      <c r="N1415" s="61"/>
      <c r="O1415"/>
    </row>
    <row r="1416" spans="1:15" x14ac:dyDescent="0.2">
      <c r="A1416"/>
      <c r="B1416" s="61"/>
      <c r="C1416" s="61"/>
      <c r="F1416"/>
      <c r="G1416"/>
      <c r="H1416"/>
      <c r="I1416"/>
      <c r="L1416"/>
      <c r="M1416"/>
      <c r="N1416" s="61"/>
      <c r="O1416"/>
    </row>
    <row r="1417" spans="1:15" x14ac:dyDescent="0.2">
      <c r="A1417"/>
      <c r="B1417" s="61"/>
      <c r="C1417" s="61"/>
      <c r="F1417"/>
      <c r="G1417"/>
      <c r="L1417"/>
      <c r="M1417"/>
      <c r="N1417" s="61"/>
      <c r="O1417"/>
    </row>
    <row r="1418" spans="1:15" x14ac:dyDescent="0.2">
      <c r="A1418"/>
      <c r="B1418" s="61"/>
      <c r="C1418" s="61"/>
      <c r="F1418"/>
      <c r="G1418"/>
      <c r="H1418"/>
      <c r="I1418"/>
      <c r="L1418"/>
      <c r="M1418"/>
      <c r="N1418" s="61"/>
      <c r="O1418"/>
    </row>
    <row r="1419" spans="1:15" x14ac:dyDescent="0.2">
      <c r="A1419"/>
      <c r="B1419" s="61"/>
      <c r="C1419" s="61"/>
      <c r="F1419"/>
      <c r="G1419"/>
      <c r="H1419"/>
      <c r="I1419"/>
      <c r="L1419"/>
      <c r="M1419"/>
      <c r="N1419" s="61"/>
      <c r="O1419"/>
    </row>
    <row r="1420" spans="1:15" x14ac:dyDescent="0.2">
      <c r="A1420"/>
      <c r="B1420" s="61"/>
      <c r="C1420" s="61"/>
      <c r="F1420"/>
      <c r="G1420"/>
      <c r="H1420"/>
      <c r="I1420"/>
      <c r="L1420"/>
      <c r="M1420"/>
      <c r="N1420" s="61"/>
      <c r="O1420"/>
    </row>
    <row r="1421" spans="1:15" x14ac:dyDescent="0.2">
      <c r="A1421"/>
      <c r="B1421" s="61"/>
      <c r="C1421" s="61"/>
      <c r="F1421"/>
      <c r="G1421"/>
      <c r="H1421"/>
      <c r="I1421"/>
      <c r="L1421"/>
      <c r="M1421"/>
      <c r="N1421" s="61"/>
      <c r="O1421"/>
    </row>
    <row r="1422" spans="1:15" x14ac:dyDescent="0.2">
      <c r="A1422"/>
      <c r="B1422" s="61"/>
      <c r="C1422" s="61"/>
      <c r="F1422"/>
      <c r="G1422"/>
      <c r="H1422"/>
      <c r="I1422"/>
      <c r="L1422"/>
      <c r="M1422"/>
      <c r="N1422" s="61"/>
      <c r="O1422"/>
    </row>
    <row r="1423" spans="1:15" x14ac:dyDescent="0.2">
      <c r="A1423"/>
      <c r="B1423" s="61"/>
      <c r="C1423" s="61"/>
      <c r="F1423"/>
      <c r="G1423"/>
      <c r="H1423"/>
      <c r="I1423"/>
      <c r="L1423"/>
      <c r="M1423"/>
      <c r="N1423" s="61"/>
      <c r="O1423"/>
    </row>
    <row r="1424" spans="1:15" x14ac:dyDescent="0.2">
      <c r="A1424"/>
      <c r="B1424" s="61"/>
      <c r="C1424" s="61"/>
      <c r="F1424"/>
      <c r="G1424"/>
      <c r="J1424"/>
      <c r="K1424"/>
      <c r="L1424"/>
      <c r="M1424"/>
      <c r="N1424" s="61"/>
      <c r="O1424"/>
    </row>
    <row r="1425" spans="1:15" x14ac:dyDescent="0.2">
      <c r="A1425"/>
      <c r="B1425" s="61"/>
      <c r="C1425" s="61"/>
      <c r="F1425"/>
      <c r="G1425"/>
      <c r="H1425"/>
      <c r="I1425"/>
      <c r="L1425"/>
      <c r="M1425"/>
      <c r="N1425" s="61"/>
      <c r="O1425"/>
    </row>
    <row r="1426" spans="1:15" x14ac:dyDescent="0.2">
      <c r="A1426"/>
      <c r="B1426" s="61"/>
      <c r="C1426" s="61"/>
      <c r="F1426"/>
      <c r="G1426"/>
      <c r="I1426"/>
      <c r="L1426"/>
      <c r="M1426"/>
      <c r="N1426" s="61"/>
      <c r="O1426"/>
    </row>
    <row r="1427" spans="1:15" x14ac:dyDescent="0.2">
      <c r="A1427"/>
      <c r="B1427" s="61"/>
      <c r="C1427" s="61"/>
      <c r="F1427"/>
      <c r="G1427"/>
      <c r="H1427"/>
      <c r="I1427"/>
      <c r="L1427"/>
      <c r="M1427"/>
      <c r="N1427" s="61"/>
      <c r="O1427"/>
    </row>
    <row r="1428" spans="1:15" x14ac:dyDescent="0.2">
      <c r="A1428"/>
      <c r="B1428" s="61"/>
      <c r="C1428" s="61"/>
      <c r="F1428"/>
      <c r="G1428"/>
      <c r="I1428"/>
      <c r="L1428"/>
      <c r="M1428"/>
      <c r="N1428" s="61"/>
      <c r="O1428"/>
    </row>
    <row r="1429" spans="1:15" x14ac:dyDescent="0.2">
      <c r="A1429"/>
      <c r="B1429" s="61"/>
      <c r="C1429" s="61"/>
      <c r="F1429"/>
      <c r="G1429"/>
      <c r="L1429"/>
      <c r="M1429"/>
      <c r="N1429" s="61"/>
      <c r="O1429"/>
    </row>
    <row r="1430" spans="1:15" x14ac:dyDescent="0.2">
      <c r="A1430"/>
      <c r="B1430" s="61"/>
      <c r="C1430" s="61"/>
      <c r="F1430"/>
      <c r="G1430"/>
      <c r="H1430"/>
      <c r="I1430"/>
      <c r="L1430"/>
      <c r="M1430"/>
      <c r="N1430" s="61"/>
      <c r="O1430"/>
    </row>
    <row r="1431" spans="1:15" x14ac:dyDescent="0.2">
      <c r="A1431"/>
      <c r="B1431" s="61"/>
      <c r="C1431" s="61"/>
      <c r="F1431"/>
      <c r="G1431"/>
      <c r="H1431"/>
      <c r="I1431"/>
      <c r="L1431"/>
      <c r="N1431" s="61"/>
      <c r="O1431"/>
    </row>
    <row r="1432" spans="1:15" x14ac:dyDescent="0.2">
      <c r="A1432"/>
      <c r="B1432" s="61"/>
      <c r="C1432" s="61"/>
      <c r="F1432"/>
      <c r="G1432"/>
      <c r="I1432"/>
      <c r="L1432"/>
      <c r="M1432"/>
      <c r="N1432" s="61"/>
      <c r="O1432"/>
    </row>
    <row r="1433" spans="1:15" x14ac:dyDescent="0.2">
      <c r="A1433"/>
      <c r="B1433" s="61"/>
      <c r="C1433" s="61"/>
      <c r="F1433"/>
      <c r="G1433"/>
      <c r="L1433"/>
      <c r="M1433"/>
      <c r="N1433" s="61"/>
      <c r="O1433"/>
    </row>
    <row r="1434" spans="1:15" x14ac:dyDescent="0.2">
      <c r="A1434"/>
      <c r="B1434" s="61"/>
      <c r="C1434" s="61"/>
      <c r="F1434"/>
      <c r="G1434"/>
      <c r="H1434"/>
      <c r="I1434"/>
      <c r="L1434"/>
      <c r="M1434"/>
      <c r="N1434" s="61"/>
      <c r="O1434"/>
    </row>
    <row r="1435" spans="1:15" x14ac:dyDescent="0.2">
      <c r="A1435"/>
      <c r="B1435" s="61"/>
      <c r="C1435" s="61"/>
      <c r="F1435"/>
      <c r="G1435"/>
      <c r="H1435"/>
      <c r="J1435"/>
      <c r="K1435"/>
      <c r="L1435"/>
      <c r="M1435"/>
      <c r="N1435" s="61"/>
      <c r="O1435"/>
    </row>
    <row r="1436" spans="1:15" x14ac:dyDescent="0.2">
      <c r="A1436"/>
      <c r="B1436" s="61"/>
      <c r="C1436" s="61"/>
      <c r="F1436"/>
      <c r="G1436"/>
      <c r="L1436"/>
      <c r="M1436"/>
      <c r="N1436" s="61"/>
      <c r="O1436"/>
    </row>
    <row r="1437" spans="1:15" x14ac:dyDescent="0.2">
      <c r="A1437"/>
      <c r="B1437" s="61"/>
      <c r="C1437" s="61"/>
      <c r="F1437"/>
      <c r="G1437"/>
      <c r="H1437"/>
      <c r="I1437"/>
      <c r="L1437"/>
      <c r="M1437"/>
      <c r="N1437" s="61"/>
      <c r="O1437"/>
    </row>
    <row r="1438" spans="1:15" x14ac:dyDescent="0.2">
      <c r="A1438"/>
      <c r="B1438" s="61"/>
      <c r="C1438" s="61"/>
      <c r="F1438"/>
      <c r="G1438"/>
      <c r="H1438"/>
      <c r="I1438"/>
      <c r="L1438"/>
      <c r="M1438"/>
      <c r="N1438" s="61"/>
      <c r="O1438"/>
    </row>
    <row r="1439" spans="1:15" x14ac:dyDescent="0.2">
      <c r="A1439"/>
      <c r="B1439" s="61"/>
      <c r="C1439" s="61"/>
      <c r="F1439"/>
      <c r="G1439"/>
      <c r="H1439"/>
      <c r="L1439"/>
      <c r="M1439"/>
      <c r="N1439" s="61"/>
      <c r="O1439"/>
    </row>
    <row r="1440" spans="1:15" x14ac:dyDescent="0.2">
      <c r="A1440"/>
      <c r="B1440" s="61"/>
      <c r="C1440" s="61"/>
      <c r="F1440"/>
      <c r="G1440"/>
      <c r="H1440"/>
      <c r="I1440"/>
      <c r="L1440"/>
      <c r="M1440"/>
      <c r="N1440" s="61"/>
      <c r="O1440"/>
    </row>
    <row r="1441" spans="1:15" x14ac:dyDescent="0.2">
      <c r="A1441"/>
      <c r="B1441" s="61"/>
      <c r="C1441" s="61"/>
      <c r="F1441"/>
      <c r="G1441"/>
      <c r="H1441"/>
      <c r="I1441"/>
      <c r="L1441"/>
      <c r="N1441" s="61"/>
      <c r="O1441"/>
    </row>
    <row r="1442" spans="1:15" x14ac:dyDescent="0.2">
      <c r="A1442"/>
      <c r="B1442" s="61"/>
      <c r="C1442" s="61"/>
      <c r="F1442"/>
      <c r="G1442"/>
      <c r="H1442"/>
      <c r="I1442"/>
      <c r="L1442"/>
      <c r="M1442"/>
      <c r="N1442" s="61"/>
      <c r="O1442"/>
    </row>
    <row r="1443" spans="1:15" x14ac:dyDescent="0.2">
      <c r="A1443"/>
      <c r="B1443" s="61"/>
      <c r="C1443" s="61"/>
      <c r="F1443"/>
      <c r="G1443"/>
      <c r="H1443"/>
      <c r="I1443"/>
      <c r="J1443"/>
      <c r="K1443"/>
      <c r="L1443"/>
      <c r="M1443"/>
      <c r="N1443" s="61"/>
      <c r="O1443"/>
    </row>
    <row r="1444" spans="1:15" x14ac:dyDescent="0.2">
      <c r="A1444"/>
      <c r="B1444" s="61"/>
      <c r="C1444" s="61"/>
      <c r="F1444"/>
      <c r="G1444"/>
      <c r="H1444"/>
      <c r="J1444"/>
      <c r="K1444"/>
      <c r="L1444"/>
      <c r="M1444"/>
      <c r="N1444" s="61"/>
      <c r="O1444"/>
    </row>
    <row r="1445" spans="1:15" x14ac:dyDescent="0.2">
      <c r="A1445"/>
      <c r="B1445" s="61"/>
      <c r="C1445" s="61"/>
      <c r="F1445"/>
      <c r="G1445"/>
      <c r="L1445"/>
      <c r="M1445"/>
      <c r="N1445" s="61"/>
      <c r="O1445"/>
    </row>
    <row r="1446" spans="1:15" x14ac:dyDescent="0.2">
      <c r="A1446"/>
      <c r="B1446" s="61"/>
      <c r="C1446" s="61"/>
      <c r="F1446"/>
      <c r="G1446"/>
      <c r="H1446"/>
      <c r="I1446"/>
      <c r="L1446"/>
      <c r="M1446"/>
      <c r="N1446" s="61"/>
      <c r="O1446"/>
    </row>
    <row r="1447" spans="1:15" x14ac:dyDescent="0.2">
      <c r="A1447"/>
      <c r="B1447" s="61"/>
      <c r="C1447" s="61"/>
      <c r="F1447"/>
      <c r="G1447"/>
      <c r="M1447"/>
      <c r="N1447" s="61"/>
      <c r="O1447"/>
    </row>
    <row r="1448" spans="1:15" x14ac:dyDescent="0.2">
      <c r="A1448"/>
      <c r="B1448" s="61"/>
      <c r="C1448" s="61"/>
      <c r="F1448"/>
      <c r="G1448"/>
      <c r="L1448"/>
      <c r="M1448"/>
      <c r="N1448" s="61"/>
      <c r="O1448"/>
    </row>
    <row r="1449" spans="1:15" x14ac:dyDescent="0.2">
      <c r="A1449"/>
      <c r="B1449" s="61"/>
      <c r="C1449" s="61"/>
      <c r="F1449"/>
      <c r="G1449"/>
      <c r="M1449"/>
      <c r="N1449" s="61"/>
      <c r="O1449"/>
    </row>
    <row r="1450" spans="1:15" x14ac:dyDescent="0.2">
      <c r="A1450"/>
      <c r="B1450" s="61"/>
      <c r="C1450" s="61"/>
      <c r="F1450"/>
      <c r="G1450"/>
      <c r="L1450"/>
      <c r="M1450"/>
      <c r="N1450" s="61"/>
      <c r="O1450"/>
    </row>
    <row r="1451" spans="1:15" x14ac:dyDescent="0.2">
      <c r="A1451"/>
      <c r="B1451" s="61"/>
      <c r="C1451" s="61"/>
      <c r="F1451"/>
      <c r="G1451"/>
      <c r="H1451"/>
      <c r="I1451"/>
      <c r="L1451"/>
      <c r="N1451" s="61"/>
      <c r="O1451"/>
    </row>
    <row r="1452" spans="1:15" x14ac:dyDescent="0.2">
      <c r="A1452"/>
      <c r="B1452" s="61"/>
      <c r="C1452" s="61"/>
      <c r="F1452"/>
      <c r="G1452"/>
      <c r="L1452"/>
      <c r="M1452"/>
      <c r="N1452" s="61"/>
      <c r="O1452"/>
    </row>
    <row r="1453" spans="1:15" x14ac:dyDescent="0.2">
      <c r="A1453"/>
      <c r="B1453" s="61"/>
      <c r="C1453" s="61"/>
      <c r="F1453"/>
      <c r="G1453"/>
      <c r="J1453"/>
      <c r="K1453"/>
      <c r="L1453"/>
      <c r="M1453"/>
      <c r="N1453" s="61"/>
      <c r="O1453"/>
    </row>
    <row r="1454" spans="1:15" x14ac:dyDescent="0.2">
      <c r="A1454"/>
      <c r="B1454" s="61"/>
      <c r="C1454" s="61"/>
      <c r="F1454"/>
      <c r="G1454"/>
      <c r="H1454"/>
      <c r="I1454"/>
      <c r="L1454"/>
      <c r="N1454" s="61"/>
      <c r="O1454"/>
    </row>
    <row r="1455" spans="1:15" x14ac:dyDescent="0.2">
      <c r="A1455"/>
      <c r="B1455" s="61"/>
      <c r="C1455" s="61"/>
      <c r="F1455"/>
      <c r="G1455"/>
      <c r="H1455"/>
      <c r="I1455"/>
      <c r="L1455"/>
      <c r="M1455"/>
      <c r="N1455" s="61"/>
      <c r="O1455"/>
    </row>
    <row r="1456" spans="1:15" x14ac:dyDescent="0.2">
      <c r="A1456"/>
      <c r="B1456" s="61"/>
      <c r="C1456" s="61"/>
      <c r="F1456"/>
      <c r="G1456"/>
      <c r="H1456"/>
      <c r="I1456"/>
      <c r="L1456"/>
      <c r="M1456"/>
      <c r="N1456" s="61"/>
      <c r="O1456"/>
    </row>
    <row r="1457" spans="1:15" x14ac:dyDescent="0.2">
      <c r="A1457"/>
      <c r="B1457" s="61"/>
      <c r="C1457" s="61"/>
      <c r="F1457"/>
      <c r="G1457"/>
      <c r="L1457"/>
      <c r="M1457"/>
      <c r="N1457" s="61"/>
      <c r="O1457"/>
    </row>
    <row r="1458" spans="1:15" x14ac:dyDescent="0.2">
      <c r="A1458"/>
      <c r="B1458" s="61"/>
      <c r="C1458" s="61"/>
      <c r="F1458"/>
      <c r="G1458"/>
      <c r="H1458"/>
      <c r="I1458"/>
      <c r="L1458"/>
      <c r="M1458"/>
      <c r="N1458" s="61"/>
      <c r="O1458"/>
    </row>
    <row r="1459" spans="1:15" x14ac:dyDescent="0.2">
      <c r="A1459"/>
      <c r="B1459" s="61"/>
      <c r="C1459" s="61"/>
      <c r="F1459"/>
      <c r="G1459"/>
      <c r="H1459"/>
      <c r="I1459"/>
      <c r="L1459"/>
      <c r="M1459"/>
      <c r="N1459" s="61"/>
      <c r="O1459"/>
    </row>
    <row r="1460" spans="1:15" x14ac:dyDescent="0.2">
      <c r="A1460"/>
      <c r="B1460" s="61"/>
      <c r="C1460" s="61"/>
      <c r="F1460"/>
      <c r="G1460"/>
      <c r="H1460"/>
      <c r="L1460"/>
      <c r="M1460"/>
      <c r="N1460" s="61"/>
      <c r="O1460"/>
    </row>
    <row r="1461" spans="1:15" x14ac:dyDescent="0.2">
      <c r="A1461"/>
      <c r="B1461" s="61"/>
      <c r="C1461" s="61"/>
      <c r="F1461"/>
      <c r="G1461"/>
      <c r="L1461"/>
      <c r="M1461"/>
      <c r="N1461" s="61"/>
      <c r="O1461"/>
    </row>
    <row r="1462" spans="1:15" x14ac:dyDescent="0.2">
      <c r="A1462"/>
      <c r="B1462" s="61"/>
      <c r="C1462" s="61"/>
      <c r="F1462"/>
      <c r="G1462"/>
      <c r="M1462"/>
      <c r="N1462" s="61"/>
      <c r="O1462"/>
    </row>
    <row r="1463" spans="1:15" x14ac:dyDescent="0.2">
      <c r="A1463"/>
      <c r="B1463" s="61"/>
      <c r="C1463" s="61"/>
      <c r="F1463"/>
      <c r="G1463"/>
      <c r="H1463"/>
      <c r="I1463"/>
      <c r="L1463"/>
      <c r="M1463"/>
      <c r="N1463" s="61"/>
      <c r="O1463"/>
    </row>
    <row r="1464" spans="1:15" x14ac:dyDescent="0.2">
      <c r="A1464"/>
      <c r="B1464" s="61"/>
      <c r="C1464" s="61"/>
      <c r="F1464"/>
      <c r="G1464"/>
      <c r="I1464"/>
      <c r="L1464"/>
      <c r="M1464"/>
      <c r="N1464" s="61"/>
      <c r="O1464"/>
    </row>
    <row r="1465" spans="1:15" x14ac:dyDescent="0.2">
      <c r="A1465"/>
      <c r="B1465" s="61"/>
      <c r="C1465" s="61"/>
      <c r="F1465"/>
      <c r="G1465"/>
      <c r="H1465"/>
      <c r="I1465"/>
      <c r="L1465"/>
      <c r="M1465"/>
      <c r="N1465" s="61"/>
      <c r="O1465"/>
    </row>
    <row r="1466" spans="1:15" x14ac:dyDescent="0.2">
      <c r="A1466"/>
      <c r="B1466" s="61"/>
      <c r="C1466" s="61"/>
      <c r="F1466"/>
      <c r="G1466"/>
      <c r="H1466"/>
      <c r="J1466"/>
      <c r="K1466"/>
      <c r="L1466"/>
      <c r="M1466"/>
      <c r="N1466" s="61"/>
      <c r="O1466"/>
    </row>
    <row r="1467" spans="1:15" x14ac:dyDescent="0.2">
      <c r="A1467"/>
      <c r="B1467" s="61"/>
      <c r="C1467" s="61"/>
      <c r="F1467"/>
      <c r="G1467"/>
      <c r="H1467"/>
      <c r="I1467"/>
      <c r="L1467"/>
      <c r="M1467"/>
      <c r="N1467" s="61"/>
      <c r="O1467"/>
    </row>
    <row r="1468" spans="1:15" x14ac:dyDescent="0.2">
      <c r="A1468"/>
      <c r="B1468" s="61"/>
      <c r="C1468" s="61"/>
      <c r="F1468"/>
      <c r="G1468"/>
      <c r="L1468"/>
      <c r="M1468"/>
      <c r="N1468" s="61"/>
      <c r="O1468"/>
    </row>
    <row r="1469" spans="1:15" x14ac:dyDescent="0.2">
      <c r="A1469"/>
      <c r="B1469" s="61"/>
      <c r="C1469" s="61"/>
      <c r="F1469"/>
      <c r="G1469"/>
      <c r="H1469"/>
      <c r="I1469"/>
      <c r="L1469"/>
      <c r="M1469"/>
      <c r="N1469" s="61"/>
      <c r="O1469"/>
    </row>
    <row r="1470" spans="1:15" x14ac:dyDescent="0.2">
      <c r="A1470"/>
      <c r="B1470" s="61"/>
      <c r="C1470" s="61"/>
      <c r="F1470"/>
      <c r="G1470"/>
      <c r="H1470"/>
      <c r="I1470"/>
      <c r="L1470"/>
      <c r="N1470" s="61"/>
      <c r="O1470"/>
    </row>
    <row r="1471" spans="1:15" x14ac:dyDescent="0.2">
      <c r="A1471"/>
      <c r="B1471" s="61"/>
      <c r="C1471" s="61"/>
      <c r="F1471"/>
      <c r="G1471"/>
      <c r="L1471"/>
      <c r="M1471"/>
      <c r="N1471" s="61"/>
      <c r="O1471"/>
    </row>
    <row r="1472" spans="1:15" x14ac:dyDescent="0.2">
      <c r="A1472"/>
      <c r="B1472" s="61"/>
      <c r="C1472" s="61"/>
      <c r="F1472"/>
      <c r="G1472"/>
      <c r="H1472"/>
      <c r="J1472"/>
      <c r="K1472"/>
      <c r="L1472"/>
      <c r="M1472"/>
      <c r="N1472" s="61"/>
      <c r="O1472"/>
    </row>
    <row r="1473" spans="1:15" x14ac:dyDescent="0.2">
      <c r="A1473"/>
      <c r="B1473" s="61"/>
      <c r="C1473" s="61"/>
      <c r="F1473"/>
      <c r="G1473"/>
      <c r="H1473"/>
      <c r="I1473"/>
      <c r="L1473"/>
      <c r="N1473" s="61"/>
      <c r="O1473"/>
    </row>
    <row r="1474" spans="1:15" x14ac:dyDescent="0.2">
      <c r="A1474"/>
      <c r="B1474" s="61"/>
      <c r="C1474" s="61"/>
      <c r="F1474"/>
      <c r="G1474"/>
      <c r="L1474"/>
      <c r="M1474"/>
      <c r="N1474" s="61"/>
      <c r="O1474"/>
    </row>
    <row r="1475" spans="1:15" x14ac:dyDescent="0.2">
      <c r="A1475"/>
      <c r="B1475" s="61"/>
      <c r="C1475" s="61"/>
      <c r="F1475"/>
      <c r="G1475"/>
      <c r="H1475"/>
      <c r="I1475"/>
      <c r="L1475"/>
      <c r="M1475"/>
      <c r="N1475" s="61"/>
      <c r="O1475"/>
    </row>
    <row r="1476" spans="1:15" x14ac:dyDescent="0.2">
      <c r="A1476"/>
      <c r="B1476" s="61"/>
      <c r="C1476" s="61"/>
      <c r="F1476"/>
      <c r="G1476"/>
      <c r="H1476"/>
      <c r="I1476"/>
      <c r="L1476"/>
      <c r="M1476"/>
      <c r="N1476" s="61"/>
      <c r="O1476"/>
    </row>
    <row r="1477" spans="1:15" x14ac:dyDescent="0.2">
      <c r="A1477"/>
      <c r="B1477" s="61"/>
      <c r="C1477" s="61"/>
      <c r="F1477"/>
      <c r="G1477"/>
      <c r="I1477"/>
      <c r="L1477"/>
      <c r="M1477"/>
      <c r="N1477" s="61"/>
      <c r="O1477"/>
    </row>
    <row r="1478" spans="1:15" x14ac:dyDescent="0.2">
      <c r="A1478"/>
      <c r="B1478" s="61"/>
      <c r="C1478" s="61"/>
      <c r="F1478"/>
      <c r="G1478"/>
      <c r="I1478"/>
      <c r="L1478"/>
      <c r="M1478"/>
      <c r="N1478" s="61"/>
      <c r="O1478"/>
    </row>
    <row r="1479" spans="1:15" x14ac:dyDescent="0.2">
      <c r="A1479"/>
      <c r="B1479" s="61"/>
      <c r="C1479" s="61"/>
      <c r="F1479"/>
      <c r="G1479"/>
      <c r="L1479"/>
      <c r="M1479"/>
      <c r="N1479" s="61"/>
      <c r="O1479"/>
    </row>
    <row r="1480" spans="1:15" x14ac:dyDescent="0.2">
      <c r="A1480"/>
      <c r="B1480" s="61"/>
      <c r="C1480" s="61"/>
      <c r="F1480"/>
      <c r="G1480"/>
      <c r="H1480"/>
      <c r="I1480"/>
      <c r="L1480"/>
      <c r="M1480"/>
      <c r="N1480" s="61"/>
      <c r="O1480"/>
    </row>
    <row r="1481" spans="1:15" x14ac:dyDescent="0.2">
      <c r="A1481"/>
      <c r="B1481" s="61"/>
      <c r="C1481" s="61"/>
      <c r="F1481"/>
      <c r="G1481"/>
      <c r="J1481"/>
      <c r="K1481"/>
      <c r="L1481"/>
      <c r="M1481"/>
      <c r="N1481" s="61"/>
      <c r="O1481"/>
    </row>
    <row r="1482" spans="1:15" x14ac:dyDescent="0.2">
      <c r="A1482"/>
      <c r="B1482" s="61"/>
      <c r="C1482" s="61"/>
      <c r="F1482"/>
      <c r="G1482"/>
      <c r="M1482"/>
      <c r="N1482" s="61"/>
      <c r="O1482"/>
    </row>
    <row r="1483" spans="1:15" x14ac:dyDescent="0.2">
      <c r="A1483"/>
      <c r="B1483" s="61"/>
      <c r="C1483" s="61"/>
      <c r="F1483"/>
      <c r="G1483"/>
      <c r="L1483"/>
      <c r="M1483"/>
      <c r="N1483" s="61"/>
      <c r="O1483"/>
    </row>
    <row r="1484" spans="1:15" x14ac:dyDescent="0.2">
      <c r="A1484"/>
      <c r="B1484" s="61"/>
      <c r="C1484" s="61"/>
      <c r="F1484"/>
      <c r="G1484"/>
      <c r="L1484"/>
      <c r="M1484"/>
      <c r="N1484" s="61"/>
      <c r="O1484"/>
    </row>
    <row r="1485" spans="1:15" x14ac:dyDescent="0.2">
      <c r="A1485"/>
      <c r="B1485" s="61"/>
      <c r="C1485" s="61"/>
      <c r="F1485"/>
      <c r="G1485"/>
      <c r="H1485"/>
      <c r="I1485"/>
      <c r="J1485"/>
      <c r="K1485"/>
      <c r="L1485"/>
      <c r="M1485"/>
      <c r="N1485" s="61"/>
      <c r="O1485"/>
    </row>
    <row r="1486" spans="1:15" x14ac:dyDescent="0.2">
      <c r="A1486"/>
      <c r="B1486" s="61"/>
      <c r="C1486" s="61"/>
      <c r="F1486"/>
      <c r="G1486"/>
      <c r="I1486"/>
      <c r="L1486"/>
      <c r="M1486"/>
      <c r="N1486" s="61"/>
      <c r="O1486"/>
    </row>
    <row r="1487" spans="1:15" x14ac:dyDescent="0.2">
      <c r="A1487"/>
      <c r="B1487" s="61"/>
      <c r="C1487" s="61"/>
      <c r="F1487"/>
      <c r="G1487"/>
      <c r="I1487"/>
      <c r="L1487"/>
      <c r="M1487"/>
      <c r="N1487" s="61"/>
      <c r="O1487"/>
    </row>
    <row r="1488" spans="1:15" x14ac:dyDescent="0.2">
      <c r="A1488"/>
      <c r="B1488" s="61"/>
      <c r="C1488" s="61"/>
      <c r="F1488"/>
      <c r="G1488"/>
      <c r="N1488" s="61"/>
      <c r="O1488"/>
    </row>
    <row r="1489" spans="1:15" x14ac:dyDescent="0.2">
      <c r="A1489"/>
      <c r="B1489" s="61"/>
      <c r="C1489" s="61"/>
      <c r="F1489"/>
      <c r="G1489"/>
      <c r="H1489"/>
      <c r="I1489"/>
      <c r="L1489"/>
      <c r="M1489"/>
      <c r="N1489" s="61"/>
      <c r="O1489"/>
    </row>
    <row r="1490" spans="1:15" x14ac:dyDescent="0.2">
      <c r="A1490"/>
      <c r="B1490" s="61"/>
      <c r="C1490" s="61"/>
      <c r="F1490"/>
      <c r="G1490"/>
      <c r="L1490"/>
      <c r="M1490"/>
      <c r="N1490" s="61"/>
      <c r="O1490"/>
    </row>
    <row r="1491" spans="1:15" x14ac:dyDescent="0.2">
      <c r="A1491"/>
      <c r="B1491" s="61"/>
      <c r="C1491" s="61"/>
      <c r="F1491"/>
      <c r="G1491"/>
      <c r="L1491"/>
      <c r="M1491"/>
      <c r="N1491" s="61"/>
      <c r="O1491"/>
    </row>
    <row r="1492" spans="1:15" x14ac:dyDescent="0.2">
      <c r="A1492"/>
      <c r="B1492" s="61"/>
      <c r="C1492" s="61"/>
      <c r="F1492"/>
      <c r="G1492"/>
      <c r="H1492"/>
      <c r="J1492"/>
      <c r="K1492"/>
      <c r="M1492"/>
      <c r="N1492" s="61"/>
      <c r="O1492"/>
    </row>
    <row r="1493" spans="1:15" x14ac:dyDescent="0.2">
      <c r="A1493"/>
      <c r="B1493" s="61"/>
      <c r="C1493" s="61"/>
      <c r="F1493"/>
      <c r="G1493"/>
      <c r="H1493"/>
      <c r="I1493"/>
      <c r="L1493"/>
      <c r="M1493"/>
      <c r="N1493" s="61"/>
      <c r="O1493"/>
    </row>
    <row r="1494" spans="1:15" x14ac:dyDescent="0.2">
      <c r="A1494"/>
      <c r="B1494" s="61"/>
      <c r="C1494" s="61"/>
      <c r="F1494"/>
      <c r="G1494"/>
      <c r="H1494"/>
      <c r="I1494"/>
      <c r="L1494"/>
      <c r="M1494"/>
      <c r="N1494" s="61"/>
      <c r="O1494"/>
    </row>
    <row r="1495" spans="1:15" x14ac:dyDescent="0.2">
      <c r="A1495"/>
      <c r="B1495" s="61"/>
      <c r="C1495" s="61"/>
      <c r="F1495"/>
      <c r="G1495"/>
      <c r="H1495"/>
      <c r="I1495"/>
      <c r="L1495"/>
      <c r="M1495"/>
      <c r="N1495" s="61"/>
      <c r="O1495"/>
    </row>
    <row r="1496" spans="1:15" x14ac:dyDescent="0.2">
      <c r="A1496"/>
      <c r="B1496" s="61"/>
      <c r="C1496" s="61"/>
      <c r="F1496"/>
      <c r="G1496"/>
      <c r="H1496"/>
      <c r="I1496"/>
      <c r="L1496"/>
      <c r="M1496"/>
      <c r="N1496" s="61"/>
      <c r="O1496"/>
    </row>
    <row r="1497" spans="1:15" x14ac:dyDescent="0.2">
      <c r="A1497"/>
      <c r="B1497" s="61"/>
      <c r="C1497" s="61"/>
      <c r="F1497"/>
      <c r="G1497"/>
      <c r="H1497"/>
      <c r="I1497"/>
      <c r="L1497"/>
      <c r="M1497"/>
      <c r="N1497" s="61"/>
      <c r="O1497"/>
    </row>
    <row r="1498" spans="1:15" x14ac:dyDescent="0.2">
      <c r="A1498"/>
      <c r="B1498" s="61"/>
      <c r="C1498" s="61"/>
      <c r="F1498"/>
      <c r="G1498"/>
      <c r="H1498"/>
      <c r="I1498"/>
      <c r="L1498"/>
      <c r="M1498"/>
      <c r="N1498" s="61"/>
      <c r="O1498"/>
    </row>
    <row r="1499" spans="1:15" x14ac:dyDescent="0.2">
      <c r="A1499"/>
      <c r="B1499" s="61"/>
      <c r="C1499" s="61"/>
      <c r="F1499"/>
      <c r="G1499"/>
      <c r="I1499"/>
      <c r="L1499"/>
      <c r="M1499"/>
      <c r="N1499" s="61"/>
      <c r="O1499"/>
    </row>
    <row r="1500" spans="1:15" x14ac:dyDescent="0.2">
      <c r="A1500"/>
      <c r="B1500" s="61"/>
      <c r="C1500" s="61"/>
      <c r="F1500"/>
      <c r="G1500"/>
      <c r="L1500"/>
      <c r="M1500"/>
      <c r="N1500" s="61"/>
      <c r="O1500"/>
    </row>
    <row r="1501" spans="1:15" x14ac:dyDescent="0.2">
      <c r="A1501"/>
      <c r="B1501" s="61"/>
      <c r="C1501" s="61"/>
      <c r="F1501"/>
      <c r="G1501"/>
      <c r="H1501"/>
      <c r="I1501"/>
      <c r="L1501"/>
      <c r="M1501"/>
      <c r="N1501" s="61"/>
      <c r="O1501"/>
    </row>
    <row r="1502" spans="1:15" x14ac:dyDescent="0.2">
      <c r="A1502"/>
      <c r="B1502" s="61"/>
      <c r="C1502" s="61"/>
      <c r="F1502"/>
      <c r="G1502"/>
      <c r="H1502"/>
      <c r="N1502" s="61"/>
      <c r="O1502"/>
    </row>
    <row r="1503" spans="1:15" x14ac:dyDescent="0.2">
      <c r="A1503"/>
      <c r="B1503" s="61"/>
      <c r="C1503" s="61"/>
      <c r="F1503"/>
      <c r="G1503"/>
      <c r="H1503"/>
      <c r="I1503"/>
      <c r="L1503"/>
      <c r="M1503"/>
      <c r="N1503" s="61"/>
      <c r="O1503"/>
    </row>
    <row r="1504" spans="1:15" x14ac:dyDescent="0.2">
      <c r="A1504"/>
      <c r="B1504" s="61"/>
      <c r="C1504" s="61"/>
      <c r="F1504"/>
      <c r="G1504"/>
      <c r="H1504"/>
      <c r="I1504"/>
      <c r="L1504"/>
      <c r="M1504"/>
      <c r="N1504" s="61"/>
      <c r="O1504"/>
    </row>
    <row r="1505" spans="1:15" x14ac:dyDescent="0.2">
      <c r="A1505"/>
      <c r="B1505" s="61"/>
      <c r="C1505" s="61"/>
      <c r="F1505"/>
      <c r="G1505"/>
      <c r="H1505"/>
      <c r="I1505"/>
      <c r="L1505"/>
      <c r="M1505"/>
      <c r="N1505" s="61"/>
      <c r="O1505"/>
    </row>
    <row r="1506" spans="1:15" x14ac:dyDescent="0.2">
      <c r="A1506"/>
      <c r="B1506" s="61"/>
      <c r="C1506" s="61"/>
      <c r="F1506"/>
      <c r="G1506"/>
      <c r="H1506"/>
      <c r="I1506"/>
      <c r="L1506"/>
      <c r="M1506"/>
      <c r="N1506" s="61"/>
      <c r="O1506"/>
    </row>
    <row r="1507" spans="1:15" x14ac:dyDescent="0.2">
      <c r="A1507"/>
      <c r="B1507" s="61"/>
      <c r="C1507" s="61"/>
      <c r="F1507"/>
      <c r="G1507"/>
      <c r="H1507"/>
      <c r="I1507"/>
      <c r="L1507"/>
      <c r="M1507"/>
      <c r="N1507" s="61"/>
      <c r="O1507"/>
    </row>
    <row r="1508" spans="1:15" x14ac:dyDescent="0.2">
      <c r="A1508"/>
      <c r="B1508" s="61"/>
      <c r="C1508" s="61"/>
      <c r="F1508"/>
      <c r="G1508"/>
      <c r="I1508"/>
      <c r="L1508"/>
      <c r="M1508"/>
      <c r="N1508" s="61"/>
      <c r="O1508"/>
    </row>
    <row r="1509" spans="1:15" x14ac:dyDescent="0.2">
      <c r="A1509"/>
      <c r="B1509" s="61"/>
      <c r="C1509" s="61"/>
      <c r="F1509"/>
      <c r="G1509"/>
      <c r="M1509"/>
      <c r="N1509" s="61"/>
      <c r="O1509"/>
    </row>
    <row r="1510" spans="1:15" x14ac:dyDescent="0.2">
      <c r="A1510"/>
      <c r="B1510" s="61"/>
      <c r="C1510" s="61"/>
      <c r="F1510"/>
      <c r="G1510"/>
      <c r="L1510"/>
      <c r="M1510"/>
      <c r="N1510" s="61"/>
      <c r="O1510"/>
    </row>
    <row r="1511" spans="1:15" x14ac:dyDescent="0.2">
      <c r="A1511"/>
      <c r="B1511" s="61"/>
      <c r="C1511" s="61"/>
      <c r="F1511"/>
      <c r="G1511"/>
      <c r="H1511"/>
      <c r="I1511"/>
      <c r="J1511"/>
      <c r="K1511"/>
      <c r="L1511"/>
      <c r="M1511"/>
      <c r="N1511" s="61"/>
      <c r="O1511"/>
    </row>
    <row r="1512" spans="1:15" x14ac:dyDescent="0.2">
      <c r="A1512"/>
      <c r="B1512" s="61"/>
      <c r="C1512" s="61"/>
      <c r="F1512"/>
      <c r="G1512"/>
      <c r="H1512"/>
      <c r="I1512"/>
      <c r="L1512"/>
      <c r="M1512"/>
      <c r="N1512" s="61"/>
      <c r="O1512"/>
    </row>
    <row r="1513" spans="1:15" x14ac:dyDescent="0.2">
      <c r="A1513"/>
      <c r="B1513" s="61"/>
      <c r="C1513" s="61"/>
      <c r="F1513"/>
      <c r="G1513"/>
      <c r="J1513"/>
      <c r="K1513"/>
      <c r="L1513"/>
      <c r="M1513"/>
      <c r="N1513" s="61"/>
      <c r="O1513"/>
    </row>
    <row r="1514" spans="1:15" x14ac:dyDescent="0.2">
      <c r="A1514"/>
      <c r="B1514" s="61"/>
      <c r="C1514" s="61"/>
      <c r="F1514"/>
      <c r="G1514"/>
      <c r="L1514"/>
      <c r="M1514"/>
      <c r="N1514" s="61"/>
      <c r="O1514"/>
    </row>
    <row r="1515" spans="1:15" x14ac:dyDescent="0.2">
      <c r="A1515"/>
      <c r="B1515" s="61"/>
      <c r="C1515" s="61"/>
      <c r="F1515"/>
      <c r="G1515"/>
      <c r="H1515"/>
      <c r="J1515"/>
      <c r="K1515"/>
      <c r="L1515"/>
      <c r="M1515"/>
      <c r="N1515" s="61"/>
      <c r="O1515"/>
    </row>
    <row r="1516" spans="1:15" x14ac:dyDescent="0.2">
      <c r="A1516"/>
      <c r="B1516" s="61"/>
      <c r="C1516" s="61"/>
      <c r="F1516"/>
      <c r="G1516"/>
      <c r="H1516"/>
      <c r="I1516"/>
      <c r="J1516"/>
      <c r="K1516"/>
      <c r="L1516"/>
      <c r="M1516"/>
      <c r="N1516" s="61"/>
      <c r="O1516"/>
    </row>
    <row r="1517" spans="1:15" x14ac:dyDescent="0.2">
      <c r="A1517"/>
      <c r="B1517" s="61"/>
      <c r="C1517" s="61"/>
      <c r="F1517"/>
      <c r="G1517"/>
      <c r="H1517"/>
      <c r="J1517"/>
      <c r="K1517"/>
      <c r="L1517"/>
      <c r="M1517"/>
      <c r="N1517" s="61"/>
      <c r="O1517"/>
    </row>
    <row r="1518" spans="1:15" x14ac:dyDescent="0.2">
      <c r="A1518"/>
      <c r="B1518" s="61"/>
      <c r="C1518" s="61"/>
      <c r="F1518"/>
      <c r="G1518"/>
      <c r="L1518"/>
      <c r="M1518"/>
      <c r="N1518" s="61"/>
      <c r="O1518"/>
    </row>
    <row r="1519" spans="1:15" x14ac:dyDescent="0.2">
      <c r="A1519"/>
      <c r="B1519" s="61"/>
      <c r="C1519" s="61"/>
      <c r="F1519"/>
      <c r="G1519"/>
      <c r="H1519"/>
      <c r="J1519"/>
      <c r="K1519"/>
      <c r="L1519"/>
      <c r="M1519"/>
      <c r="N1519" s="61"/>
      <c r="O1519"/>
    </row>
    <row r="1520" spans="1:15" x14ac:dyDescent="0.2">
      <c r="A1520"/>
      <c r="B1520" s="61"/>
      <c r="C1520" s="61"/>
      <c r="F1520"/>
      <c r="G1520"/>
      <c r="H1520"/>
      <c r="L1520"/>
      <c r="M1520"/>
      <c r="N1520" s="61"/>
      <c r="O1520"/>
    </row>
    <row r="1521" spans="1:15" x14ac:dyDescent="0.2">
      <c r="A1521"/>
      <c r="B1521" s="61"/>
      <c r="C1521" s="61"/>
      <c r="F1521"/>
      <c r="G1521"/>
      <c r="H1521"/>
      <c r="I1521"/>
      <c r="L1521"/>
      <c r="M1521"/>
      <c r="N1521" s="61"/>
      <c r="O1521"/>
    </row>
    <row r="1522" spans="1:15" x14ac:dyDescent="0.2">
      <c r="A1522"/>
      <c r="B1522" s="61"/>
      <c r="C1522" s="61"/>
      <c r="F1522"/>
      <c r="G1522"/>
      <c r="J1522"/>
      <c r="K1522"/>
      <c r="L1522"/>
      <c r="M1522"/>
      <c r="N1522" s="61"/>
      <c r="O1522"/>
    </row>
    <row r="1523" spans="1:15" x14ac:dyDescent="0.2">
      <c r="A1523"/>
      <c r="B1523" s="61"/>
      <c r="C1523" s="61"/>
      <c r="F1523"/>
      <c r="G1523"/>
      <c r="H1523"/>
      <c r="I1523"/>
      <c r="L1523"/>
      <c r="M1523"/>
      <c r="N1523" s="61"/>
      <c r="O1523"/>
    </row>
    <row r="1524" spans="1:15" x14ac:dyDescent="0.2">
      <c r="A1524"/>
      <c r="B1524" s="61"/>
      <c r="C1524" s="61"/>
      <c r="F1524"/>
      <c r="G1524"/>
      <c r="H1524"/>
      <c r="I1524"/>
      <c r="L1524"/>
      <c r="M1524"/>
      <c r="N1524" s="61"/>
      <c r="O1524"/>
    </row>
    <row r="1525" spans="1:15" x14ac:dyDescent="0.2">
      <c r="A1525"/>
      <c r="B1525" s="61"/>
      <c r="C1525" s="61"/>
      <c r="F1525"/>
      <c r="G1525"/>
      <c r="H1525"/>
      <c r="I1525"/>
      <c r="L1525"/>
      <c r="M1525"/>
      <c r="N1525" s="61"/>
      <c r="O1525"/>
    </row>
    <row r="1526" spans="1:15" x14ac:dyDescent="0.2">
      <c r="A1526"/>
      <c r="B1526" s="61"/>
      <c r="C1526" s="61"/>
      <c r="F1526"/>
      <c r="G1526"/>
      <c r="H1526"/>
      <c r="I1526"/>
      <c r="L1526"/>
      <c r="M1526"/>
      <c r="N1526" s="61"/>
      <c r="O1526"/>
    </row>
    <row r="1527" spans="1:15" x14ac:dyDescent="0.2">
      <c r="A1527"/>
      <c r="B1527" s="61"/>
      <c r="C1527" s="61"/>
      <c r="F1527"/>
      <c r="G1527"/>
      <c r="H1527"/>
      <c r="I1527"/>
      <c r="L1527"/>
      <c r="M1527"/>
      <c r="N1527" s="61"/>
      <c r="O1527"/>
    </row>
    <row r="1528" spans="1:15" x14ac:dyDescent="0.2">
      <c r="A1528"/>
      <c r="B1528" s="61"/>
      <c r="C1528" s="61"/>
      <c r="F1528"/>
      <c r="G1528"/>
      <c r="I1528"/>
      <c r="L1528"/>
      <c r="M1528"/>
      <c r="N1528" s="61"/>
      <c r="O1528"/>
    </row>
    <row r="1529" spans="1:15" x14ac:dyDescent="0.2">
      <c r="A1529"/>
      <c r="B1529" s="61"/>
      <c r="C1529" s="61"/>
      <c r="F1529"/>
      <c r="G1529"/>
      <c r="I1529"/>
      <c r="L1529"/>
      <c r="M1529"/>
      <c r="N1529" s="61"/>
      <c r="O1529"/>
    </row>
    <row r="1530" spans="1:15" x14ac:dyDescent="0.2">
      <c r="A1530"/>
      <c r="B1530" s="61"/>
      <c r="C1530" s="61"/>
      <c r="F1530"/>
      <c r="G1530"/>
      <c r="H1530"/>
      <c r="I1530"/>
      <c r="L1530"/>
      <c r="M1530"/>
      <c r="N1530" s="61"/>
      <c r="O1530"/>
    </row>
    <row r="1531" spans="1:15" x14ac:dyDescent="0.2">
      <c r="A1531"/>
      <c r="B1531" s="61"/>
      <c r="C1531" s="61"/>
      <c r="F1531"/>
      <c r="G1531"/>
      <c r="H1531"/>
      <c r="I1531"/>
      <c r="L1531"/>
      <c r="M1531"/>
      <c r="N1531" s="61"/>
      <c r="O1531"/>
    </row>
    <row r="1532" spans="1:15" x14ac:dyDescent="0.2">
      <c r="A1532"/>
      <c r="B1532" s="61"/>
      <c r="C1532" s="61"/>
      <c r="F1532"/>
      <c r="G1532"/>
      <c r="H1532"/>
      <c r="I1532"/>
      <c r="L1532"/>
      <c r="M1532"/>
      <c r="N1532" s="61"/>
      <c r="O1532"/>
    </row>
    <row r="1533" spans="1:15" x14ac:dyDescent="0.2">
      <c r="A1533"/>
      <c r="B1533" s="61"/>
      <c r="C1533" s="61"/>
      <c r="F1533"/>
      <c r="G1533"/>
      <c r="I1533"/>
      <c r="L1533"/>
      <c r="M1533"/>
      <c r="N1533" s="61"/>
      <c r="O1533"/>
    </row>
    <row r="1534" spans="1:15" x14ac:dyDescent="0.2">
      <c r="A1534"/>
      <c r="B1534" s="61"/>
      <c r="C1534" s="61"/>
      <c r="F1534"/>
      <c r="G1534"/>
      <c r="I1534"/>
      <c r="L1534"/>
      <c r="M1534"/>
      <c r="N1534" s="61"/>
      <c r="O1534"/>
    </row>
    <row r="1535" spans="1:15" x14ac:dyDescent="0.2">
      <c r="A1535"/>
      <c r="B1535" s="61"/>
      <c r="C1535" s="61"/>
      <c r="F1535"/>
      <c r="G1535"/>
      <c r="H1535"/>
      <c r="I1535"/>
      <c r="L1535"/>
      <c r="M1535"/>
      <c r="N1535" s="61"/>
      <c r="O1535"/>
    </row>
    <row r="1536" spans="1:15" x14ac:dyDescent="0.2">
      <c r="A1536"/>
      <c r="B1536" s="61"/>
      <c r="C1536" s="61"/>
      <c r="F1536"/>
      <c r="G1536"/>
      <c r="J1536"/>
      <c r="K1536"/>
      <c r="L1536"/>
      <c r="M1536"/>
      <c r="N1536" s="61"/>
      <c r="O1536"/>
    </row>
    <row r="1537" spans="1:15" x14ac:dyDescent="0.2">
      <c r="A1537"/>
      <c r="B1537" s="61"/>
      <c r="C1537" s="61"/>
      <c r="F1537"/>
      <c r="G1537"/>
      <c r="H1537"/>
      <c r="I1537"/>
      <c r="L1537"/>
      <c r="M1537"/>
      <c r="N1537" s="61"/>
      <c r="O1537"/>
    </row>
    <row r="1538" spans="1:15" x14ac:dyDescent="0.2">
      <c r="A1538"/>
      <c r="B1538" s="61"/>
      <c r="C1538" s="61"/>
      <c r="F1538"/>
      <c r="G1538"/>
      <c r="L1538"/>
      <c r="M1538"/>
      <c r="N1538" s="61"/>
      <c r="O1538"/>
    </row>
    <row r="1539" spans="1:15" x14ac:dyDescent="0.2">
      <c r="A1539"/>
      <c r="B1539" s="61"/>
      <c r="C1539" s="61"/>
      <c r="F1539"/>
      <c r="G1539"/>
      <c r="H1539"/>
      <c r="I1539"/>
      <c r="L1539"/>
      <c r="M1539"/>
      <c r="N1539" s="61"/>
      <c r="O1539"/>
    </row>
    <row r="1540" spans="1:15" x14ac:dyDescent="0.2">
      <c r="A1540"/>
      <c r="B1540" s="61"/>
      <c r="C1540" s="61"/>
      <c r="F1540"/>
      <c r="G1540"/>
      <c r="H1540"/>
      <c r="J1540"/>
      <c r="K1540"/>
      <c r="L1540"/>
      <c r="M1540"/>
      <c r="N1540" s="61"/>
      <c r="O1540"/>
    </row>
    <row r="1541" spans="1:15" x14ac:dyDescent="0.2">
      <c r="A1541"/>
      <c r="B1541" s="61"/>
      <c r="C1541" s="61"/>
      <c r="F1541"/>
      <c r="G1541"/>
      <c r="H1541"/>
      <c r="I1541"/>
      <c r="L1541"/>
      <c r="M1541"/>
      <c r="N1541" s="61"/>
      <c r="O1541"/>
    </row>
    <row r="1542" spans="1:15" x14ac:dyDescent="0.2">
      <c r="A1542"/>
      <c r="B1542" s="61"/>
      <c r="C1542" s="61"/>
      <c r="F1542"/>
      <c r="G1542"/>
      <c r="H1542"/>
      <c r="J1542"/>
      <c r="K1542"/>
      <c r="L1542"/>
      <c r="M1542"/>
      <c r="N1542" s="61"/>
      <c r="O1542"/>
    </row>
    <row r="1543" spans="1:15" x14ac:dyDescent="0.2">
      <c r="A1543"/>
      <c r="B1543" s="61"/>
      <c r="C1543" s="61"/>
      <c r="F1543"/>
      <c r="G1543"/>
      <c r="J1543"/>
      <c r="K1543"/>
      <c r="L1543"/>
      <c r="M1543"/>
      <c r="N1543" s="61"/>
      <c r="O1543"/>
    </row>
    <row r="1544" spans="1:15" x14ac:dyDescent="0.2">
      <c r="A1544"/>
      <c r="B1544" s="61"/>
      <c r="C1544" s="61"/>
      <c r="F1544"/>
      <c r="G1544"/>
      <c r="J1544"/>
      <c r="K1544"/>
      <c r="L1544"/>
      <c r="M1544"/>
      <c r="N1544" s="61"/>
      <c r="O1544"/>
    </row>
    <row r="1545" spans="1:15" x14ac:dyDescent="0.2">
      <c r="A1545"/>
      <c r="B1545" s="61"/>
      <c r="C1545" s="61"/>
      <c r="F1545"/>
      <c r="G1545"/>
      <c r="H1545"/>
      <c r="J1545"/>
      <c r="K1545"/>
      <c r="L1545"/>
      <c r="M1545"/>
      <c r="N1545" s="61"/>
      <c r="O1545"/>
    </row>
    <row r="1546" spans="1:15" x14ac:dyDescent="0.2">
      <c r="A1546"/>
      <c r="B1546" s="61"/>
      <c r="C1546" s="61"/>
      <c r="F1546"/>
      <c r="G1546"/>
      <c r="H1546"/>
      <c r="J1546"/>
      <c r="K1546"/>
      <c r="L1546"/>
      <c r="M1546"/>
      <c r="N1546" s="61"/>
      <c r="O1546"/>
    </row>
    <row r="1547" spans="1:15" x14ac:dyDescent="0.2">
      <c r="A1547"/>
      <c r="B1547" s="61"/>
      <c r="C1547" s="61"/>
      <c r="F1547"/>
      <c r="G1547"/>
      <c r="H1547"/>
      <c r="I1547"/>
      <c r="L1547"/>
      <c r="M1547"/>
      <c r="N1547" s="61"/>
      <c r="O1547"/>
    </row>
    <row r="1548" spans="1:15" x14ac:dyDescent="0.2">
      <c r="A1548"/>
      <c r="B1548" s="61"/>
      <c r="C1548" s="61"/>
      <c r="F1548"/>
      <c r="G1548"/>
      <c r="I1548"/>
      <c r="L1548"/>
      <c r="M1548"/>
      <c r="N1548" s="61"/>
      <c r="O1548"/>
    </row>
    <row r="1549" spans="1:15" x14ac:dyDescent="0.2">
      <c r="A1549"/>
      <c r="B1549" s="61"/>
      <c r="C1549" s="61"/>
      <c r="F1549"/>
      <c r="G1549"/>
      <c r="H1549"/>
      <c r="I1549"/>
      <c r="L1549"/>
      <c r="N1549" s="61"/>
      <c r="O1549"/>
    </row>
    <row r="1550" spans="1:15" x14ac:dyDescent="0.2">
      <c r="A1550"/>
      <c r="B1550" s="61"/>
      <c r="C1550" s="61"/>
      <c r="F1550"/>
      <c r="G1550"/>
      <c r="H1550"/>
      <c r="I1550"/>
      <c r="L1550"/>
      <c r="M1550"/>
      <c r="N1550" s="61"/>
      <c r="O1550"/>
    </row>
    <row r="1551" spans="1:15" x14ac:dyDescent="0.2">
      <c r="A1551"/>
      <c r="B1551" s="61"/>
      <c r="C1551" s="61"/>
      <c r="F1551"/>
      <c r="G1551"/>
      <c r="H1551"/>
      <c r="I1551"/>
      <c r="L1551"/>
      <c r="N1551" s="61"/>
      <c r="O1551"/>
    </row>
    <row r="1552" spans="1:15" x14ac:dyDescent="0.2">
      <c r="A1552"/>
      <c r="B1552" s="61"/>
      <c r="C1552" s="61"/>
      <c r="F1552"/>
      <c r="G1552"/>
      <c r="I1552"/>
      <c r="L1552"/>
      <c r="M1552"/>
      <c r="N1552" s="61"/>
      <c r="O1552"/>
    </row>
    <row r="1553" spans="1:15" x14ac:dyDescent="0.2">
      <c r="A1553"/>
      <c r="B1553" s="61"/>
      <c r="C1553" s="61"/>
      <c r="F1553"/>
      <c r="G1553"/>
      <c r="H1553"/>
      <c r="I1553"/>
      <c r="L1553"/>
      <c r="M1553"/>
      <c r="N1553" s="61"/>
      <c r="O1553"/>
    </row>
    <row r="1554" spans="1:15" x14ac:dyDescent="0.2">
      <c r="A1554"/>
      <c r="B1554" s="61"/>
      <c r="C1554" s="61"/>
      <c r="F1554"/>
      <c r="G1554"/>
      <c r="I1554"/>
      <c r="L1554"/>
      <c r="M1554"/>
      <c r="N1554" s="61"/>
      <c r="O1554"/>
    </row>
    <row r="1555" spans="1:15" x14ac:dyDescent="0.2">
      <c r="A1555"/>
      <c r="B1555" s="61"/>
      <c r="C1555" s="61"/>
      <c r="F1555"/>
      <c r="G1555"/>
      <c r="I1555"/>
      <c r="L1555"/>
      <c r="M1555"/>
      <c r="N1555" s="61"/>
      <c r="O1555"/>
    </row>
    <row r="1556" spans="1:15" x14ac:dyDescent="0.2">
      <c r="A1556"/>
      <c r="B1556" s="61"/>
      <c r="C1556" s="61"/>
      <c r="F1556"/>
      <c r="G1556"/>
      <c r="I1556"/>
      <c r="L1556"/>
      <c r="M1556"/>
      <c r="N1556" s="61"/>
      <c r="O1556"/>
    </row>
    <row r="1557" spans="1:15" x14ac:dyDescent="0.2">
      <c r="A1557"/>
      <c r="B1557" s="61"/>
      <c r="C1557" s="61"/>
      <c r="F1557"/>
      <c r="G1557"/>
      <c r="H1557"/>
      <c r="I1557"/>
      <c r="L1557"/>
      <c r="M1557"/>
      <c r="N1557" s="61"/>
      <c r="O1557"/>
    </row>
    <row r="1558" spans="1:15" x14ac:dyDescent="0.2">
      <c r="A1558"/>
      <c r="B1558" s="61"/>
      <c r="C1558" s="61"/>
      <c r="F1558"/>
      <c r="G1558"/>
      <c r="L1558"/>
      <c r="M1558"/>
      <c r="N1558" s="61"/>
      <c r="O1558"/>
    </row>
    <row r="1559" spans="1:15" x14ac:dyDescent="0.2">
      <c r="A1559"/>
      <c r="B1559" s="61"/>
      <c r="C1559" s="61"/>
      <c r="F1559"/>
      <c r="G1559"/>
      <c r="H1559"/>
      <c r="I1559"/>
      <c r="L1559"/>
      <c r="M1559"/>
      <c r="N1559" s="61"/>
      <c r="O1559"/>
    </row>
    <row r="1560" spans="1:15" x14ac:dyDescent="0.2">
      <c r="A1560"/>
      <c r="B1560" s="61"/>
      <c r="C1560" s="61"/>
      <c r="F1560"/>
      <c r="G1560"/>
      <c r="J1560"/>
      <c r="K1560"/>
      <c r="L1560"/>
      <c r="M1560"/>
      <c r="N1560" s="61"/>
      <c r="O1560"/>
    </row>
    <row r="1561" spans="1:15" x14ac:dyDescent="0.2">
      <c r="A1561"/>
      <c r="B1561" s="61"/>
      <c r="C1561" s="61"/>
      <c r="F1561"/>
      <c r="G1561"/>
      <c r="I1561"/>
      <c r="L1561"/>
      <c r="M1561"/>
      <c r="N1561" s="61"/>
      <c r="O1561"/>
    </row>
    <row r="1562" spans="1:15" x14ac:dyDescent="0.2">
      <c r="A1562"/>
      <c r="B1562" s="61"/>
      <c r="C1562" s="61"/>
      <c r="F1562"/>
      <c r="G1562"/>
      <c r="H1562"/>
      <c r="I1562"/>
      <c r="L1562"/>
      <c r="N1562" s="61"/>
      <c r="O1562"/>
    </row>
    <row r="1563" spans="1:15" x14ac:dyDescent="0.2">
      <c r="A1563"/>
      <c r="B1563" s="61"/>
      <c r="C1563" s="61"/>
      <c r="F1563"/>
      <c r="G1563"/>
      <c r="M1563"/>
      <c r="N1563" s="61"/>
      <c r="O1563"/>
    </row>
    <row r="1564" spans="1:15" x14ac:dyDescent="0.2">
      <c r="A1564"/>
      <c r="B1564" s="61"/>
      <c r="C1564" s="61"/>
      <c r="F1564"/>
      <c r="G1564"/>
      <c r="M1564"/>
      <c r="N1564" s="61"/>
      <c r="O1564"/>
    </row>
    <row r="1565" spans="1:15" x14ac:dyDescent="0.2">
      <c r="A1565"/>
      <c r="B1565" s="61"/>
      <c r="C1565" s="61"/>
      <c r="F1565"/>
      <c r="G1565"/>
      <c r="H1565"/>
      <c r="I1565"/>
      <c r="L1565"/>
      <c r="N1565" s="61"/>
      <c r="O1565"/>
    </row>
    <row r="1566" spans="1:15" x14ac:dyDescent="0.2">
      <c r="A1566"/>
      <c r="B1566" s="61"/>
      <c r="C1566" s="61"/>
      <c r="F1566"/>
      <c r="G1566"/>
      <c r="H1566"/>
      <c r="I1566"/>
      <c r="L1566"/>
      <c r="M1566"/>
      <c r="N1566" s="61"/>
      <c r="O1566"/>
    </row>
    <row r="1567" spans="1:15" x14ac:dyDescent="0.2">
      <c r="A1567"/>
      <c r="B1567" s="61"/>
      <c r="C1567" s="61"/>
      <c r="F1567"/>
      <c r="G1567"/>
      <c r="H1567"/>
      <c r="I1567"/>
      <c r="L1567"/>
      <c r="M1567"/>
      <c r="N1567" s="61"/>
      <c r="O1567"/>
    </row>
    <row r="1568" spans="1:15" x14ac:dyDescent="0.2">
      <c r="A1568"/>
      <c r="B1568" s="61"/>
      <c r="C1568" s="61"/>
      <c r="F1568"/>
      <c r="G1568"/>
      <c r="I1568"/>
      <c r="L1568"/>
      <c r="M1568"/>
      <c r="N1568" s="61"/>
      <c r="O1568"/>
    </row>
    <row r="1569" spans="1:15" x14ac:dyDescent="0.2">
      <c r="A1569"/>
      <c r="B1569" s="61"/>
      <c r="C1569" s="61"/>
      <c r="F1569"/>
      <c r="G1569"/>
      <c r="H1569"/>
      <c r="I1569"/>
      <c r="L1569"/>
      <c r="M1569"/>
      <c r="N1569" s="61"/>
      <c r="O1569"/>
    </row>
    <row r="1570" spans="1:15" x14ac:dyDescent="0.2">
      <c r="A1570"/>
      <c r="B1570" s="61"/>
      <c r="C1570" s="61"/>
      <c r="F1570"/>
      <c r="G1570"/>
      <c r="H1570"/>
      <c r="I1570"/>
      <c r="L1570"/>
      <c r="M1570"/>
      <c r="N1570" s="61"/>
      <c r="O1570"/>
    </row>
    <row r="1571" spans="1:15" x14ac:dyDescent="0.2">
      <c r="A1571"/>
      <c r="B1571" s="61"/>
      <c r="C1571" s="61"/>
      <c r="F1571"/>
      <c r="G1571"/>
      <c r="I1571"/>
      <c r="L1571"/>
      <c r="M1571"/>
      <c r="N1571" s="61"/>
      <c r="O1571"/>
    </row>
    <row r="1572" spans="1:15" x14ac:dyDescent="0.2">
      <c r="A1572"/>
      <c r="B1572" s="61"/>
      <c r="C1572" s="61"/>
      <c r="F1572"/>
      <c r="G1572"/>
      <c r="I1572"/>
      <c r="L1572"/>
      <c r="M1572"/>
      <c r="N1572" s="61"/>
      <c r="O1572"/>
    </row>
    <row r="1573" spans="1:15" x14ac:dyDescent="0.2">
      <c r="A1573"/>
      <c r="B1573" s="61"/>
      <c r="C1573" s="61"/>
      <c r="F1573"/>
      <c r="G1573"/>
      <c r="I1573"/>
      <c r="L1573"/>
      <c r="M1573"/>
      <c r="N1573" s="61"/>
      <c r="O1573"/>
    </row>
    <row r="1574" spans="1:15" x14ac:dyDescent="0.2">
      <c r="A1574"/>
      <c r="B1574" s="61"/>
      <c r="C1574" s="61"/>
      <c r="F1574"/>
      <c r="G1574"/>
      <c r="H1574"/>
      <c r="J1574"/>
      <c r="L1574"/>
      <c r="M1574"/>
      <c r="N1574" s="61"/>
      <c r="O1574"/>
    </row>
    <row r="1575" spans="1:15" x14ac:dyDescent="0.2">
      <c r="A1575"/>
      <c r="B1575" s="61"/>
      <c r="C1575" s="61"/>
      <c r="F1575"/>
      <c r="G1575"/>
      <c r="L1575"/>
      <c r="M1575"/>
      <c r="N1575" s="61"/>
      <c r="O1575"/>
    </row>
    <row r="1576" spans="1:15" x14ac:dyDescent="0.2">
      <c r="A1576"/>
      <c r="B1576" s="61"/>
      <c r="C1576" s="61"/>
      <c r="F1576"/>
      <c r="G1576"/>
      <c r="H1576"/>
      <c r="J1576"/>
      <c r="K1576"/>
      <c r="L1576"/>
      <c r="M1576"/>
      <c r="N1576" s="61"/>
      <c r="O1576"/>
    </row>
    <row r="1577" spans="1:15" x14ac:dyDescent="0.2">
      <c r="A1577"/>
      <c r="B1577" s="61"/>
      <c r="C1577" s="61"/>
      <c r="F1577"/>
      <c r="G1577"/>
      <c r="H1577"/>
      <c r="I1577"/>
      <c r="L1577"/>
      <c r="M1577"/>
      <c r="N1577" s="61"/>
      <c r="O1577"/>
    </row>
    <row r="1578" spans="1:15" x14ac:dyDescent="0.2">
      <c r="A1578"/>
      <c r="B1578" s="61"/>
      <c r="C1578" s="61"/>
      <c r="F1578"/>
      <c r="G1578"/>
      <c r="H1578"/>
      <c r="I1578"/>
      <c r="L1578"/>
      <c r="M1578"/>
      <c r="N1578" s="61"/>
      <c r="O1578"/>
    </row>
    <row r="1579" spans="1:15" x14ac:dyDescent="0.2">
      <c r="A1579"/>
      <c r="B1579" s="61"/>
      <c r="C1579" s="61"/>
      <c r="F1579"/>
      <c r="G1579"/>
      <c r="H1579"/>
      <c r="I1579"/>
      <c r="L1579"/>
      <c r="M1579"/>
      <c r="N1579" s="61"/>
      <c r="O1579"/>
    </row>
    <row r="1580" spans="1:15" x14ac:dyDescent="0.2">
      <c r="A1580"/>
      <c r="B1580" s="61"/>
      <c r="C1580" s="61"/>
      <c r="F1580"/>
      <c r="G1580"/>
      <c r="H1580"/>
      <c r="I1580"/>
      <c r="L1580"/>
      <c r="M1580"/>
      <c r="N1580" s="61"/>
      <c r="O1580"/>
    </row>
    <row r="1581" spans="1:15" x14ac:dyDescent="0.2">
      <c r="A1581"/>
      <c r="B1581" s="61"/>
      <c r="C1581" s="61"/>
      <c r="F1581"/>
      <c r="G1581"/>
      <c r="I1581"/>
      <c r="L1581"/>
      <c r="M1581"/>
      <c r="N1581" s="61"/>
      <c r="O1581"/>
    </row>
    <row r="1582" spans="1:15" x14ac:dyDescent="0.2">
      <c r="A1582"/>
      <c r="B1582" s="61"/>
      <c r="C1582" s="61"/>
      <c r="F1582"/>
      <c r="G1582"/>
      <c r="H1582"/>
      <c r="I1582"/>
      <c r="L1582"/>
      <c r="M1582"/>
      <c r="N1582" s="61"/>
      <c r="O1582"/>
    </row>
    <row r="1583" spans="1:15" x14ac:dyDescent="0.2">
      <c r="A1583"/>
      <c r="B1583" s="61"/>
      <c r="C1583" s="61"/>
      <c r="F1583"/>
      <c r="G1583"/>
      <c r="I1583"/>
      <c r="L1583"/>
      <c r="M1583"/>
      <c r="N1583" s="61"/>
      <c r="O1583"/>
    </row>
    <row r="1584" spans="1:15" x14ac:dyDescent="0.2">
      <c r="A1584"/>
      <c r="B1584" s="61"/>
      <c r="C1584" s="61"/>
      <c r="F1584"/>
      <c r="G1584"/>
      <c r="H1584"/>
      <c r="J1584"/>
      <c r="K1584"/>
      <c r="L1584"/>
      <c r="M1584"/>
      <c r="N1584" s="61"/>
      <c r="O1584"/>
    </row>
    <row r="1585" spans="1:15" x14ac:dyDescent="0.2">
      <c r="A1585"/>
      <c r="B1585" s="61"/>
      <c r="C1585" s="61"/>
      <c r="F1585"/>
      <c r="G1585"/>
      <c r="I1585"/>
      <c r="L1585"/>
      <c r="M1585"/>
      <c r="N1585" s="61"/>
      <c r="O1585"/>
    </row>
    <row r="1586" spans="1:15" x14ac:dyDescent="0.2">
      <c r="A1586"/>
      <c r="B1586" s="61"/>
      <c r="C1586" s="61"/>
      <c r="F1586"/>
      <c r="G1586"/>
      <c r="J1586"/>
      <c r="K1586"/>
      <c r="L1586"/>
      <c r="M1586"/>
      <c r="N1586" s="61"/>
      <c r="O1586"/>
    </row>
    <row r="1587" spans="1:15" x14ac:dyDescent="0.2">
      <c r="A1587"/>
      <c r="B1587" s="61"/>
      <c r="C1587" s="61"/>
      <c r="F1587"/>
      <c r="G1587"/>
      <c r="L1587"/>
      <c r="M1587"/>
      <c r="N1587" s="61"/>
      <c r="O1587"/>
    </row>
    <row r="1588" spans="1:15" x14ac:dyDescent="0.2">
      <c r="A1588"/>
      <c r="B1588" s="61"/>
      <c r="C1588" s="61"/>
      <c r="F1588"/>
      <c r="G1588"/>
      <c r="H1588"/>
      <c r="I1588"/>
      <c r="L1588"/>
      <c r="N1588" s="61"/>
      <c r="O1588"/>
    </row>
    <row r="1589" spans="1:15" x14ac:dyDescent="0.2">
      <c r="A1589"/>
      <c r="B1589" s="61"/>
      <c r="C1589" s="61"/>
      <c r="F1589"/>
      <c r="G1589"/>
      <c r="I1589"/>
      <c r="L1589"/>
      <c r="M1589"/>
      <c r="N1589" s="61"/>
      <c r="O1589"/>
    </row>
    <row r="1590" spans="1:15" x14ac:dyDescent="0.2">
      <c r="A1590"/>
      <c r="B1590" s="61"/>
      <c r="C1590" s="61"/>
      <c r="F1590"/>
      <c r="G1590"/>
      <c r="I1590"/>
      <c r="L1590"/>
      <c r="M1590"/>
      <c r="N1590" s="61"/>
      <c r="O1590"/>
    </row>
    <row r="1591" spans="1:15" x14ac:dyDescent="0.2">
      <c r="A1591"/>
      <c r="B1591" s="61"/>
      <c r="C1591" s="61"/>
      <c r="F1591"/>
      <c r="G1591"/>
      <c r="H1591"/>
      <c r="I1591"/>
      <c r="L1591"/>
      <c r="N1591" s="61"/>
      <c r="O1591"/>
    </row>
    <row r="1592" spans="1:15" x14ac:dyDescent="0.2">
      <c r="A1592"/>
      <c r="B1592" s="61"/>
      <c r="C1592" s="61"/>
      <c r="F1592"/>
      <c r="G1592"/>
      <c r="H1592"/>
      <c r="I1592"/>
      <c r="L1592"/>
      <c r="M1592"/>
      <c r="N1592" s="61"/>
      <c r="O1592"/>
    </row>
    <row r="1593" spans="1:15" x14ac:dyDescent="0.2">
      <c r="A1593"/>
      <c r="B1593" s="61"/>
      <c r="C1593" s="61"/>
      <c r="F1593"/>
      <c r="G1593"/>
      <c r="I1593"/>
      <c r="L1593"/>
      <c r="M1593"/>
      <c r="N1593" s="61"/>
      <c r="O1593"/>
    </row>
    <row r="1594" spans="1:15" x14ac:dyDescent="0.2">
      <c r="A1594"/>
      <c r="B1594" s="61"/>
      <c r="C1594" s="61"/>
      <c r="F1594"/>
      <c r="G1594"/>
      <c r="J1594"/>
      <c r="K1594"/>
      <c r="M1594"/>
      <c r="N1594" s="61"/>
      <c r="O1594"/>
    </row>
    <row r="1595" spans="1:15" x14ac:dyDescent="0.2">
      <c r="A1595"/>
      <c r="B1595" s="61"/>
      <c r="C1595" s="61"/>
      <c r="F1595"/>
      <c r="G1595"/>
      <c r="H1595"/>
      <c r="I1595"/>
      <c r="L1595"/>
      <c r="M1595"/>
      <c r="N1595" s="61"/>
      <c r="O1595"/>
    </row>
    <row r="1596" spans="1:15" x14ac:dyDescent="0.2">
      <c r="A1596"/>
      <c r="B1596" s="61"/>
      <c r="C1596" s="61"/>
      <c r="F1596"/>
      <c r="G1596"/>
      <c r="I1596"/>
      <c r="L1596"/>
      <c r="M1596"/>
      <c r="N1596" s="61"/>
      <c r="O1596"/>
    </row>
    <row r="1597" spans="1:15" x14ac:dyDescent="0.2">
      <c r="A1597"/>
      <c r="B1597" s="61"/>
      <c r="C1597" s="61"/>
      <c r="F1597"/>
      <c r="G1597"/>
      <c r="I1597"/>
      <c r="L1597"/>
      <c r="M1597"/>
      <c r="N1597" s="61"/>
      <c r="O1597"/>
    </row>
    <row r="1598" spans="1:15" x14ac:dyDescent="0.2">
      <c r="A1598"/>
      <c r="B1598" s="61"/>
      <c r="C1598" s="61"/>
      <c r="F1598"/>
      <c r="G1598"/>
      <c r="H1598"/>
      <c r="I1598"/>
      <c r="L1598"/>
      <c r="M1598"/>
      <c r="N1598" s="61"/>
      <c r="O1598"/>
    </row>
    <row r="1599" spans="1:15" x14ac:dyDescent="0.2">
      <c r="A1599"/>
      <c r="B1599" s="61"/>
      <c r="C1599" s="61"/>
      <c r="F1599"/>
      <c r="G1599"/>
      <c r="H1599"/>
      <c r="I1599"/>
      <c r="L1599"/>
      <c r="N1599" s="61"/>
      <c r="O1599"/>
    </row>
    <row r="1600" spans="1:15" x14ac:dyDescent="0.2">
      <c r="A1600"/>
      <c r="B1600" s="61"/>
      <c r="C1600" s="61"/>
      <c r="F1600"/>
      <c r="G1600"/>
      <c r="I1600"/>
      <c r="L1600"/>
      <c r="M1600"/>
      <c r="N1600" s="61"/>
      <c r="O1600"/>
    </row>
    <row r="1601" spans="1:15" x14ac:dyDescent="0.2">
      <c r="A1601"/>
      <c r="B1601" s="61"/>
      <c r="C1601" s="61"/>
      <c r="F1601"/>
      <c r="G1601"/>
      <c r="I1601"/>
      <c r="L1601"/>
      <c r="M1601"/>
      <c r="N1601" s="61"/>
      <c r="O1601"/>
    </row>
    <row r="1602" spans="1:15" x14ac:dyDescent="0.2">
      <c r="A1602"/>
      <c r="B1602" s="61"/>
      <c r="C1602" s="61"/>
      <c r="F1602"/>
      <c r="G1602"/>
      <c r="L1602"/>
      <c r="M1602"/>
      <c r="N1602" s="61"/>
      <c r="O1602"/>
    </row>
    <row r="1603" spans="1:15" x14ac:dyDescent="0.2">
      <c r="A1603"/>
      <c r="B1603" s="61"/>
      <c r="C1603" s="61"/>
      <c r="F1603"/>
      <c r="G1603"/>
      <c r="L1603"/>
      <c r="M1603"/>
      <c r="N1603" s="61"/>
      <c r="O1603"/>
    </row>
    <row r="1604" spans="1:15" x14ac:dyDescent="0.2">
      <c r="A1604"/>
      <c r="B1604" s="61"/>
      <c r="C1604" s="61"/>
      <c r="F1604"/>
      <c r="G1604"/>
      <c r="H1604"/>
      <c r="L1604"/>
      <c r="M1604"/>
      <c r="N1604" s="61"/>
      <c r="O1604"/>
    </row>
    <row r="1605" spans="1:15" x14ac:dyDescent="0.2">
      <c r="A1605"/>
      <c r="B1605" s="61"/>
      <c r="C1605" s="61"/>
      <c r="F1605"/>
      <c r="G1605"/>
      <c r="H1605"/>
      <c r="I1605"/>
      <c r="L1605"/>
      <c r="M1605"/>
      <c r="N1605" s="61"/>
      <c r="O1605"/>
    </row>
    <row r="1606" spans="1:15" x14ac:dyDescent="0.2">
      <c r="A1606"/>
      <c r="B1606" s="61"/>
      <c r="C1606" s="61"/>
      <c r="F1606"/>
      <c r="G1606"/>
      <c r="L1606"/>
      <c r="M1606"/>
      <c r="N1606" s="61"/>
      <c r="O1606"/>
    </row>
    <row r="1607" spans="1:15" x14ac:dyDescent="0.2">
      <c r="A1607"/>
      <c r="B1607" s="61"/>
      <c r="C1607" s="61"/>
      <c r="F1607"/>
      <c r="G1607"/>
      <c r="H1607"/>
      <c r="I1607"/>
      <c r="L1607"/>
      <c r="M1607"/>
      <c r="N1607" s="61"/>
      <c r="O1607"/>
    </row>
    <row r="1608" spans="1:15" x14ac:dyDescent="0.2">
      <c r="A1608"/>
      <c r="B1608" s="61"/>
      <c r="C1608" s="61"/>
      <c r="F1608"/>
      <c r="G1608"/>
      <c r="H1608"/>
      <c r="I1608"/>
      <c r="L1608"/>
      <c r="M1608"/>
      <c r="N1608" s="61"/>
      <c r="O1608"/>
    </row>
    <row r="1609" spans="1:15" x14ac:dyDescent="0.2">
      <c r="A1609"/>
      <c r="B1609" s="61"/>
      <c r="C1609" s="61"/>
      <c r="F1609"/>
      <c r="G1609"/>
      <c r="L1609"/>
      <c r="M1609"/>
      <c r="N1609" s="61"/>
      <c r="O1609"/>
    </row>
    <row r="1610" spans="1:15" x14ac:dyDescent="0.2">
      <c r="A1610"/>
      <c r="B1610" s="61"/>
      <c r="C1610" s="61"/>
      <c r="F1610"/>
      <c r="G1610"/>
      <c r="I1610"/>
      <c r="L1610"/>
      <c r="M1610"/>
      <c r="N1610" s="61"/>
      <c r="O1610"/>
    </row>
    <row r="1611" spans="1:15" x14ac:dyDescent="0.2">
      <c r="A1611"/>
      <c r="B1611" s="61"/>
      <c r="C1611" s="61"/>
      <c r="F1611"/>
      <c r="G1611"/>
      <c r="I1611"/>
      <c r="L1611"/>
      <c r="M1611"/>
      <c r="N1611" s="61"/>
      <c r="O1611"/>
    </row>
    <row r="1612" spans="1:15" x14ac:dyDescent="0.2">
      <c r="A1612"/>
      <c r="B1612" s="61"/>
      <c r="C1612" s="61"/>
      <c r="F1612"/>
      <c r="G1612"/>
      <c r="H1612"/>
      <c r="I1612"/>
      <c r="L1612"/>
      <c r="M1612"/>
      <c r="N1612" s="61"/>
      <c r="O1612"/>
    </row>
    <row r="1613" spans="1:15" x14ac:dyDescent="0.2">
      <c r="A1613"/>
      <c r="B1613" s="61"/>
      <c r="C1613" s="61"/>
      <c r="F1613"/>
      <c r="G1613"/>
      <c r="H1613"/>
      <c r="I1613"/>
      <c r="L1613"/>
      <c r="M1613"/>
      <c r="N1613" s="61"/>
      <c r="O1613"/>
    </row>
    <row r="1614" spans="1:15" x14ac:dyDescent="0.2">
      <c r="A1614"/>
      <c r="B1614" s="61"/>
      <c r="C1614" s="61"/>
      <c r="F1614"/>
      <c r="G1614"/>
      <c r="I1614"/>
      <c r="L1614"/>
      <c r="M1614"/>
      <c r="N1614" s="61"/>
      <c r="O1614"/>
    </row>
    <row r="1615" spans="1:15" x14ac:dyDescent="0.2">
      <c r="A1615"/>
      <c r="B1615" s="61"/>
      <c r="C1615" s="61"/>
      <c r="F1615"/>
      <c r="G1615"/>
      <c r="H1615"/>
      <c r="I1615"/>
      <c r="L1615"/>
      <c r="M1615"/>
      <c r="N1615" s="61"/>
      <c r="O1615"/>
    </row>
    <row r="1616" spans="1:15" x14ac:dyDescent="0.2">
      <c r="A1616"/>
      <c r="B1616" s="61"/>
      <c r="C1616" s="61"/>
      <c r="F1616"/>
      <c r="G1616"/>
      <c r="H1616"/>
      <c r="I1616"/>
      <c r="L1616"/>
      <c r="M1616"/>
      <c r="N1616" s="61"/>
      <c r="O1616"/>
    </row>
    <row r="1617" spans="1:15" x14ac:dyDescent="0.2">
      <c r="A1617"/>
      <c r="B1617" s="61"/>
      <c r="C1617" s="61"/>
      <c r="F1617"/>
      <c r="G1617"/>
      <c r="H1617"/>
      <c r="I1617"/>
      <c r="L1617"/>
      <c r="M1617"/>
      <c r="N1617" s="61"/>
      <c r="O1617"/>
    </row>
    <row r="1618" spans="1:15" x14ac:dyDescent="0.2">
      <c r="A1618"/>
      <c r="B1618" s="61"/>
      <c r="C1618" s="61"/>
      <c r="F1618"/>
      <c r="G1618"/>
      <c r="L1618"/>
      <c r="M1618"/>
      <c r="N1618" s="61"/>
      <c r="O1618"/>
    </row>
    <row r="1619" spans="1:15" x14ac:dyDescent="0.2">
      <c r="A1619"/>
      <c r="B1619" s="61"/>
      <c r="C1619" s="61"/>
      <c r="F1619"/>
      <c r="G1619"/>
      <c r="I1619"/>
      <c r="L1619"/>
      <c r="M1619"/>
      <c r="N1619" s="61"/>
      <c r="O1619"/>
    </row>
    <row r="1620" spans="1:15" x14ac:dyDescent="0.2">
      <c r="A1620"/>
      <c r="B1620" s="61"/>
      <c r="C1620" s="61"/>
      <c r="F1620"/>
      <c r="G1620"/>
      <c r="H1620"/>
      <c r="I1620"/>
      <c r="L1620"/>
      <c r="M1620"/>
      <c r="N1620" s="61"/>
      <c r="O1620"/>
    </row>
    <row r="1621" spans="1:15" x14ac:dyDescent="0.2">
      <c r="A1621"/>
      <c r="B1621" s="61"/>
      <c r="C1621" s="61"/>
      <c r="F1621"/>
      <c r="G1621"/>
      <c r="L1621"/>
      <c r="M1621"/>
      <c r="N1621" s="61"/>
      <c r="O1621"/>
    </row>
    <row r="1622" spans="1:15" x14ac:dyDescent="0.2">
      <c r="A1622"/>
      <c r="B1622" s="61"/>
      <c r="C1622" s="61"/>
      <c r="F1622"/>
      <c r="G1622"/>
      <c r="H1622"/>
      <c r="I1622"/>
      <c r="L1622"/>
      <c r="M1622"/>
      <c r="N1622" s="61"/>
      <c r="O1622"/>
    </row>
    <row r="1623" spans="1:15" x14ac:dyDescent="0.2">
      <c r="A1623"/>
      <c r="B1623" s="61"/>
      <c r="C1623" s="61"/>
      <c r="F1623"/>
      <c r="G1623"/>
      <c r="H1623"/>
      <c r="I1623"/>
      <c r="L1623"/>
      <c r="M1623"/>
      <c r="N1623" s="61"/>
      <c r="O1623"/>
    </row>
    <row r="1624" spans="1:15" x14ac:dyDescent="0.2">
      <c r="A1624"/>
      <c r="B1624" s="61"/>
      <c r="C1624" s="61"/>
      <c r="F1624"/>
      <c r="G1624"/>
      <c r="H1624"/>
      <c r="I1624"/>
      <c r="L1624"/>
      <c r="M1624"/>
      <c r="N1624" s="61"/>
      <c r="O1624"/>
    </row>
    <row r="1625" spans="1:15" x14ac:dyDescent="0.2">
      <c r="A1625"/>
      <c r="B1625" s="61"/>
      <c r="C1625" s="61"/>
      <c r="F1625"/>
      <c r="G1625"/>
      <c r="H1625"/>
      <c r="I1625"/>
      <c r="L1625"/>
      <c r="M1625"/>
      <c r="N1625" s="61"/>
      <c r="O1625"/>
    </row>
    <row r="1626" spans="1:15" x14ac:dyDescent="0.2">
      <c r="A1626"/>
      <c r="B1626" s="61"/>
      <c r="C1626" s="61"/>
      <c r="F1626"/>
      <c r="G1626"/>
      <c r="H1626"/>
      <c r="I1626"/>
      <c r="L1626"/>
      <c r="M1626"/>
      <c r="N1626" s="61"/>
      <c r="O1626"/>
    </row>
    <row r="1627" spans="1:15" x14ac:dyDescent="0.2">
      <c r="A1627"/>
      <c r="B1627" s="61"/>
      <c r="C1627" s="61"/>
      <c r="F1627"/>
      <c r="G1627"/>
      <c r="H1627"/>
      <c r="I1627"/>
      <c r="L1627"/>
      <c r="M1627"/>
      <c r="N1627" s="61"/>
      <c r="O1627"/>
    </row>
    <row r="1628" spans="1:15" x14ac:dyDescent="0.2">
      <c r="A1628"/>
      <c r="B1628" s="61"/>
      <c r="C1628" s="61"/>
      <c r="F1628"/>
      <c r="G1628"/>
      <c r="H1628"/>
      <c r="I1628"/>
      <c r="L1628"/>
      <c r="M1628"/>
      <c r="N1628" s="61"/>
      <c r="O1628"/>
    </row>
    <row r="1629" spans="1:15" x14ac:dyDescent="0.2">
      <c r="A1629"/>
      <c r="B1629" s="61"/>
      <c r="C1629" s="61"/>
      <c r="F1629"/>
      <c r="G1629"/>
      <c r="H1629"/>
      <c r="I1629"/>
      <c r="L1629"/>
      <c r="M1629"/>
      <c r="N1629" s="61"/>
      <c r="O1629"/>
    </row>
    <row r="1630" spans="1:15" x14ac:dyDescent="0.2">
      <c r="A1630"/>
      <c r="B1630" s="61"/>
      <c r="C1630" s="61"/>
      <c r="F1630"/>
      <c r="G1630"/>
      <c r="H1630"/>
      <c r="I1630"/>
      <c r="L1630"/>
      <c r="M1630"/>
      <c r="N1630" s="61"/>
      <c r="O1630"/>
    </row>
    <row r="1631" spans="1:15" x14ac:dyDescent="0.2">
      <c r="A1631"/>
      <c r="B1631" s="61"/>
      <c r="C1631" s="61"/>
      <c r="F1631"/>
      <c r="G1631"/>
      <c r="H1631"/>
      <c r="I1631"/>
      <c r="J1631"/>
      <c r="K1631"/>
      <c r="L1631"/>
      <c r="M1631"/>
      <c r="N1631" s="61"/>
      <c r="O1631"/>
    </row>
    <row r="1632" spans="1:15" x14ac:dyDescent="0.2">
      <c r="A1632"/>
      <c r="B1632" s="61"/>
      <c r="C1632" s="61"/>
      <c r="F1632"/>
      <c r="G1632"/>
      <c r="I1632"/>
      <c r="L1632"/>
      <c r="M1632"/>
      <c r="N1632" s="61"/>
      <c r="O1632"/>
    </row>
    <row r="1633" spans="1:15" x14ac:dyDescent="0.2">
      <c r="A1633"/>
      <c r="B1633" s="61"/>
      <c r="C1633" s="61"/>
      <c r="F1633"/>
      <c r="G1633"/>
      <c r="H1633"/>
      <c r="I1633"/>
      <c r="L1633"/>
      <c r="M1633"/>
      <c r="N1633" s="61"/>
      <c r="O1633"/>
    </row>
    <row r="1634" spans="1:15" x14ac:dyDescent="0.2">
      <c r="A1634"/>
      <c r="B1634" s="61"/>
      <c r="C1634" s="61"/>
      <c r="F1634"/>
      <c r="G1634"/>
      <c r="H1634"/>
      <c r="I1634"/>
      <c r="L1634"/>
      <c r="M1634"/>
      <c r="N1634" s="61"/>
      <c r="O1634"/>
    </row>
    <row r="1635" spans="1:15" x14ac:dyDescent="0.2">
      <c r="A1635"/>
      <c r="B1635" s="61"/>
      <c r="C1635" s="61"/>
      <c r="F1635"/>
      <c r="G1635"/>
      <c r="H1635"/>
      <c r="J1635"/>
      <c r="K1635"/>
      <c r="L1635"/>
      <c r="M1635"/>
      <c r="N1635" s="61"/>
      <c r="O1635"/>
    </row>
    <row r="1636" spans="1:15" x14ac:dyDescent="0.2">
      <c r="A1636"/>
      <c r="B1636" s="61"/>
      <c r="C1636" s="61"/>
      <c r="F1636"/>
      <c r="G1636"/>
      <c r="H1636"/>
      <c r="J1636"/>
      <c r="K1636"/>
      <c r="L1636"/>
      <c r="M1636"/>
      <c r="N1636" s="61"/>
      <c r="O1636"/>
    </row>
    <row r="1637" spans="1:15" x14ac:dyDescent="0.2">
      <c r="A1637"/>
      <c r="B1637" s="61"/>
      <c r="C1637" s="61"/>
      <c r="F1637"/>
      <c r="G1637"/>
      <c r="H1637"/>
      <c r="J1637"/>
      <c r="K1637"/>
      <c r="L1637"/>
      <c r="M1637"/>
      <c r="N1637" s="61"/>
      <c r="O1637"/>
    </row>
    <row r="1638" spans="1:15" x14ac:dyDescent="0.2">
      <c r="A1638"/>
      <c r="B1638" s="61"/>
      <c r="C1638" s="61"/>
      <c r="F1638"/>
      <c r="G1638"/>
      <c r="H1638"/>
      <c r="L1638"/>
      <c r="M1638"/>
      <c r="N1638" s="61"/>
      <c r="O1638"/>
    </row>
    <row r="1639" spans="1:15" x14ac:dyDescent="0.2">
      <c r="A1639"/>
      <c r="B1639" s="61"/>
      <c r="C1639" s="61"/>
      <c r="F1639"/>
      <c r="G1639"/>
      <c r="H1639"/>
      <c r="J1639"/>
      <c r="K1639"/>
      <c r="L1639"/>
      <c r="M1639"/>
      <c r="N1639" s="61"/>
      <c r="O1639"/>
    </row>
    <row r="1640" spans="1:15" x14ac:dyDescent="0.2">
      <c r="A1640"/>
      <c r="B1640" s="61"/>
      <c r="C1640" s="61"/>
      <c r="F1640"/>
      <c r="G1640"/>
      <c r="H1640"/>
      <c r="L1640"/>
      <c r="M1640"/>
      <c r="N1640" s="61"/>
      <c r="O1640"/>
    </row>
    <row r="1641" spans="1:15" x14ac:dyDescent="0.2">
      <c r="A1641"/>
      <c r="B1641" s="61"/>
      <c r="C1641" s="61"/>
      <c r="F1641"/>
      <c r="G1641"/>
      <c r="H1641"/>
      <c r="J1641"/>
      <c r="K1641"/>
      <c r="L1641"/>
      <c r="M1641"/>
      <c r="N1641" s="61"/>
      <c r="O1641"/>
    </row>
    <row r="1642" spans="1:15" x14ac:dyDescent="0.2">
      <c r="A1642"/>
      <c r="B1642" s="61"/>
      <c r="C1642" s="61"/>
      <c r="F1642"/>
      <c r="G1642"/>
      <c r="I1642"/>
      <c r="L1642"/>
      <c r="M1642"/>
      <c r="N1642" s="61"/>
      <c r="O1642"/>
    </row>
    <row r="1643" spans="1:15" x14ac:dyDescent="0.2">
      <c r="A1643"/>
      <c r="B1643" s="61"/>
      <c r="C1643" s="61"/>
      <c r="F1643"/>
      <c r="G1643"/>
      <c r="I1643"/>
      <c r="L1643"/>
      <c r="M1643"/>
      <c r="N1643" s="61"/>
      <c r="O1643"/>
    </row>
    <row r="1644" spans="1:15" x14ac:dyDescent="0.2">
      <c r="A1644"/>
      <c r="B1644" s="61"/>
      <c r="C1644" s="61"/>
      <c r="F1644"/>
      <c r="G1644"/>
      <c r="L1644"/>
      <c r="M1644"/>
      <c r="N1644" s="61"/>
      <c r="O1644"/>
    </row>
    <row r="1645" spans="1:15" x14ac:dyDescent="0.2">
      <c r="A1645"/>
      <c r="B1645" s="61"/>
      <c r="C1645" s="61"/>
      <c r="F1645"/>
      <c r="G1645"/>
      <c r="H1645"/>
      <c r="I1645"/>
      <c r="L1645"/>
      <c r="M1645"/>
      <c r="N1645" s="61"/>
      <c r="O1645"/>
    </row>
    <row r="1646" spans="1:15" x14ac:dyDescent="0.2">
      <c r="A1646"/>
      <c r="B1646" s="61"/>
      <c r="C1646" s="61"/>
      <c r="F1646"/>
      <c r="G1646"/>
      <c r="H1646"/>
      <c r="I1646"/>
      <c r="L1646"/>
      <c r="M1646"/>
      <c r="N1646" s="61"/>
      <c r="O1646"/>
    </row>
    <row r="1647" spans="1:15" x14ac:dyDescent="0.2">
      <c r="A1647"/>
      <c r="B1647" s="61"/>
      <c r="C1647" s="61"/>
      <c r="F1647"/>
      <c r="G1647"/>
      <c r="I1647"/>
      <c r="L1647"/>
      <c r="M1647"/>
      <c r="N1647" s="61"/>
      <c r="O1647"/>
    </row>
    <row r="1648" spans="1:15" x14ac:dyDescent="0.2">
      <c r="A1648"/>
      <c r="B1648" s="61"/>
      <c r="C1648" s="61"/>
      <c r="F1648"/>
      <c r="G1648"/>
      <c r="I1648"/>
      <c r="L1648"/>
      <c r="M1648"/>
      <c r="N1648" s="61"/>
      <c r="O1648"/>
    </row>
    <row r="1649" spans="1:15" x14ac:dyDescent="0.2">
      <c r="A1649"/>
      <c r="B1649" s="61"/>
      <c r="C1649" s="61"/>
      <c r="F1649"/>
      <c r="G1649"/>
      <c r="H1649"/>
      <c r="I1649"/>
      <c r="L1649"/>
      <c r="M1649"/>
      <c r="N1649" s="61"/>
      <c r="O1649"/>
    </row>
    <row r="1650" spans="1:15" x14ac:dyDescent="0.2">
      <c r="A1650"/>
      <c r="B1650" s="61"/>
      <c r="C1650" s="61"/>
      <c r="F1650"/>
      <c r="G1650"/>
      <c r="H1650"/>
      <c r="I1650"/>
      <c r="L1650"/>
      <c r="N1650" s="61"/>
      <c r="O1650"/>
    </row>
    <row r="1651" spans="1:15" x14ac:dyDescent="0.2">
      <c r="A1651"/>
      <c r="B1651" s="61"/>
      <c r="C1651" s="61"/>
      <c r="F1651"/>
      <c r="G1651"/>
      <c r="H1651"/>
      <c r="I1651"/>
      <c r="L1651"/>
      <c r="M1651"/>
      <c r="N1651" s="61"/>
      <c r="O1651"/>
    </row>
    <row r="1652" spans="1:15" x14ac:dyDescent="0.2">
      <c r="A1652"/>
      <c r="B1652" s="61"/>
      <c r="C1652" s="61"/>
      <c r="F1652"/>
      <c r="G1652"/>
      <c r="H1652"/>
      <c r="I1652"/>
      <c r="L1652"/>
      <c r="N1652" s="61"/>
      <c r="O1652"/>
    </row>
  </sheetData>
  <sheetProtection autoFilter="0"/>
  <phoneticPr fontId="23" type="noConversion"/>
  <pageMargins left="0.7" right="0.7" top="0.75" bottom="0.75" header="0.3" footer="0.3"/>
  <pageSetup paperSize="0" orientation="portrait" horizontalDpi="0" verticalDpi="0" copies="0" r:id="rId1"/>
  <customProperties>
    <customPr name="%locator_row%" r:id="rId2"/>
    <customPr name="%startcell%" r:id="rId3"/>
  </customProperties>
  <tableParts count="1">
    <tablePart r:id="rId4"/>
  </tableParts>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F56E02-A392-49E9-9FE1-53046EB97338}">
  <sheetPr codeName="Sheet18"/>
  <dimension ref="A1:AI71"/>
  <sheetViews>
    <sheetView topLeftCell="A19" workbookViewId="0">
      <selection sqref="A1:Q71"/>
    </sheetView>
  </sheetViews>
  <sheetFormatPr defaultRowHeight="12.75" x14ac:dyDescent="0.2"/>
  <cols>
    <col min="1" max="1" width="81.140625" bestFit="1" customWidth="1"/>
    <col min="2" max="2" width="10.5703125" bestFit="1" customWidth="1"/>
    <col min="3" max="3" width="14.5703125" bestFit="1" customWidth="1"/>
    <col min="4" max="4" width="67.28515625" bestFit="1" customWidth="1"/>
    <col min="5" max="5" width="12" bestFit="1" customWidth="1"/>
    <col min="6" max="6" width="27.7109375" bestFit="1" customWidth="1"/>
    <col min="7" max="7" width="30.28515625" bestFit="1" customWidth="1"/>
    <col min="8" max="8" width="22.7109375" bestFit="1" customWidth="1"/>
    <col min="9" max="9" width="22.5703125" bestFit="1" customWidth="1"/>
    <col min="10" max="10" width="27.5703125" bestFit="1" customWidth="1"/>
    <col min="11" max="11" width="28.5703125" bestFit="1" customWidth="1"/>
    <col min="12" max="13" width="81.140625" bestFit="1" customWidth="1"/>
    <col min="14" max="14" width="23.7109375" bestFit="1" customWidth="1"/>
    <col min="15" max="15" width="81.140625" bestFit="1" customWidth="1"/>
    <col min="16" max="16" width="27.85546875" bestFit="1" customWidth="1"/>
    <col min="17" max="17" width="16.42578125" bestFit="1" customWidth="1"/>
    <col min="18" max="18" width="27.7109375" bestFit="1" customWidth="1"/>
    <col min="19" max="19" width="72.140625" bestFit="1" customWidth="1"/>
    <col min="20" max="20" width="8" bestFit="1" customWidth="1"/>
    <col min="21" max="21" width="11.7109375" bestFit="1" customWidth="1"/>
    <col min="22" max="22" width="46.28515625" bestFit="1" customWidth="1"/>
    <col min="23" max="23" width="9.140625" bestFit="1" customWidth="1"/>
    <col min="24" max="24" width="10.140625" bestFit="1" customWidth="1"/>
    <col min="25" max="25" width="22" bestFit="1" customWidth="1"/>
    <col min="26" max="27" width="18.85546875" bestFit="1" customWidth="1"/>
    <col min="28" max="28" width="20" bestFit="1" customWidth="1"/>
    <col min="29" max="29" width="23.42578125" bestFit="1" customWidth="1"/>
    <col min="30" max="30" width="83.85546875" bestFit="1" customWidth="1"/>
    <col min="31" max="31" width="17.42578125" bestFit="1" customWidth="1"/>
    <col min="32" max="32" width="19.140625" bestFit="1" customWidth="1"/>
    <col min="33" max="33" width="50" bestFit="1" customWidth="1"/>
    <col min="34" max="34" width="18.140625" bestFit="1" customWidth="1"/>
    <col min="35" max="35" width="12.5703125" bestFit="1" customWidth="1"/>
  </cols>
  <sheetData>
    <row r="1" spans="1:35" x14ac:dyDescent="0.2">
      <c r="A1"/>
      <c r="B1"/>
      <c r="C1"/>
      <c r="D1"/>
      <c r="E1"/>
      <c r="F1"/>
      <c r="G1"/>
      <c r="H1"/>
      <c r="I1"/>
      <c r="J1" s="61"/>
      <c r="K1"/>
      <c r="L1" s="61"/>
      <c r="M1"/>
      <c r="N1"/>
      <c r="O1"/>
      <c r="P1"/>
      <c r="Q1"/>
      <c r="S1" t="s">
        <v>898</v>
      </c>
      <c r="T1" t="s">
        <v>895</v>
      </c>
      <c r="U1" t="s">
        <v>899</v>
      </c>
      <c r="V1" t="s">
        <v>900</v>
      </c>
      <c r="W1" t="s">
        <v>897</v>
      </c>
      <c r="X1" t="s">
        <v>901</v>
      </c>
      <c r="Y1" t="s">
        <v>902</v>
      </c>
      <c r="Z1" t="s">
        <v>903</v>
      </c>
      <c r="AA1" t="s">
        <v>904</v>
      </c>
      <c r="AB1" t="s">
        <v>905</v>
      </c>
      <c r="AC1" t="s">
        <v>906</v>
      </c>
      <c r="AD1" t="s">
        <v>907</v>
      </c>
      <c r="AE1" t="s">
        <v>908</v>
      </c>
      <c r="AF1" t="s">
        <v>909</v>
      </c>
      <c r="AG1" t="s">
        <v>910</v>
      </c>
      <c r="AH1" t="s">
        <v>911</v>
      </c>
      <c r="AI1" t="s">
        <v>896</v>
      </c>
    </row>
    <row r="2" spans="1:35" x14ac:dyDescent="0.2">
      <c r="A2"/>
      <c r="B2"/>
      <c r="C2"/>
      <c r="D2"/>
      <c r="E2"/>
      <c r="F2"/>
      <c r="G2"/>
      <c r="J2" s="61"/>
      <c r="K2"/>
      <c r="L2" s="61"/>
      <c r="M2"/>
      <c r="N2"/>
      <c r="O2"/>
      <c r="P2"/>
      <c r="Q2"/>
      <c r="S2" t="str" cm="1">
        <f t="array" ref="S2:S9">_xlfn._xlws.FILTER(AssetPool[asset_description], AssetPool[root_category_name]="DAQ Modules")</f>
        <v>DaqBook 2005, with connections for 40 type "J" thermocouples.</v>
      </c>
      <c r="T2" cm="1">
        <f t="array" ref="T2:T9">_xlfn._xlws.FILTER(AssetPool[asset_id], AssetPool[root_category_name]="DAQ Modules")</f>
        <v>1235426</v>
      </c>
      <c r="U2" t="str" cm="1">
        <f t="array" ref="U2:U9">_xlfn._xlws.FILTER(AssetPool[asset_maker], AssetPool[root_category_name]="DAQ Modules")</f>
        <v>IOtech</v>
      </c>
      <c r="V2" t="str" cm="1">
        <f t="array" ref="V2:V9">_xlfn._xlws.FILTER(AssetPool[asset_name], AssetPool[root_category_name]="DAQ Modules")</f>
        <v>Data Acquisition System - DAQBOOK/2005</v>
      </c>
      <c r="W2" t="str" cm="1">
        <f t="array" ref="W2:W9">_xlfn._xlws.FILTER(AssetPool[asset_tag], AssetPool[root_category_name]="DAQ Modules")</f>
        <v>J1</v>
      </c>
      <c r="X2" cm="1">
        <f t="array" ref="X2:X9">_xlfn._xlws.FILTER(AssetPool[asset_user], AssetPool[root_category_name]="DAQ Modules")</f>
        <v>0</v>
      </c>
      <c r="Y2" t="str" cm="1">
        <f t="array" ref="Y2:Y9">_xlfn._xlws.FILTER(AssetPool[category_name], AssetPool[root_category_name]="DAQ Modules")</f>
        <v>Data Acquisition System</v>
      </c>
      <c r="Z2" cm="1">
        <f t="array" ref="Z2:Z9">_xlfn._xlws.FILTER(AssetPool[custodian_first_name], AssetPool[root_category_name]="DAQ Modules")</f>
        <v>0</v>
      </c>
      <c r="AA2" cm="1">
        <f t="array" ref="AA2:AA9">_xlfn._xlws.FILTER(AssetPool[custodian_last_name], AssetPool[root_category_name]="DAQ Modules")</f>
        <v>0</v>
      </c>
      <c r="AB2" t="str" cm="1">
        <f t="array" ref="AB2:AB9">_xlfn._xlws.FILTER(AssetPool[department], AssetPool[root_category_name]="DAQ Modules")</f>
        <v>Pyrometry Department</v>
      </c>
      <c r="AC2" t="str" cm="1">
        <f t="array" ref="AC2:AC9">_xlfn._xlws.FILTER(AssetPool[manufacturer_part_number], AssetPool[root_category_name]="DAQ Modules")</f>
        <v>DaqBook/2005</v>
      </c>
      <c r="AD2" t="str" cm="1">
        <f t="array" ref="AD2:AD9">_xlfn._xlws.FILTER(AssetPool[notes], AssetPool[root_category_name]="DAQ Modules")</f>
        <v>Per WP4102. Calibrate against primary or secondary standard instrument.</v>
      </c>
      <c r="AE2" t="str" cm="1">
        <f t="array" ref="AE2:AE9">_xlfn._xlws.FILTER(AssetPool[product_description], AssetPool[root_category_name]="DAQ Modules")</f>
        <v/>
      </c>
      <c r="AF2" t="str" cm="1">
        <f t="array" ref="AF2:AF9">_xlfn._xlws.FILTER(AssetPool[product_manufacturer], AssetPool[root_category_name]="DAQ Modules")</f>
        <v>IOtech</v>
      </c>
      <c r="AG2" t="str" cm="1">
        <f t="array" ref="AG2:AG9">_xlfn._xlws.FILTER(AssetPool[product_name], AssetPool[root_category_name]="DAQ Modules")</f>
        <v>IOT DaqBook/2005 Multifunction Data Acquisition System</v>
      </c>
      <c r="AH2" t="str" cm="1">
        <f t="array" ref="AH2:AH9">_xlfn._xlws.FILTER(AssetPool[root_category_name], AssetPool[root_category_name]="DAQ Modules")</f>
        <v>DAQ Modules</v>
      </c>
      <c r="AI2" t="str" cm="1">
        <f t="array" ref="AI2:AI9">_xlfn._xlws.FILTER(AssetPool[serial_number], AssetPool[root_category_name]="DAQ Modules")</f>
        <v>807408</v>
      </c>
    </row>
    <row r="3" spans="1:35" x14ac:dyDescent="0.2">
      <c r="A3"/>
      <c r="B3"/>
      <c r="C3"/>
      <c r="D3"/>
      <c r="E3"/>
      <c r="F3"/>
      <c r="G3"/>
      <c r="J3" s="61"/>
      <c r="K3"/>
      <c r="L3" s="61"/>
      <c r="M3"/>
      <c r="N3"/>
      <c r="O3"/>
      <c r="P3"/>
      <c r="Q3"/>
      <c r="S3" t="str">
        <v>DaqBook 2005, with connections for 40 type "J" thermocouples.</v>
      </c>
      <c r="T3">
        <v>1235682</v>
      </c>
      <c r="U3" t="str">
        <v>IOtech</v>
      </c>
      <c r="V3" t="str">
        <v>Data Acquisition System - DAQBOOK/2005 - 806337</v>
      </c>
      <c r="W3" t="str">
        <v>J2</v>
      </c>
      <c r="X3">
        <v>0</v>
      </c>
      <c r="Y3" t="str">
        <v>Data Acquisition System</v>
      </c>
      <c r="Z3">
        <v>0</v>
      </c>
      <c r="AA3">
        <v>0</v>
      </c>
      <c r="AB3" t="str">
        <v>Pyrometry Department</v>
      </c>
      <c r="AC3" t="str">
        <v>DaqBook/2005</v>
      </c>
      <c r="AD3" t="str">
        <v>Calibrate against primary or secondary standard instrument in accordance with WP4102.</v>
      </c>
      <c r="AE3" t="str">
        <v/>
      </c>
      <c r="AF3" t="str">
        <v>IOtech</v>
      </c>
      <c r="AG3" t="str">
        <v>IOT DaqBook/2005 Multifunction Data Acquisition System</v>
      </c>
      <c r="AH3" t="str">
        <v>DAQ Modules</v>
      </c>
      <c r="AI3" t="str">
        <v>806337</v>
      </c>
    </row>
    <row r="4" spans="1:35" x14ac:dyDescent="0.2">
      <c r="A4"/>
      <c r="B4"/>
      <c r="C4"/>
      <c r="D4"/>
      <c r="E4"/>
      <c r="F4"/>
      <c r="G4"/>
      <c r="J4" s="61"/>
      <c r="K4"/>
      <c r="L4" s="61"/>
      <c r="M4"/>
      <c r="N4"/>
      <c r="O4"/>
      <c r="P4"/>
      <c r="Q4"/>
      <c r="S4" t="str">
        <v>DaqBook 2005, with connections for 40 type "J" thermocouples.</v>
      </c>
      <c r="T4">
        <v>1235630</v>
      </c>
      <c r="U4" t="str">
        <v>IOtech</v>
      </c>
      <c r="V4" t="str">
        <v>Data Acquisition System - DAQBOOK/2005 - 807705</v>
      </c>
      <c r="W4" t="str">
        <v>J3</v>
      </c>
      <c r="X4">
        <v>0</v>
      </c>
      <c r="Y4" t="str">
        <v>Data Acquisition System</v>
      </c>
      <c r="Z4">
        <v>0</v>
      </c>
      <c r="AA4">
        <v>0</v>
      </c>
      <c r="AB4" t="str">
        <v>Pyrometry Department</v>
      </c>
      <c r="AC4" t="str">
        <v>DaqBook/2005</v>
      </c>
      <c r="AD4" t="str">
        <v>Per WP4102. Calibrate against primary or secondary standard instrument.</v>
      </c>
      <c r="AE4" t="str">
        <v/>
      </c>
      <c r="AF4" t="str">
        <v>IOtech</v>
      </c>
      <c r="AG4" t="str">
        <v>IOT DaqBook/2005 Multifunction Data Acquisition System</v>
      </c>
      <c r="AH4" t="str">
        <v>DAQ Modules</v>
      </c>
      <c r="AI4" t="str">
        <v>807705</v>
      </c>
    </row>
    <row r="5" spans="1:35" x14ac:dyDescent="0.2">
      <c r="A5"/>
      <c r="B5"/>
      <c r="C5"/>
      <c r="D5"/>
      <c r="E5"/>
      <c r="F5"/>
      <c r="G5"/>
      <c r="J5" s="61"/>
      <c r="K5"/>
      <c r="L5" s="61"/>
      <c r="M5"/>
      <c r="N5"/>
      <c r="O5"/>
      <c r="P5"/>
      <c r="Q5"/>
      <c r="S5" t="str">
        <v>DaqBook 2005, with connections for 40 type "K" thermocouples</v>
      </c>
      <c r="T5">
        <v>1235686</v>
      </c>
      <c r="U5" t="str">
        <v>IOtech</v>
      </c>
      <c r="V5" t="str">
        <v>Data Acquisition System - DAQBOOK/2005 - 807409</v>
      </c>
      <c r="W5" t="str">
        <v>K4</v>
      </c>
      <c r="X5">
        <v>0</v>
      </c>
      <c r="Y5" t="str">
        <v>Data Acquisition System</v>
      </c>
      <c r="Z5">
        <v>0</v>
      </c>
      <c r="AA5">
        <v>0</v>
      </c>
      <c r="AB5" t="str">
        <v>Pyrometry Department</v>
      </c>
      <c r="AC5" t="str">
        <v>DaqBook/2005</v>
      </c>
      <c r="AD5" t="str">
        <v>Calibrate against primary or secondary standard instrument in accordance with WP4102.</v>
      </c>
      <c r="AE5" t="str">
        <v/>
      </c>
      <c r="AF5" t="str">
        <v>IOtech</v>
      </c>
      <c r="AG5" t="str">
        <v>IOT DaqBook/2005 Multifunction Data Acquisition System</v>
      </c>
      <c r="AH5" t="str">
        <v>DAQ Modules</v>
      </c>
      <c r="AI5" t="str">
        <v>807409</v>
      </c>
    </row>
    <row r="6" spans="1:35" x14ac:dyDescent="0.2">
      <c r="A6"/>
      <c r="B6"/>
      <c r="C6"/>
      <c r="D6"/>
      <c r="E6"/>
      <c r="F6"/>
      <c r="G6"/>
      <c r="J6" s="61"/>
      <c r="K6"/>
      <c r="L6" s="61"/>
      <c r="M6"/>
      <c r="N6"/>
      <c r="O6"/>
      <c r="P6"/>
      <c r="Q6"/>
      <c r="S6" t="str">
        <v>Daqbook 2005 with 28 type "K" Thermocouples. S/N 808005 U/N K5</v>
      </c>
      <c r="T6">
        <v>1235543</v>
      </c>
      <c r="U6" t="str">
        <v>IOtech</v>
      </c>
      <c r="V6" t="str">
        <v>Data Acquisition System - DAQBOOK/2005</v>
      </c>
      <c r="W6" t="str">
        <v>K5</v>
      </c>
      <c r="X6">
        <v>0</v>
      </c>
      <c r="Y6" t="str">
        <v>Data Acquisition System</v>
      </c>
      <c r="Z6">
        <v>0</v>
      </c>
      <c r="AA6">
        <v>0</v>
      </c>
      <c r="AB6" t="str">
        <v>Pyrometry Department</v>
      </c>
      <c r="AC6" t="str">
        <v>DaqBook/2005</v>
      </c>
      <c r="AD6" t="str">
        <v>Calibrate against any primary or secondary standard instrument and in accordance with WP4100.</v>
      </c>
      <c r="AE6" t="str">
        <v/>
      </c>
      <c r="AF6" t="str">
        <v>IOtech</v>
      </c>
      <c r="AG6" t="str">
        <v>IOT DaqBook/2005 Multifunction Data Acquisition System</v>
      </c>
      <c r="AH6" t="str">
        <v>DAQ Modules</v>
      </c>
      <c r="AI6" t="str">
        <v>808005</v>
      </c>
    </row>
    <row r="7" spans="1:35" x14ac:dyDescent="0.2">
      <c r="A7"/>
      <c r="B7"/>
      <c r="C7"/>
      <c r="D7"/>
      <c r="E7"/>
      <c r="G7"/>
      <c r="J7" s="61"/>
      <c r="K7"/>
      <c r="L7" s="61"/>
      <c r="M7"/>
      <c r="N7"/>
      <c r="O7"/>
      <c r="P7"/>
      <c r="Q7"/>
      <c r="S7" t="str">
        <v>Daqbook 2005 with 40 type "K" Thermocouples. S/N 808173 U/N K6</v>
      </c>
      <c r="T7">
        <v>1235622</v>
      </c>
      <c r="U7" t="str">
        <v>IOtech</v>
      </c>
      <c r="V7" t="str">
        <v>Data Acquisition System - DAQBOOK/2005 - 808173</v>
      </c>
      <c r="W7" t="str">
        <v>K6</v>
      </c>
      <c r="X7">
        <v>0</v>
      </c>
      <c r="Y7" t="str">
        <v>Data Acquisition System</v>
      </c>
      <c r="Z7">
        <v>0</v>
      </c>
      <c r="AA7">
        <v>0</v>
      </c>
      <c r="AB7" t="str">
        <v>Pyrometry Department</v>
      </c>
      <c r="AC7" t="str">
        <v>DaqBook/2005</v>
      </c>
      <c r="AD7" t="str">
        <v>Calibrate against any primary or secondary standard instrument and in accordance with WP4100.</v>
      </c>
      <c r="AE7" t="str">
        <v/>
      </c>
      <c r="AF7" t="str">
        <v>IOtech</v>
      </c>
      <c r="AG7" t="str">
        <v>IOT DaqBook/2005 Multifunction Data Acquisition System</v>
      </c>
      <c r="AH7" t="str">
        <v>DAQ Modules</v>
      </c>
      <c r="AI7" t="str">
        <v>808173</v>
      </c>
    </row>
    <row r="8" spans="1:35" x14ac:dyDescent="0.2">
      <c r="A8"/>
      <c r="B8"/>
      <c r="C8"/>
      <c r="D8"/>
      <c r="E8"/>
      <c r="F8"/>
      <c r="G8"/>
      <c r="J8" s="61"/>
      <c r="K8"/>
      <c r="L8" s="61"/>
      <c r="M8"/>
      <c r="N8"/>
      <c r="O8"/>
      <c r="P8"/>
      <c r="Q8"/>
      <c r="S8" t="str">
        <v>Daqbook with 28 type "K" Thermocouples. S/N 22500C0 U/N K7</v>
      </c>
      <c r="T8">
        <v>2884452</v>
      </c>
      <c r="U8" t="str">
        <v>MCCDAQ</v>
      </c>
      <c r="V8" t="str">
        <v>Data Acquisition System - MCCDAQ- 22500C0</v>
      </c>
      <c r="W8" t="str">
        <v>K7</v>
      </c>
      <c r="X8">
        <v>0</v>
      </c>
      <c r="Y8" t="str">
        <v>Data Acquisition System</v>
      </c>
      <c r="Z8">
        <v>0</v>
      </c>
      <c r="AA8">
        <v>0</v>
      </c>
      <c r="AB8" t="str">
        <v>Pyrometry Department</v>
      </c>
      <c r="AC8" t="str">
        <v>DaqBook/2005</v>
      </c>
      <c r="AD8" t="str">
        <v>Calibrate against any primary or secondary standard instrument and in accordance with WP4100.</v>
      </c>
      <c r="AE8" t="str">
        <v/>
      </c>
      <c r="AF8" t="str">
        <v>IOtech</v>
      </c>
      <c r="AG8" t="str">
        <v>IOT DaqBook/2005 Multifunction Data Acquisition System</v>
      </c>
      <c r="AH8" t="str">
        <v>DAQ Modules</v>
      </c>
      <c r="AI8" t="str">
        <v>22500C0</v>
      </c>
    </row>
    <row r="9" spans="1:35" x14ac:dyDescent="0.2">
      <c r="A9"/>
      <c r="B9"/>
      <c r="C9"/>
      <c r="D9"/>
      <c r="E9"/>
      <c r="F9"/>
      <c r="G9"/>
      <c r="J9" s="61"/>
      <c r="K9"/>
      <c r="L9" s="61"/>
      <c r="M9"/>
      <c r="N9"/>
      <c r="O9"/>
      <c r="P9"/>
      <c r="Q9"/>
      <c r="S9" t="str">
        <v>Daqbook 2000 with connections for 28 type "N" thermocouples. S/N 808004 U/N N2</v>
      </c>
      <c r="T9">
        <v>1235561</v>
      </c>
      <c r="U9" t="str">
        <v>IOtech</v>
      </c>
      <c r="V9" t="str">
        <v>Data Acquisition System - DAQBOOK/2000 - 808004</v>
      </c>
      <c r="W9" t="str">
        <v>N2</v>
      </c>
      <c r="X9">
        <v>0</v>
      </c>
      <c r="Y9" t="str">
        <v>Data Acquisition System</v>
      </c>
      <c r="Z9">
        <v>0</v>
      </c>
      <c r="AA9">
        <v>0</v>
      </c>
      <c r="AB9" t="str">
        <v>Pyrometry Department</v>
      </c>
      <c r="AC9" t="str">
        <v>DaqBook/2005</v>
      </c>
      <c r="AD9" t="str">
        <v>Calibrate against primary or secondary standard instrument and In accordance with WP4102.</v>
      </c>
      <c r="AE9" t="str">
        <v/>
      </c>
      <c r="AF9" t="str">
        <v>IOtech</v>
      </c>
      <c r="AG9" t="str">
        <v>IOT DaqBook/2005 Multifunction Data Acquisition System</v>
      </c>
      <c r="AH9" t="str">
        <v>DAQ Modules</v>
      </c>
      <c r="AI9" t="str">
        <v>808004</v>
      </c>
    </row>
    <row r="10" spans="1:35" x14ac:dyDescent="0.2">
      <c r="A10"/>
      <c r="B10"/>
      <c r="C10"/>
      <c r="D10"/>
      <c r="E10"/>
      <c r="F10"/>
      <c r="G10"/>
      <c r="J10" s="61"/>
      <c r="K10"/>
      <c r="L10" s="61"/>
      <c r="M10"/>
      <c r="N10"/>
      <c r="O10"/>
      <c r="P10"/>
      <c r="Q10"/>
    </row>
    <row r="11" spans="1:35" x14ac:dyDescent="0.2">
      <c r="A11"/>
      <c r="B11"/>
      <c r="C11"/>
      <c r="D11"/>
      <c r="E11"/>
      <c r="F11"/>
      <c r="G11"/>
      <c r="J11" s="61"/>
      <c r="K11"/>
      <c r="L11" s="61"/>
      <c r="M11"/>
      <c r="N11"/>
      <c r="O11"/>
      <c r="P11"/>
      <c r="Q11"/>
    </row>
    <row r="12" spans="1:35" x14ac:dyDescent="0.2">
      <c r="A12"/>
      <c r="B12"/>
      <c r="C12"/>
      <c r="D12"/>
      <c r="E12"/>
      <c r="F12"/>
      <c r="G12"/>
      <c r="J12" s="61"/>
      <c r="K12"/>
      <c r="L12" s="61"/>
      <c r="M12"/>
      <c r="N12"/>
      <c r="O12"/>
      <c r="P12"/>
      <c r="Q12"/>
    </row>
    <row r="13" spans="1:35" x14ac:dyDescent="0.2">
      <c r="A13"/>
      <c r="B13"/>
      <c r="C13"/>
      <c r="D13"/>
      <c r="E13"/>
      <c r="F13"/>
      <c r="G13"/>
      <c r="J13" s="61"/>
      <c r="K13"/>
      <c r="L13" s="61"/>
      <c r="M13"/>
      <c r="N13"/>
      <c r="O13"/>
      <c r="P13"/>
      <c r="Q13"/>
    </row>
    <row r="14" spans="1:35" x14ac:dyDescent="0.2">
      <c r="A14"/>
      <c r="B14"/>
      <c r="C14"/>
      <c r="D14"/>
      <c r="E14"/>
      <c r="F14"/>
      <c r="G14"/>
      <c r="J14" s="61"/>
      <c r="K14"/>
      <c r="L14" s="61"/>
      <c r="M14"/>
      <c r="N14"/>
      <c r="O14"/>
      <c r="P14"/>
      <c r="Q14"/>
    </row>
    <row r="15" spans="1:35" x14ac:dyDescent="0.2">
      <c r="A15"/>
      <c r="B15"/>
      <c r="C15"/>
      <c r="D15"/>
      <c r="E15"/>
      <c r="F15"/>
      <c r="G15"/>
      <c r="J15" s="61"/>
      <c r="K15"/>
      <c r="L15" s="61"/>
      <c r="M15"/>
      <c r="N15"/>
      <c r="O15"/>
      <c r="P15"/>
      <c r="Q15"/>
    </row>
    <row r="16" spans="1:35" x14ac:dyDescent="0.2">
      <c r="A16"/>
      <c r="B16"/>
      <c r="C16"/>
      <c r="D16"/>
      <c r="E16"/>
      <c r="F16"/>
      <c r="G16"/>
      <c r="J16" s="61"/>
      <c r="K16"/>
      <c r="L16" s="61"/>
      <c r="M16"/>
      <c r="N16"/>
      <c r="O16"/>
      <c r="P16"/>
      <c r="Q16"/>
    </row>
    <row r="17" spans="1:17" x14ac:dyDescent="0.2">
      <c r="A17"/>
      <c r="B17"/>
      <c r="C17"/>
      <c r="D17"/>
      <c r="E17"/>
      <c r="F17"/>
      <c r="G17"/>
      <c r="J17" s="61"/>
      <c r="K17"/>
      <c r="L17" s="61"/>
      <c r="M17"/>
      <c r="N17"/>
      <c r="O17"/>
      <c r="P17"/>
      <c r="Q17"/>
    </row>
    <row r="18" spans="1:17" x14ac:dyDescent="0.2">
      <c r="A18"/>
      <c r="B18"/>
      <c r="C18"/>
      <c r="D18"/>
      <c r="E18"/>
      <c r="G18"/>
      <c r="J18" s="61"/>
      <c r="K18"/>
      <c r="L18" s="61"/>
      <c r="M18"/>
      <c r="N18"/>
      <c r="O18"/>
      <c r="P18"/>
      <c r="Q18"/>
    </row>
    <row r="19" spans="1:17" x14ac:dyDescent="0.2">
      <c r="A19"/>
      <c r="B19"/>
      <c r="C19"/>
      <c r="D19"/>
      <c r="E19"/>
      <c r="G19"/>
      <c r="J19" s="61"/>
      <c r="K19"/>
      <c r="L19" s="61"/>
      <c r="M19"/>
      <c r="N19"/>
      <c r="O19"/>
      <c r="P19"/>
      <c r="Q19"/>
    </row>
    <row r="20" spans="1:17" x14ac:dyDescent="0.2">
      <c r="A20"/>
      <c r="B20"/>
      <c r="C20"/>
      <c r="D20"/>
      <c r="E20"/>
      <c r="G20"/>
      <c r="J20" s="61"/>
      <c r="K20"/>
      <c r="L20" s="61"/>
      <c r="M20"/>
      <c r="N20"/>
      <c r="O20"/>
      <c r="P20"/>
      <c r="Q20"/>
    </row>
    <row r="21" spans="1:17" x14ac:dyDescent="0.2">
      <c r="A21"/>
      <c r="B21"/>
      <c r="C21"/>
      <c r="D21"/>
      <c r="E21"/>
      <c r="G21"/>
      <c r="J21" s="61"/>
      <c r="K21"/>
      <c r="L21" s="61"/>
      <c r="M21"/>
      <c r="N21"/>
      <c r="O21"/>
      <c r="P21"/>
      <c r="Q21"/>
    </row>
    <row r="22" spans="1:17" x14ac:dyDescent="0.2">
      <c r="A22"/>
      <c r="B22"/>
      <c r="C22"/>
      <c r="D22"/>
      <c r="E22"/>
      <c r="G22"/>
      <c r="J22" s="61"/>
      <c r="K22"/>
      <c r="L22" s="61"/>
      <c r="M22"/>
      <c r="N22"/>
      <c r="O22"/>
      <c r="P22"/>
      <c r="Q22"/>
    </row>
    <row r="23" spans="1:17" x14ac:dyDescent="0.2">
      <c r="A23"/>
      <c r="B23"/>
      <c r="C23"/>
      <c r="D23"/>
      <c r="E23"/>
      <c r="G23"/>
      <c r="J23" s="61"/>
      <c r="K23"/>
      <c r="L23" s="61"/>
      <c r="M23"/>
      <c r="N23"/>
      <c r="O23"/>
      <c r="P23"/>
      <c r="Q23"/>
    </row>
    <row r="24" spans="1:17" x14ac:dyDescent="0.2">
      <c r="A24"/>
      <c r="B24"/>
      <c r="C24"/>
      <c r="D24"/>
      <c r="E24"/>
      <c r="G24"/>
      <c r="J24" s="61"/>
      <c r="K24"/>
      <c r="L24" s="61"/>
      <c r="M24"/>
      <c r="N24"/>
      <c r="O24"/>
      <c r="P24"/>
      <c r="Q24"/>
    </row>
    <row r="25" spans="1:17" x14ac:dyDescent="0.2">
      <c r="A25"/>
      <c r="B25"/>
      <c r="C25"/>
      <c r="D25"/>
      <c r="E25"/>
      <c r="G25"/>
      <c r="J25" s="61"/>
      <c r="K25"/>
      <c r="L25" s="61"/>
      <c r="M25"/>
      <c r="N25"/>
      <c r="O25"/>
      <c r="P25"/>
      <c r="Q25"/>
    </row>
    <row r="26" spans="1:17" x14ac:dyDescent="0.2">
      <c r="A26"/>
      <c r="B26"/>
      <c r="C26"/>
      <c r="D26"/>
      <c r="E26"/>
      <c r="G26"/>
      <c r="J26" s="61"/>
      <c r="K26"/>
      <c r="L26" s="61"/>
      <c r="M26"/>
      <c r="N26"/>
      <c r="O26"/>
      <c r="P26"/>
      <c r="Q26"/>
    </row>
    <row r="27" spans="1:17" x14ac:dyDescent="0.2">
      <c r="A27"/>
      <c r="B27"/>
      <c r="C27"/>
      <c r="D27"/>
      <c r="E27"/>
      <c r="G27"/>
      <c r="J27" s="61"/>
      <c r="K27"/>
      <c r="L27" s="61"/>
      <c r="M27"/>
      <c r="N27"/>
      <c r="O27"/>
      <c r="P27"/>
      <c r="Q27"/>
    </row>
    <row r="28" spans="1:17" x14ac:dyDescent="0.2">
      <c r="A28"/>
      <c r="B28"/>
      <c r="C28"/>
      <c r="D28"/>
      <c r="E28"/>
      <c r="G28"/>
      <c r="J28" s="61"/>
      <c r="K28"/>
      <c r="L28" s="61"/>
      <c r="M28"/>
      <c r="N28"/>
      <c r="O28"/>
      <c r="P28"/>
      <c r="Q28"/>
    </row>
    <row r="29" spans="1:17" x14ac:dyDescent="0.2">
      <c r="A29"/>
      <c r="B29"/>
      <c r="C29"/>
      <c r="D29"/>
      <c r="E29"/>
      <c r="G29"/>
      <c r="J29" s="61"/>
      <c r="K29"/>
      <c r="L29" s="61"/>
      <c r="M29"/>
      <c r="N29"/>
      <c r="O29"/>
      <c r="P29"/>
      <c r="Q29"/>
    </row>
    <row r="30" spans="1:17" x14ac:dyDescent="0.2">
      <c r="A30"/>
      <c r="B30"/>
      <c r="C30"/>
      <c r="D30"/>
      <c r="E30"/>
      <c r="G30"/>
      <c r="J30" s="61"/>
      <c r="K30"/>
      <c r="L30" s="61"/>
      <c r="M30"/>
      <c r="N30"/>
      <c r="O30"/>
      <c r="P30"/>
      <c r="Q30"/>
    </row>
    <row r="31" spans="1:17" x14ac:dyDescent="0.2">
      <c r="A31"/>
      <c r="B31"/>
      <c r="C31"/>
      <c r="D31"/>
      <c r="E31"/>
      <c r="G31"/>
      <c r="J31" s="61"/>
      <c r="K31"/>
      <c r="L31" s="61"/>
      <c r="M31"/>
      <c r="N31"/>
      <c r="O31"/>
      <c r="P31"/>
      <c r="Q31"/>
    </row>
    <row r="32" spans="1:17" x14ac:dyDescent="0.2">
      <c r="A32"/>
      <c r="B32"/>
      <c r="C32"/>
      <c r="D32"/>
      <c r="E32"/>
      <c r="G32"/>
      <c r="J32" s="61"/>
      <c r="K32"/>
      <c r="L32" s="61"/>
      <c r="M32"/>
      <c r="N32"/>
      <c r="O32"/>
      <c r="P32"/>
      <c r="Q32"/>
    </row>
    <row r="33" spans="1:17" x14ac:dyDescent="0.2">
      <c r="A33"/>
      <c r="B33"/>
      <c r="C33"/>
      <c r="D33"/>
      <c r="E33"/>
      <c r="G33"/>
      <c r="J33" s="61"/>
      <c r="K33"/>
      <c r="L33" s="61"/>
      <c r="M33"/>
      <c r="N33"/>
      <c r="O33"/>
      <c r="P33"/>
      <c r="Q33"/>
    </row>
    <row r="34" spans="1:17" x14ac:dyDescent="0.2">
      <c r="A34"/>
      <c r="B34"/>
      <c r="C34"/>
      <c r="D34"/>
      <c r="E34"/>
      <c r="G34"/>
      <c r="J34" s="61"/>
      <c r="K34"/>
      <c r="L34" s="61"/>
      <c r="M34"/>
      <c r="N34"/>
      <c r="O34"/>
      <c r="P34"/>
      <c r="Q34"/>
    </row>
    <row r="35" spans="1:17" x14ac:dyDescent="0.2">
      <c r="A35"/>
      <c r="B35"/>
      <c r="C35"/>
      <c r="D35"/>
      <c r="E35"/>
      <c r="G35"/>
      <c r="J35" s="61"/>
      <c r="K35"/>
      <c r="L35" s="61"/>
      <c r="M35"/>
      <c r="N35"/>
      <c r="O35"/>
      <c r="P35"/>
      <c r="Q35"/>
    </row>
    <row r="36" spans="1:17" x14ac:dyDescent="0.2">
      <c r="A36"/>
      <c r="B36"/>
      <c r="C36"/>
      <c r="D36"/>
      <c r="E36"/>
      <c r="G36"/>
      <c r="J36" s="61"/>
      <c r="K36"/>
      <c r="L36" s="61"/>
      <c r="M36"/>
      <c r="N36"/>
      <c r="O36"/>
      <c r="P36"/>
      <c r="Q36"/>
    </row>
    <row r="37" spans="1:17" x14ac:dyDescent="0.2">
      <c r="A37"/>
      <c r="B37"/>
      <c r="C37"/>
      <c r="D37"/>
      <c r="E37"/>
      <c r="G37"/>
      <c r="J37" s="61"/>
      <c r="K37"/>
      <c r="L37" s="61"/>
      <c r="M37"/>
      <c r="N37"/>
      <c r="O37"/>
      <c r="P37"/>
      <c r="Q37"/>
    </row>
    <row r="38" spans="1:17" x14ac:dyDescent="0.2">
      <c r="A38"/>
      <c r="B38"/>
      <c r="C38"/>
      <c r="D38"/>
      <c r="E38"/>
      <c r="G38"/>
      <c r="J38" s="61"/>
      <c r="K38"/>
      <c r="L38" s="61"/>
      <c r="M38"/>
      <c r="N38"/>
      <c r="O38"/>
      <c r="P38"/>
      <c r="Q38"/>
    </row>
    <row r="39" spans="1:17" x14ac:dyDescent="0.2">
      <c r="A39"/>
      <c r="B39"/>
      <c r="C39"/>
      <c r="D39"/>
      <c r="E39"/>
      <c r="G39"/>
      <c r="J39" s="61"/>
      <c r="K39"/>
      <c r="L39" s="61"/>
      <c r="M39"/>
      <c r="N39"/>
      <c r="O39"/>
      <c r="P39"/>
      <c r="Q39"/>
    </row>
    <row r="40" spans="1:17" x14ac:dyDescent="0.2">
      <c r="A40"/>
      <c r="B40"/>
      <c r="C40"/>
      <c r="D40"/>
      <c r="E40"/>
      <c r="G40"/>
      <c r="J40" s="61"/>
      <c r="K40"/>
      <c r="L40" s="61"/>
      <c r="N40"/>
      <c r="O40"/>
      <c r="Q40"/>
    </row>
    <row r="41" spans="1:17" x14ac:dyDescent="0.2">
      <c r="A41"/>
      <c r="B41"/>
      <c r="C41"/>
      <c r="D41"/>
      <c r="E41"/>
      <c r="F41"/>
      <c r="G41"/>
      <c r="J41" s="61"/>
      <c r="K41"/>
      <c r="L41" s="61"/>
      <c r="M41"/>
      <c r="N41"/>
      <c r="O41"/>
      <c r="P41"/>
      <c r="Q41"/>
    </row>
    <row r="42" spans="1:17" x14ac:dyDescent="0.2">
      <c r="A42"/>
      <c r="B42"/>
      <c r="C42"/>
      <c r="D42"/>
      <c r="E42"/>
      <c r="F42"/>
      <c r="G42"/>
      <c r="J42" s="61"/>
      <c r="K42"/>
      <c r="L42" s="61"/>
      <c r="M42"/>
      <c r="N42"/>
      <c r="O42"/>
      <c r="P42"/>
      <c r="Q42"/>
    </row>
    <row r="43" spans="1:17" x14ac:dyDescent="0.2">
      <c r="A43"/>
      <c r="B43"/>
      <c r="C43"/>
      <c r="D43"/>
      <c r="E43"/>
      <c r="F43"/>
      <c r="G43"/>
      <c r="J43" s="61"/>
      <c r="K43"/>
      <c r="L43" s="61"/>
      <c r="M43"/>
      <c r="N43"/>
      <c r="O43"/>
      <c r="P43"/>
      <c r="Q43"/>
    </row>
    <row r="44" spans="1:17" x14ac:dyDescent="0.2">
      <c r="A44"/>
      <c r="B44"/>
      <c r="C44"/>
      <c r="D44"/>
      <c r="E44"/>
      <c r="F44"/>
      <c r="G44"/>
      <c r="J44" s="61"/>
      <c r="K44"/>
      <c r="L44" s="61"/>
      <c r="M44"/>
      <c r="N44"/>
      <c r="O44"/>
      <c r="P44"/>
      <c r="Q44"/>
    </row>
    <row r="45" spans="1:17" x14ac:dyDescent="0.2">
      <c r="A45"/>
      <c r="B45"/>
      <c r="C45"/>
      <c r="D45"/>
      <c r="E45"/>
      <c r="F45"/>
      <c r="G45"/>
      <c r="J45" s="61"/>
      <c r="K45"/>
      <c r="L45" s="61"/>
      <c r="M45"/>
      <c r="N45"/>
      <c r="O45"/>
      <c r="P45"/>
      <c r="Q45"/>
    </row>
    <row r="46" spans="1:17" x14ac:dyDescent="0.2">
      <c r="A46"/>
      <c r="B46"/>
      <c r="C46"/>
      <c r="D46"/>
      <c r="E46"/>
      <c r="F46"/>
      <c r="G46"/>
      <c r="J46" s="61"/>
      <c r="K46"/>
      <c r="L46" s="61"/>
      <c r="M46"/>
      <c r="N46"/>
      <c r="O46"/>
      <c r="P46"/>
      <c r="Q46"/>
    </row>
    <row r="47" spans="1:17" x14ac:dyDescent="0.2">
      <c r="A47"/>
      <c r="B47"/>
      <c r="C47"/>
      <c r="D47"/>
      <c r="E47"/>
      <c r="F47"/>
      <c r="G47"/>
      <c r="J47" s="61"/>
      <c r="K47"/>
      <c r="L47" s="61"/>
      <c r="M47"/>
      <c r="N47"/>
      <c r="O47"/>
      <c r="P47"/>
      <c r="Q47"/>
    </row>
    <row r="48" spans="1:17" x14ac:dyDescent="0.2">
      <c r="A48"/>
      <c r="B48"/>
      <c r="C48"/>
      <c r="D48"/>
      <c r="E48"/>
      <c r="F48"/>
      <c r="G48"/>
      <c r="J48" s="61"/>
      <c r="K48"/>
      <c r="L48" s="61"/>
      <c r="M48"/>
      <c r="N48"/>
      <c r="O48"/>
      <c r="P48"/>
      <c r="Q48"/>
    </row>
    <row r="49" spans="1:17" x14ac:dyDescent="0.2">
      <c r="A49"/>
      <c r="B49"/>
      <c r="C49"/>
      <c r="D49"/>
      <c r="E49"/>
      <c r="G49"/>
      <c r="J49" s="61"/>
      <c r="K49"/>
      <c r="L49" s="61"/>
      <c r="M49"/>
      <c r="N49"/>
      <c r="O49"/>
      <c r="P49"/>
      <c r="Q49"/>
    </row>
    <row r="50" spans="1:17" x14ac:dyDescent="0.2">
      <c r="A50"/>
      <c r="B50"/>
      <c r="C50"/>
      <c r="D50"/>
      <c r="E50"/>
      <c r="G50"/>
      <c r="J50" s="61"/>
      <c r="K50"/>
      <c r="L50" s="61"/>
      <c r="M50"/>
      <c r="N50"/>
      <c r="O50"/>
      <c r="P50"/>
      <c r="Q50"/>
    </row>
    <row r="51" spans="1:17" x14ac:dyDescent="0.2">
      <c r="A51"/>
      <c r="B51"/>
      <c r="C51"/>
      <c r="D51"/>
      <c r="E51"/>
      <c r="G51"/>
      <c r="J51" s="61"/>
      <c r="K51"/>
      <c r="L51" s="61"/>
      <c r="M51"/>
      <c r="N51"/>
      <c r="O51"/>
      <c r="P51"/>
      <c r="Q51"/>
    </row>
    <row r="52" spans="1:17" x14ac:dyDescent="0.2">
      <c r="A52"/>
      <c r="B52"/>
      <c r="C52"/>
      <c r="D52"/>
      <c r="E52"/>
      <c r="G52"/>
      <c r="J52" s="61"/>
      <c r="K52"/>
      <c r="L52" s="61"/>
      <c r="M52"/>
      <c r="N52"/>
      <c r="O52"/>
      <c r="P52"/>
      <c r="Q52"/>
    </row>
    <row r="53" spans="1:17" x14ac:dyDescent="0.2">
      <c r="A53"/>
      <c r="B53"/>
      <c r="C53"/>
      <c r="D53"/>
      <c r="E53"/>
      <c r="F53"/>
      <c r="G53"/>
      <c r="J53" s="61"/>
      <c r="K53"/>
      <c r="L53" s="61"/>
      <c r="N53"/>
      <c r="O53"/>
      <c r="P53"/>
      <c r="Q53"/>
    </row>
    <row r="54" spans="1:17" x14ac:dyDescent="0.2">
      <c r="A54"/>
      <c r="B54"/>
      <c r="C54"/>
      <c r="D54"/>
      <c r="E54"/>
      <c r="F54"/>
      <c r="G54"/>
      <c r="J54" s="61"/>
      <c r="K54"/>
      <c r="L54" s="61"/>
      <c r="M54"/>
      <c r="N54"/>
      <c r="O54"/>
      <c r="P54"/>
      <c r="Q54"/>
    </row>
    <row r="55" spans="1:17" x14ac:dyDescent="0.2">
      <c r="A55"/>
      <c r="B55"/>
      <c r="C55"/>
      <c r="D55"/>
      <c r="E55"/>
      <c r="F55"/>
      <c r="G55"/>
      <c r="J55" s="61"/>
      <c r="K55"/>
      <c r="L55" s="61"/>
      <c r="M55"/>
      <c r="N55"/>
      <c r="O55"/>
      <c r="P55"/>
      <c r="Q55"/>
    </row>
    <row r="56" spans="1:17" x14ac:dyDescent="0.2">
      <c r="A56"/>
      <c r="B56"/>
      <c r="C56"/>
      <c r="D56"/>
      <c r="E56"/>
      <c r="F56"/>
      <c r="G56"/>
      <c r="J56" s="61"/>
      <c r="K56"/>
      <c r="L56" s="61"/>
      <c r="N56"/>
      <c r="O56"/>
      <c r="P56"/>
      <c r="Q56"/>
    </row>
    <row r="57" spans="1:17" x14ac:dyDescent="0.2">
      <c r="A57"/>
      <c r="B57"/>
      <c r="C57"/>
      <c r="D57"/>
      <c r="E57"/>
      <c r="G57"/>
      <c r="J57" s="61"/>
      <c r="K57"/>
      <c r="L57" s="61"/>
      <c r="N57"/>
      <c r="O57"/>
      <c r="P57"/>
      <c r="Q57"/>
    </row>
    <row r="58" spans="1:17" x14ac:dyDescent="0.2">
      <c r="A58"/>
      <c r="B58"/>
      <c r="C58"/>
      <c r="D58"/>
      <c r="E58"/>
      <c r="F58"/>
      <c r="G58"/>
      <c r="J58" s="61"/>
      <c r="K58"/>
      <c r="L58" s="61"/>
      <c r="N58"/>
      <c r="O58"/>
      <c r="P58"/>
      <c r="Q58"/>
    </row>
    <row r="59" spans="1:17" x14ac:dyDescent="0.2">
      <c r="A59"/>
      <c r="B59"/>
      <c r="C59"/>
      <c r="D59"/>
      <c r="E59"/>
      <c r="G59"/>
      <c r="J59" s="61"/>
      <c r="K59"/>
      <c r="L59" s="61"/>
      <c r="M59"/>
      <c r="N59"/>
      <c r="O59"/>
      <c r="P59"/>
      <c r="Q59"/>
    </row>
    <row r="60" spans="1:17" x14ac:dyDescent="0.2">
      <c r="A60"/>
      <c r="B60"/>
      <c r="C60"/>
      <c r="D60"/>
      <c r="E60"/>
      <c r="F60"/>
      <c r="G60"/>
      <c r="J60" s="61"/>
      <c r="K60"/>
      <c r="L60" s="61"/>
      <c r="N60"/>
      <c r="O60"/>
      <c r="P60"/>
      <c r="Q60"/>
    </row>
    <row r="61" spans="1:17" x14ac:dyDescent="0.2">
      <c r="A61"/>
      <c r="B61"/>
      <c r="C61"/>
      <c r="D61"/>
      <c r="E61"/>
      <c r="F61"/>
      <c r="G61"/>
      <c r="J61" s="61"/>
      <c r="K61"/>
      <c r="L61" s="61"/>
      <c r="N61"/>
      <c r="O61"/>
      <c r="P61"/>
      <c r="Q61"/>
    </row>
    <row r="62" spans="1:17" x14ac:dyDescent="0.2">
      <c r="A62"/>
      <c r="B62"/>
      <c r="C62"/>
      <c r="D62"/>
      <c r="E62"/>
      <c r="F62"/>
      <c r="G62"/>
      <c r="J62" s="61"/>
      <c r="K62"/>
      <c r="L62" s="61"/>
      <c r="N62"/>
      <c r="O62"/>
      <c r="P62"/>
      <c r="Q62"/>
    </row>
    <row r="63" spans="1:17" x14ac:dyDescent="0.2">
      <c r="A63"/>
      <c r="B63"/>
      <c r="C63"/>
      <c r="D63"/>
      <c r="E63"/>
      <c r="F63"/>
      <c r="G63"/>
      <c r="J63" s="61"/>
      <c r="K63"/>
      <c r="L63" s="61"/>
      <c r="N63"/>
      <c r="O63"/>
      <c r="P63"/>
      <c r="Q63"/>
    </row>
    <row r="64" spans="1:17" x14ac:dyDescent="0.2">
      <c r="A64"/>
      <c r="B64"/>
      <c r="C64"/>
      <c r="D64"/>
      <c r="E64"/>
      <c r="F64"/>
      <c r="G64"/>
      <c r="J64" s="61"/>
      <c r="K64"/>
      <c r="L64" s="61"/>
      <c r="N64"/>
      <c r="O64"/>
      <c r="P64"/>
      <c r="Q64"/>
    </row>
    <row r="65" spans="1:17" x14ac:dyDescent="0.2">
      <c r="A65"/>
      <c r="B65"/>
      <c r="C65"/>
      <c r="D65"/>
      <c r="E65"/>
      <c r="F65"/>
      <c r="G65"/>
      <c r="J65" s="61"/>
      <c r="K65"/>
      <c r="L65" s="61"/>
      <c r="M65"/>
      <c r="N65"/>
      <c r="O65"/>
      <c r="P65"/>
      <c r="Q65"/>
    </row>
    <row r="66" spans="1:17" x14ac:dyDescent="0.2">
      <c r="A66"/>
      <c r="B66"/>
      <c r="C66"/>
      <c r="D66"/>
      <c r="E66"/>
      <c r="F66"/>
      <c r="G66"/>
      <c r="J66" s="61"/>
      <c r="K66"/>
      <c r="L66" s="61"/>
      <c r="M66"/>
      <c r="N66"/>
      <c r="O66"/>
      <c r="Q66"/>
    </row>
    <row r="67" spans="1:17" x14ac:dyDescent="0.2">
      <c r="A67"/>
      <c r="B67"/>
      <c r="C67"/>
      <c r="D67"/>
      <c r="E67"/>
      <c r="F67"/>
      <c r="G67"/>
      <c r="J67" s="61"/>
      <c r="K67"/>
      <c r="L67" s="61"/>
      <c r="N67"/>
      <c r="O67"/>
      <c r="P67"/>
      <c r="Q67"/>
    </row>
    <row r="68" spans="1:17" x14ac:dyDescent="0.2">
      <c r="A68"/>
      <c r="B68"/>
      <c r="C68"/>
      <c r="D68"/>
      <c r="E68"/>
      <c r="F68"/>
      <c r="G68"/>
      <c r="J68" s="61"/>
      <c r="K68"/>
      <c r="L68" s="61"/>
      <c r="N68"/>
      <c r="O68"/>
      <c r="P68"/>
      <c r="Q68"/>
    </row>
    <row r="69" spans="1:17" x14ac:dyDescent="0.2">
      <c r="A69"/>
      <c r="B69"/>
      <c r="C69"/>
      <c r="D69"/>
      <c r="E69"/>
      <c r="F69"/>
      <c r="G69"/>
      <c r="J69" s="61"/>
      <c r="K69"/>
      <c r="L69" s="61"/>
      <c r="N69"/>
      <c r="O69"/>
      <c r="P69"/>
      <c r="Q69"/>
    </row>
    <row r="70" spans="1:17" x14ac:dyDescent="0.2">
      <c r="A70"/>
      <c r="B70"/>
      <c r="C70"/>
      <c r="D70"/>
      <c r="E70"/>
      <c r="G70"/>
      <c r="J70" s="61"/>
      <c r="K70"/>
      <c r="L70" s="61"/>
      <c r="M70"/>
      <c r="N70"/>
      <c r="O70"/>
      <c r="P70"/>
      <c r="Q70"/>
    </row>
    <row r="71" spans="1:17" x14ac:dyDescent="0.2">
      <c r="A71"/>
      <c r="B71"/>
      <c r="C71"/>
      <c r="D71"/>
      <c r="E71"/>
      <c r="G71"/>
      <c r="J71" s="61"/>
      <c r="K71"/>
      <c r="L71" s="61"/>
      <c r="N71"/>
      <c r="O71"/>
      <c r="Q71"/>
    </row>
  </sheetData>
  <sheetProtection autoFilter="0"/>
  <phoneticPr fontId="23" type="noConversion"/>
  <pageMargins left="0.7" right="0.7" top="0.75" bottom="0.75" header="0.3" footer="0.3"/>
  <tableParts count="1">
    <tablePart r:id="rId1"/>
  </tableParts>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AF3584-8CEE-4A6B-A779-1E713B3BF0E0}">
  <sheetPr codeName="Sheet38"/>
  <dimension ref="A1:B2"/>
  <sheetViews>
    <sheetView workbookViewId="0">
      <selection activeCell="B13" sqref="B13"/>
    </sheetView>
  </sheetViews>
  <sheetFormatPr defaultRowHeight="12.75" x14ac:dyDescent="0.2"/>
  <cols>
    <col min="1" max="2" width="8.5703125" bestFit="1" customWidth="1"/>
    <col min="3" max="3" width="9.7109375" bestFit="1" customWidth="1"/>
    <col min="4" max="4" width="23.28515625" bestFit="1" customWidth="1"/>
    <col min="5" max="5" width="29.140625" bestFit="1" customWidth="1"/>
    <col min="6" max="6" width="21" bestFit="1" customWidth="1"/>
    <col min="7" max="7" width="22.140625" bestFit="1" customWidth="1"/>
    <col min="8" max="8" width="22.7109375" bestFit="1" customWidth="1"/>
    <col min="9" max="9" width="22.5703125" bestFit="1" customWidth="1"/>
    <col min="10" max="10" width="19.85546875" bestFit="1" customWidth="1"/>
    <col min="11" max="11" width="20" bestFit="1" customWidth="1"/>
    <col min="12" max="12" width="14.42578125" bestFit="1" customWidth="1"/>
    <col min="13" max="13" width="16.85546875" bestFit="1" customWidth="1"/>
    <col min="14" max="14" width="14.42578125" bestFit="1" customWidth="1"/>
    <col min="15" max="15" width="14.28515625" bestFit="1" customWidth="1"/>
    <col min="16" max="16" width="16" bestFit="1" customWidth="1"/>
    <col min="17" max="17" width="11.42578125" bestFit="1" customWidth="1"/>
    <col min="18" max="18" width="12" bestFit="1" customWidth="1"/>
    <col min="19" max="19" width="18.5703125" bestFit="1" customWidth="1"/>
    <col min="20" max="20" width="19.140625" bestFit="1" customWidth="1"/>
    <col min="21" max="21" width="69.85546875" bestFit="1" customWidth="1"/>
    <col min="22" max="22" width="23.140625" bestFit="1" customWidth="1"/>
    <col min="23" max="23" width="11" bestFit="1" customWidth="1"/>
    <col min="24" max="24" width="18.5703125" bestFit="1" customWidth="1"/>
    <col min="25" max="25" width="21.28515625" bestFit="1" customWidth="1"/>
    <col min="26" max="26" width="17" bestFit="1" customWidth="1"/>
    <col min="27" max="27" width="30.28515625" bestFit="1" customWidth="1"/>
    <col min="28" max="28" width="15.140625" bestFit="1" customWidth="1"/>
    <col min="29" max="29" width="20.140625" bestFit="1" customWidth="1"/>
    <col min="30" max="30" width="19.5703125" bestFit="1" customWidth="1"/>
    <col min="31" max="31" width="24.42578125" bestFit="1" customWidth="1"/>
    <col min="32" max="32" width="50.42578125" bestFit="1" customWidth="1"/>
    <col min="33" max="33" width="59" bestFit="1" customWidth="1"/>
    <col min="34" max="34" width="14.42578125" bestFit="1" customWidth="1"/>
    <col min="35" max="35" width="28.7109375" bestFit="1" customWidth="1"/>
    <col min="36" max="37" width="16.85546875" bestFit="1" customWidth="1"/>
    <col min="38" max="38" width="36.140625" bestFit="1" customWidth="1"/>
    <col min="39" max="39" width="17.28515625" bestFit="1" customWidth="1"/>
    <col min="40" max="40" width="38.140625" bestFit="1" customWidth="1"/>
  </cols>
  <sheetData>
    <row r="1" spans="1:2" x14ac:dyDescent="0.2">
      <c r="A1"/>
      <c r="B1"/>
    </row>
    <row r="2" spans="1:2" x14ac:dyDescent="0.2">
      <c r="A2" s="669"/>
    </row>
  </sheetData>
  <sheetProtection autoFilter="0"/>
  <pageMargins left="0.7" right="0.7" top="0.75" bottom="0.75" header="0.3" footer="0.3"/>
  <tableParts count="1">
    <tablePart r:id="rId1"/>
  </tableParts>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C94F0C-560F-4788-ABEB-99DBFC698550}">
  <sheetPr codeName="Sheet23"/>
  <dimension ref="A1:D70"/>
  <sheetViews>
    <sheetView workbookViewId="0">
      <selection activeCell="F17" sqref="F17"/>
    </sheetView>
  </sheetViews>
  <sheetFormatPr defaultRowHeight="12.75" x14ac:dyDescent="0.2"/>
  <cols>
    <col min="1" max="1" width="15" bestFit="1" customWidth="1"/>
    <col min="2" max="2" width="25" bestFit="1" customWidth="1"/>
    <col min="3" max="3" width="23.85546875" bestFit="1" customWidth="1"/>
    <col min="4" max="4" width="27.5703125" bestFit="1" customWidth="1"/>
    <col min="5" max="5" width="14" bestFit="1" customWidth="1"/>
  </cols>
  <sheetData>
    <row r="1" spans="1:4" x14ac:dyDescent="0.2">
      <c r="A1"/>
      <c r="B1"/>
      <c r="C1"/>
      <c r="D1"/>
    </row>
    <row r="2" spans="1:4" x14ac:dyDescent="0.2">
      <c r="A2"/>
      <c r="B2" s="669"/>
      <c r="C2"/>
    </row>
    <row r="3" spans="1:4" x14ac:dyDescent="0.2">
      <c r="A3"/>
      <c r="B3" s="669"/>
      <c r="C3"/>
    </row>
    <row r="4" spans="1:4" x14ac:dyDescent="0.2">
      <c r="A4"/>
      <c r="B4" s="669"/>
      <c r="C4"/>
      <c r="D4"/>
    </row>
    <row r="5" spans="1:4" x14ac:dyDescent="0.2">
      <c r="A5"/>
      <c r="B5" s="669"/>
      <c r="C5"/>
    </row>
    <row r="6" spans="1:4" x14ac:dyDescent="0.2">
      <c r="A6"/>
      <c r="B6" s="669"/>
      <c r="C6"/>
    </row>
    <row r="7" spans="1:4" x14ac:dyDescent="0.2">
      <c r="A7"/>
      <c r="B7" s="669"/>
      <c r="C7"/>
      <c r="D7"/>
    </row>
    <row r="8" spans="1:4" x14ac:dyDescent="0.2">
      <c r="A8"/>
      <c r="B8" s="669"/>
      <c r="C8"/>
      <c r="D8"/>
    </row>
    <row r="9" spans="1:4" x14ac:dyDescent="0.2">
      <c r="A9"/>
      <c r="B9" s="669"/>
      <c r="C9"/>
      <c r="D9"/>
    </row>
    <row r="10" spans="1:4" x14ac:dyDescent="0.2">
      <c r="A10"/>
      <c r="B10" s="669"/>
      <c r="C10"/>
      <c r="D10"/>
    </row>
    <row r="11" spans="1:4" x14ac:dyDescent="0.2">
      <c r="A11"/>
      <c r="B11" s="669"/>
      <c r="C11"/>
      <c r="D11"/>
    </row>
    <row r="12" spans="1:4" x14ac:dyDescent="0.2">
      <c r="A12"/>
      <c r="B12" s="669"/>
      <c r="C12"/>
      <c r="D12"/>
    </row>
    <row r="13" spans="1:4" x14ac:dyDescent="0.2">
      <c r="A13"/>
      <c r="B13" s="669"/>
      <c r="C13"/>
    </row>
    <row r="14" spans="1:4" x14ac:dyDescent="0.2">
      <c r="A14"/>
      <c r="B14" s="669"/>
      <c r="C14"/>
      <c r="D14"/>
    </row>
    <row r="15" spans="1:4" x14ac:dyDescent="0.2">
      <c r="A15"/>
      <c r="B15" s="669"/>
      <c r="C15"/>
    </row>
    <row r="16" spans="1:4" x14ac:dyDescent="0.2">
      <c r="A16"/>
      <c r="B16" s="669"/>
      <c r="C16"/>
    </row>
    <row r="17" spans="1:4" x14ac:dyDescent="0.2">
      <c r="A17"/>
      <c r="B17" s="669"/>
      <c r="C17"/>
      <c r="D17"/>
    </row>
    <row r="18" spans="1:4" x14ac:dyDescent="0.2">
      <c r="A18"/>
      <c r="B18" s="669"/>
      <c r="C18"/>
      <c r="D18"/>
    </row>
    <row r="19" spans="1:4" x14ac:dyDescent="0.2">
      <c r="A19"/>
      <c r="B19" s="669"/>
      <c r="C19"/>
      <c r="D19"/>
    </row>
    <row r="20" spans="1:4" x14ac:dyDescent="0.2">
      <c r="A20"/>
      <c r="B20" s="669"/>
      <c r="C20"/>
      <c r="D20"/>
    </row>
    <row r="21" spans="1:4" x14ac:dyDescent="0.2">
      <c r="A21"/>
      <c r="B21" s="669"/>
      <c r="C21"/>
    </row>
    <row r="22" spans="1:4" x14ac:dyDescent="0.2">
      <c r="A22"/>
      <c r="B22" s="669"/>
      <c r="C22"/>
    </row>
    <row r="23" spans="1:4" x14ac:dyDescent="0.2">
      <c r="A23"/>
      <c r="B23" s="669"/>
      <c r="C23"/>
      <c r="D23"/>
    </row>
    <row r="24" spans="1:4" x14ac:dyDescent="0.2">
      <c r="A24"/>
      <c r="B24" s="669"/>
      <c r="C24"/>
    </row>
    <row r="25" spans="1:4" x14ac:dyDescent="0.2">
      <c r="A25"/>
      <c r="B25" s="669"/>
      <c r="C25"/>
      <c r="D25"/>
    </row>
    <row r="26" spans="1:4" x14ac:dyDescent="0.2">
      <c r="A26"/>
      <c r="B26" s="669"/>
      <c r="C26"/>
      <c r="D26"/>
    </row>
    <row r="27" spans="1:4" x14ac:dyDescent="0.2">
      <c r="A27"/>
      <c r="B27" s="669"/>
      <c r="C27"/>
      <c r="D27"/>
    </row>
    <row r="28" spans="1:4" x14ac:dyDescent="0.2">
      <c r="A28"/>
      <c r="B28" s="669"/>
      <c r="C28"/>
      <c r="D28"/>
    </row>
    <row r="29" spans="1:4" x14ac:dyDescent="0.2">
      <c r="A29"/>
      <c r="B29" s="669"/>
      <c r="C29"/>
      <c r="D29"/>
    </row>
    <row r="30" spans="1:4" x14ac:dyDescent="0.2">
      <c r="A30"/>
      <c r="B30" s="669"/>
      <c r="C30"/>
      <c r="D30"/>
    </row>
    <row r="31" spans="1:4" x14ac:dyDescent="0.2">
      <c r="A31"/>
      <c r="B31" s="669"/>
      <c r="C31"/>
      <c r="D31"/>
    </row>
    <row r="32" spans="1:4" x14ac:dyDescent="0.2">
      <c r="A32"/>
      <c r="B32" s="669"/>
      <c r="C32"/>
    </row>
    <row r="33" spans="1:4" x14ac:dyDescent="0.2">
      <c r="A33"/>
      <c r="B33" s="669"/>
      <c r="C33"/>
      <c r="D33"/>
    </row>
    <row r="34" spans="1:4" x14ac:dyDescent="0.2">
      <c r="A34"/>
      <c r="B34" s="669"/>
      <c r="C34"/>
      <c r="D34"/>
    </row>
    <row r="35" spans="1:4" x14ac:dyDescent="0.2">
      <c r="A35"/>
      <c r="B35" s="669"/>
      <c r="C35"/>
      <c r="D35"/>
    </row>
    <row r="36" spans="1:4" x14ac:dyDescent="0.2">
      <c r="A36"/>
      <c r="B36" s="669"/>
      <c r="C36"/>
      <c r="D36"/>
    </row>
    <row r="37" spans="1:4" x14ac:dyDescent="0.2">
      <c r="A37"/>
      <c r="B37" s="669"/>
      <c r="C37"/>
      <c r="D37"/>
    </row>
    <row r="38" spans="1:4" x14ac:dyDescent="0.2">
      <c r="A38"/>
      <c r="B38" s="669"/>
      <c r="C38"/>
      <c r="D38"/>
    </row>
    <row r="39" spans="1:4" x14ac:dyDescent="0.2">
      <c r="A39"/>
      <c r="B39" s="669"/>
      <c r="C39"/>
      <c r="D39"/>
    </row>
    <row r="40" spans="1:4" x14ac:dyDescent="0.2">
      <c r="A40"/>
      <c r="B40" s="669"/>
      <c r="C40"/>
      <c r="D40"/>
    </row>
    <row r="41" spans="1:4" x14ac:dyDescent="0.2">
      <c r="A41"/>
      <c r="B41" s="669"/>
      <c r="C41"/>
      <c r="D41"/>
    </row>
    <row r="42" spans="1:4" x14ac:dyDescent="0.2">
      <c r="A42"/>
      <c r="B42" s="669"/>
      <c r="C42"/>
      <c r="D42"/>
    </row>
    <row r="43" spans="1:4" x14ac:dyDescent="0.2">
      <c r="A43"/>
      <c r="B43" s="669"/>
      <c r="C43"/>
      <c r="D43"/>
    </row>
    <row r="44" spans="1:4" x14ac:dyDescent="0.2">
      <c r="A44"/>
      <c r="B44" s="669"/>
      <c r="C44"/>
      <c r="D44"/>
    </row>
    <row r="45" spans="1:4" x14ac:dyDescent="0.2">
      <c r="A45"/>
      <c r="B45" s="669"/>
      <c r="C45"/>
      <c r="D45"/>
    </row>
    <row r="46" spans="1:4" x14ac:dyDescent="0.2">
      <c r="A46"/>
      <c r="B46" s="669"/>
      <c r="C46"/>
      <c r="D46"/>
    </row>
    <row r="47" spans="1:4" x14ac:dyDescent="0.2">
      <c r="A47"/>
      <c r="B47" s="669"/>
      <c r="C47"/>
      <c r="D47"/>
    </row>
    <row r="48" spans="1:4" x14ac:dyDescent="0.2">
      <c r="A48"/>
      <c r="B48" s="669"/>
      <c r="C48"/>
      <c r="D48"/>
    </row>
    <row r="49" spans="1:4" x14ac:dyDescent="0.2">
      <c r="A49"/>
      <c r="B49" s="669"/>
      <c r="C49"/>
      <c r="D49"/>
    </row>
    <row r="50" spans="1:4" x14ac:dyDescent="0.2">
      <c r="A50"/>
      <c r="B50" s="669"/>
      <c r="C50"/>
      <c r="D50"/>
    </row>
    <row r="51" spans="1:4" x14ac:dyDescent="0.2">
      <c r="A51"/>
      <c r="B51" s="669"/>
      <c r="C51"/>
      <c r="D51"/>
    </row>
    <row r="52" spans="1:4" x14ac:dyDescent="0.2">
      <c r="A52"/>
      <c r="B52" s="669"/>
      <c r="C52"/>
      <c r="D52"/>
    </row>
    <row r="53" spans="1:4" x14ac:dyDescent="0.2">
      <c r="A53"/>
      <c r="B53" s="669"/>
      <c r="C53"/>
      <c r="D53"/>
    </row>
    <row r="54" spans="1:4" x14ac:dyDescent="0.2">
      <c r="A54"/>
      <c r="B54" s="669"/>
      <c r="C54"/>
    </row>
    <row r="55" spans="1:4" x14ac:dyDescent="0.2">
      <c r="A55"/>
      <c r="B55" s="669"/>
      <c r="C55"/>
    </row>
    <row r="56" spans="1:4" x14ac:dyDescent="0.2">
      <c r="A56"/>
      <c r="B56" s="669"/>
      <c r="C56"/>
    </row>
    <row r="57" spans="1:4" x14ac:dyDescent="0.2">
      <c r="A57"/>
      <c r="B57" s="669"/>
      <c r="C57"/>
      <c r="D57"/>
    </row>
    <row r="58" spans="1:4" x14ac:dyDescent="0.2">
      <c r="A58"/>
      <c r="B58" s="669"/>
      <c r="C58"/>
      <c r="D58"/>
    </row>
    <row r="59" spans="1:4" x14ac:dyDescent="0.2">
      <c r="A59"/>
      <c r="B59" s="669"/>
      <c r="C59"/>
      <c r="D59"/>
    </row>
    <row r="60" spans="1:4" x14ac:dyDescent="0.2">
      <c r="A60"/>
      <c r="B60" s="669"/>
      <c r="C60"/>
    </row>
    <row r="61" spans="1:4" x14ac:dyDescent="0.2">
      <c r="A61"/>
      <c r="B61" s="669"/>
      <c r="C61"/>
    </row>
    <row r="62" spans="1:4" x14ac:dyDescent="0.2">
      <c r="A62"/>
      <c r="B62" s="669"/>
      <c r="C62"/>
    </row>
    <row r="63" spans="1:4" x14ac:dyDescent="0.2">
      <c r="A63"/>
      <c r="B63" s="669"/>
      <c r="C63"/>
      <c r="D63"/>
    </row>
    <row r="64" spans="1:4" x14ac:dyDescent="0.2">
      <c r="A64"/>
      <c r="B64" s="669"/>
      <c r="C64"/>
      <c r="D64"/>
    </row>
    <row r="65" spans="1:4" x14ac:dyDescent="0.2">
      <c r="A65"/>
      <c r="B65" s="669"/>
      <c r="C65"/>
    </row>
    <row r="66" spans="1:4" x14ac:dyDescent="0.2">
      <c r="A66"/>
      <c r="B66" s="669"/>
      <c r="C66"/>
      <c r="D66"/>
    </row>
    <row r="67" spans="1:4" x14ac:dyDescent="0.2">
      <c r="A67"/>
      <c r="B67" s="669"/>
      <c r="C67"/>
    </row>
    <row r="68" spans="1:4" x14ac:dyDescent="0.2">
      <c r="A68"/>
      <c r="B68" s="669"/>
      <c r="C68"/>
      <c r="D68"/>
    </row>
    <row r="69" spans="1:4" x14ac:dyDescent="0.2">
      <c r="A69"/>
      <c r="B69" s="669"/>
      <c r="C69"/>
    </row>
    <row r="70" spans="1:4" x14ac:dyDescent="0.2">
      <c r="A70"/>
      <c r="B70" s="669"/>
      <c r="C70"/>
      <c r="D70"/>
    </row>
  </sheetData>
  <pageMargins left="0.7" right="0.7" top="0.75" bottom="0.75" header="0.3" footer="0.3"/>
  <tableParts count="1">
    <tablePart r:id="rId1"/>
  </tableParts>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3"/>
  <dimension ref="A1:C38"/>
  <sheetViews>
    <sheetView workbookViewId="0">
      <selection activeCell="N15" sqref="N15"/>
    </sheetView>
  </sheetViews>
  <sheetFormatPr defaultRowHeight="12.75" x14ac:dyDescent="0.2"/>
  <cols>
    <col min="1" max="1" width="8" bestFit="1" customWidth="1"/>
    <col min="2" max="2" width="6.85546875" bestFit="1" customWidth="1"/>
    <col min="3" max="5" width="5.85546875" bestFit="1" customWidth="1"/>
    <col min="6" max="6" width="4.5703125" bestFit="1" customWidth="1"/>
    <col min="7" max="11" width="6.28515625" bestFit="1" customWidth="1"/>
    <col min="12" max="12" width="7.28515625" bestFit="1" customWidth="1"/>
    <col min="13" max="13" width="6.85546875" bestFit="1" customWidth="1"/>
    <col min="14" max="16" width="5.85546875" bestFit="1" customWidth="1"/>
    <col min="17" max="17" width="4.5703125" bestFit="1" customWidth="1"/>
    <col min="18" max="22" width="6.28515625" bestFit="1" customWidth="1"/>
    <col min="23" max="23" width="7.28515625" bestFit="1" customWidth="1"/>
    <col min="24" max="24" width="6.85546875" bestFit="1" customWidth="1"/>
    <col min="25" max="27" width="5.85546875" bestFit="1" customWidth="1"/>
    <col min="28" max="28" width="4.5703125" bestFit="1" customWidth="1"/>
    <col min="29" max="33" width="6.28515625" customWidth="1"/>
    <col min="34" max="34" width="7.28515625" bestFit="1" customWidth="1"/>
  </cols>
  <sheetData>
    <row r="1" spans="1:1" x14ac:dyDescent="0.2">
      <c r="A1"/>
    </row>
    <row r="38" spans="3:3" x14ac:dyDescent="0.2">
      <c r="C38" s="44" t="s">
        <v>914</v>
      </c>
    </row>
  </sheetData>
  <sheetProtection selectLockedCells="1" autoFilter="0" selectUnlockedCells="1"/>
  <dataConsolidate/>
  <phoneticPr fontId="23" type="noConversion"/>
  <pageMargins left="0.7" right="0.7" top="0.75" bottom="0.75" header="0.3" footer="0.3"/>
  <pageSetup orientation="portrait" r:id="rId1"/>
  <customProperties>
    <customPr name="%locator_row%" r:id="rId2"/>
    <customPr name="%startcell%" r:id="rId3"/>
  </customProperties>
  <tableParts count="1">
    <tablePart r:id="rId4"/>
  </tableParts>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3">
    <tabColor rgb="FFFFCC99"/>
    <pageSetUpPr fitToPage="1"/>
  </sheetPr>
  <dimension ref="A1:R903"/>
  <sheetViews>
    <sheetView showZeros="0" topLeftCell="B1" zoomScaleNormal="100" workbookViewId="0">
      <selection activeCell="Q1" sqref="P1:Q2"/>
    </sheetView>
  </sheetViews>
  <sheetFormatPr defaultColWidth="6.7109375" defaultRowHeight="12.75" x14ac:dyDescent="0.2"/>
  <cols>
    <col min="1" max="1" width="11.5703125" style="58" hidden="1" customWidth="1"/>
    <col min="2" max="2" width="8.7109375" style="53" customWidth="1"/>
    <col min="3" max="3" width="11.85546875" customWidth="1"/>
    <col min="4" max="16" width="8.42578125" customWidth="1"/>
  </cols>
  <sheetData>
    <row r="1" spans="1:18" ht="18" x14ac:dyDescent="0.25">
      <c r="B1" s="148">
        <f>Main!$D$16</f>
        <v>0</v>
      </c>
      <c r="C1" s="142">
        <f>$B$1-$B$2</f>
        <v>0</v>
      </c>
      <c r="D1" s="142"/>
      <c r="E1" s="142">
        <f>B1-D2</f>
        <v>0</v>
      </c>
      <c r="F1" s="150" t="s">
        <v>97</v>
      </c>
      <c r="G1" s="149"/>
      <c r="H1" s="149"/>
      <c r="I1" s="149"/>
      <c r="J1" s="149"/>
      <c r="K1" s="149"/>
      <c r="L1" s="149"/>
      <c r="M1" s="149"/>
      <c r="N1" s="149"/>
      <c r="O1" s="149"/>
      <c r="P1" s="364" t="str">
        <f>IF(Main!$E$30="","A10",ADDRESS(13+(MATCH(Main!$E$30,Data_Sheet!$A$14:$A$903,0)),1,4))</f>
        <v>A10</v>
      </c>
      <c r="Q1" s="364">
        <f>VALUE(MID(P1, 2, LEN(P1)-1))</f>
        <v>10</v>
      </c>
    </row>
    <row r="2" spans="1:18" x14ac:dyDescent="0.2">
      <c r="B2" s="148">
        <f>Main!$D$19</f>
        <v>0</v>
      </c>
      <c r="C2" s="142">
        <f>$B$1+$B$2</f>
        <v>0</v>
      </c>
      <c r="D2" s="142">
        <f>(Main!$D$19)/2</f>
        <v>0</v>
      </c>
      <c r="E2" s="142">
        <f>B1+D2</f>
        <v>0</v>
      </c>
      <c r="F2" s="149"/>
      <c r="G2" s="149"/>
      <c r="H2" s="149"/>
      <c r="I2" s="174" t="s">
        <v>254</v>
      </c>
      <c r="J2" s="149"/>
      <c r="K2" s="149"/>
      <c r="L2" s="149"/>
      <c r="M2" s="574" t="s">
        <v>124</v>
      </c>
      <c r="N2" s="574"/>
      <c r="O2" s="574"/>
      <c r="P2" s="365" t="str">
        <f>IF(Main!$E$30="","A10",ADDRESS(13+Standards_Info!W2+(MATCH(Main!$E$30,Data_Sheet!$A$14:$A$903,0)),1,4))</f>
        <v>A10</v>
      </c>
      <c r="Q2" s="364">
        <f>VALUE(MID(P2, 2, LEN(P2)-1))</f>
        <v>10</v>
      </c>
    </row>
    <row r="3" spans="1:18" ht="14.25" x14ac:dyDescent="0.2">
      <c r="B3" s="152" t="s">
        <v>0</v>
      </c>
      <c r="C3" s="147"/>
      <c r="D3" s="134"/>
      <c r="E3" s="134"/>
      <c r="F3" s="134"/>
      <c r="G3" s="134"/>
      <c r="H3" s="134"/>
      <c r="I3" s="134"/>
      <c r="J3" s="134"/>
      <c r="K3" s="134"/>
      <c r="L3" s="134"/>
      <c r="M3" s="575" t="s">
        <v>125</v>
      </c>
      <c r="N3" s="576"/>
      <c r="O3" s="577"/>
      <c r="P3" s="134"/>
      <c r="Q3" s="134"/>
    </row>
    <row r="4" spans="1:18" ht="15" x14ac:dyDescent="0.25">
      <c r="B4" s="144" t="s">
        <v>37</v>
      </c>
      <c r="C4" s="86"/>
      <c r="D4" s="44"/>
      <c r="E4" s="44"/>
      <c r="F4" s="44"/>
      <c r="G4" s="44"/>
      <c r="H4" s="44"/>
      <c r="I4" s="44"/>
      <c r="J4" s="44"/>
      <c r="K4" s="44"/>
      <c r="L4" s="44"/>
      <c r="M4" s="578" t="s">
        <v>166</v>
      </c>
      <c r="N4" s="579"/>
      <c r="O4" s="580"/>
      <c r="P4" s="116"/>
    </row>
    <row r="5" spans="1:18" x14ac:dyDescent="0.2">
      <c r="B5" s="145" t="s">
        <v>38</v>
      </c>
      <c r="C5" s="80">
        <f>Main!D3</f>
        <v>0</v>
      </c>
      <c r="D5" s="44"/>
      <c r="E5" s="44"/>
      <c r="F5" s="44"/>
      <c r="G5" s="44"/>
      <c r="H5" s="44"/>
      <c r="I5" s="78" t="s">
        <v>9</v>
      </c>
      <c r="J5" s="44" t="e">
        <f>Main!D5</f>
        <v>#N/A</v>
      </c>
      <c r="L5" s="44"/>
      <c r="M5" s="581" t="s">
        <v>165</v>
      </c>
      <c r="N5" s="582"/>
      <c r="O5" s="583"/>
      <c r="P5" s="163"/>
    </row>
    <row r="6" spans="1:18" ht="13.5" thickBot="1" x14ac:dyDescent="0.25">
      <c r="B6" s="145" t="s">
        <v>7</v>
      </c>
      <c r="C6" s="81" t="e">
        <f>Main!D6</f>
        <v>#N/A</v>
      </c>
      <c r="D6" s="44"/>
      <c r="E6" s="44"/>
      <c r="F6" s="44"/>
      <c r="G6" s="44"/>
      <c r="H6" s="44"/>
      <c r="I6" s="78" t="s">
        <v>10</v>
      </c>
      <c r="J6" s="77">
        <f>Main!D16</f>
        <v>0</v>
      </c>
      <c r="L6" s="44"/>
      <c r="M6" s="584" t="s">
        <v>164</v>
      </c>
      <c r="N6" s="585"/>
      <c r="O6" s="586"/>
      <c r="P6" s="117"/>
    </row>
    <row r="7" spans="1:18" ht="13.5" thickBot="1" x14ac:dyDescent="0.25">
      <c r="B7" s="145" t="s">
        <v>39</v>
      </c>
      <c r="C7" s="81" t="str">
        <f>Main!D7</f>
        <v>Jeff Hall</v>
      </c>
      <c r="D7" s="44"/>
      <c r="E7" s="44"/>
      <c r="F7" s="44"/>
      <c r="G7" s="44"/>
      <c r="H7" s="44"/>
      <c r="I7" s="83" t="s">
        <v>192</v>
      </c>
      <c r="J7" s="572">
        <f>Main!$D$30</f>
        <v>0</v>
      </c>
      <c r="K7" s="573"/>
      <c r="L7" s="131"/>
      <c r="M7" s="571" t="s">
        <v>163</v>
      </c>
      <c r="N7" s="571"/>
      <c r="O7" s="571"/>
      <c r="P7" s="52"/>
    </row>
    <row r="8" spans="1:18" x14ac:dyDescent="0.2">
      <c r="B8" s="145"/>
      <c r="C8" s="151"/>
      <c r="D8" s="44"/>
      <c r="E8" s="44"/>
      <c r="F8" s="44"/>
      <c r="G8" s="44"/>
      <c r="H8" s="44"/>
      <c r="I8" s="83"/>
      <c r="J8" s="154"/>
      <c r="K8" s="154"/>
      <c r="L8" s="131"/>
      <c r="M8" s="155"/>
      <c r="N8" s="155"/>
      <c r="O8" s="155"/>
      <c r="P8" s="52"/>
    </row>
    <row r="9" spans="1:18" x14ac:dyDescent="0.2">
      <c r="B9" s="145"/>
      <c r="C9" s="81"/>
      <c r="D9" s="44"/>
      <c r="E9" s="44"/>
      <c r="F9" s="44"/>
      <c r="G9" s="44"/>
      <c r="H9" s="44"/>
      <c r="I9" s="158" t="str">
        <f>IF(Main!K15="SIM Load Hot",Main!N59,"")</f>
        <v/>
      </c>
      <c r="J9" s="154"/>
      <c r="K9" s="154"/>
      <c r="L9" s="131"/>
      <c r="M9" s="155"/>
      <c r="N9" s="155"/>
      <c r="O9" s="155"/>
      <c r="P9" s="52"/>
    </row>
    <row r="10" spans="1:18" s="88" customFormat="1" x14ac:dyDescent="0.2">
      <c r="A10" s="132"/>
      <c r="B10" s="166"/>
      <c r="C10" s="167"/>
      <c r="I10" s="158" t="str">
        <f>IF(AND(Main!E60 &lt;&gt; "", Main!K60 &lt;&gt;""),Main!N60,IF(AND(Main!E61&lt;&gt;"",Main!K61&lt;&gt;""),Main!N61,""))</f>
        <v/>
      </c>
      <c r="J10" s="168"/>
      <c r="K10" s="168"/>
      <c r="L10" s="146"/>
      <c r="M10" s="169"/>
      <c r="N10" s="169"/>
      <c r="O10" s="169"/>
      <c r="P10" s="170"/>
    </row>
    <row r="11" spans="1:18" x14ac:dyDescent="0.2">
      <c r="R11" s="53"/>
    </row>
    <row r="12" spans="1:18" x14ac:dyDescent="0.2">
      <c r="B12" s="131">
        <f>DaqBook_RAW_Data!A2</f>
        <v>0</v>
      </c>
      <c r="C12" s="44" t="str">
        <f>IF(ISBLANK(DaqBook_RAW_Data!B2),"",1)</f>
        <v/>
      </c>
      <c r="D12" s="44" t="str">
        <f>IF(ISBLANK(DaqBook_RAW_Data!C2),"",2)</f>
        <v/>
      </c>
      <c r="E12" s="44" t="str">
        <f>IF(ISBLANK(DaqBook_RAW_Data!D2),"",3)</f>
        <v/>
      </c>
      <c r="F12" s="44" t="str">
        <f>IF(ISBLANK(DaqBook_RAW_Data!E2),"",4)</f>
        <v/>
      </c>
      <c r="G12" s="44" t="str">
        <f>IF(ISBLANK(DaqBook_RAW_Data!F2),"",5)</f>
        <v/>
      </c>
      <c r="H12" s="44" t="str">
        <f>IF(ISBLANK(DaqBook_RAW_Data!G2),"",6)</f>
        <v/>
      </c>
      <c r="I12" s="44" t="str">
        <f>IF(ISBLANK(DaqBook_RAW_Data!H2),"",7)</f>
        <v/>
      </c>
      <c r="J12" s="44" t="str">
        <f>IF(ISBLANK(DaqBook_RAW_Data!I2),"",8)</f>
        <v/>
      </c>
      <c r="K12" s="44" t="str">
        <f>IF(ISBLANK(DaqBook_RAW_Data!J2),"",9)</f>
        <v/>
      </c>
      <c r="L12" s="44" t="str">
        <f>IF(ISBLANK(DaqBook_RAW_Data!K2),"",10)</f>
        <v/>
      </c>
      <c r="M12" s="44" t="str">
        <f>IF(ISBLANK(DaqBook_RAW_Data!L2),"",11)</f>
        <v/>
      </c>
      <c r="N12" s="44" t="str">
        <f>IF(ISBLANK(DaqBook_RAW_Data!M2),"",12)</f>
        <v/>
      </c>
      <c r="O12" s="44" t="str">
        <f>IF(ISBLANK(DaqBook_RAW_Data!N2),"",13)</f>
        <v/>
      </c>
      <c r="P12" s="44" t="str">
        <f>IF(ISBLANK(DaqBook_RAW_Data!O2),"",14)</f>
        <v/>
      </c>
    </row>
    <row r="13" spans="1:18" s="88" customFormat="1" x14ac:dyDescent="0.2">
      <c r="A13" s="132"/>
      <c r="B13" s="131"/>
      <c r="C13" s="44"/>
      <c r="D13" s="44"/>
      <c r="E13" s="44"/>
      <c r="F13" s="44"/>
      <c r="G13" s="44"/>
      <c r="H13" s="44"/>
      <c r="I13" s="44"/>
      <c r="J13" s="44"/>
      <c r="K13" s="44"/>
      <c r="L13" s="44"/>
      <c r="M13" s="44" t="str">
        <f>IF(ISBLANK(DaqBook_RAW_Data!L3),"",DaqBook_RAW_Data!L3)</f>
        <v/>
      </c>
      <c r="N13" s="44" t="str">
        <f>IF(ISBLANK(DaqBook_RAW_Data!M3),"",DaqBook_RAW_Data!M3)</f>
        <v/>
      </c>
      <c r="O13" s="44" t="str">
        <f>IF(ISBLANK(DaqBook_RAW_Data!N3),"",DaqBook_RAW_Data!N3)</f>
        <v/>
      </c>
      <c r="P13" s="44"/>
    </row>
    <row r="14" spans="1:18" s="88" customFormat="1" x14ac:dyDescent="0.2">
      <c r="A14" s="132" t="str" cm="1">
        <f t="array" ref="A14:A903">TEXT(B14:B903, "h:mm")</f>
        <v/>
      </c>
      <c r="B14" s="131" t="str">
        <f>IFERROR(TIMEVALUE(DaqBook_RAW_Data!A4),"")</f>
        <v/>
      </c>
      <c r="C14" s="153" t="str" cm="1">
        <f t="array" ref="C14:P903">IF(DaqBook_RAW_Data!B4:O893="", "", DaqBook_RAW_Data!B4:O893)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8" s="88" customFormat="1" x14ac:dyDescent="0.2">
      <c r="A15" s="132" t="str">
        <v/>
      </c>
      <c r="B15" s="131" t="str">
        <f>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8" s="88" customFormat="1" x14ac:dyDescent="0.2">
      <c r="A16" s="132" t="str">
        <v/>
      </c>
      <c r="B16" s="131" t="str">
        <f>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92" customFormat="1" x14ac:dyDescent="0.2">
      <c r="A66" s="91" t="str">
        <v/>
      </c>
      <c r="B66" s="131" t="str">
        <f>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92" customFormat="1" x14ac:dyDescent="0.2">
      <c r="A67" s="91" t="str">
        <v/>
      </c>
      <c r="B67" s="131" t="str">
        <f>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92" customFormat="1" x14ac:dyDescent="0.2">
      <c r="A68" s="91" t="str">
        <v/>
      </c>
      <c r="B68" s="131" t="str">
        <f>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92" customFormat="1" x14ac:dyDescent="0.2">
      <c r="A69" s="91" t="str">
        <v/>
      </c>
      <c r="B69" s="131" t="str">
        <f>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92" customFormat="1" x14ac:dyDescent="0.2">
      <c r="A70" s="91" t="str">
        <v/>
      </c>
      <c r="B70" s="131" t="str">
        <f>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92" customFormat="1" x14ac:dyDescent="0.2">
      <c r="A71" s="91" t="str">
        <v/>
      </c>
      <c r="B71" s="131" t="str">
        <f>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92" customFormat="1" x14ac:dyDescent="0.2">
      <c r="A72" s="91" t="str">
        <v/>
      </c>
      <c r="B72" s="131" t="str">
        <f>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92" customFormat="1" x14ac:dyDescent="0.2">
      <c r="A73" s="91" t="str">
        <v/>
      </c>
      <c r="B73" s="131" t="str">
        <f>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92" customFormat="1" x14ac:dyDescent="0.2">
      <c r="A74" s="91" t="str">
        <v/>
      </c>
      <c r="B74" s="131" t="str">
        <f>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92" customFormat="1" x14ac:dyDescent="0.2">
      <c r="A75" s="91" t="str">
        <v/>
      </c>
      <c r="B75" s="131" t="str">
        <f>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92" customFormat="1" x14ac:dyDescent="0.2">
      <c r="A76" s="93" t="str">
        <v/>
      </c>
      <c r="B76" s="131" t="str">
        <f>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92" customFormat="1" x14ac:dyDescent="0.2">
      <c r="A77" s="93" t="str">
        <v/>
      </c>
      <c r="B77" s="131" t="str">
        <f>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92" customFormat="1" x14ac:dyDescent="0.2">
      <c r="A78" s="93" t="str">
        <v/>
      </c>
      <c r="B78" s="131" t="str">
        <f>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2" customFormat="1" x14ac:dyDescent="0.2">
      <c r="A79" s="93" t="str">
        <v/>
      </c>
      <c r="B79" s="131" t="str">
        <f>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2" customFormat="1" x14ac:dyDescent="0.2">
      <c r="A80" s="93" t="str">
        <v/>
      </c>
      <c r="B80" s="131" t="str">
        <f>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2" customFormat="1" x14ac:dyDescent="0.2">
      <c r="A81" s="93" t="str">
        <v/>
      </c>
      <c r="B81" s="131" t="str">
        <f>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88" customFormat="1" x14ac:dyDescent="0.2">
      <c r="A82" s="87" t="str">
        <v/>
      </c>
      <c r="B82" s="131" t="str">
        <f>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88" customFormat="1" x14ac:dyDescent="0.2">
      <c r="A83" s="87" t="str">
        <v/>
      </c>
      <c r="B83" s="131" t="str">
        <f>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87" t="str">
        <v/>
      </c>
      <c r="B84" s="131" t="str">
        <f>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87" t="str">
        <v/>
      </c>
      <c r="B85" s="131" t="str">
        <f>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87" t="str">
        <v/>
      </c>
      <c r="B86" s="131" t="str">
        <f>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87" t="str">
        <v/>
      </c>
      <c r="B87" s="131" t="str">
        <f>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87" t="str">
        <v/>
      </c>
      <c r="B88" s="131" t="str">
        <f>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87" t="str">
        <v/>
      </c>
      <c r="B89" s="131" t="str">
        <f>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87" t="str">
        <v/>
      </c>
      <c r="B90" s="131" t="str">
        <f>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87" t="str">
        <v/>
      </c>
      <c r="B91" s="131" t="str">
        <f>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87" t="str">
        <v/>
      </c>
      <c r="B92" s="131" t="str">
        <f>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IFERROR(TIMEVALUE(DaqBook_RAW_Data!A491),"")</f>
        <v/>
      </c>
      <c r="C501" s="44" t="str">
        <v/>
      </c>
      <c r="D501" s="44" t="str">
        <v/>
      </c>
      <c r="E501" s="44" t="str">
        <v/>
      </c>
      <c r="F501" s="44" t="str">
        <v/>
      </c>
      <c r="G501" s="44" t="str">
        <v/>
      </c>
      <c r="H501" s="44" t="str">
        <v/>
      </c>
      <c r="I501" s="44" t="str">
        <v/>
      </c>
      <c r="J501" s="44" t="str">
        <v/>
      </c>
      <c r="K501" s="44" t="str">
        <v/>
      </c>
      <c r="L501" s="44" t="str">
        <v/>
      </c>
      <c r="M501" s="44" t="str">
        <v/>
      </c>
      <c r="N501" s="44" t="str">
        <v/>
      </c>
      <c r="O501" s="44" t="str">
        <v/>
      </c>
      <c r="P501" s="44" t="str">
        <v/>
      </c>
    </row>
    <row r="502" spans="1:16" x14ac:dyDescent="0.2">
      <c r="A502" s="58" t="str">
        <v/>
      </c>
      <c r="B502" s="131" t="str">
        <f>IFERROR(TIMEVALUE(DaqBook_RAW_Data!A492),"")</f>
        <v/>
      </c>
      <c r="C502" s="44" t="str">
        <v/>
      </c>
      <c r="D502" s="44" t="str">
        <v/>
      </c>
      <c r="E502" s="44" t="str">
        <v/>
      </c>
      <c r="F502" s="44" t="str">
        <v/>
      </c>
      <c r="G502" s="44" t="str">
        <v/>
      </c>
      <c r="H502" s="44" t="str">
        <v/>
      </c>
      <c r="I502" s="44" t="str">
        <v/>
      </c>
      <c r="J502" s="44" t="str">
        <v/>
      </c>
      <c r="K502" s="44" t="str">
        <v/>
      </c>
      <c r="L502" s="44" t="str">
        <v/>
      </c>
      <c r="M502" s="44" t="str">
        <v/>
      </c>
      <c r="N502" s="44" t="str">
        <v/>
      </c>
      <c r="O502" s="44" t="str">
        <v/>
      </c>
      <c r="P502" s="44" t="str">
        <v/>
      </c>
    </row>
    <row r="503" spans="1:16" x14ac:dyDescent="0.2">
      <c r="A503" s="58" t="str">
        <v/>
      </c>
      <c r="B503" s="131" t="str">
        <f>IFERROR(TIMEVALUE(DaqBook_RAW_Data!A493),"")</f>
        <v/>
      </c>
      <c r="C503" s="44" t="str">
        <v/>
      </c>
      <c r="D503" s="44" t="str">
        <v/>
      </c>
      <c r="E503" s="44" t="str">
        <v/>
      </c>
      <c r="F503" s="44" t="str">
        <v/>
      </c>
      <c r="G503" s="44" t="str">
        <v/>
      </c>
      <c r="H503" s="44" t="str">
        <v/>
      </c>
      <c r="I503" s="44" t="str">
        <v/>
      </c>
      <c r="J503" s="44" t="str">
        <v/>
      </c>
      <c r="K503" s="44" t="str">
        <v/>
      </c>
      <c r="L503" s="44" t="str">
        <v/>
      </c>
      <c r="M503" s="44" t="str">
        <v/>
      </c>
      <c r="N503" s="44" t="str">
        <v/>
      </c>
      <c r="O503" s="44" t="str">
        <v/>
      </c>
      <c r="P503" s="44" t="str">
        <v/>
      </c>
    </row>
    <row r="504" spans="1:16" x14ac:dyDescent="0.2">
      <c r="A504" s="58" t="str">
        <v/>
      </c>
      <c r="B504" s="131" t="str">
        <f>IFERROR(TIMEVALUE(DaqBook_RAW_Data!A494),"")</f>
        <v/>
      </c>
      <c r="C504" s="44" t="str">
        <v/>
      </c>
      <c r="D504" s="44" t="str">
        <v/>
      </c>
      <c r="E504" s="44" t="str">
        <v/>
      </c>
      <c r="F504" s="44" t="str">
        <v/>
      </c>
      <c r="G504" s="44" t="str">
        <v/>
      </c>
      <c r="H504" s="44" t="str">
        <v/>
      </c>
      <c r="I504" s="44" t="str">
        <v/>
      </c>
      <c r="J504" s="44" t="str">
        <v/>
      </c>
      <c r="K504" s="44" t="str">
        <v/>
      </c>
      <c r="L504" s="44" t="str">
        <v/>
      </c>
      <c r="M504" s="44" t="str">
        <v/>
      </c>
      <c r="N504" s="44" t="str">
        <v/>
      </c>
      <c r="O504" s="44" t="str">
        <v/>
      </c>
      <c r="P504" s="44" t="str">
        <v/>
      </c>
    </row>
    <row r="505" spans="1:16" x14ac:dyDescent="0.2">
      <c r="A505" s="58" t="str">
        <v/>
      </c>
      <c r="B505" s="131" t="str">
        <f>IFERROR(TIMEVALUE(DaqBook_RAW_Data!A495),"")</f>
        <v/>
      </c>
      <c r="C505" s="44" t="str">
        <v/>
      </c>
      <c r="D505" s="44" t="str">
        <v/>
      </c>
      <c r="E505" s="44" t="str">
        <v/>
      </c>
      <c r="F505" s="44" t="str">
        <v/>
      </c>
      <c r="G505" s="44" t="str">
        <v/>
      </c>
      <c r="H505" s="44" t="str">
        <v/>
      </c>
      <c r="I505" s="44" t="str">
        <v/>
      </c>
      <c r="J505" s="44" t="str">
        <v/>
      </c>
      <c r="K505" s="44" t="str">
        <v/>
      </c>
      <c r="L505" s="44" t="str">
        <v/>
      </c>
      <c r="M505" s="44" t="str">
        <v/>
      </c>
      <c r="N505" s="44" t="str">
        <v/>
      </c>
      <c r="O505" s="44" t="str">
        <v/>
      </c>
      <c r="P505" s="44" t="str">
        <v/>
      </c>
    </row>
    <row r="506" spans="1:16" x14ac:dyDescent="0.2">
      <c r="A506" s="58" t="str">
        <v/>
      </c>
      <c r="B506" s="131" t="str">
        <f>IFERROR(TIMEVALUE(DaqBook_RAW_Data!A496),"")</f>
        <v/>
      </c>
      <c r="C506" s="44" t="str">
        <v/>
      </c>
      <c r="D506" s="44" t="str">
        <v/>
      </c>
      <c r="E506" s="44" t="str">
        <v/>
      </c>
      <c r="F506" s="44" t="str">
        <v/>
      </c>
      <c r="G506" s="44" t="str">
        <v/>
      </c>
      <c r="H506" s="44" t="str">
        <v/>
      </c>
      <c r="I506" s="44" t="str">
        <v/>
      </c>
      <c r="J506" s="44" t="str">
        <v/>
      </c>
      <c r="K506" s="44" t="str">
        <v/>
      </c>
      <c r="L506" s="44" t="str">
        <v/>
      </c>
      <c r="M506" s="44" t="str">
        <v/>
      </c>
      <c r="N506" s="44" t="str">
        <v/>
      </c>
      <c r="O506" s="44" t="str">
        <v/>
      </c>
      <c r="P506" s="44" t="str">
        <v/>
      </c>
    </row>
    <row r="507" spans="1:16" x14ac:dyDescent="0.2">
      <c r="A507" s="58" t="str">
        <v/>
      </c>
      <c r="B507" s="131" t="str">
        <f>IFERROR(TIMEVALUE(DaqBook_RAW_Data!A497),"")</f>
        <v/>
      </c>
      <c r="C507" s="44" t="str">
        <v/>
      </c>
      <c r="D507" s="44" t="str">
        <v/>
      </c>
      <c r="E507" s="44" t="str">
        <v/>
      </c>
      <c r="F507" s="44" t="str">
        <v/>
      </c>
      <c r="G507" s="44" t="str">
        <v/>
      </c>
      <c r="H507" s="44" t="str">
        <v/>
      </c>
      <c r="I507" s="44" t="str">
        <v/>
      </c>
      <c r="J507" s="44" t="str">
        <v/>
      </c>
      <c r="K507" s="44" t="str">
        <v/>
      </c>
      <c r="L507" s="44" t="str">
        <v/>
      </c>
      <c r="M507" s="44" t="str">
        <v/>
      </c>
      <c r="N507" s="44" t="str">
        <v/>
      </c>
      <c r="O507" s="44" t="str">
        <v/>
      </c>
      <c r="P507" s="44" t="str">
        <v/>
      </c>
    </row>
    <row r="508" spans="1:16" x14ac:dyDescent="0.2">
      <c r="A508" s="58" t="str">
        <v/>
      </c>
      <c r="B508" s="131" t="str">
        <f>IFERROR(TIMEVALUE(DaqBook_RAW_Data!A498),"")</f>
        <v/>
      </c>
      <c r="C508" s="44" t="str">
        <v/>
      </c>
      <c r="D508" s="44" t="str">
        <v/>
      </c>
      <c r="E508" s="44" t="str">
        <v/>
      </c>
      <c r="F508" s="44" t="str">
        <v/>
      </c>
      <c r="G508" s="44" t="str">
        <v/>
      </c>
      <c r="H508" s="44" t="str">
        <v/>
      </c>
      <c r="I508" s="44" t="str">
        <v/>
      </c>
      <c r="J508" s="44" t="str">
        <v/>
      </c>
      <c r="K508" s="44" t="str">
        <v/>
      </c>
      <c r="L508" s="44" t="str">
        <v/>
      </c>
      <c r="M508" s="44" t="str">
        <v/>
      </c>
      <c r="N508" s="44" t="str">
        <v/>
      </c>
      <c r="O508" s="44" t="str">
        <v/>
      </c>
      <c r="P508" s="44" t="str">
        <v/>
      </c>
    </row>
    <row r="509" spans="1:16" x14ac:dyDescent="0.2">
      <c r="A509" s="58" t="str">
        <v/>
      </c>
      <c r="B509" s="131" t="str">
        <f>IFERROR(TIMEVALUE(DaqBook_RAW_Data!A499),"")</f>
        <v/>
      </c>
      <c r="C509" s="44" t="str">
        <v/>
      </c>
      <c r="D509" s="44" t="str">
        <v/>
      </c>
      <c r="E509" s="44" t="str">
        <v/>
      </c>
      <c r="F509" s="44" t="str">
        <v/>
      </c>
      <c r="G509" s="44" t="str">
        <v/>
      </c>
      <c r="H509" s="44" t="str">
        <v/>
      </c>
      <c r="I509" s="44" t="str">
        <v/>
      </c>
      <c r="J509" s="44" t="str">
        <v/>
      </c>
      <c r="K509" s="44" t="str">
        <v/>
      </c>
      <c r="L509" s="44" t="str">
        <v/>
      </c>
      <c r="M509" s="44" t="str">
        <v/>
      </c>
      <c r="N509" s="44" t="str">
        <v/>
      </c>
      <c r="O509" s="44" t="str">
        <v/>
      </c>
      <c r="P509" s="44" t="str">
        <v/>
      </c>
    </row>
    <row r="510" spans="1:16" x14ac:dyDescent="0.2">
      <c r="A510" s="58" t="str">
        <v/>
      </c>
      <c r="B510" s="131" t="str">
        <f>IFERROR(TIMEVALUE(DaqBook_RAW_Data!A500),"")</f>
        <v/>
      </c>
      <c r="C510" s="44" t="str">
        <v/>
      </c>
      <c r="D510" s="44" t="str">
        <v/>
      </c>
      <c r="E510" s="44" t="str">
        <v/>
      </c>
      <c r="F510" s="44" t="str">
        <v/>
      </c>
      <c r="G510" s="44" t="str">
        <v/>
      </c>
      <c r="H510" s="44" t="str">
        <v/>
      </c>
      <c r="I510" s="44" t="str">
        <v/>
      </c>
      <c r="J510" s="44" t="str">
        <v/>
      </c>
      <c r="K510" s="44" t="str">
        <v/>
      </c>
      <c r="L510" s="44" t="str">
        <v/>
      </c>
      <c r="M510" s="44" t="str">
        <v/>
      </c>
      <c r="N510" s="44" t="str">
        <v/>
      </c>
      <c r="O510" s="44" t="str">
        <v/>
      </c>
      <c r="P510" s="44" t="str">
        <v/>
      </c>
    </row>
    <row r="511" spans="1:16" x14ac:dyDescent="0.2">
      <c r="A511" s="58" t="str">
        <v/>
      </c>
      <c r="B511" s="131" t="str">
        <f>IFERROR(TIMEVALUE(DaqBook_RAW_Data!A501),"")</f>
        <v/>
      </c>
      <c r="C511" s="44" t="str">
        <v/>
      </c>
      <c r="D511" s="44" t="str">
        <v/>
      </c>
      <c r="E511" s="44" t="str">
        <v/>
      </c>
      <c r="F511" s="44" t="str">
        <v/>
      </c>
      <c r="G511" s="44" t="str">
        <v/>
      </c>
      <c r="H511" s="44" t="str">
        <v/>
      </c>
      <c r="I511" s="44" t="str">
        <v/>
      </c>
      <c r="J511" s="44" t="str">
        <v/>
      </c>
      <c r="K511" s="44" t="str">
        <v/>
      </c>
      <c r="L511" s="44" t="str">
        <v/>
      </c>
      <c r="M511" s="44" t="str">
        <v/>
      </c>
      <c r="N511" s="44" t="str">
        <v/>
      </c>
      <c r="O511" s="44" t="str">
        <v/>
      </c>
      <c r="P511" s="44" t="str">
        <v/>
      </c>
    </row>
    <row r="512" spans="1:16" x14ac:dyDescent="0.2">
      <c r="A512" s="58" t="str">
        <v/>
      </c>
      <c r="B512" s="131" t="str">
        <f>IFERROR(TIMEVALUE(DaqBook_RAW_Data!A502),"")</f>
        <v/>
      </c>
      <c r="C512" s="44" t="str">
        <v/>
      </c>
      <c r="D512" s="44" t="str">
        <v/>
      </c>
      <c r="E512" s="44" t="str">
        <v/>
      </c>
      <c r="F512" s="44" t="str">
        <v/>
      </c>
      <c r="G512" s="44" t="str">
        <v/>
      </c>
      <c r="H512" s="44" t="str">
        <v/>
      </c>
      <c r="I512" s="44" t="str">
        <v/>
      </c>
      <c r="J512" s="44" t="str">
        <v/>
      </c>
      <c r="K512" s="44" t="str">
        <v/>
      </c>
      <c r="L512" s="44" t="str">
        <v/>
      </c>
      <c r="M512" s="44" t="str">
        <v/>
      </c>
      <c r="N512" s="44" t="str">
        <v/>
      </c>
      <c r="O512" s="44" t="str">
        <v/>
      </c>
      <c r="P512" s="44" t="str">
        <v/>
      </c>
    </row>
    <row r="513" spans="1:16" x14ac:dyDescent="0.2">
      <c r="A513" s="58" t="str">
        <v/>
      </c>
      <c r="B513" s="131" t="str">
        <f>IFERROR(TIMEVALUE(DaqBook_RAW_Data!A503),"")</f>
        <v/>
      </c>
      <c r="C513" s="44" t="str">
        <v/>
      </c>
      <c r="D513" s="44" t="str">
        <v/>
      </c>
      <c r="E513" s="44" t="str">
        <v/>
      </c>
      <c r="F513" s="44" t="str">
        <v/>
      </c>
      <c r="G513" s="44" t="str">
        <v/>
      </c>
      <c r="H513" s="44" t="str">
        <v/>
      </c>
      <c r="I513" s="44" t="str">
        <v/>
      </c>
      <c r="J513" s="44" t="str">
        <v/>
      </c>
      <c r="K513" s="44" t="str">
        <v/>
      </c>
      <c r="L513" s="44" t="str">
        <v/>
      </c>
      <c r="M513" s="44" t="str">
        <v/>
      </c>
      <c r="N513" s="44" t="str">
        <v/>
      </c>
      <c r="O513" s="44" t="str">
        <v/>
      </c>
      <c r="P513" s="44" t="str">
        <v/>
      </c>
    </row>
    <row r="514" spans="1:16" x14ac:dyDescent="0.2">
      <c r="A514" s="58" t="str">
        <v/>
      </c>
      <c r="B514" s="131" t="str">
        <f>IFERROR(TIMEVALUE(DaqBook_RAW_Data!A504),"")</f>
        <v/>
      </c>
      <c r="C514" s="44" t="str">
        <v/>
      </c>
      <c r="D514" s="44" t="str">
        <v/>
      </c>
      <c r="E514" s="44" t="str">
        <v/>
      </c>
      <c r="F514" s="44" t="str">
        <v/>
      </c>
      <c r="G514" s="44" t="str">
        <v/>
      </c>
      <c r="H514" s="44" t="str">
        <v/>
      </c>
      <c r="I514" s="44" t="str">
        <v/>
      </c>
      <c r="J514" s="44" t="str">
        <v/>
      </c>
      <c r="K514" s="44" t="str">
        <v/>
      </c>
      <c r="L514" s="44" t="str">
        <v/>
      </c>
      <c r="M514" s="44" t="str">
        <v/>
      </c>
      <c r="N514" s="44" t="str">
        <v/>
      </c>
      <c r="O514" s="44" t="str">
        <v/>
      </c>
      <c r="P514" s="44" t="str">
        <v/>
      </c>
    </row>
    <row r="515" spans="1:16" x14ac:dyDescent="0.2">
      <c r="A515" s="58" t="str">
        <v/>
      </c>
      <c r="B515" s="131" t="str">
        <f>IFERROR(TIMEVALUE(DaqBook_RAW_Data!A505),"")</f>
        <v/>
      </c>
      <c r="C515" s="44" t="str">
        <v/>
      </c>
      <c r="D515" s="44" t="str">
        <v/>
      </c>
      <c r="E515" s="44" t="str">
        <v/>
      </c>
      <c r="F515" s="44" t="str">
        <v/>
      </c>
      <c r="G515" s="44" t="str">
        <v/>
      </c>
      <c r="H515" s="44" t="str">
        <v/>
      </c>
      <c r="I515" s="44" t="str">
        <v/>
      </c>
      <c r="J515" s="44" t="str">
        <v/>
      </c>
      <c r="K515" s="44" t="str">
        <v/>
      </c>
      <c r="L515" s="44" t="str">
        <v/>
      </c>
      <c r="M515" s="44" t="str">
        <v/>
      </c>
      <c r="N515" s="44" t="str">
        <v/>
      </c>
      <c r="O515" s="44" t="str">
        <v/>
      </c>
      <c r="P515" s="44" t="str">
        <v/>
      </c>
    </row>
    <row r="516" spans="1:16" x14ac:dyDescent="0.2">
      <c r="A516" s="58" t="str">
        <v/>
      </c>
      <c r="B516" s="131" t="str">
        <f>IFERROR(TIMEVALUE(DaqBook_RAW_Data!A506),"")</f>
        <v/>
      </c>
      <c r="C516" s="44" t="str">
        <v/>
      </c>
      <c r="D516" s="44" t="str">
        <v/>
      </c>
      <c r="E516" s="44" t="str">
        <v/>
      </c>
      <c r="F516" s="44" t="str">
        <v/>
      </c>
      <c r="G516" s="44" t="str">
        <v/>
      </c>
      <c r="H516" s="44" t="str">
        <v/>
      </c>
      <c r="I516" s="44" t="str">
        <v/>
      </c>
      <c r="J516" s="44" t="str">
        <v/>
      </c>
      <c r="K516" s="44" t="str">
        <v/>
      </c>
      <c r="L516" s="44" t="str">
        <v/>
      </c>
      <c r="M516" s="44" t="str">
        <v/>
      </c>
      <c r="N516" s="44" t="str">
        <v/>
      </c>
      <c r="O516" s="44" t="str">
        <v/>
      </c>
      <c r="P516" s="44" t="str">
        <v/>
      </c>
    </row>
    <row r="517" spans="1:16" x14ac:dyDescent="0.2">
      <c r="A517" s="58" t="str">
        <v/>
      </c>
      <c r="B517" s="131" t="str">
        <f>IFERROR(TIMEVALUE(DaqBook_RAW_Data!A507),"")</f>
        <v/>
      </c>
      <c r="C517" s="44" t="str">
        <v/>
      </c>
      <c r="D517" s="44" t="str">
        <v/>
      </c>
      <c r="E517" s="44" t="str">
        <v/>
      </c>
      <c r="F517" s="44" t="str">
        <v/>
      </c>
      <c r="G517" s="44" t="str">
        <v/>
      </c>
      <c r="H517" s="44" t="str">
        <v/>
      </c>
      <c r="I517" s="44" t="str">
        <v/>
      </c>
      <c r="J517" s="44" t="str">
        <v/>
      </c>
      <c r="K517" s="44" t="str">
        <v/>
      </c>
      <c r="L517" s="44" t="str">
        <v/>
      </c>
      <c r="M517" s="44" t="str">
        <v/>
      </c>
      <c r="N517" s="44" t="str">
        <v/>
      </c>
      <c r="O517" s="44" t="str">
        <v/>
      </c>
      <c r="P517" s="44" t="str">
        <v/>
      </c>
    </row>
    <row r="518" spans="1:16" x14ac:dyDescent="0.2">
      <c r="A518" s="58" t="str">
        <v/>
      </c>
      <c r="B518" s="131" t="str">
        <f>IFERROR(TIMEVALUE(DaqBook_RAW_Data!A508),"")</f>
        <v/>
      </c>
      <c r="C518" s="44" t="str">
        <v/>
      </c>
      <c r="D518" s="44" t="str">
        <v/>
      </c>
      <c r="E518" s="44" t="str">
        <v/>
      </c>
      <c r="F518" s="44" t="str">
        <v/>
      </c>
      <c r="G518" s="44" t="str">
        <v/>
      </c>
      <c r="H518" s="44" t="str">
        <v/>
      </c>
      <c r="I518" s="44" t="str">
        <v/>
      </c>
      <c r="J518" s="44" t="str">
        <v/>
      </c>
      <c r="K518" s="44" t="str">
        <v/>
      </c>
      <c r="L518" s="44" t="str">
        <v/>
      </c>
      <c r="M518" s="44" t="str">
        <v/>
      </c>
      <c r="N518" s="44" t="str">
        <v/>
      </c>
      <c r="O518" s="44" t="str">
        <v/>
      </c>
      <c r="P518" s="44" t="str">
        <v/>
      </c>
    </row>
    <row r="519" spans="1:16" x14ac:dyDescent="0.2">
      <c r="A519" s="58" t="str">
        <v/>
      </c>
      <c r="B519" s="131" t="str">
        <f>IFERROR(TIMEVALUE(DaqBook_RAW_Data!A509),"")</f>
        <v/>
      </c>
      <c r="C519" s="44" t="str">
        <v/>
      </c>
      <c r="D519" s="44" t="str">
        <v/>
      </c>
      <c r="E519" s="44" t="str">
        <v/>
      </c>
      <c r="F519" s="44" t="str">
        <v/>
      </c>
      <c r="G519" s="44" t="str">
        <v/>
      </c>
      <c r="H519" s="44" t="str">
        <v/>
      </c>
      <c r="I519" s="44" t="str">
        <v/>
      </c>
      <c r="J519" s="44" t="str">
        <v/>
      </c>
      <c r="K519" s="44" t="str">
        <v/>
      </c>
      <c r="L519" s="44" t="str">
        <v/>
      </c>
      <c r="M519" s="44" t="str">
        <v/>
      </c>
      <c r="N519" s="44" t="str">
        <v/>
      </c>
      <c r="O519" s="44" t="str">
        <v/>
      </c>
      <c r="P519" s="44" t="str">
        <v/>
      </c>
    </row>
    <row r="520" spans="1:16" x14ac:dyDescent="0.2">
      <c r="A520" s="58" t="str">
        <v/>
      </c>
      <c r="B520" s="131" t="str">
        <f>IFERROR(TIMEVALUE(DaqBook_RAW_Data!A510),"")</f>
        <v/>
      </c>
      <c r="C520" s="44" t="str">
        <v/>
      </c>
      <c r="D520" s="44" t="str">
        <v/>
      </c>
      <c r="E520" s="44" t="str">
        <v/>
      </c>
      <c r="F520" s="44" t="str">
        <v/>
      </c>
      <c r="G520" s="44" t="str">
        <v/>
      </c>
      <c r="H520" s="44" t="str">
        <v/>
      </c>
      <c r="I520" s="44" t="str">
        <v/>
      </c>
      <c r="J520" s="44" t="str">
        <v/>
      </c>
      <c r="K520" s="44" t="str">
        <v/>
      </c>
      <c r="L520" s="44" t="str">
        <v/>
      </c>
      <c r="M520" s="44" t="str">
        <v/>
      </c>
      <c r="N520" s="44" t="str">
        <v/>
      </c>
      <c r="O520" s="44" t="str">
        <v/>
      </c>
      <c r="P520" s="44" t="str">
        <v/>
      </c>
    </row>
    <row r="521" spans="1:16" x14ac:dyDescent="0.2">
      <c r="A521" s="58" t="str">
        <v/>
      </c>
      <c r="B521" s="131" t="str">
        <f>IFERROR(TIMEVALUE(DaqBook_RAW_Data!A511),"")</f>
        <v/>
      </c>
      <c r="C521" s="44" t="str">
        <v/>
      </c>
      <c r="D521" s="44" t="str">
        <v/>
      </c>
      <c r="E521" s="44" t="str">
        <v/>
      </c>
      <c r="F521" s="44" t="str">
        <v/>
      </c>
      <c r="G521" s="44" t="str">
        <v/>
      </c>
      <c r="H521" s="44" t="str">
        <v/>
      </c>
      <c r="I521" s="44" t="str">
        <v/>
      </c>
      <c r="J521" s="44" t="str">
        <v/>
      </c>
      <c r="K521" s="44" t="str">
        <v/>
      </c>
      <c r="L521" s="44" t="str">
        <v/>
      </c>
      <c r="M521" s="44" t="str">
        <v/>
      </c>
      <c r="N521" s="44" t="str">
        <v/>
      </c>
      <c r="O521" s="44" t="str">
        <v/>
      </c>
      <c r="P521" s="44" t="str">
        <v/>
      </c>
    </row>
    <row r="522" spans="1:16" x14ac:dyDescent="0.2">
      <c r="A522" s="58" t="str">
        <v/>
      </c>
      <c r="B522" s="131" t="str">
        <f>IFERROR(TIMEVALUE(DaqBook_RAW_Data!A512),"")</f>
        <v/>
      </c>
      <c r="C522" s="44" t="str">
        <v/>
      </c>
      <c r="D522" s="44" t="str">
        <v/>
      </c>
      <c r="E522" s="44" t="str">
        <v/>
      </c>
      <c r="F522" s="44" t="str">
        <v/>
      </c>
      <c r="G522" s="44" t="str">
        <v/>
      </c>
      <c r="H522" s="44" t="str">
        <v/>
      </c>
      <c r="I522" s="44" t="str">
        <v/>
      </c>
      <c r="J522" s="44" t="str">
        <v/>
      </c>
      <c r="K522" s="44" t="str">
        <v/>
      </c>
      <c r="L522" s="44" t="str">
        <v/>
      </c>
      <c r="M522" s="44" t="str">
        <v/>
      </c>
      <c r="N522" s="44" t="str">
        <v/>
      </c>
      <c r="O522" s="44" t="str">
        <v/>
      </c>
      <c r="P522" s="44" t="str">
        <v/>
      </c>
    </row>
    <row r="523" spans="1:16" x14ac:dyDescent="0.2">
      <c r="A523" s="58" t="str">
        <v/>
      </c>
      <c r="B523" s="131" t="str">
        <f>IFERROR(TIMEVALUE(DaqBook_RAW_Data!A513),"")</f>
        <v/>
      </c>
      <c r="C523" s="44" t="str">
        <v/>
      </c>
      <c r="D523" s="44" t="str">
        <v/>
      </c>
      <c r="E523" s="44" t="str">
        <v/>
      </c>
      <c r="F523" s="44" t="str">
        <v/>
      </c>
      <c r="G523" s="44" t="str">
        <v/>
      </c>
      <c r="H523" s="44" t="str">
        <v/>
      </c>
      <c r="I523" s="44" t="str">
        <v/>
      </c>
      <c r="J523" s="44" t="str">
        <v/>
      </c>
      <c r="K523" s="44" t="str">
        <v/>
      </c>
      <c r="L523" s="44" t="str">
        <v/>
      </c>
      <c r="M523" s="44" t="str">
        <v/>
      </c>
      <c r="N523" s="44" t="str">
        <v/>
      </c>
      <c r="O523" s="44" t="str">
        <v/>
      </c>
      <c r="P523" s="44" t="str">
        <v/>
      </c>
    </row>
    <row r="524" spans="1:16" x14ac:dyDescent="0.2">
      <c r="A524" s="58" t="str">
        <v/>
      </c>
      <c r="B524" s="131" t="str">
        <f>IFERROR(TIMEVALUE(DaqBook_RAW_Data!A514),"")</f>
        <v/>
      </c>
      <c r="C524" s="44" t="str">
        <v/>
      </c>
      <c r="D524" s="44" t="str">
        <v/>
      </c>
      <c r="E524" s="44" t="str">
        <v/>
      </c>
      <c r="F524" s="44" t="str">
        <v/>
      </c>
      <c r="G524" s="44" t="str">
        <v/>
      </c>
      <c r="H524" s="44" t="str">
        <v/>
      </c>
      <c r="I524" s="44" t="str">
        <v/>
      </c>
      <c r="J524" s="44" t="str">
        <v/>
      </c>
      <c r="K524" s="44" t="str">
        <v/>
      </c>
      <c r="L524" s="44" t="str">
        <v/>
      </c>
      <c r="M524" s="44" t="str">
        <v/>
      </c>
      <c r="N524" s="44" t="str">
        <v/>
      </c>
      <c r="O524" s="44" t="str">
        <v/>
      </c>
      <c r="P524" s="44" t="str">
        <v/>
      </c>
    </row>
    <row r="525" spans="1:16" x14ac:dyDescent="0.2">
      <c r="A525" s="58" t="str">
        <v/>
      </c>
      <c r="B525" s="131" t="str">
        <f>IFERROR(TIMEVALUE(DaqBook_RAW_Data!A515),"")</f>
        <v/>
      </c>
      <c r="C525" s="44" t="str">
        <v/>
      </c>
      <c r="D525" s="44" t="str">
        <v/>
      </c>
      <c r="E525" s="44" t="str">
        <v/>
      </c>
      <c r="F525" s="44" t="str">
        <v/>
      </c>
      <c r="G525" s="44" t="str">
        <v/>
      </c>
      <c r="H525" s="44" t="str">
        <v/>
      </c>
      <c r="I525" s="44" t="str">
        <v/>
      </c>
      <c r="J525" s="44" t="str">
        <v/>
      </c>
      <c r="K525" s="44" t="str">
        <v/>
      </c>
      <c r="L525" s="44" t="str">
        <v/>
      </c>
      <c r="M525" s="44" t="str">
        <v/>
      </c>
      <c r="N525" s="44" t="str">
        <v/>
      </c>
      <c r="O525" s="44" t="str">
        <v/>
      </c>
      <c r="P525" s="44" t="str">
        <v/>
      </c>
    </row>
    <row r="526" spans="1:16" x14ac:dyDescent="0.2">
      <c r="A526" s="58" t="str">
        <v/>
      </c>
      <c r="B526" s="131" t="str">
        <f>IFERROR(TIMEVALUE(DaqBook_RAW_Data!A516),"")</f>
        <v/>
      </c>
      <c r="C526" s="44" t="str">
        <v/>
      </c>
      <c r="D526" s="44" t="str">
        <v/>
      </c>
      <c r="E526" s="44" t="str">
        <v/>
      </c>
      <c r="F526" s="44" t="str">
        <v/>
      </c>
      <c r="G526" s="44" t="str">
        <v/>
      </c>
      <c r="H526" s="44" t="str">
        <v/>
      </c>
      <c r="I526" s="44" t="str">
        <v/>
      </c>
      <c r="J526" s="44" t="str">
        <v/>
      </c>
      <c r="K526" s="44" t="str">
        <v/>
      </c>
      <c r="L526" s="44" t="str">
        <v/>
      </c>
      <c r="M526" s="44" t="str">
        <v/>
      </c>
      <c r="N526" s="44" t="str">
        <v/>
      </c>
      <c r="O526" s="44" t="str">
        <v/>
      </c>
      <c r="P526" s="44" t="str">
        <v/>
      </c>
    </row>
    <row r="527" spans="1:16" x14ac:dyDescent="0.2">
      <c r="A527" s="58" t="str">
        <v/>
      </c>
      <c r="B527" s="131" t="str">
        <f>IFERROR(TIMEVALUE(DaqBook_RAW_Data!A517),"")</f>
        <v/>
      </c>
      <c r="C527" s="44" t="str">
        <v/>
      </c>
      <c r="D527" s="44" t="str">
        <v/>
      </c>
      <c r="E527" s="44" t="str">
        <v/>
      </c>
      <c r="F527" s="44" t="str">
        <v/>
      </c>
      <c r="G527" s="44" t="str">
        <v/>
      </c>
      <c r="H527" s="44" t="str">
        <v/>
      </c>
      <c r="I527" s="44" t="str">
        <v/>
      </c>
      <c r="J527" s="44" t="str">
        <v/>
      </c>
      <c r="K527" s="44" t="str">
        <v/>
      </c>
      <c r="L527" s="44" t="str">
        <v/>
      </c>
      <c r="M527" s="44" t="str">
        <v/>
      </c>
      <c r="N527" s="44" t="str">
        <v/>
      </c>
      <c r="O527" s="44" t="str">
        <v/>
      </c>
      <c r="P527" s="44" t="str">
        <v/>
      </c>
    </row>
    <row r="528" spans="1:16" x14ac:dyDescent="0.2">
      <c r="A528" s="58" t="str">
        <v/>
      </c>
      <c r="B528" s="131" t="str">
        <f>IFERROR(TIMEVALUE(DaqBook_RAW_Data!A518),"")</f>
        <v/>
      </c>
      <c r="C528" s="44" t="str">
        <v/>
      </c>
      <c r="D528" s="44" t="str">
        <v/>
      </c>
      <c r="E528" s="44" t="str">
        <v/>
      </c>
      <c r="F528" s="44" t="str">
        <v/>
      </c>
      <c r="G528" s="44" t="str">
        <v/>
      </c>
      <c r="H528" s="44" t="str">
        <v/>
      </c>
      <c r="I528" s="44" t="str">
        <v/>
      </c>
      <c r="J528" s="44" t="str">
        <v/>
      </c>
      <c r="K528" s="44" t="str">
        <v/>
      </c>
      <c r="L528" s="44" t="str">
        <v/>
      </c>
      <c r="M528" s="44" t="str">
        <v/>
      </c>
      <c r="N528" s="44" t="str">
        <v/>
      </c>
      <c r="O528" s="44" t="str">
        <v/>
      </c>
      <c r="P528" s="44" t="str">
        <v/>
      </c>
    </row>
    <row r="529" spans="1:16" x14ac:dyDescent="0.2">
      <c r="A529" s="58" t="str">
        <v/>
      </c>
      <c r="B529" s="131" t="str">
        <f>IFERROR(TIMEVALUE(DaqBook_RAW_Data!A519),"")</f>
        <v/>
      </c>
      <c r="C529" s="44" t="str">
        <v/>
      </c>
      <c r="D529" s="44" t="str">
        <v/>
      </c>
      <c r="E529" s="44" t="str">
        <v/>
      </c>
      <c r="F529" s="44" t="str">
        <v/>
      </c>
      <c r="G529" s="44" t="str">
        <v/>
      </c>
      <c r="H529" s="44" t="str">
        <v/>
      </c>
      <c r="I529" s="44" t="str">
        <v/>
      </c>
      <c r="J529" s="44" t="str">
        <v/>
      </c>
      <c r="K529" s="44" t="str">
        <v/>
      </c>
      <c r="L529" s="44" t="str">
        <v/>
      </c>
      <c r="M529" s="44" t="str">
        <v/>
      </c>
      <c r="N529" s="44" t="str">
        <v/>
      </c>
      <c r="O529" s="44" t="str">
        <v/>
      </c>
      <c r="P529" s="44" t="str">
        <v/>
      </c>
    </row>
    <row r="530" spans="1:16" x14ac:dyDescent="0.2">
      <c r="A530" s="58" t="str">
        <v/>
      </c>
      <c r="B530" s="131" t="str">
        <f>IFERROR(TIMEVALUE(DaqBook_RAW_Data!A520),"")</f>
        <v/>
      </c>
      <c r="C530" s="44" t="str">
        <v/>
      </c>
      <c r="D530" s="44" t="str">
        <v/>
      </c>
      <c r="E530" s="44" t="str">
        <v/>
      </c>
      <c r="F530" s="44" t="str">
        <v/>
      </c>
      <c r="G530" s="44" t="str">
        <v/>
      </c>
      <c r="H530" s="44" t="str">
        <v/>
      </c>
      <c r="I530" s="44" t="str">
        <v/>
      </c>
      <c r="J530" s="44" t="str">
        <v/>
      </c>
      <c r="K530" s="44" t="str">
        <v/>
      </c>
      <c r="L530" s="44" t="str">
        <v/>
      </c>
      <c r="M530" s="44" t="str">
        <v/>
      </c>
      <c r="N530" s="44" t="str">
        <v/>
      </c>
      <c r="O530" s="44" t="str">
        <v/>
      </c>
      <c r="P530" s="44" t="str">
        <v/>
      </c>
    </row>
    <row r="531" spans="1:16" x14ac:dyDescent="0.2">
      <c r="A531" s="58" t="str">
        <v/>
      </c>
      <c r="B531" s="131" t="str">
        <f>IFERROR(TIMEVALUE(DaqBook_RAW_Data!A521),"")</f>
        <v/>
      </c>
      <c r="C531" s="44" t="str">
        <v/>
      </c>
      <c r="D531" s="44" t="str">
        <v/>
      </c>
      <c r="E531" s="44" t="str">
        <v/>
      </c>
      <c r="F531" s="44" t="str">
        <v/>
      </c>
      <c r="G531" s="44" t="str">
        <v/>
      </c>
      <c r="H531" s="44" t="str">
        <v/>
      </c>
      <c r="I531" s="44" t="str">
        <v/>
      </c>
      <c r="J531" s="44" t="str">
        <v/>
      </c>
      <c r="K531" s="44" t="str">
        <v/>
      </c>
      <c r="L531" s="44" t="str">
        <v/>
      </c>
      <c r="M531" s="44" t="str">
        <v/>
      </c>
      <c r="N531" s="44" t="str">
        <v/>
      </c>
      <c r="O531" s="44" t="str">
        <v/>
      </c>
      <c r="P531" s="44" t="str">
        <v/>
      </c>
    </row>
    <row r="532" spans="1:16" x14ac:dyDescent="0.2">
      <c r="A532" s="58" t="str">
        <v/>
      </c>
      <c r="B532" s="131" t="str">
        <f>IFERROR(TIMEVALUE(DaqBook_RAW_Data!A522),"")</f>
        <v/>
      </c>
      <c r="C532" s="44" t="str">
        <v/>
      </c>
      <c r="D532" s="44" t="str">
        <v/>
      </c>
      <c r="E532" s="44" t="str">
        <v/>
      </c>
      <c r="F532" s="44" t="str">
        <v/>
      </c>
      <c r="G532" s="44" t="str">
        <v/>
      </c>
      <c r="H532" s="44" t="str">
        <v/>
      </c>
      <c r="I532" s="44" t="str">
        <v/>
      </c>
      <c r="J532" s="44" t="str">
        <v/>
      </c>
      <c r="K532" s="44" t="str">
        <v/>
      </c>
      <c r="L532" s="44" t="str">
        <v/>
      </c>
      <c r="M532" s="44" t="str">
        <v/>
      </c>
      <c r="N532" s="44" t="str">
        <v/>
      </c>
      <c r="O532" s="44" t="str">
        <v/>
      </c>
      <c r="P532" s="44" t="str">
        <v/>
      </c>
    </row>
    <row r="533" spans="1:16" x14ac:dyDescent="0.2">
      <c r="A533" s="58" t="str">
        <v/>
      </c>
      <c r="B533" s="131" t="str">
        <f>IFERROR(TIMEVALUE(DaqBook_RAW_Data!A523),"")</f>
        <v/>
      </c>
      <c r="C533" s="44" t="str">
        <v/>
      </c>
      <c r="D533" s="44" t="str">
        <v/>
      </c>
      <c r="E533" s="44" t="str">
        <v/>
      </c>
      <c r="F533" s="44" t="str">
        <v/>
      </c>
      <c r="G533" s="44" t="str">
        <v/>
      </c>
      <c r="H533" s="44" t="str">
        <v/>
      </c>
      <c r="I533" s="44" t="str">
        <v/>
      </c>
      <c r="J533" s="44" t="str">
        <v/>
      </c>
      <c r="K533" s="44" t="str">
        <v/>
      </c>
      <c r="L533" s="44" t="str">
        <v/>
      </c>
      <c r="M533" s="44" t="str">
        <v/>
      </c>
      <c r="N533" s="44" t="str">
        <v/>
      </c>
      <c r="O533" s="44" t="str">
        <v/>
      </c>
      <c r="P533" s="44" t="str">
        <v/>
      </c>
    </row>
    <row r="534" spans="1:16" x14ac:dyDescent="0.2">
      <c r="A534" s="58" t="str">
        <v/>
      </c>
      <c r="B534" s="131" t="str">
        <f>IFERROR(TIMEVALUE(DaqBook_RAW_Data!A524),"")</f>
        <v/>
      </c>
      <c r="C534" s="44" t="str">
        <v/>
      </c>
      <c r="D534" s="44" t="str">
        <v/>
      </c>
      <c r="E534" s="44" t="str">
        <v/>
      </c>
      <c r="F534" s="44" t="str">
        <v/>
      </c>
      <c r="G534" s="44" t="str">
        <v/>
      </c>
      <c r="H534" s="44" t="str">
        <v/>
      </c>
      <c r="I534" s="44" t="str">
        <v/>
      </c>
      <c r="J534" s="44" t="str">
        <v/>
      </c>
      <c r="K534" s="44" t="str">
        <v/>
      </c>
      <c r="L534" s="44" t="str">
        <v/>
      </c>
      <c r="M534" s="44" t="str">
        <v/>
      </c>
      <c r="N534" s="44" t="str">
        <v/>
      </c>
      <c r="O534" s="44" t="str">
        <v/>
      </c>
      <c r="P534" s="44" t="str">
        <v/>
      </c>
    </row>
    <row r="535" spans="1:16" x14ac:dyDescent="0.2">
      <c r="A535" s="58" t="str">
        <v/>
      </c>
      <c r="B535" s="131" t="str">
        <f>IFERROR(TIMEVALUE(DaqBook_RAW_Data!A525),"")</f>
        <v/>
      </c>
      <c r="C535" s="44" t="str">
        <v/>
      </c>
      <c r="D535" s="44" t="str">
        <v/>
      </c>
      <c r="E535" s="44" t="str">
        <v/>
      </c>
      <c r="F535" s="44" t="str">
        <v/>
      </c>
      <c r="G535" s="44" t="str">
        <v/>
      </c>
      <c r="H535" s="44" t="str">
        <v/>
      </c>
      <c r="I535" s="44" t="str">
        <v/>
      </c>
      <c r="J535" s="44" t="str">
        <v/>
      </c>
      <c r="K535" s="44" t="str">
        <v/>
      </c>
      <c r="L535" s="44" t="str">
        <v/>
      </c>
      <c r="M535" s="44" t="str">
        <v/>
      </c>
      <c r="N535" s="44" t="str">
        <v/>
      </c>
      <c r="O535" s="44" t="str">
        <v/>
      </c>
      <c r="P535" s="44" t="str">
        <v/>
      </c>
    </row>
    <row r="536" spans="1:16" x14ac:dyDescent="0.2">
      <c r="A536" s="58" t="str">
        <v/>
      </c>
      <c r="B536" s="131" t="str">
        <f>IFERROR(TIMEVALUE(DaqBook_RAW_Data!A526),"")</f>
        <v/>
      </c>
      <c r="C536" s="44" t="str">
        <v/>
      </c>
      <c r="D536" s="44" t="str">
        <v/>
      </c>
      <c r="E536" s="44" t="str">
        <v/>
      </c>
      <c r="F536" s="44" t="str">
        <v/>
      </c>
      <c r="G536" s="44" t="str">
        <v/>
      </c>
      <c r="H536" s="44" t="str">
        <v/>
      </c>
      <c r="I536" s="44" t="str">
        <v/>
      </c>
      <c r="J536" s="44" t="str">
        <v/>
      </c>
      <c r="K536" s="44" t="str">
        <v/>
      </c>
      <c r="L536" s="44" t="str">
        <v/>
      </c>
      <c r="M536" s="44" t="str">
        <v/>
      </c>
      <c r="N536" s="44" t="str">
        <v/>
      </c>
      <c r="O536" s="44" t="str">
        <v/>
      </c>
      <c r="P536" s="44" t="str">
        <v/>
      </c>
    </row>
    <row r="537" spans="1:16" x14ac:dyDescent="0.2">
      <c r="A537" s="58" t="str">
        <v/>
      </c>
      <c r="B537" s="131" t="str">
        <f>IFERROR(TIMEVALUE(DaqBook_RAW_Data!A527),"")</f>
        <v/>
      </c>
      <c r="C537" s="44" t="str">
        <v/>
      </c>
      <c r="D537" s="44" t="str">
        <v/>
      </c>
      <c r="E537" s="44" t="str">
        <v/>
      </c>
      <c r="F537" s="44" t="str">
        <v/>
      </c>
      <c r="G537" s="44" t="str">
        <v/>
      </c>
      <c r="H537" s="44" t="str">
        <v/>
      </c>
      <c r="I537" s="44" t="str">
        <v/>
      </c>
      <c r="J537" s="44" t="str">
        <v/>
      </c>
      <c r="K537" s="44" t="str">
        <v/>
      </c>
      <c r="L537" s="44" t="str">
        <v/>
      </c>
      <c r="M537" s="44" t="str">
        <v/>
      </c>
      <c r="N537" s="44" t="str">
        <v/>
      </c>
      <c r="O537" s="44" t="str">
        <v/>
      </c>
      <c r="P537" s="44" t="str">
        <v/>
      </c>
    </row>
    <row r="538" spans="1:16" x14ac:dyDescent="0.2">
      <c r="A538" s="58" t="str">
        <v/>
      </c>
      <c r="B538" s="131" t="str">
        <f>IFERROR(TIMEVALUE(DaqBook_RAW_Data!A528),"")</f>
        <v/>
      </c>
      <c r="C538" s="44" t="str">
        <v/>
      </c>
      <c r="D538" s="44" t="str">
        <v/>
      </c>
      <c r="E538" s="44" t="str">
        <v/>
      </c>
      <c r="F538" s="44" t="str">
        <v/>
      </c>
      <c r="G538" s="44" t="str">
        <v/>
      </c>
      <c r="H538" s="44" t="str">
        <v/>
      </c>
      <c r="I538" s="44" t="str">
        <v/>
      </c>
      <c r="J538" s="44" t="str">
        <v/>
      </c>
      <c r="K538" s="44" t="str">
        <v/>
      </c>
      <c r="L538" s="44" t="str">
        <v/>
      </c>
      <c r="M538" s="44" t="str">
        <v/>
      </c>
      <c r="N538" s="44" t="str">
        <v/>
      </c>
      <c r="O538" s="44" t="str">
        <v/>
      </c>
      <c r="P538" s="44" t="str">
        <v/>
      </c>
    </row>
    <row r="539" spans="1:16" x14ac:dyDescent="0.2">
      <c r="A539" s="58" t="str">
        <v/>
      </c>
      <c r="B539" s="131" t="str">
        <f>IFERROR(TIMEVALUE(DaqBook_RAW_Data!A529),"")</f>
        <v/>
      </c>
      <c r="C539" s="44" t="str">
        <v/>
      </c>
      <c r="D539" s="44" t="str">
        <v/>
      </c>
      <c r="E539" s="44" t="str">
        <v/>
      </c>
      <c r="F539" s="44" t="str">
        <v/>
      </c>
      <c r="G539" s="44" t="str">
        <v/>
      </c>
      <c r="H539" s="44" t="str">
        <v/>
      </c>
      <c r="I539" s="44" t="str">
        <v/>
      </c>
      <c r="J539" s="44" t="str">
        <v/>
      </c>
      <c r="K539" s="44" t="str">
        <v/>
      </c>
      <c r="L539" s="44" t="str">
        <v/>
      </c>
      <c r="M539" s="44" t="str">
        <v/>
      </c>
      <c r="N539" s="44" t="str">
        <v/>
      </c>
      <c r="O539" s="44" t="str">
        <v/>
      </c>
      <c r="P539" s="44" t="str">
        <v/>
      </c>
    </row>
    <row r="540" spans="1:16" x14ac:dyDescent="0.2">
      <c r="A540" s="58" t="str">
        <v/>
      </c>
      <c r="B540" s="131" t="str">
        <f>IFERROR(TIMEVALUE(DaqBook_RAW_Data!A530),"")</f>
        <v/>
      </c>
      <c r="C540" s="44" t="str">
        <v/>
      </c>
      <c r="D540" s="44" t="str">
        <v/>
      </c>
      <c r="E540" s="44" t="str">
        <v/>
      </c>
      <c r="F540" s="44" t="str">
        <v/>
      </c>
      <c r="G540" s="44" t="str">
        <v/>
      </c>
      <c r="H540" s="44" t="str">
        <v/>
      </c>
      <c r="I540" s="44" t="str">
        <v/>
      </c>
      <c r="J540" s="44" t="str">
        <v/>
      </c>
      <c r="K540" s="44" t="str">
        <v/>
      </c>
      <c r="L540" s="44" t="str">
        <v/>
      </c>
      <c r="M540" s="44" t="str">
        <v/>
      </c>
      <c r="N540" s="44" t="str">
        <v/>
      </c>
      <c r="O540" s="44" t="str">
        <v/>
      </c>
      <c r="P540" s="44" t="str">
        <v/>
      </c>
    </row>
    <row r="541" spans="1:16" x14ac:dyDescent="0.2">
      <c r="A541" s="58" t="str">
        <v/>
      </c>
      <c r="B541" s="131" t="str">
        <f>IFERROR(TIMEVALUE(DaqBook_RAW_Data!A531),"")</f>
        <v/>
      </c>
      <c r="C541" s="44" t="str">
        <v/>
      </c>
      <c r="D541" s="44" t="str">
        <v/>
      </c>
      <c r="E541" s="44" t="str">
        <v/>
      </c>
      <c r="F541" s="44" t="str">
        <v/>
      </c>
      <c r="G541" s="44" t="str">
        <v/>
      </c>
      <c r="H541" s="44" t="str">
        <v/>
      </c>
      <c r="I541" s="44" t="str">
        <v/>
      </c>
      <c r="J541" s="44" t="str">
        <v/>
      </c>
      <c r="K541" s="44" t="str">
        <v/>
      </c>
      <c r="L541" s="44" t="str">
        <v/>
      </c>
      <c r="M541" s="44" t="str">
        <v/>
      </c>
      <c r="N541" s="44" t="str">
        <v/>
      </c>
      <c r="O541" s="44" t="str">
        <v/>
      </c>
      <c r="P541" s="44" t="str">
        <v/>
      </c>
    </row>
    <row r="542" spans="1:16" x14ac:dyDescent="0.2">
      <c r="A542" s="58" t="str">
        <v/>
      </c>
      <c r="B542" s="131" t="str">
        <f>IFERROR(TIMEVALUE(DaqBook_RAW_Data!A532),"")</f>
        <v/>
      </c>
      <c r="C542" s="44" t="str">
        <v/>
      </c>
      <c r="D542" s="44" t="str">
        <v/>
      </c>
      <c r="E542" s="44" t="str">
        <v/>
      </c>
      <c r="F542" s="44" t="str">
        <v/>
      </c>
      <c r="G542" s="44" t="str">
        <v/>
      </c>
      <c r="H542" s="44" t="str">
        <v/>
      </c>
      <c r="I542" s="44" t="str">
        <v/>
      </c>
      <c r="J542" s="44" t="str">
        <v/>
      </c>
      <c r="K542" s="44" t="str">
        <v/>
      </c>
      <c r="L542" s="44" t="str">
        <v/>
      </c>
      <c r="M542" s="44" t="str">
        <v/>
      </c>
      <c r="N542" s="44" t="str">
        <v/>
      </c>
      <c r="O542" s="44" t="str">
        <v/>
      </c>
      <c r="P542" s="44" t="str">
        <v/>
      </c>
    </row>
    <row r="543" spans="1:16" x14ac:dyDescent="0.2">
      <c r="A543" s="58" t="str">
        <v/>
      </c>
      <c r="B543" s="131" t="str">
        <f>IFERROR(TIMEVALUE(DaqBook_RAW_Data!A533),"")</f>
        <v/>
      </c>
      <c r="C543" s="44" t="str">
        <v/>
      </c>
      <c r="D543" s="44" t="str">
        <v/>
      </c>
      <c r="E543" s="44" t="str">
        <v/>
      </c>
      <c r="F543" s="44" t="str">
        <v/>
      </c>
      <c r="G543" s="44" t="str">
        <v/>
      </c>
      <c r="H543" s="44" t="str">
        <v/>
      </c>
      <c r="I543" s="44" t="str">
        <v/>
      </c>
      <c r="J543" s="44" t="str">
        <v/>
      </c>
      <c r="K543" s="44" t="str">
        <v/>
      </c>
      <c r="L543" s="44" t="str">
        <v/>
      </c>
      <c r="M543" s="44" t="str">
        <v/>
      </c>
      <c r="N543" s="44" t="str">
        <v/>
      </c>
      <c r="O543" s="44" t="str">
        <v/>
      </c>
      <c r="P543" s="44" t="str">
        <v/>
      </c>
    </row>
    <row r="544" spans="1:16" x14ac:dyDescent="0.2">
      <c r="A544" s="58" t="str">
        <v/>
      </c>
      <c r="B544" s="131" t="str">
        <f>IFERROR(TIMEVALUE(DaqBook_RAW_Data!A534),"")</f>
        <v/>
      </c>
      <c r="C544" s="44" t="str">
        <v/>
      </c>
      <c r="D544" s="44" t="str">
        <v/>
      </c>
      <c r="E544" s="44" t="str">
        <v/>
      </c>
      <c r="F544" s="44" t="str">
        <v/>
      </c>
      <c r="G544" s="44" t="str">
        <v/>
      </c>
      <c r="H544" s="44" t="str">
        <v/>
      </c>
      <c r="I544" s="44" t="str">
        <v/>
      </c>
      <c r="J544" s="44" t="str">
        <v/>
      </c>
      <c r="K544" s="44" t="str">
        <v/>
      </c>
      <c r="L544" s="44" t="str">
        <v/>
      </c>
      <c r="M544" s="44" t="str">
        <v/>
      </c>
      <c r="N544" s="44" t="str">
        <v/>
      </c>
      <c r="O544" s="44" t="str">
        <v/>
      </c>
      <c r="P544" s="44" t="str">
        <v/>
      </c>
    </row>
    <row r="545" spans="1:16" x14ac:dyDescent="0.2">
      <c r="A545" s="58" t="str">
        <v/>
      </c>
      <c r="B545" s="131" t="str">
        <f>IFERROR(TIMEVALUE(DaqBook_RAW_Data!A535),"")</f>
        <v/>
      </c>
      <c r="C545" s="44" t="str">
        <v/>
      </c>
      <c r="D545" s="44" t="str">
        <v/>
      </c>
      <c r="E545" s="44" t="str">
        <v/>
      </c>
      <c r="F545" s="44" t="str">
        <v/>
      </c>
      <c r="G545" s="44" t="str">
        <v/>
      </c>
      <c r="H545" s="44" t="str">
        <v/>
      </c>
      <c r="I545" s="44" t="str">
        <v/>
      </c>
      <c r="J545" s="44" t="str">
        <v/>
      </c>
      <c r="K545" s="44" t="str">
        <v/>
      </c>
      <c r="L545" s="44" t="str">
        <v/>
      </c>
      <c r="M545" s="44" t="str">
        <v/>
      </c>
      <c r="N545" s="44" t="str">
        <v/>
      </c>
      <c r="O545" s="44" t="str">
        <v/>
      </c>
      <c r="P545" s="44" t="str">
        <v/>
      </c>
    </row>
    <row r="546" spans="1:16" x14ac:dyDescent="0.2">
      <c r="A546" s="58" t="str">
        <v/>
      </c>
      <c r="B546" s="131" t="str">
        <f>IFERROR(TIMEVALUE(DaqBook_RAW_Data!A536),"")</f>
        <v/>
      </c>
      <c r="C546" s="44" t="str">
        <v/>
      </c>
      <c r="D546" s="44" t="str">
        <v/>
      </c>
      <c r="E546" s="44" t="str">
        <v/>
      </c>
      <c r="F546" s="44" t="str">
        <v/>
      </c>
      <c r="G546" s="44" t="str">
        <v/>
      </c>
      <c r="H546" s="44" t="str">
        <v/>
      </c>
      <c r="I546" s="44" t="str">
        <v/>
      </c>
      <c r="J546" s="44" t="str">
        <v/>
      </c>
      <c r="K546" s="44" t="str">
        <v/>
      </c>
      <c r="L546" s="44" t="str">
        <v/>
      </c>
      <c r="M546" s="44" t="str">
        <v/>
      </c>
      <c r="N546" s="44" t="str">
        <v/>
      </c>
      <c r="O546" s="44" t="str">
        <v/>
      </c>
      <c r="P546" s="44" t="str">
        <v/>
      </c>
    </row>
    <row r="547" spans="1:16" x14ac:dyDescent="0.2">
      <c r="A547" s="58" t="str">
        <v/>
      </c>
      <c r="B547" s="131" t="str">
        <f>IFERROR(TIMEVALUE(DaqBook_RAW_Data!A537),"")</f>
        <v/>
      </c>
      <c r="C547" s="44" t="str">
        <v/>
      </c>
      <c r="D547" s="44" t="str">
        <v/>
      </c>
      <c r="E547" s="44" t="str">
        <v/>
      </c>
      <c r="F547" s="44" t="str">
        <v/>
      </c>
      <c r="G547" s="44" t="str">
        <v/>
      </c>
      <c r="H547" s="44" t="str">
        <v/>
      </c>
      <c r="I547" s="44" t="str">
        <v/>
      </c>
      <c r="J547" s="44" t="str">
        <v/>
      </c>
      <c r="K547" s="44" t="str">
        <v/>
      </c>
      <c r="L547" s="44" t="str">
        <v/>
      </c>
      <c r="M547" s="44" t="str">
        <v/>
      </c>
      <c r="N547" s="44" t="str">
        <v/>
      </c>
      <c r="O547" s="44" t="str">
        <v/>
      </c>
      <c r="P547" s="44" t="str">
        <v/>
      </c>
    </row>
    <row r="548" spans="1:16" x14ac:dyDescent="0.2">
      <c r="A548" s="58" t="str">
        <v/>
      </c>
      <c r="B548" s="131" t="str">
        <f>IFERROR(TIMEVALUE(DaqBook_RAW_Data!A538),"")</f>
        <v/>
      </c>
      <c r="C548" s="44" t="str">
        <v/>
      </c>
      <c r="D548" s="44" t="str">
        <v/>
      </c>
      <c r="E548" s="44" t="str">
        <v/>
      </c>
      <c r="F548" s="44" t="str">
        <v/>
      </c>
      <c r="G548" s="44" t="str">
        <v/>
      </c>
      <c r="H548" s="44" t="str">
        <v/>
      </c>
      <c r="I548" s="44" t="str">
        <v/>
      </c>
      <c r="J548" s="44" t="str">
        <v/>
      </c>
      <c r="K548" s="44" t="str">
        <v/>
      </c>
      <c r="L548" s="44" t="str">
        <v/>
      </c>
      <c r="M548" s="44" t="str">
        <v/>
      </c>
      <c r="N548" s="44" t="str">
        <v/>
      </c>
      <c r="O548" s="44" t="str">
        <v/>
      </c>
      <c r="P548" s="44" t="str">
        <v/>
      </c>
    </row>
    <row r="549" spans="1:16" x14ac:dyDescent="0.2">
      <c r="A549" s="58" t="str">
        <v/>
      </c>
      <c r="B549" s="131" t="str">
        <f>IFERROR(TIMEVALUE(DaqBook_RAW_Data!A539),"")</f>
        <v/>
      </c>
      <c r="C549" s="44" t="str">
        <v/>
      </c>
      <c r="D549" s="44" t="str">
        <v/>
      </c>
      <c r="E549" s="44" t="str">
        <v/>
      </c>
      <c r="F549" s="44" t="str">
        <v/>
      </c>
      <c r="G549" s="44" t="str">
        <v/>
      </c>
      <c r="H549" s="44" t="str">
        <v/>
      </c>
      <c r="I549" s="44" t="str">
        <v/>
      </c>
      <c r="J549" s="44" t="str">
        <v/>
      </c>
      <c r="K549" s="44" t="str">
        <v/>
      </c>
      <c r="L549" s="44" t="str">
        <v/>
      </c>
      <c r="M549" s="44" t="str">
        <v/>
      </c>
      <c r="N549" s="44" t="str">
        <v/>
      </c>
      <c r="O549" s="44" t="str">
        <v/>
      </c>
      <c r="P549" s="44" t="str">
        <v/>
      </c>
    </row>
    <row r="550" spans="1:16" x14ac:dyDescent="0.2">
      <c r="A550" s="58" t="str">
        <v/>
      </c>
      <c r="B550" s="131" t="str">
        <f>IFERROR(TIMEVALUE(DaqBook_RAW_Data!A540),"")</f>
        <v/>
      </c>
      <c r="C550" s="44" t="str">
        <v/>
      </c>
      <c r="D550" s="44" t="str">
        <v/>
      </c>
      <c r="E550" s="44" t="str">
        <v/>
      </c>
      <c r="F550" s="44" t="str">
        <v/>
      </c>
      <c r="G550" s="44" t="str">
        <v/>
      </c>
      <c r="H550" s="44" t="str">
        <v/>
      </c>
      <c r="I550" s="44" t="str">
        <v/>
      </c>
      <c r="J550" s="44" t="str">
        <v/>
      </c>
      <c r="K550" s="44" t="str">
        <v/>
      </c>
      <c r="L550" s="44" t="str">
        <v/>
      </c>
      <c r="M550" s="44" t="str">
        <v/>
      </c>
      <c r="N550" s="44" t="str">
        <v/>
      </c>
      <c r="O550" s="44" t="str">
        <v/>
      </c>
      <c r="P550" s="44" t="str">
        <v/>
      </c>
    </row>
    <row r="551" spans="1:16" x14ac:dyDescent="0.2">
      <c r="A551" s="58" t="str">
        <v/>
      </c>
      <c r="B551" s="131" t="str">
        <f>IFERROR(TIMEVALUE(DaqBook_RAW_Data!A541),"")</f>
        <v/>
      </c>
      <c r="C551" s="44" t="str">
        <v/>
      </c>
      <c r="D551" s="44" t="str">
        <v/>
      </c>
      <c r="E551" s="44" t="str">
        <v/>
      </c>
      <c r="F551" s="44" t="str">
        <v/>
      </c>
      <c r="G551" s="44" t="str">
        <v/>
      </c>
      <c r="H551" s="44" t="str">
        <v/>
      </c>
      <c r="I551" s="44" t="str">
        <v/>
      </c>
      <c r="J551" s="44" t="str">
        <v/>
      </c>
      <c r="K551" s="44" t="str">
        <v/>
      </c>
      <c r="L551" s="44" t="str">
        <v/>
      </c>
      <c r="M551" s="44" t="str">
        <v/>
      </c>
      <c r="N551" s="44" t="str">
        <v/>
      </c>
      <c r="O551" s="44" t="str">
        <v/>
      </c>
      <c r="P551" s="44" t="str">
        <v/>
      </c>
    </row>
    <row r="552" spans="1:16" x14ac:dyDescent="0.2">
      <c r="A552" s="58" t="str">
        <v/>
      </c>
      <c r="B552" s="131" t="str">
        <f>IFERROR(TIMEVALUE(DaqBook_RAW_Data!A542),"")</f>
        <v/>
      </c>
      <c r="C552" s="44" t="str">
        <v/>
      </c>
      <c r="D552" s="44" t="str">
        <v/>
      </c>
      <c r="E552" s="44" t="str">
        <v/>
      </c>
      <c r="F552" s="44" t="str">
        <v/>
      </c>
      <c r="G552" s="44" t="str">
        <v/>
      </c>
      <c r="H552" s="44" t="str">
        <v/>
      </c>
      <c r="I552" s="44" t="str">
        <v/>
      </c>
      <c r="J552" s="44" t="str">
        <v/>
      </c>
      <c r="K552" s="44" t="str">
        <v/>
      </c>
      <c r="L552" s="44" t="str">
        <v/>
      </c>
      <c r="M552" s="44" t="str">
        <v/>
      </c>
      <c r="N552" s="44" t="str">
        <v/>
      </c>
      <c r="O552" s="44" t="str">
        <v/>
      </c>
      <c r="P552" s="44" t="str">
        <v/>
      </c>
    </row>
    <row r="553" spans="1:16" x14ac:dyDescent="0.2">
      <c r="A553" s="58" t="str">
        <v/>
      </c>
      <c r="B553" s="131" t="str">
        <f>IFERROR(TIMEVALUE(DaqBook_RAW_Data!A543),"")</f>
        <v/>
      </c>
      <c r="C553" s="44" t="str">
        <v/>
      </c>
      <c r="D553" s="44" t="str">
        <v/>
      </c>
      <c r="E553" s="44" t="str">
        <v/>
      </c>
      <c r="F553" s="44" t="str">
        <v/>
      </c>
      <c r="G553" s="44" t="str">
        <v/>
      </c>
      <c r="H553" s="44" t="str">
        <v/>
      </c>
      <c r="I553" s="44" t="str">
        <v/>
      </c>
      <c r="J553" s="44" t="str">
        <v/>
      </c>
      <c r="K553" s="44" t="str">
        <v/>
      </c>
      <c r="L553" s="44" t="str">
        <v/>
      </c>
      <c r="M553" s="44" t="str">
        <v/>
      </c>
      <c r="N553" s="44" t="str">
        <v/>
      </c>
      <c r="O553" s="44" t="str">
        <v/>
      </c>
      <c r="P553" s="44" t="str">
        <v/>
      </c>
    </row>
    <row r="554" spans="1:16" x14ac:dyDescent="0.2">
      <c r="A554" s="58" t="str">
        <v/>
      </c>
      <c r="B554" s="131" t="str">
        <f>IFERROR(TIMEVALUE(DaqBook_RAW_Data!A544),"")</f>
        <v/>
      </c>
      <c r="C554" s="44" t="str">
        <v/>
      </c>
      <c r="D554" s="44" t="str">
        <v/>
      </c>
      <c r="E554" s="44" t="str">
        <v/>
      </c>
      <c r="F554" s="44" t="str">
        <v/>
      </c>
      <c r="G554" s="44" t="str">
        <v/>
      </c>
      <c r="H554" s="44" t="str">
        <v/>
      </c>
      <c r="I554" s="44" t="str">
        <v/>
      </c>
      <c r="J554" s="44" t="str">
        <v/>
      </c>
      <c r="K554" s="44" t="str">
        <v/>
      </c>
      <c r="L554" s="44" t="str">
        <v/>
      </c>
      <c r="M554" s="44" t="str">
        <v/>
      </c>
      <c r="N554" s="44" t="str">
        <v/>
      </c>
      <c r="O554" s="44" t="str">
        <v/>
      </c>
      <c r="P554" s="44" t="str">
        <v/>
      </c>
    </row>
    <row r="555" spans="1:16" x14ac:dyDescent="0.2">
      <c r="A555" s="58" t="str">
        <v/>
      </c>
      <c r="B555" s="131" t="str">
        <f>IFERROR(TIMEVALUE(DaqBook_RAW_Data!A545),"")</f>
        <v/>
      </c>
      <c r="C555" s="44" t="str">
        <v/>
      </c>
      <c r="D555" s="44" t="str">
        <v/>
      </c>
      <c r="E555" s="44" t="str">
        <v/>
      </c>
      <c r="F555" s="44" t="str">
        <v/>
      </c>
      <c r="G555" s="44" t="str">
        <v/>
      </c>
      <c r="H555" s="44" t="str">
        <v/>
      </c>
      <c r="I555" s="44" t="str">
        <v/>
      </c>
      <c r="J555" s="44" t="str">
        <v/>
      </c>
      <c r="K555" s="44" t="str">
        <v/>
      </c>
      <c r="L555" s="44" t="str">
        <v/>
      </c>
      <c r="M555" s="44" t="str">
        <v/>
      </c>
      <c r="N555" s="44" t="str">
        <v/>
      </c>
      <c r="O555" s="44" t="str">
        <v/>
      </c>
      <c r="P555" s="44" t="str">
        <v/>
      </c>
    </row>
    <row r="556" spans="1:16" x14ac:dyDescent="0.2">
      <c r="A556" s="58" t="str">
        <v/>
      </c>
      <c r="B556" s="131" t="str">
        <f>IFERROR(TIMEVALUE(DaqBook_RAW_Data!A546),"")</f>
        <v/>
      </c>
      <c r="C556" s="44" t="str">
        <v/>
      </c>
      <c r="D556" s="44" t="str">
        <v/>
      </c>
      <c r="E556" s="44" t="str">
        <v/>
      </c>
      <c r="F556" s="44" t="str">
        <v/>
      </c>
      <c r="G556" s="44" t="str">
        <v/>
      </c>
      <c r="H556" s="44" t="str">
        <v/>
      </c>
      <c r="I556" s="44" t="str">
        <v/>
      </c>
      <c r="J556" s="44" t="str">
        <v/>
      </c>
      <c r="K556" s="44" t="str">
        <v/>
      </c>
      <c r="L556" s="44" t="str">
        <v/>
      </c>
      <c r="M556" s="44" t="str">
        <v/>
      </c>
      <c r="N556" s="44" t="str">
        <v/>
      </c>
      <c r="O556" s="44" t="str">
        <v/>
      </c>
      <c r="P556" s="44" t="str">
        <v/>
      </c>
    </row>
    <row r="557" spans="1:16" x14ac:dyDescent="0.2">
      <c r="A557" s="58" t="str">
        <v/>
      </c>
      <c r="B557" s="131" t="str">
        <f>IFERROR(TIMEVALUE(DaqBook_RAW_Data!A547),"")</f>
        <v/>
      </c>
      <c r="C557" s="44" t="str">
        <v/>
      </c>
      <c r="D557" s="44" t="str">
        <v/>
      </c>
      <c r="E557" s="44" t="str">
        <v/>
      </c>
      <c r="F557" s="44" t="str">
        <v/>
      </c>
      <c r="G557" s="44" t="str">
        <v/>
      </c>
      <c r="H557" s="44" t="str">
        <v/>
      </c>
      <c r="I557" s="44" t="str">
        <v/>
      </c>
      <c r="J557" s="44" t="str">
        <v/>
      </c>
      <c r="K557" s="44" t="str">
        <v/>
      </c>
      <c r="L557" s="44" t="str">
        <v/>
      </c>
      <c r="M557" s="44" t="str">
        <v/>
      </c>
      <c r="N557" s="44" t="str">
        <v/>
      </c>
      <c r="O557" s="44" t="str">
        <v/>
      </c>
      <c r="P557" s="44" t="str">
        <v/>
      </c>
    </row>
    <row r="558" spans="1:16" x14ac:dyDescent="0.2">
      <c r="A558" s="58" t="str">
        <v/>
      </c>
      <c r="B558" s="131" t="str">
        <f>IFERROR(TIMEVALUE(DaqBook_RAW_Data!A548),"")</f>
        <v/>
      </c>
      <c r="C558" s="44" t="str">
        <v/>
      </c>
      <c r="D558" s="44" t="str">
        <v/>
      </c>
      <c r="E558" s="44" t="str">
        <v/>
      </c>
      <c r="F558" s="44" t="str">
        <v/>
      </c>
      <c r="G558" s="44" t="str">
        <v/>
      </c>
      <c r="H558" s="44" t="str">
        <v/>
      </c>
      <c r="I558" s="44" t="str">
        <v/>
      </c>
      <c r="J558" s="44" t="str">
        <v/>
      </c>
      <c r="K558" s="44" t="str">
        <v/>
      </c>
      <c r="L558" s="44" t="str">
        <v/>
      </c>
      <c r="M558" s="44" t="str">
        <v/>
      </c>
      <c r="N558" s="44" t="str">
        <v/>
      </c>
      <c r="O558" s="44" t="str">
        <v/>
      </c>
      <c r="P558" s="44" t="str">
        <v/>
      </c>
    </row>
    <row r="559" spans="1:16" x14ac:dyDescent="0.2">
      <c r="A559" s="58" t="str">
        <v/>
      </c>
      <c r="B559" s="131" t="str">
        <f>IFERROR(TIMEVALUE(DaqBook_RAW_Data!A549),"")</f>
        <v/>
      </c>
      <c r="C559" s="44" t="str">
        <v/>
      </c>
      <c r="D559" s="44" t="str">
        <v/>
      </c>
      <c r="E559" s="44" t="str">
        <v/>
      </c>
      <c r="F559" s="44" t="str">
        <v/>
      </c>
      <c r="G559" s="44" t="str">
        <v/>
      </c>
      <c r="H559" s="44" t="str">
        <v/>
      </c>
      <c r="I559" s="44" t="str">
        <v/>
      </c>
      <c r="J559" s="44" t="str">
        <v/>
      </c>
      <c r="K559" s="44" t="str">
        <v/>
      </c>
      <c r="L559" s="44" t="str">
        <v/>
      </c>
      <c r="M559" s="44" t="str">
        <v/>
      </c>
      <c r="N559" s="44" t="str">
        <v/>
      </c>
      <c r="O559" s="44" t="str">
        <v/>
      </c>
      <c r="P559" s="44" t="str">
        <v/>
      </c>
    </row>
    <row r="560" spans="1:16" x14ac:dyDescent="0.2">
      <c r="A560" s="58" t="str">
        <v/>
      </c>
      <c r="B560" s="131" t="str">
        <f>IFERROR(TIMEVALUE(DaqBook_RAW_Data!A550),"")</f>
        <v/>
      </c>
      <c r="C560" s="44" t="str">
        <v/>
      </c>
      <c r="D560" s="44" t="str">
        <v/>
      </c>
      <c r="E560" s="44" t="str">
        <v/>
      </c>
      <c r="F560" s="44" t="str">
        <v/>
      </c>
      <c r="G560" s="44" t="str">
        <v/>
      </c>
      <c r="H560" s="44" t="str">
        <v/>
      </c>
      <c r="I560" s="44" t="str">
        <v/>
      </c>
      <c r="J560" s="44" t="str">
        <v/>
      </c>
      <c r="K560" s="44" t="str">
        <v/>
      </c>
      <c r="L560" s="44" t="str">
        <v/>
      </c>
      <c r="M560" s="44" t="str">
        <v/>
      </c>
      <c r="N560" s="44" t="str">
        <v/>
      </c>
      <c r="O560" s="44" t="str">
        <v/>
      </c>
      <c r="P560" s="44" t="str">
        <v/>
      </c>
    </row>
    <row r="561" spans="1:16" x14ac:dyDescent="0.2">
      <c r="A561" s="58" t="str">
        <v/>
      </c>
      <c r="B561" s="131" t="str">
        <f>IFERROR(TIMEVALUE(DaqBook_RAW_Data!A551),"")</f>
        <v/>
      </c>
      <c r="C561" s="44" t="str">
        <v/>
      </c>
      <c r="D561" s="44" t="str">
        <v/>
      </c>
      <c r="E561" s="44" t="str">
        <v/>
      </c>
      <c r="F561" s="44" t="str">
        <v/>
      </c>
      <c r="G561" s="44" t="str">
        <v/>
      </c>
      <c r="H561" s="44" t="str">
        <v/>
      </c>
      <c r="I561" s="44" t="str">
        <v/>
      </c>
      <c r="J561" s="44" t="str">
        <v/>
      </c>
      <c r="K561" s="44" t="str">
        <v/>
      </c>
      <c r="L561" s="44" t="str">
        <v/>
      </c>
      <c r="M561" s="44" t="str">
        <v/>
      </c>
      <c r="N561" s="44" t="str">
        <v/>
      </c>
      <c r="O561" s="44" t="str">
        <v/>
      </c>
      <c r="P561" s="44" t="str">
        <v/>
      </c>
    </row>
    <row r="562" spans="1:16" x14ac:dyDescent="0.2">
      <c r="A562" s="58" t="str">
        <v/>
      </c>
      <c r="B562" s="131" t="str">
        <f>IFERROR(TIMEVALUE(DaqBook_RAW_Data!A552),"")</f>
        <v/>
      </c>
      <c r="C562" s="44" t="str">
        <v/>
      </c>
      <c r="D562" s="44" t="str">
        <v/>
      </c>
      <c r="E562" s="44" t="str">
        <v/>
      </c>
      <c r="F562" s="44" t="str">
        <v/>
      </c>
      <c r="G562" s="44" t="str">
        <v/>
      </c>
      <c r="H562" s="44" t="str">
        <v/>
      </c>
      <c r="I562" s="44" t="str">
        <v/>
      </c>
      <c r="J562" s="44" t="str">
        <v/>
      </c>
      <c r="K562" s="44" t="str">
        <v/>
      </c>
      <c r="L562" s="44" t="str">
        <v/>
      </c>
      <c r="M562" s="44" t="str">
        <v/>
      </c>
      <c r="N562" s="44" t="str">
        <v/>
      </c>
      <c r="O562" s="44" t="str">
        <v/>
      </c>
      <c r="P562" s="44" t="str">
        <v/>
      </c>
    </row>
    <row r="563" spans="1:16" x14ac:dyDescent="0.2">
      <c r="A563" s="58" t="str">
        <v/>
      </c>
      <c r="B563" s="131" t="str">
        <f>IFERROR(TIMEVALUE(DaqBook_RAW_Data!A553),"")</f>
        <v/>
      </c>
      <c r="C563" s="44" t="str">
        <v/>
      </c>
      <c r="D563" s="44" t="str">
        <v/>
      </c>
      <c r="E563" s="44" t="str">
        <v/>
      </c>
      <c r="F563" s="44" t="str">
        <v/>
      </c>
      <c r="G563" s="44" t="str">
        <v/>
      </c>
      <c r="H563" s="44" t="str">
        <v/>
      </c>
      <c r="I563" s="44" t="str">
        <v/>
      </c>
      <c r="J563" s="44" t="str">
        <v/>
      </c>
      <c r="K563" s="44" t="str">
        <v/>
      </c>
      <c r="L563" s="44" t="str">
        <v/>
      </c>
      <c r="M563" s="44" t="str">
        <v/>
      </c>
      <c r="N563" s="44" t="str">
        <v/>
      </c>
      <c r="O563" s="44" t="str">
        <v/>
      </c>
      <c r="P563" s="44" t="str">
        <v/>
      </c>
    </row>
    <row r="564" spans="1:16" x14ac:dyDescent="0.2">
      <c r="A564" s="58" t="str">
        <v/>
      </c>
      <c r="B564" s="131" t="str">
        <f>IFERROR(TIMEVALUE(DaqBook_RAW_Data!A554),"")</f>
        <v/>
      </c>
      <c r="C564" s="44" t="str">
        <v/>
      </c>
      <c r="D564" s="44" t="str">
        <v/>
      </c>
      <c r="E564" s="44" t="str">
        <v/>
      </c>
      <c r="F564" s="44" t="str">
        <v/>
      </c>
      <c r="G564" s="44" t="str">
        <v/>
      </c>
      <c r="H564" s="44" t="str">
        <v/>
      </c>
      <c r="I564" s="44" t="str">
        <v/>
      </c>
      <c r="J564" s="44" t="str">
        <v/>
      </c>
      <c r="K564" s="44" t="str">
        <v/>
      </c>
      <c r="L564" s="44" t="str">
        <v/>
      </c>
      <c r="M564" s="44" t="str">
        <v/>
      </c>
      <c r="N564" s="44" t="str">
        <v/>
      </c>
      <c r="O564" s="44" t="str">
        <v/>
      </c>
      <c r="P564" s="44" t="str">
        <v/>
      </c>
    </row>
    <row r="565" spans="1:16" x14ac:dyDescent="0.2">
      <c r="A565" s="58" t="str">
        <v/>
      </c>
      <c r="B565" s="131" t="str">
        <f>IFERROR(TIMEVALUE(DaqBook_RAW_Data!A555),"")</f>
        <v/>
      </c>
      <c r="C565" s="44" t="str">
        <v/>
      </c>
      <c r="D565" s="44" t="str">
        <v/>
      </c>
      <c r="E565" s="44" t="str">
        <v/>
      </c>
      <c r="F565" s="44" t="str">
        <v/>
      </c>
      <c r="G565" s="44" t="str">
        <v/>
      </c>
      <c r="H565" s="44" t="str">
        <v/>
      </c>
      <c r="I565" s="44" t="str">
        <v/>
      </c>
      <c r="J565" s="44" t="str">
        <v/>
      </c>
      <c r="K565" s="44" t="str">
        <v/>
      </c>
      <c r="L565" s="44" t="str">
        <v/>
      </c>
      <c r="M565" s="44" t="str">
        <v/>
      </c>
      <c r="N565" s="44" t="str">
        <v/>
      </c>
      <c r="O565" s="44" t="str">
        <v/>
      </c>
      <c r="P565" s="44" t="str">
        <v/>
      </c>
    </row>
    <row r="566" spans="1:16" x14ac:dyDescent="0.2">
      <c r="A566" s="58" t="str">
        <v/>
      </c>
      <c r="B566" s="131" t="str">
        <f>IFERROR(TIMEVALUE(DaqBook_RAW_Data!A556),"")</f>
        <v/>
      </c>
      <c r="C566" s="44" t="str">
        <v/>
      </c>
      <c r="D566" s="44" t="str">
        <v/>
      </c>
      <c r="E566" s="44" t="str">
        <v/>
      </c>
      <c r="F566" s="44" t="str">
        <v/>
      </c>
      <c r="G566" s="44" t="str">
        <v/>
      </c>
      <c r="H566" s="44" t="str">
        <v/>
      </c>
      <c r="I566" s="44" t="str">
        <v/>
      </c>
      <c r="J566" s="44" t="str">
        <v/>
      </c>
      <c r="K566" s="44" t="str">
        <v/>
      </c>
      <c r="L566" s="44" t="str">
        <v/>
      </c>
      <c r="M566" s="44" t="str">
        <v/>
      </c>
      <c r="N566" s="44" t="str">
        <v/>
      </c>
      <c r="O566" s="44" t="str">
        <v/>
      </c>
      <c r="P566" s="44" t="str">
        <v/>
      </c>
    </row>
    <row r="567" spans="1:16" x14ac:dyDescent="0.2">
      <c r="A567" s="58" t="str">
        <v/>
      </c>
      <c r="B567" s="131" t="str">
        <f>IFERROR(TIMEVALUE(DaqBook_RAW_Data!A557),"")</f>
        <v/>
      </c>
      <c r="C567" s="44" t="str">
        <v/>
      </c>
      <c r="D567" s="44" t="str">
        <v/>
      </c>
      <c r="E567" s="44" t="str">
        <v/>
      </c>
      <c r="F567" s="44" t="str">
        <v/>
      </c>
      <c r="G567" s="44" t="str">
        <v/>
      </c>
      <c r="H567" s="44" t="str">
        <v/>
      </c>
      <c r="I567" s="44" t="str">
        <v/>
      </c>
      <c r="J567" s="44" t="str">
        <v/>
      </c>
      <c r="K567" s="44" t="str">
        <v/>
      </c>
      <c r="L567" s="44" t="str">
        <v/>
      </c>
      <c r="M567" s="44" t="str">
        <v/>
      </c>
      <c r="N567" s="44" t="str">
        <v/>
      </c>
      <c r="O567" s="44" t="str">
        <v/>
      </c>
      <c r="P567" s="44" t="str">
        <v/>
      </c>
    </row>
    <row r="568" spans="1:16" x14ac:dyDescent="0.2">
      <c r="A568" s="58" t="str">
        <v/>
      </c>
      <c r="B568" s="131" t="str">
        <f>IFERROR(TIMEVALUE(DaqBook_RAW_Data!A558),"")</f>
        <v/>
      </c>
      <c r="C568" s="44" t="str">
        <v/>
      </c>
      <c r="D568" s="44" t="str">
        <v/>
      </c>
      <c r="E568" s="44" t="str">
        <v/>
      </c>
      <c r="F568" s="44" t="str">
        <v/>
      </c>
      <c r="G568" s="44" t="str">
        <v/>
      </c>
      <c r="H568" s="44" t="str">
        <v/>
      </c>
      <c r="I568" s="44" t="str">
        <v/>
      </c>
      <c r="J568" s="44" t="str">
        <v/>
      </c>
      <c r="K568" s="44" t="str">
        <v/>
      </c>
      <c r="L568" s="44" t="str">
        <v/>
      </c>
      <c r="M568" s="44" t="str">
        <v/>
      </c>
      <c r="N568" s="44" t="str">
        <v/>
      </c>
      <c r="O568" s="44" t="str">
        <v/>
      </c>
      <c r="P568" s="44" t="str">
        <v/>
      </c>
    </row>
    <row r="569" spans="1:16" x14ac:dyDescent="0.2">
      <c r="A569" s="58" t="str">
        <v/>
      </c>
      <c r="B569" s="131" t="str">
        <f>IFERROR(TIMEVALUE(DaqBook_RAW_Data!A559),"")</f>
        <v/>
      </c>
      <c r="C569" s="44" t="str">
        <v/>
      </c>
      <c r="D569" s="44" t="str">
        <v/>
      </c>
      <c r="E569" s="44" t="str">
        <v/>
      </c>
      <c r="F569" s="44" t="str">
        <v/>
      </c>
      <c r="G569" s="44" t="str">
        <v/>
      </c>
      <c r="H569" s="44" t="str">
        <v/>
      </c>
      <c r="I569" s="44" t="str">
        <v/>
      </c>
      <c r="J569" s="44" t="str">
        <v/>
      </c>
      <c r="K569" s="44" t="str">
        <v/>
      </c>
      <c r="L569" s="44" t="str">
        <v/>
      </c>
      <c r="M569" s="44" t="str">
        <v/>
      </c>
      <c r="N569" s="44" t="str">
        <v/>
      </c>
      <c r="O569" s="44" t="str">
        <v/>
      </c>
      <c r="P569" s="44" t="str">
        <v/>
      </c>
    </row>
    <row r="570" spans="1:16" x14ac:dyDescent="0.2">
      <c r="A570" s="58" t="str">
        <v/>
      </c>
      <c r="B570" s="131" t="str">
        <f>IFERROR(TIMEVALUE(DaqBook_RAW_Data!A560),"")</f>
        <v/>
      </c>
      <c r="C570" s="44" t="str">
        <v/>
      </c>
      <c r="D570" s="44" t="str">
        <v/>
      </c>
      <c r="E570" s="44" t="str">
        <v/>
      </c>
      <c r="F570" s="44" t="str">
        <v/>
      </c>
      <c r="G570" s="44" t="str">
        <v/>
      </c>
      <c r="H570" s="44" t="str">
        <v/>
      </c>
      <c r="I570" s="44" t="str">
        <v/>
      </c>
      <c r="J570" s="44" t="str">
        <v/>
      </c>
      <c r="K570" s="44" t="str">
        <v/>
      </c>
      <c r="L570" s="44" t="str">
        <v/>
      </c>
      <c r="M570" s="44" t="str">
        <v/>
      </c>
      <c r="N570" s="44" t="str">
        <v/>
      </c>
      <c r="O570" s="44" t="str">
        <v/>
      </c>
      <c r="P570" s="44" t="str">
        <v/>
      </c>
    </row>
    <row r="571" spans="1:16" x14ac:dyDescent="0.2">
      <c r="A571" s="58" t="str">
        <v/>
      </c>
      <c r="B571" s="131" t="str">
        <f>IFERROR(TIMEVALUE(DaqBook_RAW_Data!A561),"")</f>
        <v/>
      </c>
      <c r="C571" s="44" t="str">
        <v/>
      </c>
      <c r="D571" s="44" t="str">
        <v/>
      </c>
      <c r="E571" s="44" t="str">
        <v/>
      </c>
      <c r="F571" s="44" t="str">
        <v/>
      </c>
      <c r="G571" s="44" t="str">
        <v/>
      </c>
      <c r="H571" s="44" t="str">
        <v/>
      </c>
      <c r="I571" s="44" t="str">
        <v/>
      </c>
      <c r="J571" s="44" t="str">
        <v/>
      </c>
      <c r="K571" s="44" t="str">
        <v/>
      </c>
      <c r="L571" s="44" t="str">
        <v/>
      </c>
      <c r="M571" s="44" t="str">
        <v/>
      </c>
      <c r="N571" s="44" t="str">
        <v/>
      </c>
      <c r="O571" s="44" t="str">
        <v/>
      </c>
      <c r="P571" s="44" t="str">
        <v/>
      </c>
    </row>
    <row r="572" spans="1:16" x14ac:dyDescent="0.2">
      <c r="A572" s="58" t="str">
        <v/>
      </c>
      <c r="B572" s="131" t="str">
        <f>IFERROR(TIMEVALUE(DaqBook_RAW_Data!A562),"")</f>
        <v/>
      </c>
      <c r="C572" s="44" t="str">
        <v/>
      </c>
      <c r="D572" s="44" t="str">
        <v/>
      </c>
      <c r="E572" s="44" t="str">
        <v/>
      </c>
      <c r="F572" s="44" t="str">
        <v/>
      </c>
      <c r="G572" s="44" t="str">
        <v/>
      </c>
      <c r="H572" s="44" t="str">
        <v/>
      </c>
      <c r="I572" s="44" t="str">
        <v/>
      </c>
      <c r="J572" s="44" t="str">
        <v/>
      </c>
      <c r="K572" s="44" t="str">
        <v/>
      </c>
      <c r="L572" s="44" t="str">
        <v/>
      </c>
      <c r="M572" s="44" t="str">
        <v/>
      </c>
      <c r="N572" s="44" t="str">
        <v/>
      </c>
      <c r="O572" s="44" t="str">
        <v/>
      </c>
      <c r="P572" s="44" t="str">
        <v/>
      </c>
    </row>
    <row r="573" spans="1:16" x14ac:dyDescent="0.2">
      <c r="A573" s="58" t="str">
        <v/>
      </c>
      <c r="B573" s="131" t="str">
        <f>IFERROR(TIMEVALUE(DaqBook_RAW_Data!A563),"")</f>
        <v/>
      </c>
      <c r="C573" s="44" t="str">
        <v/>
      </c>
      <c r="D573" s="44" t="str">
        <v/>
      </c>
      <c r="E573" s="44" t="str">
        <v/>
      </c>
      <c r="F573" s="44" t="str">
        <v/>
      </c>
      <c r="G573" s="44" t="str">
        <v/>
      </c>
      <c r="H573" s="44" t="str">
        <v/>
      </c>
      <c r="I573" s="44" t="str">
        <v/>
      </c>
      <c r="J573" s="44" t="str">
        <v/>
      </c>
      <c r="K573" s="44" t="str">
        <v/>
      </c>
      <c r="L573" s="44" t="str">
        <v/>
      </c>
      <c r="M573" s="44" t="str">
        <v/>
      </c>
      <c r="N573" s="44" t="str">
        <v/>
      </c>
      <c r="O573" s="44" t="str">
        <v/>
      </c>
      <c r="P573" s="44" t="str">
        <v/>
      </c>
    </row>
    <row r="574" spans="1:16" x14ac:dyDescent="0.2">
      <c r="A574" s="58" t="str">
        <v/>
      </c>
      <c r="B574" s="131" t="str">
        <f>IFERROR(TIMEVALUE(DaqBook_RAW_Data!A564),"")</f>
        <v/>
      </c>
      <c r="C574" s="44" t="str">
        <v/>
      </c>
      <c r="D574" s="44" t="str">
        <v/>
      </c>
      <c r="E574" s="44" t="str">
        <v/>
      </c>
      <c r="F574" s="44" t="str">
        <v/>
      </c>
      <c r="G574" s="44" t="str">
        <v/>
      </c>
      <c r="H574" s="44" t="str">
        <v/>
      </c>
      <c r="I574" s="44" t="str">
        <v/>
      </c>
      <c r="J574" s="44" t="str">
        <v/>
      </c>
      <c r="K574" s="44" t="str">
        <v/>
      </c>
      <c r="L574" s="44" t="str">
        <v/>
      </c>
      <c r="M574" s="44" t="str">
        <v/>
      </c>
      <c r="N574" s="44" t="str">
        <v/>
      </c>
      <c r="O574" s="44" t="str">
        <v/>
      </c>
      <c r="P574" s="44" t="str">
        <v/>
      </c>
    </row>
    <row r="575" spans="1:16" x14ac:dyDescent="0.2">
      <c r="A575" s="58" t="str">
        <v/>
      </c>
      <c r="B575" s="131" t="str">
        <f>IFERROR(TIMEVALUE(DaqBook_RAW_Data!A565),"")</f>
        <v/>
      </c>
      <c r="C575" s="44" t="str">
        <v/>
      </c>
      <c r="D575" s="44" t="str">
        <v/>
      </c>
      <c r="E575" s="44" t="str">
        <v/>
      </c>
      <c r="F575" s="44" t="str">
        <v/>
      </c>
      <c r="G575" s="44" t="str">
        <v/>
      </c>
      <c r="H575" s="44" t="str">
        <v/>
      </c>
      <c r="I575" s="44" t="str">
        <v/>
      </c>
      <c r="J575" s="44" t="str">
        <v/>
      </c>
      <c r="K575" s="44" t="str">
        <v/>
      </c>
      <c r="L575" s="44" t="str">
        <v/>
      </c>
      <c r="M575" s="44" t="str">
        <v/>
      </c>
      <c r="N575" s="44" t="str">
        <v/>
      </c>
      <c r="O575" s="44" t="str">
        <v/>
      </c>
      <c r="P575" s="44" t="str">
        <v/>
      </c>
    </row>
    <row r="576" spans="1:16" x14ac:dyDescent="0.2">
      <c r="A576" s="58" t="str">
        <v/>
      </c>
      <c r="B576" s="131" t="str">
        <f>IFERROR(TIMEVALUE(DaqBook_RAW_Data!A566),"")</f>
        <v/>
      </c>
      <c r="C576" s="44" t="str">
        <v/>
      </c>
      <c r="D576" s="44" t="str">
        <v/>
      </c>
      <c r="E576" s="44" t="str">
        <v/>
      </c>
      <c r="F576" s="44" t="str">
        <v/>
      </c>
      <c r="G576" s="44" t="str">
        <v/>
      </c>
      <c r="H576" s="44" t="str">
        <v/>
      </c>
      <c r="I576" s="44" t="str">
        <v/>
      </c>
      <c r="J576" s="44" t="str">
        <v/>
      </c>
      <c r="K576" s="44" t="str">
        <v/>
      </c>
      <c r="L576" s="44" t="str">
        <v/>
      </c>
      <c r="M576" s="44" t="str">
        <v/>
      </c>
      <c r="N576" s="44" t="str">
        <v/>
      </c>
      <c r="O576" s="44" t="str">
        <v/>
      </c>
      <c r="P576" s="44" t="str">
        <v/>
      </c>
    </row>
    <row r="577" spans="1:16" x14ac:dyDescent="0.2">
      <c r="A577" s="58" t="str">
        <v/>
      </c>
      <c r="B577" s="131" t="str">
        <f>IFERROR(TIMEVALUE(DaqBook_RAW_Data!A567),"")</f>
        <v/>
      </c>
      <c r="C577" s="44" t="str">
        <v/>
      </c>
      <c r="D577" s="44" t="str">
        <v/>
      </c>
      <c r="E577" s="44" t="str">
        <v/>
      </c>
      <c r="F577" s="44" t="str">
        <v/>
      </c>
      <c r="G577" s="44" t="str">
        <v/>
      </c>
      <c r="H577" s="44" t="str">
        <v/>
      </c>
      <c r="I577" s="44" t="str">
        <v/>
      </c>
      <c r="J577" s="44" t="str">
        <v/>
      </c>
      <c r="K577" s="44" t="str">
        <v/>
      </c>
      <c r="L577" s="44" t="str">
        <v/>
      </c>
      <c r="M577" s="44" t="str">
        <v/>
      </c>
      <c r="N577" s="44" t="str">
        <v/>
      </c>
      <c r="O577" s="44" t="str">
        <v/>
      </c>
      <c r="P577" s="44" t="str">
        <v/>
      </c>
    </row>
    <row r="578" spans="1:16" x14ac:dyDescent="0.2">
      <c r="A578" s="58" t="str">
        <v/>
      </c>
      <c r="B578" s="131" t="str">
        <f>IFERROR(TIMEVALUE(DaqBook_RAW_Data!A568),"")</f>
        <v/>
      </c>
      <c r="C578" s="44" t="str">
        <v/>
      </c>
      <c r="D578" s="44" t="str">
        <v/>
      </c>
      <c r="E578" s="44" t="str">
        <v/>
      </c>
      <c r="F578" s="44" t="str">
        <v/>
      </c>
      <c r="G578" s="44" t="str">
        <v/>
      </c>
      <c r="H578" s="44" t="str">
        <v/>
      </c>
      <c r="I578" s="44" t="str">
        <v/>
      </c>
      <c r="J578" s="44" t="str">
        <v/>
      </c>
      <c r="K578" s="44" t="str">
        <v/>
      </c>
      <c r="L578" s="44" t="str">
        <v/>
      </c>
      <c r="M578" s="44" t="str">
        <v/>
      </c>
      <c r="N578" s="44" t="str">
        <v/>
      </c>
      <c r="O578" s="44" t="str">
        <v/>
      </c>
      <c r="P578" s="44" t="str">
        <v/>
      </c>
    </row>
    <row r="579" spans="1:16" x14ac:dyDescent="0.2">
      <c r="A579" s="58" t="str">
        <v/>
      </c>
      <c r="B579" s="131" t="str">
        <f>IFERROR(TIMEVALUE(DaqBook_RAW_Data!A569),"")</f>
        <v/>
      </c>
      <c r="C579" s="44" t="str">
        <v/>
      </c>
      <c r="D579" s="44" t="str">
        <v/>
      </c>
      <c r="E579" s="44" t="str">
        <v/>
      </c>
      <c r="F579" s="44" t="str">
        <v/>
      </c>
      <c r="G579" s="44" t="str">
        <v/>
      </c>
      <c r="H579" s="44" t="str">
        <v/>
      </c>
      <c r="I579" s="44" t="str">
        <v/>
      </c>
      <c r="J579" s="44" t="str">
        <v/>
      </c>
      <c r="K579" s="44" t="str">
        <v/>
      </c>
      <c r="L579" s="44" t="str">
        <v/>
      </c>
      <c r="M579" s="44" t="str">
        <v/>
      </c>
      <c r="N579" s="44" t="str">
        <v/>
      </c>
      <c r="O579" s="44" t="str">
        <v/>
      </c>
      <c r="P579" s="44" t="str">
        <v/>
      </c>
    </row>
    <row r="580" spans="1:16" x14ac:dyDescent="0.2">
      <c r="A580" s="58" t="str">
        <v/>
      </c>
      <c r="B580" s="131" t="str">
        <f>IFERROR(TIMEVALUE(DaqBook_RAW_Data!A570),"")</f>
        <v/>
      </c>
      <c r="C580" s="44" t="str">
        <v/>
      </c>
      <c r="D580" s="44" t="str">
        <v/>
      </c>
      <c r="E580" s="44" t="str">
        <v/>
      </c>
      <c r="F580" s="44" t="str">
        <v/>
      </c>
      <c r="G580" s="44" t="str">
        <v/>
      </c>
      <c r="H580" s="44" t="str">
        <v/>
      </c>
      <c r="I580" s="44" t="str">
        <v/>
      </c>
      <c r="J580" s="44" t="str">
        <v/>
      </c>
      <c r="K580" s="44" t="str">
        <v/>
      </c>
      <c r="L580" s="44" t="str">
        <v/>
      </c>
      <c r="M580" s="44" t="str">
        <v/>
      </c>
      <c r="N580" s="44" t="str">
        <v/>
      </c>
      <c r="O580" s="44" t="str">
        <v/>
      </c>
      <c r="P580" s="44" t="str">
        <v/>
      </c>
    </row>
    <row r="581" spans="1:16" x14ac:dyDescent="0.2">
      <c r="A581" s="58" t="str">
        <v/>
      </c>
      <c r="B581" s="131" t="str">
        <f>IFERROR(TIMEVALUE(DaqBook_RAW_Data!A571),"")</f>
        <v/>
      </c>
      <c r="C581" s="44" t="str">
        <v/>
      </c>
      <c r="D581" s="44" t="str">
        <v/>
      </c>
      <c r="E581" s="44" t="str">
        <v/>
      </c>
      <c r="F581" s="44" t="str">
        <v/>
      </c>
      <c r="G581" s="44" t="str">
        <v/>
      </c>
      <c r="H581" s="44" t="str">
        <v/>
      </c>
      <c r="I581" s="44" t="str">
        <v/>
      </c>
      <c r="J581" s="44" t="str">
        <v/>
      </c>
      <c r="K581" s="44" t="str">
        <v/>
      </c>
      <c r="L581" s="44" t="str">
        <v/>
      </c>
      <c r="M581" s="44" t="str">
        <v/>
      </c>
      <c r="N581" s="44" t="str">
        <v/>
      </c>
      <c r="O581" s="44" t="str">
        <v/>
      </c>
      <c r="P581" s="44" t="str">
        <v/>
      </c>
    </row>
    <row r="582" spans="1:16" x14ac:dyDescent="0.2">
      <c r="A582" s="58" t="str">
        <v/>
      </c>
      <c r="B582" s="131" t="str">
        <f>IFERROR(TIMEVALUE(DaqBook_RAW_Data!A572),"")</f>
        <v/>
      </c>
      <c r="C582" s="44" t="str">
        <v/>
      </c>
      <c r="D582" s="44" t="str">
        <v/>
      </c>
      <c r="E582" s="44" t="str">
        <v/>
      </c>
      <c r="F582" s="44" t="str">
        <v/>
      </c>
      <c r="G582" s="44" t="str">
        <v/>
      </c>
      <c r="H582" s="44" t="str">
        <v/>
      </c>
      <c r="I582" s="44" t="str">
        <v/>
      </c>
      <c r="J582" s="44" t="str">
        <v/>
      </c>
      <c r="K582" s="44" t="str">
        <v/>
      </c>
      <c r="L582" s="44" t="str">
        <v/>
      </c>
      <c r="M582" s="44" t="str">
        <v/>
      </c>
      <c r="N582" s="44" t="str">
        <v/>
      </c>
      <c r="O582" s="44" t="str">
        <v/>
      </c>
      <c r="P582" s="44" t="str">
        <v/>
      </c>
    </row>
    <row r="583" spans="1:16" x14ac:dyDescent="0.2">
      <c r="A583" s="58" t="str">
        <v/>
      </c>
      <c r="B583" s="131" t="str">
        <f>IFERROR(TIMEVALUE(DaqBook_RAW_Data!A573),"")</f>
        <v/>
      </c>
      <c r="C583" s="44" t="str">
        <v/>
      </c>
      <c r="D583" s="44" t="str">
        <v/>
      </c>
      <c r="E583" s="44" t="str">
        <v/>
      </c>
      <c r="F583" s="44" t="str">
        <v/>
      </c>
      <c r="G583" s="44" t="str">
        <v/>
      </c>
      <c r="H583" s="44" t="str">
        <v/>
      </c>
      <c r="I583" s="44" t="str">
        <v/>
      </c>
      <c r="J583" s="44" t="str">
        <v/>
      </c>
      <c r="K583" s="44" t="str">
        <v/>
      </c>
      <c r="L583" s="44" t="str">
        <v/>
      </c>
      <c r="M583" s="44" t="str">
        <v/>
      </c>
      <c r="N583" s="44" t="str">
        <v/>
      </c>
      <c r="O583" s="44" t="str">
        <v/>
      </c>
      <c r="P583" s="44" t="str">
        <v/>
      </c>
    </row>
    <row r="584" spans="1:16" x14ac:dyDescent="0.2">
      <c r="A584" s="58" t="str">
        <v/>
      </c>
      <c r="B584" s="131" t="str">
        <f>IFERROR(TIMEVALUE(DaqBook_RAW_Data!A574),"")</f>
        <v/>
      </c>
      <c r="C584" s="44" t="str">
        <v/>
      </c>
      <c r="D584" s="44" t="str">
        <v/>
      </c>
      <c r="E584" s="44" t="str">
        <v/>
      </c>
      <c r="F584" s="44" t="str">
        <v/>
      </c>
      <c r="G584" s="44" t="str">
        <v/>
      </c>
      <c r="H584" s="44" t="str">
        <v/>
      </c>
      <c r="I584" s="44" t="str">
        <v/>
      </c>
      <c r="J584" s="44" t="str">
        <v/>
      </c>
      <c r="K584" s="44" t="str">
        <v/>
      </c>
      <c r="L584" s="44" t="str">
        <v/>
      </c>
      <c r="M584" s="44" t="str">
        <v/>
      </c>
      <c r="N584" s="44" t="str">
        <v/>
      </c>
      <c r="O584" s="44" t="str">
        <v/>
      </c>
      <c r="P584" s="44" t="str">
        <v/>
      </c>
    </row>
    <row r="585" spans="1:16" x14ac:dyDescent="0.2">
      <c r="A585" s="58" t="str">
        <v/>
      </c>
      <c r="B585" s="131" t="str">
        <f>IFERROR(TIMEVALUE(DaqBook_RAW_Data!A575),"")</f>
        <v/>
      </c>
      <c r="C585" s="44" t="str">
        <v/>
      </c>
      <c r="D585" s="44" t="str">
        <v/>
      </c>
      <c r="E585" s="44" t="str">
        <v/>
      </c>
      <c r="F585" s="44" t="str">
        <v/>
      </c>
      <c r="G585" s="44" t="str">
        <v/>
      </c>
      <c r="H585" s="44" t="str">
        <v/>
      </c>
      <c r="I585" s="44" t="str">
        <v/>
      </c>
      <c r="J585" s="44" t="str">
        <v/>
      </c>
      <c r="K585" s="44" t="str">
        <v/>
      </c>
      <c r="L585" s="44" t="str">
        <v/>
      </c>
      <c r="M585" s="44" t="str">
        <v/>
      </c>
      <c r="N585" s="44" t="str">
        <v/>
      </c>
      <c r="O585" s="44" t="str">
        <v/>
      </c>
      <c r="P585" s="44" t="str">
        <v/>
      </c>
    </row>
    <row r="586" spans="1:16" x14ac:dyDescent="0.2">
      <c r="A586" s="58" t="str">
        <v/>
      </c>
      <c r="B586" s="131" t="str">
        <f>IFERROR(TIMEVALUE(DaqBook_RAW_Data!A576),"")</f>
        <v/>
      </c>
      <c r="C586" s="44" t="str">
        <v/>
      </c>
      <c r="D586" s="44" t="str">
        <v/>
      </c>
      <c r="E586" s="44" t="str">
        <v/>
      </c>
      <c r="F586" s="44" t="str">
        <v/>
      </c>
      <c r="G586" s="44" t="str">
        <v/>
      </c>
      <c r="H586" s="44" t="str">
        <v/>
      </c>
      <c r="I586" s="44" t="str">
        <v/>
      </c>
      <c r="J586" s="44" t="str">
        <v/>
      </c>
      <c r="K586" s="44" t="str">
        <v/>
      </c>
      <c r="L586" s="44" t="str">
        <v/>
      </c>
      <c r="M586" s="44" t="str">
        <v/>
      </c>
      <c r="N586" s="44" t="str">
        <v/>
      </c>
      <c r="O586" s="44" t="str">
        <v/>
      </c>
      <c r="P586" s="44" t="str">
        <v/>
      </c>
    </row>
    <row r="587" spans="1:16" x14ac:dyDescent="0.2">
      <c r="A587" s="58" t="str">
        <v/>
      </c>
      <c r="B587" s="131" t="str">
        <f>IFERROR(TIMEVALUE(DaqBook_RAW_Data!A577),"")</f>
        <v/>
      </c>
      <c r="C587" s="44" t="str">
        <v/>
      </c>
      <c r="D587" s="44" t="str">
        <v/>
      </c>
      <c r="E587" s="44" t="str">
        <v/>
      </c>
      <c r="F587" s="44" t="str">
        <v/>
      </c>
      <c r="G587" s="44" t="str">
        <v/>
      </c>
      <c r="H587" s="44" t="str">
        <v/>
      </c>
      <c r="I587" s="44" t="str">
        <v/>
      </c>
      <c r="J587" s="44" t="str">
        <v/>
      </c>
      <c r="K587" s="44" t="str">
        <v/>
      </c>
      <c r="L587" s="44" t="str">
        <v/>
      </c>
      <c r="M587" s="44" t="str">
        <v/>
      </c>
      <c r="N587" s="44" t="str">
        <v/>
      </c>
      <c r="O587" s="44" t="str">
        <v/>
      </c>
      <c r="P587" s="44" t="str">
        <v/>
      </c>
    </row>
    <row r="588" spans="1:16" x14ac:dyDescent="0.2">
      <c r="A588" s="58" t="str">
        <v/>
      </c>
      <c r="B588" s="131" t="str">
        <f>IFERROR(TIMEVALUE(DaqBook_RAW_Data!A578),"")</f>
        <v/>
      </c>
      <c r="C588" s="44" t="str">
        <v/>
      </c>
      <c r="D588" s="44" t="str">
        <v/>
      </c>
      <c r="E588" s="44" t="str">
        <v/>
      </c>
      <c r="F588" s="44" t="str">
        <v/>
      </c>
      <c r="G588" s="44" t="str">
        <v/>
      </c>
      <c r="H588" s="44" t="str">
        <v/>
      </c>
      <c r="I588" s="44" t="str">
        <v/>
      </c>
      <c r="J588" s="44" t="str">
        <v/>
      </c>
      <c r="K588" s="44" t="str">
        <v/>
      </c>
      <c r="L588" s="44" t="str">
        <v/>
      </c>
      <c r="M588" s="44" t="str">
        <v/>
      </c>
      <c r="N588" s="44" t="str">
        <v/>
      </c>
      <c r="O588" s="44" t="str">
        <v/>
      </c>
      <c r="P588" s="44" t="str">
        <v/>
      </c>
    </row>
    <row r="589" spans="1:16" x14ac:dyDescent="0.2">
      <c r="A589" s="58" t="str">
        <v/>
      </c>
      <c r="B589" s="131" t="str">
        <f>IFERROR(TIMEVALUE(DaqBook_RAW_Data!A579),"")</f>
        <v/>
      </c>
      <c r="C589" s="44" t="str">
        <v/>
      </c>
      <c r="D589" s="44" t="str">
        <v/>
      </c>
      <c r="E589" s="44" t="str">
        <v/>
      </c>
      <c r="F589" s="44" t="str">
        <v/>
      </c>
      <c r="G589" s="44" t="str">
        <v/>
      </c>
      <c r="H589" s="44" t="str">
        <v/>
      </c>
      <c r="I589" s="44" t="str">
        <v/>
      </c>
      <c r="J589" s="44" t="str">
        <v/>
      </c>
      <c r="K589" s="44" t="str">
        <v/>
      </c>
      <c r="L589" s="44" t="str">
        <v/>
      </c>
      <c r="M589" s="44" t="str">
        <v/>
      </c>
      <c r="N589" s="44" t="str">
        <v/>
      </c>
      <c r="O589" s="44" t="str">
        <v/>
      </c>
      <c r="P589" s="44" t="str">
        <v/>
      </c>
    </row>
    <row r="590" spans="1:16" x14ac:dyDescent="0.2">
      <c r="A590" s="58" t="str">
        <v/>
      </c>
      <c r="B590" s="131" t="str">
        <f>IFERROR(TIMEVALUE(DaqBook_RAW_Data!A580),"")</f>
        <v/>
      </c>
      <c r="C590" s="44" t="str">
        <v/>
      </c>
      <c r="D590" s="44" t="str">
        <v/>
      </c>
      <c r="E590" s="44" t="str">
        <v/>
      </c>
      <c r="F590" s="44" t="str">
        <v/>
      </c>
      <c r="G590" s="44" t="str">
        <v/>
      </c>
      <c r="H590" s="44" t="str">
        <v/>
      </c>
      <c r="I590" s="44" t="str">
        <v/>
      </c>
      <c r="J590" s="44" t="str">
        <v/>
      </c>
      <c r="K590" s="44" t="str">
        <v/>
      </c>
      <c r="L590" s="44" t="str">
        <v/>
      </c>
      <c r="M590" s="44" t="str">
        <v/>
      </c>
      <c r="N590" s="44" t="str">
        <v/>
      </c>
      <c r="O590" s="44" t="str">
        <v/>
      </c>
      <c r="P590" s="44" t="str">
        <v/>
      </c>
    </row>
    <row r="591" spans="1:16" x14ac:dyDescent="0.2">
      <c r="A591" s="58" t="str">
        <v/>
      </c>
      <c r="B591" s="131" t="str">
        <f>IFERROR(TIMEVALUE(DaqBook_RAW_Data!A581),"")</f>
        <v/>
      </c>
      <c r="C591" s="44" t="str">
        <v/>
      </c>
      <c r="D591" s="44" t="str">
        <v/>
      </c>
      <c r="E591" s="44" t="str">
        <v/>
      </c>
      <c r="F591" s="44" t="str">
        <v/>
      </c>
      <c r="G591" s="44" t="str">
        <v/>
      </c>
      <c r="H591" s="44" t="str">
        <v/>
      </c>
      <c r="I591" s="44" t="str">
        <v/>
      </c>
      <c r="J591" s="44" t="str">
        <v/>
      </c>
      <c r="K591" s="44" t="str">
        <v/>
      </c>
      <c r="L591" s="44" t="str">
        <v/>
      </c>
      <c r="M591" s="44" t="str">
        <v/>
      </c>
      <c r="N591" s="44" t="str">
        <v/>
      </c>
      <c r="O591" s="44" t="str">
        <v/>
      </c>
      <c r="P591" s="44" t="str">
        <v/>
      </c>
    </row>
    <row r="592" spans="1:16" x14ac:dyDescent="0.2">
      <c r="A592" s="58" t="str">
        <v/>
      </c>
      <c r="B592" s="131" t="str">
        <f>IFERROR(TIMEVALUE(DaqBook_RAW_Data!A582),"")</f>
        <v/>
      </c>
      <c r="C592" s="44" t="str">
        <v/>
      </c>
      <c r="D592" s="44" t="str">
        <v/>
      </c>
      <c r="E592" s="44" t="str">
        <v/>
      </c>
      <c r="F592" s="44" t="str">
        <v/>
      </c>
      <c r="G592" s="44" t="str">
        <v/>
      </c>
      <c r="H592" s="44" t="str">
        <v/>
      </c>
      <c r="I592" s="44" t="str">
        <v/>
      </c>
      <c r="J592" s="44" t="str">
        <v/>
      </c>
      <c r="K592" s="44" t="str">
        <v/>
      </c>
      <c r="L592" s="44" t="str">
        <v/>
      </c>
      <c r="M592" s="44" t="str">
        <v/>
      </c>
      <c r="N592" s="44" t="str">
        <v/>
      </c>
      <c r="O592" s="44" t="str">
        <v/>
      </c>
      <c r="P592" s="44" t="str">
        <v/>
      </c>
    </row>
    <row r="593" spans="1:16" x14ac:dyDescent="0.2">
      <c r="A593" s="58" t="str">
        <v/>
      </c>
      <c r="B593" s="131" t="str">
        <f>IFERROR(TIMEVALUE(DaqBook_RAW_Data!A583),"")</f>
        <v/>
      </c>
      <c r="C593" s="44" t="str">
        <v/>
      </c>
      <c r="D593" s="44" t="str">
        <v/>
      </c>
      <c r="E593" s="44" t="str">
        <v/>
      </c>
      <c r="F593" s="44" t="str">
        <v/>
      </c>
      <c r="G593" s="44" t="str">
        <v/>
      </c>
      <c r="H593" s="44" t="str">
        <v/>
      </c>
      <c r="I593" s="44" t="str">
        <v/>
      </c>
      <c r="J593" s="44" t="str">
        <v/>
      </c>
      <c r="K593" s="44" t="str">
        <v/>
      </c>
      <c r="L593" s="44" t="str">
        <v/>
      </c>
      <c r="M593" s="44" t="str">
        <v/>
      </c>
      <c r="N593" s="44" t="str">
        <v/>
      </c>
      <c r="O593" s="44" t="str">
        <v/>
      </c>
      <c r="P593" s="44" t="str">
        <v/>
      </c>
    </row>
    <row r="594" spans="1:16" x14ac:dyDescent="0.2">
      <c r="A594" s="58" t="str">
        <v/>
      </c>
      <c r="B594" s="131" t="str">
        <f>IFERROR(TIMEVALUE(DaqBook_RAW_Data!A584),"")</f>
        <v/>
      </c>
      <c r="C594" s="44" t="str">
        <v/>
      </c>
      <c r="D594" s="44" t="str">
        <v/>
      </c>
      <c r="E594" s="44" t="str">
        <v/>
      </c>
      <c r="F594" s="44" t="str">
        <v/>
      </c>
      <c r="G594" s="44" t="str">
        <v/>
      </c>
      <c r="H594" s="44" t="str">
        <v/>
      </c>
      <c r="I594" s="44" t="str">
        <v/>
      </c>
      <c r="J594" s="44" t="str">
        <v/>
      </c>
      <c r="K594" s="44" t="str">
        <v/>
      </c>
      <c r="L594" s="44" t="str">
        <v/>
      </c>
      <c r="M594" s="44" t="str">
        <v/>
      </c>
      <c r="N594" s="44" t="str">
        <v/>
      </c>
      <c r="O594" s="44" t="str">
        <v/>
      </c>
      <c r="P594" s="44" t="str">
        <v/>
      </c>
    </row>
    <row r="595" spans="1:16" x14ac:dyDescent="0.2">
      <c r="A595" s="58" t="str">
        <v/>
      </c>
      <c r="B595" s="131" t="str">
        <f>IFERROR(TIMEVALUE(DaqBook_RAW_Data!A585),"")</f>
        <v/>
      </c>
      <c r="C595" s="44" t="str">
        <v/>
      </c>
      <c r="D595" s="44" t="str">
        <v/>
      </c>
      <c r="E595" s="44" t="str">
        <v/>
      </c>
      <c r="F595" s="44" t="str">
        <v/>
      </c>
      <c r="G595" s="44" t="str">
        <v/>
      </c>
      <c r="H595" s="44" t="str">
        <v/>
      </c>
      <c r="I595" s="44" t="str">
        <v/>
      </c>
      <c r="J595" s="44" t="str">
        <v/>
      </c>
      <c r="K595" s="44" t="str">
        <v/>
      </c>
      <c r="L595" s="44" t="str">
        <v/>
      </c>
      <c r="M595" s="44" t="str">
        <v/>
      </c>
      <c r="N595" s="44" t="str">
        <v/>
      </c>
      <c r="O595" s="44" t="str">
        <v/>
      </c>
      <c r="P595" s="44" t="str">
        <v/>
      </c>
    </row>
    <row r="596" spans="1:16" x14ac:dyDescent="0.2">
      <c r="A596" s="58" t="str">
        <v/>
      </c>
      <c r="B596" s="131" t="str">
        <f>IFERROR(TIMEVALUE(DaqBook_RAW_Data!A586),"")</f>
        <v/>
      </c>
      <c r="C596" s="44" t="str">
        <v/>
      </c>
      <c r="D596" s="44" t="str">
        <v/>
      </c>
      <c r="E596" s="44" t="str">
        <v/>
      </c>
      <c r="F596" s="44" t="str">
        <v/>
      </c>
      <c r="G596" s="44" t="str">
        <v/>
      </c>
      <c r="H596" s="44" t="str">
        <v/>
      </c>
      <c r="I596" s="44" t="str">
        <v/>
      </c>
      <c r="J596" s="44" t="str">
        <v/>
      </c>
      <c r="K596" s="44" t="str">
        <v/>
      </c>
      <c r="L596" s="44" t="str">
        <v/>
      </c>
      <c r="M596" s="44" t="str">
        <v/>
      </c>
      <c r="N596" s="44" t="str">
        <v/>
      </c>
      <c r="O596" s="44" t="str">
        <v/>
      </c>
      <c r="P596" s="44" t="str">
        <v/>
      </c>
    </row>
    <row r="597" spans="1:16" x14ac:dyDescent="0.2">
      <c r="A597" s="58" t="str">
        <v/>
      </c>
      <c r="B597" s="131" t="str">
        <f>IFERROR(TIMEVALUE(DaqBook_RAW_Data!A587),"")</f>
        <v/>
      </c>
      <c r="C597" s="44" t="str">
        <v/>
      </c>
      <c r="D597" s="44" t="str">
        <v/>
      </c>
      <c r="E597" s="44" t="str">
        <v/>
      </c>
      <c r="F597" s="44" t="str">
        <v/>
      </c>
      <c r="G597" s="44" t="str">
        <v/>
      </c>
      <c r="H597" s="44" t="str">
        <v/>
      </c>
      <c r="I597" s="44" t="str">
        <v/>
      </c>
      <c r="J597" s="44" t="str">
        <v/>
      </c>
      <c r="K597" s="44" t="str">
        <v/>
      </c>
      <c r="L597" s="44" t="str">
        <v/>
      </c>
      <c r="M597" s="44" t="str">
        <v/>
      </c>
      <c r="N597" s="44" t="str">
        <v/>
      </c>
      <c r="O597" s="44" t="str">
        <v/>
      </c>
      <c r="P597" s="44" t="str">
        <v/>
      </c>
    </row>
    <row r="598" spans="1:16" x14ac:dyDescent="0.2">
      <c r="A598" s="58" t="str">
        <v/>
      </c>
      <c r="B598" s="131" t="str">
        <f>IFERROR(TIMEVALUE(DaqBook_RAW_Data!A588),"")</f>
        <v/>
      </c>
      <c r="C598" s="44" t="str">
        <v/>
      </c>
      <c r="D598" s="44" t="str">
        <v/>
      </c>
      <c r="E598" s="44" t="str">
        <v/>
      </c>
      <c r="F598" s="44" t="str">
        <v/>
      </c>
      <c r="G598" s="44" t="str">
        <v/>
      </c>
      <c r="H598" s="44" t="str">
        <v/>
      </c>
      <c r="I598" s="44" t="str">
        <v/>
      </c>
      <c r="J598" s="44" t="str">
        <v/>
      </c>
      <c r="K598" s="44" t="str">
        <v/>
      </c>
      <c r="L598" s="44" t="str">
        <v/>
      </c>
      <c r="M598" s="44" t="str">
        <v/>
      </c>
      <c r="N598" s="44" t="str">
        <v/>
      </c>
      <c r="O598" s="44" t="str">
        <v/>
      </c>
      <c r="P598" s="44" t="str">
        <v/>
      </c>
    </row>
    <row r="599" spans="1:16" x14ac:dyDescent="0.2">
      <c r="A599" s="58" t="str">
        <v/>
      </c>
      <c r="B599" s="131" t="str">
        <f>IFERROR(TIMEVALUE(DaqBook_RAW_Data!A589),"")</f>
        <v/>
      </c>
      <c r="C599" s="44" t="str">
        <v/>
      </c>
      <c r="D599" s="44" t="str">
        <v/>
      </c>
      <c r="E599" s="44" t="str">
        <v/>
      </c>
      <c r="F599" s="44" t="str">
        <v/>
      </c>
      <c r="G599" s="44" t="str">
        <v/>
      </c>
      <c r="H599" s="44" t="str">
        <v/>
      </c>
      <c r="I599" s="44" t="str">
        <v/>
      </c>
      <c r="J599" s="44" t="str">
        <v/>
      </c>
      <c r="K599" s="44" t="str">
        <v/>
      </c>
      <c r="L599" s="44" t="str">
        <v/>
      </c>
      <c r="M599" s="44" t="str">
        <v/>
      </c>
      <c r="N599" s="44" t="str">
        <v/>
      </c>
      <c r="O599" s="44" t="str">
        <v/>
      </c>
      <c r="P599" s="44" t="str">
        <v/>
      </c>
    </row>
    <row r="600" spans="1:16" x14ac:dyDescent="0.2">
      <c r="A600" s="58" t="str">
        <v/>
      </c>
      <c r="B600" s="131" t="str">
        <f>IFERROR(TIMEVALUE(DaqBook_RAW_Data!A590),"")</f>
        <v/>
      </c>
      <c r="C600" s="44" t="str">
        <v/>
      </c>
      <c r="D600" s="44" t="str">
        <v/>
      </c>
      <c r="E600" s="44" t="str">
        <v/>
      </c>
      <c r="F600" s="44" t="str">
        <v/>
      </c>
      <c r="G600" s="44" t="str">
        <v/>
      </c>
      <c r="H600" s="44" t="str">
        <v/>
      </c>
      <c r="I600" s="44" t="str">
        <v/>
      </c>
      <c r="J600" s="44" t="str">
        <v/>
      </c>
      <c r="K600" s="44" t="str">
        <v/>
      </c>
      <c r="L600" s="44" t="str">
        <v/>
      </c>
      <c r="M600" s="44" t="str">
        <v/>
      </c>
      <c r="N600" s="44" t="str">
        <v/>
      </c>
      <c r="O600" s="44" t="str">
        <v/>
      </c>
      <c r="P600" s="44" t="str">
        <v/>
      </c>
    </row>
    <row r="601" spans="1:16" x14ac:dyDescent="0.2">
      <c r="A601" s="58" t="str">
        <v/>
      </c>
      <c r="B601" s="131" t="str">
        <f>IFERROR(TIMEVALUE(DaqBook_RAW_Data!A591),"")</f>
        <v/>
      </c>
      <c r="C601" s="44" t="str">
        <v/>
      </c>
      <c r="D601" s="44" t="str">
        <v/>
      </c>
      <c r="E601" s="44" t="str">
        <v/>
      </c>
      <c r="F601" s="44" t="str">
        <v/>
      </c>
      <c r="G601" s="44" t="str">
        <v/>
      </c>
      <c r="H601" s="44" t="str">
        <v/>
      </c>
      <c r="I601" s="44" t="str">
        <v/>
      </c>
      <c r="J601" s="44" t="str">
        <v/>
      </c>
      <c r="K601" s="44" t="str">
        <v/>
      </c>
      <c r="L601" s="44" t="str">
        <v/>
      </c>
      <c r="M601" s="44" t="str">
        <v/>
      </c>
      <c r="N601" s="44" t="str">
        <v/>
      </c>
      <c r="O601" s="44" t="str">
        <v/>
      </c>
      <c r="P601" s="44" t="str">
        <v/>
      </c>
    </row>
    <row r="602" spans="1:16" x14ac:dyDescent="0.2">
      <c r="A602" s="58" t="str">
        <v/>
      </c>
      <c r="B602" s="131" t="str">
        <f>IFERROR(TIMEVALUE(DaqBook_RAW_Data!A592),"")</f>
        <v/>
      </c>
      <c r="C602" s="44" t="str">
        <v/>
      </c>
      <c r="D602" s="44" t="str">
        <v/>
      </c>
      <c r="E602" s="44" t="str">
        <v/>
      </c>
      <c r="F602" s="44" t="str">
        <v/>
      </c>
      <c r="G602" s="44" t="str">
        <v/>
      </c>
      <c r="H602" s="44" t="str">
        <v/>
      </c>
      <c r="I602" s="44" t="str">
        <v/>
      </c>
      <c r="J602" s="44" t="str">
        <v/>
      </c>
      <c r="K602" s="44" t="str">
        <v/>
      </c>
      <c r="L602" s="44" t="str">
        <v/>
      </c>
      <c r="M602" s="44" t="str">
        <v/>
      </c>
      <c r="N602" s="44" t="str">
        <v/>
      </c>
      <c r="O602" s="44" t="str">
        <v/>
      </c>
      <c r="P602" s="44" t="str">
        <v/>
      </c>
    </row>
    <row r="603" spans="1:16" x14ac:dyDescent="0.2">
      <c r="A603" s="58" t="str">
        <v/>
      </c>
      <c r="B603" s="131" t="str">
        <f>IFERROR(TIMEVALUE(DaqBook_RAW_Data!A593),"")</f>
        <v/>
      </c>
      <c r="C603" s="44" t="str">
        <v/>
      </c>
      <c r="D603" s="44" t="str">
        <v/>
      </c>
      <c r="E603" s="44" t="str">
        <v/>
      </c>
      <c r="F603" s="44" t="str">
        <v/>
      </c>
      <c r="G603" s="44" t="str">
        <v/>
      </c>
      <c r="H603" s="44" t="str">
        <v/>
      </c>
      <c r="I603" s="44" t="str">
        <v/>
      </c>
      <c r="J603" s="44" t="str">
        <v/>
      </c>
      <c r="K603" s="44" t="str">
        <v/>
      </c>
      <c r="L603" s="44" t="str">
        <v/>
      </c>
      <c r="M603" s="44" t="str">
        <v/>
      </c>
      <c r="N603" s="44" t="str">
        <v/>
      </c>
      <c r="O603" s="44" t="str">
        <v/>
      </c>
      <c r="P603" s="44" t="str">
        <v/>
      </c>
    </row>
    <row r="604" spans="1:16" x14ac:dyDescent="0.2">
      <c r="A604" s="58" t="str">
        <v/>
      </c>
      <c r="B604" s="131" t="str">
        <f>IFERROR(TIMEVALUE(DaqBook_RAW_Data!A594),"")</f>
        <v/>
      </c>
      <c r="C604" s="44" t="str">
        <v/>
      </c>
      <c r="D604" s="44" t="str">
        <v/>
      </c>
      <c r="E604" s="44" t="str">
        <v/>
      </c>
      <c r="F604" s="44" t="str">
        <v/>
      </c>
      <c r="G604" s="44" t="str">
        <v/>
      </c>
      <c r="H604" s="44" t="str">
        <v/>
      </c>
      <c r="I604" s="44" t="str">
        <v/>
      </c>
      <c r="J604" s="44" t="str">
        <v/>
      </c>
      <c r="K604" s="44" t="str">
        <v/>
      </c>
      <c r="L604" s="44" t="str">
        <v/>
      </c>
      <c r="M604" s="44" t="str">
        <v/>
      </c>
      <c r="N604" s="44" t="str">
        <v/>
      </c>
      <c r="O604" s="44" t="str">
        <v/>
      </c>
      <c r="P604" s="44" t="str">
        <v/>
      </c>
    </row>
    <row r="605" spans="1:16" x14ac:dyDescent="0.2">
      <c r="A605" s="58" t="str">
        <v/>
      </c>
      <c r="B605" s="131" t="str">
        <f>IFERROR(TIMEVALUE(DaqBook_RAW_Data!A595),"")</f>
        <v/>
      </c>
      <c r="C605" s="44" t="str">
        <v/>
      </c>
      <c r="D605" s="44" t="str">
        <v/>
      </c>
      <c r="E605" s="44" t="str">
        <v/>
      </c>
      <c r="F605" s="44" t="str">
        <v/>
      </c>
      <c r="G605" s="44" t="str">
        <v/>
      </c>
      <c r="H605" s="44" t="str">
        <v/>
      </c>
      <c r="I605" s="44" t="str">
        <v/>
      </c>
      <c r="J605" s="44" t="str">
        <v/>
      </c>
      <c r="K605" s="44" t="str">
        <v/>
      </c>
      <c r="L605" s="44" t="str">
        <v/>
      </c>
      <c r="M605" s="44" t="str">
        <v/>
      </c>
      <c r="N605" s="44" t="str">
        <v/>
      </c>
      <c r="O605" s="44" t="str">
        <v/>
      </c>
      <c r="P605" s="44" t="str">
        <v/>
      </c>
    </row>
    <row r="606" spans="1:16" x14ac:dyDescent="0.2">
      <c r="A606" s="58" t="str">
        <v/>
      </c>
      <c r="B606" s="131" t="str">
        <f>IFERROR(TIMEVALUE(DaqBook_RAW_Data!A596),"")</f>
        <v/>
      </c>
      <c r="C606" s="44" t="str">
        <v/>
      </c>
      <c r="D606" s="44" t="str">
        <v/>
      </c>
      <c r="E606" s="44" t="str">
        <v/>
      </c>
      <c r="F606" s="44" t="str">
        <v/>
      </c>
      <c r="G606" s="44" t="str">
        <v/>
      </c>
      <c r="H606" s="44" t="str">
        <v/>
      </c>
      <c r="I606" s="44" t="str">
        <v/>
      </c>
      <c r="J606" s="44" t="str">
        <v/>
      </c>
      <c r="K606" s="44" t="str">
        <v/>
      </c>
      <c r="L606" s="44" t="str">
        <v/>
      </c>
      <c r="M606" s="44" t="str">
        <v/>
      </c>
      <c r="N606" s="44" t="str">
        <v/>
      </c>
      <c r="O606" s="44" t="str">
        <v/>
      </c>
      <c r="P606" s="44" t="str">
        <v/>
      </c>
    </row>
    <row r="607" spans="1:16" x14ac:dyDescent="0.2">
      <c r="A607" s="58" t="str">
        <v/>
      </c>
      <c r="B607" s="131" t="str">
        <f>IFERROR(TIMEVALUE(DaqBook_RAW_Data!A597),"")</f>
        <v/>
      </c>
      <c r="C607" s="44" t="str">
        <v/>
      </c>
      <c r="D607" s="44" t="str">
        <v/>
      </c>
      <c r="E607" s="44" t="str">
        <v/>
      </c>
      <c r="F607" s="44" t="str">
        <v/>
      </c>
      <c r="G607" s="44" t="str">
        <v/>
      </c>
      <c r="H607" s="44" t="str">
        <v/>
      </c>
      <c r="I607" s="44" t="str">
        <v/>
      </c>
      <c r="J607" s="44" t="str">
        <v/>
      </c>
      <c r="K607" s="44" t="str">
        <v/>
      </c>
      <c r="L607" s="44" t="str">
        <v/>
      </c>
      <c r="M607" s="44" t="str">
        <v/>
      </c>
      <c r="N607" s="44" t="str">
        <v/>
      </c>
      <c r="O607" s="44" t="str">
        <v/>
      </c>
      <c r="P607" s="44" t="str">
        <v/>
      </c>
    </row>
    <row r="608" spans="1:16" x14ac:dyDescent="0.2">
      <c r="A608" s="58" t="str">
        <v/>
      </c>
      <c r="B608" s="131" t="str">
        <f>IFERROR(TIMEVALUE(DaqBook_RAW_Data!A598),"")</f>
        <v/>
      </c>
      <c r="C608" s="44" t="str">
        <v/>
      </c>
      <c r="D608" s="44" t="str">
        <v/>
      </c>
      <c r="E608" s="44" t="str">
        <v/>
      </c>
      <c r="F608" s="44" t="str">
        <v/>
      </c>
      <c r="G608" s="44" t="str">
        <v/>
      </c>
      <c r="H608" s="44" t="str">
        <v/>
      </c>
      <c r="I608" s="44" t="str">
        <v/>
      </c>
      <c r="J608" s="44" t="str">
        <v/>
      </c>
      <c r="K608" s="44" t="str">
        <v/>
      </c>
      <c r="L608" s="44" t="str">
        <v/>
      </c>
      <c r="M608" s="44" t="str">
        <v/>
      </c>
      <c r="N608" s="44" t="str">
        <v/>
      </c>
      <c r="O608" s="44" t="str">
        <v/>
      </c>
      <c r="P608" s="44" t="str">
        <v/>
      </c>
    </row>
    <row r="609" spans="1:16" x14ac:dyDescent="0.2">
      <c r="A609" s="58" t="str">
        <v/>
      </c>
      <c r="B609" s="131" t="str">
        <f>IFERROR(TIMEVALUE(DaqBook_RAW_Data!A599),"")</f>
        <v/>
      </c>
      <c r="C609" s="44" t="str">
        <v/>
      </c>
      <c r="D609" s="44" t="str">
        <v/>
      </c>
      <c r="E609" s="44" t="str">
        <v/>
      </c>
      <c r="F609" s="44" t="str">
        <v/>
      </c>
      <c r="G609" s="44" t="str">
        <v/>
      </c>
      <c r="H609" s="44" t="str">
        <v/>
      </c>
      <c r="I609" s="44" t="str">
        <v/>
      </c>
      <c r="J609" s="44" t="str">
        <v/>
      </c>
      <c r="K609" s="44" t="str">
        <v/>
      </c>
      <c r="L609" s="44" t="str">
        <v/>
      </c>
      <c r="M609" s="44" t="str">
        <v/>
      </c>
      <c r="N609" s="44" t="str">
        <v/>
      </c>
      <c r="O609" s="44" t="str">
        <v/>
      </c>
      <c r="P609" s="44" t="str">
        <v/>
      </c>
    </row>
    <row r="610" spans="1:16" x14ac:dyDescent="0.2">
      <c r="A610" s="58" t="str">
        <v/>
      </c>
      <c r="B610" s="131" t="str">
        <f>IFERROR(TIMEVALUE(DaqBook_RAW_Data!A600),"")</f>
        <v/>
      </c>
      <c r="C610" s="44" t="str">
        <v/>
      </c>
      <c r="D610" s="44" t="str">
        <v/>
      </c>
      <c r="E610" s="44" t="str">
        <v/>
      </c>
      <c r="F610" s="44" t="str">
        <v/>
      </c>
      <c r="G610" s="44" t="str">
        <v/>
      </c>
      <c r="H610" s="44" t="str">
        <v/>
      </c>
      <c r="I610" s="44" t="str">
        <v/>
      </c>
      <c r="J610" s="44" t="str">
        <v/>
      </c>
      <c r="K610" s="44" t="str">
        <v/>
      </c>
      <c r="L610" s="44" t="str">
        <v/>
      </c>
      <c r="M610" s="44" t="str">
        <v/>
      </c>
      <c r="N610" s="44" t="str">
        <v/>
      </c>
      <c r="O610" s="44" t="str">
        <v/>
      </c>
      <c r="P610" s="44" t="str">
        <v/>
      </c>
    </row>
    <row r="611" spans="1:16" x14ac:dyDescent="0.2">
      <c r="A611" s="58" t="str">
        <v/>
      </c>
      <c r="B611" s="131" t="str">
        <f>IFERROR(TIMEVALUE(DaqBook_RAW_Data!A601),"")</f>
        <v/>
      </c>
      <c r="C611" s="44" t="str">
        <v/>
      </c>
      <c r="D611" s="44" t="str">
        <v/>
      </c>
      <c r="E611" s="44" t="str">
        <v/>
      </c>
      <c r="F611" s="44" t="str">
        <v/>
      </c>
      <c r="G611" s="44" t="str">
        <v/>
      </c>
      <c r="H611" s="44" t="str">
        <v/>
      </c>
      <c r="I611" s="44" t="str">
        <v/>
      </c>
      <c r="J611" s="44" t="str">
        <v/>
      </c>
      <c r="K611" s="44" t="str">
        <v/>
      </c>
      <c r="L611" s="44" t="str">
        <v/>
      </c>
      <c r="M611" s="44" t="str">
        <v/>
      </c>
      <c r="N611" s="44" t="str">
        <v/>
      </c>
      <c r="O611" s="44" t="str">
        <v/>
      </c>
      <c r="P611" s="44" t="str">
        <v/>
      </c>
    </row>
    <row r="612" spans="1:16" x14ac:dyDescent="0.2">
      <c r="A612" s="58" t="str">
        <v/>
      </c>
      <c r="B612" s="131" t="str">
        <f>IFERROR(TIMEVALUE(DaqBook_RAW_Data!A602),"")</f>
        <v/>
      </c>
      <c r="C612" s="44" t="str">
        <v/>
      </c>
      <c r="D612" s="44" t="str">
        <v/>
      </c>
      <c r="E612" s="44" t="str">
        <v/>
      </c>
      <c r="F612" s="44" t="str">
        <v/>
      </c>
      <c r="G612" s="44" t="str">
        <v/>
      </c>
      <c r="H612" s="44" t="str">
        <v/>
      </c>
      <c r="I612" s="44" t="str">
        <v/>
      </c>
      <c r="J612" s="44" t="str">
        <v/>
      </c>
      <c r="K612" s="44" t="str">
        <v/>
      </c>
      <c r="L612" s="44" t="str">
        <v/>
      </c>
      <c r="M612" s="44" t="str">
        <v/>
      </c>
      <c r="N612" s="44" t="str">
        <v/>
      </c>
      <c r="O612" s="44" t="str">
        <v/>
      </c>
      <c r="P612" s="44" t="str">
        <v/>
      </c>
    </row>
    <row r="613" spans="1:16" x14ac:dyDescent="0.2">
      <c r="A613" s="58" t="str">
        <v/>
      </c>
      <c r="B613" s="131" t="str">
        <f>IFERROR(TIMEVALUE(DaqBook_RAW_Data!A603),"")</f>
        <v/>
      </c>
      <c r="C613" s="44" t="str">
        <v/>
      </c>
      <c r="D613" s="44" t="str">
        <v/>
      </c>
      <c r="E613" s="44" t="str">
        <v/>
      </c>
      <c r="F613" s="44" t="str">
        <v/>
      </c>
      <c r="G613" s="44" t="str">
        <v/>
      </c>
      <c r="H613" s="44" t="str">
        <v/>
      </c>
      <c r="I613" s="44" t="str">
        <v/>
      </c>
      <c r="J613" s="44" t="str">
        <v/>
      </c>
      <c r="K613" s="44" t="str">
        <v/>
      </c>
      <c r="L613" s="44" t="str">
        <v/>
      </c>
      <c r="M613" s="44" t="str">
        <v/>
      </c>
      <c r="N613" s="44" t="str">
        <v/>
      </c>
      <c r="O613" s="44" t="str">
        <v/>
      </c>
      <c r="P613" s="44" t="str">
        <v/>
      </c>
    </row>
    <row r="614" spans="1:16" x14ac:dyDescent="0.2">
      <c r="A614" s="58" t="str">
        <v/>
      </c>
      <c r="B614" s="131" t="str">
        <f>IFERROR(TIMEVALUE(DaqBook_RAW_Data!A604),"")</f>
        <v/>
      </c>
      <c r="C614" s="44" t="str">
        <v/>
      </c>
      <c r="D614" s="44" t="str">
        <v/>
      </c>
      <c r="E614" s="44" t="str">
        <v/>
      </c>
      <c r="F614" s="44" t="str">
        <v/>
      </c>
      <c r="G614" s="44" t="str">
        <v/>
      </c>
      <c r="H614" s="44" t="str">
        <v/>
      </c>
      <c r="I614" s="44" t="str">
        <v/>
      </c>
      <c r="J614" s="44" t="str">
        <v/>
      </c>
      <c r="K614" s="44" t="str">
        <v/>
      </c>
      <c r="L614" s="44" t="str">
        <v/>
      </c>
      <c r="M614" s="44" t="str">
        <v/>
      </c>
      <c r="N614" s="44" t="str">
        <v/>
      </c>
      <c r="O614" s="44" t="str">
        <v/>
      </c>
      <c r="P614" s="44" t="str">
        <v/>
      </c>
    </row>
    <row r="615" spans="1:16" x14ac:dyDescent="0.2">
      <c r="A615" s="58" t="str">
        <v/>
      </c>
      <c r="B615" s="131" t="str">
        <f>IFERROR(TIMEVALUE(DaqBook_RAW_Data!A605),"")</f>
        <v/>
      </c>
      <c r="C615" s="44" t="str">
        <v/>
      </c>
      <c r="D615" s="44" t="str">
        <v/>
      </c>
      <c r="E615" s="44" t="str">
        <v/>
      </c>
      <c r="F615" s="44" t="str">
        <v/>
      </c>
      <c r="G615" s="44" t="str">
        <v/>
      </c>
      <c r="H615" s="44" t="str">
        <v/>
      </c>
      <c r="I615" s="44" t="str">
        <v/>
      </c>
      <c r="J615" s="44" t="str">
        <v/>
      </c>
      <c r="K615" s="44" t="str">
        <v/>
      </c>
      <c r="L615" s="44" t="str">
        <v/>
      </c>
      <c r="M615" s="44" t="str">
        <v/>
      </c>
      <c r="N615" s="44" t="str">
        <v/>
      </c>
      <c r="O615" s="44" t="str">
        <v/>
      </c>
      <c r="P615" s="44" t="str">
        <v/>
      </c>
    </row>
    <row r="616" spans="1:16" x14ac:dyDescent="0.2">
      <c r="A616" s="58" t="str">
        <v/>
      </c>
      <c r="B616" s="131" t="str">
        <f>IFERROR(TIMEVALUE(DaqBook_RAW_Data!A606),"")</f>
        <v/>
      </c>
      <c r="C616" s="44" t="str">
        <v/>
      </c>
      <c r="D616" s="44" t="str">
        <v/>
      </c>
      <c r="E616" s="44" t="str">
        <v/>
      </c>
      <c r="F616" s="44" t="str">
        <v/>
      </c>
      <c r="G616" s="44" t="str">
        <v/>
      </c>
      <c r="H616" s="44" t="str">
        <v/>
      </c>
      <c r="I616" s="44" t="str">
        <v/>
      </c>
      <c r="J616" s="44" t="str">
        <v/>
      </c>
      <c r="K616" s="44" t="str">
        <v/>
      </c>
      <c r="L616" s="44" t="str">
        <v/>
      </c>
      <c r="M616" s="44" t="str">
        <v/>
      </c>
      <c r="N616" s="44" t="str">
        <v/>
      </c>
      <c r="O616" s="44" t="str">
        <v/>
      </c>
      <c r="P616" s="44" t="str">
        <v/>
      </c>
    </row>
    <row r="617" spans="1:16" x14ac:dyDescent="0.2">
      <c r="A617" s="58" t="str">
        <v/>
      </c>
      <c r="B617" s="131" t="str">
        <f>IFERROR(TIMEVALUE(DaqBook_RAW_Data!A607),"")</f>
        <v/>
      </c>
      <c r="C617" s="44" t="str">
        <v/>
      </c>
      <c r="D617" s="44" t="str">
        <v/>
      </c>
      <c r="E617" s="44" t="str">
        <v/>
      </c>
      <c r="F617" s="44" t="str">
        <v/>
      </c>
      <c r="G617" s="44" t="str">
        <v/>
      </c>
      <c r="H617" s="44" t="str">
        <v/>
      </c>
      <c r="I617" s="44" t="str">
        <v/>
      </c>
      <c r="J617" s="44" t="str">
        <v/>
      </c>
      <c r="K617" s="44" t="str">
        <v/>
      </c>
      <c r="L617" s="44" t="str">
        <v/>
      </c>
      <c r="M617" s="44" t="str">
        <v/>
      </c>
      <c r="N617" s="44" t="str">
        <v/>
      </c>
      <c r="O617" s="44" t="str">
        <v/>
      </c>
      <c r="P617" s="44" t="str">
        <v/>
      </c>
    </row>
    <row r="618" spans="1:16" x14ac:dyDescent="0.2">
      <c r="A618" s="58" t="str">
        <v/>
      </c>
      <c r="B618" s="131" t="str">
        <f>IFERROR(TIMEVALUE(DaqBook_RAW_Data!A608),"")</f>
        <v/>
      </c>
      <c r="C618" s="44" t="str">
        <v/>
      </c>
      <c r="D618" s="44" t="str">
        <v/>
      </c>
      <c r="E618" s="44" t="str">
        <v/>
      </c>
      <c r="F618" s="44" t="str">
        <v/>
      </c>
      <c r="G618" s="44" t="str">
        <v/>
      </c>
      <c r="H618" s="44" t="str">
        <v/>
      </c>
      <c r="I618" s="44" t="str">
        <v/>
      </c>
      <c r="J618" s="44" t="str">
        <v/>
      </c>
      <c r="K618" s="44" t="str">
        <v/>
      </c>
      <c r="L618" s="44" t="str">
        <v/>
      </c>
      <c r="M618" s="44" t="str">
        <v/>
      </c>
      <c r="N618" s="44" t="str">
        <v/>
      </c>
      <c r="O618" s="44" t="str">
        <v/>
      </c>
      <c r="P618" s="44" t="str">
        <v/>
      </c>
    </row>
    <row r="619" spans="1:16" x14ac:dyDescent="0.2">
      <c r="A619" s="58" t="str">
        <v/>
      </c>
      <c r="B619" s="131" t="str">
        <f>IFERROR(TIMEVALUE(DaqBook_RAW_Data!A609),"")</f>
        <v/>
      </c>
      <c r="C619" s="44" t="str">
        <v/>
      </c>
      <c r="D619" s="44" t="str">
        <v/>
      </c>
      <c r="E619" s="44" t="str">
        <v/>
      </c>
      <c r="F619" s="44" t="str">
        <v/>
      </c>
      <c r="G619" s="44" t="str">
        <v/>
      </c>
      <c r="H619" s="44" t="str">
        <v/>
      </c>
      <c r="I619" s="44" t="str">
        <v/>
      </c>
      <c r="J619" s="44" t="str">
        <v/>
      </c>
      <c r="K619" s="44" t="str">
        <v/>
      </c>
      <c r="L619" s="44" t="str">
        <v/>
      </c>
      <c r="M619" s="44" t="str">
        <v/>
      </c>
      <c r="N619" s="44" t="str">
        <v/>
      </c>
      <c r="O619" s="44" t="str">
        <v/>
      </c>
      <c r="P619" s="44" t="str">
        <v/>
      </c>
    </row>
    <row r="620" spans="1:16" x14ac:dyDescent="0.2">
      <c r="A620" s="58" t="str">
        <v/>
      </c>
      <c r="B620" s="131" t="str">
        <f>IFERROR(TIMEVALUE(DaqBook_RAW_Data!A610),"")</f>
        <v/>
      </c>
      <c r="C620" s="44" t="str">
        <v/>
      </c>
      <c r="D620" s="44" t="str">
        <v/>
      </c>
      <c r="E620" s="44" t="str">
        <v/>
      </c>
      <c r="F620" s="44" t="str">
        <v/>
      </c>
      <c r="G620" s="44" t="str">
        <v/>
      </c>
      <c r="H620" s="44" t="str">
        <v/>
      </c>
      <c r="I620" s="44" t="str">
        <v/>
      </c>
      <c r="J620" s="44" t="str">
        <v/>
      </c>
      <c r="K620" s="44" t="str">
        <v/>
      </c>
      <c r="L620" s="44" t="str">
        <v/>
      </c>
      <c r="M620" s="44" t="str">
        <v/>
      </c>
      <c r="N620" s="44" t="str">
        <v/>
      </c>
      <c r="O620" s="44" t="str">
        <v/>
      </c>
      <c r="P620" s="44" t="str">
        <v/>
      </c>
    </row>
    <row r="621" spans="1:16" x14ac:dyDescent="0.2">
      <c r="A621" s="58" t="str">
        <v/>
      </c>
      <c r="B621" s="131" t="str">
        <f>IFERROR(TIMEVALUE(DaqBook_RAW_Data!A611),"")</f>
        <v/>
      </c>
      <c r="C621" s="44" t="str">
        <v/>
      </c>
      <c r="D621" s="44" t="str">
        <v/>
      </c>
      <c r="E621" s="44" t="str">
        <v/>
      </c>
      <c r="F621" s="44" t="str">
        <v/>
      </c>
      <c r="G621" s="44" t="str">
        <v/>
      </c>
      <c r="H621" s="44" t="str">
        <v/>
      </c>
      <c r="I621" s="44" t="str">
        <v/>
      </c>
      <c r="J621" s="44" t="str">
        <v/>
      </c>
      <c r="K621" s="44" t="str">
        <v/>
      </c>
      <c r="L621" s="44" t="str">
        <v/>
      </c>
      <c r="M621" s="44" t="str">
        <v/>
      </c>
      <c r="N621" s="44" t="str">
        <v/>
      </c>
      <c r="O621" s="44" t="str">
        <v/>
      </c>
      <c r="P621" s="44" t="str">
        <v/>
      </c>
    </row>
    <row r="622" spans="1:16" x14ac:dyDescent="0.2">
      <c r="A622" s="58" t="str">
        <v/>
      </c>
      <c r="B622" s="131" t="str">
        <f>IFERROR(TIMEVALUE(DaqBook_RAW_Data!A612),"")</f>
        <v/>
      </c>
      <c r="C622" s="44" t="str">
        <v/>
      </c>
      <c r="D622" s="44" t="str">
        <v/>
      </c>
      <c r="E622" s="44" t="str">
        <v/>
      </c>
      <c r="F622" s="44" t="str">
        <v/>
      </c>
      <c r="G622" s="44" t="str">
        <v/>
      </c>
      <c r="H622" s="44" t="str">
        <v/>
      </c>
      <c r="I622" s="44" t="str">
        <v/>
      </c>
      <c r="J622" s="44" t="str">
        <v/>
      </c>
      <c r="K622" s="44" t="str">
        <v/>
      </c>
      <c r="L622" s="44" t="str">
        <v/>
      </c>
      <c r="M622" s="44" t="str">
        <v/>
      </c>
      <c r="N622" s="44" t="str">
        <v/>
      </c>
      <c r="O622" s="44" t="str">
        <v/>
      </c>
      <c r="P622" s="44" t="str">
        <v/>
      </c>
    </row>
    <row r="623" spans="1:16" x14ac:dyDescent="0.2">
      <c r="A623" s="58" t="str">
        <v/>
      </c>
      <c r="B623" s="131" t="str">
        <f>IFERROR(TIMEVALUE(DaqBook_RAW_Data!A613),"")</f>
        <v/>
      </c>
      <c r="C623" s="44" t="str">
        <v/>
      </c>
      <c r="D623" s="44" t="str">
        <v/>
      </c>
      <c r="E623" s="44" t="str">
        <v/>
      </c>
      <c r="F623" s="44" t="str">
        <v/>
      </c>
      <c r="G623" s="44" t="str">
        <v/>
      </c>
      <c r="H623" s="44" t="str">
        <v/>
      </c>
      <c r="I623" s="44" t="str">
        <v/>
      </c>
      <c r="J623" s="44" t="str">
        <v/>
      </c>
      <c r="K623" s="44" t="str">
        <v/>
      </c>
      <c r="L623" s="44" t="str">
        <v/>
      </c>
      <c r="M623" s="44" t="str">
        <v/>
      </c>
      <c r="N623" s="44" t="str">
        <v/>
      </c>
      <c r="O623" s="44" t="str">
        <v/>
      </c>
      <c r="P623" s="44" t="str">
        <v/>
      </c>
    </row>
    <row r="624" spans="1:16" x14ac:dyDescent="0.2">
      <c r="A624" s="58" t="str">
        <v/>
      </c>
      <c r="B624" s="131" t="str">
        <f>IFERROR(TIMEVALUE(DaqBook_RAW_Data!A614),"")</f>
        <v/>
      </c>
      <c r="C624" s="44" t="str">
        <v/>
      </c>
      <c r="D624" s="44" t="str">
        <v/>
      </c>
      <c r="E624" s="44" t="str">
        <v/>
      </c>
      <c r="F624" s="44" t="str">
        <v/>
      </c>
      <c r="G624" s="44" t="str">
        <v/>
      </c>
      <c r="H624" s="44" t="str">
        <v/>
      </c>
      <c r="I624" s="44" t="str">
        <v/>
      </c>
      <c r="J624" s="44" t="str">
        <v/>
      </c>
      <c r="K624" s="44" t="str">
        <v/>
      </c>
      <c r="L624" s="44" t="str">
        <v/>
      </c>
      <c r="M624" s="44" t="str">
        <v/>
      </c>
      <c r="N624" s="44" t="str">
        <v/>
      </c>
      <c r="O624" s="44" t="str">
        <v/>
      </c>
      <c r="P624" s="44" t="str">
        <v/>
      </c>
    </row>
    <row r="625" spans="1:16" x14ac:dyDescent="0.2">
      <c r="A625" s="58" t="str">
        <v/>
      </c>
      <c r="B625" s="131" t="str">
        <f>IFERROR(TIMEVALUE(DaqBook_RAW_Data!A615),"")</f>
        <v/>
      </c>
      <c r="C625" s="44" t="str">
        <v/>
      </c>
      <c r="D625" s="44" t="str">
        <v/>
      </c>
      <c r="E625" s="44" t="str">
        <v/>
      </c>
      <c r="F625" s="44" t="str">
        <v/>
      </c>
      <c r="G625" s="44" t="str">
        <v/>
      </c>
      <c r="H625" s="44" t="str">
        <v/>
      </c>
      <c r="I625" s="44" t="str">
        <v/>
      </c>
      <c r="J625" s="44" t="str">
        <v/>
      </c>
      <c r="K625" s="44" t="str">
        <v/>
      </c>
      <c r="L625" s="44" t="str">
        <v/>
      </c>
      <c r="M625" s="44" t="str">
        <v/>
      </c>
      <c r="N625" s="44" t="str">
        <v/>
      </c>
      <c r="O625" s="44" t="str">
        <v/>
      </c>
      <c r="P625" s="44" t="str">
        <v/>
      </c>
    </row>
    <row r="626" spans="1:16" x14ac:dyDescent="0.2">
      <c r="A626" s="58" t="str">
        <v/>
      </c>
      <c r="B626" s="131" t="str">
        <f>IFERROR(TIMEVALUE(DaqBook_RAW_Data!A616),"")</f>
        <v/>
      </c>
      <c r="C626" s="44" t="str">
        <v/>
      </c>
      <c r="D626" s="44" t="str">
        <v/>
      </c>
      <c r="E626" s="44" t="str">
        <v/>
      </c>
      <c r="F626" s="44" t="str">
        <v/>
      </c>
      <c r="G626" s="44" t="str">
        <v/>
      </c>
      <c r="H626" s="44" t="str">
        <v/>
      </c>
      <c r="I626" s="44" t="str">
        <v/>
      </c>
      <c r="J626" s="44" t="str">
        <v/>
      </c>
      <c r="K626" s="44" t="str">
        <v/>
      </c>
      <c r="L626" s="44" t="str">
        <v/>
      </c>
      <c r="M626" s="44" t="str">
        <v/>
      </c>
      <c r="N626" s="44" t="str">
        <v/>
      </c>
      <c r="O626" s="44" t="str">
        <v/>
      </c>
      <c r="P626" s="44" t="str">
        <v/>
      </c>
    </row>
    <row r="627" spans="1:16" x14ac:dyDescent="0.2">
      <c r="A627" s="58" t="str">
        <v/>
      </c>
      <c r="B627" s="131" t="str">
        <f>IFERROR(TIMEVALUE(DaqBook_RAW_Data!A617),"")</f>
        <v/>
      </c>
      <c r="C627" s="44" t="str">
        <v/>
      </c>
      <c r="D627" s="44" t="str">
        <v/>
      </c>
      <c r="E627" s="44" t="str">
        <v/>
      </c>
      <c r="F627" s="44" t="str">
        <v/>
      </c>
      <c r="G627" s="44" t="str">
        <v/>
      </c>
      <c r="H627" s="44" t="str">
        <v/>
      </c>
      <c r="I627" s="44" t="str">
        <v/>
      </c>
      <c r="J627" s="44" t="str">
        <v/>
      </c>
      <c r="K627" s="44" t="str">
        <v/>
      </c>
      <c r="L627" s="44" t="str">
        <v/>
      </c>
      <c r="M627" s="44" t="str">
        <v/>
      </c>
      <c r="N627" s="44" t="str">
        <v/>
      </c>
      <c r="O627" s="44" t="str">
        <v/>
      </c>
      <c r="P627" s="44" t="str">
        <v/>
      </c>
    </row>
    <row r="628" spans="1:16" x14ac:dyDescent="0.2">
      <c r="A628" s="58" t="str">
        <v/>
      </c>
      <c r="B628" s="131" t="str">
        <f>IFERROR(TIMEVALUE(DaqBook_RAW_Data!A618),"")</f>
        <v/>
      </c>
      <c r="C628" s="44" t="str">
        <v/>
      </c>
      <c r="D628" s="44" t="str">
        <v/>
      </c>
      <c r="E628" s="44" t="str">
        <v/>
      </c>
      <c r="F628" s="44" t="str">
        <v/>
      </c>
      <c r="G628" s="44" t="str">
        <v/>
      </c>
      <c r="H628" s="44" t="str">
        <v/>
      </c>
      <c r="I628" s="44" t="str">
        <v/>
      </c>
      <c r="J628" s="44" t="str">
        <v/>
      </c>
      <c r="K628" s="44" t="str">
        <v/>
      </c>
      <c r="L628" s="44" t="str">
        <v/>
      </c>
      <c r="M628" s="44" t="str">
        <v/>
      </c>
      <c r="N628" s="44" t="str">
        <v/>
      </c>
      <c r="O628" s="44" t="str">
        <v/>
      </c>
      <c r="P628" s="44" t="str">
        <v/>
      </c>
    </row>
    <row r="629" spans="1:16" x14ac:dyDescent="0.2">
      <c r="A629" s="58" t="str">
        <v/>
      </c>
      <c r="B629" s="131" t="str">
        <f>IFERROR(TIMEVALUE(DaqBook_RAW_Data!A619),"")</f>
        <v/>
      </c>
      <c r="C629" s="44" t="str">
        <v/>
      </c>
      <c r="D629" s="44" t="str">
        <v/>
      </c>
      <c r="E629" s="44" t="str">
        <v/>
      </c>
      <c r="F629" s="44" t="str">
        <v/>
      </c>
      <c r="G629" s="44" t="str">
        <v/>
      </c>
      <c r="H629" s="44" t="str">
        <v/>
      </c>
      <c r="I629" s="44" t="str">
        <v/>
      </c>
      <c r="J629" s="44" t="str">
        <v/>
      </c>
      <c r="K629" s="44" t="str">
        <v/>
      </c>
      <c r="L629" s="44" t="str">
        <v/>
      </c>
      <c r="M629" s="44" t="str">
        <v/>
      </c>
      <c r="N629" s="44" t="str">
        <v/>
      </c>
      <c r="O629" s="44" t="str">
        <v/>
      </c>
      <c r="P629" s="44" t="str">
        <v/>
      </c>
    </row>
    <row r="630" spans="1:16" x14ac:dyDescent="0.2">
      <c r="A630" s="58" t="str">
        <v/>
      </c>
      <c r="B630" s="131" t="str">
        <f>IFERROR(TIMEVALUE(DaqBook_RAW_Data!A620),"")</f>
        <v/>
      </c>
      <c r="C630" s="44" t="str">
        <v/>
      </c>
      <c r="D630" s="44" t="str">
        <v/>
      </c>
      <c r="E630" s="44" t="str">
        <v/>
      </c>
      <c r="F630" s="44" t="str">
        <v/>
      </c>
      <c r="G630" s="44" t="str">
        <v/>
      </c>
      <c r="H630" s="44" t="str">
        <v/>
      </c>
      <c r="I630" s="44" t="str">
        <v/>
      </c>
      <c r="J630" s="44" t="str">
        <v/>
      </c>
      <c r="K630" s="44" t="str">
        <v/>
      </c>
      <c r="L630" s="44" t="str">
        <v/>
      </c>
      <c r="M630" s="44" t="str">
        <v/>
      </c>
      <c r="N630" s="44" t="str">
        <v/>
      </c>
      <c r="O630" s="44" t="str">
        <v/>
      </c>
      <c r="P630" s="44" t="str">
        <v/>
      </c>
    </row>
    <row r="631" spans="1:16" x14ac:dyDescent="0.2">
      <c r="A631" s="58" t="str">
        <v/>
      </c>
      <c r="B631" s="131" t="str">
        <f>IFERROR(TIMEVALUE(DaqBook_RAW_Data!A621),"")</f>
        <v/>
      </c>
      <c r="C631" s="44" t="str">
        <v/>
      </c>
      <c r="D631" s="44" t="str">
        <v/>
      </c>
      <c r="E631" s="44" t="str">
        <v/>
      </c>
      <c r="F631" s="44" t="str">
        <v/>
      </c>
      <c r="G631" s="44" t="str">
        <v/>
      </c>
      <c r="H631" s="44" t="str">
        <v/>
      </c>
      <c r="I631" s="44" t="str">
        <v/>
      </c>
      <c r="J631" s="44" t="str">
        <v/>
      </c>
      <c r="K631" s="44" t="str">
        <v/>
      </c>
      <c r="L631" s="44" t="str">
        <v/>
      </c>
      <c r="M631" s="44" t="str">
        <v/>
      </c>
      <c r="N631" s="44" t="str">
        <v/>
      </c>
      <c r="O631" s="44" t="str">
        <v/>
      </c>
      <c r="P631" s="44" t="str">
        <v/>
      </c>
    </row>
    <row r="632" spans="1:16" x14ac:dyDescent="0.2">
      <c r="A632" s="58" t="str">
        <v/>
      </c>
      <c r="B632" s="131" t="str">
        <f>IFERROR(TIMEVALUE(DaqBook_RAW_Data!A622),"")</f>
        <v/>
      </c>
      <c r="C632" s="44" t="str">
        <v/>
      </c>
      <c r="D632" s="44" t="str">
        <v/>
      </c>
      <c r="E632" s="44" t="str">
        <v/>
      </c>
      <c r="F632" s="44" t="str">
        <v/>
      </c>
      <c r="G632" s="44" t="str">
        <v/>
      </c>
      <c r="H632" s="44" t="str">
        <v/>
      </c>
      <c r="I632" s="44" t="str">
        <v/>
      </c>
      <c r="J632" s="44" t="str">
        <v/>
      </c>
      <c r="K632" s="44" t="str">
        <v/>
      </c>
      <c r="L632" s="44" t="str">
        <v/>
      </c>
      <c r="M632" s="44" t="str">
        <v/>
      </c>
      <c r="N632" s="44" t="str">
        <v/>
      </c>
      <c r="O632" s="44" t="str">
        <v/>
      </c>
      <c r="P632" s="44" t="str">
        <v/>
      </c>
    </row>
    <row r="633" spans="1:16" x14ac:dyDescent="0.2">
      <c r="A633" s="58" t="str">
        <v/>
      </c>
      <c r="B633" s="131" t="str">
        <f>IFERROR(TIMEVALUE(DaqBook_RAW_Data!A623),"")</f>
        <v/>
      </c>
      <c r="C633" s="44" t="str">
        <v/>
      </c>
      <c r="D633" s="44" t="str">
        <v/>
      </c>
      <c r="E633" s="44" t="str">
        <v/>
      </c>
      <c r="F633" s="44" t="str">
        <v/>
      </c>
      <c r="G633" s="44" t="str">
        <v/>
      </c>
      <c r="H633" s="44" t="str">
        <v/>
      </c>
      <c r="I633" s="44" t="str">
        <v/>
      </c>
      <c r="J633" s="44" t="str">
        <v/>
      </c>
      <c r="K633" s="44" t="str">
        <v/>
      </c>
      <c r="L633" s="44" t="str">
        <v/>
      </c>
      <c r="M633" s="44" t="str">
        <v/>
      </c>
      <c r="N633" s="44" t="str">
        <v/>
      </c>
      <c r="O633" s="44" t="str">
        <v/>
      </c>
      <c r="P633" s="44" t="str">
        <v/>
      </c>
    </row>
    <row r="634" spans="1:16" x14ac:dyDescent="0.2">
      <c r="A634" s="58" t="str">
        <v/>
      </c>
      <c r="B634" s="131" t="str">
        <f>IFERROR(TIMEVALUE(DaqBook_RAW_Data!A624),"")</f>
        <v/>
      </c>
      <c r="C634" s="44" t="str">
        <v/>
      </c>
      <c r="D634" s="44" t="str">
        <v/>
      </c>
      <c r="E634" s="44" t="str">
        <v/>
      </c>
      <c r="F634" s="44" t="str">
        <v/>
      </c>
      <c r="G634" s="44" t="str">
        <v/>
      </c>
      <c r="H634" s="44" t="str">
        <v/>
      </c>
      <c r="I634" s="44" t="str">
        <v/>
      </c>
      <c r="J634" s="44" t="str">
        <v/>
      </c>
      <c r="K634" s="44" t="str">
        <v/>
      </c>
      <c r="L634" s="44" t="str">
        <v/>
      </c>
      <c r="M634" s="44" t="str">
        <v/>
      </c>
      <c r="N634" s="44" t="str">
        <v/>
      </c>
      <c r="O634" s="44" t="str">
        <v/>
      </c>
      <c r="P634" s="44" t="str">
        <v/>
      </c>
    </row>
    <row r="635" spans="1:16" x14ac:dyDescent="0.2">
      <c r="A635" s="58" t="str">
        <v/>
      </c>
      <c r="B635" s="131" t="str">
        <f>IFERROR(TIMEVALUE(DaqBook_RAW_Data!A625),"")</f>
        <v/>
      </c>
      <c r="C635" s="44" t="str">
        <v/>
      </c>
      <c r="D635" s="44" t="str">
        <v/>
      </c>
      <c r="E635" s="44" t="str">
        <v/>
      </c>
      <c r="F635" s="44" t="str">
        <v/>
      </c>
      <c r="G635" s="44" t="str">
        <v/>
      </c>
      <c r="H635" s="44" t="str">
        <v/>
      </c>
      <c r="I635" s="44" t="str">
        <v/>
      </c>
      <c r="J635" s="44" t="str">
        <v/>
      </c>
      <c r="K635" s="44" t="str">
        <v/>
      </c>
      <c r="L635" s="44" t="str">
        <v/>
      </c>
      <c r="M635" s="44" t="str">
        <v/>
      </c>
      <c r="N635" s="44" t="str">
        <v/>
      </c>
      <c r="O635" s="44" t="str">
        <v/>
      </c>
      <c r="P635" s="44" t="str">
        <v/>
      </c>
    </row>
    <row r="636" spans="1:16" x14ac:dyDescent="0.2">
      <c r="A636" s="58" t="str">
        <v/>
      </c>
      <c r="B636" s="131" t="str">
        <f>IFERROR(TIMEVALUE(DaqBook_RAW_Data!A626),"")</f>
        <v/>
      </c>
      <c r="C636" s="44" t="str">
        <v/>
      </c>
      <c r="D636" s="44" t="str">
        <v/>
      </c>
      <c r="E636" s="44" t="str">
        <v/>
      </c>
      <c r="F636" s="44" t="str">
        <v/>
      </c>
      <c r="G636" s="44" t="str">
        <v/>
      </c>
      <c r="H636" s="44" t="str">
        <v/>
      </c>
      <c r="I636" s="44" t="str">
        <v/>
      </c>
      <c r="J636" s="44" t="str">
        <v/>
      </c>
      <c r="K636" s="44" t="str">
        <v/>
      </c>
      <c r="L636" s="44" t="str">
        <v/>
      </c>
      <c r="M636" s="44" t="str">
        <v/>
      </c>
      <c r="N636" s="44" t="str">
        <v/>
      </c>
      <c r="O636" s="44" t="str">
        <v/>
      </c>
      <c r="P636" s="44" t="str">
        <v/>
      </c>
    </row>
    <row r="637" spans="1:16" x14ac:dyDescent="0.2">
      <c r="A637" s="58" t="str">
        <v/>
      </c>
      <c r="B637" s="131" t="str">
        <f>IFERROR(TIMEVALUE(DaqBook_RAW_Data!A627),"")</f>
        <v/>
      </c>
      <c r="C637" s="44" t="str">
        <v/>
      </c>
      <c r="D637" s="44" t="str">
        <v/>
      </c>
      <c r="E637" s="44" t="str">
        <v/>
      </c>
      <c r="F637" s="44" t="str">
        <v/>
      </c>
      <c r="G637" s="44" t="str">
        <v/>
      </c>
      <c r="H637" s="44" t="str">
        <v/>
      </c>
      <c r="I637" s="44" t="str">
        <v/>
      </c>
      <c r="J637" s="44" t="str">
        <v/>
      </c>
      <c r="K637" s="44" t="str">
        <v/>
      </c>
      <c r="L637" s="44" t="str">
        <v/>
      </c>
      <c r="M637" s="44" t="str">
        <v/>
      </c>
      <c r="N637" s="44" t="str">
        <v/>
      </c>
      <c r="O637" s="44" t="str">
        <v/>
      </c>
      <c r="P637" s="44" t="str">
        <v/>
      </c>
    </row>
    <row r="638" spans="1:16" x14ac:dyDescent="0.2">
      <c r="A638" s="58" t="str">
        <v/>
      </c>
      <c r="B638" s="131" t="str">
        <f>IFERROR(TIMEVALUE(DaqBook_RAW_Data!A628),"")</f>
        <v/>
      </c>
      <c r="C638" s="44" t="str">
        <v/>
      </c>
      <c r="D638" s="44" t="str">
        <v/>
      </c>
      <c r="E638" s="44" t="str">
        <v/>
      </c>
      <c r="F638" s="44" t="str">
        <v/>
      </c>
      <c r="G638" s="44" t="str">
        <v/>
      </c>
      <c r="H638" s="44" t="str">
        <v/>
      </c>
      <c r="I638" s="44" t="str">
        <v/>
      </c>
      <c r="J638" s="44" t="str">
        <v/>
      </c>
      <c r="K638" s="44" t="str">
        <v/>
      </c>
      <c r="L638" s="44" t="str">
        <v/>
      </c>
      <c r="M638" s="44" t="str">
        <v/>
      </c>
      <c r="N638" s="44" t="str">
        <v/>
      </c>
      <c r="O638" s="44" t="str">
        <v/>
      </c>
      <c r="P638" s="44" t="str">
        <v/>
      </c>
    </row>
    <row r="639" spans="1:16" x14ac:dyDescent="0.2">
      <c r="A639" s="58" t="str">
        <v/>
      </c>
      <c r="B639" s="131" t="str">
        <f>IFERROR(TIMEVALUE(DaqBook_RAW_Data!A629),"")</f>
        <v/>
      </c>
      <c r="C639" s="44" t="str">
        <v/>
      </c>
      <c r="D639" s="44" t="str">
        <v/>
      </c>
      <c r="E639" s="44" t="str">
        <v/>
      </c>
      <c r="F639" s="44" t="str">
        <v/>
      </c>
      <c r="G639" s="44" t="str">
        <v/>
      </c>
      <c r="H639" s="44" t="str">
        <v/>
      </c>
      <c r="I639" s="44" t="str">
        <v/>
      </c>
      <c r="J639" s="44" t="str">
        <v/>
      </c>
      <c r="K639" s="44" t="str">
        <v/>
      </c>
      <c r="L639" s="44" t="str">
        <v/>
      </c>
      <c r="M639" s="44" t="str">
        <v/>
      </c>
      <c r="N639" s="44" t="str">
        <v/>
      </c>
      <c r="O639" s="44" t="str">
        <v/>
      </c>
      <c r="P639" s="44" t="str">
        <v/>
      </c>
    </row>
    <row r="640" spans="1:16" x14ac:dyDescent="0.2">
      <c r="A640" s="58" t="str">
        <v/>
      </c>
      <c r="B640" s="131" t="str">
        <f>IFERROR(TIMEVALUE(DaqBook_RAW_Data!A630),"")</f>
        <v/>
      </c>
      <c r="C640" s="44" t="str">
        <v/>
      </c>
      <c r="D640" s="44" t="str">
        <v/>
      </c>
      <c r="E640" s="44" t="str">
        <v/>
      </c>
      <c r="F640" s="44" t="str">
        <v/>
      </c>
      <c r="G640" s="44" t="str">
        <v/>
      </c>
      <c r="H640" s="44" t="str">
        <v/>
      </c>
      <c r="I640" s="44" t="str">
        <v/>
      </c>
      <c r="J640" s="44" t="str">
        <v/>
      </c>
      <c r="K640" s="44" t="str">
        <v/>
      </c>
      <c r="L640" s="44" t="str">
        <v/>
      </c>
      <c r="M640" s="44" t="str">
        <v/>
      </c>
      <c r="N640" s="44" t="str">
        <v/>
      </c>
      <c r="O640" s="44" t="str">
        <v/>
      </c>
      <c r="P640" s="44" t="str">
        <v/>
      </c>
    </row>
    <row r="641" spans="1:16" x14ac:dyDescent="0.2">
      <c r="A641" s="58" t="str">
        <v/>
      </c>
      <c r="B641" s="131" t="str">
        <f>IFERROR(TIMEVALUE(DaqBook_RAW_Data!A631),"")</f>
        <v/>
      </c>
      <c r="C641" s="44" t="str">
        <v/>
      </c>
      <c r="D641" s="44" t="str">
        <v/>
      </c>
      <c r="E641" s="44" t="str">
        <v/>
      </c>
      <c r="F641" s="44" t="str">
        <v/>
      </c>
      <c r="G641" s="44" t="str">
        <v/>
      </c>
      <c r="H641" s="44" t="str">
        <v/>
      </c>
      <c r="I641" s="44" t="str">
        <v/>
      </c>
      <c r="J641" s="44" t="str">
        <v/>
      </c>
      <c r="K641" s="44" t="str">
        <v/>
      </c>
      <c r="L641" s="44" t="str">
        <v/>
      </c>
      <c r="M641" s="44" t="str">
        <v/>
      </c>
      <c r="N641" s="44" t="str">
        <v/>
      </c>
      <c r="O641" s="44" t="str">
        <v/>
      </c>
      <c r="P641" s="44" t="str">
        <v/>
      </c>
    </row>
    <row r="642" spans="1:16" x14ac:dyDescent="0.2">
      <c r="A642" s="58" t="str">
        <v/>
      </c>
      <c r="B642" s="131" t="str">
        <f>IFERROR(TIMEVALUE(DaqBook_RAW_Data!A632),"")</f>
        <v/>
      </c>
      <c r="C642" s="44" t="str">
        <v/>
      </c>
      <c r="D642" s="44" t="str">
        <v/>
      </c>
      <c r="E642" s="44" t="str">
        <v/>
      </c>
      <c r="F642" s="44" t="str">
        <v/>
      </c>
      <c r="G642" s="44" t="str">
        <v/>
      </c>
      <c r="H642" s="44" t="str">
        <v/>
      </c>
      <c r="I642" s="44" t="str">
        <v/>
      </c>
      <c r="J642" s="44" t="str">
        <v/>
      </c>
      <c r="K642" s="44" t="str">
        <v/>
      </c>
      <c r="L642" s="44" t="str">
        <v/>
      </c>
      <c r="M642" s="44" t="str">
        <v/>
      </c>
      <c r="N642" s="44" t="str">
        <v/>
      </c>
      <c r="O642" s="44" t="str">
        <v/>
      </c>
      <c r="P642" s="44" t="str">
        <v/>
      </c>
    </row>
    <row r="643" spans="1:16" x14ac:dyDescent="0.2">
      <c r="A643" s="58" t="str">
        <v/>
      </c>
      <c r="B643" s="131" t="str">
        <f>IFERROR(TIMEVALUE(DaqBook_RAW_Data!A633),"")</f>
        <v/>
      </c>
      <c r="C643" s="44" t="str">
        <v/>
      </c>
      <c r="D643" s="44" t="str">
        <v/>
      </c>
      <c r="E643" s="44" t="str">
        <v/>
      </c>
      <c r="F643" s="44" t="str">
        <v/>
      </c>
      <c r="G643" s="44" t="str">
        <v/>
      </c>
      <c r="H643" s="44" t="str">
        <v/>
      </c>
      <c r="I643" s="44" t="str">
        <v/>
      </c>
      <c r="J643" s="44" t="str">
        <v/>
      </c>
      <c r="K643" s="44" t="str">
        <v/>
      </c>
      <c r="L643" s="44" t="str">
        <v/>
      </c>
      <c r="M643" s="44" t="str">
        <v/>
      </c>
      <c r="N643" s="44" t="str">
        <v/>
      </c>
      <c r="O643" s="44" t="str">
        <v/>
      </c>
      <c r="P643" s="44" t="str">
        <v/>
      </c>
    </row>
    <row r="644" spans="1:16" x14ac:dyDescent="0.2">
      <c r="A644" s="58" t="str">
        <v/>
      </c>
      <c r="B644" s="131" t="str">
        <f>IFERROR(TIMEVALUE(DaqBook_RAW_Data!A634),"")</f>
        <v/>
      </c>
      <c r="C644" s="44" t="str">
        <v/>
      </c>
      <c r="D644" s="44" t="str">
        <v/>
      </c>
      <c r="E644" s="44" t="str">
        <v/>
      </c>
      <c r="F644" s="44" t="str">
        <v/>
      </c>
      <c r="G644" s="44" t="str">
        <v/>
      </c>
      <c r="H644" s="44" t="str">
        <v/>
      </c>
      <c r="I644" s="44" t="str">
        <v/>
      </c>
      <c r="J644" s="44" t="str">
        <v/>
      </c>
      <c r="K644" s="44" t="str">
        <v/>
      </c>
      <c r="L644" s="44" t="str">
        <v/>
      </c>
      <c r="M644" s="44" t="str">
        <v/>
      </c>
      <c r="N644" s="44" t="str">
        <v/>
      </c>
      <c r="O644" s="44" t="str">
        <v/>
      </c>
      <c r="P644" s="44" t="str">
        <v/>
      </c>
    </row>
    <row r="645" spans="1:16" x14ac:dyDescent="0.2">
      <c r="A645" s="58" t="str">
        <v/>
      </c>
      <c r="B645" s="131" t="str">
        <f>IFERROR(TIMEVALUE(DaqBook_RAW_Data!A635),"")</f>
        <v/>
      </c>
      <c r="C645" s="44" t="str">
        <v/>
      </c>
      <c r="D645" s="44" t="str">
        <v/>
      </c>
      <c r="E645" s="44" t="str">
        <v/>
      </c>
      <c r="F645" s="44" t="str">
        <v/>
      </c>
      <c r="G645" s="44" t="str">
        <v/>
      </c>
      <c r="H645" s="44" t="str">
        <v/>
      </c>
      <c r="I645" s="44" t="str">
        <v/>
      </c>
      <c r="J645" s="44" t="str">
        <v/>
      </c>
      <c r="K645" s="44" t="str">
        <v/>
      </c>
      <c r="L645" s="44" t="str">
        <v/>
      </c>
      <c r="M645" s="44" t="str">
        <v/>
      </c>
      <c r="N645" s="44" t="str">
        <v/>
      </c>
      <c r="O645" s="44" t="str">
        <v/>
      </c>
      <c r="P645" s="44" t="str">
        <v/>
      </c>
    </row>
    <row r="646" spans="1:16" x14ac:dyDescent="0.2">
      <c r="A646" s="58" t="str">
        <v/>
      </c>
      <c r="B646" s="131" t="str">
        <f>IFERROR(TIMEVALUE(DaqBook_RAW_Data!A636),"")</f>
        <v/>
      </c>
      <c r="C646" s="44" t="str">
        <v/>
      </c>
      <c r="D646" s="44" t="str">
        <v/>
      </c>
      <c r="E646" s="44" t="str">
        <v/>
      </c>
      <c r="F646" s="44" t="str">
        <v/>
      </c>
      <c r="G646" s="44" t="str">
        <v/>
      </c>
      <c r="H646" s="44" t="str">
        <v/>
      </c>
      <c r="I646" s="44" t="str">
        <v/>
      </c>
      <c r="J646" s="44" t="str">
        <v/>
      </c>
      <c r="K646" s="44" t="str">
        <v/>
      </c>
      <c r="L646" s="44" t="str">
        <v/>
      </c>
      <c r="M646" s="44" t="str">
        <v/>
      </c>
      <c r="N646" s="44" t="str">
        <v/>
      </c>
      <c r="O646" s="44" t="str">
        <v/>
      </c>
      <c r="P646" s="44" t="str">
        <v/>
      </c>
    </row>
    <row r="647" spans="1:16" x14ac:dyDescent="0.2">
      <c r="A647" s="58" t="str">
        <v/>
      </c>
      <c r="B647" s="131" t="str">
        <f>IFERROR(TIMEVALUE(DaqBook_RAW_Data!A637),"")</f>
        <v/>
      </c>
      <c r="C647" s="44" t="str">
        <v/>
      </c>
      <c r="D647" s="44" t="str">
        <v/>
      </c>
      <c r="E647" s="44" t="str">
        <v/>
      </c>
      <c r="F647" s="44" t="str">
        <v/>
      </c>
      <c r="G647" s="44" t="str">
        <v/>
      </c>
      <c r="H647" s="44" t="str">
        <v/>
      </c>
      <c r="I647" s="44" t="str">
        <v/>
      </c>
      <c r="J647" s="44" t="str">
        <v/>
      </c>
      <c r="K647" s="44" t="str">
        <v/>
      </c>
      <c r="L647" s="44" t="str">
        <v/>
      </c>
      <c r="M647" s="44" t="str">
        <v/>
      </c>
      <c r="N647" s="44" t="str">
        <v/>
      </c>
      <c r="O647" s="44" t="str">
        <v/>
      </c>
      <c r="P647" s="44" t="str">
        <v/>
      </c>
    </row>
    <row r="648" spans="1:16" x14ac:dyDescent="0.2">
      <c r="A648" s="58" t="str">
        <v/>
      </c>
      <c r="B648" s="131" t="str">
        <f>IFERROR(TIMEVALUE(DaqBook_RAW_Data!A638),"")</f>
        <v/>
      </c>
      <c r="C648" s="44" t="str">
        <v/>
      </c>
      <c r="D648" s="44" t="str">
        <v/>
      </c>
      <c r="E648" s="44" t="str">
        <v/>
      </c>
      <c r="F648" s="44" t="str">
        <v/>
      </c>
      <c r="G648" s="44" t="str">
        <v/>
      </c>
      <c r="H648" s="44" t="str">
        <v/>
      </c>
      <c r="I648" s="44" t="str">
        <v/>
      </c>
      <c r="J648" s="44" t="str">
        <v/>
      </c>
      <c r="K648" s="44" t="str">
        <v/>
      </c>
      <c r="L648" s="44" t="str">
        <v/>
      </c>
      <c r="M648" s="44" t="str">
        <v/>
      </c>
      <c r="N648" s="44" t="str">
        <v/>
      </c>
      <c r="O648" s="44" t="str">
        <v/>
      </c>
      <c r="P648" s="44" t="str">
        <v/>
      </c>
    </row>
    <row r="649" spans="1:16" x14ac:dyDescent="0.2">
      <c r="A649" s="58" t="str">
        <v/>
      </c>
      <c r="B649" s="131" t="str">
        <f>IFERROR(TIMEVALUE(DaqBook_RAW_Data!A639),"")</f>
        <v/>
      </c>
      <c r="C649" s="44" t="str">
        <v/>
      </c>
      <c r="D649" s="44" t="str">
        <v/>
      </c>
      <c r="E649" s="44" t="str">
        <v/>
      </c>
      <c r="F649" s="44" t="str">
        <v/>
      </c>
      <c r="G649" s="44" t="str">
        <v/>
      </c>
      <c r="H649" s="44" t="str">
        <v/>
      </c>
      <c r="I649" s="44" t="str">
        <v/>
      </c>
      <c r="J649" s="44" t="str">
        <v/>
      </c>
      <c r="K649" s="44" t="str">
        <v/>
      </c>
      <c r="L649" s="44" t="str">
        <v/>
      </c>
      <c r="M649" s="44" t="str">
        <v/>
      </c>
      <c r="N649" s="44" t="str">
        <v/>
      </c>
      <c r="O649" s="44" t="str">
        <v/>
      </c>
      <c r="P649" s="44" t="str">
        <v/>
      </c>
    </row>
    <row r="650" spans="1:16" x14ac:dyDescent="0.2">
      <c r="A650" s="58" t="str">
        <v/>
      </c>
      <c r="B650" s="131" t="str">
        <f>IFERROR(TIMEVALUE(DaqBook_RAW_Data!A640),"")</f>
        <v/>
      </c>
      <c r="C650" s="44" t="str">
        <v/>
      </c>
      <c r="D650" s="44" t="str">
        <v/>
      </c>
      <c r="E650" s="44" t="str">
        <v/>
      </c>
      <c r="F650" s="44" t="str">
        <v/>
      </c>
      <c r="G650" s="44" t="str">
        <v/>
      </c>
      <c r="H650" s="44" t="str">
        <v/>
      </c>
      <c r="I650" s="44" t="str">
        <v/>
      </c>
      <c r="J650" s="44" t="str">
        <v/>
      </c>
      <c r="K650" s="44" t="str">
        <v/>
      </c>
      <c r="L650" s="44" t="str">
        <v/>
      </c>
      <c r="M650" s="44" t="str">
        <v/>
      </c>
      <c r="N650" s="44" t="str">
        <v/>
      </c>
      <c r="O650" s="44" t="str">
        <v/>
      </c>
      <c r="P650" s="44" t="str">
        <v/>
      </c>
    </row>
    <row r="651" spans="1:16" x14ac:dyDescent="0.2">
      <c r="A651" s="58" t="str">
        <v/>
      </c>
      <c r="B651" s="131" t="str">
        <f>IFERROR(TIMEVALUE(DaqBook_RAW_Data!A641),"")</f>
        <v/>
      </c>
      <c r="C651" s="44" t="str">
        <v/>
      </c>
      <c r="D651" s="44" t="str">
        <v/>
      </c>
      <c r="E651" s="44" t="str">
        <v/>
      </c>
      <c r="F651" s="44" t="str">
        <v/>
      </c>
      <c r="G651" s="44" t="str">
        <v/>
      </c>
      <c r="H651" s="44" t="str">
        <v/>
      </c>
      <c r="I651" s="44" t="str">
        <v/>
      </c>
      <c r="J651" s="44" t="str">
        <v/>
      </c>
      <c r="K651" s="44" t="str">
        <v/>
      </c>
      <c r="L651" s="44" t="str">
        <v/>
      </c>
      <c r="M651" s="44" t="str">
        <v/>
      </c>
      <c r="N651" s="44" t="str">
        <v/>
      </c>
      <c r="O651" s="44" t="str">
        <v/>
      </c>
      <c r="P651" s="44" t="str">
        <v/>
      </c>
    </row>
    <row r="652" spans="1:16" x14ac:dyDescent="0.2">
      <c r="A652" s="58" t="str">
        <v/>
      </c>
      <c r="B652" s="131" t="str">
        <f>IFERROR(TIMEVALUE(DaqBook_RAW_Data!A642),"")</f>
        <v/>
      </c>
      <c r="C652" s="44" t="str">
        <v/>
      </c>
      <c r="D652" s="44" t="str">
        <v/>
      </c>
      <c r="E652" s="44" t="str">
        <v/>
      </c>
      <c r="F652" s="44" t="str">
        <v/>
      </c>
      <c r="G652" s="44" t="str">
        <v/>
      </c>
      <c r="H652" s="44" t="str">
        <v/>
      </c>
      <c r="I652" s="44" t="str">
        <v/>
      </c>
      <c r="J652" s="44" t="str">
        <v/>
      </c>
      <c r="K652" s="44" t="str">
        <v/>
      </c>
      <c r="L652" s="44" t="str">
        <v/>
      </c>
      <c r="M652" s="44" t="str">
        <v/>
      </c>
      <c r="N652" s="44" t="str">
        <v/>
      </c>
      <c r="O652" s="44" t="str">
        <v/>
      </c>
      <c r="P652" s="44" t="str">
        <v/>
      </c>
    </row>
    <row r="653" spans="1:16" x14ac:dyDescent="0.2">
      <c r="A653" s="58" t="str">
        <v/>
      </c>
      <c r="B653" s="131" t="str">
        <f>IFERROR(TIMEVALUE(DaqBook_RAW_Data!A643),"")</f>
        <v/>
      </c>
      <c r="C653" s="44" t="str">
        <v/>
      </c>
      <c r="D653" s="44" t="str">
        <v/>
      </c>
      <c r="E653" s="44" t="str">
        <v/>
      </c>
      <c r="F653" s="44" t="str">
        <v/>
      </c>
      <c r="G653" s="44" t="str">
        <v/>
      </c>
      <c r="H653" s="44" t="str">
        <v/>
      </c>
      <c r="I653" s="44" t="str">
        <v/>
      </c>
      <c r="J653" s="44" t="str">
        <v/>
      </c>
      <c r="K653" s="44" t="str">
        <v/>
      </c>
      <c r="L653" s="44" t="str">
        <v/>
      </c>
      <c r="M653" s="44" t="str">
        <v/>
      </c>
      <c r="N653" s="44" t="str">
        <v/>
      </c>
      <c r="O653" s="44" t="str">
        <v/>
      </c>
      <c r="P653" s="44" t="str">
        <v/>
      </c>
    </row>
    <row r="654" spans="1:16" x14ac:dyDescent="0.2">
      <c r="A654" s="58" t="str">
        <v/>
      </c>
      <c r="B654" s="131" t="str">
        <f>IFERROR(TIMEVALUE(DaqBook_RAW_Data!A644),"")</f>
        <v/>
      </c>
      <c r="C654" s="44" t="str">
        <v/>
      </c>
      <c r="D654" s="44" t="str">
        <v/>
      </c>
      <c r="E654" s="44" t="str">
        <v/>
      </c>
      <c r="F654" s="44" t="str">
        <v/>
      </c>
      <c r="G654" s="44" t="str">
        <v/>
      </c>
      <c r="H654" s="44" t="str">
        <v/>
      </c>
      <c r="I654" s="44" t="str">
        <v/>
      </c>
      <c r="J654" s="44" t="str">
        <v/>
      </c>
      <c r="K654" s="44" t="str">
        <v/>
      </c>
      <c r="L654" s="44" t="str">
        <v/>
      </c>
      <c r="M654" s="44" t="str">
        <v/>
      </c>
      <c r="N654" s="44" t="str">
        <v/>
      </c>
      <c r="O654" s="44" t="str">
        <v/>
      </c>
      <c r="P654" s="44" t="str">
        <v/>
      </c>
    </row>
    <row r="655" spans="1:16" x14ac:dyDescent="0.2">
      <c r="A655" s="58" t="str">
        <v/>
      </c>
      <c r="B655" s="131" t="str">
        <f>IFERROR(TIMEVALUE(DaqBook_RAW_Data!A645),"")</f>
        <v/>
      </c>
      <c r="C655" s="44" t="str">
        <v/>
      </c>
      <c r="D655" s="44" t="str">
        <v/>
      </c>
      <c r="E655" s="44" t="str">
        <v/>
      </c>
      <c r="F655" s="44" t="str">
        <v/>
      </c>
      <c r="G655" s="44" t="str">
        <v/>
      </c>
      <c r="H655" s="44" t="str">
        <v/>
      </c>
      <c r="I655" s="44" t="str">
        <v/>
      </c>
      <c r="J655" s="44" t="str">
        <v/>
      </c>
      <c r="K655" s="44" t="str">
        <v/>
      </c>
      <c r="L655" s="44" t="str">
        <v/>
      </c>
      <c r="M655" s="44" t="str">
        <v/>
      </c>
      <c r="N655" s="44" t="str">
        <v/>
      </c>
      <c r="O655" s="44" t="str">
        <v/>
      </c>
      <c r="P655" s="44" t="str">
        <v/>
      </c>
    </row>
    <row r="656" spans="1:16" x14ac:dyDescent="0.2">
      <c r="A656" s="58" t="str">
        <v/>
      </c>
      <c r="B656" s="131" t="str">
        <f>IFERROR(TIMEVALUE(DaqBook_RAW_Data!A646),"")</f>
        <v/>
      </c>
      <c r="C656" s="44" t="str">
        <v/>
      </c>
      <c r="D656" s="44" t="str">
        <v/>
      </c>
      <c r="E656" s="44" t="str">
        <v/>
      </c>
      <c r="F656" s="44" t="str">
        <v/>
      </c>
      <c r="G656" s="44" t="str">
        <v/>
      </c>
      <c r="H656" s="44" t="str">
        <v/>
      </c>
      <c r="I656" s="44" t="str">
        <v/>
      </c>
      <c r="J656" s="44" t="str">
        <v/>
      </c>
      <c r="K656" s="44" t="str">
        <v/>
      </c>
      <c r="L656" s="44" t="str">
        <v/>
      </c>
      <c r="M656" s="44" t="str">
        <v/>
      </c>
      <c r="N656" s="44" t="str">
        <v/>
      </c>
      <c r="O656" s="44" t="str">
        <v/>
      </c>
      <c r="P656" s="44" t="str">
        <v/>
      </c>
    </row>
    <row r="657" spans="1:16" x14ac:dyDescent="0.2">
      <c r="A657" s="58" t="str">
        <v/>
      </c>
      <c r="B657" s="131" t="str">
        <f>IFERROR(TIMEVALUE(DaqBook_RAW_Data!A647),"")</f>
        <v/>
      </c>
      <c r="C657" s="44" t="str">
        <v/>
      </c>
      <c r="D657" s="44" t="str">
        <v/>
      </c>
      <c r="E657" s="44" t="str">
        <v/>
      </c>
      <c r="F657" s="44" t="str">
        <v/>
      </c>
      <c r="G657" s="44" t="str">
        <v/>
      </c>
      <c r="H657" s="44" t="str">
        <v/>
      </c>
      <c r="I657" s="44" t="str">
        <v/>
      </c>
      <c r="J657" s="44" t="str">
        <v/>
      </c>
      <c r="K657" s="44" t="str">
        <v/>
      </c>
      <c r="L657" s="44" t="str">
        <v/>
      </c>
      <c r="M657" s="44" t="str">
        <v/>
      </c>
      <c r="N657" s="44" t="str">
        <v/>
      </c>
      <c r="O657" s="44" t="str">
        <v/>
      </c>
      <c r="P657" s="44" t="str">
        <v/>
      </c>
    </row>
    <row r="658" spans="1:16" x14ac:dyDescent="0.2">
      <c r="A658" s="58" t="str">
        <v/>
      </c>
      <c r="B658" s="131" t="str">
        <f>IFERROR(TIMEVALUE(DaqBook_RAW_Data!A648),"")</f>
        <v/>
      </c>
      <c r="C658" s="44" t="str">
        <v/>
      </c>
      <c r="D658" s="44" t="str">
        <v/>
      </c>
      <c r="E658" s="44" t="str">
        <v/>
      </c>
      <c r="F658" s="44" t="str">
        <v/>
      </c>
      <c r="G658" s="44" t="str">
        <v/>
      </c>
      <c r="H658" s="44" t="str">
        <v/>
      </c>
      <c r="I658" s="44" t="str">
        <v/>
      </c>
      <c r="J658" s="44" t="str">
        <v/>
      </c>
      <c r="K658" s="44" t="str">
        <v/>
      </c>
      <c r="L658" s="44" t="str">
        <v/>
      </c>
      <c r="M658" s="44" t="str">
        <v/>
      </c>
      <c r="N658" s="44" t="str">
        <v/>
      </c>
      <c r="O658" s="44" t="str">
        <v/>
      </c>
      <c r="P658" s="44" t="str">
        <v/>
      </c>
    </row>
    <row r="659" spans="1:16" x14ac:dyDescent="0.2">
      <c r="A659" s="58" t="str">
        <v/>
      </c>
      <c r="B659" s="131" t="str">
        <f>IFERROR(TIMEVALUE(DaqBook_RAW_Data!A649),"")</f>
        <v/>
      </c>
      <c r="C659" s="44" t="str">
        <v/>
      </c>
      <c r="D659" s="44" t="str">
        <v/>
      </c>
      <c r="E659" s="44" t="str">
        <v/>
      </c>
      <c r="F659" s="44" t="str">
        <v/>
      </c>
      <c r="G659" s="44" t="str">
        <v/>
      </c>
      <c r="H659" s="44" t="str">
        <v/>
      </c>
      <c r="I659" s="44" t="str">
        <v/>
      </c>
      <c r="J659" s="44" t="str">
        <v/>
      </c>
      <c r="K659" s="44" t="str">
        <v/>
      </c>
      <c r="L659" s="44" t="str">
        <v/>
      </c>
      <c r="M659" s="44" t="str">
        <v/>
      </c>
      <c r="N659" s="44" t="str">
        <v/>
      </c>
      <c r="O659" s="44" t="str">
        <v/>
      </c>
      <c r="P659" s="44" t="str">
        <v/>
      </c>
    </row>
    <row r="660" spans="1:16" x14ac:dyDescent="0.2">
      <c r="A660" s="58" t="str">
        <v/>
      </c>
      <c r="B660" s="131" t="str">
        <f>IFERROR(TIMEVALUE(DaqBook_RAW_Data!A650),"")</f>
        <v/>
      </c>
      <c r="C660" s="44" t="str">
        <v/>
      </c>
      <c r="D660" s="44" t="str">
        <v/>
      </c>
      <c r="E660" s="44" t="str">
        <v/>
      </c>
      <c r="F660" s="44" t="str">
        <v/>
      </c>
      <c r="G660" s="44" t="str">
        <v/>
      </c>
      <c r="H660" s="44" t="str">
        <v/>
      </c>
      <c r="I660" s="44" t="str">
        <v/>
      </c>
      <c r="J660" s="44" t="str">
        <v/>
      </c>
      <c r="K660" s="44" t="str">
        <v/>
      </c>
      <c r="L660" s="44" t="str">
        <v/>
      </c>
      <c r="M660" s="44" t="str">
        <v/>
      </c>
      <c r="N660" s="44" t="str">
        <v/>
      </c>
      <c r="O660" s="44" t="str">
        <v/>
      </c>
      <c r="P660" s="44" t="str">
        <v/>
      </c>
    </row>
    <row r="661" spans="1:16" x14ac:dyDescent="0.2">
      <c r="A661" s="58" t="str">
        <v/>
      </c>
      <c r="B661" s="131" t="str">
        <f>IFERROR(TIMEVALUE(DaqBook_RAW_Data!A651),"")</f>
        <v/>
      </c>
      <c r="C661" s="44" t="str">
        <v/>
      </c>
      <c r="D661" s="44" t="str">
        <v/>
      </c>
      <c r="E661" s="44" t="str">
        <v/>
      </c>
      <c r="F661" s="44" t="str">
        <v/>
      </c>
      <c r="G661" s="44" t="str">
        <v/>
      </c>
      <c r="H661" s="44" t="str">
        <v/>
      </c>
      <c r="I661" s="44" t="str">
        <v/>
      </c>
      <c r="J661" s="44" t="str">
        <v/>
      </c>
      <c r="K661" s="44" t="str">
        <v/>
      </c>
      <c r="L661" s="44" t="str">
        <v/>
      </c>
      <c r="M661" s="44" t="str">
        <v/>
      </c>
      <c r="N661" s="44" t="str">
        <v/>
      </c>
      <c r="O661" s="44" t="str">
        <v/>
      </c>
      <c r="P661" s="44" t="str">
        <v/>
      </c>
    </row>
    <row r="662" spans="1:16" x14ac:dyDescent="0.2">
      <c r="A662" s="58" t="str">
        <v/>
      </c>
      <c r="B662" s="131" t="str">
        <f>IFERROR(TIMEVALUE(DaqBook_RAW_Data!A652),"")</f>
        <v/>
      </c>
      <c r="C662" s="44" t="str">
        <v/>
      </c>
      <c r="D662" s="44" t="str">
        <v/>
      </c>
      <c r="E662" s="44" t="str">
        <v/>
      </c>
      <c r="F662" s="44" t="str">
        <v/>
      </c>
      <c r="G662" s="44" t="str">
        <v/>
      </c>
      <c r="H662" s="44" t="str">
        <v/>
      </c>
      <c r="I662" s="44" t="str">
        <v/>
      </c>
      <c r="J662" s="44" t="str">
        <v/>
      </c>
      <c r="K662" s="44" t="str">
        <v/>
      </c>
      <c r="L662" s="44" t="str">
        <v/>
      </c>
      <c r="M662" s="44" t="str">
        <v/>
      </c>
      <c r="N662" s="44" t="str">
        <v/>
      </c>
      <c r="O662" s="44" t="str">
        <v/>
      </c>
      <c r="P662" s="44" t="str">
        <v/>
      </c>
    </row>
    <row r="663" spans="1:16" x14ac:dyDescent="0.2">
      <c r="A663" s="58" t="str">
        <v/>
      </c>
      <c r="B663" s="131" t="str">
        <f>IFERROR(TIMEVALUE(DaqBook_RAW_Data!A653),"")</f>
        <v/>
      </c>
      <c r="C663" s="44" t="str">
        <v/>
      </c>
      <c r="D663" s="44" t="str">
        <v/>
      </c>
      <c r="E663" s="44" t="str">
        <v/>
      </c>
      <c r="F663" s="44" t="str">
        <v/>
      </c>
      <c r="G663" s="44" t="str">
        <v/>
      </c>
      <c r="H663" s="44" t="str">
        <v/>
      </c>
      <c r="I663" s="44" t="str">
        <v/>
      </c>
      <c r="J663" s="44" t="str">
        <v/>
      </c>
      <c r="K663" s="44" t="str">
        <v/>
      </c>
      <c r="L663" s="44" t="str">
        <v/>
      </c>
      <c r="M663" s="44" t="str">
        <v/>
      </c>
      <c r="N663" s="44" t="str">
        <v/>
      </c>
      <c r="O663" s="44" t="str">
        <v/>
      </c>
      <c r="P663" s="44" t="str">
        <v/>
      </c>
    </row>
    <row r="664" spans="1:16" x14ac:dyDescent="0.2">
      <c r="A664" s="58" t="str">
        <v/>
      </c>
      <c r="B664" s="131" t="str">
        <f>IFERROR(TIMEVALUE(DaqBook_RAW_Data!A654),"")</f>
        <v/>
      </c>
      <c r="C664" s="44" t="str">
        <v/>
      </c>
      <c r="D664" s="44" t="str">
        <v/>
      </c>
      <c r="E664" s="44" t="str">
        <v/>
      </c>
      <c r="F664" s="44" t="str">
        <v/>
      </c>
      <c r="G664" s="44" t="str">
        <v/>
      </c>
      <c r="H664" s="44" t="str">
        <v/>
      </c>
      <c r="I664" s="44" t="str">
        <v/>
      </c>
      <c r="J664" s="44" t="str">
        <v/>
      </c>
      <c r="K664" s="44" t="str">
        <v/>
      </c>
      <c r="L664" s="44" t="str">
        <v/>
      </c>
      <c r="M664" s="44" t="str">
        <v/>
      </c>
      <c r="N664" s="44" t="str">
        <v/>
      </c>
      <c r="O664" s="44" t="str">
        <v/>
      </c>
      <c r="P664" s="44" t="str">
        <v/>
      </c>
    </row>
    <row r="665" spans="1:16" x14ac:dyDescent="0.2">
      <c r="A665" s="58" t="str">
        <v/>
      </c>
      <c r="B665" s="131" t="str">
        <f>IFERROR(TIMEVALUE(DaqBook_RAW_Data!A655),"")</f>
        <v/>
      </c>
      <c r="C665" s="44" t="str">
        <v/>
      </c>
      <c r="D665" s="44" t="str">
        <v/>
      </c>
      <c r="E665" s="44" t="str">
        <v/>
      </c>
      <c r="F665" s="44" t="str">
        <v/>
      </c>
      <c r="G665" s="44" t="str">
        <v/>
      </c>
      <c r="H665" s="44" t="str">
        <v/>
      </c>
      <c r="I665" s="44" t="str">
        <v/>
      </c>
      <c r="J665" s="44" t="str">
        <v/>
      </c>
      <c r="K665" s="44" t="str">
        <v/>
      </c>
      <c r="L665" s="44" t="str">
        <v/>
      </c>
      <c r="M665" s="44" t="str">
        <v/>
      </c>
      <c r="N665" s="44" t="str">
        <v/>
      </c>
      <c r="O665" s="44" t="str">
        <v/>
      </c>
      <c r="P665" s="44" t="str">
        <v/>
      </c>
    </row>
    <row r="666" spans="1:16" x14ac:dyDescent="0.2">
      <c r="A666" s="58" t="str">
        <v/>
      </c>
      <c r="B666" s="131" t="str">
        <f>IFERROR(TIMEVALUE(DaqBook_RAW_Data!A656),"")</f>
        <v/>
      </c>
      <c r="C666" s="44" t="str">
        <v/>
      </c>
      <c r="D666" s="44" t="str">
        <v/>
      </c>
      <c r="E666" s="44" t="str">
        <v/>
      </c>
      <c r="F666" s="44" t="str">
        <v/>
      </c>
      <c r="G666" s="44" t="str">
        <v/>
      </c>
      <c r="H666" s="44" t="str">
        <v/>
      </c>
      <c r="I666" s="44" t="str">
        <v/>
      </c>
      <c r="J666" s="44" t="str">
        <v/>
      </c>
      <c r="K666" s="44" t="str">
        <v/>
      </c>
      <c r="L666" s="44" t="str">
        <v/>
      </c>
      <c r="M666" s="44" t="str">
        <v/>
      </c>
      <c r="N666" s="44" t="str">
        <v/>
      </c>
      <c r="O666" s="44" t="str">
        <v/>
      </c>
      <c r="P666" s="44" t="str">
        <v/>
      </c>
    </row>
    <row r="667" spans="1:16" x14ac:dyDescent="0.2">
      <c r="A667" s="58" t="str">
        <v/>
      </c>
      <c r="B667" s="131" t="str">
        <f>IFERROR(TIMEVALUE(DaqBook_RAW_Data!A657),"")</f>
        <v/>
      </c>
      <c r="C667" s="44" t="str">
        <v/>
      </c>
      <c r="D667" s="44" t="str">
        <v/>
      </c>
      <c r="E667" s="44" t="str">
        <v/>
      </c>
      <c r="F667" s="44" t="str">
        <v/>
      </c>
      <c r="G667" s="44" t="str">
        <v/>
      </c>
      <c r="H667" s="44" t="str">
        <v/>
      </c>
      <c r="I667" s="44" t="str">
        <v/>
      </c>
      <c r="J667" s="44" t="str">
        <v/>
      </c>
      <c r="K667" s="44" t="str">
        <v/>
      </c>
      <c r="L667" s="44" t="str">
        <v/>
      </c>
      <c r="M667" s="44" t="str">
        <v/>
      </c>
      <c r="N667" s="44" t="str">
        <v/>
      </c>
      <c r="O667" s="44" t="str">
        <v/>
      </c>
      <c r="P667" s="44" t="str">
        <v/>
      </c>
    </row>
    <row r="668" spans="1:16" x14ac:dyDescent="0.2">
      <c r="A668" s="58" t="str">
        <v/>
      </c>
      <c r="B668" s="131" t="str">
        <f>IFERROR(TIMEVALUE(DaqBook_RAW_Data!A658),"")</f>
        <v/>
      </c>
      <c r="C668" s="44" t="str">
        <v/>
      </c>
      <c r="D668" s="44" t="str">
        <v/>
      </c>
      <c r="E668" s="44" t="str">
        <v/>
      </c>
      <c r="F668" s="44" t="str">
        <v/>
      </c>
      <c r="G668" s="44" t="str">
        <v/>
      </c>
      <c r="H668" s="44" t="str">
        <v/>
      </c>
      <c r="I668" s="44" t="str">
        <v/>
      </c>
      <c r="J668" s="44" t="str">
        <v/>
      </c>
      <c r="K668" s="44" t="str">
        <v/>
      </c>
      <c r="L668" s="44" t="str">
        <v/>
      </c>
      <c r="M668" s="44" t="str">
        <v/>
      </c>
      <c r="N668" s="44" t="str">
        <v/>
      </c>
      <c r="O668" s="44" t="str">
        <v/>
      </c>
      <c r="P668" s="44" t="str">
        <v/>
      </c>
    </row>
    <row r="669" spans="1:16" x14ac:dyDescent="0.2">
      <c r="A669" s="58" t="str">
        <v/>
      </c>
      <c r="B669" s="131" t="str">
        <f>IFERROR(TIMEVALUE(DaqBook_RAW_Data!A659),"")</f>
        <v/>
      </c>
      <c r="C669" s="44" t="str">
        <v/>
      </c>
      <c r="D669" s="44" t="str">
        <v/>
      </c>
      <c r="E669" s="44" t="str">
        <v/>
      </c>
      <c r="F669" s="44" t="str">
        <v/>
      </c>
      <c r="G669" s="44" t="str">
        <v/>
      </c>
      <c r="H669" s="44" t="str">
        <v/>
      </c>
      <c r="I669" s="44" t="str">
        <v/>
      </c>
      <c r="J669" s="44" t="str">
        <v/>
      </c>
      <c r="K669" s="44" t="str">
        <v/>
      </c>
      <c r="L669" s="44" t="str">
        <v/>
      </c>
      <c r="M669" s="44" t="str">
        <v/>
      </c>
      <c r="N669" s="44" t="str">
        <v/>
      </c>
      <c r="O669" s="44" t="str">
        <v/>
      </c>
      <c r="P669" s="44" t="str">
        <v/>
      </c>
    </row>
    <row r="670" spans="1:16" x14ac:dyDescent="0.2">
      <c r="A670" s="58" t="str">
        <v/>
      </c>
      <c r="B670" s="131" t="str">
        <f>IFERROR(TIMEVALUE(DaqBook_RAW_Data!A660),"")</f>
        <v/>
      </c>
      <c r="C670" s="44" t="str">
        <v/>
      </c>
      <c r="D670" s="44" t="str">
        <v/>
      </c>
      <c r="E670" s="44" t="str">
        <v/>
      </c>
      <c r="F670" s="44" t="str">
        <v/>
      </c>
      <c r="G670" s="44" t="str">
        <v/>
      </c>
      <c r="H670" s="44" t="str">
        <v/>
      </c>
      <c r="I670" s="44" t="str">
        <v/>
      </c>
      <c r="J670" s="44" t="str">
        <v/>
      </c>
      <c r="K670" s="44" t="str">
        <v/>
      </c>
      <c r="L670" s="44" t="str">
        <v/>
      </c>
      <c r="M670" s="44" t="str">
        <v/>
      </c>
      <c r="N670" s="44" t="str">
        <v/>
      </c>
      <c r="O670" s="44" t="str">
        <v/>
      </c>
      <c r="P670" s="44" t="str">
        <v/>
      </c>
    </row>
    <row r="671" spans="1:16" x14ac:dyDescent="0.2">
      <c r="A671" s="58" t="str">
        <v/>
      </c>
      <c r="B671" s="131" t="str">
        <f>IFERROR(TIMEVALUE(DaqBook_RAW_Data!A661),"")</f>
        <v/>
      </c>
      <c r="C671" s="44" t="str">
        <v/>
      </c>
      <c r="D671" s="44" t="str">
        <v/>
      </c>
      <c r="E671" s="44" t="str">
        <v/>
      </c>
      <c r="F671" s="44" t="str">
        <v/>
      </c>
      <c r="G671" s="44" t="str">
        <v/>
      </c>
      <c r="H671" s="44" t="str">
        <v/>
      </c>
      <c r="I671" s="44" t="str">
        <v/>
      </c>
      <c r="J671" s="44" t="str">
        <v/>
      </c>
      <c r="K671" s="44" t="str">
        <v/>
      </c>
      <c r="L671" s="44" t="str">
        <v/>
      </c>
      <c r="M671" s="44" t="str">
        <v/>
      </c>
      <c r="N671" s="44" t="str">
        <v/>
      </c>
      <c r="O671" s="44" t="str">
        <v/>
      </c>
      <c r="P671" s="44" t="str">
        <v/>
      </c>
    </row>
    <row r="672" spans="1:16" x14ac:dyDescent="0.2">
      <c r="A672" s="58" t="str">
        <v/>
      </c>
      <c r="B672" s="131" t="str">
        <f>IFERROR(TIMEVALUE(DaqBook_RAW_Data!A662),"")</f>
        <v/>
      </c>
      <c r="C672" s="44" t="str">
        <v/>
      </c>
      <c r="D672" s="44" t="str">
        <v/>
      </c>
      <c r="E672" s="44" t="str">
        <v/>
      </c>
      <c r="F672" s="44" t="str">
        <v/>
      </c>
      <c r="G672" s="44" t="str">
        <v/>
      </c>
      <c r="H672" s="44" t="str">
        <v/>
      </c>
      <c r="I672" s="44" t="str">
        <v/>
      </c>
      <c r="J672" s="44" t="str">
        <v/>
      </c>
      <c r="K672" s="44" t="str">
        <v/>
      </c>
      <c r="L672" s="44" t="str">
        <v/>
      </c>
      <c r="M672" s="44" t="str">
        <v/>
      </c>
      <c r="N672" s="44" t="str">
        <v/>
      </c>
      <c r="O672" s="44" t="str">
        <v/>
      </c>
      <c r="P672" s="44" t="str">
        <v/>
      </c>
    </row>
    <row r="673" spans="1:16" x14ac:dyDescent="0.2">
      <c r="A673" s="58" t="str">
        <v/>
      </c>
      <c r="B673" s="131" t="str">
        <f>IFERROR(TIMEVALUE(DaqBook_RAW_Data!A663),"")</f>
        <v/>
      </c>
      <c r="C673" s="44" t="str">
        <v/>
      </c>
      <c r="D673" s="44" t="str">
        <v/>
      </c>
      <c r="E673" s="44" t="str">
        <v/>
      </c>
      <c r="F673" s="44" t="str">
        <v/>
      </c>
      <c r="G673" s="44" t="str">
        <v/>
      </c>
      <c r="H673" s="44" t="str">
        <v/>
      </c>
      <c r="I673" s="44" t="str">
        <v/>
      </c>
      <c r="J673" s="44" t="str">
        <v/>
      </c>
      <c r="K673" s="44" t="str">
        <v/>
      </c>
      <c r="L673" s="44" t="str">
        <v/>
      </c>
      <c r="M673" s="44" t="str">
        <v/>
      </c>
      <c r="N673" s="44" t="str">
        <v/>
      </c>
      <c r="O673" s="44" t="str">
        <v/>
      </c>
      <c r="P673" s="44" t="str">
        <v/>
      </c>
    </row>
    <row r="674" spans="1:16" x14ac:dyDescent="0.2">
      <c r="A674" s="58" t="str">
        <v/>
      </c>
      <c r="B674" s="131" t="str">
        <f>IFERROR(TIMEVALUE(DaqBook_RAW_Data!A664),"")</f>
        <v/>
      </c>
      <c r="C674" s="44" t="str">
        <v/>
      </c>
      <c r="D674" s="44" t="str">
        <v/>
      </c>
      <c r="E674" s="44" t="str">
        <v/>
      </c>
      <c r="F674" s="44" t="str">
        <v/>
      </c>
      <c r="G674" s="44" t="str">
        <v/>
      </c>
      <c r="H674" s="44" t="str">
        <v/>
      </c>
      <c r="I674" s="44" t="str">
        <v/>
      </c>
      <c r="J674" s="44" t="str">
        <v/>
      </c>
      <c r="K674" s="44" t="str">
        <v/>
      </c>
      <c r="L674" s="44" t="str">
        <v/>
      </c>
      <c r="M674" s="44" t="str">
        <v/>
      </c>
      <c r="N674" s="44" t="str">
        <v/>
      </c>
      <c r="O674" s="44" t="str">
        <v/>
      </c>
      <c r="P674" s="44" t="str">
        <v/>
      </c>
    </row>
    <row r="675" spans="1:16" x14ac:dyDescent="0.2">
      <c r="A675" s="58" t="str">
        <v/>
      </c>
      <c r="B675" s="131" t="str">
        <f>IFERROR(TIMEVALUE(DaqBook_RAW_Data!A665),"")</f>
        <v/>
      </c>
      <c r="C675" s="44" t="str">
        <v/>
      </c>
      <c r="D675" s="44" t="str">
        <v/>
      </c>
      <c r="E675" s="44" t="str">
        <v/>
      </c>
      <c r="F675" s="44" t="str">
        <v/>
      </c>
      <c r="G675" s="44" t="str">
        <v/>
      </c>
      <c r="H675" s="44" t="str">
        <v/>
      </c>
      <c r="I675" s="44" t="str">
        <v/>
      </c>
      <c r="J675" s="44" t="str">
        <v/>
      </c>
      <c r="K675" s="44" t="str">
        <v/>
      </c>
      <c r="L675" s="44" t="str">
        <v/>
      </c>
      <c r="M675" s="44" t="str">
        <v/>
      </c>
      <c r="N675" s="44" t="str">
        <v/>
      </c>
      <c r="O675" s="44" t="str">
        <v/>
      </c>
      <c r="P675" s="44" t="str">
        <v/>
      </c>
    </row>
    <row r="676" spans="1:16" x14ac:dyDescent="0.2">
      <c r="A676" s="58" t="str">
        <v/>
      </c>
      <c r="B676" s="131" t="str">
        <f>IFERROR(TIMEVALUE(DaqBook_RAW_Data!A666),"")</f>
        <v/>
      </c>
      <c r="C676" s="44" t="str">
        <v/>
      </c>
      <c r="D676" s="44" t="str">
        <v/>
      </c>
      <c r="E676" s="44" t="str">
        <v/>
      </c>
      <c r="F676" s="44" t="str">
        <v/>
      </c>
      <c r="G676" s="44" t="str">
        <v/>
      </c>
      <c r="H676" s="44" t="str">
        <v/>
      </c>
      <c r="I676" s="44" t="str">
        <v/>
      </c>
      <c r="J676" s="44" t="str">
        <v/>
      </c>
      <c r="K676" s="44" t="str">
        <v/>
      </c>
      <c r="L676" s="44" t="str">
        <v/>
      </c>
      <c r="M676" s="44" t="str">
        <v/>
      </c>
      <c r="N676" s="44" t="str">
        <v/>
      </c>
      <c r="O676" s="44" t="str">
        <v/>
      </c>
      <c r="P676" s="44" t="str">
        <v/>
      </c>
    </row>
    <row r="677" spans="1:16" x14ac:dyDescent="0.2">
      <c r="A677" s="58" t="str">
        <v/>
      </c>
      <c r="B677" s="131" t="str">
        <f>IFERROR(TIMEVALUE(DaqBook_RAW_Data!A667),"")</f>
        <v/>
      </c>
      <c r="C677" s="44" t="str">
        <v/>
      </c>
      <c r="D677" s="44" t="str">
        <v/>
      </c>
      <c r="E677" s="44" t="str">
        <v/>
      </c>
      <c r="F677" s="44" t="str">
        <v/>
      </c>
      <c r="G677" s="44" t="str">
        <v/>
      </c>
      <c r="H677" s="44" t="str">
        <v/>
      </c>
      <c r="I677" s="44" t="str">
        <v/>
      </c>
      <c r="J677" s="44" t="str">
        <v/>
      </c>
      <c r="K677" s="44" t="str">
        <v/>
      </c>
      <c r="L677" s="44" t="str">
        <v/>
      </c>
      <c r="M677" s="44" t="str">
        <v/>
      </c>
      <c r="N677" s="44" t="str">
        <v/>
      </c>
      <c r="O677" s="44" t="str">
        <v/>
      </c>
      <c r="P677" s="44" t="str">
        <v/>
      </c>
    </row>
    <row r="678" spans="1:16" x14ac:dyDescent="0.2">
      <c r="A678" s="58" t="str">
        <v/>
      </c>
      <c r="B678" s="131" t="str">
        <f>IFERROR(TIMEVALUE(DaqBook_RAW_Data!A668),"")</f>
        <v/>
      </c>
      <c r="C678" s="44" t="str">
        <v/>
      </c>
      <c r="D678" s="44" t="str">
        <v/>
      </c>
      <c r="E678" s="44" t="str">
        <v/>
      </c>
      <c r="F678" s="44" t="str">
        <v/>
      </c>
      <c r="G678" s="44" t="str">
        <v/>
      </c>
      <c r="H678" s="44" t="str">
        <v/>
      </c>
      <c r="I678" s="44" t="str">
        <v/>
      </c>
      <c r="J678" s="44" t="str">
        <v/>
      </c>
      <c r="K678" s="44" t="str">
        <v/>
      </c>
      <c r="L678" s="44" t="str">
        <v/>
      </c>
      <c r="M678" s="44" t="str">
        <v/>
      </c>
      <c r="N678" s="44" t="str">
        <v/>
      </c>
      <c r="O678" s="44" t="str">
        <v/>
      </c>
      <c r="P678" s="44" t="str">
        <v/>
      </c>
    </row>
    <row r="679" spans="1:16" x14ac:dyDescent="0.2">
      <c r="A679" s="58" t="str">
        <v/>
      </c>
      <c r="B679" s="131" t="str">
        <f>IFERROR(TIMEVALUE(DaqBook_RAW_Data!A669),"")</f>
        <v/>
      </c>
      <c r="C679" s="44" t="str">
        <v/>
      </c>
      <c r="D679" s="44" t="str">
        <v/>
      </c>
      <c r="E679" s="44" t="str">
        <v/>
      </c>
      <c r="F679" s="44" t="str">
        <v/>
      </c>
      <c r="G679" s="44" t="str">
        <v/>
      </c>
      <c r="H679" s="44" t="str">
        <v/>
      </c>
      <c r="I679" s="44" t="str">
        <v/>
      </c>
      <c r="J679" s="44" t="str">
        <v/>
      </c>
      <c r="K679" s="44" t="str">
        <v/>
      </c>
      <c r="L679" s="44" t="str">
        <v/>
      </c>
      <c r="M679" s="44" t="str">
        <v/>
      </c>
      <c r="N679" s="44" t="str">
        <v/>
      </c>
      <c r="O679" s="44" t="str">
        <v/>
      </c>
      <c r="P679" s="44" t="str">
        <v/>
      </c>
    </row>
    <row r="680" spans="1:16" x14ac:dyDescent="0.2">
      <c r="A680" s="58" t="str">
        <v/>
      </c>
      <c r="B680" s="131" t="str">
        <f>IFERROR(TIMEVALUE(DaqBook_RAW_Data!A670),"")</f>
        <v/>
      </c>
      <c r="C680" s="44" t="str">
        <v/>
      </c>
      <c r="D680" s="44" t="str">
        <v/>
      </c>
      <c r="E680" s="44" t="str">
        <v/>
      </c>
      <c r="F680" s="44" t="str">
        <v/>
      </c>
      <c r="G680" s="44" t="str">
        <v/>
      </c>
      <c r="H680" s="44" t="str">
        <v/>
      </c>
      <c r="I680" s="44" t="str">
        <v/>
      </c>
      <c r="J680" s="44" t="str">
        <v/>
      </c>
      <c r="K680" s="44" t="str">
        <v/>
      </c>
      <c r="L680" s="44" t="str">
        <v/>
      </c>
      <c r="M680" s="44" t="str">
        <v/>
      </c>
      <c r="N680" s="44" t="str">
        <v/>
      </c>
      <c r="O680" s="44" t="str">
        <v/>
      </c>
      <c r="P680" s="44" t="str">
        <v/>
      </c>
    </row>
    <row r="681" spans="1:16" x14ac:dyDescent="0.2">
      <c r="A681" s="58" t="str">
        <v/>
      </c>
      <c r="B681" s="131" t="str">
        <f>IFERROR(TIMEVALUE(DaqBook_RAW_Data!A671),"")</f>
        <v/>
      </c>
      <c r="C681" s="44" t="str">
        <v/>
      </c>
      <c r="D681" s="44" t="str">
        <v/>
      </c>
      <c r="E681" s="44" t="str">
        <v/>
      </c>
      <c r="F681" s="44" t="str">
        <v/>
      </c>
      <c r="G681" s="44" t="str">
        <v/>
      </c>
      <c r="H681" s="44" t="str">
        <v/>
      </c>
      <c r="I681" s="44" t="str">
        <v/>
      </c>
      <c r="J681" s="44" t="str">
        <v/>
      </c>
      <c r="K681" s="44" t="str">
        <v/>
      </c>
      <c r="L681" s="44" t="str">
        <v/>
      </c>
      <c r="M681" s="44" t="str">
        <v/>
      </c>
      <c r="N681" s="44" t="str">
        <v/>
      </c>
      <c r="O681" s="44" t="str">
        <v/>
      </c>
      <c r="P681" s="44" t="str">
        <v/>
      </c>
    </row>
    <row r="682" spans="1:16" x14ac:dyDescent="0.2">
      <c r="A682" s="58" t="str">
        <v/>
      </c>
      <c r="B682" s="131" t="str">
        <f>IFERROR(TIMEVALUE(DaqBook_RAW_Data!A672),"")</f>
        <v/>
      </c>
      <c r="C682" s="44" t="str">
        <v/>
      </c>
      <c r="D682" s="44" t="str">
        <v/>
      </c>
      <c r="E682" s="44" t="str">
        <v/>
      </c>
      <c r="F682" s="44" t="str">
        <v/>
      </c>
      <c r="G682" s="44" t="str">
        <v/>
      </c>
      <c r="H682" s="44" t="str">
        <v/>
      </c>
      <c r="I682" s="44" t="str">
        <v/>
      </c>
      <c r="J682" s="44" t="str">
        <v/>
      </c>
      <c r="K682" s="44" t="str">
        <v/>
      </c>
      <c r="L682" s="44" t="str">
        <v/>
      </c>
      <c r="M682" s="44" t="str">
        <v/>
      </c>
      <c r="N682" s="44" t="str">
        <v/>
      </c>
      <c r="O682" s="44" t="str">
        <v/>
      </c>
      <c r="P682" s="44" t="str">
        <v/>
      </c>
    </row>
    <row r="683" spans="1:16" x14ac:dyDescent="0.2">
      <c r="A683" s="58" t="str">
        <v/>
      </c>
      <c r="B683" s="131" t="str">
        <f>IFERROR(TIMEVALUE(DaqBook_RAW_Data!A673),"")</f>
        <v/>
      </c>
      <c r="C683" s="44" t="str">
        <v/>
      </c>
      <c r="D683" s="44" t="str">
        <v/>
      </c>
      <c r="E683" s="44" t="str">
        <v/>
      </c>
      <c r="F683" s="44" t="str">
        <v/>
      </c>
      <c r="G683" s="44" t="str">
        <v/>
      </c>
      <c r="H683" s="44" t="str">
        <v/>
      </c>
      <c r="I683" s="44" t="str">
        <v/>
      </c>
      <c r="J683" s="44" t="str">
        <v/>
      </c>
      <c r="K683" s="44" t="str">
        <v/>
      </c>
      <c r="L683" s="44" t="str">
        <v/>
      </c>
      <c r="M683" s="44" t="str">
        <v/>
      </c>
      <c r="N683" s="44" t="str">
        <v/>
      </c>
      <c r="O683" s="44" t="str">
        <v/>
      </c>
      <c r="P683" s="44" t="str">
        <v/>
      </c>
    </row>
    <row r="684" spans="1:16" x14ac:dyDescent="0.2">
      <c r="A684" s="58" t="str">
        <v/>
      </c>
      <c r="B684" s="131" t="str">
        <f>IFERROR(TIMEVALUE(DaqBook_RAW_Data!A674),"")</f>
        <v/>
      </c>
      <c r="C684" s="44" t="str">
        <v/>
      </c>
      <c r="D684" s="44" t="str">
        <v/>
      </c>
      <c r="E684" s="44" t="str">
        <v/>
      </c>
      <c r="F684" s="44" t="str">
        <v/>
      </c>
      <c r="G684" s="44" t="str">
        <v/>
      </c>
      <c r="H684" s="44" t="str">
        <v/>
      </c>
      <c r="I684" s="44" t="str">
        <v/>
      </c>
      <c r="J684" s="44" t="str">
        <v/>
      </c>
      <c r="K684" s="44" t="str">
        <v/>
      </c>
      <c r="L684" s="44" t="str">
        <v/>
      </c>
      <c r="M684" s="44" t="str">
        <v/>
      </c>
      <c r="N684" s="44" t="str">
        <v/>
      </c>
      <c r="O684" s="44" t="str">
        <v/>
      </c>
      <c r="P684" s="44" t="str">
        <v/>
      </c>
    </row>
    <row r="685" spans="1:16" x14ac:dyDescent="0.2">
      <c r="A685" s="58" t="str">
        <v/>
      </c>
      <c r="B685" s="131" t="str">
        <f>IFERROR(TIMEVALUE(DaqBook_RAW_Data!A675),"")</f>
        <v/>
      </c>
      <c r="C685" s="44" t="str">
        <v/>
      </c>
      <c r="D685" s="44" t="str">
        <v/>
      </c>
      <c r="E685" s="44" t="str">
        <v/>
      </c>
      <c r="F685" s="44" t="str">
        <v/>
      </c>
      <c r="G685" s="44" t="str">
        <v/>
      </c>
      <c r="H685" s="44" t="str">
        <v/>
      </c>
      <c r="I685" s="44" t="str">
        <v/>
      </c>
      <c r="J685" s="44" t="str">
        <v/>
      </c>
      <c r="K685" s="44" t="str">
        <v/>
      </c>
      <c r="L685" s="44" t="str">
        <v/>
      </c>
      <c r="M685" s="44" t="str">
        <v/>
      </c>
      <c r="N685" s="44" t="str">
        <v/>
      </c>
      <c r="O685" s="44" t="str">
        <v/>
      </c>
      <c r="P685" s="44" t="str">
        <v/>
      </c>
    </row>
    <row r="686" spans="1:16" x14ac:dyDescent="0.2">
      <c r="A686" s="58" t="str">
        <v/>
      </c>
      <c r="B686" s="131" t="str">
        <f>IFERROR(TIMEVALUE(DaqBook_RAW_Data!A676),"")</f>
        <v/>
      </c>
      <c r="C686" s="44" t="str">
        <v/>
      </c>
      <c r="D686" s="44" t="str">
        <v/>
      </c>
      <c r="E686" s="44" t="str">
        <v/>
      </c>
      <c r="F686" s="44" t="str">
        <v/>
      </c>
      <c r="G686" s="44" t="str">
        <v/>
      </c>
      <c r="H686" s="44" t="str">
        <v/>
      </c>
      <c r="I686" s="44" t="str">
        <v/>
      </c>
      <c r="J686" s="44" t="str">
        <v/>
      </c>
      <c r="K686" s="44" t="str">
        <v/>
      </c>
      <c r="L686" s="44" t="str">
        <v/>
      </c>
      <c r="M686" s="44" t="str">
        <v/>
      </c>
      <c r="N686" s="44" t="str">
        <v/>
      </c>
      <c r="O686" s="44" t="str">
        <v/>
      </c>
      <c r="P686" s="44" t="str">
        <v/>
      </c>
    </row>
    <row r="687" spans="1:16" x14ac:dyDescent="0.2">
      <c r="A687" s="58" t="str">
        <v/>
      </c>
      <c r="B687" s="131" t="str">
        <f>IFERROR(TIMEVALUE(DaqBook_RAW_Data!A677),"")</f>
        <v/>
      </c>
      <c r="C687" s="44" t="str">
        <v/>
      </c>
      <c r="D687" s="44" t="str">
        <v/>
      </c>
      <c r="E687" s="44" t="str">
        <v/>
      </c>
      <c r="F687" s="44" t="str">
        <v/>
      </c>
      <c r="G687" s="44" t="str">
        <v/>
      </c>
      <c r="H687" s="44" t="str">
        <v/>
      </c>
      <c r="I687" s="44" t="str">
        <v/>
      </c>
      <c r="J687" s="44" t="str">
        <v/>
      </c>
      <c r="K687" s="44" t="str">
        <v/>
      </c>
      <c r="L687" s="44" t="str">
        <v/>
      </c>
      <c r="M687" s="44" t="str">
        <v/>
      </c>
      <c r="N687" s="44" t="str">
        <v/>
      </c>
      <c r="O687" s="44" t="str">
        <v/>
      </c>
      <c r="P687" s="44" t="str">
        <v/>
      </c>
    </row>
    <row r="688" spans="1:16" x14ac:dyDescent="0.2">
      <c r="A688" s="58" t="str">
        <v/>
      </c>
      <c r="B688" s="131" t="str">
        <f>IFERROR(TIMEVALUE(DaqBook_RAW_Data!A678),"")</f>
        <v/>
      </c>
      <c r="C688" s="44" t="str">
        <v/>
      </c>
      <c r="D688" s="44" t="str">
        <v/>
      </c>
      <c r="E688" s="44" t="str">
        <v/>
      </c>
      <c r="F688" s="44" t="str">
        <v/>
      </c>
      <c r="G688" s="44" t="str">
        <v/>
      </c>
      <c r="H688" s="44" t="str">
        <v/>
      </c>
      <c r="I688" s="44" t="str">
        <v/>
      </c>
      <c r="J688" s="44" t="str">
        <v/>
      </c>
      <c r="K688" s="44" t="str">
        <v/>
      </c>
      <c r="L688" s="44" t="str">
        <v/>
      </c>
      <c r="M688" s="44" t="str">
        <v/>
      </c>
      <c r="N688" s="44" t="str">
        <v/>
      </c>
      <c r="O688" s="44" t="str">
        <v/>
      </c>
      <c r="P688" s="44" t="str">
        <v/>
      </c>
    </row>
    <row r="689" spans="1:16" x14ac:dyDescent="0.2">
      <c r="A689" s="58" t="str">
        <v/>
      </c>
      <c r="B689" s="131" t="str">
        <f>IFERROR(TIMEVALUE(DaqBook_RAW_Data!A679),"")</f>
        <v/>
      </c>
      <c r="C689" s="44" t="str">
        <v/>
      </c>
      <c r="D689" s="44" t="str">
        <v/>
      </c>
      <c r="E689" s="44" t="str">
        <v/>
      </c>
      <c r="F689" s="44" t="str">
        <v/>
      </c>
      <c r="G689" s="44" t="str">
        <v/>
      </c>
      <c r="H689" s="44" t="str">
        <v/>
      </c>
      <c r="I689" s="44" t="str">
        <v/>
      </c>
      <c r="J689" s="44" t="str">
        <v/>
      </c>
      <c r="K689" s="44" t="str">
        <v/>
      </c>
      <c r="L689" s="44" t="str">
        <v/>
      </c>
      <c r="M689" s="44" t="str">
        <v/>
      </c>
      <c r="N689" s="44" t="str">
        <v/>
      </c>
      <c r="O689" s="44" t="str">
        <v/>
      </c>
      <c r="P689" s="44" t="str">
        <v/>
      </c>
    </row>
    <row r="690" spans="1:16" x14ac:dyDescent="0.2">
      <c r="A690" s="58" t="str">
        <v/>
      </c>
      <c r="B690" s="131" t="str">
        <f>IFERROR(TIMEVALUE(DaqBook_RAW_Data!A680),"")</f>
        <v/>
      </c>
      <c r="C690" s="44" t="str">
        <v/>
      </c>
      <c r="D690" s="44" t="str">
        <v/>
      </c>
      <c r="E690" s="44" t="str">
        <v/>
      </c>
      <c r="F690" s="44" t="str">
        <v/>
      </c>
      <c r="G690" s="44" t="str">
        <v/>
      </c>
      <c r="H690" s="44" t="str">
        <v/>
      </c>
      <c r="I690" s="44" t="str">
        <v/>
      </c>
      <c r="J690" s="44" t="str">
        <v/>
      </c>
      <c r="K690" s="44" t="str">
        <v/>
      </c>
      <c r="L690" s="44" t="str">
        <v/>
      </c>
      <c r="M690" s="44" t="str">
        <v/>
      </c>
      <c r="N690" s="44" t="str">
        <v/>
      </c>
      <c r="O690" s="44" t="str">
        <v/>
      </c>
      <c r="P690" s="44" t="str">
        <v/>
      </c>
    </row>
    <row r="691" spans="1:16" x14ac:dyDescent="0.2">
      <c r="A691" s="58" t="str">
        <v/>
      </c>
      <c r="B691" s="131" t="str">
        <f>IFERROR(TIMEVALUE(DaqBook_RAW_Data!A681),"")</f>
        <v/>
      </c>
      <c r="C691" s="44" t="str">
        <v/>
      </c>
      <c r="D691" s="44" t="str">
        <v/>
      </c>
      <c r="E691" s="44" t="str">
        <v/>
      </c>
      <c r="F691" s="44" t="str">
        <v/>
      </c>
      <c r="G691" s="44" t="str">
        <v/>
      </c>
      <c r="H691" s="44" t="str">
        <v/>
      </c>
      <c r="I691" s="44" t="str">
        <v/>
      </c>
      <c r="J691" s="44" t="str">
        <v/>
      </c>
      <c r="K691" s="44" t="str">
        <v/>
      </c>
      <c r="L691" s="44" t="str">
        <v/>
      </c>
      <c r="M691" s="44" t="str">
        <v/>
      </c>
      <c r="N691" s="44" t="str">
        <v/>
      </c>
      <c r="O691" s="44" t="str">
        <v/>
      </c>
      <c r="P691" s="44" t="str">
        <v/>
      </c>
    </row>
    <row r="692" spans="1:16" x14ac:dyDescent="0.2">
      <c r="A692" s="58" t="str">
        <v/>
      </c>
      <c r="B692" s="131" t="str">
        <f>IFERROR(TIMEVALUE(DaqBook_RAW_Data!A682),"")</f>
        <v/>
      </c>
      <c r="C692" s="44" t="str">
        <v/>
      </c>
      <c r="D692" s="44" t="str">
        <v/>
      </c>
      <c r="E692" s="44" t="str">
        <v/>
      </c>
      <c r="F692" s="44" t="str">
        <v/>
      </c>
      <c r="G692" s="44" t="str">
        <v/>
      </c>
      <c r="H692" s="44" t="str">
        <v/>
      </c>
      <c r="I692" s="44" t="str">
        <v/>
      </c>
      <c r="J692" s="44" t="str">
        <v/>
      </c>
      <c r="K692" s="44" t="str">
        <v/>
      </c>
      <c r="L692" s="44" t="str">
        <v/>
      </c>
      <c r="M692" s="44" t="str">
        <v/>
      </c>
      <c r="N692" s="44" t="str">
        <v/>
      </c>
      <c r="O692" s="44" t="str">
        <v/>
      </c>
      <c r="P692" s="44" t="str">
        <v/>
      </c>
    </row>
    <row r="693" spans="1:16" x14ac:dyDescent="0.2">
      <c r="A693" s="58" t="str">
        <v/>
      </c>
      <c r="B693" s="131" t="str">
        <f>IFERROR(TIMEVALUE(DaqBook_RAW_Data!A683),"")</f>
        <v/>
      </c>
      <c r="C693" s="44" t="str">
        <v/>
      </c>
      <c r="D693" s="44" t="str">
        <v/>
      </c>
      <c r="E693" s="44" t="str">
        <v/>
      </c>
      <c r="F693" s="44" t="str">
        <v/>
      </c>
      <c r="G693" s="44" t="str">
        <v/>
      </c>
      <c r="H693" s="44" t="str">
        <v/>
      </c>
      <c r="I693" s="44" t="str">
        <v/>
      </c>
      <c r="J693" s="44" t="str">
        <v/>
      </c>
      <c r="K693" s="44" t="str">
        <v/>
      </c>
      <c r="L693" s="44" t="str">
        <v/>
      </c>
      <c r="M693" s="44" t="str">
        <v/>
      </c>
      <c r="N693" s="44" t="str">
        <v/>
      </c>
      <c r="O693" s="44" t="str">
        <v/>
      </c>
      <c r="P693" s="44" t="str">
        <v/>
      </c>
    </row>
    <row r="694" spans="1:16" x14ac:dyDescent="0.2">
      <c r="A694" s="58" t="str">
        <v/>
      </c>
      <c r="B694" s="131" t="str">
        <f>IFERROR(TIMEVALUE(DaqBook_RAW_Data!A684),"")</f>
        <v/>
      </c>
      <c r="C694" s="44" t="str">
        <v/>
      </c>
      <c r="D694" s="44" t="str">
        <v/>
      </c>
      <c r="E694" s="44" t="str">
        <v/>
      </c>
      <c r="F694" s="44" t="str">
        <v/>
      </c>
      <c r="G694" s="44" t="str">
        <v/>
      </c>
      <c r="H694" s="44" t="str">
        <v/>
      </c>
      <c r="I694" s="44" t="str">
        <v/>
      </c>
      <c r="J694" s="44" t="str">
        <v/>
      </c>
      <c r="K694" s="44" t="str">
        <v/>
      </c>
      <c r="L694" s="44" t="str">
        <v/>
      </c>
      <c r="M694" s="44" t="str">
        <v/>
      </c>
      <c r="N694" s="44" t="str">
        <v/>
      </c>
      <c r="O694" s="44" t="str">
        <v/>
      </c>
      <c r="P694" s="44" t="str">
        <v/>
      </c>
    </row>
    <row r="695" spans="1:16" x14ac:dyDescent="0.2">
      <c r="A695" s="58" t="str">
        <v/>
      </c>
      <c r="B695" s="131" t="str">
        <f>IFERROR(TIMEVALUE(DaqBook_RAW_Data!A685),"")</f>
        <v/>
      </c>
      <c r="C695" s="44" t="str">
        <v/>
      </c>
      <c r="D695" s="44" t="str">
        <v/>
      </c>
      <c r="E695" s="44" t="str">
        <v/>
      </c>
      <c r="F695" s="44" t="str">
        <v/>
      </c>
      <c r="G695" s="44" t="str">
        <v/>
      </c>
      <c r="H695" s="44" t="str">
        <v/>
      </c>
      <c r="I695" s="44" t="str">
        <v/>
      </c>
      <c r="J695" s="44" t="str">
        <v/>
      </c>
      <c r="K695" s="44" t="str">
        <v/>
      </c>
      <c r="L695" s="44" t="str">
        <v/>
      </c>
      <c r="M695" s="44" t="str">
        <v/>
      </c>
      <c r="N695" s="44" t="str">
        <v/>
      </c>
      <c r="O695" s="44" t="str">
        <v/>
      </c>
      <c r="P695" s="44" t="str">
        <v/>
      </c>
    </row>
    <row r="696" spans="1:16" x14ac:dyDescent="0.2">
      <c r="A696" s="58" t="str">
        <v/>
      </c>
      <c r="B696" s="131" t="str">
        <f>IFERROR(TIMEVALUE(DaqBook_RAW_Data!A686),"")</f>
        <v/>
      </c>
      <c r="C696" s="44" t="str">
        <v/>
      </c>
      <c r="D696" s="44" t="str">
        <v/>
      </c>
      <c r="E696" s="44" t="str">
        <v/>
      </c>
      <c r="F696" s="44" t="str">
        <v/>
      </c>
      <c r="G696" s="44" t="str">
        <v/>
      </c>
      <c r="H696" s="44" t="str">
        <v/>
      </c>
      <c r="I696" s="44" t="str">
        <v/>
      </c>
      <c r="J696" s="44" t="str">
        <v/>
      </c>
      <c r="K696" s="44" t="str">
        <v/>
      </c>
      <c r="L696" s="44" t="str">
        <v/>
      </c>
      <c r="M696" s="44" t="str">
        <v/>
      </c>
      <c r="N696" s="44" t="str">
        <v/>
      </c>
      <c r="O696" s="44" t="str">
        <v/>
      </c>
      <c r="P696" s="44" t="str">
        <v/>
      </c>
    </row>
    <row r="697" spans="1:16" x14ac:dyDescent="0.2">
      <c r="A697" s="58" t="str">
        <v/>
      </c>
      <c r="B697" s="131" t="str">
        <f>IFERROR(TIMEVALUE(DaqBook_RAW_Data!A687),"")</f>
        <v/>
      </c>
      <c r="C697" s="44" t="str">
        <v/>
      </c>
      <c r="D697" s="44" t="str">
        <v/>
      </c>
      <c r="E697" s="44" t="str">
        <v/>
      </c>
      <c r="F697" s="44" t="str">
        <v/>
      </c>
      <c r="G697" s="44" t="str">
        <v/>
      </c>
      <c r="H697" s="44" t="str">
        <v/>
      </c>
      <c r="I697" s="44" t="str">
        <v/>
      </c>
      <c r="J697" s="44" t="str">
        <v/>
      </c>
      <c r="K697" s="44" t="str">
        <v/>
      </c>
      <c r="L697" s="44" t="str">
        <v/>
      </c>
      <c r="M697" s="44" t="str">
        <v/>
      </c>
      <c r="N697" s="44" t="str">
        <v/>
      </c>
      <c r="O697" s="44" t="str">
        <v/>
      </c>
      <c r="P697" s="44" t="str">
        <v/>
      </c>
    </row>
    <row r="698" spans="1:16" x14ac:dyDescent="0.2">
      <c r="A698" s="58" t="str">
        <v/>
      </c>
      <c r="B698" s="131" t="str">
        <f>IFERROR(TIMEVALUE(DaqBook_RAW_Data!A688),"")</f>
        <v/>
      </c>
      <c r="C698" s="44" t="str">
        <v/>
      </c>
      <c r="D698" s="44" t="str">
        <v/>
      </c>
      <c r="E698" s="44" t="str">
        <v/>
      </c>
      <c r="F698" s="44" t="str">
        <v/>
      </c>
      <c r="G698" s="44" t="str">
        <v/>
      </c>
      <c r="H698" s="44" t="str">
        <v/>
      </c>
      <c r="I698" s="44" t="str">
        <v/>
      </c>
      <c r="J698" s="44" t="str">
        <v/>
      </c>
      <c r="K698" s="44" t="str">
        <v/>
      </c>
      <c r="L698" s="44" t="str">
        <v/>
      </c>
      <c r="M698" s="44" t="str">
        <v/>
      </c>
      <c r="N698" s="44" t="str">
        <v/>
      </c>
      <c r="O698" s="44" t="str">
        <v/>
      </c>
      <c r="P698" s="44" t="str">
        <v/>
      </c>
    </row>
    <row r="699" spans="1:16" x14ac:dyDescent="0.2">
      <c r="A699" s="58" t="str">
        <v/>
      </c>
      <c r="B699" s="131" t="str">
        <f>IFERROR(TIMEVALUE(DaqBook_RAW_Data!A689),"")</f>
        <v/>
      </c>
      <c r="C699" s="44" t="str">
        <v/>
      </c>
      <c r="D699" s="44" t="str">
        <v/>
      </c>
      <c r="E699" s="44" t="str">
        <v/>
      </c>
      <c r="F699" s="44" t="str">
        <v/>
      </c>
      <c r="G699" s="44" t="str">
        <v/>
      </c>
      <c r="H699" s="44" t="str">
        <v/>
      </c>
      <c r="I699" s="44" t="str">
        <v/>
      </c>
      <c r="J699" s="44" t="str">
        <v/>
      </c>
      <c r="K699" s="44" t="str">
        <v/>
      </c>
      <c r="L699" s="44" t="str">
        <v/>
      </c>
      <c r="M699" s="44" t="str">
        <v/>
      </c>
      <c r="N699" s="44" t="str">
        <v/>
      </c>
      <c r="O699" s="44" t="str">
        <v/>
      </c>
      <c r="P699" s="44" t="str">
        <v/>
      </c>
    </row>
    <row r="700" spans="1:16" x14ac:dyDescent="0.2">
      <c r="A700" s="58" t="str">
        <v/>
      </c>
      <c r="B700" s="131" t="str">
        <f>IFERROR(TIMEVALUE(DaqBook_RAW_Data!A690),"")</f>
        <v/>
      </c>
      <c r="C700" s="44" t="str">
        <v/>
      </c>
      <c r="D700" s="44" t="str">
        <v/>
      </c>
      <c r="E700" s="44" t="str">
        <v/>
      </c>
      <c r="F700" s="44" t="str">
        <v/>
      </c>
      <c r="G700" s="44" t="str">
        <v/>
      </c>
      <c r="H700" s="44" t="str">
        <v/>
      </c>
      <c r="I700" s="44" t="str">
        <v/>
      </c>
      <c r="J700" s="44" t="str">
        <v/>
      </c>
      <c r="K700" s="44" t="str">
        <v/>
      </c>
      <c r="L700" s="44" t="str">
        <v/>
      </c>
      <c r="M700" s="44" t="str">
        <v/>
      </c>
      <c r="N700" s="44" t="str">
        <v/>
      </c>
      <c r="O700" s="44" t="str">
        <v/>
      </c>
      <c r="P700" s="44" t="str">
        <v/>
      </c>
    </row>
    <row r="701" spans="1:16" x14ac:dyDescent="0.2">
      <c r="A701" s="58" t="str">
        <v/>
      </c>
      <c r="B701" s="131" t="str">
        <f>IFERROR(TIMEVALUE(DaqBook_RAW_Data!A691),"")</f>
        <v/>
      </c>
      <c r="C701" s="44" t="str">
        <v/>
      </c>
      <c r="D701" s="44" t="str">
        <v/>
      </c>
      <c r="E701" s="44" t="str">
        <v/>
      </c>
      <c r="F701" s="44" t="str">
        <v/>
      </c>
      <c r="G701" s="44" t="str">
        <v/>
      </c>
      <c r="H701" s="44" t="str">
        <v/>
      </c>
      <c r="I701" s="44" t="str">
        <v/>
      </c>
      <c r="J701" s="44" t="str">
        <v/>
      </c>
      <c r="K701" s="44" t="str">
        <v/>
      </c>
      <c r="L701" s="44" t="str">
        <v/>
      </c>
      <c r="M701" s="44" t="str">
        <v/>
      </c>
      <c r="N701" s="44" t="str">
        <v/>
      </c>
      <c r="O701" s="44" t="str">
        <v/>
      </c>
      <c r="P701" s="44" t="str">
        <v/>
      </c>
    </row>
    <row r="702" spans="1:16" x14ac:dyDescent="0.2">
      <c r="A702" s="58" t="str">
        <v/>
      </c>
      <c r="B702" s="131" t="str">
        <f>IFERROR(TIMEVALUE(DaqBook_RAW_Data!A692),"")</f>
        <v/>
      </c>
      <c r="C702" s="44" t="str">
        <v/>
      </c>
      <c r="D702" s="44" t="str">
        <v/>
      </c>
      <c r="E702" s="44" t="str">
        <v/>
      </c>
      <c r="F702" s="44" t="str">
        <v/>
      </c>
      <c r="G702" s="44" t="str">
        <v/>
      </c>
      <c r="H702" s="44" t="str">
        <v/>
      </c>
      <c r="I702" s="44" t="str">
        <v/>
      </c>
      <c r="J702" s="44" t="str">
        <v/>
      </c>
      <c r="K702" s="44" t="str">
        <v/>
      </c>
      <c r="L702" s="44" t="str">
        <v/>
      </c>
      <c r="M702" s="44" t="str">
        <v/>
      </c>
      <c r="N702" s="44" t="str">
        <v/>
      </c>
      <c r="O702" s="44" t="str">
        <v/>
      </c>
      <c r="P702" s="44" t="str">
        <v/>
      </c>
    </row>
    <row r="703" spans="1:16" x14ac:dyDescent="0.2">
      <c r="A703" s="58" t="str">
        <v/>
      </c>
      <c r="B703" s="131" t="str">
        <f>IFERROR(TIMEVALUE(DaqBook_RAW_Data!A693),"")</f>
        <v/>
      </c>
      <c r="C703" s="44" t="str">
        <v/>
      </c>
      <c r="D703" s="44" t="str">
        <v/>
      </c>
      <c r="E703" s="44" t="str">
        <v/>
      </c>
      <c r="F703" s="44" t="str">
        <v/>
      </c>
      <c r="G703" s="44" t="str">
        <v/>
      </c>
      <c r="H703" s="44" t="str">
        <v/>
      </c>
      <c r="I703" s="44" t="str">
        <v/>
      </c>
      <c r="J703" s="44" t="str">
        <v/>
      </c>
      <c r="K703" s="44" t="str">
        <v/>
      </c>
      <c r="L703" s="44" t="str">
        <v/>
      </c>
      <c r="M703" s="44" t="str">
        <v/>
      </c>
      <c r="N703" s="44" t="str">
        <v/>
      </c>
      <c r="O703" s="44" t="str">
        <v/>
      </c>
      <c r="P703" s="44" t="str">
        <v/>
      </c>
    </row>
    <row r="704" spans="1:16" x14ac:dyDescent="0.2">
      <c r="A704" s="58" t="str">
        <v/>
      </c>
      <c r="B704" s="131" t="str">
        <f>IFERROR(TIMEVALUE(DaqBook_RAW_Data!A694),"")</f>
        <v/>
      </c>
      <c r="C704" s="44" t="str">
        <v/>
      </c>
      <c r="D704" s="44" t="str">
        <v/>
      </c>
      <c r="E704" s="44" t="str">
        <v/>
      </c>
      <c r="F704" s="44" t="str">
        <v/>
      </c>
      <c r="G704" s="44" t="str">
        <v/>
      </c>
      <c r="H704" s="44" t="str">
        <v/>
      </c>
      <c r="I704" s="44" t="str">
        <v/>
      </c>
      <c r="J704" s="44" t="str">
        <v/>
      </c>
      <c r="K704" s="44" t="str">
        <v/>
      </c>
      <c r="L704" s="44" t="str">
        <v/>
      </c>
      <c r="M704" s="44" t="str">
        <v/>
      </c>
      <c r="N704" s="44" t="str">
        <v/>
      </c>
      <c r="O704" s="44" t="str">
        <v/>
      </c>
      <c r="P704" s="44" t="str">
        <v/>
      </c>
    </row>
    <row r="705" spans="1:16" x14ac:dyDescent="0.2">
      <c r="A705" s="58" t="str">
        <v/>
      </c>
      <c r="B705" s="131" t="str">
        <f>IFERROR(TIMEVALUE(DaqBook_RAW_Data!A695),"")</f>
        <v/>
      </c>
      <c r="C705" s="44" t="str">
        <v/>
      </c>
      <c r="D705" s="44" t="str">
        <v/>
      </c>
      <c r="E705" s="44" t="str">
        <v/>
      </c>
      <c r="F705" s="44" t="str">
        <v/>
      </c>
      <c r="G705" s="44" t="str">
        <v/>
      </c>
      <c r="H705" s="44" t="str">
        <v/>
      </c>
      <c r="I705" s="44" t="str">
        <v/>
      </c>
      <c r="J705" s="44" t="str">
        <v/>
      </c>
      <c r="K705" s="44" t="str">
        <v/>
      </c>
      <c r="L705" s="44" t="str">
        <v/>
      </c>
      <c r="M705" s="44" t="str">
        <v/>
      </c>
      <c r="N705" s="44" t="str">
        <v/>
      </c>
      <c r="O705" s="44" t="str">
        <v/>
      </c>
      <c r="P705" s="44" t="str">
        <v/>
      </c>
    </row>
    <row r="706" spans="1:16" x14ac:dyDescent="0.2">
      <c r="A706" s="58" t="str">
        <v/>
      </c>
      <c r="B706" s="131" t="str">
        <f>IFERROR(TIMEVALUE(DaqBook_RAW_Data!A696),"")</f>
        <v/>
      </c>
      <c r="C706" s="44" t="str">
        <v/>
      </c>
      <c r="D706" s="44" t="str">
        <v/>
      </c>
      <c r="E706" s="44" t="str">
        <v/>
      </c>
      <c r="F706" s="44" t="str">
        <v/>
      </c>
      <c r="G706" s="44" t="str">
        <v/>
      </c>
      <c r="H706" s="44" t="str">
        <v/>
      </c>
      <c r="I706" s="44" t="str">
        <v/>
      </c>
      <c r="J706" s="44" t="str">
        <v/>
      </c>
      <c r="K706" s="44" t="str">
        <v/>
      </c>
      <c r="L706" s="44" t="str">
        <v/>
      </c>
      <c r="M706" s="44" t="str">
        <v/>
      </c>
      <c r="N706" s="44" t="str">
        <v/>
      </c>
      <c r="O706" s="44" t="str">
        <v/>
      </c>
      <c r="P706" s="44" t="str">
        <v/>
      </c>
    </row>
    <row r="707" spans="1:16" x14ac:dyDescent="0.2">
      <c r="A707" s="58" t="str">
        <v/>
      </c>
      <c r="B707" s="131" t="str">
        <f>IFERROR(TIMEVALUE(DaqBook_RAW_Data!A697),"")</f>
        <v/>
      </c>
      <c r="C707" s="44" t="str">
        <v/>
      </c>
      <c r="D707" s="44" t="str">
        <v/>
      </c>
      <c r="E707" s="44" t="str">
        <v/>
      </c>
      <c r="F707" s="44" t="str">
        <v/>
      </c>
      <c r="G707" s="44" t="str">
        <v/>
      </c>
      <c r="H707" s="44" t="str">
        <v/>
      </c>
      <c r="I707" s="44" t="str">
        <v/>
      </c>
      <c r="J707" s="44" t="str">
        <v/>
      </c>
      <c r="K707" s="44" t="str">
        <v/>
      </c>
      <c r="L707" s="44" t="str">
        <v/>
      </c>
      <c r="M707" s="44" t="str">
        <v/>
      </c>
      <c r="N707" s="44" t="str">
        <v/>
      </c>
      <c r="O707" s="44" t="str">
        <v/>
      </c>
      <c r="P707" s="44" t="str">
        <v/>
      </c>
    </row>
    <row r="708" spans="1:16" x14ac:dyDescent="0.2">
      <c r="A708" s="58" t="str">
        <v/>
      </c>
      <c r="B708" s="131" t="str">
        <f>IFERROR(TIMEVALUE(DaqBook_RAW_Data!A698),"")</f>
        <v/>
      </c>
      <c r="C708" s="44" t="str">
        <v/>
      </c>
      <c r="D708" s="44" t="str">
        <v/>
      </c>
      <c r="E708" s="44" t="str">
        <v/>
      </c>
      <c r="F708" s="44" t="str">
        <v/>
      </c>
      <c r="G708" s="44" t="str">
        <v/>
      </c>
      <c r="H708" s="44" t="str">
        <v/>
      </c>
      <c r="I708" s="44" t="str">
        <v/>
      </c>
      <c r="J708" s="44" t="str">
        <v/>
      </c>
      <c r="K708" s="44" t="str">
        <v/>
      </c>
      <c r="L708" s="44" t="str">
        <v/>
      </c>
      <c r="M708" s="44" t="str">
        <v/>
      </c>
      <c r="N708" s="44" t="str">
        <v/>
      </c>
      <c r="O708" s="44" t="str">
        <v/>
      </c>
      <c r="P708" s="44" t="str">
        <v/>
      </c>
    </row>
    <row r="709" spans="1:16" x14ac:dyDescent="0.2">
      <c r="A709" s="58" t="str">
        <v/>
      </c>
      <c r="B709" s="131" t="str">
        <f>IFERROR(TIMEVALUE(DaqBook_RAW_Data!A699),"")</f>
        <v/>
      </c>
      <c r="C709" s="44" t="str">
        <v/>
      </c>
      <c r="D709" s="44" t="str">
        <v/>
      </c>
      <c r="E709" s="44" t="str">
        <v/>
      </c>
      <c r="F709" s="44" t="str">
        <v/>
      </c>
      <c r="G709" s="44" t="str">
        <v/>
      </c>
      <c r="H709" s="44" t="str">
        <v/>
      </c>
      <c r="I709" s="44" t="str">
        <v/>
      </c>
      <c r="J709" s="44" t="str">
        <v/>
      </c>
      <c r="K709" s="44" t="str">
        <v/>
      </c>
      <c r="L709" s="44" t="str">
        <v/>
      </c>
      <c r="M709" s="44" t="str">
        <v/>
      </c>
      <c r="N709" s="44" t="str">
        <v/>
      </c>
      <c r="O709" s="44" t="str">
        <v/>
      </c>
      <c r="P709" s="44" t="str">
        <v/>
      </c>
    </row>
    <row r="710" spans="1:16" x14ac:dyDescent="0.2">
      <c r="A710" s="58" t="str">
        <v/>
      </c>
      <c r="B710" s="131" t="str">
        <f>IFERROR(TIMEVALUE(DaqBook_RAW_Data!A700),"")</f>
        <v/>
      </c>
      <c r="C710" s="44" t="str">
        <v/>
      </c>
      <c r="D710" s="44" t="str">
        <v/>
      </c>
      <c r="E710" s="44" t="str">
        <v/>
      </c>
      <c r="F710" s="44" t="str">
        <v/>
      </c>
      <c r="G710" s="44" t="str">
        <v/>
      </c>
      <c r="H710" s="44" t="str">
        <v/>
      </c>
      <c r="I710" s="44" t="str">
        <v/>
      </c>
      <c r="J710" s="44" t="str">
        <v/>
      </c>
      <c r="K710" s="44" t="str">
        <v/>
      </c>
      <c r="L710" s="44" t="str">
        <v/>
      </c>
      <c r="M710" s="44" t="str">
        <v/>
      </c>
      <c r="N710" s="44" t="str">
        <v/>
      </c>
      <c r="O710" s="44" t="str">
        <v/>
      </c>
      <c r="P710" s="44" t="str">
        <v/>
      </c>
    </row>
    <row r="711" spans="1:16" x14ac:dyDescent="0.2">
      <c r="A711" s="58" t="str">
        <v/>
      </c>
      <c r="B711" s="131" t="str">
        <f>IFERROR(TIMEVALUE(DaqBook_RAW_Data!A701),"")</f>
        <v/>
      </c>
      <c r="C711" s="44" t="str">
        <v/>
      </c>
      <c r="D711" s="44" t="str">
        <v/>
      </c>
      <c r="E711" s="44" t="str">
        <v/>
      </c>
      <c r="F711" s="44" t="str">
        <v/>
      </c>
      <c r="G711" s="44" t="str">
        <v/>
      </c>
      <c r="H711" s="44" t="str">
        <v/>
      </c>
      <c r="I711" s="44" t="str">
        <v/>
      </c>
      <c r="J711" s="44" t="str">
        <v/>
      </c>
      <c r="K711" s="44" t="str">
        <v/>
      </c>
      <c r="L711" s="44" t="str">
        <v/>
      </c>
      <c r="M711" s="44" t="str">
        <v/>
      </c>
      <c r="N711" s="44" t="str">
        <v/>
      </c>
      <c r="O711" s="44" t="str">
        <v/>
      </c>
      <c r="P711" s="44" t="str">
        <v/>
      </c>
    </row>
    <row r="712" spans="1:16" x14ac:dyDescent="0.2">
      <c r="A712" s="58" t="str">
        <v/>
      </c>
      <c r="B712" s="131" t="str">
        <f>IFERROR(TIMEVALUE(DaqBook_RAW_Data!A702),"")</f>
        <v/>
      </c>
      <c r="C712" s="44" t="str">
        <v/>
      </c>
      <c r="D712" s="44" t="str">
        <v/>
      </c>
      <c r="E712" s="44" t="str">
        <v/>
      </c>
      <c r="F712" s="44" t="str">
        <v/>
      </c>
      <c r="G712" s="44" t="str">
        <v/>
      </c>
      <c r="H712" s="44" t="str">
        <v/>
      </c>
      <c r="I712" s="44" t="str">
        <v/>
      </c>
      <c r="J712" s="44" t="str">
        <v/>
      </c>
      <c r="K712" s="44" t="str">
        <v/>
      </c>
      <c r="L712" s="44" t="str">
        <v/>
      </c>
      <c r="M712" s="44" t="str">
        <v/>
      </c>
      <c r="N712" s="44" t="str">
        <v/>
      </c>
      <c r="O712" s="44" t="str">
        <v/>
      </c>
      <c r="P712" s="44" t="str">
        <v/>
      </c>
    </row>
    <row r="713" spans="1:16" x14ac:dyDescent="0.2">
      <c r="A713" s="58" t="str">
        <v/>
      </c>
      <c r="B713" s="131" t="str">
        <f>IFERROR(TIMEVALUE(DaqBook_RAW_Data!A703),"")</f>
        <v/>
      </c>
      <c r="C713" s="44" t="str">
        <v/>
      </c>
      <c r="D713" s="44" t="str">
        <v/>
      </c>
      <c r="E713" s="44" t="str">
        <v/>
      </c>
      <c r="F713" s="44" t="str">
        <v/>
      </c>
      <c r="G713" s="44" t="str">
        <v/>
      </c>
      <c r="H713" s="44" t="str">
        <v/>
      </c>
      <c r="I713" s="44" t="str">
        <v/>
      </c>
      <c r="J713" s="44" t="str">
        <v/>
      </c>
      <c r="K713" s="44" t="str">
        <v/>
      </c>
      <c r="L713" s="44" t="str">
        <v/>
      </c>
      <c r="M713" s="44" t="str">
        <v/>
      </c>
      <c r="N713" s="44" t="str">
        <v/>
      </c>
      <c r="O713" s="44" t="str">
        <v/>
      </c>
      <c r="P713" s="44" t="str">
        <v/>
      </c>
    </row>
    <row r="714" spans="1:16" x14ac:dyDescent="0.2">
      <c r="A714" s="58" t="str">
        <v/>
      </c>
      <c r="B714" s="131" t="str">
        <f>IFERROR(TIMEVALUE(DaqBook_RAW_Data!A704),"")</f>
        <v/>
      </c>
      <c r="C714" s="44" t="str">
        <v/>
      </c>
      <c r="D714" s="44" t="str">
        <v/>
      </c>
      <c r="E714" s="44" t="str">
        <v/>
      </c>
      <c r="F714" s="44" t="str">
        <v/>
      </c>
      <c r="G714" s="44" t="str">
        <v/>
      </c>
      <c r="H714" s="44" t="str">
        <v/>
      </c>
      <c r="I714" s="44" t="str">
        <v/>
      </c>
      <c r="J714" s="44" t="str">
        <v/>
      </c>
      <c r="K714" s="44" t="str">
        <v/>
      </c>
      <c r="L714" s="44" t="str">
        <v/>
      </c>
      <c r="M714" s="44" t="str">
        <v/>
      </c>
      <c r="N714" s="44" t="str">
        <v/>
      </c>
      <c r="O714" s="44" t="str">
        <v/>
      </c>
      <c r="P714" s="44" t="str">
        <v/>
      </c>
    </row>
    <row r="715" spans="1:16" x14ac:dyDescent="0.2">
      <c r="A715" s="58" t="str">
        <v/>
      </c>
      <c r="B715" s="131" t="str">
        <f>IFERROR(TIMEVALUE(DaqBook_RAW_Data!A705),"")</f>
        <v/>
      </c>
      <c r="C715" s="44" t="str">
        <v/>
      </c>
      <c r="D715" s="44" t="str">
        <v/>
      </c>
      <c r="E715" s="44" t="str">
        <v/>
      </c>
      <c r="F715" s="44" t="str">
        <v/>
      </c>
      <c r="G715" s="44" t="str">
        <v/>
      </c>
      <c r="H715" s="44" t="str">
        <v/>
      </c>
      <c r="I715" s="44" t="str">
        <v/>
      </c>
      <c r="J715" s="44" t="str">
        <v/>
      </c>
      <c r="K715" s="44" t="str">
        <v/>
      </c>
      <c r="L715" s="44" t="str">
        <v/>
      </c>
      <c r="M715" s="44" t="str">
        <v/>
      </c>
      <c r="N715" s="44" t="str">
        <v/>
      </c>
      <c r="O715" s="44" t="str">
        <v/>
      </c>
      <c r="P715" s="44" t="str">
        <v/>
      </c>
    </row>
    <row r="716" spans="1:16" x14ac:dyDescent="0.2">
      <c r="A716" s="58" t="str">
        <v/>
      </c>
      <c r="B716" s="131" t="str">
        <f>IFERROR(TIMEVALUE(DaqBook_RAW_Data!A706),"")</f>
        <v/>
      </c>
      <c r="C716" s="44" t="str">
        <v/>
      </c>
      <c r="D716" s="44" t="str">
        <v/>
      </c>
      <c r="E716" s="44" t="str">
        <v/>
      </c>
      <c r="F716" s="44" t="str">
        <v/>
      </c>
      <c r="G716" s="44" t="str">
        <v/>
      </c>
      <c r="H716" s="44" t="str">
        <v/>
      </c>
      <c r="I716" s="44" t="str">
        <v/>
      </c>
      <c r="J716" s="44" t="str">
        <v/>
      </c>
      <c r="K716" s="44" t="str">
        <v/>
      </c>
      <c r="L716" s="44" t="str">
        <v/>
      </c>
      <c r="M716" s="44" t="str">
        <v/>
      </c>
      <c r="N716" s="44" t="str">
        <v/>
      </c>
      <c r="O716" s="44" t="str">
        <v/>
      </c>
      <c r="P716" s="44" t="str">
        <v/>
      </c>
    </row>
    <row r="717" spans="1:16" x14ac:dyDescent="0.2">
      <c r="A717" s="58" t="str">
        <v/>
      </c>
      <c r="B717" s="131" t="str">
        <f>IFERROR(TIMEVALUE(DaqBook_RAW_Data!A707),"")</f>
        <v/>
      </c>
      <c r="C717" s="44" t="str">
        <v/>
      </c>
      <c r="D717" s="44" t="str">
        <v/>
      </c>
      <c r="E717" s="44" t="str">
        <v/>
      </c>
      <c r="F717" s="44" t="str">
        <v/>
      </c>
      <c r="G717" s="44" t="str">
        <v/>
      </c>
      <c r="H717" s="44" t="str">
        <v/>
      </c>
      <c r="I717" s="44" t="str">
        <v/>
      </c>
      <c r="J717" s="44" t="str">
        <v/>
      </c>
      <c r="K717" s="44" t="str">
        <v/>
      </c>
      <c r="L717" s="44" t="str">
        <v/>
      </c>
      <c r="M717" s="44" t="str">
        <v/>
      </c>
      <c r="N717" s="44" t="str">
        <v/>
      </c>
      <c r="O717" s="44" t="str">
        <v/>
      </c>
      <c r="P717" s="44" t="str">
        <v/>
      </c>
    </row>
    <row r="718" spans="1:16" x14ac:dyDescent="0.2">
      <c r="A718" s="58" t="str">
        <v/>
      </c>
      <c r="B718" s="131" t="str">
        <f>IFERROR(TIMEVALUE(DaqBook_RAW_Data!A708),"")</f>
        <v/>
      </c>
      <c r="C718" s="44" t="str">
        <v/>
      </c>
      <c r="D718" s="44" t="str">
        <v/>
      </c>
      <c r="E718" s="44" t="str">
        <v/>
      </c>
      <c r="F718" s="44" t="str">
        <v/>
      </c>
      <c r="G718" s="44" t="str">
        <v/>
      </c>
      <c r="H718" s="44" t="str">
        <v/>
      </c>
      <c r="I718" s="44" t="str">
        <v/>
      </c>
      <c r="J718" s="44" t="str">
        <v/>
      </c>
      <c r="K718" s="44" t="str">
        <v/>
      </c>
      <c r="L718" s="44" t="str">
        <v/>
      </c>
      <c r="M718" s="44" t="str">
        <v/>
      </c>
      <c r="N718" s="44" t="str">
        <v/>
      </c>
      <c r="O718" s="44" t="str">
        <v/>
      </c>
      <c r="P718" s="44" t="str">
        <v/>
      </c>
    </row>
    <row r="719" spans="1:16" x14ac:dyDescent="0.2">
      <c r="A719" s="58" t="str">
        <v/>
      </c>
      <c r="B719" s="131" t="str">
        <f>IFERROR(TIMEVALUE(DaqBook_RAW_Data!A709),"")</f>
        <v/>
      </c>
      <c r="C719" s="44" t="str">
        <v/>
      </c>
      <c r="D719" s="44" t="str">
        <v/>
      </c>
      <c r="E719" s="44" t="str">
        <v/>
      </c>
      <c r="F719" s="44" t="str">
        <v/>
      </c>
      <c r="G719" s="44" t="str">
        <v/>
      </c>
      <c r="H719" s="44" t="str">
        <v/>
      </c>
      <c r="I719" s="44" t="str">
        <v/>
      </c>
      <c r="J719" s="44" t="str">
        <v/>
      </c>
      <c r="K719" s="44" t="str">
        <v/>
      </c>
      <c r="L719" s="44" t="str">
        <v/>
      </c>
      <c r="M719" s="44" t="str">
        <v/>
      </c>
      <c r="N719" s="44" t="str">
        <v/>
      </c>
      <c r="O719" s="44" t="str">
        <v/>
      </c>
      <c r="P719" s="44" t="str">
        <v/>
      </c>
    </row>
    <row r="720" spans="1:16" x14ac:dyDescent="0.2">
      <c r="A720" s="58" t="str">
        <v/>
      </c>
      <c r="B720" s="131" t="str">
        <f>IFERROR(TIMEVALUE(DaqBook_RAW_Data!A710),"")</f>
        <v/>
      </c>
      <c r="C720" s="44" t="str">
        <v/>
      </c>
      <c r="D720" s="44" t="str">
        <v/>
      </c>
      <c r="E720" s="44" t="str">
        <v/>
      </c>
      <c r="F720" s="44" t="str">
        <v/>
      </c>
      <c r="G720" s="44" t="str">
        <v/>
      </c>
      <c r="H720" s="44" t="str">
        <v/>
      </c>
      <c r="I720" s="44" t="str">
        <v/>
      </c>
      <c r="J720" s="44" t="str">
        <v/>
      </c>
      <c r="K720" s="44" t="str">
        <v/>
      </c>
      <c r="L720" s="44" t="str">
        <v/>
      </c>
      <c r="M720" s="44" t="str">
        <v/>
      </c>
      <c r="N720" s="44" t="str">
        <v/>
      </c>
      <c r="O720" s="44" t="str">
        <v/>
      </c>
      <c r="P720" s="44" t="str">
        <v/>
      </c>
    </row>
    <row r="721" spans="1:16" x14ac:dyDescent="0.2">
      <c r="A721" s="58" t="str">
        <v/>
      </c>
      <c r="B721" s="131" t="str">
        <f>IFERROR(TIMEVALUE(DaqBook_RAW_Data!A711),"")</f>
        <v/>
      </c>
      <c r="C721" s="44" t="str">
        <v/>
      </c>
      <c r="D721" s="44" t="str">
        <v/>
      </c>
      <c r="E721" s="44" t="str">
        <v/>
      </c>
      <c r="F721" s="44" t="str">
        <v/>
      </c>
      <c r="G721" s="44" t="str">
        <v/>
      </c>
      <c r="H721" s="44" t="str">
        <v/>
      </c>
      <c r="I721" s="44" t="str">
        <v/>
      </c>
      <c r="J721" s="44" t="str">
        <v/>
      </c>
      <c r="K721" s="44" t="str">
        <v/>
      </c>
      <c r="L721" s="44" t="str">
        <v/>
      </c>
      <c r="M721" s="44" t="str">
        <v/>
      </c>
      <c r="N721" s="44" t="str">
        <v/>
      </c>
      <c r="O721" s="44" t="str">
        <v/>
      </c>
      <c r="P721" s="44" t="str">
        <v/>
      </c>
    </row>
    <row r="722" spans="1:16" x14ac:dyDescent="0.2">
      <c r="A722" s="58" t="str">
        <v/>
      </c>
      <c r="B722" s="131" t="str">
        <f>IFERROR(TIMEVALUE(DaqBook_RAW_Data!A712),"")</f>
        <v/>
      </c>
      <c r="C722" s="44" t="str">
        <v/>
      </c>
      <c r="D722" s="44" t="str">
        <v/>
      </c>
      <c r="E722" s="44" t="str">
        <v/>
      </c>
      <c r="F722" s="44" t="str">
        <v/>
      </c>
      <c r="G722" s="44" t="str">
        <v/>
      </c>
      <c r="H722" s="44" t="str">
        <v/>
      </c>
      <c r="I722" s="44" t="str">
        <v/>
      </c>
      <c r="J722" s="44" t="str">
        <v/>
      </c>
      <c r="K722" s="44" t="str">
        <v/>
      </c>
      <c r="L722" s="44" t="str">
        <v/>
      </c>
      <c r="M722" s="44" t="str">
        <v/>
      </c>
      <c r="N722" s="44" t="str">
        <v/>
      </c>
      <c r="O722" s="44" t="str">
        <v/>
      </c>
      <c r="P722" s="44" t="str">
        <v/>
      </c>
    </row>
    <row r="723" spans="1:16" x14ac:dyDescent="0.2">
      <c r="A723" s="58" t="str">
        <v/>
      </c>
      <c r="B723" s="131" t="str">
        <f>IFERROR(TIMEVALUE(DaqBook_RAW_Data!A713),"")</f>
        <v/>
      </c>
      <c r="C723" s="44" t="str">
        <v/>
      </c>
      <c r="D723" s="44" t="str">
        <v/>
      </c>
      <c r="E723" s="44" t="str">
        <v/>
      </c>
      <c r="F723" s="44" t="str">
        <v/>
      </c>
      <c r="G723" s="44" t="str">
        <v/>
      </c>
      <c r="H723" s="44" t="str">
        <v/>
      </c>
      <c r="I723" s="44" t="str">
        <v/>
      </c>
      <c r="J723" s="44" t="str">
        <v/>
      </c>
      <c r="K723" s="44" t="str">
        <v/>
      </c>
      <c r="L723" s="44" t="str">
        <v/>
      </c>
      <c r="M723" s="44" t="str">
        <v/>
      </c>
      <c r="N723" s="44" t="str">
        <v/>
      </c>
      <c r="O723" s="44" t="str">
        <v/>
      </c>
      <c r="P723" s="44" t="str">
        <v/>
      </c>
    </row>
    <row r="724" spans="1:16" x14ac:dyDescent="0.2">
      <c r="A724" s="58" t="str">
        <v/>
      </c>
      <c r="B724" s="131" t="str">
        <f>IFERROR(TIMEVALUE(DaqBook_RAW_Data!A714),"")</f>
        <v/>
      </c>
      <c r="C724" s="44" t="str">
        <v/>
      </c>
      <c r="D724" s="44" t="str">
        <v/>
      </c>
      <c r="E724" s="44" t="str">
        <v/>
      </c>
      <c r="F724" s="44" t="str">
        <v/>
      </c>
      <c r="G724" s="44" t="str">
        <v/>
      </c>
      <c r="H724" s="44" t="str">
        <v/>
      </c>
      <c r="I724" s="44" t="str">
        <v/>
      </c>
      <c r="J724" s="44" t="str">
        <v/>
      </c>
      <c r="K724" s="44" t="str">
        <v/>
      </c>
      <c r="L724" s="44" t="str">
        <v/>
      </c>
      <c r="M724" s="44" t="str">
        <v/>
      </c>
      <c r="N724" s="44" t="str">
        <v/>
      </c>
      <c r="O724" s="44" t="str">
        <v/>
      </c>
      <c r="P724" s="44" t="str">
        <v/>
      </c>
    </row>
    <row r="725" spans="1:16" x14ac:dyDescent="0.2">
      <c r="A725" s="58" t="str">
        <v/>
      </c>
      <c r="B725" s="131" t="str">
        <f>IFERROR(TIMEVALUE(DaqBook_RAW_Data!A715),"")</f>
        <v/>
      </c>
      <c r="C725" s="44" t="str">
        <v/>
      </c>
      <c r="D725" s="44" t="str">
        <v/>
      </c>
      <c r="E725" s="44" t="str">
        <v/>
      </c>
      <c r="F725" s="44" t="str">
        <v/>
      </c>
      <c r="G725" s="44" t="str">
        <v/>
      </c>
      <c r="H725" s="44" t="str">
        <v/>
      </c>
      <c r="I725" s="44" t="str">
        <v/>
      </c>
      <c r="J725" s="44" t="str">
        <v/>
      </c>
      <c r="K725" s="44" t="str">
        <v/>
      </c>
      <c r="L725" s="44" t="str">
        <v/>
      </c>
      <c r="M725" s="44" t="str">
        <v/>
      </c>
      <c r="N725" s="44" t="str">
        <v/>
      </c>
      <c r="O725" s="44" t="str">
        <v/>
      </c>
      <c r="P725" s="44" t="str">
        <v/>
      </c>
    </row>
    <row r="726" spans="1:16" x14ac:dyDescent="0.2">
      <c r="A726" s="58" t="str">
        <v/>
      </c>
      <c r="B726" s="131" t="str">
        <f>IFERROR(TIMEVALUE(DaqBook_RAW_Data!A716),"")</f>
        <v/>
      </c>
      <c r="C726" s="44" t="str">
        <v/>
      </c>
      <c r="D726" s="44" t="str">
        <v/>
      </c>
      <c r="E726" s="44" t="str">
        <v/>
      </c>
      <c r="F726" s="44" t="str">
        <v/>
      </c>
      <c r="G726" s="44" t="str">
        <v/>
      </c>
      <c r="H726" s="44" t="str">
        <v/>
      </c>
      <c r="I726" s="44" t="str">
        <v/>
      </c>
      <c r="J726" s="44" t="str">
        <v/>
      </c>
      <c r="K726" s="44" t="str">
        <v/>
      </c>
      <c r="L726" s="44" t="str">
        <v/>
      </c>
      <c r="M726" s="44" t="str">
        <v/>
      </c>
      <c r="N726" s="44" t="str">
        <v/>
      </c>
      <c r="O726" s="44" t="str">
        <v/>
      </c>
      <c r="P726" s="44" t="str">
        <v/>
      </c>
    </row>
    <row r="727" spans="1:16" x14ac:dyDescent="0.2">
      <c r="A727" s="58" t="str">
        <v/>
      </c>
      <c r="B727" s="131" t="str">
        <f>IFERROR(TIMEVALUE(DaqBook_RAW_Data!A717),"")</f>
        <v/>
      </c>
      <c r="C727" s="44" t="str">
        <v/>
      </c>
      <c r="D727" s="44" t="str">
        <v/>
      </c>
      <c r="E727" s="44" t="str">
        <v/>
      </c>
      <c r="F727" s="44" t="str">
        <v/>
      </c>
      <c r="G727" s="44" t="str">
        <v/>
      </c>
      <c r="H727" s="44" t="str">
        <v/>
      </c>
      <c r="I727" s="44" t="str">
        <v/>
      </c>
      <c r="J727" s="44" t="str">
        <v/>
      </c>
      <c r="K727" s="44" t="str">
        <v/>
      </c>
      <c r="L727" s="44" t="str">
        <v/>
      </c>
      <c r="M727" s="44" t="str">
        <v/>
      </c>
      <c r="N727" s="44" t="str">
        <v/>
      </c>
      <c r="O727" s="44" t="str">
        <v/>
      </c>
      <c r="P727" s="44" t="str">
        <v/>
      </c>
    </row>
    <row r="728" spans="1:16" x14ac:dyDescent="0.2">
      <c r="A728" s="58" t="str">
        <v/>
      </c>
      <c r="B728" s="131" t="str">
        <f>IFERROR(TIMEVALUE(DaqBook_RAW_Data!A718),"")</f>
        <v/>
      </c>
      <c r="C728" s="44" t="str">
        <v/>
      </c>
      <c r="D728" s="44" t="str">
        <v/>
      </c>
      <c r="E728" s="44" t="str">
        <v/>
      </c>
      <c r="F728" s="44" t="str">
        <v/>
      </c>
      <c r="G728" s="44" t="str">
        <v/>
      </c>
      <c r="H728" s="44" t="str">
        <v/>
      </c>
      <c r="I728" s="44" t="str">
        <v/>
      </c>
      <c r="J728" s="44" t="str">
        <v/>
      </c>
      <c r="K728" s="44" t="str">
        <v/>
      </c>
      <c r="L728" s="44" t="str">
        <v/>
      </c>
      <c r="M728" s="44" t="str">
        <v/>
      </c>
      <c r="N728" s="44" t="str">
        <v/>
      </c>
      <c r="O728" s="44" t="str">
        <v/>
      </c>
      <c r="P728" s="44" t="str">
        <v/>
      </c>
    </row>
    <row r="729" spans="1:16" x14ac:dyDescent="0.2">
      <c r="A729" s="58" t="str">
        <v/>
      </c>
      <c r="B729" s="131" t="str">
        <f>IFERROR(TIMEVALUE(DaqBook_RAW_Data!A719),"")</f>
        <v/>
      </c>
      <c r="C729" s="44" t="str">
        <v/>
      </c>
      <c r="D729" s="44" t="str">
        <v/>
      </c>
      <c r="E729" s="44" t="str">
        <v/>
      </c>
      <c r="F729" s="44" t="str">
        <v/>
      </c>
      <c r="G729" s="44" t="str">
        <v/>
      </c>
      <c r="H729" s="44" t="str">
        <v/>
      </c>
      <c r="I729" s="44" t="str">
        <v/>
      </c>
      <c r="J729" s="44" t="str">
        <v/>
      </c>
      <c r="K729" s="44" t="str">
        <v/>
      </c>
      <c r="L729" s="44" t="str">
        <v/>
      </c>
      <c r="M729" s="44" t="str">
        <v/>
      </c>
      <c r="N729" s="44" t="str">
        <v/>
      </c>
      <c r="O729" s="44" t="str">
        <v/>
      </c>
      <c r="P729" s="44" t="str">
        <v/>
      </c>
    </row>
    <row r="730" spans="1:16" x14ac:dyDescent="0.2">
      <c r="A730" s="58" t="str">
        <v/>
      </c>
      <c r="B730" s="131" t="str">
        <f>IFERROR(TIMEVALUE(DaqBook_RAW_Data!A720),"")</f>
        <v/>
      </c>
      <c r="C730" s="44" t="str">
        <v/>
      </c>
      <c r="D730" s="44" t="str">
        <v/>
      </c>
      <c r="E730" s="44" t="str">
        <v/>
      </c>
      <c r="F730" s="44" t="str">
        <v/>
      </c>
      <c r="G730" s="44" t="str">
        <v/>
      </c>
      <c r="H730" s="44" t="str">
        <v/>
      </c>
      <c r="I730" s="44" t="str">
        <v/>
      </c>
      <c r="J730" s="44" t="str">
        <v/>
      </c>
      <c r="K730" s="44" t="str">
        <v/>
      </c>
      <c r="L730" s="44" t="str">
        <v/>
      </c>
      <c r="M730" s="44" t="str">
        <v/>
      </c>
      <c r="N730" s="44" t="str">
        <v/>
      </c>
      <c r="O730" s="44" t="str">
        <v/>
      </c>
      <c r="P730" s="44" t="str">
        <v/>
      </c>
    </row>
    <row r="731" spans="1:16" x14ac:dyDescent="0.2">
      <c r="A731" s="58" t="str">
        <v/>
      </c>
      <c r="B731" s="131" t="str">
        <f>IFERROR(TIMEVALUE(DaqBook_RAW_Data!A721),"")</f>
        <v/>
      </c>
      <c r="C731" s="44" t="str">
        <v/>
      </c>
      <c r="D731" s="44" t="str">
        <v/>
      </c>
      <c r="E731" s="44" t="str">
        <v/>
      </c>
      <c r="F731" s="44" t="str">
        <v/>
      </c>
      <c r="G731" s="44" t="str">
        <v/>
      </c>
      <c r="H731" s="44" t="str">
        <v/>
      </c>
      <c r="I731" s="44" t="str">
        <v/>
      </c>
      <c r="J731" s="44" t="str">
        <v/>
      </c>
      <c r="K731" s="44" t="str">
        <v/>
      </c>
      <c r="L731" s="44" t="str">
        <v/>
      </c>
      <c r="M731" s="44" t="str">
        <v/>
      </c>
      <c r="N731" s="44" t="str">
        <v/>
      </c>
      <c r="O731" s="44" t="str">
        <v/>
      </c>
      <c r="P731" s="44" t="str">
        <v/>
      </c>
    </row>
    <row r="732" spans="1:16" x14ac:dyDescent="0.2">
      <c r="A732" s="58" t="str">
        <v/>
      </c>
      <c r="B732" s="131" t="str">
        <f>IFERROR(TIMEVALUE(DaqBook_RAW_Data!A722),"")</f>
        <v/>
      </c>
      <c r="C732" s="44" t="str">
        <v/>
      </c>
      <c r="D732" s="44" t="str">
        <v/>
      </c>
      <c r="E732" s="44" t="str">
        <v/>
      </c>
      <c r="F732" s="44" t="str">
        <v/>
      </c>
      <c r="G732" s="44" t="str">
        <v/>
      </c>
      <c r="H732" s="44" t="str">
        <v/>
      </c>
      <c r="I732" s="44" t="str">
        <v/>
      </c>
      <c r="J732" s="44" t="str">
        <v/>
      </c>
      <c r="K732" s="44" t="str">
        <v/>
      </c>
      <c r="L732" s="44" t="str">
        <v/>
      </c>
      <c r="M732" s="44" t="str">
        <v/>
      </c>
      <c r="N732" s="44" t="str">
        <v/>
      </c>
      <c r="O732" s="44" t="str">
        <v/>
      </c>
      <c r="P732" s="44" t="str">
        <v/>
      </c>
    </row>
    <row r="733" spans="1:16" x14ac:dyDescent="0.2">
      <c r="A733" s="58" t="str">
        <v/>
      </c>
      <c r="B733" s="131" t="str">
        <f>IFERROR(TIMEVALUE(DaqBook_RAW_Data!A723),"")</f>
        <v/>
      </c>
      <c r="C733" s="44" t="str">
        <v/>
      </c>
      <c r="D733" s="44" t="str">
        <v/>
      </c>
      <c r="E733" s="44" t="str">
        <v/>
      </c>
      <c r="F733" s="44" t="str">
        <v/>
      </c>
      <c r="G733" s="44" t="str">
        <v/>
      </c>
      <c r="H733" s="44" t="str">
        <v/>
      </c>
      <c r="I733" s="44" t="str">
        <v/>
      </c>
      <c r="J733" s="44" t="str">
        <v/>
      </c>
      <c r="K733" s="44" t="str">
        <v/>
      </c>
      <c r="L733" s="44" t="str">
        <v/>
      </c>
      <c r="M733" s="44" t="str">
        <v/>
      </c>
      <c r="N733" s="44" t="str">
        <v/>
      </c>
      <c r="O733" s="44" t="str">
        <v/>
      </c>
      <c r="P733" s="44" t="str">
        <v/>
      </c>
    </row>
    <row r="734" spans="1:16" x14ac:dyDescent="0.2">
      <c r="A734" s="58" t="str">
        <v/>
      </c>
      <c r="B734" s="131" t="str">
        <f>IFERROR(TIMEVALUE(DaqBook_RAW_Data!A724),"")</f>
        <v/>
      </c>
      <c r="C734" s="44" t="str">
        <v/>
      </c>
      <c r="D734" s="44" t="str">
        <v/>
      </c>
      <c r="E734" s="44" t="str">
        <v/>
      </c>
      <c r="F734" s="44" t="str">
        <v/>
      </c>
      <c r="G734" s="44" t="str">
        <v/>
      </c>
      <c r="H734" s="44" t="str">
        <v/>
      </c>
      <c r="I734" s="44" t="str">
        <v/>
      </c>
      <c r="J734" s="44" t="str">
        <v/>
      </c>
      <c r="K734" s="44" t="str">
        <v/>
      </c>
      <c r="L734" s="44" t="str">
        <v/>
      </c>
      <c r="M734" s="44" t="str">
        <v/>
      </c>
      <c r="N734" s="44" t="str">
        <v/>
      </c>
      <c r="O734" s="44" t="str">
        <v/>
      </c>
      <c r="P734" s="44" t="str">
        <v/>
      </c>
    </row>
    <row r="735" spans="1:16" x14ac:dyDescent="0.2">
      <c r="A735" s="58" t="str">
        <v/>
      </c>
      <c r="B735" s="131" t="str">
        <f>IFERROR(TIMEVALUE(DaqBook_RAW_Data!A725),"")</f>
        <v/>
      </c>
      <c r="C735" s="44" t="str">
        <v/>
      </c>
      <c r="D735" s="44" t="str">
        <v/>
      </c>
      <c r="E735" s="44" t="str">
        <v/>
      </c>
      <c r="F735" s="44" t="str">
        <v/>
      </c>
      <c r="G735" s="44" t="str">
        <v/>
      </c>
      <c r="H735" s="44" t="str">
        <v/>
      </c>
      <c r="I735" s="44" t="str">
        <v/>
      </c>
      <c r="J735" s="44" t="str">
        <v/>
      </c>
      <c r="K735" s="44" t="str">
        <v/>
      </c>
      <c r="L735" s="44" t="str">
        <v/>
      </c>
      <c r="M735" s="44" t="str">
        <v/>
      </c>
      <c r="N735" s="44" t="str">
        <v/>
      </c>
      <c r="O735" s="44" t="str">
        <v/>
      </c>
      <c r="P735" s="44" t="str">
        <v/>
      </c>
    </row>
    <row r="736" spans="1:16" x14ac:dyDescent="0.2">
      <c r="A736" s="58" t="str">
        <v/>
      </c>
      <c r="B736" s="131" t="str">
        <f>IFERROR(TIMEVALUE(DaqBook_RAW_Data!A726),"")</f>
        <v/>
      </c>
      <c r="C736" s="44" t="str">
        <v/>
      </c>
      <c r="D736" s="44" t="str">
        <v/>
      </c>
      <c r="E736" s="44" t="str">
        <v/>
      </c>
      <c r="F736" s="44" t="str">
        <v/>
      </c>
      <c r="G736" s="44" t="str">
        <v/>
      </c>
      <c r="H736" s="44" t="str">
        <v/>
      </c>
      <c r="I736" s="44" t="str">
        <v/>
      </c>
      <c r="J736" s="44" t="str">
        <v/>
      </c>
      <c r="K736" s="44" t="str">
        <v/>
      </c>
      <c r="L736" s="44" t="str">
        <v/>
      </c>
      <c r="M736" s="44" t="str">
        <v/>
      </c>
      <c r="N736" s="44" t="str">
        <v/>
      </c>
      <c r="O736" s="44" t="str">
        <v/>
      </c>
      <c r="P736" s="44" t="str">
        <v/>
      </c>
    </row>
    <row r="737" spans="1:16" x14ac:dyDescent="0.2">
      <c r="A737" s="58" t="str">
        <v/>
      </c>
      <c r="B737" s="131" t="str">
        <f>IFERROR(TIMEVALUE(DaqBook_RAW_Data!A727),"")</f>
        <v/>
      </c>
      <c r="C737" s="44" t="str">
        <v/>
      </c>
      <c r="D737" s="44" t="str">
        <v/>
      </c>
      <c r="E737" s="44" t="str">
        <v/>
      </c>
      <c r="F737" s="44" t="str">
        <v/>
      </c>
      <c r="G737" s="44" t="str">
        <v/>
      </c>
      <c r="H737" s="44" t="str">
        <v/>
      </c>
      <c r="I737" s="44" t="str">
        <v/>
      </c>
      <c r="J737" s="44" t="str">
        <v/>
      </c>
      <c r="K737" s="44" t="str">
        <v/>
      </c>
      <c r="L737" s="44" t="str">
        <v/>
      </c>
      <c r="M737" s="44" t="str">
        <v/>
      </c>
      <c r="N737" s="44" t="str">
        <v/>
      </c>
      <c r="O737" s="44" t="str">
        <v/>
      </c>
      <c r="P737" s="44" t="str">
        <v/>
      </c>
    </row>
    <row r="738" spans="1:16" x14ac:dyDescent="0.2">
      <c r="A738" s="58" t="str">
        <v/>
      </c>
      <c r="B738" s="131" t="str">
        <f>IFERROR(TIMEVALUE(DaqBook_RAW_Data!A728),"")</f>
        <v/>
      </c>
      <c r="C738" s="44" t="str">
        <v/>
      </c>
      <c r="D738" s="44" t="str">
        <v/>
      </c>
      <c r="E738" s="44" t="str">
        <v/>
      </c>
      <c r="F738" s="44" t="str">
        <v/>
      </c>
      <c r="G738" s="44" t="str">
        <v/>
      </c>
      <c r="H738" s="44" t="str">
        <v/>
      </c>
      <c r="I738" s="44" t="str">
        <v/>
      </c>
      <c r="J738" s="44" t="str">
        <v/>
      </c>
      <c r="K738" s="44" t="str">
        <v/>
      </c>
      <c r="L738" s="44" t="str">
        <v/>
      </c>
      <c r="M738" s="44" t="str">
        <v/>
      </c>
      <c r="N738" s="44" t="str">
        <v/>
      </c>
      <c r="O738" s="44" t="str">
        <v/>
      </c>
      <c r="P738" s="44" t="str">
        <v/>
      </c>
    </row>
    <row r="739" spans="1:16" x14ac:dyDescent="0.2">
      <c r="A739" s="58" t="str">
        <v/>
      </c>
      <c r="B739" s="131" t="str">
        <f>IFERROR(TIMEVALUE(DaqBook_RAW_Data!A729),"")</f>
        <v/>
      </c>
      <c r="C739" s="44" t="str">
        <v/>
      </c>
      <c r="D739" s="44" t="str">
        <v/>
      </c>
      <c r="E739" s="44" t="str">
        <v/>
      </c>
      <c r="F739" s="44" t="str">
        <v/>
      </c>
      <c r="G739" s="44" t="str">
        <v/>
      </c>
      <c r="H739" s="44" t="str">
        <v/>
      </c>
      <c r="I739" s="44" t="str">
        <v/>
      </c>
      <c r="J739" s="44" t="str">
        <v/>
      </c>
      <c r="K739" s="44" t="str">
        <v/>
      </c>
      <c r="L739" s="44" t="str">
        <v/>
      </c>
      <c r="M739" s="44" t="str">
        <v/>
      </c>
      <c r="N739" s="44" t="str">
        <v/>
      </c>
      <c r="O739" s="44" t="str">
        <v/>
      </c>
      <c r="P739" s="44" t="str">
        <v/>
      </c>
    </row>
    <row r="740" spans="1:16" x14ac:dyDescent="0.2">
      <c r="A740" s="58" t="str">
        <v/>
      </c>
      <c r="B740" s="131" t="str">
        <f>IFERROR(TIMEVALUE(DaqBook_RAW_Data!A730),"")</f>
        <v/>
      </c>
      <c r="C740" s="44" t="str">
        <v/>
      </c>
      <c r="D740" s="44" t="str">
        <v/>
      </c>
      <c r="E740" s="44" t="str">
        <v/>
      </c>
      <c r="F740" s="44" t="str">
        <v/>
      </c>
      <c r="G740" s="44" t="str">
        <v/>
      </c>
      <c r="H740" s="44" t="str">
        <v/>
      </c>
      <c r="I740" s="44" t="str">
        <v/>
      </c>
      <c r="J740" s="44" t="str">
        <v/>
      </c>
      <c r="K740" s="44" t="str">
        <v/>
      </c>
      <c r="L740" s="44" t="str">
        <v/>
      </c>
      <c r="M740" s="44" t="str">
        <v/>
      </c>
      <c r="N740" s="44" t="str">
        <v/>
      </c>
      <c r="O740" s="44" t="str">
        <v/>
      </c>
      <c r="P740" s="44" t="str">
        <v/>
      </c>
    </row>
    <row r="741" spans="1:16" x14ac:dyDescent="0.2">
      <c r="A741" s="58" t="str">
        <v/>
      </c>
      <c r="B741" s="131" t="str">
        <f>IFERROR(TIMEVALUE(DaqBook_RAW_Data!A731),"")</f>
        <v/>
      </c>
      <c r="C741" s="44" t="str">
        <v/>
      </c>
      <c r="D741" s="44" t="str">
        <v/>
      </c>
      <c r="E741" s="44" t="str">
        <v/>
      </c>
      <c r="F741" s="44" t="str">
        <v/>
      </c>
      <c r="G741" s="44" t="str">
        <v/>
      </c>
      <c r="H741" s="44" t="str">
        <v/>
      </c>
      <c r="I741" s="44" t="str">
        <v/>
      </c>
      <c r="J741" s="44" t="str">
        <v/>
      </c>
      <c r="K741" s="44" t="str">
        <v/>
      </c>
      <c r="L741" s="44" t="str">
        <v/>
      </c>
      <c r="M741" s="44" t="str">
        <v/>
      </c>
      <c r="N741" s="44" t="str">
        <v/>
      </c>
      <c r="O741" s="44" t="str">
        <v/>
      </c>
      <c r="P741" s="44" t="str">
        <v/>
      </c>
    </row>
    <row r="742" spans="1:16" x14ac:dyDescent="0.2">
      <c r="A742" s="58" t="str">
        <v/>
      </c>
      <c r="B742" s="131" t="str">
        <f>IFERROR(TIMEVALUE(DaqBook_RAW_Data!A732),"")</f>
        <v/>
      </c>
      <c r="C742" s="44" t="str">
        <v/>
      </c>
      <c r="D742" s="44" t="str">
        <v/>
      </c>
      <c r="E742" s="44" t="str">
        <v/>
      </c>
      <c r="F742" s="44" t="str">
        <v/>
      </c>
      <c r="G742" s="44" t="str">
        <v/>
      </c>
      <c r="H742" s="44" t="str">
        <v/>
      </c>
      <c r="I742" s="44" t="str">
        <v/>
      </c>
      <c r="J742" s="44" t="str">
        <v/>
      </c>
      <c r="K742" s="44" t="str">
        <v/>
      </c>
      <c r="L742" s="44" t="str">
        <v/>
      </c>
      <c r="M742" s="44" t="str">
        <v/>
      </c>
      <c r="N742" s="44" t="str">
        <v/>
      </c>
      <c r="O742" s="44" t="str">
        <v/>
      </c>
      <c r="P742" s="44" t="str">
        <v/>
      </c>
    </row>
    <row r="743" spans="1:16" x14ac:dyDescent="0.2">
      <c r="A743" s="58" t="str">
        <v/>
      </c>
      <c r="B743" s="131" t="str">
        <f>IFERROR(TIMEVALUE(DaqBook_RAW_Data!A733),"")</f>
        <v/>
      </c>
      <c r="C743" s="44" t="str">
        <v/>
      </c>
      <c r="D743" s="44" t="str">
        <v/>
      </c>
      <c r="E743" s="44" t="str">
        <v/>
      </c>
      <c r="F743" s="44" t="str">
        <v/>
      </c>
      <c r="G743" s="44" t="str">
        <v/>
      </c>
      <c r="H743" s="44" t="str">
        <v/>
      </c>
      <c r="I743" s="44" t="str">
        <v/>
      </c>
      <c r="J743" s="44" t="str">
        <v/>
      </c>
      <c r="K743" s="44" t="str">
        <v/>
      </c>
      <c r="L743" s="44" t="str">
        <v/>
      </c>
      <c r="M743" s="44" t="str">
        <v/>
      </c>
      <c r="N743" s="44" t="str">
        <v/>
      </c>
      <c r="O743" s="44" t="str">
        <v/>
      </c>
      <c r="P743" s="44" t="str">
        <v/>
      </c>
    </row>
    <row r="744" spans="1:16" x14ac:dyDescent="0.2">
      <c r="A744" s="58" t="str">
        <v/>
      </c>
      <c r="B744" s="131" t="str">
        <f>IFERROR(TIMEVALUE(DaqBook_RAW_Data!A734),"")</f>
        <v/>
      </c>
      <c r="C744" s="44" t="str">
        <v/>
      </c>
      <c r="D744" s="44" t="str">
        <v/>
      </c>
      <c r="E744" s="44" t="str">
        <v/>
      </c>
      <c r="F744" s="44" t="str">
        <v/>
      </c>
      <c r="G744" s="44" t="str">
        <v/>
      </c>
      <c r="H744" s="44" t="str">
        <v/>
      </c>
      <c r="I744" s="44" t="str">
        <v/>
      </c>
      <c r="J744" s="44" t="str">
        <v/>
      </c>
      <c r="K744" s="44" t="str">
        <v/>
      </c>
      <c r="L744" s="44" t="str">
        <v/>
      </c>
      <c r="M744" s="44" t="str">
        <v/>
      </c>
      <c r="N744" s="44" t="str">
        <v/>
      </c>
      <c r="O744" s="44" t="str">
        <v/>
      </c>
      <c r="P744" s="44" t="str">
        <v/>
      </c>
    </row>
    <row r="745" spans="1:16" x14ac:dyDescent="0.2">
      <c r="A745" s="58" t="str">
        <v/>
      </c>
      <c r="B745" s="131" t="str">
        <f>IFERROR(TIMEVALUE(DaqBook_RAW_Data!A735),"")</f>
        <v/>
      </c>
      <c r="C745" s="44" t="str">
        <v/>
      </c>
      <c r="D745" s="44" t="str">
        <v/>
      </c>
      <c r="E745" s="44" t="str">
        <v/>
      </c>
      <c r="F745" s="44" t="str">
        <v/>
      </c>
      <c r="G745" s="44" t="str">
        <v/>
      </c>
      <c r="H745" s="44" t="str">
        <v/>
      </c>
      <c r="I745" s="44" t="str">
        <v/>
      </c>
      <c r="J745" s="44" t="str">
        <v/>
      </c>
      <c r="K745" s="44" t="str">
        <v/>
      </c>
      <c r="L745" s="44" t="str">
        <v/>
      </c>
      <c r="M745" s="44" t="str">
        <v/>
      </c>
      <c r="N745" s="44" t="str">
        <v/>
      </c>
      <c r="O745" s="44" t="str">
        <v/>
      </c>
      <c r="P745" s="44" t="str">
        <v/>
      </c>
    </row>
    <row r="746" spans="1:16" x14ac:dyDescent="0.2">
      <c r="A746" s="58" t="str">
        <v/>
      </c>
      <c r="B746" s="131" t="str">
        <f>IFERROR(TIMEVALUE(DaqBook_RAW_Data!A736),"")</f>
        <v/>
      </c>
      <c r="C746" s="44" t="str">
        <v/>
      </c>
      <c r="D746" s="44" t="str">
        <v/>
      </c>
      <c r="E746" s="44" t="str">
        <v/>
      </c>
      <c r="F746" s="44" t="str">
        <v/>
      </c>
      <c r="G746" s="44" t="str">
        <v/>
      </c>
      <c r="H746" s="44" t="str">
        <v/>
      </c>
      <c r="I746" s="44" t="str">
        <v/>
      </c>
      <c r="J746" s="44" t="str">
        <v/>
      </c>
      <c r="K746" s="44" t="str">
        <v/>
      </c>
      <c r="L746" s="44" t="str">
        <v/>
      </c>
      <c r="M746" s="44" t="str">
        <v/>
      </c>
      <c r="N746" s="44" t="str">
        <v/>
      </c>
      <c r="O746" s="44" t="str">
        <v/>
      </c>
      <c r="P746" s="44" t="str">
        <v/>
      </c>
    </row>
    <row r="747" spans="1:16" x14ac:dyDescent="0.2">
      <c r="A747" s="58" t="str">
        <v/>
      </c>
      <c r="B747" s="131" t="str">
        <f>IFERROR(TIMEVALUE(DaqBook_RAW_Data!A737),"")</f>
        <v/>
      </c>
      <c r="C747" s="44" t="str">
        <v/>
      </c>
      <c r="D747" s="44" t="str">
        <v/>
      </c>
      <c r="E747" s="44" t="str">
        <v/>
      </c>
      <c r="F747" s="44" t="str">
        <v/>
      </c>
      <c r="G747" s="44" t="str">
        <v/>
      </c>
      <c r="H747" s="44" t="str">
        <v/>
      </c>
      <c r="I747" s="44" t="str">
        <v/>
      </c>
      <c r="J747" s="44" t="str">
        <v/>
      </c>
      <c r="K747" s="44" t="str">
        <v/>
      </c>
      <c r="L747" s="44" t="str">
        <v/>
      </c>
      <c r="M747" s="44" t="str">
        <v/>
      </c>
      <c r="N747" s="44" t="str">
        <v/>
      </c>
      <c r="O747" s="44" t="str">
        <v/>
      </c>
      <c r="P747" s="44" t="str">
        <v/>
      </c>
    </row>
    <row r="748" spans="1:16" x14ac:dyDescent="0.2">
      <c r="A748" s="58" t="str">
        <v/>
      </c>
      <c r="B748" s="131" t="str">
        <f>IFERROR(TIMEVALUE(DaqBook_RAW_Data!A738),"")</f>
        <v/>
      </c>
      <c r="C748" s="44" t="str">
        <v/>
      </c>
      <c r="D748" s="44" t="str">
        <v/>
      </c>
      <c r="E748" s="44" t="str">
        <v/>
      </c>
      <c r="F748" s="44" t="str">
        <v/>
      </c>
      <c r="G748" s="44" t="str">
        <v/>
      </c>
      <c r="H748" s="44" t="str">
        <v/>
      </c>
      <c r="I748" s="44" t="str">
        <v/>
      </c>
      <c r="J748" s="44" t="str">
        <v/>
      </c>
      <c r="K748" s="44" t="str">
        <v/>
      </c>
      <c r="L748" s="44" t="str">
        <v/>
      </c>
      <c r="M748" s="44" t="str">
        <v/>
      </c>
      <c r="N748" s="44" t="str">
        <v/>
      </c>
      <c r="O748" s="44" t="str">
        <v/>
      </c>
      <c r="P748" s="44" t="str">
        <v/>
      </c>
    </row>
    <row r="749" spans="1:16" x14ac:dyDescent="0.2">
      <c r="A749" s="58" t="str">
        <v/>
      </c>
      <c r="B749" s="131" t="str">
        <f>IFERROR(TIMEVALUE(DaqBook_RAW_Data!A739),"")</f>
        <v/>
      </c>
      <c r="C749" s="44" t="str">
        <v/>
      </c>
      <c r="D749" s="44" t="str">
        <v/>
      </c>
      <c r="E749" s="44" t="str">
        <v/>
      </c>
      <c r="F749" s="44" t="str">
        <v/>
      </c>
      <c r="G749" s="44" t="str">
        <v/>
      </c>
      <c r="H749" s="44" t="str">
        <v/>
      </c>
      <c r="I749" s="44" t="str">
        <v/>
      </c>
      <c r="J749" s="44" t="str">
        <v/>
      </c>
      <c r="K749" s="44" t="str">
        <v/>
      </c>
      <c r="L749" s="44" t="str">
        <v/>
      </c>
      <c r="M749" s="44" t="str">
        <v/>
      </c>
      <c r="N749" s="44" t="str">
        <v/>
      </c>
      <c r="O749" s="44" t="str">
        <v/>
      </c>
      <c r="P749" s="44" t="str">
        <v/>
      </c>
    </row>
    <row r="750" spans="1:16" x14ac:dyDescent="0.2">
      <c r="A750" s="58" t="str">
        <v/>
      </c>
      <c r="B750" s="131" t="str">
        <f>IFERROR(TIMEVALUE(DaqBook_RAW_Data!A740),"")</f>
        <v/>
      </c>
      <c r="C750" s="44" t="str">
        <v/>
      </c>
      <c r="D750" s="44" t="str">
        <v/>
      </c>
      <c r="E750" s="44" t="str">
        <v/>
      </c>
      <c r="F750" s="44" t="str">
        <v/>
      </c>
      <c r="G750" s="44" t="str">
        <v/>
      </c>
      <c r="H750" s="44" t="str">
        <v/>
      </c>
      <c r="I750" s="44" t="str">
        <v/>
      </c>
      <c r="J750" s="44" t="str">
        <v/>
      </c>
      <c r="K750" s="44" t="str">
        <v/>
      </c>
      <c r="L750" s="44" t="str">
        <v/>
      </c>
      <c r="M750" s="44" t="str">
        <v/>
      </c>
      <c r="N750" s="44" t="str">
        <v/>
      </c>
      <c r="O750" s="44" t="str">
        <v/>
      </c>
      <c r="P750" s="44" t="str">
        <v/>
      </c>
    </row>
    <row r="751" spans="1:16" x14ac:dyDescent="0.2">
      <c r="A751" s="58" t="str">
        <v/>
      </c>
      <c r="B751" s="131" t="str">
        <f>IFERROR(TIMEVALUE(DaqBook_RAW_Data!A741),"")</f>
        <v/>
      </c>
      <c r="C751" s="44" t="str">
        <v/>
      </c>
      <c r="D751" s="44" t="str">
        <v/>
      </c>
      <c r="E751" s="44" t="str">
        <v/>
      </c>
      <c r="F751" s="44" t="str">
        <v/>
      </c>
      <c r="G751" s="44" t="str">
        <v/>
      </c>
      <c r="H751" s="44" t="str">
        <v/>
      </c>
      <c r="I751" s="44" t="str">
        <v/>
      </c>
      <c r="J751" s="44" t="str">
        <v/>
      </c>
      <c r="K751" s="44" t="str">
        <v/>
      </c>
      <c r="L751" s="44" t="str">
        <v/>
      </c>
      <c r="M751" s="44" t="str">
        <v/>
      </c>
      <c r="N751" s="44" t="str">
        <v/>
      </c>
      <c r="O751" s="44" t="str">
        <v/>
      </c>
      <c r="P751" s="44" t="str">
        <v/>
      </c>
    </row>
    <row r="752" spans="1:16" x14ac:dyDescent="0.2">
      <c r="A752" s="58" t="str">
        <v/>
      </c>
      <c r="B752" s="131" t="str">
        <f>IFERROR(TIMEVALUE(DaqBook_RAW_Data!A742),"")</f>
        <v/>
      </c>
      <c r="C752" s="44" t="str">
        <v/>
      </c>
      <c r="D752" s="44" t="str">
        <v/>
      </c>
      <c r="E752" s="44" t="str">
        <v/>
      </c>
      <c r="F752" s="44" t="str">
        <v/>
      </c>
      <c r="G752" s="44" t="str">
        <v/>
      </c>
      <c r="H752" s="44" t="str">
        <v/>
      </c>
      <c r="I752" s="44" t="str">
        <v/>
      </c>
      <c r="J752" s="44" t="str">
        <v/>
      </c>
      <c r="K752" s="44" t="str">
        <v/>
      </c>
      <c r="L752" s="44" t="str">
        <v/>
      </c>
      <c r="M752" s="44" t="str">
        <v/>
      </c>
      <c r="N752" s="44" t="str">
        <v/>
      </c>
      <c r="O752" s="44" t="str">
        <v/>
      </c>
      <c r="P752" s="44" t="str">
        <v/>
      </c>
    </row>
    <row r="753" spans="1:16" x14ac:dyDescent="0.2">
      <c r="A753" s="58" t="str">
        <v/>
      </c>
      <c r="B753" s="131" t="str">
        <f>IFERROR(TIMEVALUE(DaqBook_RAW_Data!A743),"")</f>
        <v/>
      </c>
      <c r="C753" s="44" t="str">
        <v/>
      </c>
      <c r="D753" s="44" t="str">
        <v/>
      </c>
      <c r="E753" s="44" t="str">
        <v/>
      </c>
      <c r="F753" s="44" t="str">
        <v/>
      </c>
      <c r="G753" s="44" t="str">
        <v/>
      </c>
      <c r="H753" s="44" t="str">
        <v/>
      </c>
      <c r="I753" s="44" t="str">
        <v/>
      </c>
      <c r="J753" s="44" t="str">
        <v/>
      </c>
      <c r="K753" s="44" t="str">
        <v/>
      </c>
      <c r="L753" s="44" t="str">
        <v/>
      </c>
      <c r="M753" s="44" t="str">
        <v/>
      </c>
      <c r="N753" s="44" t="str">
        <v/>
      </c>
      <c r="O753" s="44" t="str">
        <v/>
      </c>
      <c r="P753" s="44" t="str">
        <v/>
      </c>
    </row>
    <row r="754" spans="1:16" x14ac:dyDescent="0.2">
      <c r="A754" s="58" t="str">
        <v/>
      </c>
      <c r="B754" s="131" t="str">
        <f>IFERROR(TIMEVALUE(DaqBook_RAW_Data!A744),"")</f>
        <v/>
      </c>
      <c r="C754" s="44" t="str">
        <v/>
      </c>
      <c r="D754" s="44" t="str">
        <v/>
      </c>
      <c r="E754" s="44" t="str">
        <v/>
      </c>
      <c r="F754" s="44" t="str">
        <v/>
      </c>
      <c r="G754" s="44" t="str">
        <v/>
      </c>
      <c r="H754" s="44" t="str">
        <v/>
      </c>
      <c r="I754" s="44" t="str">
        <v/>
      </c>
      <c r="J754" s="44" t="str">
        <v/>
      </c>
      <c r="K754" s="44" t="str">
        <v/>
      </c>
      <c r="L754" s="44" t="str">
        <v/>
      </c>
      <c r="M754" s="44" t="str">
        <v/>
      </c>
      <c r="N754" s="44" t="str">
        <v/>
      </c>
      <c r="O754" s="44" t="str">
        <v/>
      </c>
      <c r="P754" s="44" t="str">
        <v/>
      </c>
    </row>
    <row r="755" spans="1:16" x14ac:dyDescent="0.2">
      <c r="A755" s="58" t="str">
        <v/>
      </c>
      <c r="B755" s="131" t="str">
        <f>IFERROR(TIMEVALUE(DaqBook_RAW_Data!A745),"")</f>
        <v/>
      </c>
      <c r="C755" s="44" t="str">
        <v/>
      </c>
      <c r="D755" s="44" t="str">
        <v/>
      </c>
      <c r="E755" s="44" t="str">
        <v/>
      </c>
      <c r="F755" s="44" t="str">
        <v/>
      </c>
      <c r="G755" s="44" t="str">
        <v/>
      </c>
      <c r="H755" s="44" t="str">
        <v/>
      </c>
      <c r="I755" s="44" t="str">
        <v/>
      </c>
      <c r="J755" s="44" t="str">
        <v/>
      </c>
      <c r="K755" s="44" t="str">
        <v/>
      </c>
      <c r="L755" s="44" t="str">
        <v/>
      </c>
      <c r="M755" s="44" t="str">
        <v/>
      </c>
      <c r="N755" s="44" t="str">
        <v/>
      </c>
      <c r="O755" s="44" t="str">
        <v/>
      </c>
      <c r="P755" s="44" t="str">
        <v/>
      </c>
    </row>
    <row r="756" spans="1:16" x14ac:dyDescent="0.2">
      <c r="A756" s="58" t="str">
        <v/>
      </c>
      <c r="B756" s="131" t="str">
        <f>IFERROR(TIMEVALUE(DaqBook_RAW_Data!A746),"")</f>
        <v/>
      </c>
      <c r="C756" s="44" t="str">
        <v/>
      </c>
      <c r="D756" s="44" t="str">
        <v/>
      </c>
      <c r="E756" s="44" t="str">
        <v/>
      </c>
      <c r="F756" s="44" t="str">
        <v/>
      </c>
      <c r="G756" s="44" t="str">
        <v/>
      </c>
      <c r="H756" s="44" t="str">
        <v/>
      </c>
      <c r="I756" s="44" t="str">
        <v/>
      </c>
      <c r="J756" s="44" t="str">
        <v/>
      </c>
      <c r="K756" s="44" t="str">
        <v/>
      </c>
      <c r="L756" s="44" t="str">
        <v/>
      </c>
      <c r="M756" s="44" t="str">
        <v/>
      </c>
      <c r="N756" s="44" t="str">
        <v/>
      </c>
      <c r="O756" s="44" t="str">
        <v/>
      </c>
      <c r="P756" s="44" t="str">
        <v/>
      </c>
    </row>
    <row r="757" spans="1:16" x14ac:dyDescent="0.2">
      <c r="A757" s="58" t="str">
        <v/>
      </c>
      <c r="B757" s="131" t="str">
        <f>IFERROR(TIMEVALUE(DaqBook_RAW_Data!A747),"")</f>
        <v/>
      </c>
      <c r="C757" s="44" t="str">
        <v/>
      </c>
      <c r="D757" s="44" t="str">
        <v/>
      </c>
      <c r="E757" s="44" t="str">
        <v/>
      </c>
      <c r="F757" s="44" t="str">
        <v/>
      </c>
      <c r="G757" s="44" t="str">
        <v/>
      </c>
      <c r="H757" s="44" t="str">
        <v/>
      </c>
      <c r="I757" s="44" t="str">
        <v/>
      </c>
      <c r="J757" s="44" t="str">
        <v/>
      </c>
      <c r="K757" s="44" t="str">
        <v/>
      </c>
      <c r="L757" s="44" t="str">
        <v/>
      </c>
      <c r="M757" s="44" t="str">
        <v/>
      </c>
      <c r="N757" s="44" t="str">
        <v/>
      </c>
      <c r="O757" s="44" t="str">
        <v/>
      </c>
      <c r="P757" s="44" t="str">
        <v/>
      </c>
    </row>
    <row r="758" spans="1:16" x14ac:dyDescent="0.2">
      <c r="A758" s="58" t="str">
        <v/>
      </c>
      <c r="B758" s="131" t="str">
        <f>IFERROR(TIMEVALUE(DaqBook_RAW_Data!A748),"")</f>
        <v/>
      </c>
      <c r="C758" s="44" t="str">
        <v/>
      </c>
      <c r="D758" s="44" t="str">
        <v/>
      </c>
      <c r="E758" s="44" t="str">
        <v/>
      </c>
      <c r="F758" s="44" t="str">
        <v/>
      </c>
      <c r="G758" s="44" t="str">
        <v/>
      </c>
      <c r="H758" s="44" t="str">
        <v/>
      </c>
      <c r="I758" s="44" t="str">
        <v/>
      </c>
      <c r="J758" s="44" t="str">
        <v/>
      </c>
      <c r="K758" s="44" t="str">
        <v/>
      </c>
      <c r="L758" s="44" t="str">
        <v/>
      </c>
      <c r="M758" s="44" t="str">
        <v/>
      </c>
      <c r="N758" s="44" t="str">
        <v/>
      </c>
      <c r="O758" s="44" t="str">
        <v/>
      </c>
      <c r="P758" s="44" t="str">
        <v/>
      </c>
    </row>
    <row r="759" spans="1:16" x14ac:dyDescent="0.2">
      <c r="A759" s="58" t="str">
        <v/>
      </c>
      <c r="B759" s="131" t="str">
        <f>IFERROR(TIMEVALUE(DaqBook_RAW_Data!A749),"")</f>
        <v/>
      </c>
      <c r="C759" s="44" t="str">
        <v/>
      </c>
      <c r="D759" s="44" t="str">
        <v/>
      </c>
      <c r="E759" s="44" t="str">
        <v/>
      </c>
      <c r="F759" s="44" t="str">
        <v/>
      </c>
      <c r="G759" s="44" t="str">
        <v/>
      </c>
      <c r="H759" s="44" t="str">
        <v/>
      </c>
      <c r="I759" s="44" t="str">
        <v/>
      </c>
      <c r="J759" s="44" t="str">
        <v/>
      </c>
      <c r="K759" s="44" t="str">
        <v/>
      </c>
      <c r="L759" s="44" t="str">
        <v/>
      </c>
      <c r="M759" s="44" t="str">
        <v/>
      </c>
      <c r="N759" s="44" t="str">
        <v/>
      </c>
      <c r="O759" s="44" t="str">
        <v/>
      </c>
      <c r="P759" s="44" t="str">
        <v/>
      </c>
    </row>
    <row r="760" spans="1:16" x14ac:dyDescent="0.2">
      <c r="A760" s="58" t="str">
        <v/>
      </c>
      <c r="B760" s="131" t="str">
        <f>IFERROR(TIMEVALUE(DaqBook_RAW_Data!A750),"")</f>
        <v/>
      </c>
      <c r="C760" s="44" t="str">
        <v/>
      </c>
      <c r="D760" s="44" t="str">
        <v/>
      </c>
      <c r="E760" s="44" t="str">
        <v/>
      </c>
      <c r="F760" s="44" t="str">
        <v/>
      </c>
      <c r="G760" s="44" t="str">
        <v/>
      </c>
      <c r="H760" s="44" t="str">
        <v/>
      </c>
      <c r="I760" s="44" t="str">
        <v/>
      </c>
      <c r="J760" s="44" t="str">
        <v/>
      </c>
      <c r="K760" s="44" t="str">
        <v/>
      </c>
      <c r="L760" s="44" t="str">
        <v/>
      </c>
      <c r="M760" s="44" t="str">
        <v/>
      </c>
      <c r="N760" s="44" t="str">
        <v/>
      </c>
      <c r="O760" s="44" t="str">
        <v/>
      </c>
      <c r="P760" s="44" t="str">
        <v/>
      </c>
    </row>
    <row r="761" spans="1:16" x14ac:dyDescent="0.2">
      <c r="A761" s="58" t="str">
        <v/>
      </c>
      <c r="B761" s="131" t="str">
        <f>IFERROR(TIMEVALUE(DaqBook_RAW_Data!A751),"")</f>
        <v/>
      </c>
      <c r="C761" s="44" t="str">
        <v/>
      </c>
      <c r="D761" s="44" t="str">
        <v/>
      </c>
      <c r="E761" s="44" t="str">
        <v/>
      </c>
      <c r="F761" s="44" t="str">
        <v/>
      </c>
      <c r="G761" s="44" t="str">
        <v/>
      </c>
      <c r="H761" s="44" t="str">
        <v/>
      </c>
      <c r="I761" s="44" t="str">
        <v/>
      </c>
      <c r="J761" s="44" t="str">
        <v/>
      </c>
      <c r="K761" s="44" t="str">
        <v/>
      </c>
      <c r="L761" s="44" t="str">
        <v/>
      </c>
      <c r="M761" s="44" t="str">
        <v/>
      </c>
      <c r="N761" s="44" t="str">
        <v/>
      </c>
      <c r="O761" s="44" t="str">
        <v/>
      </c>
      <c r="P761" s="44" t="str">
        <v/>
      </c>
    </row>
    <row r="762" spans="1:16" x14ac:dyDescent="0.2">
      <c r="A762" s="58" t="str">
        <v/>
      </c>
      <c r="B762" s="131" t="str">
        <f>IFERROR(TIMEVALUE(DaqBook_RAW_Data!A752),"")</f>
        <v/>
      </c>
      <c r="C762" s="44" t="str">
        <v/>
      </c>
      <c r="D762" s="44" t="str">
        <v/>
      </c>
      <c r="E762" s="44" t="str">
        <v/>
      </c>
      <c r="F762" s="44" t="str">
        <v/>
      </c>
      <c r="G762" s="44" t="str">
        <v/>
      </c>
      <c r="H762" s="44" t="str">
        <v/>
      </c>
      <c r="I762" s="44" t="str">
        <v/>
      </c>
      <c r="J762" s="44" t="str">
        <v/>
      </c>
      <c r="K762" s="44" t="str">
        <v/>
      </c>
      <c r="L762" s="44" t="str">
        <v/>
      </c>
      <c r="M762" s="44" t="str">
        <v/>
      </c>
      <c r="N762" s="44" t="str">
        <v/>
      </c>
      <c r="O762" s="44" t="str">
        <v/>
      </c>
      <c r="P762" s="44" t="str">
        <v/>
      </c>
    </row>
    <row r="763" spans="1:16" x14ac:dyDescent="0.2">
      <c r="A763" s="58" t="str">
        <v/>
      </c>
      <c r="B763" s="131" t="str">
        <f>IFERROR(TIMEVALUE(DaqBook_RAW_Data!A753),"")</f>
        <v/>
      </c>
      <c r="C763" s="44" t="str">
        <v/>
      </c>
      <c r="D763" s="44" t="str">
        <v/>
      </c>
      <c r="E763" s="44" t="str">
        <v/>
      </c>
      <c r="F763" s="44" t="str">
        <v/>
      </c>
      <c r="G763" s="44" t="str">
        <v/>
      </c>
      <c r="H763" s="44" t="str">
        <v/>
      </c>
      <c r="I763" s="44" t="str">
        <v/>
      </c>
      <c r="J763" s="44" t="str">
        <v/>
      </c>
      <c r="K763" s="44" t="str">
        <v/>
      </c>
      <c r="L763" s="44" t="str">
        <v/>
      </c>
      <c r="M763" s="44" t="str">
        <v/>
      </c>
      <c r="N763" s="44" t="str">
        <v/>
      </c>
      <c r="O763" s="44" t="str">
        <v/>
      </c>
      <c r="P763" s="44" t="str">
        <v/>
      </c>
    </row>
    <row r="764" spans="1:16" x14ac:dyDescent="0.2">
      <c r="A764" s="58" t="str">
        <v/>
      </c>
      <c r="B764" s="131" t="str">
        <f>IFERROR(TIMEVALUE(DaqBook_RAW_Data!A754),"")</f>
        <v/>
      </c>
      <c r="C764" s="44" t="str">
        <v/>
      </c>
      <c r="D764" s="44" t="str">
        <v/>
      </c>
      <c r="E764" s="44" t="str">
        <v/>
      </c>
      <c r="F764" s="44" t="str">
        <v/>
      </c>
      <c r="G764" s="44" t="str">
        <v/>
      </c>
      <c r="H764" s="44" t="str">
        <v/>
      </c>
      <c r="I764" s="44" t="str">
        <v/>
      </c>
      <c r="J764" s="44" t="str">
        <v/>
      </c>
      <c r="K764" s="44" t="str">
        <v/>
      </c>
      <c r="L764" s="44" t="str">
        <v/>
      </c>
      <c r="M764" s="44" t="str">
        <v/>
      </c>
      <c r="N764" s="44" t="str">
        <v/>
      </c>
      <c r="O764" s="44" t="str">
        <v/>
      </c>
      <c r="P764" s="44" t="str">
        <v/>
      </c>
    </row>
    <row r="765" spans="1:16" x14ac:dyDescent="0.2">
      <c r="A765" s="58" t="str">
        <v/>
      </c>
      <c r="B765" s="131" t="str">
        <f>IFERROR(TIMEVALUE(DaqBook_RAW_Data!A755),"")</f>
        <v/>
      </c>
      <c r="C765" s="44" t="str">
        <v/>
      </c>
      <c r="D765" s="44" t="str">
        <v/>
      </c>
      <c r="E765" s="44" t="str">
        <v/>
      </c>
      <c r="F765" s="44" t="str">
        <v/>
      </c>
      <c r="G765" s="44" t="str">
        <v/>
      </c>
      <c r="H765" s="44" t="str">
        <v/>
      </c>
      <c r="I765" s="44" t="str">
        <v/>
      </c>
      <c r="J765" s="44" t="str">
        <v/>
      </c>
      <c r="K765" s="44" t="str">
        <v/>
      </c>
      <c r="L765" s="44" t="str">
        <v/>
      </c>
      <c r="M765" s="44" t="str">
        <v/>
      </c>
      <c r="N765" s="44" t="str">
        <v/>
      </c>
      <c r="O765" s="44" t="str">
        <v/>
      </c>
      <c r="P765" s="44" t="str">
        <v/>
      </c>
    </row>
    <row r="766" spans="1:16" x14ac:dyDescent="0.2">
      <c r="A766" s="58" t="str">
        <v/>
      </c>
      <c r="B766" s="131" t="str">
        <f>IFERROR(TIMEVALUE(DaqBook_RAW_Data!A756),"")</f>
        <v/>
      </c>
      <c r="C766" s="44" t="str">
        <v/>
      </c>
      <c r="D766" s="44" t="str">
        <v/>
      </c>
      <c r="E766" s="44" t="str">
        <v/>
      </c>
      <c r="F766" s="44" t="str">
        <v/>
      </c>
      <c r="G766" s="44" t="str">
        <v/>
      </c>
      <c r="H766" s="44" t="str">
        <v/>
      </c>
      <c r="I766" s="44" t="str">
        <v/>
      </c>
      <c r="J766" s="44" t="str">
        <v/>
      </c>
      <c r="K766" s="44" t="str">
        <v/>
      </c>
      <c r="L766" s="44" t="str">
        <v/>
      </c>
      <c r="M766" s="44" t="str">
        <v/>
      </c>
      <c r="N766" s="44" t="str">
        <v/>
      </c>
      <c r="O766" s="44" t="str">
        <v/>
      </c>
      <c r="P766" s="44" t="str">
        <v/>
      </c>
    </row>
    <row r="767" spans="1:16" x14ac:dyDescent="0.2">
      <c r="A767" s="58" t="str">
        <v/>
      </c>
      <c r="B767" s="131" t="str">
        <f>IFERROR(TIMEVALUE(DaqBook_RAW_Data!A757),"")</f>
        <v/>
      </c>
      <c r="C767" s="44" t="str">
        <v/>
      </c>
      <c r="D767" s="44" t="str">
        <v/>
      </c>
      <c r="E767" s="44" t="str">
        <v/>
      </c>
      <c r="F767" s="44" t="str">
        <v/>
      </c>
      <c r="G767" s="44" t="str">
        <v/>
      </c>
      <c r="H767" s="44" t="str">
        <v/>
      </c>
      <c r="I767" s="44" t="str">
        <v/>
      </c>
      <c r="J767" s="44" t="str">
        <v/>
      </c>
      <c r="K767" s="44" t="str">
        <v/>
      </c>
      <c r="L767" s="44" t="str">
        <v/>
      </c>
      <c r="M767" s="44" t="str">
        <v/>
      </c>
      <c r="N767" s="44" t="str">
        <v/>
      </c>
      <c r="O767" s="44" t="str">
        <v/>
      </c>
      <c r="P767" s="44" t="str">
        <v/>
      </c>
    </row>
    <row r="768" spans="1:16" x14ac:dyDescent="0.2">
      <c r="A768" s="58" t="str">
        <v/>
      </c>
      <c r="B768" s="131" t="str">
        <f>IFERROR(TIMEVALUE(DaqBook_RAW_Data!A758),"")</f>
        <v/>
      </c>
      <c r="C768" s="44" t="str">
        <v/>
      </c>
      <c r="D768" s="44" t="str">
        <v/>
      </c>
      <c r="E768" s="44" t="str">
        <v/>
      </c>
      <c r="F768" s="44" t="str">
        <v/>
      </c>
      <c r="G768" s="44" t="str">
        <v/>
      </c>
      <c r="H768" s="44" t="str">
        <v/>
      </c>
      <c r="I768" s="44" t="str">
        <v/>
      </c>
      <c r="J768" s="44" t="str">
        <v/>
      </c>
      <c r="K768" s="44" t="str">
        <v/>
      </c>
      <c r="L768" s="44" t="str">
        <v/>
      </c>
      <c r="M768" s="44" t="str">
        <v/>
      </c>
      <c r="N768" s="44" t="str">
        <v/>
      </c>
      <c r="O768" s="44" t="str">
        <v/>
      </c>
      <c r="P768" s="44" t="str">
        <v/>
      </c>
    </row>
    <row r="769" spans="1:16" x14ac:dyDescent="0.2">
      <c r="A769" s="58" t="str">
        <v/>
      </c>
      <c r="B769" s="131" t="str">
        <f>IFERROR(TIMEVALUE(DaqBook_RAW_Data!A759),"")</f>
        <v/>
      </c>
      <c r="C769" s="44" t="str">
        <v/>
      </c>
      <c r="D769" s="44" t="str">
        <v/>
      </c>
      <c r="E769" s="44" t="str">
        <v/>
      </c>
      <c r="F769" s="44" t="str">
        <v/>
      </c>
      <c r="G769" s="44" t="str">
        <v/>
      </c>
      <c r="H769" s="44" t="str">
        <v/>
      </c>
      <c r="I769" s="44" t="str">
        <v/>
      </c>
      <c r="J769" s="44" t="str">
        <v/>
      </c>
      <c r="K769" s="44" t="str">
        <v/>
      </c>
      <c r="L769" s="44" t="str">
        <v/>
      </c>
      <c r="M769" s="44" t="str">
        <v/>
      </c>
      <c r="N769" s="44" t="str">
        <v/>
      </c>
      <c r="O769" s="44" t="str">
        <v/>
      </c>
      <c r="P769" s="44" t="str">
        <v/>
      </c>
    </row>
    <row r="770" spans="1:16" x14ac:dyDescent="0.2">
      <c r="A770" s="58" t="str">
        <v/>
      </c>
      <c r="B770" s="131" t="str">
        <f>IFERROR(TIMEVALUE(DaqBook_RAW_Data!A760),"")</f>
        <v/>
      </c>
      <c r="C770" s="44" t="str">
        <v/>
      </c>
      <c r="D770" s="44" t="str">
        <v/>
      </c>
      <c r="E770" s="44" t="str">
        <v/>
      </c>
      <c r="F770" s="44" t="str">
        <v/>
      </c>
      <c r="G770" s="44" t="str">
        <v/>
      </c>
      <c r="H770" s="44" t="str">
        <v/>
      </c>
      <c r="I770" s="44" t="str">
        <v/>
      </c>
      <c r="J770" s="44" t="str">
        <v/>
      </c>
      <c r="K770" s="44" t="str">
        <v/>
      </c>
      <c r="L770" s="44" t="str">
        <v/>
      </c>
      <c r="M770" s="44" t="str">
        <v/>
      </c>
      <c r="N770" s="44" t="str">
        <v/>
      </c>
      <c r="O770" s="44" t="str">
        <v/>
      </c>
      <c r="P770" s="44" t="str">
        <v/>
      </c>
    </row>
    <row r="771" spans="1:16" x14ac:dyDescent="0.2">
      <c r="A771" s="58" t="str">
        <v/>
      </c>
      <c r="B771" s="131" t="str">
        <f>IFERROR(TIMEVALUE(DaqBook_RAW_Data!A761),"")</f>
        <v/>
      </c>
      <c r="C771" s="44" t="str">
        <v/>
      </c>
      <c r="D771" s="44" t="str">
        <v/>
      </c>
      <c r="E771" s="44" t="str">
        <v/>
      </c>
      <c r="F771" s="44" t="str">
        <v/>
      </c>
      <c r="G771" s="44" t="str">
        <v/>
      </c>
      <c r="H771" s="44" t="str">
        <v/>
      </c>
      <c r="I771" s="44" t="str">
        <v/>
      </c>
      <c r="J771" s="44" t="str">
        <v/>
      </c>
      <c r="K771" s="44" t="str">
        <v/>
      </c>
      <c r="L771" s="44" t="str">
        <v/>
      </c>
      <c r="M771" s="44" t="str">
        <v/>
      </c>
      <c r="N771" s="44" t="str">
        <v/>
      </c>
      <c r="O771" s="44" t="str">
        <v/>
      </c>
      <c r="P771" s="44" t="str">
        <v/>
      </c>
    </row>
    <row r="772" spans="1:16" x14ac:dyDescent="0.2">
      <c r="A772" s="58" t="str">
        <v/>
      </c>
      <c r="B772" s="131" t="str">
        <f>IFERROR(TIMEVALUE(DaqBook_RAW_Data!A762),"")</f>
        <v/>
      </c>
      <c r="C772" s="44" t="str">
        <v/>
      </c>
      <c r="D772" s="44" t="str">
        <v/>
      </c>
      <c r="E772" s="44" t="str">
        <v/>
      </c>
      <c r="F772" s="44" t="str">
        <v/>
      </c>
      <c r="G772" s="44" t="str">
        <v/>
      </c>
      <c r="H772" s="44" t="str">
        <v/>
      </c>
      <c r="I772" s="44" t="str">
        <v/>
      </c>
      <c r="J772" s="44" t="str">
        <v/>
      </c>
      <c r="K772" s="44" t="str">
        <v/>
      </c>
      <c r="L772" s="44" t="str">
        <v/>
      </c>
      <c r="M772" s="44" t="str">
        <v/>
      </c>
      <c r="N772" s="44" t="str">
        <v/>
      </c>
      <c r="O772" s="44" t="str">
        <v/>
      </c>
      <c r="P772" s="44" t="str">
        <v/>
      </c>
    </row>
    <row r="773" spans="1:16" x14ac:dyDescent="0.2">
      <c r="A773" s="58" t="str">
        <v/>
      </c>
      <c r="B773" s="131" t="str">
        <f>IFERROR(TIMEVALUE(DaqBook_RAW_Data!A763),"")</f>
        <v/>
      </c>
      <c r="C773" s="44" t="str">
        <v/>
      </c>
      <c r="D773" s="44" t="str">
        <v/>
      </c>
      <c r="E773" s="44" t="str">
        <v/>
      </c>
      <c r="F773" s="44" t="str">
        <v/>
      </c>
      <c r="G773" s="44" t="str">
        <v/>
      </c>
      <c r="H773" s="44" t="str">
        <v/>
      </c>
      <c r="I773" s="44" t="str">
        <v/>
      </c>
      <c r="J773" s="44" t="str">
        <v/>
      </c>
      <c r="K773" s="44" t="str">
        <v/>
      </c>
      <c r="L773" s="44" t="str">
        <v/>
      </c>
      <c r="M773" s="44" t="str">
        <v/>
      </c>
      <c r="N773" s="44" t="str">
        <v/>
      </c>
      <c r="O773" s="44" t="str">
        <v/>
      </c>
      <c r="P773" s="44" t="str">
        <v/>
      </c>
    </row>
    <row r="774" spans="1:16" x14ac:dyDescent="0.2">
      <c r="A774" s="58" t="str">
        <v/>
      </c>
      <c r="B774" s="131" t="str">
        <f>IFERROR(TIMEVALUE(DaqBook_RAW_Data!A764),"")</f>
        <v/>
      </c>
      <c r="C774" s="44" t="str">
        <v/>
      </c>
      <c r="D774" s="44" t="str">
        <v/>
      </c>
      <c r="E774" s="44" t="str">
        <v/>
      </c>
      <c r="F774" s="44" t="str">
        <v/>
      </c>
      <c r="G774" s="44" t="str">
        <v/>
      </c>
      <c r="H774" s="44" t="str">
        <v/>
      </c>
      <c r="I774" s="44" t="str">
        <v/>
      </c>
      <c r="J774" s="44" t="str">
        <v/>
      </c>
      <c r="K774" s="44" t="str">
        <v/>
      </c>
      <c r="L774" s="44" t="str">
        <v/>
      </c>
      <c r="M774" s="44" t="str">
        <v/>
      </c>
      <c r="N774" s="44" t="str">
        <v/>
      </c>
      <c r="O774" s="44" t="str">
        <v/>
      </c>
      <c r="P774" s="44" t="str">
        <v/>
      </c>
    </row>
    <row r="775" spans="1:16" x14ac:dyDescent="0.2">
      <c r="A775" s="58" t="str">
        <v/>
      </c>
      <c r="B775" s="131" t="str">
        <f>IFERROR(TIMEVALUE(DaqBook_RAW_Data!A765),"")</f>
        <v/>
      </c>
      <c r="C775" s="44" t="str">
        <v/>
      </c>
      <c r="D775" s="44" t="str">
        <v/>
      </c>
      <c r="E775" s="44" t="str">
        <v/>
      </c>
      <c r="F775" s="44" t="str">
        <v/>
      </c>
      <c r="G775" s="44" t="str">
        <v/>
      </c>
      <c r="H775" s="44" t="str">
        <v/>
      </c>
      <c r="I775" s="44" t="str">
        <v/>
      </c>
      <c r="J775" s="44" t="str">
        <v/>
      </c>
      <c r="K775" s="44" t="str">
        <v/>
      </c>
      <c r="L775" s="44" t="str">
        <v/>
      </c>
      <c r="M775" s="44" t="str">
        <v/>
      </c>
      <c r="N775" s="44" t="str">
        <v/>
      </c>
      <c r="O775" s="44" t="str">
        <v/>
      </c>
      <c r="P775" s="44" t="str">
        <v/>
      </c>
    </row>
    <row r="776" spans="1:16" x14ac:dyDescent="0.2">
      <c r="A776" s="58" t="str">
        <v/>
      </c>
      <c r="B776" s="131" t="str">
        <f>IFERROR(TIMEVALUE(DaqBook_RAW_Data!A766),"")</f>
        <v/>
      </c>
      <c r="C776" s="44" t="str">
        <v/>
      </c>
      <c r="D776" s="44" t="str">
        <v/>
      </c>
      <c r="E776" s="44" t="str">
        <v/>
      </c>
      <c r="F776" s="44" t="str">
        <v/>
      </c>
      <c r="G776" s="44" t="str">
        <v/>
      </c>
      <c r="H776" s="44" t="str">
        <v/>
      </c>
      <c r="I776" s="44" t="str">
        <v/>
      </c>
      <c r="J776" s="44" t="str">
        <v/>
      </c>
      <c r="K776" s="44" t="str">
        <v/>
      </c>
      <c r="L776" s="44" t="str">
        <v/>
      </c>
      <c r="M776" s="44" t="str">
        <v/>
      </c>
      <c r="N776" s="44" t="str">
        <v/>
      </c>
      <c r="O776" s="44" t="str">
        <v/>
      </c>
      <c r="P776" s="44" t="str">
        <v/>
      </c>
    </row>
    <row r="777" spans="1:16" x14ac:dyDescent="0.2">
      <c r="A777" s="58" t="str">
        <v/>
      </c>
      <c r="B777" s="131" t="str">
        <f>IFERROR(TIMEVALUE(DaqBook_RAW_Data!A767),"")</f>
        <v/>
      </c>
      <c r="C777" s="44" t="str">
        <v/>
      </c>
      <c r="D777" s="44" t="str">
        <v/>
      </c>
      <c r="E777" s="44" t="str">
        <v/>
      </c>
      <c r="F777" s="44" t="str">
        <v/>
      </c>
      <c r="G777" s="44" t="str">
        <v/>
      </c>
      <c r="H777" s="44" t="str">
        <v/>
      </c>
      <c r="I777" s="44" t="str">
        <v/>
      </c>
      <c r="J777" s="44" t="str">
        <v/>
      </c>
      <c r="K777" s="44" t="str">
        <v/>
      </c>
      <c r="L777" s="44" t="str">
        <v/>
      </c>
      <c r="M777" s="44" t="str">
        <v/>
      </c>
      <c r="N777" s="44" t="str">
        <v/>
      </c>
      <c r="O777" s="44" t="str">
        <v/>
      </c>
      <c r="P777" s="44" t="str">
        <v/>
      </c>
    </row>
    <row r="778" spans="1:16" x14ac:dyDescent="0.2">
      <c r="A778" s="58" t="str">
        <v/>
      </c>
      <c r="B778" s="131" t="str">
        <f>IFERROR(TIMEVALUE(DaqBook_RAW_Data!A768),"")</f>
        <v/>
      </c>
      <c r="C778" s="44" t="str">
        <v/>
      </c>
      <c r="D778" s="44" t="str">
        <v/>
      </c>
      <c r="E778" s="44" t="str">
        <v/>
      </c>
      <c r="F778" s="44" t="str">
        <v/>
      </c>
      <c r="G778" s="44" t="str">
        <v/>
      </c>
      <c r="H778" s="44" t="str">
        <v/>
      </c>
      <c r="I778" s="44" t="str">
        <v/>
      </c>
      <c r="J778" s="44" t="str">
        <v/>
      </c>
      <c r="K778" s="44" t="str">
        <v/>
      </c>
      <c r="L778" s="44" t="str">
        <v/>
      </c>
      <c r="M778" s="44" t="str">
        <v/>
      </c>
      <c r="N778" s="44" t="str">
        <v/>
      </c>
      <c r="O778" s="44" t="str">
        <v/>
      </c>
      <c r="P778" s="44" t="str">
        <v/>
      </c>
    </row>
    <row r="779" spans="1:16" x14ac:dyDescent="0.2">
      <c r="A779" s="58" t="str">
        <v/>
      </c>
      <c r="B779" s="131" t="str">
        <f>IFERROR(TIMEVALUE(DaqBook_RAW_Data!A769),"")</f>
        <v/>
      </c>
      <c r="C779" s="44" t="str">
        <v/>
      </c>
      <c r="D779" s="44" t="str">
        <v/>
      </c>
      <c r="E779" s="44" t="str">
        <v/>
      </c>
      <c r="F779" s="44" t="str">
        <v/>
      </c>
      <c r="G779" s="44" t="str">
        <v/>
      </c>
      <c r="H779" s="44" t="str">
        <v/>
      </c>
      <c r="I779" s="44" t="str">
        <v/>
      </c>
      <c r="J779" s="44" t="str">
        <v/>
      </c>
      <c r="K779" s="44" t="str">
        <v/>
      </c>
      <c r="L779" s="44" t="str">
        <v/>
      </c>
      <c r="M779" s="44" t="str">
        <v/>
      </c>
      <c r="N779" s="44" t="str">
        <v/>
      </c>
      <c r="O779" s="44" t="str">
        <v/>
      </c>
      <c r="P779" s="44" t="str">
        <v/>
      </c>
    </row>
    <row r="780" spans="1:16" x14ac:dyDescent="0.2">
      <c r="A780" s="58" t="str">
        <v/>
      </c>
      <c r="B780" s="131" t="str">
        <f>IFERROR(TIMEVALUE(DaqBook_RAW_Data!A770),"")</f>
        <v/>
      </c>
      <c r="C780" s="44" t="str">
        <v/>
      </c>
      <c r="D780" s="44" t="str">
        <v/>
      </c>
      <c r="E780" s="44" t="str">
        <v/>
      </c>
      <c r="F780" s="44" t="str">
        <v/>
      </c>
      <c r="G780" s="44" t="str">
        <v/>
      </c>
      <c r="H780" s="44" t="str">
        <v/>
      </c>
      <c r="I780" s="44" t="str">
        <v/>
      </c>
      <c r="J780" s="44" t="str">
        <v/>
      </c>
      <c r="K780" s="44" t="str">
        <v/>
      </c>
      <c r="L780" s="44" t="str">
        <v/>
      </c>
      <c r="M780" s="44" t="str">
        <v/>
      </c>
      <c r="N780" s="44" t="str">
        <v/>
      </c>
      <c r="O780" s="44" t="str">
        <v/>
      </c>
      <c r="P780" s="44" t="str">
        <v/>
      </c>
    </row>
    <row r="781" spans="1:16" x14ac:dyDescent="0.2">
      <c r="A781" s="58" t="str">
        <v/>
      </c>
      <c r="B781" s="131" t="str">
        <f>IFERROR(TIMEVALUE(DaqBook_RAW_Data!A771),"")</f>
        <v/>
      </c>
      <c r="C781" s="44" t="str">
        <v/>
      </c>
      <c r="D781" s="44" t="str">
        <v/>
      </c>
      <c r="E781" s="44" t="str">
        <v/>
      </c>
      <c r="F781" s="44" t="str">
        <v/>
      </c>
      <c r="G781" s="44" t="str">
        <v/>
      </c>
      <c r="H781" s="44" t="str">
        <v/>
      </c>
      <c r="I781" s="44" t="str">
        <v/>
      </c>
      <c r="J781" s="44" t="str">
        <v/>
      </c>
      <c r="K781" s="44" t="str">
        <v/>
      </c>
      <c r="L781" s="44" t="str">
        <v/>
      </c>
      <c r="M781" s="44" t="str">
        <v/>
      </c>
      <c r="N781" s="44" t="str">
        <v/>
      </c>
      <c r="O781" s="44" t="str">
        <v/>
      </c>
      <c r="P781" s="44" t="str">
        <v/>
      </c>
    </row>
    <row r="782" spans="1:16" x14ac:dyDescent="0.2">
      <c r="A782" s="58" t="str">
        <v/>
      </c>
      <c r="B782" s="131" t="str">
        <f>IFERROR(TIMEVALUE(DaqBook_RAW_Data!A772),"")</f>
        <v/>
      </c>
      <c r="C782" s="44" t="str">
        <v/>
      </c>
      <c r="D782" s="44" t="str">
        <v/>
      </c>
      <c r="E782" s="44" t="str">
        <v/>
      </c>
      <c r="F782" s="44" t="str">
        <v/>
      </c>
      <c r="G782" s="44" t="str">
        <v/>
      </c>
      <c r="H782" s="44" t="str">
        <v/>
      </c>
      <c r="I782" s="44" t="str">
        <v/>
      </c>
      <c r="J782" s="44" t="str">
        <v/>
      </c>
      <c r="K782" s="44" t="str">
        <v/>
      </c>
      <c r="L782" s="44" t="str">
        <v/>
      </c>
      <c r="M782" s="44" t="str">
        <v/>
      </c>
      <c r="N782" s="44" t="str">
        <v/>
      </c>
      <c r="O782" s="44" t="str">
        <v/>
      </c>
      <c r="P782" s="44" t="str">
        <v/>
      </c>
    </row>
    <row r="783" spans="1:16" x14ac:dyDescent="0.2">
      <c r="A783" s="58" t="str">
        <v/>
      </c>
      <c r="B783" s="131" t="str">
        <f>IFERROR(TIMEVALUE(DaqBook_RAW_Data!A773),"")</f>
        <v/>
      </c>
      <c r="C783" s="44" t="str">
        <v/>
      </c>
      <c r="D783" s="44" t="str">
        <v/>
      </c>
      <c r="E783" s="44" t="str">
        <v/>
      </c>
      <c r="F783" s="44" t="str">
        <v/>
      </c>
      <c r="G783" s="44" t="str">
        <v/>
      </c>
      <c r="H783" s="44" t="str">
        <v/>
      </c>
      <c r="I783" s="44" t="str">
        <v/>
      </c>
      <c r="J783" s="44" t="str">
        <v/>
      </c>
      <c r="K783" s="44" t="str">
        <v/>
      </c>
      <c r="L783" s="44" t="str">
        <v/>
      </c>
      <c r="M783" s="44" t="str">
        <v/>
      </c>
      <c r="N783" s="44" t="str">
        <v/>
      </c>
      <c r="O783" s="44" t="str">
        <v/>
      </c>
      <c r="P783" s="44" t="str">
        <v/>
      </c>
    </row>
    <row r="784" spans="1:16" x14ac:dyDescent="0.2">
      <c r="A784" s="58" t="str">
        <v/>
      </c>
      <c r="B784" s="131" t="str">
        <f>IFERROR(TIMEVALUE(DaqBook_RAW_Data!A774),"")</f>
        <v/>
      </c>
      <c r="C784" s="44" t="str">
        <v/>
      </c>
      <c r="D784" s="44" t="str">
        <v/>
      </c>
      <c r="E784" s="44" t="str">
        <v/>
      </c>
      <c r="F784" s="44" t="str">
        <v/>
      </c>
      <c r="G784" s="44" t="str">
        <v/>
      </c>
      <c r="H784" s="44" t="str">
        <v/>
      </c>
      <c r="I784" s="44" t="str">
        <v/>
      </c>
      <c r="J784" s="44" t="str">
        <v/>
      </c>
      <c r="K784" s="44" t="str">
        <v/>
      </c>
      <c r="L784" s="44" t="str">
        <v/>
      </c>
      <c r="M784" s="44" t="str">
        <v/>
      </c>
      <c r="N784" s="44" t="str">
        <v/>
      </c>
      <c r="O784" s="44" t="str">
        <v/>
      </c>
      <c r="P784" s="44" t="str">
        <v/>
      </c>
    </row>
    <row r="785" spans="1:16" x14ac:dyDescent="0.2">
      <c r="A785" s="58" t="str">
        <v/>
      </c>
      <c r="B785" s="131" t="str">
        <f>IFERROR(TIMEVALUE(DaqBook_RAW_Data!A775),"")</f>
        <v/>
      </c>
      <c r="C785" s="44" t="str">
        <v/>
      </c>
      <c r="D785" s="44" t="str">
        <v/>
      </c>
      <c r="E785" s="44" t="str">
        <v/>
      </c>
      <c r="F785" s="44" t="str">
        <v/>
      </c>
      <c r="G785" s="44" t="str">
        <v/>
      </c>
      <c r="H785" s="44" t="str">
        <v/>
      </c>
      <c r="I785" s="44" t="str">
        <v/>
      </c>
      <c r="J785" s="44" t="str">
        <v/>
      </c>
      <c r="K785" s="44" t="str">
        <v/>
      </c>
      <c r="L785" s="44" t="str">
        <v/>
      </c>
      <c r="M785" s="44" t="str">
        <v/>
      </c>
      <c r="N785" s="44" t="str">
        <v/>
      </c>
      <c r="O785" s="44" t="str">
        <v/>
      </c>
      <c r="P785" s="44" t="str">
        <v/>
      </c>
    </row>
    <row r="786" spans="1:16" x14ac:dyDescent="0.2">
      <c r="A786" s="58" t="str">
        <v/>
      </c>
      <c r="B786" s="131" t="str">
        <f>IFERROR(TIMEVALUE(DaqBook_RAW_Data!A776),"")</f>
        <v/>
      </c>
      <c r="C786" s="44" t="str">
        <v/>
      </c>
      <c r="D786" s="44" t="str">
        <v/>
      </c>
      <c r="E786" s="44" t="str">
        <v/>
      </c>
      <c r="F786" s="44" t="str">
        <v/>
      </c>
      <c r="G786" s="44" t="str">
        <v/>
      </c>
      <c r="H786" s="44" t="str">
        <v/>
      </c>
      <c r="I786" s="44" t="str">
        <v/>
      </c>
      <c r="J786" s="44" t="str">
        <v/>
      </c>
      <c r="K786" s="44" t="str">
        <v/>
      </c>
      <c r="L786" s="44" t="str">
        <v/>
      </c>
      <c r="M786" s="44" t="str">
        <v/>
      </c>
      <c r="N786" s="44" t="str">
        <v/>
      </c>
      <c r="O786" s="44" t="str">
        <v/>
      </c>
      <c r="P786" s="44" t="str">
        <v/>
      </c>
    </row>
    <row r="787" spans="1:16" x14ac:dyDescent="0.2">
      <c r="A787" s="58" t="str">
        <v/>
      </c>
      <c r="B787" s="131" t="str">
        <f>IFERROR(TIMEVALUE(DaqBook_RAW_Data!A777),"")</f>
        <v/>
      </c>
      <c r="C787" s="44" t="str">
        <v/>
      </c>
      <c r="D787" s="44" t="str">
        <v/>
      </c>
      <c r="E787" s="44" t="str">
        <v/>
      </c>
      <c r="F787" s="44" t="str">
        <v/>
      </c>
      <c r="G787" s="44" t="str">
        <v/>
      </c>
      <c r="H787" s="44" t="str">
        <v/>
      </c>
      <c r="I787" s="44" t="str">
        <v/>
      </c>
      <c r="J787" s="44" t="str">
        <v/>
      </c>
      <c r="K787" s="44" t="str">
        <v/>
      </c>
      <c r="L787" s="44" t="str">
        <v/>
      </c>
      <c r="M787" s="44" t="str">
        <v/>
      </c>
      <c r="N787" s="44" t="str">
        <v/>
      </c>
      <c r="O787" s="44" t="str">
        <v/>
      </c>
      <c r="P787" s="44" t="str">
        <v/>
      </c>
    </row>
    <row r="788" spans="1:16" x14ac:dyDescent="0.2">
      <c r="A788" s="58" t="str">
        <v/>
      </c>
      <c r="B788" s="131" t="str">
        <f>IFERROR(TIMEVALUE(DaqBook_RAW_Data!A778),"")</f>
        <v/>
      </c>
      <c r="C788" s="44" t="str">
        <v/>
      </c>
      <c r="D788" s="44" t="str">
        <v/>
      </c>
      <c r="E788" s="44" t="str">
        <v/>
      </c>
      <c r="F788" s="44" t="str">
        <v/>
      </c>
      <c r="G788" s="44" t="str">
        <v/>
      </c>
      <c r="H788" s="44" t="str">
        <v/>
      </c>
      <c r="I788" s="44" t="str">
        <v/>
      </c>
      <c r="J788" s="44" t="str">
        <v/>
      </c>
      <c r="K788" s="44" t="str">
        <v/>
      </c>
      <c r="L788" s="44" t="str">
        <v/>
      </c>
      <c r="M788" s="44" t="str">
        <v/>
      </c>
      <c r="N788" s="44" t="str">
        <v/>
      </c>
      <c r="O788" s="44" t="str">
        <v/>
      </c>
      <c r="P788" s="44" t="str">
        <v/>
      </c>
    </row>
    <row r="789" spans="1:16" x14ac:dyDescent="0.2">
      <c r="A789" s="58" t="str">
        <v/>
      </c>
      <c r="B789" s="131" t="str">
        <f>IFERROR(TIMEVALUE(DaqBook_RAW_Data!A779),"")</f>
        <v/>
      </c>
      <c r="C789" s="44" t="str">
        <v/>
      </c>
      <c r="D789" s="44" t="str">
        <v/>
      </c>
      <c r="E789" s="44" t="str">
        <v/>
      </c>
      <c r="F789" s="44" t="str">
        <v/>
      </c>
      <c r="G789" s="44" t="str">
        <v/>
      </c>
      <c r="H789" s="44" t="str">
        <v/>
      </c>
      <c r="I789" s="44" t="str">
        <v/>
      </c>
      <c r="J789" s="44" t="str">
        <v/>
      </c>
      <c r="K789" s="44" t="str">
        <v/>
      </c>
      <c r="L789" s="44" t="str">
        <v/>
      </c>
      <c r="M789" s="44" t="str">
        <v/>
      </c>
      <c r="N789" s="44" t="str">
        <v/>
      </c>
      <c r="O789" s="44" t="str">
        <v/>
      </c>
      <c r="P789" s="44" t="str">
        <v/>
      </c>
    </row>
    <row r="790" spans="1:16" x14ac:dyDescent="0.2">
      <c r="A790" s="58" t="str">
        <v/>
      </c>
      <c r="B790" s="131" t="str">
        <f>IFERROR(TIMEVALUE(DaqBook_RAW_Data!A780),"")</f>
        <v/>
      </c>
      <c r="C790" s="44" t="str">
        <v/>
      </c>
      <c r="D790" s="44" t="str">
        <v/>
      </c>
      <c r="E790" s="44" t="str">
        <v/>
      </c>
      <c r="F790" s="44" t="str">
        <v/>
      </c>
      <c r="G790" s="44" t="str">
        <v/>
      </c>
      <c r="H790" s="44" t="str">
        <v/>
      </c>
      <c r="I790" s="44" t="str">
        <v/>
      </c>
      <c r="J790" s="44" t="str">
        <v/>
      </c>
      <c r="K790" s="44" t="str">
        <v/>
      </c>
      <c r="L790" s="44" t="str">
        <v/>
      </c>
      <c r="M790" s="44" t="str">
        <v/>
      </c>
      <c r="N790" s="44" t="str">
        <v/>
      </c>
      <c r="O790" s="44" t="str">
        <v/>
      </c>
      <c r="P790" s="44" t="str">
        <v/>
      </c>
    </row>
    <row r="791" spans="1:16" x14ac:dyDescent="0.2">
      <c r="A791" s="58" t="str">
        <v/>
      </c>
      <c r="B791" s="131" t="str">
        <f>IFERROR(TIMEVALUE(DaqBook_RAW_Data!A781),"")</f>
        <v/>
      </c>
      <c r="C791" s="44" t="str">
        <v/>
      </c>
      <c r="D791" s="44" t="str">
        <v/>
      </c>
      <c r="E791" s="44" t="str">
        <v/>
      </c>
      <c r="F791" s="44" t="str">
        <v/>
      </c>
      <c r="G791" s="44" t="str">
        <v/>
      </c>
      <c r="H791" s="44" t="str">
        <v/>
      </c>
      <c r="I791" s="44" t="str">
        <v/>
      </c>
      <c r="J791" s="44" t="str">
        <v/>
      </c>
      <c r="K791" s="44" t="str">
        <v/>
      </c>
      <c r="L791" s="44" t="str">
        <v/>
      </c>
      <c r="M791" s="44" t="str">
        <v/>
      </c>
      <c r="N791" s="44" t="str">
        <v/>
      </c>
      <c r="O791" s="44" t="str">
        <v/>
      </c>
      <c r="P791" s="44" t="str">
        <v/>
      </c>
    </row>
    <row r="792" spans="1:16" x14ac:dyDescent="0.2">
      <c r="A792" s="58" t="str">
        <v/>
      </c>
      <c r="B792" s="131" t="str">
        <f>IFERROR(TIMEVALUE(DaqBook_RAW_Data!A782),"")</f>
        <v/>
      </c>
      <c r="C792" s="44" t="str">
        <v/>
      </c>
      <c r="D792" s="44" t="str">
        <v/>
      </c>
      <c r="E792" s="44" t="str">
        <v/>
      </c>
      <c r="F792" s="44" t="str">
        <v/>
      </c>
      <c r="G792" s="44" t="str">
        <v/>
      </c>
      <c r="H792" s="44" t="str">
        <v/>
      </c>
      <c r="I792" s="44" t="str">
        <v/>
      </c>
      <c r="J792" s="44" t="str">
        <v/>
      </c>
      <c r="K792" s="44" t="str">
        <v/>
      </c>
      <c r="L792" s="44" t="str">
        <v/>
      </c>
      <c r="M792" s="44" t="str">
        <v/>
      </c>
      <c r="N792" s="44" t="str">
        <v/>
      </c>
      <c r="O792" s="44" t="str">
        <v/>
      </c>
      <c r="P792" s="44" t="str">
        <v/>
      </c>
    </row>
    <row r="793" spans="1:16" x14ac:dyDescent="0.2">
      <c r="A793" s="58" t="str">
        <v/>
      </c>
      <c r="B793" s="131" t="str">
        <f>IFERROR(TIMEVALUE(DaqBook_RAW_Data!A783),"")</f>
        <v/>
      </c>
      <c r="C793" s="44" t="str">
        <v/>
      </c>
      <c r="D793" s="44" t="str">
        <v/>
      </c>
      <c r="E793" s="44" t="str">
        <v/>
      </c>
      <c r="F793" s="44" t="str">
        <v/>
      </c>
      <c r="G793" s="44" t="str">
        <v/>
      </c>
      <c r="H793" s="44" t="str">
        <v/>
      </c>
      <c r="I793" s="44" t="str">
        <v/>
      </c>
      <c r="J793" s="44" t="str">
        <v/>
      </c>
      <c r="K793" s="44" t="str">
        <v/>
      </c>
      <c r="L793" s="44" t="str">
        <v/>
      </c>
      <c r="M793" s="44" t="str">
        <v/>
      </c>
      <c r="N793" s="44" t="str">
        <v/>
      </c>
      <c r="O793" s="44" t="str">
        <v/>
      </c>
      <c r="P793" s="44" t="str">
        <v/>
      </c>
    </row>
    <row r="794" spans="1:16" x14ac:dyDescent="0.2">
      <c r="A794" s="58" t="str">
        <v/>
      </c>
      <c r="B794" s="131" t="str">
        <f>IFERROR(TIMEVALUE(DaqBook_RAW_Data!A784),"")</f>
        <v/>
      </c>
      <c r="C794" s="44" t="str">
        <v/>
      </c>
      <c r="D794" s="44" t="str">
        <v/>
      </c>
      <c r="E794" s="44" t="str">
        <v/>
      </c>
      <c r="F794" s="44" t="str">
        <v/>
      </c>
      <c r="G794" s="44" t="str">
        <v/>
      </c>
      <c r="H794" s="44" t="str">
        <v/>
      </c>
      <c r="I794" s="44" t="str">
        <v/>
      </c>
      <c r="J794" s="44" t="str">
        <v/>
      </c>
      <c r="K794" s="44" t="str">
        <v/>
      </c>
      <c r="L794" s="44" t="str">
        <v/>
      </c>
      <c r="M794" s="44" t="str">
        <v/>
      </c>
      <c r="N794" s="44" t="str">
        <v/>
      </c>
      <c r="O794" s="44" t="str">
        <v/>
      </c>
      <c r="P794" s="44" t="str">
        <v/>
      </c>
    </row>
    <row r="795" spans="1:16" x14ac:dyDescent="0.2">
      <c r="A795" s="58" t="str">
        <v/>
      </c>
      <c r="B795" s="131" t="str">
        <f>IFERROR(TIMEVALUE(DaqBook_RAW_Data!A785),"")</f>
        <v/>
      </c>
      <c r="C795" s="44" t="str">
        <v/>
      </c>
      <c r="D795" s="44" t="str">
        <v/>
      </c>
      <c r="E795" s="44" t="str">
        <v/>
      </c>
      <c r="F795" s="44" t="str">
        <v/>
      </c>
      <c r="G795" s="44" t="str">
        <v/>
      </c>
      <c r="H795" s="44" t="str">
        <v/>
      </c>
      <c r="I795" s="44" t="str">
        <v/>
      </c>
      <c r="J795" s="44" t="str">
        <v/>
      </c>
      <c r="K795" s="44" t="str">
        <v/>
      </c>
      <c r="L795" s="44" t="str">
        <v/>
      </c>
      <c r="M795" s="44" t="str">
        <v/>
      </c>
      <c r="N795" s="44" t="str">
        <v/>
      </c>
      <c r="O795" s="44" t="str">
        <v/>
      </c>
      <c r="P795" s="44" t="str">
        <v/>
      </c>
    </row>
    <row r="796" spans="1:16" x14ac:dyDescent="0.2">
      <c r="A796" s="58" t="str">
        <v/>
      </c>
      <c r="B796" s="131" t="str">
        <f>IFERROR(TIMEVALUE(DaqBook_RAW_Data!A786),"")</f>
        <v/>
      </c>
      <c r="C796" s="44" t="str">
        <v/>
      </c>
      <c r="D796" s="44" t="str">
        <v/>
      </c>
      <c r="E796" s="44" t="str">
        <v/>
      </c>
      <c r="F796" s="44" t="str">
        <v/>
      </c>
      <c r="G796" s="44" t="str">
        <v/>
      </c>
      <c r="H796" s="44" t="str">
        <v/>
      </c>
      <c r="I796" s="44" t="str">
        <v/>
      </c>
      <c r="J796" s="44" t="str">
        <v/>
      </c>
      <c r="K796" s="44" t="str">
        <v/>
      </c>
      <c r="L796" s="44" t="str">
        <v/>
      </c>
      <c r="M796" s="44" t="str">
        <v/>
      </c>
      <c r="N796" s="44" t="str">
        <v/>
      </c>
      <c r="O796" s="44" t="str">
        <v/>
      </c>
      <c r="P796" s="44" t="str">
        <v/>
      </c>
    </row>
    <row r="797" spans="1:16" x14ac:dyDescent="0.2">
      <c r="A797" s="58" t="str">
        <v/>
      </c>
      <c r="B797" s="131" t="str">
        <f>IFERROR(TIMEVALUE(DaqBook_RAW_Data!A787),"")</f>
        <v/>
      </c>
      <c r="C797" s="44" t="str">
        <v/>
      </c>
      <c r="D797" s="44" t="str">
        <v/>
      </c>
      <c r="E797" s="44" t="str">
        <v/>
      </c>
      <c r="F797" s="44" t="str">
        <v/>
      </c>
      <c r="G797" s="44" t="str">
        <v/>
      </c>
      <c r="H797" s="44" t="str">
        <v/>
      </c>
      <c r="I797" s="44" t="str">
        <v/>
      </c>
      <c r="J797" s="44" t="str">
        <v/>
      </c>
      <c r="K797" s="44" t="str">
        <v/>
      </c>
      <c r="L797" s="44" t="str">
        <v/>
      </c>
      <c r="M797" s="44" t="str">
        <v/>
      </c>
      <c r="N797" s="44" t="str">
        <v/>
      </c>
      <c r="O797" s="44" t="str">
        <v/>
      </c>
      <c r="P797" s="44" t="str">
        <v/>
      </c>
    </row>
    <row r="798" spans="1:16" x14ac:dyDescent="0.2">
      <c r="A798" s="58" t="str">
        <v/>
      </c>
      <c r="B798" s="131" t="str">
        <f>IFERROR(TIMEVALUE(DaqBook_RAW_Data!A788),"")</f>
        <v/>
      </c>
      <c r="C798" s="44" t="str">
        <v/>
      </c>
      <c r="D798" s="44" t="str">
        <v/>
      </c>
      <c r="E798" s="44" t="str">
        <v/>
      </c>
      <c r="F798" s="44" t="str">
        <v/>
      </c>
      <c r="G798" s="44" t="str">
        <v/>
      </c>
      <c r="H798" s="44" t="str">
        <v/>
      </c>
      <c r="I798" s="44" t="str">
        <v/>
      </c>
      <c r="J798" s="44" t="str">
        <v/>
      </c>
      <c r="K798" s="44" t="str">
        <v/>
      </c>
      <c r="L798" s="44" t="str">
        <v/>
      </c>
      <c r="M798" s="44" t="str">
        <v/>
      </c>
      <c r="N798" s="44" t="str">
        <v/>
      </c>
      <c r="O798" s="44" t="str">
        <v/>
      </c>
      <c r="P798" s="44" t="str">
        <v/>
      </c>
    </row>
    <row r="799" spans="1:16" x14ac:dyDescent="0.2">
      <c r="A799" s="58" t="str">
        <v/>
      </c>
      <c r="B799" s="131" t="str">
        <f>IFERROR(TIMEVALUE(DaqBook_RAW_Data!A789),"")</f>
        <v/>
      </c>
      <c r="C799" s="44" t="str">
        <v/>
      </c>
      <c r="D799" s="44" t="str">
        <v/>
      </c>
      <c r="E799" s="44" t="str">
        <v/>
      </c>
      <c r="F799" s="44" t="str">
        <v/>
      </c>
      <c r="G799" s="44" t="str">
        <v/>
      </c>
      <c r="H799" s="44" t="str">
        <v/>
      </c>
      <c r="I799" s="44" t="str">
        <v/>
      </c>
      <c r="J799" s="44" t="str">
        <v/>
      </c>
      <c r="K799" s="44" t="str">
        <v/>
      </c>
      <c r="L799" s="44" t="str">
        <v/>
      </c>
      <c r="M799" s="44" t="str">
        <v/>
      </c>
      <c r="N799" s="44" t="str">
        <v/>
      </c>
      <c r="O799" s="44" t="str">
        <v/>
      </c>
      <c r="P799" s="44" t="str">
        <v/>
      </c>
    </row>
    <row r="800" spans="1:16" x14ac:dyDescent="0.2">
      <c r="A800" s="58" t="str">
        <v/>
      </c>
      <c r="B800" s="131" t="str">
        <f>IFERROR(TIMEVALUE(DaqBook_RAW_Data!A790),"")</f>
        <v/>
      </c>
      <c r="C800" s="44" t="str">
        <v/>
      </c>
      <c r="D800" s="44" t="str">
        <v/>
      </c>
      <c r="E800" s="44" t="str">
        <v/>
      </c>
      <c r="F800" s="44" t="str">
        <v/>
      </c>
      <c r="G800" s="44" t="str">
        <v/>
      </c>
      <c r="H800" s="44" t="str">
        <v/>
      </c>
      <c r="I800" s="44" t="str">
        <v/>
      </c>
      <c r="J800" s="44" t="str">
        <v/>
      </c>
      <c r="K800" s="44" t="str">
        <v/>
      </c>
      <c r="L800" s="44" t="str">
        <v/>
      </c>
      <c r="M800" s="44" t="str">
        <v/>
      </c>
      <c r="N800" s="44" t="str">
        <v/>
      </c>
      <c r="O800" s="44" t="str">
        <v/>
      </c>
      <c r="P800" s="44" t="str">
        <v/>
      </c>
    </row>
    <row r="801" spans="1:16" x14ac:dyDescent="0.2">
      <c r="A801" s="58" t="str">
        <v/>
      </c>
      <c r="B801" s="131" t="str">
        <f>IFERROR(TIMEVALUE(DaqBook_RAW_Data!A791),"")</f>
        <v/>
      </c>
      <c r="C801" s="44" t="str">
        <v/>
      </c>
      <c r="D801" s="44" t="str">
        <v/>
      </c>
      <c r="E801" s="44" t="str">
        <v/>
      </c>
      <c r="F801" s="44" t="str">
        <v/>
      </c>
      <c r="G801" s="44" t="str">
        <v/>
      </c>
      <c r="H801" s="44" t="str">
        <v/>
      </c>
      <c r="I801" s="44" t="str">
        <v/>
      </c>
      <c r="J801" s="44" t="str">
        <v/>
      </c>
      <c r="K801" s="44" t="str">
        <v/>
      </c>
      <c r="L801" s="44" t="str">
        <v/>
      </c>
      <c r="M801" s="44" t="str">
        <v/>
      </c>
      <c r="N801" s="44" t="str">
        <v/>
      </c>
      <c r="O801" s="44" t="str">
        <v/>
      </c>
      <c r="P801" s="44" t="str">
        <v/>
      </c>
    </row>
    <row r="802" spans="1:16" x14ac:dyDescent="0.2">
      <c r="A802" s="58" t="str">
        <v/>
      </c>
      <c r="B802" s="131" t="str">
        <f>IFERROR(TIMEVALUE(DaqBook_RAW_Data!A792),"")</f>
        <v/>
      </c>
      <c r="C802" s="44" t="str">
        <v/>
      </c>
      <c r="D802" s="44" t="str">
        <v/>
      </c>
      <c r="E802" s="44" t="str">
        <v/>
      </c>
      <c r="F802" s="44" t="str">
        <v/>
      </c>
      <c r="G802" s="44" t="str">
        <v/>
      </c>
      <c r="H802" s="44" t="str">
        <v/>
      </c>
      <c r="I802" s="44" t="str">
        <v/>
      </c>
      <c r="J802" s="44" t="str">
        <v/>
      </c>
      <c r="K802" s="44" t="str">
        <v/>
      </c>
      <c r="L802" s="44" t="str">
        <v/>
      </c>
      <c r="M802" s="44" t="str">
        <v/>
      </c>
      <c r="N802" s="44" t="str">
        <v/>
      </c>
      <c r="O802" s="44" t="str">
        <v/>
      </c>
      <c r="P802" s="44" t="str">
        <v/>
      </c>
    </row>
    <row r="803" spans="1:16" x14ac:dyDescent="0.2">
      <c r="A803" s="58" t="str">
        <v/>
      </c>
      <c r="B803" s="131" t="str">
        <f>IFERROR(TIMEVALUE(DaqBook_RAW_Data!A793),"")</f>
        <v/>
      </c>
      <c r="C803" s="44" t="str">
        <v/>
      </c>
      <c r="D803" s="44" t="str">
        <v/>
      </c>
      <c r="E803" s="44" t="str">
        <v/>
      </c>
      <c r="F803" s="44" t="str">
        <v/>
      </c>
      <c r="G803" s="44" t="str">
        <v/>
      </c>
      <c r="H803" s="44" t="str">
        <v/>
      </c>
      <c r="I803" s="44" t="str">
        <v/>
      </c>
      <c r="J803" s="44" t="str">
        <v/>
      </c>
      <c r="K803" s="44" t="str">
        <v/>
      </c>
      <c r="L803" s="44" t="str">
        <v/>
      </c>
      <c r="M803" s="44" t="str">
        <v/>
      </c>
      <c r="N803" s="44" t="str">
        <v/>
      </c>
      <c r="O803" s="44" t="str">
        <v/>
      </c>
      <c r="P803" s="44" t="str">
        <v/>
      </c>
    </row>
    <row r="804" spans="1:16" x14ac:dyDescent="0.2">
      <c r="A804" s="58" t="str">
        <v/>
      </c>
      <c r="B804" s="131" t="str">
        <f>IFERROR(TIMEVALUE(DaqBook_RAW_Data!A794),"")</f>
        <v/>
      </c>
      <c r="C804" s="44" t="str">
        <v/>
      </c>
      <c r="D804" s="44" t="str">
        <v/>
      </c>
      <c r="E804" s="44" t="str">
        <v/>
      </c>
      <c r="F804" s="44" t="str">
        <v/>
      </c>
      <c r="G804" s="44" t="str">
        <v/>
      </c>
      <c r="H804" s="44" t="str">
        <v/>
      </c>
      <c r="I804" s="44" t="str">
        <v/>
      </c>
      <c r="J804" s="44" t="str">
        <v/>
      </c>
      <c r="K804" s="44" t="str">
        <v/>
      </c>
      <c r="L804" s="44" t="str">
        <v/>
      </c>
      <c r="M804" s="44" t="str">
        <v/>
      </c>
      <c r="N804" s="44" t="str">
        <v/>
      </c>
      <c r="O804" s="44" t="str">
        <v/>
      </c>
      <c r="P804" s="44" t="str">
        <v/>
      </c>
    </row>
    <row r="805" spans="1:16" x14ac:dyDescent="0.2">
      <c r="A805" s="58" t="str">
        <v/>
      </c>
      <c r="B805" s="131" t="str">
        <f>IFERROR(TIMEVALUE(DaqBook_RAW_Data!A795),"")</f>
        <v/>
      </c>
      <c r="C805" s="44" t="str">
        <v/>
      </c>
      <c r="D805" s="44" t="str">
        <v/>
      </c>
      <c r="E805" s="44" t="str">
        <v/>
      </c>
      <c r="F805" s="44" t="str">
        <v/>
      </c>
      <c r="G805" s="44" t="str">
        <v/>
      </c>
      <c r="H805" s="44" t="str">
        <v/>
      </c>
      <c r="I805" s="44" t="str">
        <v/>
      </c>
      <c r="J805" s="44" t="str">
        <v/>
      </c>
      <c r="K805" s="44" t="str">
        <v/>
      </c>
      <c r="L805" s="44" t="str">
        <v/>
      </c>
      <c r="M805" s="44" t="str">
        <v/>
      </c>
      <c r="N805" s="44" t="str">
        <v/>
      </c>
      <c r="O805" s="44" t="str">
        <v/>
      </c>
      <c r="P805" s="44" t="str">
        <v/>
      </c>
    </row>
    <row r="806" spans="1:16" x14ac:dyDescent="0.2">
      <c r="A806" s="58" t="str">
        <v/>
      </c>
      <c r="B806" s="131" t="str">
        <f>IFERROR(TIMEVALUE(DaqBook_RAW_Data!A796),"")</f>
        <v/>
      </c>
      <c r="C806" s="44" t="str">
        <v/>
      </c>
      <c r="D806" s="44" t="str">
        <v/>
      </c>
      <c r="E806" s="44" t="str">
        <v/>
      </c>
      <c r="F806" s="44" t="str">
        <v/>
      </c>
      <c r="G806" s="44" t="str">
        <v/>
      </c>
      <c r="H806" s="44" t="str">
        <v/>
      </c>
      <c r="I806" s="44" t="str">
        <v/>
      </c>
      <c r="J806" s="44" t="str">
        <v/>
      </c>
      <c r="K806" s="44" t="str">
        <v/>
      </c>
      <c r="L806" s="44" t="str">
        <v/>
      </c>
      <c r="M806" s="44" t="str">
        <v/>
      </c>
      <c r="N806" s="44" t="str">
        <v/>
      </c>
      <c r="O806" s="44" t="str">
        <v/>
      </c>
      <c r="P806" s="44" t="str">
        <v/>
      </c>
    </row>
    <row r="807" spans="1:16" x14ac:dyDescent="0.2">
      <c r="A807" s="58" t="str">
        <v/>
      </c>
      <c r="B807" s="131" t="str">
        <f>IFERROR(TIMEVALUE(DaqBook_RAW_Data!A797),"")</f>
        <v/>
      </c>
      <c r="C807" s="44" t="str">
        <v/>
      </c>
      <c r="D807" s="44" t="str">
        <v/>
      </c>
      <c r="E807" s="44" t="str">
        <v/>
      </c>
      <c r="F807" s="44" t="str">
        <v/>
      </c>
      <c r="G807" s="44" t="str">
        <v/>
      </c>
      <c r="H807" s="44" t="str">
        <v/>
      </c>
      <c r="I807" s="44" t="str">
        <v/>
      </c>
      <c r="J807" s="44" t="str">
        <v/>
      </c>
      <c r="K807" s="44" t="str">
        <v/>
      </c>
      <c r="L807" s="44" t="str">
        <v/>
      </c>
      <c r="M807" s="44" t="str">
        <v/>
      </c>
      <c r="N807" s="44" t="str">
        <v/>
      </c>
      <c r="O807" s="44" t="str">
        <v/>
      </c>
      <c r="P807" s="44" t="str">
        <v/>
      </c>
    </row>
    <row r="808" spans="1:16" x14ac:dyDescent="0.2">
      <c r="A808" s="58" t="str">
        <v/>
      </c>
      <c r="B808" s="131" t="str">
        <f>IFERROR(TIMEVALUE(DaqBook_RAW_Data!A798),"")</f>
        <v/>
      </c>
      <c r="C808" s="44" t="str">
        <v/>
      </c>
      <c r="D808" s="44" t="str">
        <v/>
      </c>
      <c r="E808" s="44" t="str">
        <v/>
      </c>
      <c r="F808" s="44" t="str">
        <v/>
      </c>
      <c r="G808" s="44" t="str">
        <v/>
      </c>
      <c r="H808" s="44" t="str">
        <v/>
      </c>
      <c r="I808" s="44" t="str">
        <v/>
      </c>
      <c r="J808" s="44" t="str">
        <v/>
      </c>
      <c r="K808" s="44" t="str">
        <v/>
      </c>
      <c r="L808" s="44" t="str">
        <v/>
      </c>
      <c r="M808" s="44" t="str">
        <v/>
      </c>
      <c r="N808" s="44" t="str">
        <v/>
      </c>
      <c r="O808" s="44" t="str">
        <v/>
      </c>
      <c r="P808" s="44" t="str">
        <v/>
      </c>
    </row>
    <row r="809" spans="1:16" x14ac:dyDescent="0.2">
      <c r="A809" s="58" t="str">
        <v/>
      </c>
      <c r="B809" s="131" t="str">
        <f>IFERROR(TIMEVALUE(DaqBook_RAW_Data!A799),"")</f>
        <v/>
      </c>
      <c r="C809" s="44" t="str">
        <v/>
      </c>
      <c r="D809" s="44" t="str">
        <v/>
      </c>
      <c r="E809" s="44" t="str">
        <v/>
      </c>
      <c r="F809" s="44" t="str">
        <v/>
      </c>
      <c r="G809" s="44" t="str">
        <v/>
      </c>
      <c r="H809" s="44" t="str">
        <v/>
      </c>
      <c r="I809" s="44" t="str">
        <v/>
      </c>
      <c r="J809" s="44" t="str">
        <v/>
      </c>
      <c r="K809" s="44" t="str">
        <v/>
      </c>
      <c r="L809" s="44" t="str">
        <v/>
      </c>
      <c r="M809" s="44" t="str">
        <v/>
      </c>
      <c r="N809" s="44" t="str">
        <v/>
      </c>
      <c r="O809" s="44" t="str">
        <v/>
      </c>
      <c r="P809" s="44" t="str">
        <v/>
      </c>
    </row>
    <row r="810" spans="1:16" x14ac:dyDescent="0.2">
      <c r="A810" s="58" t="str">
        <v/>
      </c>
      <c r="B810" s="131" t="str">
        <f>IFERROR(TIMEVALUE(DaqBook_RAW_Data!A800),"")</f>
        <v/>
      </c>
      <c r="C810" s="44" t="str">
        <v/>
      </c>
      <c r="D810" s="44" t="str">
        <v/>
      </c>
      <c r="E810" s="44" t="str">
        <v/>
      </c>
      <c r="F810" s="44" t="str">
        <v/>
      </c>
      <c r="G810" s="44" t="str">
        <v/>
      </c>
      <c r="H810" s="44" t="str">
        <v/>
      </c>
      <c r="I810" s="44" t="str">
        <v/>
      </c>
      <c r="J810" s="44" t="str">
        <v/>
      </c>
      <c r="K810" s="44" t="str">
        <v/>
      </c>
      <c r="L810" s="44" t="str">
        <v/>
      </c>
      <c r="M810" s="44" t="str">
        <v/>
      </c>
      <c r="N810" s="44" t="str">
        <v/>
      </c>
      <c r="O810" s="44" t="str">
        <v/>
      </c>
      <c r="P810" s="44" t="str">
        <v/>
      </c>
    </row>
    <row r="811" spans="1:16" x14ac:dyDescent="0.2">
      <c r="A811" s="58" t="str">
        <v/>
      </c>
      <c r="B811" s="131" t="str">
        <f>IFERROR(TIMEVALUE(DaqBook_RAW_Data!A801),"")</f>
        <v/>
      </c>
      <c r="C811" s="44" t="str">
        <v/>
      </c>
      <c r="D811" s="44" t="str">
        <v/>
      </c>
      <c r="E811" s="44" t="str">
        <v/>
      </c>
      <c r="F811" s="44" t="str">
        <v/>
      </c>
      <c r="G811" s="44" t="str">
        <v/>
      </c>
      <c r="H811" s="44" t="str">
        <v/>
      </c>
      <c r="I811" s="44" t="str">
        <v/>
      </c>
      <c r="J811" s="44" t="str">
        <v/>
      </c>
      <c r="K811" s="44" t="str">
        <v/>
      </c>
      <c r="L811" s="44" t="str">
        <v/>
      </c>
      <c r="M811" s="44" t="str">
        <v/>
      </c>
      <c r="N811" s="44" t="str">
        <v/>
      </c>
      <c r="O811" s="44" t="str">
        <v/>
      </c>
      <c r="P811" s="44" t="str">
        <v/>
      </c>
    </row>
    <row r="812" spans="1:16" x14ac:dyDescent="0.2">
      <c r="A812" s="58" t="str">
        <v/>
      </c>
      <c r="B812" s="131" t="str">
        <f>IFERROR(TIMEVALUE(DaqBook_RAW_Data!A802),"")</f>
        <v/>
      </c>
      <c r="C812" s="44" t="str">
        <v/>
      </c>
      <c r="D812" s="44" t="str">
        <v/>
      </c>
      <c r="E812" s="44" t="str">
        <v/>
      </c>
      <c r="F812" s="44" t="str">
        <v/>
      </c>
      <c r="G812" s="44" t="str">
        <v/>
      </c>
      <c r="H812" s="44" t="str">
        <v/>
      </c>
      <c r="I812" s="44" t="str">
        <v/>
      </c>
      <c r="J812" s="44" t="str">
        <v/>
      </c>
      <c r="K812" s="44" t="str">
        <v/>
      </c>
      <c r="L812" s="44" t="str">
        <v/>
      </c>
      <c r="M812" s="44" t="str">
        <v/>
      </c>
      <c r="N812" s="44" t="str">
        <v/>
      </c>
      <c r="O812" s="44" t="str">
        <v/>
      </c>
      <c r="P812" s="44" t="str">
        <v/>
      </c>
    </row>
    <row r="813" spans="1:16" x14ac:dyDescent="0.2">
      <c r="A813" s="58" t="str">
        <v/>
      </c>
      <c r="B813" s="131" t="str">
        <f>IFERROR(TIMEVALUE(DaqBook_RAW_Data!A803),"")</f>
        <v/>
      </c>
      <c r="C813" s="44" t="str">
        <v/>
      </c>
      <c r="D813" s="44" t="str">
        <v/>
      </c>
      <c r="E813" s="44" t="str">
        <v/>
      </c>
      <c r="F813" s="44" t="str">
        <v/>
      </c>
      <c r="G813" s="44" t="str">
        <v/>
      </c>
      <c r="H813" s="44" t="str">
        <v/>
      </c>
      <c r="I813" s="44" t="str">
        <v/>
      </c>
      <c r="J813" s="44" t="str">
        <v/>
      </c>
      <c r="K813" s="44" t="str">
        <v/>
      </c>
      <c r="L813" s="44" t="str">
        <v/>
      </c>
      <c r="M813" s="44" t="str">
        <v/>
      </c>
      <c r="N813" s="44" t="str">
        <v/>
      </c>
      <c r="O813" s="44" t="str">
        <v/>
      </c>
      <c r="P813" s="44" t="str">
        <v/>
      </c>
    </row>
    <row r="814" spans="1:16" x14ac:dyDescent="0.2">
      <c r="A814" s="58" t="str">
        <v/>
      </c>
      <c r="B814" s="131" t="str">
        <f>IFERROR(TIMEVALUE(DaqBook_RAW_Data!A804),"")</f>
        <v/>
      </c>
      <c r="C814" s="44" t="str">
        <v/>
      </c>
      <c r="D814" s="44" t="str">
        <v/>
      </c>
      <c r="E814" s="44" t="str">
        <v/>
      </c>
      <c r="F814" s="44" t="str">
        <v/>
      </c>
      <c r="G814" s="44" t="str">
        <v/>
      </c>
      <c r="H814" s="44" t="str">
        <v/>
      </c>
      <c r="I814" s="44" t="str">
        <v/>
      </c>
      <c r="J814" s="44" t="str">
        <v/>
      </c>
      <c r="K814" s="44" t="str">
        <v/>
      </c>
      <c r="L814" s="44" t="str">
        <v/>
      </c>
      <c r="M814" s="44" t="str">
        <v/>
      </c>
      <c r="N814" s="44" t="str">
        <v/>
      </c>
      <c r="O814" s="44" t="str">
        <v/>
      </c>
      <c r="P814" s="44" t="str">
        <v/>
      </c>
    </row>
    <row r="815" spans="1:16" x14ac:dyDescent="0.2">
      <c r="A815" s="58" t="str">
        <v/>
      </c>
      <c r="B815" s="131" t="str">
        <f>IFERROR(TIMEVALUE(DaqBook_RAW_Data!A805),"")</f>
        <v/>
      </c>
      <c r="C815" s="44" t="str">
        <v/>
      </c>
      <c r="D815" s="44" t="str">
        <v/>
      </c>
      <c r="E815" s="44" t="str">
        <v/>
      </c>
      <c r="F815" s="44" t="str">
        <v/>
      </c>
      <c r="G815" s="44" t="str">
        <v/>
      </c>
      <c r="H815" s="44" t="str">
        <v/>
      </c>
      <c r="I815" s="44" t="str">
        <v/>
      </c>
      <c r="J815" s="44" t="str">
        <v/>
      </c>
      <c r="K815" s="44" t="str">
        <v/>
      </c>
      <c r="L815" s="44" t="str">
        <v/>
      </c>
      <c r="M815" s="44" t="str">
        <v/>
      </c>
      <c r="N815" s="44" t="str">
        <v/>
      </c>
      <c r="O815" s="44" t="str">
        <v/>
      </c>
      <c r="P815" s="44" t="str">
        <v/>
      </c>
    </row>
    <row r="816" spans="1:16" x14ac:dyDescent="0.2">
      <c r="A816" s="58" t="str">
        <v/>
      </c>
      <c r="B816" s="131" t="str">
        <f>IFERROR(TIMEVALUE(DaqBook_RAW_Data!A806),"")</f>
        <v/>
      </c>
      <c r="C816" s="44" t="str">
        <v/>
      </c>
      <c r="D816" s="44" t="str">
        <v/>
      </c>
      <c r="E816" s="44" t="str">
        <v/>
      </c>
      <c r="F816" s="44" t="str">
        <v/>
      </c>
      <c r="G816" s="44" t="str">
        <v/>
      </c>
      <c r="H816" s="44" t="str">
        <v/>
      </c>
      <c r="I816" s="44" t="str">
        <v/>
      </c>
      <c r="J816" s="44" t="str">
        <v/>
      </c>
      <c r="K816" s="44" t="str">
        <v/>
      </c>
      <c r="L816" s="44" t="str">
        <v/>
      </c>
      <c r="M816" s="44" t="str">
        <v/>
      </c>
      <c r="N816" s="44" t="str">
        <v/>
      </c>
      <c r="O816" s="44" t="str">
        <v/>
      </c>
      <c r="P816" s="44" t="str">
        <v/>
      </c>
    </row>
    <row r="817" spans="1:16" x14ac:dyDescent="0.2">
      <c r="A817" s="58" t="str">
        <v/>
      </c>
      <c r="B817" s="131" t="str">
        <f>IFERROR(TIMEVALUE(DaqBook_RAW_Data!A807),"")</f>
        <v/>
      </c>
      <c r="C817" s="44" t="str">
        <v/>
      </c>
      <c r="D817" s="44" t="str">
        <v/>
      </c>
      <c r="E817" s="44" t="str">
        <v/>
      </c>
      <c r="F817" s="44" t="str">
        <v/>
      </c>
      <c r="G817" s="44" t="str">
        <v/>
      </c>
      <c r="H817" s="44" t="str">
        <v/>
      </c>
      <c r="I817" s="44" t="str">
        <v/>
      </c>
      <c r="J817" s="44" t="str">
        <v/>
      </c>
      <c r="K817" s="44" t="str">
        <v/>
      </c>
      <c r="L817" s="44" t="str">
        <v/>
      </c>
      <c r="M817" s="44" t="str">
        <v/>
      </c>
      <c r="N817" s="44" t="str">
        <v/>
      </c>
      <c r="O817" s="44" t="str">
        <v/>
      </c>
      <c r="P817" s="44" t="str">
        <v/>
      </c>
    </row>
    <row r="818" spans="1:16" x14ac:dyDescent="0.2">
      <c r="A818" s="58" t="str">
        <v/>
      </c>
      <c r="B818" s="131" t="str">
        <f>IFERROR(TIMEVALUE(DaqBook_RAW_Data!A808),"")</f>
        <v/>
      </c>
      <c r="C818" s="44" t="str">
        <v/>
      </c>
      <c r="D818" s="44" t="str">
        <v/>
      </c>
      <c r="E818" s="44" t="str">
        <v/>
      </c>
      <c r="F818" s="44" t="str">
        <v/>
      </c>
      <c r="G818" s="44" t="str">
        <v/>
      </c>
      <c r="H818" s="44" t="str">
        <v/>
      </c>
      <c r="I818" s="44" t="str">
        <v/>
      </c>
      <c r="J818" s="44" t="str">
        <v/>
      </c>
      <c r="K818" s="44" t="str">
        <v/>
      </c>
      <c r="L818" s="44" t="str">
        <v/>
      </c>
      <c r="M818" s="44" t="str">
        <v/>
      </c>
      <c r="N818" s="44" t="str">
        <v/>
      </c>
      <c r="O818" s="44" t="str">
        <v/>
      </c>
      <c r="P818" s="44" t="str">
        <v/>
      </c>
    </row>
    <row r="819" spans="1:16" x14ac:dyDescent="0.2">
      <c r="A819" s="58" t="str">
        <v/>
      </c>
      <c r="B819" s="131" t="str">
        <f>IFERROR(TIMEVALUE(DaqBook_RAW_Data!A809),"")</f>
        <v/>
      </c>
      <c r="C819" s="44" t="str">
        <v/>
      </c>
      <c r="D819" s="44" t="str">
        <v/>
      </c>
      <c r="E819" s="44" t="str">
        <v/>
      </c>
      <c r="F819" s="44" t="str">
        <v/>
      </c>
      <c r="G819" s="44" t="str">
        <v/>
      </c>
      <c r="H819" s="44" t="str">
        <v/>
      </c>
      <c r="I819" s="44" t="str">
        <v/>
      </c>
      <c r="J819" s="44" t="str">
        <v/>
      </c>
      <c r="K819" s="44" t="str">
        <v/>
      </c>
      <c r="L819" s="44" t="str">
        <v/>
      </c>
      <c r="M819" s="44" t="str">
        <v/>
      </c>
      <c r="N819" s="44" t="str">
        <v/>
      </c>
      <c r="O819" s="44" t="str">
        <v/>
      </c>
      <c r="P819" s="44" t="str">
        <v/>
      </c>
    </row>
    <row r="820" spans="1:16" x14ac:dyDescent="0.2">
      <c r="A820" s="58" t="str">
        <v/>
      </c>
      <c r="B820" s="131" t="str">
        <f>IFERROR(TIMEVALUE(DaqBook_RAW_Data!A810),"")</f>
        <v/>
      </c>
      <c r="C820" s="44" t="str">
        <v/>
      </c>
      <c r="D820" s="44" t="str">
        <v/>
      </c>
      <c r="E820" s="44" t="str">
        <v/>
      </c>
      <c r="F820" s="44" t="str">
        <v/>
      </c>
      <c r="G820" s="44" t="str">
        <v/>
      </c>
      <c r="H820" s="44" t="str">
        <v/>
      </c>
      <c r="I820" s="44" t="str">
        <v/>
      </c>
      <c r="J820" s="44" t="str">
        <v/>
      </c>
      <c r="K820" s="44" t="str">
        <v/>
      </c>
      <c r="L820" s="44" t="str">
        <v/>
      </c>
      <c r="M820" s="44" t="str">
        <v/>
      </c>
      <c r="N820" s="44" t="str">
        <v/>
      </c>
      <c r="O820" s="44" t="str">
        <v/>
      </c>
      <c r="P820" s="44" t="str">
        <v/>
      </c>
    </row>
    <row r="821" spans="1:16" x14ac:dyDescent="0.2">
      <c r="A821" s="58" t="str">
        <v/>
      </c>
      <c r="B821" s="131" t="str">
        <f>IFERROR(TIMEVALUE(DaqBook_RAW_Data!A811),"")</f>
        <v/>
      </c>
      <c r="C821" s="44" t="str">
        <v/>
      </c>
      <c r="D821" s="44" t="str">
        <v/>
      </c>
      <c r="E821" s="44" t="str">
        <v/>
      </c>
      <c r="F821" s="44" t="str">
        <v/>
      </c>
      <c r="G821" s="44" t="str">
        <v/>
      </c>
      <c r="H821" s="44" t="str">
        <v/>
      </c>
      <c r="I821" s="44" t="str">
        <v/>
      </c>
      <c r="J821" s="44" t="str">
        <v/>
      </c>
      <c r="K821" s="44" t="str">
        <v/>
      </c>
      <c r="L821" s="44" t="str">
        <v/>
      </c>
      <c r="M821" s="44" t="str">
        <v/>
      </c>
      <c r="N821" s="44" t="str">
        <v/>
      </c>
      <c r="O821" s="44" t="str">
        <v/>
      </c>
      <c r="P821" s="44" t="str">
        <v/>
      </c>
    </row>
    <row r="822" spans="1:16" x14ac:dyDescent="0.2">
      <c r="A822" s="58" t="str">
        <v/>
      </c>
      <c r="B822" s="131" t="str">
        <f>IFERROR(TIMEVALUE(DaqBook_RAW_Data!A812),"")</f>
        <v/>
      </c>
      <c r="C822" s="44" t="str">
        <v/>
      </c>
      <c r="D822" s="44" t="str">
        <v/>
      </c>
      <c r="E822" s="44" t="str">
        <v/>
      </c>
      <c r="F822" s="44" t="str">
        <v/>
      </c>
      <c r="G822" s="44" t="str">
        <v/>
      </c>
      <c r="H822" s="44" t="str">
        <v/>
      </c>
      <c r="I822" s="44" t="str">
        <v/>
      </c>
      <c r="J822" s="44" t="str">
        <v/>
      </c>
      <c r="K822" s="44" t="str">
        <v/>
      </c>
      <c r="L822" s="44" t="str">
        <v/>
      </c>
      <c r="M822" s="44" t="str">
        <v/>
      </c>
      <c r="N822" s="44" t="str">
        <v/>
      </c>
      <c r="O822" s="44" t="str">
        <v/>
      </c>
      <c r="P822" s="44" t="str">
        <v/>
      </c>
    </row>
    <row r="823" spans="1:16" x14ac:dyDescent="0.2">
      <c r="A823" s="58" t="str">
        <v/>
      </c>
      <c r="B823" s="131" t="str">
        <f>IFERROR(TIMEVALUE(DaqBook_RAW_Data!A813),"")</f>
        <v/>
      </c>
      <c r="C823" s="44" t="str">
        <v/>
      </c>
      <c r="D823" s="44" t="str">
        <v/>
      </c>
      <c r="E823" s="44" t="str">
        <v/>
      </c>
      <c r="F823" s="44" t="str">
        <v/>
      </c>
      <c r="G823" s="44" t="str">
        <v/>
      </c>
      <c r="H823" s="44" t="str">
        <v/>
      </c>
      <c r="I823" s="44" t="str">
        <v/>
      </c>
      <c r="J823" s="44" t="str">
        <v/>
      </c>
      <c r="K823" s="44" t="str">
        <v/>
      </c>
      <c r="L823" s="44" t="str">
        <v/>
      </c>
      <c r="M823" s="44" t="str">
        <v/>
      </c>
      <c r="N823" s="44" t="str">
        <v/>
      </c>
      <c r="O823" s="44" t="str">
        <v/>
      </c>
      <c r="P823" s="44" t="str">
        <v/>
      </c>
    </row>
    <row r="824" spans="1:16" x14ac:dyDescent="0.2">
      <c r="A824" s="58" t="str">
        <v/>
      </c>
      <c r="B824" s="131" t="str">
        <f>IFERROR(TIMEVALUE(DaqBook_RAW_Data!A814),"")</f>
        <v/>
      </c>
      <c r="C824" s="44" t="str">
        <v/>
      </c>
      <c r="D824" s="44" t="str">
        <v/>
      </c>
      <c r="E824" s="44" t="str">
        <v/>
      </c>
      <c r="F824" s="44" t="str">
        <v/>
      </c>
      <c r="G824" s="44" t="str">
        <v/>
      </c>
      <c r="H824" s="44" t="str">
        <v/>
      </c>
      <c r="I824" s="44" t="str">
        <v/>
      </c>
      <c r="J824" s="44" t="str">
        <v/>
      </c>
      <c r="K824" s="44" t="str">
        <v/>
      </c>
      <c r="L824" s="44" t="str">
        <v/>
      </c>
      <c r="M824" s="44" t="str">
        <v/>
      </c>
      <c r="N824" s="44" t="str">
        <v/>
      </c>
      <c r="O824" s="44" t="str">
        <v/>
      </c>
      <c r="P824" s="44" t="str">
        <v/>
      </c>
    </row>
    <row r="825" spans="1:16" x14ac:dyDescent="0.2">
      <c r="A825" s="58" t="str">
        <v/>
      </c>
      <c r="B825" s="131" t="str">
        <f>IFERROR(TIMEVALUE(DaqBook_RAW_Data!A815),"")</f>
        <v/>
      </c>
      <c r="C825" s="44" t="str">
        <v/>
      </c>
      <c r="D825" s="44" t="str">
        <v/>
      </c>
      <c r="E825" s="44" t="str">
        <v/>
      </c>
      <c r="F825" s="44" t="str">
        <v/>
      </c>
      <c r="G825" s="44" t="str">
        <v/>
      </c>
      <c r="H825" s="44" t="str">
        <v/>
      </c>
      <c r="I825" s="44" t="str">
        <v/>
      </c>
      <c r="J825" s="44" t="str">
        <v/>
      </c>
      <c r="K825" s="44" t="str">
        <v/>
      </c>
      <c r="L825" s="44" t="str">
        <v/>
      </c>
      <c r="M825" s="44" t="str">
        <v/>
      </c>
      <c r="N825" s="44" t="str">
        <v/>
      </c>
      <c r="O825" s="44" t="str">
        <v/>
      </c>
      <c r="P825" s="44" t="str">
        <v/>
      </c>
    </row>
    <row r="826" spans="1:16" x14ac:dyDescent="0.2">
      <c r="A826" s="58" t="str">
        <v/>
      </c>
      <c r="B826" s="131" t="str">
        <f>IFERROR(TIMEVALUE(DaqBook_RAW_Data!A816),"")</f>
        <v/>
      </c>
      <c r="C826" s="44" t="str">
        <v/>
      </c>
      <c r="D826" s="44" t="str">
        <v/>
      </c>
      <c r="E826" s="44" t="str">
        <v/>
      </c>
      <c r="F826" s="44" t="str">
        <v/>
      </c>
      <c r="G826" s="44" t="str">
        <v/>
      </c>
      <c r="H826" s="44" t="str">
        <v/>
      </c>
      <c r="I826" s="44" t="str">
        <v/>
      </c>
      <c r="J826" s="44" t="str">
        <v/>
      </c>
      <c r="K826" s="44" t="str">
        <v/>
      </c>
      <c r="L826" s="44" t="str">
        <v/>
      </c>
      <c r="M826" s="44" t="str">
        <v/>
      </c>
      <c r="N826" s="44" t="str">
        <v/>
      </c>
      <c r="O826" s="44" t="str">
        <v/>
      </c>
      <c r="P826" s="44" t="str">
        <v/>
      </c>
    </row>
    <row r="827" spans="1:16" x14ac:dyDescent="0.2">
      <c r="A827" s="58" t="str">
        <v/>
      </c>
      <c r="B827" s="131" t="str">
        <f>IFERROR(TIMEVALUE(DaqBook_RAW_Data!A817),"")</f>
        <v/>
      </c>
      <c r="C827" s="44" t="str">
        <v/>
      </c>
      <c r="D827" s="44" t="str">
        <v/>
      </c>
      <c r="E827" s="44" t="str">
        <v/>
      </c>
      <c r="F827" s="44" t="str">
        <v/>
      </c>
      <c r="G827" s="44" t="str">
        <v/>
      </c>
      <c r="H827" s="44" t="str">
        <v/>
      </c>
      <c r="I827" s="44" t="str">
        <v/>
      </c>
      <c r="J827" s="44" t="str">
        <v/>
      </c>
      <c r="K827" s="44" t="str">
        <v/>
      </c>
      <c r="L827" s="44" t="str">
        <v/>
      </c>
      <c r="M827" s="44" t="str">
        <v/>
      </c>
      <c r="N827" s="44" t="str">
        <v/>
      </c>
      <c r="O827" s="44" t="str">
        <v/>
      </c>
      <c r="P827" s="44" t="str">
        <v/>
      </c>
    </row>
    <row r="828" spans="1:16" x14ac:dyDescent="0.2">
      <c r="A828" s="58" t="str">
        <v/>
      </c>
      <c r="B828" s="131" t="str">
        <f>IFERROR(TIMEVALUE(DaqBook_RAW_Data!A818),"")</f>
        <v/>
      </c>
      <c r="C828" s="44" t="str">
        <v/>
      </c>
      <c r="D828" s="44" t="str">
        <v/>
      </c>
      <c r="E828" s="44" t="str">
        <v/>
      </c>
      <c r="F828" s="44" t="str">
        <v/>
      </c>
      <c r="G828" s="44" t="str">
        <v/>
      </c>
      <c r="H828" s="44" t="str">
        <v/>
      </c>
      <c r="I828" s="44" t="str">
        <v/>
      </c>
      <c r="J828" s="44" t="str">
        <v/>
      </c>
      <c r="K828" s="44" t="str">
        <v/>
      </c>
      <c r="L828" s="44" t="str">
        <v/>
      </c>
      <c r="M828" s="44" t="str">
        <v/>
      </c>
      <c r="N828" s="44" t="str">
        <v/>
      </c>
      <c r="O828" s="44" t="str">
        <v/>
      </c>
      <c r="P828" s="44" t="str">
        <v/>
      </c>
    </row>
    <row r="829" spans="1:16" x14ac:dyDescent="0.2">
      <c r="A829" s="58" t="str">
        <v/>
      </c>
      <c r="B829" s="131" t="str">
        <f>IFERROR(TIMEVALUE(DaqBook_RAW_Data!A819),"")</f>
        <v/>
      </c>
      <c r="C829" s="44" t="str">
        <v/>
      </c>
      <c r="D829" s="44" t="str">
        <v/>
      </c>
      <c r="E829" s="44" t="str">
        <v/>
      </c>
      <c r="F829" s="44" t="str">
        <v/>
      </c>
      <c r="G829" s="44" t="str">
        <v/>
      </c>
      <c r="H829" s="44" t="str">
        <v/>
      </c>
      <c r="I829" s="44" t="str">
        <v/>
      </c>
      <c r="J829" s="44" t="str">
        <v/>
      </c>
      <c r="K829" s="44" t="str">
        <v/>
      </c>
      <c r="L829" s="44" t="str">
        <v/>
      </c>
      <c r="M829" s="44" t="str">
        <v/>
      </c>
      <c r="N829" s="44" t="str">
        <v/>
      </c>
      <c r="O829" s="44" t="str">
        <v/>
      </c>
      <c r="P829" s="44" t="str">
        <v/>
      </c>
    </row>
    <row r="830" spans="1:16" x14ac:dyDescent="0.2">
      <c r="A830" s="58" t="str">
        <v/>
      </c>
      <c r="B830" s="131" t="str">
        <f>IFERROR(TIMEVALUE(DaqBook_RAW_Data!A820),"")</f>
        <v/>
      </c>
      <c r="C830" s="44" t="str">
        <v/>
      </c>
      <c r="D830" s="44" t="str">
        <v/>
      </c>
      <c r="E830" s="44" t="str">
        <v/>
      </c>
      <c r="F830" s="44" t="str">
        <v/>
      </c>
      <c r="G830" s="44" t="str">
        <v/>
      </c>
      <c r="H830" s="44" t="str">
        <v/>
      </c>
      <c r="I830" s="44" t="str">
        <v/>
      </c>
      <c r="J830" s="44" t="str">
        <v/>
      </c>
      <c r="K830" s="44" t="str">
        <v/>
      </c>
      <c r="L830" s="44" t="str">
        <v/>
      </c>
      <c r="M830" s="44" t="str">
        <v/>
      </c>
      <c r="N830" s="44" t="str">
        <v/>
      </c>
      <c r="O830" s="44" t="str">
        <v/>
      </c>
      <c r="P830" s="44" t="str">
        <v/>
      </c>
    </row>
    <row r="831" spans="1:16" x14ac:dyDescent="0.2">
      <c r="A831" s="58" t="str">
        <v/>
      </c>
      <c r="B831" s="131" t="str">
        <f>IFERROR(TIMEVALUE(DaqBook_RAW_Data!A821),"")</f>
        <v/>
      </c>
      <c r="C831" s="44" t="str">
        <v/>
      </c>
      <c r="D831" s="44" t="str">
        <v/>
      </c>
      <c r="E831" s="44" t="str">
        <v/>
      </c>
      <c r="F831" s="44" t="str">
        <v/>
      </c>
      <c r="G831" s="44" t="str">
        <v/>
      </c>
      <c r="H831" s="44" t="str">
        <v/>
      </c>
      <c r="I831" s="44" t="str">
        <v/>
      </c>
      <c r="J831" s="44" t="str">
        <v/>
      </c>
      <c r="K831" s="44" t="str">
        <v/>
      </c>
      <c r="L831" s="44" t="str">
        <v/>
      </c>
      <c r="M831" s="44" t="str">
        <v/>
      </c>
      <c r="N831" s="44" t="str">
        <v/>
      </c>
      <c r="O831" s="44" t="str">
        <v/>
      </c>
      <c r="P831" s="44" t="str">
        <v/>
      </c>
    </row>
    <row r="832" spans="1:16" x14ac:dyDescent="0.2">
      <c r="A832" s="58" t="str">
        <v/>
      </c>
      <c r="B832" s="131" t="str">
        <f>IFERROR(TIMEVALUE(DaqBook_RAW_Data!A822),"")</f>
        <v/>
      </c>
      <c r="C832" s="44" t="str">
        <v/>
      </c>
      <c r="D832" s="44" t="str">
        <v/>
      </c>
      <c r="E832" s="44" t="str">
        <v/>
      </c>
      <c r="F832" s="44" t="str">
        <v/>
      </c>
      <c r="G832" s="44" t="str">
        <v/>
      </c>
      <c r="H832" s="44" t="str">
        <v/>
      </c>
      <c r="I832" s="44" t="str">
        <v/>
      </c>
      <c r="J832" s="44" t="str">
        <v/>
      </c>
      <c r="K832" s="44" t="str">
        <v/>
      </c>
      <c r="L832" s="44" t="str">
        <v/>
      </c>
      <c r="M832" s="44" t="str">
        <v/>
      </c>
      <c r="N832" s="44" t="str">
        <v/>
      </c>
      <c r="O832" s="44" t="str">
        <v/>
      </c>
      <c r="P832" s="44" t="str">
        <v/>
      </c>
    </row>
    <row r="833" spans="1:16" x14ac:dyDescent="0.2">
      <c r="A833" s="58" t="str">
        <v/>
      </c>
      <c r="B833" s="131" t="str">
        <f>IFERROR(TIMEVALUE(DaqBook_RAW_Data!A823),"")</f>
        <v/>
      </c>
      <c r="C833" s="44" t="str">
        <v/>
      </c>
      <c r="D833" s="44" t="str">
        <v/>
      </c>
      <c r="E833" s="44" t="str">
        <v/>
      </c>
      <c r="F833" s="44" t="str">
        <v/>
      </c>
      <c r="G833" s="44" t="str">
        <v/>
      </c>
      <c r="H833" s="44" t="str">
        <v/>
      </c>
      <c r="I833" s="44" t="str">
        <v/>
      </c>
      <c r="J833" s="44" t="str">
        <v/>
      </c>
      <c r="K833" s="44" t="str">
        <v/>
      </c>
      <c r="L833" s="44" t="str">
        <v/>
      </c>
      <c r="M833" s="44" t="str">
        <v/>
      </c>
      <c r="N833" s="44" t="str">
        <v/>
      </c>
      <c r="O833" s="44" t="str">
        <v/>
      </c>
      <c r="P833" s="44" t="str">
        <v/>
      </c>
    </row>
    <row r="834" spans="1:16" x14ac:dyDescent="0.2">
      <c r="A834" s="58" t="str">
        <v/>
      </c>
      <c r="B834" s="131" t="str">
        <f>IFERROR(TIMEVALUE(DaqBook_RAW_Data!A824),"")</f>
        <v/>
      </c>
      <c r="C834" s="44" t="str">
        <v/>
      </c>
      <c r="D834" s="44" t="str">
        <v/>
      </c>
      <c r="E834" s="44" t="str">
        <v/>
      </c>
      <c r="F834" s="44" t="str">
        <v/>
      </c>
      <c r="G834" s="44" t="str">
        <v/>
      </c>
      <c r="H834" s="44" t="str">
        <v/>
      </c>
      <c r="I834" s="44" t="str">
        <v/>
      </c>
      <c r="J834" s="44" t="str">
        <v/>
      </c>
      <c r="K834" s="44" t="str">
        <v/>
      </c>
      <c r="L834" s="44" t="str">
        <v/>
      </c>
      <c r="M834" s="44" t="str">
        <v/>
      </c>
      <c r="N834" s="44" t="str">
        <v/>
      </c>
      <c r="O834" s="44" t="str">
        <v/>
      </c>
      <c r="P834" s="44" t="str">
        <v/>
      </c>
    </row>
    <row r="835" spans="1:16" x14ac:dyDescent="0.2">
      <c r="A835" s="58" t="str">
        <v/>
      </c>
      <c r="B835" s="131" t="str">
        <f>IFERROR(TIMEVALUE(DaqBook_RAW_Data!A825),"")</f>
        <v/>
      </c>
      <c r="C835" s="44" t="str">
        <v/>
      </c>
      <c r="D835" s="44" t="str">
        <v/>
      </c>
      <c r="E835" s="44" t="str">
        <v/>
      </c>
      <c r="F835" s="44" t="str">
        <v/>
      </c>
      <c r="G835" s="44" t="str">
        <v/>
      </c>
      <c r="H835" s="44" t="str">
        <v/>
      </c>
      <c r="I835" s="44" t="str">
        <v/>
      </c>
      <c r="J835" s="44" t="str">
        <v/>
      </c>
      <c r="K835" s="44" t="str">
        <v/>
      </c>
      <c r="L835" s="44" t="str">
        <v/>
      </c>
      <c r="M835" s="44" t="str">
        <v/>
      </c>
      <c r="N835" s="44" t="str">
        <v/>
      </c>
      <c r="O835" s="44" t="str">
        <v/>
      </c>
      <c r="P835" s="44" t="str">
        <v/>
      </c>
    </row>
    <row r="836" spans="1:16" x14ac:dyDescent="0.2">
      <c r="A836" s="58" t="str">
        <v/>
      </c>
      <c r="B836" s="131" t="str">
        <f>IFERROR(TIMEVALUE(DaqBook_RAW_Data!A826),"")</f>
        <v/>
      </c>
      <c r="C836" s="44" t="str">
        <v/>
      </c>
      <c r="D836" s="44" t="str">
        <v/>
      </c>
      <c r="E836" s="44" t="str">
        <v/>
      </c>
      <c r="F836" s="44" t="str">
        <v/>
      </c>
      <c r="G836" s="44" t="str">
        <v/>
      </c>
      <c r="H836" s="44" t="str">
        <v/>
      </c>
      <c r="I836" s="44" t="str">
        <v/>
      </c>
      <c r="J836" s="44" t="str">
        <v/>
      </c>
      <c r="K836" s="44" t="str">
        <v/>
      </c>
      <c r="L836" s="44" t="str">
        <v/>
      </c>
      <c r="M836" s="44" t="str">
        <v/>
      </c>
      <c r="N836" s="44" t="str">
        <v/>
      </c>
      <c r="O836" s="44" t="str">
        <v/>
      </c>
      <c r="P836" s="44" t="str">
        <v/>
      </c>
    </row>
    <row r="837" spans="1:16" x14ac:dyDescent="0.2">
      <c r="A837" s="58" t="str">
        <v/>
      </c>
      <c r="B837" s="131" t="str">
        <f>IFERROR(TIMEVALUE(DaqBook_RAW_Data!A827),"")</f>
        <v/>
      </c>
      <c r="C837" s="44" t="str">
        <v/>
      </c>
      <c r="D837" s="44" t="str">
        <v/>
      </c>
      <c r="E837" s="44" t="str">
        <v/>
      </c>
      <c r="F837" s="44" t="str">
        <v/>
      </c>
      <c r="G837" s="44" t="str">
        <v/>
      </c>
      <c r="H837" s="44" t="str">
        <v/>
      </c>
      <c r="I837" s="44" t="str">
        <v/>
      </c>
      <c r="J837" s="44" t="str">
        <v/>
      </c>
      <c r="K837" s="44" t="str">
        <v/>
      </c>
      <c r="L837" s="44" t="str">
        <v/>
      </c>
      <c r="M837" s="44" t="str">
        <v/>
      </c>
      <c r="N837" s="44" t="str">
        <v/>
      </c>
      <c r="O837" s="44" t="str">
        <v/>
      </c>
      <c r="P837" s="44" t="str">
        <v/>
      </c>
    </row>
    <row r="838" spans="1:16" x14ac:dyDescent="0.2">
      <c r="A838" s="58" t="str">
        <v/>
      </c>
      <c r="B838" s="131" t="str">
        <f>IFERROR(TIMEVALUE(DaqBook_RAW_Data!A828),"")</f>
        <v/>
      </c>
      <c r="C838" s="44" t="str">
        <v/>
      </c>
      <c r="D838" s="44" t="str">
        <v/>
      </c>
      <c r="E838" s="44" t="str">
        <v/>
      </c>
      <c r="F838" s="44" t="str">
        <v/>
      </c>
      <c r="G838" s="44" t="str">
        <v/>
      </c>
      <c r="H838" s="44" t="str">
        <v/>
      </c>
      <c r="I838" s="44" t="str">
        <v/>
      </c>
      <c r="J838" s="44" t="str">
        <v/>
      </c>
      <c r="K838" s="44" t="str">
        <v/>
      </c>
      <c r="L838" s="44" t="str">
        <v/>
      </c>
      <c r="M838" s="44" t="str">
        <v/>
      </c>
      <c r="N838" s="44" t="str">
        <v/>
      </c>
      <c r="O838" s="44" t="str">
        <v/>
      </c>
      <c r="P838" s="44" t="str">
        <v/>
      </c>
    </row>
    <row r="839" spans="1:16" x14ac:dyDescent="0.2">
      <c r="A839" s="58" t="str">
        <v/>
      </c>
      <c r="B839" s="131" t="str">
        <f>IFERROR(TIMEVALUE(DaqBook_RAW_Data!A829),"")</f>
        <v/>
      </c>
      <c r="C839" s="44" t="str">
        <v/>
      </c>
      <c r="D839" s="44" t="str">
        <v/>
      </c>
      <c r="E839" s="44" t="str">
        <v/>
      </c>
      <c r="F839" s="44" t="str">
        <v/>
      </c>
      <c r="G839" s="44" t="str">
        <v/>
      </c>
      <c r="H839" s="44" t="str">
        <v/>
      </c>
      <c r="I839" s="44" t="str">
        <v/>
      </c>
      <c r="J839" s="44" t="str">
        <v/>
      </c>
      <c r="K839" s="44" t="str">
        <v/>
      </c>
      <c r="L839" s="44" t="str">
        <v/>
      </c>
      <c r="M839" s="44" t="str">
        <v/>
      </c>
      <c r="N839" s="44" t="str">
        <v/>
      </c>
      <c r="O839" s="44" t="str">
        <v/>
      </c>
      <c r="P839" s="44" t="str">
        <v/>
      </c>
    </row>
    <row r="840" spans="1:16" x14ac:dyDescent="0.2">
      <c r="A840" s="58" t="str">
        <v/>
      </c>
      <c r="B840" s="131" t="str">
        <f>IFERROR(TIMEVALUE(DaqBook_RAW_Data!A830),"")</f>
        <v/>
      </c>
      <c r="C840" s="44" t="str">
        <v/>
      </c>
      <c r="D840" s="44" t="str">
        <v/>
      </c>
      <c r="E840" s="44" t="str">
        <v/>
      </c>
      <c r="F840" s="44" t="str">
        <v/>
      </c>
      <c r="G840" s="44" t="str">
        <v/>
      </c>
      <c r="H840" s="44" t="str">
        <v/>
      </c>
      <c r="I840" s="44" t="str">
        <v/>
      </c>
      <c r="J840" s="44" t="str">
        <v/>
      </c>
      <c r="K840" s="44" t="str">
        <v/>
      </c>
      <c r="L840" s="44" t="str">
        <v/>
      </c>
      <c r="M840" s="44" t="str">
        <v/>
      </c>
      <c r="N840" s="44" t="str">
        <v/>
      </c>
      <c r="O840" s="44" t="str">
        <v/>
      </c>
      <c r="P840" s="44" t="str">
        <v/>
      </c>
    </row>
    <row r="841" spans="1:16" x14ac:dyDescent="0.2">
      <c r="A841" s="58" t="str">
        <v/>
      </c>
      <c r="B841" s="131" t="str">
        <f>IFERROR(TIMEVALUE(DaqBook_RAW_Data!A831),"")</f>
        <v/>
      </c>
      <c r="C841" s="44" t="str">
        <v/>
      </c>
      <c r="D841" s="44" t="str">
        <v/>
      </c>
      <c r="E841" s="44" t="str">
        <v/>
      </c>
      <c r="F841" s="44" t="str">
        <v/>
      </c>
      <c r="G841" s="44" t="str">
        <v/>
      </c>
      <c r="H841" s="44" t="str">
        <v/>
      </c>
      <c r="I841" s="44" t="str">
        <v/>
      </c>
      <c r="J841" s="44" t="str">
        <v/>
      </c>
      <c r="K841" s="44" t="str">
        <v/>
      </c>
      <c r="L841" s="44" t="str">
        <v/>
      </c>
      <c r="M841" s="44" t="str">
        <v/>
      </c>
      <c r="N841" s="44" t="str">
        <v/>
      </c>
      <c r="O841" s="44" t="str">
        <v/>
      </c>
      <c r="P841" s="44" t="str">
        <v/>
      </c>
    </row>
    <row r="842" spans="1:16" x14ac:dyDescent="0.2">
      <c r="A842" s="58" t="str">
        <v/>
      </c>
      <c r="B842" s="131" t="str">
        <f>IFERROR(TIMEVALUE(DaqBook_RAW_Data!A832),"")</f>
        <v/>
      </c>
      <c r="C842" s="44" t="str">
        <v/>
      </c>
      <c r="D842" s="44" t="str">
        <v/>
      </c>
      <c r="E842" s="44" t="str">
        <v/>
      </c>
      <c r="F842" s="44" t="str">
        <v/>
      </c>
      <c r="G842" s="44" t="str">
        <v/>
      </c>
      <c r="H842" s="44" t="str">
        <v/>
      </c>
      <c r="I842" s="44" t="str">
        <v/>
      </c>
      <c r="J842" s="44" t="str">
        <v/>
      </c>
      <c r="K842" s="44" t="str">
        <v/>
      </c>
      <c r="L842" s="44" t="str">
        <v/>
      </c>
      <c r="M842" s="44" t="str">
        <v/>
      </c>
      <c r="N842" s="44" t="str">
        <v/>
      </c>
      <c r="O842" s="44" t="str">
        <v/>
      </c>
      <c r="P842" s="44" t="str">
        <v/>
      </c>
    </row>
    <row r="843" spans="1:16" x14ac:dyDescent="0.2">
      <c r="A843" s="58" t="str">
        <v/>
      </c>
      <c r="B843" s="131" t="str">
        <f>IFERROR(TIMEVALUE(DaqBook_RAW_Data!A833),"")</f>
        <v/>
      </c>
      <c r="C843" s="44" t="str">
        <v/>
      </c>
      <c r="D843" s="44" t="str">
        <v/>
      </c>
      <c r="E843" s="44" t="str">
        <v/>
      </c>
      <c r="F843" s="44" t="str">
        <v/>
      </c>
      <c r="G843" s="44" t="str">
        <v/>
      </c>
      <c r="H843" s="44" t="str">
        <v/>
      </c>
      <c r="I843" s="44" t="str">
        <v/>
      </c>
      <c r="J843" s="44" t="str">
        <v/>
      </c>
      <c r="K843" s="44" t="str">
        <v/>
      </c>
      <c r="L843" s="44" t="str">
        <v/>
      </c>
      <c r="M843" s="44" t="str">
        <v/>
      </c>
      <c r="N843" s="44" t="str">
        <v/>
      </c>
      <c r="O843" s="44" t="str">
        <v/>
      </c>
      <c r="P843" s="44" t="str">
        <v/>
      </c>
    </row>
    <row r="844" spans="1:16" x14ac:dyDescent="0.2">
      <c r="A844" s="58" t="str">
        <v/>
      </c>
      <c r="B844" s="131" t="str">
        <f>IFERROR(TIMEVALUE(DaqBook_RAW_Data!A834),"")</f>
        <v/>
      </c>
      <c r="C844" s="44" t="str">
        <v/>
      </c>
      <c r="D844" s="44" t="str">
        <v/>
      </c>
      <c r="E844" s="44" t="str">
        <v/>
      </c>
      <c r="F844" s="44" t="str">
        <v/>
      </c>
      <c r="G844" s="44" t="str">
        <v/>
      </c>
      <c r="H844" s="44" t="str">
        <v/>
      </c>
      <c r="I844" s="44" t="str">
        <v/>
      </c>
      <c r="J844" s="44" t="str">
        <v/>
      </c>
      <c r="K844" s="44" t="str">
        <v/>
      </c>
      <c r="L844" s="44" t="str">
        <v/>
      </c>
      <c r="M844" s="44" t="str">
        <v/>
      </c>
      <c r="N844" s="44" t="str">
        <v/>
      </c>
      <c r="O844" s="44" t="str">
        <v/>
      </c>
      <c r="P844" s="44" t="str">
        <v/>
      </c>
    </row>
    <row r="845" spans="1:16" x14ac:dyDescent="0.2">
      <c r="A845" s="58" t="str">
        <v/>
      </c>
      <c r="B845" s="131" t="str">
        <f>IFERROR(TIMEVALUE(DaqBook_RAW_Data!A835),"")</f>
        <v/>
      </c>
      <c r="C845" s="44" t="str">
        <v/>
      </c>
      <c r="D845" s="44" t="str">
        <v/>
      </c>
      <c r="E845" s="44" t="str">
        <v/>
      </c>
      <c r="F845" s="44" t="str">
        <v/>
      </c>
      <c r="G845" s="44" t="str">
        <v/>
      </c>
      <c r="H845" s="44" t="str">
        <v/>
      </c>
      <c r="I845" s="44" t="str">
        <v/>
      </c>
      <c r="J845" s="44" t="str">
        <v/>
      </c>
      <c r="K845" s="44" t="str">
        <v/>
      </c>
      <c r="L845" s="44" t="str">
        <v/>
      </c>
      <c r="M845" s="44" t="str">
        <v/>
      </c>
      <c r="N845" s="44" t="str">
        <v/>
      </c>
      <c r="O845" s="44" t="str">
        <v/>
      </c>
      <c r="P845" s="44" t="str">
        <v/>
      </c>
    </row>
    <row r="846" spans="1:16" x14ac:dyDescent="0.2">
      <c r="A846" s="58" t="str">
        <v/>
      </c>
      <c r="B846" s="131" t="str">
        <f>IFERROR(TIMEVALUE(DaqBook_RAW_Data!A836),"")</f>
        <v/>
      </c>
      <c r="C846" s="44" t="str">
        <v/>
      </c>
      <c r="D846" s="44" t="str">
        <v/>
      </c>
      <c r="E846" s="44" t="str">
        <v/>
      </c>
      <c r="F846" s="44" t="str">
        <v/>
      </c>
      <c r="G846" s="44" t="str">
        <v/>
      </c>
      <c r="H846" s="44" t="str">
        <v/>
      </c>
      <c r="I846" s="44" t="str">
        <v/>
      </c>
      <c r="J846" s="44" t="str">
        <v/>
      </c>
      <c r="K846" s="44" t="str">
        <v/>
      </c>
      <c r="L846" s="44" t="str">
        <v/>
      </c>
      <c r="M846" s="44" t="str">
        <v/>
      </c>
      <c r="N846" s="44" t="str">
        <v/>
      </c>
      <c r="O846" s="44" t="str">
        <v/>
      </c>
      <c r="P846" s="44" t="str">
        <v/>
      </c>
    </row>
    <row r="847" spans="1:16" x14ac:dyDescent="0.2">
      <c r="A847" s="58" t="str">
        <v/>
      </c>
      <c r="B847" s="131" t="str">
        <f>IFERROR(TIMEVALUE(DaqBook_RAW_Data!A837),"")</f>
        <v/>
      </c>
      <c r="C847" s="44" t="str">
        <v/>
      </c>
      <c r="D847" s="44" t="str">
        <v/>
      </c>
      <c r="E847" s="44" t="str">
        <v/>
      </c>
      <c r="F847" s="44" t="str">
        <v/>
      </c>
      <c r="G847" s="44" t="str">
        <v/>
      </c>
      <c r="H847" s="44" t="str">
        <v/>
      </c>
      <c r="I847" s="44" t="str">
        <v/>
      </c>
      <c r="J847" s="44" t="str">
        <v/>
      </c>
      <c r="K847" s="44" t="str">
        <v/>
      </c>
      <c r="L847" s="44" t="str">
        <v/>
      </c>
      <c r="M847" s="44" t="str">
        <v/>
      </c>
      <c r="N847" s="44" t="str">
        <v/>
      </c>
      <c r="O847" s="44" t="str">
        <v/>
      </c>
      <c r="P847" s="44" t="str">
        <v/>
      </c>
    </row>
    <row r="848" spans="1:16" x14ac:dyDescent="0.2">
      <c r="A848" s="58" t="str">
        <v/>
      </c>
      <c r="B848" s="131" t="str">
        <f>IFERROR(TIMEVALUE(DaqBook_RAW_Data!A838),"")</f>
        <v/>
      </c>
      <c r="C848" s="44" t="str">
        <v/>
      </c>
      <c r="D848" s="44" t="str">
        <v/>
      </c>
      <c r="E848" s="44" t="str">
        <v/>
      </c>
      <c r="F848" s="44" t="str">
        <v/>
      </c>
      <c r="G848" s="44" t="str">
        <v/>
      </c>
      <c r="H848" s="44" t="str">
        <v/>
      </c>
      <c r="I848" s="44" t="str">
        <v/>
      </c>
      <c r="J848" s="44" t="str">
        <v/>
      </c>
      <c r="K848" s="44" t="str">
        <v/>
      </c>
      <c r="L848" s="44" t="str">
        <v/>
      </c>
      <c r="M848" s="44" t="str">
        <v/>
      </c>
      <c r="N848" s="44" t="str">
        <v/>
      </c>
      <c r="O848" s="44" t="str">
        <v/>
      </c>
      <c r="P848" s="44" t="str">
        <v/>
      </c>
    </row>
    <row r="849" spans="1:16" x14ac:dyDescent="0.2">
      <c r="A849" s="58" t="str">
        <v/>
      </c>
      <c r="B849" s="131" t="str">
        <f>IFERROR(TIMEVALUE(DaqBook_RAW_Data!A839),"")</f>
        <v/>
      </c>
      <c r="C849" s="44" t="str">
        <v/>
      </c>
      <c r="D849" s="44" t="str">
        <v/>
      </c>
      <c r="E849" s="44" t="str">
        <v/>
      </c>
      <c r="F849" s="44" t="str">
        <v/>
      </c>
      <c r="G849" s="44" t="str">
        <v/>
      </c>
      <c r="H849" s="44" t="str">
        <v/>
      </c>
      <c r="I849" s="44" t="str">
        <v/>
      </c>
      <c r="J849" s="44" t="str">
        <v/>
      </c>
      <c r="K849" s="44" t="str">
        <v/>
      </c>
      <c r="L849" s="44" t="str">
        <v/>
      </c>
      <c r="M849" s="44" t="str">
        <v/>
      </c>
      <c r="N849" s="44" t="str">
        <v/>
      </c>
      <c r="O849" s="44" t="str">
        <v/>
      </c>
      <c r="P849" s="44" t="str">
        <v/>
      </c>
    </row>
    <row r="850" spans="1:16" x14ac:dyDescent="0.2">
      <c r="A850" s="58" t="str">
        <v/>
      </c>
      <c r="B850" s="131" t="str">
        <f>IFERROR(TIMEVALUE(DaqBook_RAW_Data!A840),"")</f>
        <v/>
      </c>
      <c r="C850" s="44" t="str">
        <v/>
      </c>
      <c r="D850" s="44" t="str">
        <v/>
      </c>
      <c r="E850" s="44" t="str">
        <v/>
      </c>
      <c r="F850" s="44" t="str">
        <v/>
      </c>
      <c r="G850" s="44" t="str">
        <v/>
      </c>
      <c r="H850" s="44" t="str">
        <v/>
      </c>
      <c r="I850" s="44" t="str">
        <v/>
      </c>
      <c r="J850" s="44" t="str">
        <v/>
      </c>
      <c r="K850" s="44" t="str">
        <v/>
      </c>
      <c r="L850" s="44" t="str">
        <v/>
      </c>
      <c r="M850" s="44" t="str">
        <v/>
      </c>
      <c r="N850" s="44" t="str">
        <v/>
      </c>
      <c r="O850" s="44" t="str">
        <v/>
      </c>
      <c r="P850" s="44" t="str">
        <v/>
      </c>
    </row>
    <row r="851" spans="1:16" x14ac:dyDescent="0.2">
      <c r="A851" s="58" t="str">
        <v/>
      </c>
      <c r="B851" s="131" t="str">
        <f>IFERROR(TIMEVALUE(DaqBook_RAW_Data!A841),"")</f>
        <v/>
      </c>
      <c r="C851" s="44" t="str">
        <v/>
      </c>
      <c r="D851" s="44" t="str">
        <v/>
      </c>
      <c r="E851" s="44" t="str">
        <v/>
      </c>
      <c r="F851" s="44" t="str">
        <v/>
      </c>
      <c r="G851" s="44" t="str">
        <v/>
      </c>
      <c r="H851" s="44" t="str">
        <v/>
      </c>
      <c r="I851" s="44" t="str">
        <v/>
      </c>
      <c r="J851" s="44" t="str">
        <v/>
      </c>
      <c r="K851" s="44" t="str">
        <v/>
      </c>
      <c r="L851" s="44" t="str">
        <v/>
      </c>
      <c r="M851" s="44" t="str">
        <v/>
      </c>
      <c r="N851" s="44" t="str">
        <v/>
      </c>
      <c r="O851" s="44" t="str">
        <v/>
      </c>
      <c r="P851" s="44" t="str">
        <v/>
      </c>
    </row>
    <row r="852" spans="1:16" x14ac:dyDescent="0.2">
      <c r="A852" s="58" t="str">
        <v/>
      </c>
      <c r="B852" s="131" t="str">
        <f>IFERROR(TIMEVALUE(DaqBook_RAW_Data!A842),"")</f>
        <v/>
      </c>
      <c r="C852" s="44" t="str">
        <v/>
      </c>
      <c r="D852" s="44" t="str">
        <v/>
      </c>
      <c r="E852" s="44" t="str">
        <v/>
      </c>
      <c r="F852" s="44" t="str">
        <v/>
      </c>
      <c r="G852" s="44" t="str">
        <v/>
      </c>
      <c r="H852" s="44" t="str">
        <v/>
      </c>
      <c r="I852" s="44" t="str">
        <v/>
      </c>
      <c r="J852" s="44" t="str">
        <v/>
      </c>
      <c r="K852" s="44" t="str">
        <v/>
      </c>
      <c r="L852" s="44" t="str">
        <v/>
      </c>
      <c r="M852" s="44" t="str">
        <v/>
      </c>
      <c r="N852" s="44" t="str">
        <v/>
      </c>
      <c r="O852" s="44" t="str">
        <v/>
      </c>
      <c r="P852" s="44" t="str">
        <v/>
      </c>
    </row>
    <row r="853" spans="1:16" x14ac:dyDescent="0.2">
      <c r="A853" s="58" t="str">
        <v/>
      </c>
      <c r="B853" s="131" t="str">
        <f>IFERROR(TIMEVALUE(DaqBook_RAW_Data!A843),"")</f>
        <v/>
      </c>
      <c r="C853" s="44" t="str">
        <v/>
      </c>
      <c r="D853" s="44" t="str">
        <v/>
      </c>
      <c r="E853" s="44" t="str">
        <v/>
      </c>
      <c r="F853" s="44" t="str">
        <v/>
      </c>
      <c r="G853" s="44" t="str">
        <v/>
      </c>
      <c r="H853" s="44" t="str">
        <v/>
      </c>
      <c r="I853" s="44" t="str">
        <v/>
      </c>
      <c r="J853" s="44" t="str">
        <v/>
      </c>
      <c r="K853" s="44" t="str">
        <v/>
      </c>
      <c r="L853" s="44" t="str">
        <v/>
      </c>
      <c r="M853" s="44" t="str">
        <v/>
      </c>
      <c r="N853" s="44" t="str">
        <v/>
      </c>
      <c r="O853" s="44" t="str">
        <v/>
      </c>
      <c r="P853" s="44" t="str">
        <v/>
      </c>
    </row>
    <row r="854" spans="1:16" x14ac:dyDescent="0.2">
      <c r="A854" s="58" t="str">
        <v/>
      </c>
      <c r="B854" s="131" t="str">
        <f>IFERROR(TIMEVALUE(DaqBook_RAW_Data!A844),"")</f>
        <v/>
      </c>
      <c r="C854" s="44" t="str">
        <v/>
      </c>
      <c r="D854" s="44" t="str">
        <v/>
      </c>
      <c r="E854" s="44" t="str">
        <v/>
      </c>
      <c r="F854" s="44" t="str">
        <v/>
      </c>
      <c r="G854" s="44" t="str">
        <v/>
      </c>
      <c r="H854" s="44" t="str">
        <v/>
      </c>
      <c r="I854" s="44" t="str">
        <v/>
      </c>
      <c r="J854" s="44" t="str">
        <v/>
      </c>
      <c r="K854" s="44" t="str">
        <v/>
      </c>
      <c r="L854" s="44" t="str">
        <v/>
      </c>
      <c r="M854" s="44" t="str">
        <v/>
      </c>
      <c r="N854" s="44" t="str">
        <v/>
      </c>
      <c r="O854" s="44" t="str">
        <v/>
      </c>
      <c r="P854" s="44" t="str">
        <v/>
      </c>
    </row>
    <row r="855" spans="1:16" x14ac:dyDescent="0.2">
      <c r="A855" s="58" t="str">
        <v/>
      </c>
      <c r="B855" s="131" t="str">
        <f>IFERROR(TIMEVALUE(DaqBook_RAW_Data!A845),"")</f>
        <v/>
      </c>
      <c r="C855" s="44" t="str">
        <v/>
      </c>
      <c r="D855" s="44" t="str">
        <v/>
      </c>
      <c r="E855" s="44" t="str">
        <v/>
      </c>
      <c r="F855" s="44" t="str">
        <v/>
      </c>
      <c r="G855" s="44" t="str">
        <v/>
      </c>
      <c r="H855" s="44" t="str">
        <v/>
      </c>
      <c r="I855" s="44" t="str">
        <v/>
      </c>
      <c r="J855" s="44" t="str">
        <v/>
      </c>
      <c r="K855" s="44" t="str">
        <v/>
      </c>
      <c r="L855" s="44" t="str">
        <v/>
      </c>
      <c r="M855" s="44" t="str">
        <v/>
      </c>
      <c r="N855" s="44" t="str">
        <v/>
      </c>
      <c r="O855" s="44" t="str">
        <v/>
      </c>
      <c r="P855" s="44" t="str">
        <v/>
      </c>
    </row>
    <row r="856" spans="1:16" x14ac:dyDescent="0.2">
      <c r="A856" s="58" t="str">
        <v/>
      </c>
      <c r="B856" s="131" t="str">
        <f>IFERROR(TIMEVALUE(DaqBook_RAW_Data!A846),"")</f>
        <v/>
      </c>
      <c r="C856" s="44" t="str">
        <v/>
      </c>
      <c r="D856" s="44" t="str">
        <v/>
      </c>
      <c r="E856" s="44" t="str">
        <v/>
      </c>
      <c r="F856" s="44" t="str">
        <v/>
      </c>
      <c r="G856" s="44" t="str">
        <v/>
      </c>
      <c r="H856" s="44" t="str">
        <v/>
      </c>
      <c r="I856" s="44" t="str">
        <v/>
      </c>
      <c r="J856" s="44" t="str">
        <v/>
      </c>
      <c r="K856" s="44" t="str">
        <v/>
      </c>
      <c r="L856" s="44" t="str">
        <v/>
      </c>
      <c r="M856" s="44" t="str">
        <v/>
      </c>
      <c r="N856" s="44" t="str">
        <v/>
      </c>
      <c r="O856" s="44" t="str">
        <v/>
      </c>
      <c r="P856" s="44" t="str">
        <v/>
      </c>
    </row>
    <row r="857" spans="1:16" x14ac:dyDescent="0.2">
      <c r="A857" s="58" t="str">
        <v/>
      </c>
      <c r="B857" s="131" t="str">
        <f>IFERROR(TIMEVALUE(DaqBook_RAW_Data!A847),"")</f>
        <v/>
      </c>
      <c r="C857" s="44" t="str">
        <v/>
      </c>
      <c r="D857" s="44" t="str">
        <v/>
      </c>
      <c r="E857" s="44" t="str">
        <v/>
      </c>
      <c r="F857" s="44" t="str">
        <v/>
      </c>
      <c r="G857" s="44" t="str">
        <v/>
      </c>
      <c r="H857" s="44" t="str">
        <v/>
      </c>
      <c r="I857" s="44" t="str">
        <v/>
      </c>
      <c r="J857" s="44" t="str">
        <v/>
      </c>
      <c r="K857" s="44" t="str">
        <v/>
      </c>
      <c r="L857" s="44" t="str">
        <v/>
      </c>
      <c r="M857" s="44" t="str">
        <v/>
      </c>
      <c r="N857" s="44" t="str">
        <v/>
      </c>
      <c r="O857" s="44" t="str">
        <v/>
      </c>
      <c r="P857" s="44" t="str">
        <v/>
      </c>
    </row>
    <row r="858" spans="1:16" x14ac:dyDescent="0.2">
      <c r="A858" s="58" t="str">
        <v/>
      </c>
      <c r="B858" s="131" t="str">
        <f>IFERROR(TIMEVALUE(DaqBook_RAW_Data!A848),"")</f>
        <v/>
      </c>
      <c r="C858" s="44" t="str">
        <v/>
      </c>
      <c r="D858" s="44" t="str">
        <v/>
      </c>
      <c r="E858" s="44" t="str">
        <v/>
      </c>
      <c r="F858" s="44" t="str">
        <v/>
      </c>
      <c r="G858" s="44" t="str">
        <v/>
      </c>
      <c r="H858" s="44" t="str">
        <v/>
      </c>
      <c r="I858" s="44" t="str">
        <v/>
      </c>
      <c r="J858" s="44" t="str">
        <v/>
      </c>
      <c r="K858" s="44" t="str">
        <v/>
      </c>
      <c r="L858" s="44" t="str">
        <v/>
      </c>
      <c r="M858" s="44" t="str">
        <v/>
      </c>
      <c r="N858" s="44" t="str">
        <v/>
      </c>
      <c r="O858" s="44" t="str">
        <v/>
      </c>
      <c r="P858" s="44" t="str">
        <v/>
      </c>
    </row>
    <row r="859" spans="1:16" x14ac:dyDescent="0.2">
      <c r="A859" s="58" t="str">
        <v/>
      </c>
      <c r="B859" s="131" t="str">
        <f>IFERROR(TIMEVALUE(DaqBook_RAW_Data!A849),"")</f>
        <v/>
      </c>
      <c r="C859" s="44" t="str">
        <v/>
      </c>
      <c r="D859" s="44" t="str">
        <v/>
      </c>
      <c r="E859" s="44" t="str">
        <v/>
      </c>
      <c r="F859" s="44" t="str">
        <v/>
      </c>
      <c r="G859" s="44" t="str">
        <v/>
      </c>
      <c r="H859" s="44" t="str">
        <v/>
      </c>
      <c r="I859" s="44" t="str">
        <v/>
      </c>
      <c r="J859" s="44" t="str">
        <v/>
      </c>
      <c r="K859" s="44" t="str">
        <v/>
      </c>
      <c r="L859" s="44" t="str">
        <v/>
      </c>
      <c r="M859" s="44" t="str">
        <v/>
      </c>
      <c r="N859" s="44" t="str">
        <v/>
      </c>
      <c r="O859" s="44" t="str">
        <v/>
      </c>
      <c r="P859" s="44" t="str">
        <v/>
      </c>
    </row>
    <row r="860" spans="1:16" x14ac:dyDescent="0.2">
      <c r="A860" s="58" t="str">
        <v/>
      </c>
      <c r="B860" s="131" t="str">
        <f>IFERROR(TIMEVALUE(DaqBook_RAW_Data!A850),"")</f>
        <v/>
      </c>
      <c r="C860" s="44" t="str">
        <v/>
      </c>
      <c r="D860" s="44" t="str">
        <v/>
      </c>
      <c r="E860" s="44" t="str">
        <v/>
      </c>
      <c r="F860" s="44" t="str">
        <v/>
      </c>
      <c r="G860" s="44" t="str">
        <v/>
      </c>
      <c r="H860" s="44" t="str">
        <v/>
      </c>
      <c r="I860" s="44" t="str">
        <v/>
      </c>
      <c r="J860" s="44" t="str">
        <v/>
      </c>
      <c r="K860" s="44" t="str">
        <v/>
      </c>
      <c r="L860" s="44" t="str">
        <v/>
      </c>
      <c r="M860" s="44" t="str">
        <v/>
      </c>
      <c r="N860" s="44" t="str">
        <v/>
      </c>
      <c r="O860" s="44" t="str">
        <v/>
      </c>
      <c r="P860" s="44" t="str">
        <v/>
      </c>
    </row>
    <row r="861" spans="1:16" x14ac:dyDescent="0.2">
      <c r="A861" s="58" t="str">
        <v/>
      </c>
      <c r="B861" s="131" t="str">
        <f>IFERROR(TIMEVALUE(DaqBook_RAW_Data!A851),"")</f>
        <v/>
      </c>
      <c r="C861" s="44" t="str">
        <v/>
      </c>
      <c r="D861" s="44" t="str">
        <v/>
      </c>
      <c r="E861" s="44" t="str">
        <v/>
      </c>
      <c r="F861" s="44" t="str">
        <v/>
      </c>
      <c r="G861" s="44" t="str">
        <v/>
      </c>
      <c r="H861" s="44" t="str">
        <v/>
      </c>
      <c r="I861" s="44" t="str">
        <v/>
      </c>
      <c r="J861" s="44" t="str">
        <v/>
      </c>
      <c r="K861" s="44" t="str">
        <v/>
      </c>
      <c r="L861" s="44" t="str">
        <v/>
      </c>
      <c r="M861" s="44" t="str">
        <v/>
      </c>
      <c r="N861" s="44" t="str">
        <v/>
      </c>
      <c r="O861" s="44" t="str">
        <v/>
      </c>
      <c r="P861" s="44" t="str">
        <v/>
      </c>
    </row>
    <row r="862" spans="1:16" x14ac:dyDescent="0.2">
      <c r="A862" s="58" t="str">
        <v/>
      </c>
      <c r="B862" s="131" t="str">
        <f>IFERROR(TIMEVALUE(DaqBook_RAW_Data!A852),"")</f>
        <v/>
      </c>
      <c r="C862" s="44" t="str">
        <v/>
      </c>
      <c r="D862" s="44" t="str">
        <v/>
      </c>
      <c r="E862" s="44" t="str">
        <v/>
      </c>
      <c r="F862" s="44" t="str">
        <v/>
      </c>
      <c r="G862" s="44" t="str">
        <v/>
      </c>
      <c r="H862" s="44" t="str">
        <v/>
      </c>
      <c r="I862" s="44" t="str">
        <v/>
      </c>
      <c r="J862" s="44" t="str">
        <v/>
      </c>
      <c r="K862" s="44" t="str">
        <v/>
      </c>
      <c r="L862" s="44" t="str">
        <v/>
      </c>
      <c r="M862" s="44" t="str">
        <v/>
      </c>
      <c r="N862" s="44" t="str">
        <v/>
      </c>
      <c r="O862" s="44" t="str">
        <v/>
      </c>
      <c r="P862" s="44" t="str">
        <v/>
      </c>
    </row>
    <row r="863" spans="1:16" x14ac:dyDescent="0.2">
      <c r="A863" s="58" t="str">
        <v/>
      </c>
      <c r="B863" s="131" t="str">
        <f>IFERROR(TIMEVALUE(DaqBook_RAW_Data!A853),"")</f>
        <v/>
      </c>
      <c r="C863" s="44" t="str">
        <v/>
      </c>
      <c r="D863" s="44" t="str">
        <v/>
      </c>
      <c r="E863" s="44" t="str">
        <v/>
      </c>
      <c r="F863" s="44" t="str">
        <v/>
      </c>
      <c r="G863" s="44" t="str">
        <v/>
      </c>
      <c r="H863" s="44" t="str">
        <v/>
      </c>
      <c r="I863" s="44" t="str">
        <v/>
      </c>
      <c r="J863" s="44" t="str">
        <v/>
      </c>
      <c r="K863" s="44" t="str">
        <v/>
      </c>
      <c r="L863" s="44" t="str">
        <v/>
      </c>
      <c r="M863" s="44" t="str">
        <v/>
      </c>
      <c r="N863" s="44" t="str">
        <v/>
      </c>
      <c r="O863" s="44" t="str">
        <v/>
      </c>
      <c r="P863" s="44" t="str">
        <v/>
      </c>
    </row>
    <row r="864" spans="1:16" x14ac:dyDescent="0.2">
      <c r="A864" s="58" t="str">
        <v/>
      </c>
      <c r="B864" s="131" t="str">
        <f>IFERROR(TIMEVALUE(DaqBook_RAW_Data!A854),"")</f>
        <v/>
      </c>
      <c r="C864" s="44" t="str">
        <v/>
      </c>
      <c r="D864" s="44" t="str">
        <v/>
      </c>
      <c r="E864" s="44" t="str">
        <v/>
      </c>
      <c r="F864" s="44" t="str">
        <v/>
      </c>
      <c r="G864" s="44" t="str">
        <v/>
      </c>
      <c r="H864" s="44" t="str">
        <v/>
      </c>
      <c r="I864" s="44" t="str">
        <v/>
      </c>
      <c r="J864" s="44" t="str">
        <v/>
      </c>
      <c r="K864" s="44" t="str">
        <v/>
      </c>
      <c r="L864" s="44" t="str">
        <v/>
      </c>
      <c r="M864" s="44" t="str">
        <v/>
      </c>
      <c r="N864" s="44" t="str">
        <v/>
      </c>
      <c r="O864" s="44" t="str">
        <v/>
      </c>
      <c r="P864" s="44" t="str">
        <v/>
      </c>
    </row>
    <row r="865" spans="1:16" x14ac:dyDescent="0.2">
      <c r="A865" s="58" t="str">
        <v/>
      </c>
      <c r="B865" s="131" t="str">
        <f>IFERROR(TIMEVALUE(DaqBook_RAW_Data!A855),"")</f>
        <v/>
      </c>
      <c r="C865" s="44" t="str">
        <v/>
      </c>
      <c r="D865" s="44" t="str">
        <v/>
      </c>
      <c r="E865" s="44" t="str">
        <v/>
      </c>
      <c r="F865" s="44" t="str">
        <v/>
      </c>
      <c r="G865" s="44" t="str">
        <v/>
      </c>
      <c r="H865" s="44" t="str">
        <v/>
      </c>
      <c r="I865" s="44" t="str">
        <v/>
      </c>
      <c r="J865" s="44" t="str">
        <v/>
      </c>
      <c r="K865" s="44" t="str">
        <v/>
      </c>
      <c r="L865" s="44" t="str">
        <v/>
      </c>
      <c r="M865" s="44" t="str">
        <v/>
      </c>
      <c r="N865" s="44" t="str">
        <v/>
      </c>
      <c r="O865" s="44" t="str">
        <v/>
      </c>
      <c r="P865" s="44" t="str">
        <v/>
      </c>
    </row>
    <row r="866" spans="1:16" x14ac:dyDescent="0.2">
      <c r="A866" s="58" t="str">
        <v/>
      </c>
      <c r="B866" s="131" t="str">
        <f>IFERROR(TIMEVALUE(DaqBook_RAW_Data!A856),"")</f>
        <v/>
      </c>
      <c r="C866" s="44" t="str">
        <v/>
      </c>
      <c r="D866" s="44" t="str">
        <v/>
      </c>
      <c r="E866" s="44" t="str">
        <v/>
      </c>
      <c r="F866" s="44" t="str">
        <v/>
      </c>
      <c r="G866" s="44" t="str">
        <v/>
      </c>
      <c r="H866" s="44" t="str">
        <v/>
      </c>
      <c r="I866" s="44" t="str">
        <v/>
      </c>
      <c r="J866" s="44" t="str">
        <v/>
      </c>
      <c r="K866" s="44" t="str">
        <v/>
      </c>
      <c r="L866" s="44" t="str">
        <v/>
      </c>
      <c r="M866" s="44" t="str">
        <v/>
      </c>
      <c r="N866" s="44" t="str">
        <v/>
      </c>
      <c r="O866" s="44" t="str">
        <v/>
      </c>
      <c r="P866" s="44" t="str">
        <v/>
      </c>
    </row>
    <row r="867" spans="1:16" x14ac:dyDescent="0.2">
      <c r="A867" s="58" t="str">
        <v/>
      </c>
      <c r="B867" s="131" t="str">
        <f>IFERROR(TIMEVALUE(DaqBook_RAW_Data!A857),"")</f>
        <v/>
      </c>
      <c r="C867" s="44" t="str">
        <v/>
      </c>
      <c r="D867" s="44" t="str">
        <v/>
      </c>
      <c r="E867" s="44" t="str">
        <v/>
      </c>
      <c r="F867" s="44" t="str">
        <v/>
      </c>
      <c r="G867" s="44" t="str">
        <v/>
      </c>
      <c r="H867" s="44" t="str">
        <v/>
      </c>
      <c r="I867" s="44" t="str">
        <v/>
      </c>
      <c r="J867" s="44" t="str">
        <v/>
      </c>
      <c r="K867" s="44" t="str">
        <v/>
      </c>
      <c r="L867" s="44" t="str">
        <v/>
      </c>
      <c r="M867" s="44" t="str">
        <v/>
      </c>
      <c r="N867" s="44" t="str">
        <v/>
      </c>
      <c r="O867" s="44" t="str">
        <v/>
      </c>
      <c r="P867" s="44" t="str">
        <v/>
      </c>
    </row>
    <row r="868" spans="1:16" x14ac:dyDescent="0.2">
      <c r="A868" s="58" t="str">
        <v/>
      </c>
      <c r="B868" s="131" t="str">
        <f>IFERROR(TIMEVALUE(DaqBook_RAW_Data!A858),"")</f>
        <v/>
      </c>
      <c r="C868" s="44" t="str">
        <v/>
      </c>
      <c r="D868" s="44" t="str">
        <v/>
      </c>
      <c r="E868" s="44" t="str">
        <v/>
      </c>
      <c r="F868" s="44" t="str">
        <v/>
      </c>
      <c r="G868" s="44" t="str">
        <v/>
      </c>
      <c r="H868" s="44" t="str">
        <v/>
      </c>
      <c r="I868" s="44" t="str">
        <v/>
      </c>
      <c r="J868" s="44" t="str">
        <v/>
      </c>
      <c r="K868" s="44" t="str">
        <v/>
      </c>
      <c r="L868" s="44" t="str">
        <v/>
      </c>
      <c r="M868" s="44" t="str">
        <v/>
      </c>
      <c r="N868" s="44" t="str">
        <v/>
      </c>
      <c r="O868" s="44" t="str">
        <v/>
      </c>
      <c r="P868" s="44" t="str">
        <v/>
      </c>
    </row>
    <row r="869" spans="1:16" x14ac:dyDescent="0.2">
      <c r="A869" s="58" t="str">
        <v/>
      </c>
      <c r="B869" s="131" t="str">
        <f>IFERROR(TIMEVALUE(DaqBook_RAW_Data!A859),"")</f>
        <v/>
      </c>
      <c r="C869" s="44" t="str">
        <v/>
      </c>
      <c r="D869" s="44" t="str">
        <v/>
      </c>
      <c r="E869" s="44" t="str">
        <v/>
      </c>
      <c r="F869" s="44" t="str">
        <v/>
      </c>
      <c r="G869" s="44" t="str">
        <v/>
      </c>
      <c r="H869" s="44" t="str">
        <v/>
      </c>
      <c r="I869" s="44" t="str">
        <v/>
      </c>
      <c r="J869" s="44" t="str">
        <v/>
      </c>
      <c r="K869" s="44" t="str">
        <v/>
      </c>
      <c r="L869" s="44" t="str">
        <v/>
      </c>
      <c r="M869" s="44" t="str">
        <v/>
      </c>
      <c r="N869" s="44" t="str">
        <v/>
      </c>
      <c r="O869" s="44" t="str">
        <v/>
      </c>
      <c r="P869" s="44" t="str">
        <v/>
      </c>
    </row>
    <row r="870" spans="1:16" x14ac:dyDescent="0.2">
      <c r="A870" s="58" t="str">
        <v/>
      </c>
      <c r="B870" s="131" t="str">
        <f>IFERROR(TIMEVALUE(DaqBook_RAW_Data!A860),"")</f>
        <v/>
      </c>
      <c r="C870" s="44" t="str">
        <v/>
      </c>
      <c r="D870" s="44" t="str">
        <v/>
      </c>
      <c r="E870" s="44" t="str">
        <v/>
      </c>
      <c r="F870" s="44" t="str">
        <v/>
      </c>
      <c r="G870" s="44" t="str">
        <v/>
      </c>
      <c r="H870" s="44" t="str">
        <v/>
      </c>
      <c r="I870" s="44" t="str">
        <v/>
      </c>
      <c r="J870" s="44" t="str">
        <v/>
      </c>
      <c r="K870" s="44" t="str">
        <v/>
      </c>
      <c r="L870" s="44" t="str">
        <v/>
      </c>
      <c r="M870" s="44" t="str">
        <v/>
      </c>
      <c r="N870" s="44" t="str">
        <v/>
      </c>
      <c r="O870" s="44" t="str">
        <v/>
      </c>
      <c r="P870" s="44" t="str">
        <v/>
      </c>
    </row>
    <row r="871" spans="1:16" x14ac:dyDescent="0.2">
      <c r="A871" s="58" t="str">
        <v/>
      </c>
      <c r="B871" s="131" t="str">
        <f>IFERROR(TIMEVALUE(DaqBook_RAW_Data!A861),"")</f>
        <v/>
      </c>
      <c r="C871" s="44" t="str">
        <v/>
      </c>
      <c r="D871" s="44" t="str">
        <v/>
      </c>
      <c r="E871" s="44" t="str">
        <v/>
      </c>
      <c r="F871" s="44" t="str">
        <v/>
      </c>
      <c r="G871" s="44" t="str">
        <v/>
      </c>
      <c r="H871" s="44" t="str">
        <v/>
      </c>
      <c r="I871" s="44" t="str">
        <v/>
      </c>
      <c r="J871" s="44" t="str">
        <v/>
      </c>
      <c r="K871" s="44" t="str">
        <v/>
      </c>
      <c r="L871" s="44" t="str">
        <v/>
      </c>
      <c r="M871" s="44" t="str">
        <v/>
      </c>
      <c r="N871" s="44" t="str">
        <v/>
      </c>
      <c r="O871" s="44" t="str">
        <v/>
      </c>
      <c r="P871" s="44" t="str">
        <v/>
      </c>
    </row>
    <row r="872" spans="1:16" x14ac:dyDescent="0.2">
      <c r="A872" s="58" t="str">
        <v/>
      </c>
      <c r="B872" s="131" t="str">
        <f>IFERROR(TIMEVALUE(DaqBook_RAW_Data!A862),"")</f>
        <v/>
      </c>
      <c r="C872" s="44" t="str">
        <v/>
      </c>
      <c r="D872" s="44" t="str">
        <v/>
      </c>
      <c r="E872" s="44" t="str">
        <v/>
      </c>
      <c r="F872" s="44" t="str">
        <v/>
      </c>
      <c r="G872" s="44" t="str">
        <v/>
      </c>
      <c r="H872" s="44" t="str">
        <v/>
      </c>
      <c r="I872" s="44" t="str">
        <v/>
      </c>
      <c r="J872" s="44" t="str">
        <v/>
      </c>
      <c r="K872" s="44" t="str">
        <v/>
      </c>
      <c r="L872" s="44" t="str">
        <v/>
      </c>
      <c r="M872" s="44" t="str">
        <v/>
      </c>
      <c r="N872" s="44" t="str">
        <v/>
      </c>
      <c r="O872" s="44" t="str">
        <v/>
      </c>
      <c r="P872" s="44" t="str">
        <v/>
      </c>
    </row>
    <row r="873" spans="1:16" x14ac:dyDescent="0.2">
      <c r="A873" s="58" t="str">
        <v/>
      </c>
      <c r="B873" s="131" t="str">
        <f>IFERROR(TIMEVALUE(DaqBook_RAW_Data!A863),"")</f>
        <v/>
      </c>
      <c r="C873" s="44" t="str">
        <v/>
      </c>
      <c r="D873" s="44" t="str">
        <v/>
      </c>
      <c r="E873" s="44" t="str">
        <v/>
      </c>
      <c r="F873" s="44" t="str">
        <v/>
      </c>
      <c r="G873" s="44" t="str">
        <v/>
      </c>
      <c r="H873" s="44" t="str">
        <v/>
      </c>
      <c r="I873" s="44" t="str">
        <v/>
      </c>
      <c r="J873" s="44" t="str">
        <v/>
      </c>
      <c r="K873" s="44" t="str">
        <v/>
      </c>
      <c r="L873" s="44" t="str">
        <v/>
      </c>
      <c r="M873" s="44" t="str">
        <v/>
      </c>
      <c r="N873" s="44" t="str">
        <v/>
      </c>
      <c r="O873" s="44" t="str">
        <v/>
      </c>
      <c r="P873" s="44" t="str">
        <v/>
      </c>
    </row>
    <row r="874" spans="1:16" x14ac:dyDescent="0.2">
      <c r="A874" s="58" t="str">
        <v/>
      </c>
      <c r="B874" s="131" t="str">
        <f>IFERROR(TIMEVALUE(DaqBook_RAW_Data!A864),"")</f>
        <v/>
      </c>
      <c r="C874" s="44" t="str">
        <v/>
      </c>
      <c r="D874" s="44" t="str">
        <v/>
      </c>
      <c r="E874" s="44" t="str">
        <v/>
      </c>
      <c r="F874" s="44" t="str">
        <v/>
      </c>
      <c r="G874" s="44" t="str">
        <v/>
      </c>
      <c r="H874" s="44" t="str">
        <v/>
      </c>
      <c r="I874" s="44" t="str">
        <v/>
      </c>
      <c r="J874" s="44" t="str">
        <v/>
      </c>
      <c r="K874" s="44" t="str">
        <v/>
      </c>
      <c r="L874" s="44" t="str">
        <v/>
      </c>
      <c r="M874" s="44" t="str">
        <v/>
      </c>
      <c r="N874" s="44" t="str">
        <v/>
      </c>
      <c r="O874" s="44" t="str">
        <v/>
      </c>
      <c r="P874" s="44" t="str">
        <v/>
      </c>
    </row>
    <row r="875" spans="1:16" x14ac:dyDescent="0.2">
      <c r="A875" s="58" t="str">
        <v/>
      </c>
      <c r="B875" s="131" t="str">
        <f>IFERROR(TIMEVALUE(DaqBook_RAW_Data!A865),"")</f>
        <v/>
      </c>
      <c r="C875" s="44" t="str">
        <v/>
      </c>
      <c r="D875" s="44" t="str">
        <v/>
      </c>
      <c r="E875" s="44" t="str">
        <v/>
      </c>
      <c r="F875" s="44" t="str">
        <v/>
      </c>
      <c r="G875" s="44" t="str">
        <v/>
      </c>
      <c r="H875" s="44" t="str">
        <v/>
      </c>
      <c r="I875" s="44" t="str">
        <v/>
      </c>
      <c r="J875" s="44" t="str">
        <v/>
      </c>
      <c r="K875" s="44" t="str">
        <v/>
      </c>
      <c r="L875" s="44" t="str">
        <v/>
      </c>
      <c r="M875" s="44" t="str">
        <v/>
      </c>
      <c r="N875" s="44" t="str">
        <v/>
      </c>
      <c r="O875" s="44" t="str">
        <v/>
      </c>
      <c r="P875" s="44" t="str">
        <v/>
      </c>
    </row>
    <row r="876" spans="1:16" x14ac:dyDescent="0.2">
      <c r="A876" s="58" t="str">
        <v/>
      </c>
      <c r="B876" s="131" t="str">
        <f>IFERROR(TIMEVALUE(DaqBook_RAW_Data!A866),"")</f>
        <v/>
      </c>
      <c r="C876" s="44" t="str">
        <v/>
      </c>
      <c r="D876" s="44" t="str">
        <v/>
      </c>
      <c r="E876" s="44" t="str">
        <v/>
      </c>
      <c r="F876" s="44" t="str">
        <v/>
      </c>
      <c r="G876" s="44" t="str">
        <v/>
      </c>
      <c r="H876" s="44" t="str">
        <v/>
      </c>
      <c r="I876" s="44" t="str">
        <v/>
      </c>
      <c r="J876" s="44" t="str">
        <v/>
      </c>
      <c r="K876" s="44" t="str">
        <v/>
      </c>
      <c r="L876" s="44" t="str">
        <v/>
      </c>
      <c r="M876" s="44" t="str">
        <v/>
      </c>
      <c r="N876" s="44" t="str">
        <v/>
      </c>
      <c r="O876" s="44" t="str">
        <v/>
      </c>
      <c r="P876" s="44" t="str">
        <v/>
      </c>
    </row>
    <row r="877" spans="1:16" x14ac:dyDescent="0.2">
      <c r="A877" s="58" t="str">
        <v/>
      </c>
      <c r="B877" s="131" t="str">
        <f>IFERROR(TIMEVALUE(DaqBook_RAW_Data!A867),"")</f>
        <v/>
      </c>
      <c r="C877" s="44" t="str">
        <v/>
      </c>
      <c r="D877" s="44" t="str">
        <v/>
      </c>
      <c r="E877" s="44" t="str">
        <v/>
      </c>
      <c r="F877" s="44" t="str">
        <v/>
      </c>
      <c r="G877" s="44" t="str">
        <v/>
      </c>
      <c r="H877" s="44" t="str">
        <v/>
      </c>
      <c r="I877" s="44" t="str">
        <v/>
      </c>
      <c r="J877" s="44" t="str">
        <v/>
      </c>
      <c r="K877" s="44" t="str">
        <v/>
      </c>
      <c r="L877" s="44" t="str">
        <v/>
      </c>
      <c r="M877" s="44" t="str">
        <v/>
      </c>
      <c r="N877" s="44" t="str">
        <v/>
      </c>
      <c r="O877" s="44" t="str">
        <v/>
      </c>
      <c r="P877" s="44" t="str">
        <v/>
      </c>
    </row>
    <row r="878" spans="1:16" x14ac:dyDescent="0.2">
      <c r="A878" s="58" t="str">
        <v/>
      </c>
      <c r="B878" s="131" t="str">
        <f>IFERROR(TIMEVALUE(DaqBook_RAW_Data!A868),"")</f>
        <v/>
      </c>
      <c r="C878" s="44" t="str">
        <v/>
      </c>
      <c r="D878" s="44" t="str">
        <v/>
      </c>
      <c r="E878" s="44" t="str">
        <v/>
      </c>
      <c r="F878" s="44" t="str">
        <v/>
      </c>
      <c r="G878" s="44" t="str">
        <v/>
      </c>
      <c r="H878" s="44" t="str">
        <v/>
      </c>
      <c r="I878" s="44" t="str">
        <v/>
      </c>
      <c r="J878" s="44" t="str">
        <v/>
      </c>
      <c r="K878" s="44" t="str">
        <v/>
      </c>
      <c r="L878" s="44" t="str">
        <v/>
      </c>
      <c r="M878" s="44" t="str">
        <v/>
      </c>
      <c r="N878" s="44" t="str">
        <v/>
      </c>
      <c r="O878" s="44" t="str">
        <v/>
      </c>
      <c r="P878" s="44" t="str">
        <v/>
      </c>
    </row>
    <row r="879" spans="1:16" x14ac:dyDescent="0.2">
      <c r="A879" s="58" t="str">
        <v/>
      </c>
      <c r="B879" s="131" t="str">
        <f>IFERROR(TIMEVALUE(DaqBook_RAW_Data!A869),"")</f>
        <v/>
      </c>
      <c r="C879" s="44" t="str">
        <v/>
      </c>
      <c r="D879" s="44" t="str">
        <v/>
      </c>
      <c r="E879" s="44" t="str">
        <v/>
      </c>
      <c r="F879" s="44" t="str">
        <v/>
      </c>
      <c r="G879" s="44" t="str">
        <v/>
      </c>
      <c r="H879" s="44" t="str">
        <v/>
      </c>
      <c r="I879" s="44" t="str">
        <v/>
      </c>
      <c r="J879" s="44" t="str">
        <v/>
      </c>
      <c r="K879" s="44" t="str">
        <v/>
      </c>
      <c r="L879" s="44" t="str">
        <v/>
      </c>
      <c r="M879" s="44" t="str">
        <v/>
      </c>
      <c r="N879" s="44" t="str">
        <v/>
      </c>
      <c r="O879" s="44" t="str">
        <v/>
      </c>
      <c r="P879" s="44" t="str">
        <v/>
      </c>
    </row>
    <row r="880" spans="1:16" x14ac:dyDescent="0.2">
      <c r="A880" s="58" t="str">
        <v/>
      </c>
      <c r="B880" s="131" t="str">
        <f>IFERROR(TIMEVALUE(DaqBook_RAW_Data!A870),"")</f>
        <v/>
      </c>
      <c r="C880" s="44" t="str">
        <v/>
      </c>
      <c r="D880" s="44" t="str">
        <v/>
      </c>
      <c r="E880" s="44" t="str">
        <v/>
      </c>
      <c r="F880" s="44" t="str">
        <v/>
      </c>
      <c r="G880" s="44" t="str">
        <v/>
      </c>
      <c r="H880" s="44" t="str">
        <v/>
      </c>
      <c r="I880" s="44" t="str">
        <v/>
      </c>
      <c r="J880" s="44" t="str">
        <v/>
      </c>
      <c r="K880" s="44" t="str">
        <v/>
      </c>
      <c r="L880" s="44" t="str">
        <v/>
      </c>
      <c r="M880" s="44" t="str">
        <v/>
      </c>
      <c r="N880" s="44" t="str">
        <v/>
      </c>
      <c r="O880" s="44" t="str">
        <v/>
      </c>
      <c r="P880" s="44" t="str">
        <v/>
      </c>
    </row>
    <row r="881" spans="1:16" x14ac:dyDescent="0.2">
      <c r="A881" s="58" t="str">
        <v/>
      </c>
      <c r="B881" s="131" t="str">
        <f>IFERROR(TIMEVALUE(DaqBook_RAW_Data!A871),"")</f>
        <v/>
      </c>
      <c r="C881" s="44" t="str">
        <v/>
      </c>
      <c r="D881" s="44" t="str">
        <v/>
      </c>
      <c r="E881" s="44" t="str">
        <v/>
      </c>
      <c r="F881" s="44" t="str">
        <v/>
      </c>
      <c r="G881" s="44" t="str">
        <v/>
      </c>
      <c r="H881" s="44" t="str">
        <v/>
      </c>
      <c r="I881" s="44" t="str">
        <v/>
      </c>
      <c r="J881" s="44" t="str">
        <v/>
      </c>
      <c r="K881" s="44" t="str">
        <v/>
      </c>
      <c r="L881" s="44" t="str">
        <v/>
      </c>
      <c r="M881" s="44" t="str">
        <v/>
      </c>
      <c r="N881" s="44" t="str">
        <v/>
      </c>
      <c r="O881" s="44" t="str">
        <v/>
      </c>
      <c r="P881" s="44" t="str">
        <v/>
      </c>
    </row>
    <row r="882" spans="1:16" x14ac:dyDescent="0.2">
      <c r="A882" s="58" t="str">
        <v/>
      </c>
      <c r="B882" s="131" t="str">
        <f>IFERROR(TIMEVALUE(DaqBook_RAW_Data!A872),"")</f>
        <v/>
      </c>
      <c r="C882" s="44" t="str">
        <v/>
      </c>
      <c r="D882" s="44" t="str">
        <v/>
      </c>
      <c r="E882" s="44" t="str">
        <v/>
      </c>
      <c r="F882" s="44" t="str">
        <v/>
      </c>
      <c r="G882" s="44" t="str">
        <v/>
      </c>
      <c r="H882" s="44" t="str">
        <v/>
      </c>
      <c r="I882" s="44" t="str">
        <v/>
      </c>
      <c r="J882" s="44" t="str">
        <v/>
      </c>
      <c r="K882" s="44" t="str">
        <v/>
      </c>
      <c r="L882" s="44" t="str">
        <v/>
      </c>
      <c r="M882" s="44" t="str">
        <v/>
      </c>
      <c r="N882" s="44" t="str">
        <v/>
      </c>
      <c r="O882" s="44" t="str">
        <v/>
      </c>
      <c r="P882" s="44" t="str">
        <v/>
      </c>
    </row>
    <row r="883" spans="1:16" x14ac:dyDescent="0.2">
      <c r="A883" s="58" t="str">
        <v/>
      </c>
      <c r="B883" s="131" t="str">
        <f>IFERROR(TIMEVALUE(DaqBook_RAW_Data!A873),"")</f>
        <v/>
      </c>
      <c r="C883" s="44" t="str">
        <v/>
      </c>
      <c r="D883" s="44" t="str">
        <v/>
      </c>
      <c r="E883" s="44" t="str">
        <v/>
      </c>
      <c r="F883" s="44" t="str">
        <v/>
      </c>
      <c r="G883" s="44" t="str">
        <v/>
      </c>
      <c r="H883" s="44" t="str">
        <v/>
      </c>
      <c r="I883" s="44" t="str">
        <v/>
      </c>
      <c r="J883" s="44" t="str">
        <v/>
      </c>
      <c r="K883" s="44" t="str">
        <v/>
      </c>
      <c r="L883" s="44" t="str">
        <v/>
      </c>
      <c r="M883" s="44" t="str">
        <v/>
      </c>
      <c r="N883" s="44" t="str">
        <v/>
      </c>
      <c r="O883" s="44" t="str">
        <v/>
      </c>
      <c r="P883" s="44" t="str">
        <v/>
      </c>
    </row>
    <row r="884" spans="1:16" x14ac:dyDescent="0.2">
      <c r="A884" s="58" t="str">
        <v/>
      </c>
      <c r="B884" s="131" t="str">
        <f>IFERROR(TIMEVALUE(DaqBook_RAW_Data!A874),"")</f>
        <v/>
      </c>
      <c r="C884" s="44" t="str">
        <v/>
      </c>
      <c r="D884" s="44" t="str">
        <v/>
      </c>
      <c r="E884" s="44" t="str">
        <v/>
      </c>
      <c r="F884" s="44" t="str">
        <v/>
      </c>
      <c r="G884" s="44" t="str">
        <v/>
      </c>
      <c r="H884" s="44" t="str">
        <v/>
      </c>
      <c r="I884" s="44" t="str">
        <v/>
      </c>
      <c r="J884" s="44" t="str">
        <v/>
      </c>
      <c r="K884" s="44" t="str">
        <v/>
      </c>
      <c r="L884" s="44" t="str">
        <v/>
      </c>
      <c r="M884" s="44" t="str">
        <v/>
      </c>
      <c r="N884" s="44" t="str">
        <v/>
      </c>
      <c r="O884" s="44" t="str">
        <v/>
      </c>
      <c r="P884" s="44" t="str">
        <v/>
      </c>
    </row>
    <row r="885" spans="1:16" x14ac:dyDescent="0.2">
      <c r="A885" s="58" t="str">
        <v/>
      </c>
      <c r="B885" s="131" t="str">
        <f>IFERROR(TIMEVALUE(DaqBook_RAW_Data!A875),"")</f>
        <v/>
      </c>
      <c r="C885" s="44" t="str">
        <v/>
      </c>
      <c r="D885" s="44" t="str">
        <v/>
      </c>
      <c r="E885" s="44" t="str">
        <v/>
      </c>
      <c r="F885" s="44" t="str">
        <v/>
      </c>
      <c r="G885" s="44" t="str">
        <v/>
      </c>
      <c r="H885" s="44" t="str">
        <v/>
      </c>
      <c r="I885" s="44" t="str">
        <v/>
      </c>
      <c r="J885" s="44" t="str">
        <v/>
      </c>
      <c r="K885" s="44" t="str">
        <v/>
      </c>
      <c r="L885" s="44" t="str">
        <v/>
      </c>
      <c r="M885" s="44" t="str">
        <v/>
      </c>
      <c r="N885" s="44" t="str">
        <v/>
      </c>
      <c r="O885" s="44" t="str">
        <v/>
      </c>
      <c r="P885" s="44" t="str">
        <v/>
      </c>
    </row>
    <row r="886" spans="1:16" x14ac:dyDescent="0.2">
      <c r="A886" s="58" t="str">
        <v/>
      </c>
      <c r="B886" s="131" t="str">
        <f>IFERROR(TIMEVALUE(DaqBook_RAW_Data!A876),"")</f>
        <v/>
      </c>
      <c r="C886" s="44" t="str">
        <v/>
      </c>
      <c r="D886" s="44" t="str">
        <v/>
      </c>
      <c r="E886" s="44" t="str">
        <v/>
      </c>
      <c r="F886" s="44" t="str">
        <v/>
      </c>
      <c r="G886" s="44" t="str">
        <v/>
      </c>
      <c r="H886" s="44" t="str">
        <v/>
      </c>
      <c r="I886" s="44" t="str">
        <v/>
      </c>
      <c r="J886" s="44" t="str">
        <v/>
      </c>
      <c r="K886" s="44" t="str">
        <v/>
      </c>
      <c r="L886" s="44" t="str">
        <v/>
      </c>
      <c r="M886" s="44" t="str">
        <v/>
      </c>
      <c r="N886" s="44" t="str">
        <v/>
      </c>
      <c r="O886" s="44" t="str">
        <v/>
      </c>
      <c r="P886" s="44" t="str">
        <v/>
      </c>
    </row>
    <row r="887" spans="1:16" x14ac:dyDescent="0.2">
      <c r="A887" s="58" t="str">
        <v/>
      </c>
      <c r="B887" s="131" t="str">
        <f>IFERROR(TIMEVALUE(DaqBook_RAW_Data!A877),"")</f>
        <v/>
      </c>
      <c r="C887" s="44" t="str">
        <v/>
      </c>
      <c r="D887" s="44" t="str">
        <v/>
      </c>
      <c r="E887" s="44" t="str">
        <v/>
      </c>
      <c r="F887" s="44" t="str">
        <v/>
      </c>
      <c r="G887" s="44" t="str">
        <v/>
      </c>
      <c r="H887" s="44" t="str">
        <v/>
      </c>
      <c r="I887" s="44" t="str">
        <v/>
      </c>
      <c r="J887" s="44" t="str">
        <v/>
      </c>
      <c r="K887" s="44" t="str">
        <v/>
      </c>
      <c r="L887" s="44" t="str">
        <v/>
      </c>
      <c r="M887" s="44" t="str">
        <v/>
      </c>
      <c r="N887" s="44" t="str">
        <v/>
      </c>
      <c r="O887" s="44" t="str">
        <v/>
      </c>
      <c r="P887" s="44" t="str">
        <v/>
      </c>
    </row>
    <row r="888" spans="1:16" x14ac:dyDescent="0.2">
      <c r="A888" s="58" t="str">
        <v/>
      </c>
      <c r="B888" s="131" t="str">
        <f>IFERROR(TIMEVALUE(DaqBook_RAW_Data!A878),"")</f>
        <v/>
      </c>
      <c r="C888" s="44" t="str">
        <v/>
      </c>
      <c r="D888" s="44" t="str">
        <v/>
      </c>
      <c r="E888" s="44" t="str">
        <v/>
      </c>
      <c r="F888" s="44" t="str">
        <v/>
      </c>
      <c r="G888" s="44" t="str">
        <v/>
      </c>
      <c r="H888" s="44" t="str">
        <v/>
      </c>
      <c r="I888" s="44" t="str">
        <v/>
      </c>
      <c r="J888" s="44" t="str">
        <v/>
      </c>
      <c r="K888" s="44" t="str">
        <v/>
      </c>
      <c r="L888" s="44" t="str">
        <v/>
      </c>
      <c r="M888" s="44" t="str">
        <v/>
      </c>
      <c r="N888" s="44" t="str">
        <v/>
      </c>
      <c r="O888" s="44" t="str">
        <v/>
      </c>
      <c r="P888" s="44" t="str">
        <v/>
      </c>
    </row>
    <row r="889" spans="1:16" x14ac:dyDescent="0.2">
      <c r="A889" s="58" t="str">
        <v/>
      </c>
      <c r="B889" s="131" t="str">
        <f>IFERROR(TIMEVALUE(DaqBook_RAW_Data!A879),"")</f>
        <v/>
      </c>
      <c r="C889" s="44" t="str">
        <v/>
      </c>
      <c r="D889" s="44" t="str">
        <v/>
      </c>
      <c r="E889" s="44" t="str">
        <v/>
      </c>
      <c r="F889" s="44" t="str">
        <v/>
      </c>
      <c r="G889" s="44" t="str">
        <v/>
      </c>
      <c r="H889" s="44" t="str">
        <v/>
      </c>
      <c r="I889" s="44" t="str">
        <v/>
      </c>
      <c r="J889" s="44" t="str">
        <v/>
      </c>
      <c r="K889" s="44" t="str">
        <v/>
      </c>
      <c r="L889" s="44" t="str">
        <v/>
      </c>
      <c r="M889" s="44" t="str">
        <v/>
      </c>
      <c r="N889" s="44" t="str">
        <v/>
      </c>
      <c r="O889" s="44" t="str">
        <v/>
      </c>
      <c r="P889" s="44" t="str">
        <v/>
      </c>
    </row>
    <row r="890" spans="1:16" x14ac:dyDescent="0.2">
      <c r="A890" s="58" t="str">
        <v/>
      </c>
      <c r="B890" s="131" t="str">
        <f>IFERROR(TIMEVALUE(DaqBook_RAW_Data!A880),"")</f>
        <v/>
      </c>
      <c r="C890" s="44" t="str">
        <v/>
      </c>
      <c r="D890" s="44" t="str">
        <v/>
      </c>
      <c r="E890" s="44" t="str">
        <v/>
      </c>
      <c r="F890" s="44" t="str">
        <v/>
      </c>
      <c r="G890" s="44" t="str">
        <v/>
      </c>
      <c r="H890" s="44" t="str">
        <v/>
      </c>
      <c r="I890" s="44" t="str">
        <v/>
      </c>
      <c r="J890" s="44" t="str">
        <v/>
      </c>
      <c r="K890" s="44" t="str">
        <v/>
      </c>
      <c r="L890" s="44" t="str">
        <v/>
      </c>
      <c r="M890" s="44" t="str">
        <v/>
      </c>
      <c r="N890" s="44" t="str">
        <v/>
      </c>
      <c r="O890" s="44" t="str">
        <v/>
      </c>
      <c r="P890" s="44" t="str">
        <v/>
      </c>
    </row>
    <row r="891" spans="1:16" x14ac:dyDescent="0.2">
      <c r="A891" s="58" t="str">
        <v/>
      </c>
      <c r="B891" s="131" t="str">
        <f>IFERROR(TIMEVALUE(DaqBook_RAW_Data!A881),"")</f>
        <v/>
      </c>
      <c r="C891" s="44" t="str">
        <v/>
      </c>
      <c r="D891" s="44" t="str">
        <v/>
      </c>
      <c r="E891" s="44" t="str">
        <v/>
      </c>
      <c r="F891" s="44" t="str">
        <v/>
      </c>
      <c r="G891" s="44" t="str">
        <v/>
      </c>
      <c r="H891" s="44" t="str">
        <v/>
      </c>
      <c r="I891" s="44" t="str">
        <v/>
      </c>
      <c r="J891" s="44" t="str">
        <v/>
      </c>
      <c r="K891" s="44" t="str">
        <v/>
      </c>
      <c r="L891" s="44" t="str">
        <v/>
      </c>
      <c r="M891" s="44" t="str">
        <v/>
      </c>
      <c r="N891" s="44" t="str">
        <v/>
      </c>
      <c r="O891" s="44" t="str">
        <v/>
      </c>
      <c r="P891" s="44" t="str">
        <v/>
      </c>
    </row>
    <row r="892" spans="1:16" x14ac:dyDescent="0.2">
      <c r="A892" s="58" t="str">
        <v/>
      </c>
      <c r="B892" s="131" t="str">
        <f>IFERROR(TIMEVALUE(DaqBook_RAW_Data!A882),"")</f>
        <v/>
      </c>
      <c r="C892" s="44" t="str">
        <v/>
      </c>
      <c r="D892" s="44" t="str">
        <v/>
      </c>
      <c r="E892" s="44" t="str">
        <v/>
      </c>
      <c r="F892" s="44" t="str">
        <v/>
      </c>
      <c r="G892" s="44" t="str">
        <v/>
      </c>
      <c r="H892" s="44" t="str">
        <v/>
      </c>
      <c r="I892" s="44" t="str">
        <v/>
      </c>
      <c r="J892" s="44" t="str">
        <v/>
      </c>
      <c r="K892" s="44" t="str">
        <v/>
      </c>
      <c r="L892" s="44" t="str">
        <v/>
      </c>
      <c r="M892" s="44" t="str">
        <v/>
      </c>
      <c r="N892" s="44" t="str">
        <v/>
      </c>
      <c r="O892" s="44" t="str">
        <v/>
      </c>
      <c r="P892" s="44" t="str">
        <v/>
      </c>
    </row>
    <row r="893" spans="1:16" x14ac:dyDescent="0.2">
      <c r="A893" s="58" t="str">
        <v/>
      </c>
      <c r="B893" s="131" t="str">
        <f>IFERROR(TIMEVALUE(DaqBook_RAW_Data!A883),"")</f>
        <v/>
      </c>
      <c r="C893" s="44" t="str">
        <v/>
      </c>
      <c r="D893" s="44" t="str">
        <v/>
      </c>
      <c r="E893" s="44" t="str">
        <v/>
      </c>
      <c r="F893" s="44" t="str">
        <v/>
      </c>
      <c r="G893" s="44" t="str">
        <v/>
      </c>
      <c r="H893" s="44" t="str">
        <v/>
      </c>
      <c r="I893" s="44" t="str">
        <v/>
      </c>
      <c r="J893" s="44" t="str">
        <v/>
      </c>
      <c r="K893" s="44" t="str">
        <v/>
      </c>
      <c r="L893" s="44" t="str">
        <v/>
      </c>
      <c r="M893" s="44" t="str">
        <v/>
      </c>
      <c r="N893" s="44" t="str">
        <v/>
      </c>
      <c r="O893" s="44" t="str">
        <v/>
      </c>
      <c r="P893" s="44" t="str">
        <v/>
      </c>
    </row>
    <row r="894" spans="1:16" x14ac:dyDescent="0.2">
      <c r="A894" s="58" t="str">
        <v/>
      </c>
      <c r="B894" s="131" t="str">
        <f>IFERROR(TIMEVALUE(DaqBook_RAW_Data!A884),"")</f>
        <v/>
      </c>
      <c r="C894" s="44" t="str">
        <v/>
      </c>
      <c r="D894" s="44" t="str">
        <v/>
      </c>
      <c r="E894" s="44" t="str">
        <v/>
      </c>
      <c r="F894" s="44" t="str">
        <v/>
      </c>
      <c r="G894" s="44" t="str">
        <v/>
      </c>
      <c r="H894" s="44" t="str">
        <v/>
      </c>
      <c r="I894" s="44" t="str">
        <v/>
      </c>
      <c r="J894" s="44" t="str">
        <v/>
      </c>
      <c r="K894" s="44" t="str">
        <v/>
      </c>
      <c r="L894" s="44" t="str">
        <v/>
      </c>
      <c r="M894" s="44" t="str">
        <v/>
      </c>
      <c r="N894" s="44" t="str">
        <v/>
      </c>
      <c r="O894" s="44" t="str">
        <v/>
      </c>
      <c r="P894" s="44" t="str">
        <v/>
      </c>
    </row>
    <row r="895" spans="1:16" x14ac:dyDescent="0.2">
      <c r="A895" s="58" t="str">
        <v/>
      </c>
      <c r="B895" s="131" t="str">
        <f>IFERROR(TIMEVALUE(DaqBook_RAW_Data!A885),"")</f>
        <v/>
      </c>
      <c r="C895" s="44" t="str">
        <v/>
      </c>
      <c r="D895" s="44" t="str">
        <v/>
      </c>
      <c r="E895" s="44" t="str">
        <v/>
      </c>
      <c r="F895" s="44" t="str">
        <v/>
      </c>
      <c r="G895" s="44" t="str">
        <v/>
      </c>
      <c r="H895" s="44" t="str">
        <v/>
      </c>
      <c r="I895" s="44" t="str">
        <v/>
      </c>
      <c r="J895" s="44" t="str">
        <v/>
      </c>
      <c r="K895" s="44" t="str">
        <v/>
      </c>
      <c r="L895" s="44" t="str">
        <v/>
      </c>
      <c r="M895" s="44" t="str">
        <v/>
      </c>
      <c r="N895" s="44" t="str">
        <v/>
      </c>
      <c r="O895" s="44" t="str">
        <v/>
      </c>
      <c r="P895" s="44" t="str">
        <v/>
      </c>
    </row>
    <row r="896" spans="1:16" x14ac:dyDescent="0.2">
      <c r="A896" s="58" t="str">
        <v/>
      </c>
      <c r="B896" s="131" t="str">
        <f>IFERROR(TIMEVALUE(DaqBook_RAW_Data!A886),"")</f>
        <v/>
      </c>
      <c r="C896" s="44" t="str">
        <v/>
      </c>
      <c r="D896" s="44" t="str">
        <v/>
      </c>
      <c r="E896" s="44" t="str">
        <v/>
      </c>
      <c r="F896" s="44" t="str">
        <v/>
      </c>
      <c r="G896" s="44" t="str">
        <v/>
      </c>
      <c r="H896" s="44" t="str">
        <v/>
      </c>
      <c r="I896" s="44" t="str">
        <v/>
      </c>
      <c r="J896" s="44" t="str">
        <v/>
      </c>
      <c r="K896" s="44" t="str">
        <v/>
      </c>
      <c r="L896" s="44" t="str">
        <v/>
      </c>
      <c r="M896" s="44" t="str">
        <v/>
      </c>
      <c r="N896" s="44" t="str">
        <v/>
      </c>
      <c r="O896" s="44" t="str">
        <v/>
      </c>
      <c r="P896" s="44" t="str">
        <v/>
      </c>
    </row>
    <row r="897" spans="1:16" x14ac:dyDescent="0.2">
      <c r="A897" s="58" t="str">
        <v/>
      </c>
      <c r="B897" s="131" t="str">
        <f>IFERROR(TIMEVALUE(DaqBook_RAW_Data!A887),"")</f>
        <v/>
      </c>
      <c r="C897" s="44" t="str">
        <v/>
      </c>
      <c r="D897" s="44" t="str">
        <v/>
      </c>
      <c r="E897" s="44" t="str">
        <v/>
      </c>
      <c r="F897" s="44" t="str">
        <v/>
      </c>
      <c r="G897" s="44" t="str">
        <v/>
      </c>
      <c r="H897" s="44" t="str">
        <v/>
      </c>
      <c r="I897" s="44" t="str">
        <v/>
      </c>
      <c r="J897" s="44" t="str">
        <v/>
      </c>
      <c r="K897" s="44" t="str">
        <v/>
      </c>
      <c r="L897" s="44" t="str">
        <v/>
      </c>
      <c r="M897" s="44" t="str">
        <v/>
      </c>
      <c r="N897" s="44" t="str">
        <v/>
      </c>
      <c r="O897" s="44" t="str">
        <v/>
      </c>
      <c r="P897" s="44" t="str">
        <v/>
      </c>
    </row>
    <row r="898" spans="1:16" x14ac:dyDescent="0.2">
      <c r="A898" s="58" t="str">
        <v/>
      </c>
      <c r="B898" s="131" t="str">
        <f>IFERROR(TIMEVALUE(DaqBook_RAW_Data!A888),"")</f>
        <v/>
      </c>
      <c r="C898" s="44" t="str">
        <v/>
      </c>
      <c r="D898" s="44" t="str">
        <v/>
      </c>
      <c r="E898" s="44" t="str">
        <v/>
      </c>
      <c r="F898" s="44" t="str">
        <v/>
      </c>
      <c r="G898" s="44" t="str">
        <v/>
      </c>
      <c r="H898" s="44" t="str">
        <v/>
      </c>
      <c r="I898" s="44" t="str">
        <v/>
      </c>
      <c r="J898" s="44" t="str">
        <v/>
      </c>
      <c r="K898" s="44" t="str">
        <v/>
      </c>
      <c r="L898" s="44" t="str">
        <v/>
      </c>
      <c r="M898" s="44" t="str">
        <v/>
      </c>
      <c r="N898" s="44" t="str">
        <v/>
      </c>
      <c r="O898" s="44" t="str">
        <v/>
      </c>
      <c r="P898" s="44" t="str">
        <v/>
      </c>
    </row>
    <row r="899" spans="1:16" x14ac:dyDescent="0.2">
      <c r="A899" s="58" t="str">
        <v/>
      </c>
      <c r="B899" s="131" t="str">
        <f>IFERROR(TIMEVALUE(DaqBook_RAW_Data!A889),"")</f>
        <v/>
      </c>
      <c r="C899" s="44" t="str">
        <v/>
      </c>
      <c r="D899" s="44" t="str">
        <v/>
      </c>
      <c r="E899" s="44" t="str">
        <v/>
      </c>
      <c r="F899" s="44" t="str">
        <v/>
      </c>
      <c r="G899" s="44" t="str">
        <v/>
      </c>
      <c r="H899" s="44" t="str">
        <v/>
      </c>
      <c r="I899" s="44" t="str">
        <v/>
      </c>
      <c r="J899" s="44" t="str">
        <v/>
      </c>
      <c r="K899" s="44" t="str">
        <v/>
      </c>
      <c r="L899" s="44" t="str">
        <v/>
      </c>
      <c r="M899" s="44" t="str">
        <v/>
      </c>
      <c r="N899" s="44" t="str">
        <v/>
      </c>
      <c r="O899" s="44" t="str">
        <v/>
      </c>
      <c r="P899" s="44" t="str">
        <v/>
      </c>
    </row>
    <row r="900" spans="1:16" x14ac:dyDescent="0.2">
      <c r="A900" s="58" t="str">
        <v/>
      </c>
      <c r="B900" s="131" t="str">
        <f>IFERROR(TIMEVALUE(DaqBook_RAW_Data!A890),"")</f>
        <v/>
      </c>
      <c r="C900" s="44" t="str">
        <v/>
      </c>
      <c r="D900" s="44" t="str">
        <v/>
      </c>
      <c r="E900" s="44" t="str">
        <v/>
      </c>
      <c r="F900" s="44" t="str">
        <v/>
      </c>
      <c r="G900" s="44" t="str">
        <v/>
      </c>
      <c r="H900" s="44" t="str">
        <v/>
      </c>
      <c r="I900" s="44" t="str">
        <v/>
      </c>
      <c r="J900" s="44" t="str">
        <v/>
      </c>
      <c r="K900" s="44" t="str">
        <v/>
      </c>
      <c r="L900" s="44" t="str">
        <v/>
      </c>
      <c r="M900" s="44" t="str">
        <v/>
      </c>
      <c r="N900" s="44" t="str">
        <v/>
      </c>
      <c r="O900" s="44" t="str">
        <v/>
      </c>
      <c r="P900" s="44" t="str">
        <v/>
      </c>
    </row>
    <row r="901" spans="1:16" x14ac:dyDescent="0.2">
      <c r="A901" s="58" t="str">
        <v/>
      </c>
      <c r="B901" s="131" t="str">
        <f>IFERROR(TIMEVALUE(DaqBook_RAW_Data!A891),"")</f>
        <v/>
      </c>
      <c r="C901" s="44" t="str">
        <v/>
      </c>
      <c r="D901" s="44" t="str">
        <v/>
      </c>
      <c r="E901" s="44" t="str">
        <v/>
      </c>
      <c r="F901" s="44" t="str">
        <v/>
      </c>
      <c r="G901" s="44" t="str">
        <v/>
      </c>
      <c r="H901" s="44" t="str">
        <v/>
      </c>
      <c r="I901" s="44" t="str">
        <v/>
      </c>
      <c r="J901" s="44" t="str">
        <v/>
      </c>
      <c r="K901" s="44" t="str">
        <v/>
      </c>
      <c r="L901" s="44" t="str">
        <v/>
      </c>
      <c r="M901" s="44" t="str">
        <v/>
      </c>
      <c r="N901" s="44" t="str">
        <v/>
      </c>
      <c r="O901" s="44" t="str">
        <v/>
      </c>
      <c r="P901" s="44" t="str">
        <v/>
      </c>
    </row>
    <row r="902" spans="1:16" x14ac:dyDescent="0.2">
      <c r="A902" s="58" t="str">
        <v/>
      </c>
      <c r="B902" s="131" t="str">
        <f>IFERROR(TIMEVALUE(DaqBook_RAW_Data!A892),"")</f>
        <v/>
      </c>
      <c r="C902" s="44" t="str">
        <v/>
      </c>
      <c r="D902" s="44" t="str">
        <v/>
      </c>
      <c r="E902" s="44" t="str">
        <v/>
      </c>
      <c r="F902" s="44" t="str">
        <v/>
      </c>
      <c r="G902" s="44" t="str">
        <v/>
      </c>
      <c r="H902" s="44" t="str">
        <v/>
      </c>
      <c r="I902" s="44" t="str">
        <v/>
      </c>
      <c r="J902" s="44" t="str">
        <v/>
      </c>
      <c r="K902" s="44" t="str">
        <v/>
      </c>
      <c r="L902" s="44" t="str">
        <v/>
      </c>
      <c r="M902" s="44" t="str">
        <v/>
      </c>
      <c r="N902" s="44" t="str">
        <v/>
      </c>
      <c r="O902" s="44" t="str">
        <v/>
      </c>
      <c r="P902" s="44" t="str">
        <v/>
      </c>
    </row>
    <row r="903" spans="1:16" x14ac:dyDescent="0.2">
      <c r="A903" s="58" t="str">
        <v/>
      </c>
      <c r="B903" s="131" t="str">
        <f>IFERROR(TIMEVALUE(DaqBook_RAW_Data!A893),"")</f>
        <v/>
      </c>
      <c r="C903" s="44" t="str">
        <v/>
      </c>
      <c r="D903" s="44" t="str">
        <v/>
      </c>
      <c r="E903" s="44" t="str">
        <v/>
      </c>
      <c r="F903" s="44" t="str">
        <v/>
      </c>
      <c r="G903" s="44" t="str">
        <v/>
      </c>
      <c r="H903" s="44" t="str">
        <v/>
      </c>
      <c r="I903" s="44" t="str">
        <v/>
      </c>
      <c r="J903" s="44" t="str">
        <v/>
      </c>
      <c r="K903" s="44" t="str">
        <v/>
      </c>
      <c r="L903" s="44" t="str">
        <v/>
      </c>
      <c r="M903" s="44" t="str">
        <v/>
      </c>
      <c r="N903" s="44" t="str">
        <v/>
      </c>
      <c r="O903" s="44" t="str">
        <v/>
      </c>
      <c r="P903" s="44" t="str">
        <v/>
      </c>
    </row>
  </sheetData>
  <sheetProtection algorithmName="SHA-512" hashValue="UGH3VKGfioEsqRAfmJlG0udmKzO4TqiiyIaoAMF98IKRLTO1oIdCcK25MZnyA/9Eef/6hjHIH9+0cvaCURfQ4w==" saltValue="cncYFLmXE9DLFfNtOJSeKA==" spinCount="100000" sheet="1" objects="1" scenarios="1" selectLockedCells="1" autoFilter="0" selectUnlockedCells="1"/>
  <mergeCells count="7">
    <mergeCell ref="M7:O7"/>
    <mergeCell ref="J7:K7"/>
    <mergeCell ref="M2:O2"/>
    <mergeCell ref="M3:O3"/>
    <mergeCell ref="M4:O4"/>
    <mergeCell ref="M5:O5"/>
    <mergeCell ref="M6:O6"/>
  </mergeCells>
  <phoneticPr fontId="23" type="noConversion"/>
  <conditionalFormatting sqref="C14:P903">
    <cfRule type="cellIs" dxfId="45" priority="2" stopIfTrue="1" operator="between">
      <formula>$E$1</formula>
      <formula>$E$2</formula>
    </cfRule>
    <cfRule type="cellIs" dxfId="44" priority="3" stopIfTrue="1" operator="greaterThan">
      <formula>$C$2</formula>
    </cfRule>
    <cfRule type="cellIs" dxfId="43" priority="4" stopIfTrue="1" operator="lessThan">
      <formula>$C$1</formula>
    </cfRule>
    <cfRule type="cellIs" dxfId="42" priority="5" stopIfTrue="1" operator="greaterThanOrEqual">
      <formula>$C$1</formula>
    </cfRule>
  </conditionalFormatting>
  <conditionalFormatting sqref="B14:P903">
    <cfRule type="expression" dxfId="4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5">
    <tabColor rgb="FFFFCC99"/>
    <pageSetUpPr fitToPage="1"/>
  </sheetPr>
  <dimension ref="A1:Q903"/>
  <sheetViews>
    <sheetView showZeros="0" topLeftCell="C1" zoomScaleNormal="100" workbookViewId="0">
      <selection activeCell="Q2" sqref="P1:Q2"/>
    </sheetView>
  </sheetViews>
  <sheetFormatPr defaultColWidth="24.5703125" defaultRowHeight="12.75" x14ac:dyDescent="0.2"/>
  <cols>
    <col min="1" max="1" width="7.140625" style="58" hidden="1" customWidth="1"/>
    <col min="2" max="2" width="8.7109375" style="53" customWidth="1"/>
    <col min="3" max="3" width="11.85546875" customWidth="1"/>
    <col min="4" max="16" width="8.42578125" customWidth="1"/>
  </cols>
  <sheetData>
    <row r="1" spans="1:17" ht="18" x14ac:dyDescent="0.25">
      <c r="B1" s="148">
        <f>Main!$D$16</f>
        <v>0</v>
      </c>
      <c r="C1" s="142">
        <f>$B$1-$B$2</f>
        <v>0</v>
      </c>
      <c r="D1" s="142"/>
      <c r="E1" s="148">
        <f>B1-D2</f>
        <v>0</v>
      </c>
      <c r="F1" s="38" t="s">
        <v>96</v>
      </c>
      <c r="P1" s="364" t="str">
        <f>IF(Main!$E$30="","A10",ADDRESS(13+(MATCH(Main!$E$30,Data_Sheet!$A$14:$A$903,0)),1,4))</f>
        <v>A10</v>
      </c>
      <c r="Q1" s="364">
        <f>VALUE(MID(P1, 2, LEN(P1)-1))</f>
        <v>10</v>
      </c>
    </row>
    <row r="2" spans="1:17" x14ac:dyDescent="0.2">
      <c r="B2" s="148">
        <f>Main!$D$19</f>
        <v>0</v>
      </c>
      <c r="C2" s="142">
        <f>$B$1+$B$2</f>
        <v>0</v>
      </c>
      <c r="D2" s="142">
        <f>(Main!$D$19)/2</f>
        <v>0</v>
      </c>
      <c r="E2" s="148">
        <f>B1+D2</f>
        <v>0</v>
      </c>
      <c r="I2" s="99" t="s">
        <v>254</v>
      </c>
      <c r="M2" s="587" t="s">
        <v>124</v>
      </c>
      <c r="N2" s="587"/>
      <c r="O2" s="587"/>
      <c r="P2" s="364" t="str">
        <f>IF(Main!$E$30="","A10",ADDRESS(13+Standards_Info!W2+(MATCH(Main!$E$30,Data_Sheet!$A$14:$A$903,0)),1,4))</f>
        <v>A10</v>
      </c>
      <c r="Q2" s="364">
        <f>VALUE(MID(P2, 2, LEN(P2)-1))</f>
        <v>10</v>
      </c>
    </row>
    <row r="3" spans="1:17" ht="15" x14ac:dyDescent="0.25">
      <c r="B3" s="157" t="s">
        <v>0</v>
      </c>
      <c r="C3" s="4"/>
      <c r="M3" s="575" t="s">
        <v>125</v>
      </c>
      <c r="N3" s="576"/>
      <c r="O3" s="577"/>
      <c r="P3" s="47"/>
    </row>
    <row r="4" spans="1:17" ht="15" x14ac:dyDescent="0.25">
      <c r="B4" s="144" t="s">
        <v>37</v>
      </c>
      <c r="C4" s="5"/>
      <c r="M4" s="578" t="s">
        <v>166</v>
      </c>
      <c r="N4" s="579"/>
      <c r="O4" s="580"/>
    </row>
    <row r="5" spans="1:17" x14ac:dyDescent="0.2">
      <c r="B5" s="145" t="s">
        <v>38</v>
      </c>
      <c r="C5" s="80">
        <f>Main!D3</f>
        <v>0</v>
      </c>
      <c r="D5" s="44"/>
      <c r="E5" s="44"/>
      <c r="F5" s="44"/>
      <c r="G5" s="44"/>
      <c r="H5" s="44"/>
      <c r="I5" s="78" t="s">
        <v>9</v>
      </c>
      <c r="J5" t="e">
        <f>Main!D5</f>
        <v>#N/A</v>
      </c>
      <c r="M5" s="588" t="s">
        <v>165</v>
      </c>
      <c r="N5" s="589"/>
      <c r="O5" s="590"/>
    </row>
    <row r="6" spans="1:17" ht="13.5" thickBot="1" x14ac:dyDescent="0.25">
      <c r="B6" s="145" t="s">
        <v>7</v>
      </c>
      <c r="C6" s="81" t="e">
        <f>Main!D6</f>
        <v>#N/A</v>
      </c>
      <c r="D6" s="44"/>
      <c r="E6" s="44"/>
      <c r="F6" s="44"/>
      <c r="G6" s="44"/>
      <c r="H6" s="44"/>
      <c r="I6" s="78" t="s">
        <v>10</v>
      </c>
      <c r="J6" s="46">
        <f>Main!D16</f>
        <v>0</v>
      </c>
      <c r="M6" s="584" t="s">
        <v>164</v>
      </c>
      <c r="N6" s="585"/>
      <c r="O6" s="586"/>
    </row>
    <row r="7" spans="1:17" ht="13.5" thickBot="1" x14ac:dyDescent="0.25">
      <c r="B7" s="145" t="s">
        <v>39</v>
      </c>
      <c r="C7" s="81" t="str">
        <f>Main!D7</f>
        <v>Jeff Hall</v>
      </c>
      <c r="D7" s="44"/>
      <c r="E7" s="44"/>
      <c r="F7" s="44"/>
      <c r="G7" s="44"/>
      <c r="H7" s="44"/>
      <c r="I7" s="83" t="s">
        <v>192</v>
      </c>
      <c r="J7" s="572">
        <f>Main!$D$30</f>
        <v>0</v>
      </c>
      <c r="K7" s="573"/>
      <c r="L7" s="131"/>
      <c r="M7" s="571" t="s">
        <v>163</v>
      </c>
      <c r="N7" s="571"/>
      <c r="O7" s="571"/>
    </row>
    <row r="8" spans="1:17" x14ac:dyDescent="0.2">
      <c r="B8" s="145"/>
      <c r="C8" s="81"/>
      <c r="D8" s="44"/>
      <c r="E8" s="44"/>
      <c r="F8" s="44"/>
      <c r="G8" s="44"/>
      <c r="I8" s="83"/>
      <c r="J8" s="154"/>
      <c r="K8" s="154"/>
      <c r="L8" s="131"/>
      <c r="M8" s="155"/>
      <c r="N8" s="155"/>
      <c r="O8" s="155"/>
    </row>
    <row r="9" spans="1:17" x14ac:dyDescent="0.2">
      <c r="B9" s="145"/>
      <c r="C9" s="81"/>
      <c r="D9" s="44"/>
      <c r="E9" s="44"/>
      <c r="F9" s="44"/>
      <c r="G9" s="44"/>
      <c r="I9" s="158" t="str">
        <f>IF(Main!K15="SIM Load Hot",Main!N59,"")</f>
        <v/>
      </c>
      <c r="J9" s="156"/>
      <c r="K9" s="154"/>
      <c r="L9" s="131"/>
      <c r="M9" s="155"/>
      <c r="N9" s="155"/>
      <c r="O9" s="155"/>
    </row>
    <row r="10" spans="1:17" s="88" customFormat="1" x14ac:dyDescent="0.2">
      <c r="A10" s="132"/>
      <c r="B10" s="146"/>
      <c r="I10" s="158" t="str">
        <f>IF(OR(Main!E60="",Main!K60=""),IF(OR(Main!E61="",Main!K61=""),"",Main!N61),Main!N60)</f>
        <v/>
      </c>
    </row>
    <row r="11" spans="1:17" s="88" customFormat="1" x14ac:dyDescent="0.2">
      <c r="A11" s="132"/>
      <c r="B11" s="146"/>
      <c r="I11" s="158"/>
    </row>
    <row r="12" spans="1:17" s="88" customFormat="1" x14ac:dyDescent="0.2">
      <c r="A12" s="132"/>
      <c r="B12" s="131">
        <f>DaqBook_RAW_Data!Q2</f>
        <v>0</v>
      </c>
      <c r="C12" s="44" t="str">
        <f>IF(ISBLANK(DaqBook_RAW_Data!R2),"",15)</f>
        <v/>
      </c>
      <c r="D12" s="44" t="str">
        <f>IF(ISBLANK(DaqBook_RAW_Data!S2),"",16)</f>
        <v/>
      </c>
      <c r="E12" s="44" t="str">
        <f>IF(ISBLANK(DaqBook_RAW_Data!T2),"",17)</f>
        <v/>
      </c>
      <c r="F12" s="44" t="str">
        <f>IF(ISBLANK(DaqBook_RAW_Data!U2),"",18)</f>
        <v/>
      </c>
      <c r="G12" s="44" t="str">
        <f>IF(ISBLANK(DaqBook_RAW_Data!V2),"",19)</f>
        <v/>
      </c>
      <c r="H12" s="44" t="str">
        <f>IF(ISBLANK(DaqBook_RAW_Data!W2),"",20)</f>
        <v/>
      </c>
      <c r="I12" s="44" t="str">
        <f>IF(ISBLANK(DaqBook_RAW_Data!X2),"",21)</f>
        <v/>
      </c>
      <c r="J12" s="44" t="str">
        <f>IF(ISBLANK(DaqBook_RAW_Data!Y2),"",22)</f>
        <v/>
      </c>
      <c r="K12" s="44" t="str">
        <f>IF(ISBLANK(DaqBook_RAW_Data!Z2),"",23)</f>
        <v/>
      </c>
      <c r="L12" s="44" t="str">
        <f>IF(ISBLANK(DaqBook_RAW_Data!AA2),"",24)</f>
        <v/>
      </c>
      <c r="M12" s="44" t="str">
        <f>IF(ISBLANK(DaqBook_RAW_Data!AB2),"",25)</f>
        <v/>
      </c>
      <c r="N12" s="44" t="str">
        <f>IF(ISBLANK(DaqBook_RAW_Data!AC2),"",26)</f>
        <v/>
      </c>
      <c r="O12" s="44" t="str">
        <f>IF(ISBLANK(DaqBook_RAW_Data!AD2),"",27)</f>
        <v/>
      </c>
      <c r="P12" s="44" t="str">
        <f>IF(ISBLANK(DaqBook_RAW_Data!AE2),"",28)</f>
        <v/>
      </c>
    </row>
    <row r="13" spans="1:17" s="88" customFormat="1" x14ac:dyDescent="0.2">
      <c r="A13" s="132"/>
      <c r="B13" s="131"/>
      <c r="C13" s="44"/>
      <c r="D13" s="44"/>
      <c r="E13" s="44"/>
      <c r="F13" s="44"/>
      <c r="G13" s="44"/>
      <c r="H13" s="44"/>
      <c r="I13" s="44"/>
      <c r="J13" s="44"/>
      <c r="K13" s="44"/>
      <c r="L13" s="44"/>
      <c r="M13" s="44" t="str">
        <f>IF(ISBLANK(DaqBook_RAW_Data!AB3),"",DaqBook_RAW_Data!AB3)</f>
        <v/>
      </c>
      <c r="N13" s="44" t="str">
        <f>IF(ISBLANK(DaqBook_RAW_Data!AC3),"",DaqBook_RAW_Data!AC3)</f>
        <v/>
      </c>
      <c r="O13" s="44" t="str">
        <f>IF(ISBLANK(DaqBook_RAW_Data!AD3),"",DaqBook_RAW_Data!AD3)</f>
        <v/>
      </c>
      <c r="P13" s="44"/>
    </row>
    <row r="14" spans="1:17" s="88" customFormat="1" x14ac:dyDescent="0.2">
      <c r="A14" s="132" t="str" cm="1">
        <f t="array" ref="A14:A903">TEXT(B14:B903, "h:mm")</f>
        <v/>
      </c>
      <c r="B14" s="131" t="str">
        <f>IFERROR(TIMEVALUE(DaqBook_RAW_Data!Q4),IFERROR(TIMEVALUE(DaqBook_RAW_Data!A4),""))</f>
        <v/>
      </c>
      <c r="C14" s="153" t="str" cm="1">
        <f t="array" ref="C14:P903">IF(DaqBook_RAW_Data!R4:AE893 = "", "", DaqBook_RAW_Data!R4:AE893)</f>
        <v/>
      </c>
      <c r="D14" s="153" t="str">
        <v/>
      </c>
      <c r="E14" s="153" t="str">
        <v/>
      </c>
      <c r="F14" s="153" t="str">
        <v/>
      </c>
      <c r="G14" s="153" t="str">
        <v/>
      </c>
      <c r="H14" s="153" t="str">
        <v/>
      </c>
      <c r="I14" s="153" t="str">
        <v/>
      </c>
      <c r="J14" s="153" t="str">
        <v/>
      </c>
      <c r="K14" s="153" t="str">
        <v/>
      </c>
      <c r="L14" s="153" t="str">
        <v/>
      </c>
      <c r="M14" s="153" t="str">
        <v/>
      </c>
      <c r="N14" s="153" t="str">
        <v/>
      </c>
      <c r="O14" s="153" t="str">
        <v/>
      </c>
      <c r="P14" s="153" t="str">
        <v/>
      </c>
    </row>
    <row r="15" spans="1:17" s="88" customFormat="1" x14ac:dyDescent="0.2">
      <c r="A15" s="132" t="str">
        <v/>
      </c>
      <c r="B15" s="131" t="str">
        <f>IFERROR(TIMEVALUE(DaqBook_RAW_Data!Q5),IFERROR(TIMEVALUE(DaqBook_RAW_Data!A5),""))</f>
        <v/>
      </c>
      <c r="C15" s="153" t="str">
        <v/>
      </c>
      <c r="D15" s="153" t="str">
        <v/>
      </c>
      <c r="E15" s="153" t="str">
        <v/>
      </c>
      <c r="F15" s="153" t="str">
        <v/>
      </c>
      <c r="G15" s="153" t="str">
        <v/>
      </c>
      <c r="H15" s="153" t="str">
        <v/>
      </c>
      <c r="I15" s="153" t="str">
        <v/>
      </c>
      <c r="J15" s="153" t="str">
        <v/>
      </c>
      <c r="K15" s="153" t="str">
        <v/>
      </c>
      <c r="L15" s="153" t="str">
        <v/>
      </c>
      <c r="M15" s="153" t="str">
        <v/>
      </c>
      <c r="N15" s="153" t="str">
        <v/>
      </c>
      <c r="O15" s="153" t="str">
        <v/>
      </c>
      <c r="P15" s="153" t="str">
        <v/>
      </c>
    </row>
    <row r="16" spans="1:17" s="88" customFormat="1" x14ac:dyDescent="0.2">
      <c r="A16" s="132" t="str">
        <v/>
      </c>
      <c r="B16" s="131" t="str">
        <f>IFERROR(TIMEVALUE(DaqBook_RAW_Data!Q6),IFERROR(TIMEVALUE(DaqBook_RAW_Data!A6),""))</f>
        <v/>
      </c>
      <c r="C16" s="153" t="str">
        <v/>
      </c>
      <c r="D16" s="153" t="str">
        <v/>
      </c>
      <c r="E16" s="153" t="str">
        <v/>
      </c>
      <c r="F16" s="153" t="str">
        <v/>
      </c>
      <c r="G16" s="153" t="str">
        <v/>
      </c>
      <c r="H16" s="153" t="str">
        <v/>
      </c>
      <c r="I16" s="153" t="str">
        <v/>
      </c>
      <c r="J16" s="153" t="str">
        <v/>
      </c>
      <c r="K16" s="153" t="str">
        <v/>
      </c>
      <c r="L16" s="153" t="str">
        <v/>
      </c>
      <c r="M16" s="153" t="str">
        <v/>
      </c>
      <c r="N16" s="153" t="str">
        <v/>
      </c>
      <c r="O16" s="153" t="str">
        <v/>
      </c>
      <c r="P16" s="153" t="str">
        <v/>
      </c>
    </row>
    <row r="17" spans="1:17" s="88" customFormat="1" x14ac:dyDescent="0.2">
      <c r="A17" s="132" t="str">
        <v/>
      </c>
      <c r="B17" s="131" t="str">
        <f>IFERROR(TIMEVALUE(DaqBook_RAW_Data!Q7),IFERROR(TIMEVALUE(DaqBook_RAW_Data!A7),""))</f>
        <v/>
      </c>
      <c r="C17" s="153" t="str">
        <v/>
      </c>
      <c r="D17" s="153" t="str">
        <v/>
      </c>
      <c r="E17" s="153" t="str">
        <v/>
      </c>
      <c r="F17" s="153" t="str">
        <v/>
      </c>
      <c r="G17" s="153" t="str">
        <v/>
      </c>
      <c r="H17" s="153" t="str">
        <v/>
      </c>
      <c r="I17" s="153" t="str">
        <v/>
      </c>
      <c r="J17" s="153" t="str">
        <v/>
      </c>
      <c r="K17" s="153" t="str">
        <v/>
      </c>
      <c r="L17" s="153" t="str">
        <v/>
      </c>
      <c r="M17" s="153" t="str">
        <v/>
      </c>
      <c r="N17" s="153" t="str">
        <v/>
      </c>
      <c r="O17" s="153" t="str">
        <v/>
      </c>
      <c r="P17" s="153" t="str">
        <v/>
      </c>
    </row>
    <row r="18" spans="1:17" s="88" customFormat="1" x14ac:dyDescent="0.2">
      <c r="A18" s="132" t="str">
        <v/>
      </c>
      <c r="B18" s="131" t="str">
        <f>IFERROR(TIMEVALUE(DaqBook_RAW_Data!Q8),IFERROR(TIMEVALUE(DaqBook_RAW_Data!A8),""))</f>
        <v/>
      </c>
      <c r="C18" s="153" t="str">
        <v/>
      </c>
      <c r="D18" s="153" t="str">
        <v/>
      </c>
      <c r="E18" s="153" t="str">
        <v/>
      </c>
      <c r="F18" s="153" t="str">
        <v/>
      </c>
      <c r="G18" s="153" t="str">
        <v/>
      </c>
      <c r="H18" s="153" t="str">
        <v/>
      </c>
      <c r="I18" s="153" t="str">
        <v/>
      </c>
      <c r="J18" s="153" t="str">
        <v/>
      </c>
      <c r="K18" s="153" t="str">
        <v/>
      </c>
      <c r="L18" s="153" t="str">
        <v/>
      </c>
      <c r="M18" s="153" t="str">
        <v/>
      </c>
      <c r="N18" s="153" t="str">
        <v/>
      </c>
      <c r="O18" s="153" t="str">
        <v/>
      </c>
      <c r="P18" s="153" t="str">
        <v/>
      </c>
    </row>
    <row r="19" spans="1:17" s="88" customFormat="1" x14ac:dyDescent="0.2">
      <c r="A19" s="132" t="str">
        <v/>
      </c>
      <c r="B19" s="131" t="str">
        <f>IFERROR(TIMEVALUE(DaqBook_RAW_Data!Q9),IFERROR(TIMEVALUE(DaqBook_RAW_Data!A9),""))</f>
        <v/>
      </c>
      <c r="C19" s="153" t="str">
        <v/>
      </c>
      <c r="D19" s="153" t="str">
        <v/>
      </c>
      <c r="E19" s="153" t="str">
        <v/>
      </c>
      <c r="F19" s="153" t="str">
        <v/>
      </c>
      <c r="G19" s="153" t="str">
        <v/>
      </c>
      <c r="H19" s="153" t="str">
        <v/>
      </c>
      <c r="I19" s="153" t="str">
        <v/>
      </c>
      <c r="J19" s="153" t="str">
        <v/>
      </c>
      <c r="K19" s="153" t="str">
        <v/>
      </c>
      <c r="L19" s="153" t="str">
        <v/>
      </c>
      <c r="M19" s="153" t="str">
        <v/>
      </c>
      <c r="N19" s="153" t="str">
        <v/>
      </c>
      <c r="O19" s="153" t="str">
        <v/>
      </c>
      <c r="P19" s="153" t="str">
        <v/>
      </c>
    </row>
    <row r="20" spans="1:17" s="88" customFormat="1" x14ac:dyDescent="0.2">
      <c r="A20" s="132" t="str">
        <v/>
      </c>
      <c r="B20" s="131" t="str">
        <f>IFERROR(TIMEVALUE(DaqBook_RAW_Data!Q10),IFERROR(TIMEVALUE(DaqBook_RAW_Data!A10),""))</f>
        <v/>
      </c>
      <c r="C20" s="153" t="str">
        <v/>
      </c>
      <c r="D20" s="153" t="str">
        <v/>
      </c>
      <c r="E20" s="153" t="str">
        <v/>
      </c>
      <c r="F20" s="153" t="str">
        <v/>
      </c>
      <c r="G20" s="153" t="str">
        <v/>
      </c>
      <c r="H20" s="153" t="str">
        <v/>
      </c>
      <c r="I20" s="153" t="str">
        <v/>
      </c>
      <c r="J20" s="153" t="str">
        <v/>
      </c>
      <c r="K20" s="153" t="str">
        <v/>
      </c>
      <c r="L20" s="153" t="str">
        <v/>
      </c>
      <c r="M20" s="153" t="str">
        <v/>
      </c>
      <c r="N20" s="153" t="str">
        <v/>
      </c>
      <c r="O20" s="153" t="str">
        <v/>
      </c>
      <c r="P20" s="153" t="str">
        <v/>
      </c>
    </row>
    <row r="21" spans="1:17" s="88" customFormat="1" x14ac:dyDescent="0.2">
      <c r="A21" s="132" t="str">
        <v/>
      </c>
      <c r="B21" s="131" t="str">
        <f>IFERROR(TIMEVALUE(DaqBook_RAW_Data!Q11),IFERROR(TIMEVALUE(DaqBook_RAW_Data!A11),""))</f>
        <v/>
      </c>
      <c r="C21" s="153" t="str">
        <v/>
      </c>
      <c r="D21" s="153" t="str">
        <v/>
      </c>
      <c r="E21" s="153" t="str">
        <v/>
      </c>
      <c r="F21" s="153" t="str">
        <v/>
      </c>
      <c r="G21" s="153" t="str">
        <v/>
      </c>
      <c r="H21" s="153" t="str">
        <v/>
      </c>
      <c r="I21" s="153" t="str">
        <v/>
      </c>
      <c r="J21" s="153" t="str">
        <v/>
      </c>
      <c r="K21" s="153" t="str">
        <v/>
      </c>
      <c r="L21" s="153" t="str">
        <v/>
      </c>
      <c r="M21" s="153" t="str">
        <v/>
      </c>
      <c r="N21" s="153" t="str">
        <v/>
      </c>
      <c r="O21" s="153" t="str">
        <v/>
      </c>
      <c r="P21" s="153" t="str">
        <v/>
      </c>
    </row>
    <row r="22" spans="1:17" s="88" customFormat="1" x14ac:dyDescent="0.2">
      <c r="A22" s="132" t="str">
        <v/>
      </c>
      <c r="B22" s="131" t="str">
        <f>IFERROR(TIMEVALUE(DaqBook_RAW_Data!Q12),IFERROR(TIMEVALUE(DaqBook_RAW_Data!A12),""))</f>
        <v/>
      </c>
      <c r="C22" s="153" t="str">
        <v/>
      </c>
      <c r="D22" s="153" t="str">
        <v/>
      </c>
      <c r="E22" s="153" t="str">
        <v/>
      </c>
      <c r="F22" s="153" t="str">
        <v/>
      </c>
      <c r="G22" s="153" t="str">
        <v/>
      </c>
      <c r="H22" s="153" t="str">
        <v/>
      </c>
      <c r="I22" s="153" t="str">
        <v/>
      </c>
      <c r="J22" s="153" t="str">
        <v/>
      </c>
      <c r="K22" s="153" t="str">
        <v/>
      </c>
      <c r="L22" s="153" t="str">
        <v/>
      </c>
      <c r="M22" s="153" t="str">
        <v/>
      </c>
      <c r="N22" s="153" t="str">
        <v/>
      </c>
      <c r="O22" s="153" t="str">
        <v/>
      </c>
      <c r="P22" s="153" t="str">
        <v/>
      </c>
    </row>
    <row r="23" spans="1:17" s="88" customFormat="1" x14ac:dyDescent="0.2">
      <c r="A23" s="132" t="str">
        <v/>
      </c>
      <c r="B23" s="131" t="str">
        <f>IFERROR(TIMEVALUE(DaqBook_RAW_Data!Q13),IFERROR(TIMEVALUE(DaqBook_RAW_Data!A13),""))</f>
        <v/>
      </c>
      <c r="C23" s="153" t="str">
        <v/>
      </c>
      <c r="D23" s="153" t="str">
        <v/>
      </c>
      <c r="E23" s="153" t="str">
        <v/>
      </c>
      <c r="F23" s="153" t="str">
        <v/>
      </c>
      <c r="G23" s="153" t="str">
        <v/>
      </c>
      <c r="H23" s="153" t="str">
        <v/>
      </c>
      <c r="I23" s="153" t="str">
        <v/>
      </c>
      <c r="J23" s="153" t="str">
        <v/>
      </c>
      <c r="K23" s="153" t="str">
        <v/>
      </c>
      <c r="L23" s="153" t="str">
        <v/>
      </c>
      <c r="M23" s="153" t="str">
        <v/>
      </c>
      <c r="N23" s="153" t="str">
        <v/>
      </c>
      <c r="O23" s="153" t="str">
        <v/>
      </c>
      <c r="P23" s="153" t="str">
        <v/>
      </c>
    </row>
    <row r="24" spans="1:17" s="88" customFormat="1" x14ac:dyDescent="0.2">
      <c r="A24" s="132" t="str">
        <v/>
      </c>
      <c r="B24" s="131" t="str">
        <f>IFERROR(TIMEVALUE(DaqBook_RAW_Data!Q14),IFERROR(TIMEVALUE(DaqBook_RAW_Data!A14),""))</f>
        <v/>
      </c>
      <c r="C24" s="153" t="str">
        <v/>
      </c>
      <c r="D24" s="153" t="str">
        <v/>
      </c>
      <c r="E24" s="153" t="str">
        <v/>
      </c>
      <c r="F24" s="153" t="str">
        <v/>
      </c>
      <c r="G24" s="153" t="str">
        <v/>
      </c>
      <c r="H24" s="153" t="str">
        <v/>
      </c>
      <c r="I24" s="153" t="str">
        <v/>
      </c>
      <c r="J24" s="153" t="str">
        <v/>
      </c>
      <c r="K24" s="153" t="str">
        <v/>
      </c>
      <c r="L24" s="153" t="str">
        <v/>
      </c>
      <c r="M24" s="153" t="str">
        <v/>
      </c>
      <c r="N24" s="153" t="str">
        <v/>
      </c>
      <c r="O24" s="153" t="str">
        <v/>
      </c>
      <c r="P24" s="153" t="str">
        <v/>
      </c>
    </row>
    <row r="25" spans="1:17" s="88" customFormat="1" x14ac:dyDescent="0.2">
      <c r="A25" s="132" t="str">
        <v/>
      </c>
      <c r="B25" s="131" t="str">
        <f>IFERROR(TIMEVALUE(DaqBook_RAW_Data!Q15),IFERROR(TIMEVALUE(DaqBook_RAW_Data!A15),""))</f>
        <v/>
      </c>
      <c r="C25" s="153" t="str">
        <v/>
      </c>
      <c r="D25" s="153" t="str">
        <v/>
      </c>
      <c r="E25" s="153" t="str">
        <v/>
      </c>
      <c r="F25" s="153" t="str">
        <v/>
      </c>
      <c r="G25" s="153" t="str">
        <v/>
      </c>
      <c r="H25" s="153" t="str">
        <v/>
      </c>
      <c r="I25" s="153" t="str">
        <v/>
      </c>
      <c r="J25" s="153" t="str">
        <v/>
      </c>
      <c r="K25" s="153" t="str">
        <v/>
      </c>
      <c r="L25" s="153" t="str">
        <v/>
      </c>
      <c r="M25" s="153" t="str">
        <v/>
      </c>
      <c r="N25" s="153" t="str">
        <v/>
      </c>
      <c r="O25" s="153" t="str">
        <v/>
      </c>
      <c r="P25" s="153" t="str">
        <v/>
      </c>
    </row>
    <row r="26" spans="1:17" s="88" customFormat="1" x14ac:dyDescent="0.2">
      <c r="A26" s="132" t="str">
        <v/>
      </c>
      <c r="B26" s="131" t="str">
        <f>IFERROR(TIMEVALUE(DaqBook_RAW_Data!Q16),IFERROR(TIMEVALUE(DaqBook_RAW_Data!A16),""))</f>
        <v/>
      </c>
      <c r="C26" s="153" t="str">
        <v/>
      </c>
      <c r="D26" s="153" t="str">
        <v/>
      </c>
      <c r="E26" s="153" t="str">
        <v/>
      </c>
      <c r="F26" s="153" t="str">
        <v/>
      </c>
      <c r="G26" s="153" t="str">
        <v/>
      </c>
      <c r="H26" s="153" t="str">
        <v/>
      </c>
      <c r="I26" s="153" t="str">
        <v/>
      </c>
      <c r="J26" s="153" t="str">
        <v/>
      </c>
      <c r="K26" s="153" t="str">
        <v/>
      </c>
      <c r="L26" s="153" t="str">
        <v/>
      </c>
      <c r="M26" s="153" t="str">
        <v/>
      </c>
      <c r="N26" s="153" t="str">
        <v/>
      </c>
      <c r="O26" s="153" t="str">
        <v/>
      </c>
      <c r="P26" s="153" t="str">
        <v/>
      </c>
    </row>
    <row r="27" spans="1:17" s="88" customFormat="1" x14ac:dyDescent="0.2">
      <c r="A27" s="132" t="str">
        <v/>
      </c>
      <c r="B27" s="131" t="str">
        <f>IFERROR(TIMEVALUE(DaqBook_RAW_Data!Q17),IFERROR(TIMEVALUE(DaqBook_RAW_Data!A17),""))</f>
        <v/>
      </c>
      <c r="C27" s="153" t="str">
        <v/>
      </c>
      <c r="D27" s="153" t="str">
        <v/>
      </c>
      <c r="E27" s="153" t="str">
        <v/>
      </c>
      <c r="F27" s="153" t="str">
        <v/>
      </c>
      <c r="G27" s="153" t="str">
        <v/>
      </c>
      <c r="H27" s="153" t="str">
        <v/>
      </c>
      <c r="I27" s="153" t="str">
        <v/>
      </c>
      <c r="J27" s="153" t="str">
        <v/>
      </c>
      <c r="K27" s="153" t="str">
        <v/>
      </c>
      <c r="L27" s="153" t="str">
        <v/>
      </c>
      <c r="M27" s="153" t="str">
        <v/>
      </c>
      <c r="N27" s="153" t="str">
        <v/>
      </c>
      <c r="O27" s="153" t="str">
        <v/>
      </c>
      <c r="P27" s="153" t="str">
        <v/>
      </c>
      <c r="Q27" s="133"/>
    </row>
    <row r="28" spans="1:17" s="88" customFormat="1" x14ac:dyDescent="0.2">
      <c r="A28" s="132" t="str">
        <v/>
      </c>
      <c r="B28" s="131" t="str">
        <f>IFERROR(TIMEVALUE(DaqBook_RAW_Data!Q18),IFERROR(TIMEVALUE(DaqBook_RAW_Data!A18),""))</f>
        <v/>
      </c>
      <c r="C28" s="153" t="str">
        <v/>
      </c>
      <c r="D28" s="153" t="str">
        <v/>
      </c>
      <c r="E28" s="153" t="str">
        <v/>
      </c>
      <c r="F28" s="153" t="str">
        <v/>
      </c>
      <c r="G28" s="153" t="str">
        <v/>
      </c>
      <c r="H28" s="153" t="str">
        <v/>
      </c>
      <c r="I28" s="153" t="str">
        <v/>
      </c>
      <c r="J28" s="153" t="str">
        <v/>
      </c>
      <c r="K28" s="153" t="str">
        <v/>
      </c>
      <c r="L28" s="153" t="str">
        <v/>
      </c>
      <c r="M28" s="153" t="str">
        <v/>
      </c>
      <c r="N28" s="153" t="str">
        <v/>
      </c>
      <c r="O28" s="153" t="str">
        <v/>
      </c>
      <c r="P28" s="153" t="str">
        <v/>
      </c>
    </row>
    <row r="29" spans="1:17" s="88" customFormat="1" x14ac:dyDescent="0.2">
      <c r="A29" s="132" t="str">
        <v/>
      </c>
      <c r="B29" s="131" t="str">
        <f>IFERROR(TIMEVALUE(DaqBook_RAW_Data!Q19),IFERROR(TIMEVALUE(DaqBook_RAW_Data!A19),""))</f>
        <v/>
      </c>
      <c r="C29" s="153" t="str">
        <v/>
      </c>
      <c r="D29" s="153" t="str">
        <v/>
      </c>
      <c r="E29" s="153" t="str">
        <v/>
      </c>
      <c r="F29" s="153" t="str">
        <v/>
      </c>
      <c r="G29" s="153" t="str">
        <v/>
      </c>
      <c r="H29" s="153" t="str">
        <v/>
      </c>
      <c r="I29" s="153" t="str">
        <v/>
      </c>
      <c r="J29" s="153" t="str">
        <v/>
      </c>
      <c r="K29" s="153" t="str">
        <v/>
      </c>
      <c r="L29" s="153" t="str">
        <v/>
      </c>
      <c r="M29" s="153" t="str">
        <v/>
      </c>
      <c r="N29" s="153" t="str">
        <v/>
      </c>
      <c r="O29" s="153" t="str">
        <v/>
      </c>
      <c r="P29" s="153" t="str">
        <v/>
      </c>
    </row>
    <row r="30" spans="1:17" s="88" customFormat="1" x14ac:dyDescent="0.2">
      <c r="A30" s="132" t="str">
        <v/>
      </c>
      <c r="B30" s="131" t="str">
        <f>IFERROR(TIMEVALUE(DaqBook_RAW_Data!Q20),IFERROR(TIMEVALUE(DaqBook_RAW_Data!A20),""))</f>
        <v/>
      </c>
      <c r="C30" s="153" t="str">
        <v/>
      </c>
      <c r="D30" s="153" t="str">
        <v/>
      </c>
      <c r="E30" s="153" t="str">
        <v/>
      </c>
      <c r="F30" s="153" t="str">
        <v/>
      </c>
      <c r="G30" s="153" t="str">
        <v/>
      </c>
      <c r="H30" s="153" t="str">
        <v/>
      </c>
      <c r="I30" s="153" t="str">
        <v/>
      </c>
      <c r="J30" s="153" t="str">
        <v/>
      </c>
      <c r="K30" s="153" t="str">
        <v/>
      </c>
      <c r="L30" s="153" t="str">
        <v/>
      </c>
      <c r="M30" s="153" t="str">
        <v/>
      </c>
      <c r="N30" s="153" t="str">
        <v/>
      </c>
      <c r="O30" s="153" t="str">
        <v/>
      </c>
      <c r="P30" s="153" t="str">
        <v/>
      </c>
    </row>
    <row r="31" spans="1:17" s="88" customFormat="1" x14ac:dyDescent="0.2">
      <c r="A31" s="132" t="str">
        <v/>
      </c>
      <c r="B31" s="131" t="str">
        <f>IFERROR(TIMEVALUE(DaqBook_RAW_Data!Q21),IFERROR(TIMEVALUE(DaqBook_RAW_Data!A21),""))</f>
        <v/>
      </c>
      <c r="C31" s="153" t="str">
        <v/>
      </c>
      <c r="D31" s="153" t="str">
        <v/>
      </c>
      <c r="E31" s="153" t="str">
        <v/>
      </c>
      <c r="F31" s="153" t="str">
        <v/>
      </c>
      <c r="G31" s="153" t="str">
        <v/>
      </c>
      <c r="H31" s="153" t="str">
        <v/>
      </c>
      <c r="I31" s="153" t="str">
        <v/>
      </c>
      <c r="J31" s="153" t="str">
        <v/>
      </c>
      <c r="K31" s="153" t="str">
        <v/>
      </c>
      <c r="L31" s="153" t="str">
        <v/>
      </c>
      <c r="M31" s="153" t="str">
        <v/>
      </c>
      <c r="N31" s="153" t="str">
        <v/>
      </c>
      <c r="O31" s="153" t="str">
        <v/>
      </c>
      <c r="P31" s="153" t="str">
        <v/>
      </c>
    </row>
    <row r="32" spans="1:17" s="88" customFormat="1" x14ac:dyDescent="0.2">
      <c r="A32" s="132" t="str">
        <v/>
      </c>
      <c r="B32" s="131" t="str">
        <f>IFERROR(TIMEVALUE(DaqBook_RAW_Data!Q22),IFERROR(TIMEVALUE(DaqBook_RAW_Data!A22),""))</f>
        <v/>
      </c>
      <c r="C32" s="153" t="str">
        <v/>
      </c>
      <c r="D32" s="153" t="str">
        <v/>
      </c>
      <c r="E32" s="153" t="str">
        <v/>
      </c>
      <c r="F32" s="153" t="str">
        <v/>
      </c>
      <c r="G32" s="153" t="str">
        <v/>
      </c>
      <c r="H32" s="153" t="str">
        <v/>
      </c>
      <c r="I32" s="153" t="str">
        <v/>
      </c>
      <c r="J32" s="153" t="str">
        <v/>
      </c>
      <c r="K32" s="153" t="str">
        <v/>
      </c>
      <c r="L32" s="153" t="str">
        <v/>
      </c>
      <c r="M32" s="153" t="str">
        <v/>
      </c>
      <c r="N32" s="153" t="str">
        <v/>
      </c>
      <c r="O32" s="153" t="str">
        <v/>
      </c>
      <c r="P32" s="153" t="str">
        <v/>
      </c>
    </row>
    <row r="33" spans="1:16" s="88" customFormat="1" x14ac:dyDescent="0.2">
      <c r="A33" s="132" t="str">
        <v/>
      </c>
      <c r="B33" s="131" t="str">
        <f>IFERROR(TIMEVALUE(DaqBook_RAW_Data!Q23),IFERROR(TIMEVALUE(DaqBook_RAW_Data!A23),""))</f>
        <v/>
      </c>
      <c r="C33" s="153" t="str">
        <v/>
      </c>
      <c r="D33" s="153" t="str">
        <v/>
      </c>
      <c r="E33" s="153" t="str">
        <v/>
      </c>
      <c r="F33" s="153" t="str">
        <v/>
      </c>
      <c r="G33" s="153" t="str">
        <v/>
      </c>
      <c r="H33" s="153" t="str">
        <v/>
      </c>
      <c r="I33" s="153" t="str">
        <v/>
      </c>
      <c r="J33" s="153" t="str">
        <v/>
      </c>
      <c r="K33" s="153" t="str">
        <v/>
      </c>
      <c r="L33" s="153" t="str">
        <v/>
      </c>
      <c r="M33" s="153" t="str">
        <v/>
      </c>
      <c r="N33" s="153" t="str">
        <v/>
      </c>
      <c r="O33" s="153" t="str">
        <v/>
      </c>
      <c r="P33" s="153" t="str">
        <v/>
      </c>
    </row>
    <row r="34" spans="1:16" s="88" customFormat="1" x14ac:dyDescent="0.2">
      <c r="A34" s="132" t="str">
        <v/>
      </c>
      <c r="B34" s="131" t="str">
        <f>IFERROR(TIMEVALUE(DaqBook_RAW_Data!Q24),IFERROR(TIMEVALUE(DaqBook_RAW_Data!A24),""))</f>
        <v/>
      </c>
      <c r="C34" s="153" t="str">
        <v/>
      </c>
      <c r="D34" s="153" t="str">
        <v/>
      </c>
      <c r="E34" s="153" t="str">
        <v/>
      </c>
      <c r="F34" s="153" t="str">
        <v/>
      </c>
      <c r="G34" s="153" t="str">
        <v/>
      </c>
      <c r="H34" s="153" t="str">
        <v/>
      </c>
      <c r="I34" s="153" t="str">
        <v/>
      </c>
      <c r="J34" s="153" t="str">
        <v/>
      </c>
      <c r="K34" s="153" t="str">
        <v/>
      </c>
      <c r="L34" s="153" t="str">
        <v/>
      </c>
      <c r="M34" s="153" t="str">
        <v/>
      </c>
      <c r="N34" s="153" t="str">
        <v/>
      </c>
      <c r="O34" s="153" t="str">
        <v/>
      </c>
      <c r="P34" s="153" t="str">
        <v/>
      </c>
    </row>
    <row r="35" spans="1:16" s="88" customFormat="1" x14ac:dyDescent="0.2">
      <c r="A35" s="132" t="str">
        <v/>
      </c>
      <c r="B35" s="131" t="str">
        <f>IFERROR(TIMEVALUE(DaqBook_RAW_Data!Q25),IFERROR(TIMEVALUE(DaqBook_RAW_Data!A25),""))</f>
        <v/>
      </c>
      <c r="C35" s="153" t="str">
        <v/>
      </c>
      <c r="D35" s="153" t="str">
        <v/>
      </c>
      <c r="E35" s="153" t="str">
        <v/>
      </c>
      <c r="F35" s="153" t="str">
        <v/>
      </c>
      <c r="G35" s="153" t="str">
        <v/>
      </c>
      <c r="H35" s="153" t="str">
        <v/>
      </c>
      <c r="I35" s="153" t="str">
        <v/>
      </c>
      <c r="J35" s="153" t="str">
        <v/>
      </c>
      <c r="K35" s="153" t="str">
        <v/>
      </c>
      <c r="L35" s="153" t="str">
        <v/>
      </c>
      <c r="M35" s="153" t="str">
        <v/>
      </c>
      <c r="N35" s="153" t="str">
        <v/>
      </c>
      <c r="O35" s="153" t="str">
        <v/>
      </c>
      <c r="P35" s="153" t="str">
        <v/>
      </c>
    </row>
    <row r="36" spans="1:16" s="88" customFormat="1" x14ac:dyDescent="0.2">
      <c r="A36" s="132" t="str">
        <v/>
      </c>
      <c r="B36" s="131" t="str">
        <f>IFERROR(TIMEVALUE(DaqBook_RAW_Data!Q26),IFERROR(TIMEVALUE(DaqBook_RAW_Data!A26),""))</f>
        <v/>
      </c>
      <c r="C36" s="153" t="str">
        <v/>
      </c>
      <c r="D36" s="153" t="str">
        <v/>
      </c>
      <c r="E36" s="153" t="str">
        <v/>
      </c>
      <c r="F36" s="153" t="str">
        <v/>
      </c>
      <c r="G36" s="153" t="str">
        <v/>
      </c>
      <c r="H36" s="153" t="str">
        <v/>
      </c>
      <c r="I36" s="153" t="str">
        <v/>
      </c>
      <c r="J36" s="153" t="str">
        <v/>
      </c>
      <c r="K36" s="153" t="str">
        <v/>
      </c>
      <c r="L36" s="153" t="str">
        <v/>
      </c>
      <c r="M36" s="153" t="str">
        <v/>
      </c>
      <c r="N36" s="153" t="str">
        <v/>
      </c>
      <c r="O36" s="153" t="str">
        <v/>
      </c>
      <c r="P36" s="153" t="str">
        <v/>
      </c>
    </row>
    <row r="37" spans="1:16" s="88" customFormat="1" x14ac:dyDescent="0.2">
      <c r="A37" s="132" t="str">
        <v/>
      </c>
      <c r="B37" s="131" t="str">
        <f>IFERROR(TIMEVALUE(DaqBook_RAW_Data!Q27),IFERROR(TIMEVALUE(DaqBook_RAW_Data!A27),""))</f>
        <v/>
      </c>
      <c r="C37" s="153" t="str">
        <v/>
      </c>
      <c r="D37" s="153" t="str">
        <v/>
      </c>
      <c r="E37" s="153" t="str">
        <v/>
      </c>
      <c r="F37" s="153" t="str">
        <v/>
      </c>
      <c r="G37" s="153" t="str">
        <v/>
      </c>
      <c r="H37" s="153" t="str">
        <v/>
      </c>
      <c r="I37" s="153" t="str">
        <v/>
      </c>
      <c r="J37" s="153" t="str">
        <v/>
      </c>
      <c r="K37" s="153" t="str">
        <v/>
      </c>
      <c r="L37" s="153" t="str">
        <v/>
      </c>
      <c r="M37" s="153" t="str">
        <v/>
      </c>
      <c r="N37" s="153" t="str">
        <v/>
      </c>
      <c r="O37" s="153" t="str">
        <v/>
      </c>
      <c r="P37" s="153" t="str">
        <v/>
      </c>
    </row>
    <row r="38" spans="1:16" s="88" customFormat="1" x14ac:dyDescent="0.2">
      <c r="A38" s="132" t="str">
        <v/>
      </c>
      <c r="B38" s="131" t="str">
        <f>IFERROR(TIMEVALUE(DaqBook_RAW_Data!Q28),IFERROR(TIMEVALUE(DaqBook_RAW_Data!A28),""))</f>
        <v/>
      </c>
      <c r="C38" s="153" t="str">
        <v/>
      </c>
      <c r="D38" s="153" t="str">
        <v/>
      </c>
      <c r="E38" s="153" t="str">
        <v/>
      </c>
      <c r="F38" s="153" t="str">
        <v/>
      </c>
      <c r="G38" s="153" t="str">
        <v/>
      </c>
      <c r="H38" s="153" t="str">
        <v/>
      </c>
      <c r="I38" s="153" t="str">
        <v/>
      </c>
      <c r="J38" s="153" t="str">
        <v/>
      </c>
      <c r="K38" s="153" t="str">
        <v/>
      </c>
      <c r="L38" s="153" t="str">
        <v/>
      </c>
      <c r="M38" s="153" t="str">
        <v/>
      </c>
      <c r="N38" s="153" t="str">
        <v/>
      </c>
      <c r="O38" s="153" t="str">
        <v/>
      </c>
      <c r="P38" s="153" t="str">
        <v/>
      </c>
    </row>
    <row r="39" spans="1:16" s="88" customFormat="1" x14ac:dyDescent="0.2">
      <c r="A39" s="132" t="str">
        <v/>
      </c>
      <c r="B39" s="131" t="str">
        <f>IFERROR(TIMEVALUE(DaqBook_RAW_Data!Q29),IFERROR(TIMEVALUE(DaqBook_RAW_Data!A29),""))</f>
        <v/>
      </c>
      <c r="C39" s="153" t="str">
        <v/>
      </c>
      <c r="D39" s="153" t="str">
        <v/>
      </c>
      <c r="E39" s="153" t="str">
        <v/>
      </c>
      <c r="F39" s="153" t="str">
        <v/>
      </c>
      <c r="G39" s="153" t="str">
        <v/>
      </c>
      <c r="H39" s="153" t="str">
        <v/>
      </c>
      <c r="I39" s="153" t="str">
        <v/>
      </c>
      <c r="J39" s="153" t="str">
        <v/>
      </c>
      <c r="K39" s="153" t="str">
        <v/>
      </c>
      <c r="L39" s="153" t="str">
        <v/>
      </c>
      <c r="M39" s="153" t="str">
        <v/>
      </c>
      <c r="N39" s="153" t="str">
        <v/>
      </c>
      <c r="O39" s="153" t="str">
        <v/>
      </c>
      <c r="P39" s="153" t="str">
        <v/>
      </c>
    </row>
    <row r="40" spans="1:16" s="88" customFormat="1" x14ac:dyDescent="0.2">
      <c r="A40" s="132" t="str">
        <v/>
      </c>
      <c r="B40" s="131" t="str">
        <f>IFERROR(TIMEVALUE(DaqBook_RAW_Data!Q30),IFERROR(TIMEVALUE(DaqBook_RAW_Data!A30),""))</f>
        <v/>
      </c>
      <c r="C40" s="153" t="str">
        <v/>
      </c>
      <c r="D40" s="153" t="str">
        <v/>
      </c>
      <c r="E40" s="153" t="str">
        <v/>
      </c>
      <c r="F40" s="153" t="str">
        <v/>
      </c>
      <c r="G40" s="153" t="str">
        <v/>
      </c>
      <c r="H40" s="153" t="str">
        <v/>
      </c>
      <c r="I40" s="153" t="str">
        <v/>
      </c>
      <c r="J40" s="153" t="str">
        <v/>
      </c>
      <c r="K40" s="153" t="str">
        <v/>
      </c>
      <c r="L40" s="153" t="str">
        <v/>
      </c>
      <c r="M40" s="153" t="str">
        <v/>
      </c>
      <c r="N40" s="153" t="str">
        <v/>
      </c>
      <c r="O40" s="153" t="str">
        <v/>
      </c>
      <c r="P40" s="153" t="str">
        <v/>
      </c>
    </row>
    <row r="41" spans="1:16" s="88" customFormat="1" x14ac:dyDescent="0.2">
      <c r="A41" s="132" t="str">
        <v/>
      </c>
      <c r="B41" s="131" t="str">
        <f>IFERROR(TIMEVALUE(DaqBook_RAW_Data!Q31),IFERROR(TIMEVALUE(DaqBook_RAW_Data!A31),""))</f>
        <v/>
      </c>
      <c r="C41" s="153" t="str">
        <v/>
      </c>
      <c r="D41" s="153" t="str">
        <v/>
      </c>
      <c r="E41" s="153" t="str">
        <v/>
      </c>
      <c r="F41" s="153" t="str">
        <v/>
      </c>
      <c r="G41" s="153" t="str">
        <v/>
      </c>
      <c r="H41" s="153" t="str">
        <v/>
      </c>
      <c r="I41" s="153" t="str">
        <v/>
      </c>
      <c r="J41" s="153" t="str">
        <v/>
      </c>
      <c r="K41" s="153" t="str">
        <v/>
      </c>
      <c r="L41" s="153" t="str">
        <v/>
      </c>
      <c r="M41" s="153" t="str">
        <v/>
      </c>
      <c r="N41" s="153" t="str">
        <v/>
      </c>
      <c r="O41" s="153" t="str">
        <v/>
      </c>
      <c r="P41" s="153" t="str">
        <v/>
      </c>
    </row>
    <row r="42" spans="1:16" s="88" customFormat="1" x14ac:dyDescent="0.2">
      <c r="A42" s="132" t="str">
        <v/>
      </c>
      <c r="B42" s="131" t="str">
        <f>IFERROR(TIMEVALUE(DaqBook_RAW_Data!Q32),IFERROR(TIMEVALUE(DaqBook_RAW_Data!A32),""))</f>
        <v/>
      </c>
      <c r="C42" s="153" t="str">
        <v/>
      </c>
      <c r="D42" s="153" t="str">
        <v/>
      </c>
      <c r="E42" s="153" t="str">
        <v/>
      </c>
      <c r="F42" s="153" t="str">
        <v/>
      </c>
      <c r="G42" s="153" t="str">
        <v/>
      </c>
      <c r="H42" s="153" t="str">
        <v/>
      </c>
      <c r="I42" s="153" t="str">
        <v/>
      </c>
      <c r="J42" s="153" t="str">
        <v/>
      </c>
      <c r="K42" s="153" t="str">
        <v/>
      </c>
      <c r="L42" s="153" t="str">
        <v/>
      </c>
      <c r="M42" s="153" t="str">
        <v/>
      </c>
      <c r="N42" s="153" t="str">
        <v/>
      </c>
      <c r="O42" s="153" t="str">
        <v/>
      </c>
      <c r="P42" s="153" t="str">
        <v/>
      </c>
    </row>
    <row r="43" spans="1:16" s="88" customFormat="1" x14ac:dyDescent="0.2">
      <c r="A43" s="132" t="str">
        <v/>
      </c>
      <c r="B43" s="131" t="str">
        <f>IFERROR(TIMEVALUE(DaqBook_RAW_Data!Q33),IFERROR(TIMEVALUE(DaqBook_RAW_Data!A33),""))</f>
        <v/>
      </c>
      <c r="C43" s="153" t="str">
        <v/>
      </c>
      <c r="D43" s="153" t="str">
        <v/>
      </c>
      <c r="E43" s="153" t="str">
        <v/>
      </c>
      <c r="F43" s="153" t="str">
        <v/>
      </c>
      <c r="G43" s="153" t="str">
        <v/>
      </c>
      <c r="H43" s="153" t="str">
        <v/>
      </c>
      <c r="I43" s="153" t="str">
        <v/>
      </c>
      <c r="J43" s="153" t="str">
        <v/>
      </c>
      <c r="K43" s="153" t="str">
        <v/>
      </c>
      <c r="L43" s="153" t="str">
        <v/>
      </c>
      <c r="M43" s="153" t="str">
        <v/>
      </c>
      <c r="N43" s="153" t="str">
        <v/>
      </c>
      <c r="O43" s="153" t="str">
        <v/>
      </c>
      <c r="P43" s="153" t="str">
        <v/>
      </c>
    </row>
    <row r="44" spans="1:16" s="88" customFormat="1" x14ac:dyDescent="0.2">
      <c r="A44" s="132" t="str">
        <v/>
      </c>
      <c r="B44" s="131" t="str">
        <f>IFERROR(TIMEVALUE(DaqBook_RAW_Data!Q34),IFERROR(TIMEVALUE(DaqBook_RAW_Data!A34),""))</f>
        <v/>
      </c>
      <c r="C44" s="153" t="str">
        <v/>
      </c>
      <c r="D44" s="153" t="str">
        <v/>
      </c>
      <c r="E44" s="153" t="str">
        <v/>
      </c>
      <c r="F44" s="153" t="str">
        <v/>
      </c>
      <c r="G44" s="153" t="str">
        <v/>
      </c>
      <c r="H44" s="153" t="str">
        <v/>
      </c>
      <c r="I44" s="153" t="str">
        <v/>
      </c>
      <c r="J44" s="153" t="str">
        <v/>
      </c>
      <c r="K44" s="153" t="str">
        <v/>
      </c>
      <c r="L44" s="153" t="str">
        <v/>
      </c>
      <c r="M44" s="153" t="str">
        <v/>
      </c>
      <c r="N44" s="153" t="str">
        <v/>
      </c>
      <c r="O44" s="153" t="str">
        <v/>
      </c>
      <c r="P44" s="153" t="str">
        <v/>
      </c>
    </row>
    <row r="45" spans="1:16" s="88" customFormat="1" x14ac:dyDescent="0.2">
      <c r="A45" s="132" t="str">
        <v/>
      </c>
      <c r="B45" s="131" t="str">
        <f>IFERROR(TIMEVALUE(DaqBook_RAW_Data!Q35),IFERROR(TIMEVALUE(DaqBook_RAW_Data!A35),""))</f>
        <v/>
      </c>
      <c r="C45" s="153" t="str">
        <v/>
      </c>
      <c r="D45" s="153" t="str">
        <v/>
      </c>
      <c r="E45" s="153" t="str">
        <v/>
      </c>
      <c r="F45" s="153" t="str">
        <v/>
      </c>
      <c r="G45" s="153" t="str">
        <v/>
      </c>
      <c r="H45" s="153" t="str">
        <v/>
      </c>
      <c r="I45" s="153" t="str">
        <v/>
      </c>
      <c r="J45" s="153" t="str">
        <v/>
      </c>
      <c r="K45" s="153" t="str">
        <v/>
      </c>
      <c r="L45" s="153" t="str">
        <v/>
      </c>
      <c r="M45" s="153" t="str">
        <v/>
      </c>
      <c r="N45" s="153" t="str">
        <v/>
      </c>
      <c r="O45" s="153" t="str">
        <v/>
      </c>
      <c r="P45" s="153" t="str">
        <v/>
      </c>
    </row>
    <row r="46" spans="1:16" s="88" customFormat="1" x14ac:dyDescent="0.2">
      <c r="A46" s="132" t="str">
        <v/>
      </c>
      <c r="B46" s="131" t="str">
        <f>IFERROR(TIMEVALUE(DaqBook_RAW_Data!Q36),IFERROR(TIMEVALUE(DaqBook_RAW_Data!A36),""))</f>
        <v/>
      </c>
      <c r="C46" s="153" t="str">
        <v/>
      </c>
      <c r="D46" s="153" t="str">
        <v/>
      </c>
      <c r="E46" s="153" t="str">
        <v/>
      </c>
      <c r="F46" s="153" t="str">
        <v/>
      </c>
      <c r="G46" s="153" t="str">
        <v/>
      </c>
      <c r="H46" s="153" t="str">
        <v/>
      </c>
      <c r="I46" s="153" t="str">
        <v/>
      </c>
      <c r="J46" s="153" t="str">
        <v/>
      </c>
      <c r="K46" s="153" t="str">
        <v/>
      </c>
      <c r="L46" s="153" t="str">
        <v/>
      </c>
      <c r="M46" s="153" t="str">
        <v/>
      </c>
      <c r="N46" s="153" t="str">
        <v/>
      </c>
      <c r="O46" s="153" t="str">
        <v/>
      </c>
      <c r="P46" s="153" t="str">
        <v/>
      </c>
    </row>
    <row r="47" spans="1:16" s="88" customFormat="1" x14ac:dyDescent="0.2">
      <c r="A47" s="132" t="str">
        <v/>
      </c>
      <c r="B47" s="131" t="str">
        <f>IFERROR(TIMEVALUE(DaqBook_RAW_Data!Q37),IFERROR(TIMEVALUE(DaqBook_RAW_Data!A37),""))</f>
        <v/>
      </c>
      <c r="C47" s="153" t="str">
        <v/>
      </c>
      <c r="D47" s="153" t="str">
        <v/>
      </c>
      <c r="E47" s="153" t="str">
        <v/>
      </c>
      <c r="F47" s="153" t="str">
        <v/>
      </c>
      <c r="G47" s="153" t="str">
        <v/>
      </c>
      <c r="H47" s="153" t="str">
        <v/>
      </c>
      <c r="I47" s="153" t="str">
        <v/>
      </c>
      <c r="J47" s="153" t="str">
        <v/>
      </c>
      <c r="K47" s="153" t="str">
        <v/>
      </c>
      <c r="L47" s="153" t="str">
        <v/>
      </c>
      <c r="M47" s="153" t="str">
        <v/>
      </c>
      <c r="N47" s="153" t="str">
        <v/>
      </c>
      <c r="O47" s="153" t="str">
        <v/>
      </c>
      <c r="P47" s="153" t="str">
        <v/>
      </c>
    </row>
    <row r="48" spans="1:16" s="88" customFormat="1" x14ac:dyDescent="0.2">
      <c r="A48" s="132" t="str">
        <v/>
      </c>
      <c r="B48" s="131" t="str">
        <f>IFERROR(TIMEVALUE(DaqBook_RAW_Data!Q38),IFERROR(TIMEVALUE(DaqBook_RAW_Data!A38),""))</f>
        <v/>
      </c>
      <c r="C48" s="153" t="str">
        <v/>
      </c>
      <c r="D48" s="153" t="str">
        <v/>
      </c>
      <c r="E48" s="153" t="str">
        <v/>
      </c>
      <c r="F48" s="153" t="str">
        <v/>
      </c>
      <c r="G48" s="153" t="str">
        <v/>
      </c>
      <c r="H48" s="153" t="str">
        <v/>
      </c>
      <c r="I48" s="153" t="str">
        <v/>
      </c>
      <c r="J48" s="153" t="str">
        <v/>
      </c>
      <c r="K48" s="153" t="str">
        <v/>
      </c>
      <c r="L48" s="153" t="str">
        <v/>
      </c>
      <c r="M48" s="153" t="str">
        <v/>
      </c>
      <c r="N48" s="153" t="str">
        <v/>
      </c>
      <c r="O48" s="153" t="str">
        <v/>
      </c>
      <c r="P48" s="153" t="str">
        <v/>
      </c>
    </row>
    <row r="49" spans="1:16" s="88" customFormat="1" x14ac:dyDescent="0.2">
      <c r="A49" s="132" t="str">
        <v/>
      </c>
      <c r="B49" s="131" t="str">
        <f>IFERROR(TIMEVALUE(DaqBook_RAW_Data!Q39),IFERROR(TIMEVALUE(DaqBook_RAW_Data!A39),""))</f>
        <v/>
      </c>
      <c r="C49" s="153" t="str">
        <v/>
      </c>
      <c r="D49" s="153" t="str">
        <v/>
      </c>
      <c r="E49" s="153" t="str">
        <v/>
      </c>
      <c r="F49" s="153" t="str">
        <v/>
      </c>
      <c r="G49" s="153" t="str">
        <v/>
      </c>
      <c r="H49" s="153" t="str">
        <v/>
      </c>
      <c r="I49" s="153" t="str">
        <v/>
      </c>
      <c r="J49" s="153" t="str">
        <v/>
      </c>
      <c r="K49" s="153" t="str">
        <v/>
      </c>
      <c r="L49" s="153" t="str">
        <v/>
      </c>
      <c r="M49" s="153" t="str">
        <v/>
      </c>
      <c r="N49" s="153" t="str">
        <v/>
      </c>
      <c r="O49" s="153" t="str">
        <v/>
      </c>
      <c r="P49" s="153" t="str">
        <v/>
      </c>
    </row>
    <row r="50" spans="1:16" s="88" customFormat="1" x14ac:dyDescent="0.2">
      <c r="A50" s="132" t="str">
        <v/>
      </c>
      <c r="B50" s="131" t="str">
        <f>IFERROR(TIMEVALUE(DaqBook_RAW_Data!Q40),IFERROR(TIMEVALUE(DaqBook_RAW_Data!A40),""))</f>
        <v/>
      </c>
      <c r="C50" s="153" t="str">
        <v/>
      </c>
      <c r="D50" s="153" t="str">
        <v/>
      </c>
      <c r="E50" s="153" t="str">
        <v/>
      </c>
      <c r="F50" s="153" t="str">
        <v/>
      </c>
      <c r="G50" s="153" t="str">
        <v/>
      </c>
      <c r="H50" s="153" t="str">
        <v/>
      </c>
      <c r="I50" s="153" t="str">
        <v/>
      </c>
      <c r="J50" s="153" t="str">
        <v/>
      </c>
      <c r="K50" s="153" t="str">
        <v/>
      </c>
      <c r="L50" s="153" t="str">
        <v/>
      </c>
      <c r="M50" s="153" t="str">
        <v/>
      </c>
      <c r="N50" s="153" t="str">
        <v/>
      </c>
      <c r="O50" s="153" t="str">
        <v/>
      </c>
      <c r="P50" s="153" t="str">
        <v/>
      </c>
    </row>
    <row r="51" spans="1:16" s="88" customFormat="1" x14ac:dyDescent="0.2">
      <c r="A51" s="132" t="str">
        <v/>
      </c>
      <c r="B51" s="131" t="str">
        <f>IFERROR(TIMEVALUE(DaqBook_RAW_Data!Q41),IFERROR(TIMEVALUE(DaqBook_RAW_Data!A41),""))</f>
        <v/>
      </c>
      <c r="C51" s="153" t="str">
        <v/>
      </c>
      <c r="D51" s="153" t="str">
        <v/>
      </c>
      <c r="E51" s="153" t="str">
        <v/>
      </c>
      <c r="F51" s="153" t="str">
        <v/>
      </c>
      <c r="G51" s="153" t="str">
        <v/>
      </c>
      <c r="H51" s="153" t="str">
        <v/>
      </c>
      <c r="I51" s="153" t="str">
        <v/>
      </c>
      <c r="J51" s="153" t="str">
        <v/>
      </c>
      <c r="K51" s="153" t="str">
        <v/>
      </c>
      <c r="L51" s="153" t="str">
        <v/>
      </c>
      <c r="M51" s="153" t="str">
        <v/>
      </c>
      <c r="N51" s="153" t="str">
        <v/>
      </c>
      <c r="O51" s="153" t="str">
        <v/>
      </c>
      <c r="P51" s="153" t="str">
        <v/>
      </c>
    </row>
    <row r="52" spans="1:16" s="88" customFormat="1" x14ac:dyDescent="0.2">
      <c r="A52" s="132" t="str">
        <v/>
      </c>
      <c r="B52" s="131" t="str">
        <f>IFERROR(TIMEVALUE(DaqBook_RAW_Data!Q42),IFERROR(TIMEVALUE(DaqBook_RAW_Data!A42),""))</f>
        <v/>
      </c>
      <c r="C52" s="153" t="str">
        <v/>
      </c>
      <c r="D52" s="153" t="str">
        <v/>
      </c>
      <c r="E52" s="153" t="str">
        <v/>
      </c>
      <c r="F52" s="153" t="str">
        <v/>
      </c>
      <c r="G52" s="153" t="str">
        <v/>
      </c>
      <c r="H52" s="153" t="str">
        <v/>
      </c>
      <c r="I52" s="153" t="str">
        <v/>
      </c>
      <c r="J52" s="153" t="str">
        <v/>
      </c>
      <c r="K52" s="153" t="str">
        <v/>
      </c>
      <c r="L52" s="153" t="str">
        <v/>
      </c>
      <c r="M52" s="153" t="str">
        <v/>
      </c>
      <c r="N52" s="153" t="str">
        <v/>
      </c>
      <c r="O52" s="153" t="str">
        <v/>
      </c>
      <c r="P52" s="153" t="str">
        <v/>
      </c>
    </row>
    <row r="53" spans="1:16" s="88" customFormat="1" x14ac:dyDescent="0.2">
      <c r="A53" s="132" t="str">
        <v/>
      </c>
      <c r="B53" s="131" t="str">
        <f>IFERROR(TIMEVALUE(DaqBook_RAW_Data!Q43),IFERROR(TIMEVALUE(DaqBook_RAW_Data!A43),""))</f>
        <v/>
      </c>
      <c r="C53" s="153" t="str">
        <v/>
      </c>
      <c r="D53" s="153" t="str">
        <v/>
      </c>
      <c r="E53" s="153" t="str">
        <v/>
      </c>
      <c r="F53" s="153" t="str">
        <v/>
      </c>
      <c r="G53" s="153" t="str">
        <v/>
      </c>
      <c r="H53" s="153" t="str">
        <v/>
      </c>
      <c r="I53" s="153" t="str">
        <v/>
      </c>
      <c r="J53" s="153" t="str">
        <v/>
      </c>
      <c r="K53" s="153" t="str">
        <v/>
      </c>
      <c r="L53" s="153" t="str">
        <v/>
      </c>
      <c r="M53" s="153" t="str">
        <v/>
      </c>
      <c r="N53" s="153" t="str">
        <v/>
      </c>
      <c r="O53" s="153" t="str">
        <v/>
      </c>
      <c r="P53" s="153" t="str">
        <v/>
      </c>
    </row>
    <row r="54" spans="1:16" s="88" customFormat="1" x14ac:dyDescent="0.2">
      <c r="A54" s="132" t="str">
        <v/>
      </c>
      <c r="B54" s="131" t="str">
        <f>IFERROR(TIMEVALUE(DaqBook_RAW_Data!Q44),IFERROR(TIMEVALUE(DaqBook_RAW_Data!A44),""))</f>
        <v/>
      </c>
      <c r="C54" s="153" t="str">
        <v/>
      </c>
      <c r="D54" s="153" t="str">
        <v/>
      </c>
      <c r="E54" s="153" t="str">
        <v/>
      </c>
      <c r="F54" s="153" t="str">
        <v/>
      </c>
      <c r="G54" s="153" t="str">
        <v/>
      </c>
      <c r="H54" s="153" t="str">
        <v/>
      </c>
      <c r="I54" s="153" t="str">
        <v/>
      </c>
      <c r="J54" s="153" t="str">
        <v/>
      </c>
      <c r="K54" s="153" t="str">
        <v/>
      </c>
      <c r="L54" s="153" t="str">
        <v/>
      </c>
      <c r="M54" s="153" t="str">
        <v/>
      </c>
      <c r="N54" s="153" t="str">
        <v/>
      </c>
      <c r="O54" s="153" t="str">
        <v/>
      </c>
      <c r="P54" s="153" t="str">
        <v/>
      </c>
    </row>
    <row r="55" spans="1:16" s="88" customFormat="1" x14ac:dyDescent="0.2">
      <c r="A55" s="132" t="str">
        <v/>
      </c>
      <c r="B55" s="131" t="str">
        <f>IFERROR(TIMEVALUE(DaqBook_RAW_Data!Q45),IFERROR(TIMEVALUE(DaqBook_RAW_Data!A45),""))</f>
        <v/>
      </c>
      <c r="C55" s="153" t="str">
        <v/>
      </c>
      <c r="D55" s="153" t="str">
        <v/>
      </c>
      <c r="E55" s="153" t="str">
        <v/>
      </c>
      <c r="F55" s="153" t="str">
        <v/>
      </c>
      <c r="G55" s="153" t="str">
        <v/>
      </c>
      <c r="H55" s="153" t="str">
        <v/>
      </c>
      <c r="I55" s="153" t="str">
        <v/>
      </c>
      <c r="J55" s="153" t="str">
        <v/>
      </c>
      <c r="K55" s="153" t="str">
        <v/>
      </c>
      <c r="L55" s="153" t="str">
        <v/>
      </c>
      <c r="M55" s="153" t="str">
        <v/>
      </c>
      <c r="N55" s="153" t="str">
        <v/>
      </c>
      <c r="O55" s="153" t="str">
        <v/>
      </c>
      <c r="P55" s="153" t="str">
        <v/>
      </c>
    </row>
    <row r="56" spans="1:16" s="88" customFormat="1" x14ac:dyDescent="0.2">
      <c r="A56" s="132" t="str">
        <v/>
      </c>
      <c r="B56" s="131" t="str">
        <f>IFERROR(TIMEVALUE(DaqBook_RAW_Data!Q46),IFERROR(TIMEVALUE(DaqBook_RAW_Data!A46),""))</f>
        <v/>
      </c>
      <c r="C56" s="153" t="str">
        <v/>
      </c>
      <c r="D56" s="153" t="str">
        <v/>
      </c>
      <c r="E56" s="153" t="str">
        <v/>
      </c>
      <c r="F56" s="153" t="str">
        <v/>
      </c>
      <c r="G56" s="153" t="str">
        <v/>
      </c>
      <c r="H56" s="153" t="str">
        <v/>
      </c>
      <c r="I56" s="153" t="str">
        <v/>
      </c>
      <c r="J56" s="153" t="str">
        <v/>
      </c>
      <c r="K56" s="153" t="str">
        <v/>
      </c>
      <c r="L56" s="153" t="str">
        <v/>
      </c>
      <c r="M56" s="153" t="str">
        <v/>
      </c>
      <c r="N56" s="153" t="str">
        <v/>
      </c>
      <c r="O56" s="153" t="str">
        <v/>
      </c>
      <c r="P56" s="153" t="str">
        <v/>
      </c>
    </row>
    <row r="57" spans="1:16" s="88" customFormat="1" x14ac:dyDescent="0.2">
      <c r="A57" s="132" t="str">
        <v/>
      </c>
      <c r="B57" s="131" t="str">
        <f>IFERROR(TIMEVALUE(DaqBook_RAW_Data!Q47),IFERROR(TIMEVALUE(DaqBook_RAW_Data!A47),""))</f>
        <v/>
      </c>
      <c r="C57" s="153" t="str">
        <v/>
      </c>
      <c r="D57" s="153" t="str">
        <v/>
      </c>
      <c r="E57" s="153" t="str">
        <v/>
      </c>
      <c r="F57" s="153" t="str">
        <v/>
      </c>
      <c r="G57" s="153" t="str">
        <v/>
      </c>
      <c r="H57" s="153" t="str">
        <v/>
      </c>
      <c r="I57" s="153" t="str">
        <v/>
      </c>
      <c r="J57" s="153" t="str">
        <v/>
      </c>
      <c r="K57" s="153" t="str">
        <v/>
      </c>
      <c r="L57" s="153" t="str">
        <v/>
      </c>
      <c r="M57" s="153" t="str">
        <v/>
      </c>
      <c r="N57" s="153" t="str">
        <v/>
      </c>
      <c r="O57" s="153" t="str">
        <v/>
      </c>
      <c r="P57" s="153" t="str">
        <v/>
      </c>
    </row>
    <row r="58" spans="1:16" s="88" customFormat="1" x14ac:dyDescent="0.2">
      <c r="A58" s="132" t="str">
        <v/>
      </c>
      <c r="B58" s="131" t="str">
        <f>IFERROR(TIMEVALUE(DaqBook_RAW_Data!Q48),IFERROR(TIMEVALUE(DaqBook_RAW_Data!A48),""))</f>
        <v/>
      </c>
      <c r="C58" s="153" t="str">
        <v/>
      </c>
      <c r="D58" s="153" t="str">
        <v/>
      </c>
      <c r="E58" s="153" t="str">
        <v/>
      </c>
      <c r="F58" s="153" t="str">
        <v/>
      </c>
      <c r="G58" s="153" t="str">
        <v/>
      </c>
      <c r="H58" s="153" t="str">
        <v/>
      </c>
      <c r="I58" s="153" t="str">
        <v/>
      </c>
      <c r="J58" s="153" t="str">
        <v/>
      </c>
      <c r="K58" s="153" t="str">
        <v/>
      </c>
      <c r="L58" s="153" t="str">
        <v/>
      </c>
      <c r="M58" s="153" t="str">
        <v/>
      </c>
      <c r="N58" s="153" t="str">
        <v/>
      </c>
      <c r="O58" s="153" t="str">
        <v/>
      </c>
      <c r="P58" s="153" t="str">
        <v/>
      </c>
    </row>
    <row r="59" spans="1:16" s="88" customFormat="1" x14ac:dyDescent="0.2">
      <c r="A59" s="132" t="str">
        <v/>
      </c>
      <c r="B59" s="131" t="str">
        <f>IFERROR(TIMEVALUE(DaqBook_RAW_Data!Q49),IFERROR(TIMEVALUE(DaqBook_RAW_Data!A49),""))</f>
        <v/>
      </c>
      <c r="C59" s="153" t="str">
        <v/>
      </c>
      <c r="D59" s="153" t="str">
        <v/>
      </c>
      <c r="E59" s="153" t="str">
        <v/>
      </c>
      <c r="F59" s="153" t="str">
        <v/>
      </c>
      <c r="G59" s="153" t="str">
        <v/>
      </c>
      <c r="H59" s="153" t="str">
        <v/>
      </c>
      <c r="I59" s="153" t="str">
        <v/>
      </c>
      <c r="J59" s="153" t="str">
        <v/>
      </c>
      <c r="K59" s="153" t="str">
        <v/>
      </c>
      <c r="L59" s="153" t="str">
        <v/>
      </c>
      <c r="M59" s="153" t="str">
        <v/>
      </c>
      <c r="N59" s="153" t="str">
        <v/>
      </c>
      <c r="O59" s="153" t="str">
        <v/>
      </c>
      <c r="P59" s="153" t="str">
        <v/>
      </c>
    </row>
    <row r="60" spans="1:16" s="88" customFormat="1" x14ac:dyDescent="0.2">
      <c r="A60" s="132" t="str">
        <v/>
      </c>
      <c r="B60" s="131" t="str">
        <f>IFERROR(TIMEVALUE(DaqBook_RAW_Data!Q50),IFERROR(TIMEVALUE(DaqBook_RAW_Data!A50),""))</f>
        <v/>
      </c>
      <c r="C60" s="153" t="str">
        <v/>
      </c>
      <c r="D60" s="153" t="str">
        <v/>
      </c>
      <c r="E60" s="153" t="str">
        <v/>
      </c>
      <c r="F60" s="153" t="str">
        <v/>
      </c>
      <c r="G60" s="153" t="str">
        <v/>
      </c>
      <c r="H60" s="153" t="str">
        <v/>
      </c>
      <c r="I60" s="153" t="str">
        <v/>
      </c>
      <c r="J60" s="153" t="str">
        <v/>
      </c>
      <c r="K60" s="153" t="str">
        <v/>
      </c>
      <c r="L60" s="153" t="str">
        <v/>
      </c>
      <c r="M60" s="153" t="str">
        <v/>
      </c>
      <c r="N60" s="153" t="str">
        <v/>
      </c>
      <c r="O60" s="153" t="str">
        <v/>
      </c>
      <c r="P60" s="153" t="str">
        <v/>
      </c>
    </row>
    <row r="61" spans="1:16" s="88" customFormat="1" x14ac:dyDescent="0.2">
      <c r="A61" s="132" t="str">
        <v/>
      </c>
      <c r="B61" s="131" t="str">
        <f>IFERROR(TIMEVALUE(DaqBook_RAW_Data!Q51),IFERROR(TIMEVALUE(DaqBook_RAW_Data!A51),""))</f>
        <v/>
      </c>
      <c r="C61" s="153" t="str">
        <v/>
      </c>
      <c r="D61" s="153" t="str">
        <v/>
      </c>
      <c r="E61" s="153" t="str">
        <v/>
      </c>
      <c r="F61" s="153" t="str">
        <v/>
      </c>
      <c r="G61" s="153" t="str">
        <v/>
      </c>
      <c r="H61" s="153" t="str">
        <v/>
      </c>
      <c r="I61" s="153" t="str">
        <v/>
      </c>
      <c r="J61" s="153" t="str">
        <v/>
      </c>
      <c r="K61" s="153" t="str">
        <v/>
      </c>
      <c r="L61" s="153" t="str">
        <v/>
      </c>
      <c r="M61" s="153" t="str">
        <v/>
      </c>
      <c r="N61" s="153" t="str">
        <v/>
      </c>
      <c r="O61" s="153" t="str">
        <v/>
      </c>
      <c r="P61" s="153" t="str">
        <v/>
      </c>
    </row>
    <row r="62" spans="1:16" s="88" customFormat="1" x14ac:dyDescent="0.2">
      <c r="A62" s="132" t="str">
        <v/>
      </c>
      <c r="B62" s="131" t="str">
        <f>IFERROR(TIMEVALUE(DaqBook_RAW_Data!Q52),IFERROR(TIMEVALUE(DaqBook_RAW_Data!A52),""))</f>
        <v/>
      </c>
      <c r="C62" s="153" t="str">
        <v/>
      </c>
      <c r="D62" s="153" t="str">
        <v/>
      </c>
      <c r="E62" s="153" t="str">
        <v/>
      </c>
      <c r="F62" s="153" t="str">
        <v/>
      </c>
      <c r="G62" s="153" t="str">
        <v/>
      </c>
      <c r="H62" s="153" t="str">
        <v/>
      </c>
      <c r="I62" s="153" t="str">
        <v/>
      </c>
      <c r="J62" s="153" t="str">
        <v/>
      </c>
      <c r="K62" s="153" t="str">
        <v/>
      </c>
      <c r="L62" s="153" t="str">
        <v/>
      </c>
      <c r="M62" s="153" t="str">
        <v/>
      </c>
      <c r="N62" s="153" t="str">
        <v/>
      </c>
      <c r="O62" s="153" t="str">
        <v/>
      </c>
      <c r="P62" s="153" t="str">
        <v/>
      </c>
    </row>
    <row r="63" spans="1:16" s="88" customFormat="1" x14ac:dyDescent="0.2">
      <c r="A63" s="132" t="str">
        <v/>
      </c>
      <c r="B63" s="131" t="str">
        <f>IFERROR(TIMEVALUE(DaqBook_RAW_Data!Q53),IFERROR(TIMEVALUE(DaqBook_RAW_Data!A53),""))</f>
        <v/>
      </c>
      <c r="C63" s="153" t="str">
        <v/>
      </c>
      <c r="D63" s="153" t="str">
        <v/>
      </c>
      <c r="E63" s="153" t="str">
        <v/>
      </c>
      <c r="F63" s="153" t="str">
        <v/>
      </c>
      <c r="G63" s="153" t="str">
        <v/>
      </c>
      <c r="H63" s="153" t="str">
        <v/>
      </c>
      <c r="I63" s="153" t="str">
        <v/>
      </c>
      <c r="J63" s="153" t="str">
        <v/>
      </c>
      <c r="K63" s="153" t="str">
        <v/>
      </c>
      <c r="L63" s="153" t="str">
        <v/>
      </c>
      <c r="M63" s="153" t="str">
        <v/>
      </c>
      <c r="N63" s="153" t="str">
        <v/>
      </c>
      <c r="O63" s="153" t="str">
        <v/>
      </c>
      <c r="P63" s="153" t="str">
        <v/>
      </c>
    </row>
    <row r="64" spans="1:16" s="88" customFormat="1" x14ac:dyDescent="0.2">
      <c r="A64" s="132" t="str">
        <v/>
      </c>
      <c r="B64" s="131" t="str">
        <f>IFERROR(TIMEVALUE(DaqBook_RAW_Data!Q54),IFERROR(TIMEVALUE(DaqBook_RAW_Data!A54),""))</f>
        <v/>
      </c>
      <c r="C64" s="153" t="str">
        <v/>
      </c>
      <c r="D64" s="153" t="str">
        <v/>
      </c>
      <c r="E64" s="153" t="str">
        <v/>
      </c>
      <c r="F64" s="153" t="str">
        <v/>
      </c>
      <c r="G64" s="153" t="str">
        <v/>
      </c>
      <c r="H64" s="153" t="str">
        <v/>
      </c>
      <c r="I64" s="153" t="str">
        <v/>
      </c>
      <c r="J64" s="153" t="str">
        <v/>
      </c>
      <c r="K64" s="153" t="str">
        <v/>
      </c>
      <c r="L64" s="153" t="str">
        <v/>
      </c>
      <c r="M64" s="153" t="str">
        <v/>
      </c>
      <c r="N64" s="153" t="str">
        <v/>
      </c>
      <c r="O64" s="153" t="str">
        <v/>
      </c>
      <c r="P64" s="153" t="str">
        <v/>
      </c>
    </row>
    <row r="65" spans="1:16" s="88" customFormat="1" x14ac:dyDescent="0.2">
      <c r="A65" s="132" t="str">
        <v/>
      </c>
      <c r="B65" s="131" t="str">
        <f>IFERROR(TIMEVALUE(DaqBook_RAW_Data!Q55),IFERROR(TIMEVALUE(DaqBook_RAW_Data!A55),""))</f>
        <v/>
      </c>
      <c r="C65" s="153" t="str">
        <v/>
      </c>
      <c r="D65" s="153" t="str">
        <v/>
      </c>
      <c r="E65" s="153" t="str">
        <v/>
      </c>
      <c r="F65" s="153" t="str">
        <v/>
      </c>
      <c r="G65" s="153" t="str">
        <v/>
      </c>
      <c r="H65" s="153" t="str">
        <v/>
      </c>
      <c r="I65" s="153" t="str">
        <v/>
      </c>
      <c r="J65" s="153" t="str">
        <v/>
      </c>
      <c r="K65" s="153" t="str">
        <v/>
      </c>
      <c r="L65" s="153" t="str">
        <v/>
      </c>
      <c r="M65" s="153" t="str">
        <v/>
      </c>
      <c r="N65" s="153" t="str">
        <v/>
      </c>
      <c r="O65" s="153" t="str">
        <v/>
      </c>
      <c r="P65" s="153" t="str">
        <v/>
      </c>
    </row>
    <row r="66" spans="1:16" s="88" customFormat="1" x14ac:dyDescent="0.2">
      <c r="A66" s="132" t="str">
        <v/>
      </c>
      <c r="B66" s="131" t="str">
        <f>IFERROR(TIMEVALUE(DaqBook_RAW_Data!Q56),IFERROR(TIMEVALUE(DaqBook_RAW_Data!A56),""))</f>
        <v/>
      </c>
      <c r="C66" s="153" t="str">
        <v/>
      </c>
      <c r="D66" s="153" t="str">
        <v/>
      </c>
      <c r="E66" s="153" t="str">
        <v/>
      </c>
      <c r="F66" s="153" t="str">
        <v/>
      </c>
      <c r="G66" s="153" t="str">
        <v/>
      </c>
      <c r="H66" s="153" t="str">
        <v/>
      </c>
      <c r="I66" s="153" t="str">
        <v/>
      </c>
      <c r="J66" s="153" t="str">
        <v/>
      </c>
      <c r="K66" s="153" t="str">
        <v/>
      </c>
      <c r="L66" s="153" t="str">
        <v/>
      </c>
      <c r="M66" s="153" t="str">
        <v/>
      </c>
      <c r="N66" s="153" t="str">
        <v/>
      </c>
      <c r="O66" s="153" t="str">
        <v/>
      </c>
      <c r="P66" s="153" t="str">
        <v/>
      </c>
    </row>
    <row r="67" spans="1:16" s="88" customFormat="1" x14ac:dyDescent="0.2">
      <c r="A67" s="132" t="str">
        <v/>
      </c>
      <c r="B67" s="131" t="str">
        <f>IFERROR(TIMEVALUE(DaqBook_RAW_Data!Q57),IFERROR(TIMEVALUE(DaqBook_RAW_Data!A57),""))</f>
        <v/>
      </c>
      <c r="C67" s="153" t="str">
        <v/>
      </c>
      <c r="D67" s="153" t="str">
        <v/>
      </c>
      <c r="E67" s="153" t="str">
        <v/>
      </c>
      <c r="F67" s="153" t="str">
        <v/>
      </c>
      <c r="G67" s="153" t="str">
        <v/>
      </c>
      <c r="H67" s="153" t="str">
        <v/>
      </c>
      <c r="I67" s="153" t="str">
        <v/>
      </c>
      <c r="J67" s="153" t="str">
        <v/>
      </c>
      <c r="K67" s="153" t="str">
        <v/>
      </c>
      <c r="L67" s="153" t="str">
        <v/>
      </c>
      <c r="M67" s="153" t="str">
        <v/>
      </c>
      <c r="N67" s="153" t="str">
        <v/>
      </c>
      <c r="O67" s="153" t="str">
        <v/>
      </c>
      <c r="P67" s="153" t="str">
        <v/>
      </c>
    </row>
    <row r="68" spans="1:16" s="88" customFormat="1" x14ac:dyDescent="0.2">
      <c r="A68" s="132" t="str">
        <v/>
      </c>
      <c r="B68" s="131" t="str">
        <f>IFERROR(TIMEVALUE(DaqBook_RAW_Data!Q58),IFERROR(TIMEVALUE(DaqBook_RAW_Data!A58),""))</f>
        <v/>
      </c>
      <c r="C68" s="153" t="str">
        <v/>
      </c>
      <c r="D68" s="153" t="str">
        <v/>
      </c>
      <c r="E68" s="153" t="str">
        <v/>
      </c>
      <c r="F68" s="153" t="str">
        <v/>
      </c>
      <c r="G68" s="153" t="str">
        <v/>
      </c>
      <c r="H68" s="153" t="str">
        <v/>
      </c>
      <c r="I68" s="153" t="str">
        <v/>
      </c>
      <c r="J68" s="153" t="str">
        <v/>
      </c>
      <c r="K68" s="153" t="str">
        <v/>
      </c>
      <c r="L68" s="153" t="str">
        <v/>
      </c>
      <c r="M68" s="153" t="str">
        <v/>
      </c>
      <c r="N68" s="153" t="str">
        <v/>
      </c>
      <c r="O68" s="153" t="str">
        <v/>
      </c>
      <c r="P68" s="153" t="str">
        <v/>
      </c>
    </row>
    <row r="69" spans="1:16" s="88" customFormat="1" x14ac:dyDescent="0.2">
      <c r="A69" s="132" t="str">
        <v/>
      </c>
      <c r="B69" s="131" t="str">
        <f>IFERROR(TIMEVALUE(DaqBook_RAW_Data!Q59),IFERROR(TIMEVALUE(DaqBook_RAW_Data!A59),""))</f>
        <v/>
      </c>
      <c r="C69" s="153" t="str">
        <v/>
      </c>
      <c r="D69" s="153" t="str">
        <v/>
      </c>
      <c r="E69" s="153" t="str">
        <v/>
      </c>
      <c r="F69" s="153" t="str">
        <v/>
      </c>
      <c r="G69" s="153" t="str">
        <v/>
      </c>
      <c r="H69" s="153" t="str">
        <v/>
      </c>
      <c r="I69" s="153" t="str">
        <v/>
      </c>
      <c r="J69" s="153" t="str">
        <v/>
      </c>
      <c r="K69" s="153" t="str">
        <v/>
      </c>
      <c r="L69" s="153" t="str">
        <v/>
      </c>
      <c r="M69" s="153" t="str">
        <v/>
      </c>
      <c r="N69" s="153" t="str">
        <v/>
      </c>
      <c r="O69" s="153" t="str">
        <v/>
      </c>
      <c r="P69" s="153" t="str">
        <v/>
      </c>
    </row>
    <row r="70" spans="1:16" s="88" customFormat="1" x14ac:dyDescent="0.2">
      <c r="A70" s="132" t="str">
        <v/>
      </c>
      <c r="B70" s="131" t="str">
        <f>IFERROR(TIMEVALUE(DaqBook_RAW_Data!Q60),IFERROR(TIMEVALUE(DaqBook_RAW_Data!A60),""))</f>
        <v/>
      </c>
      <c r="C70" s="153" t="str">
        <v/>
      </c>
      <c r="D70" s="153" t="str">
        <v/>
      </c>
      <c r="E70" s="153" t="str">
        <v/>
      </c>
      <c r="F70" s="153" t="str">
        <v/>
      </c>
      <c r="G70" s="153" t="str">
        <v/>
      </c>
      <c r="H70" s="153" t="str">
        <v/>
      </c>
      <c r="I70" s="153" t="str">
        <v/>
      </c>
      <c r="J70" s="153" t="str">
        <v/>
      </c>
      <c r="K70" s="153" t="str">
        <v/>
      </c>
      <c r="L70" s="153" t="str">
        <v/>
      </c>
      <c r="M70" s="153" t="str">
        <v/>
      </c>
      <c r="N70" s="153" t="str">
        <v/>
      </c>
      <c r="O70" s="153" t="str">
        <v/>
      </c>
      <c r="P70" s="153" t="str">
        <v/>
      </c>
    </row>
    <row r="71" spans="1:16" s="88" customFormat="1" x14ac:dyDescent="0.2">
      <c r="A71" s="132" t="str">
        <v/>
      </c>
      <c r="B71" s="131" t="str">
        <f>IFERROR(TIMEVALUE(DaqBook_RAW_Data!Q61),IFERROR(TIMEVALUE(DaqBook_RAW_Data!A61),""))</f>
        <v/>
      </c>
      <c r="C71" s="153" t="str">
        <v/>
      </c>
      <c r="D71" s="153" t="str">
        <v/>
      </c>
      <c r="E71" s="153" t="str">
        <v/>
      </c>
      <c r="F71" s="153" t="str">
        <v/>
      </c>
      <c r="G71" s="153" t="str">
        <v/>
      </c>
      <c r="H71" s="153" t="str">
        <v/>
      </c>
      <c r="I71" s="153" t="str">
        <v/>
      </c>
      <c r="J71" s="153" t="str">
        <v/>
      </c>
      <c r="K71" s="153" t="str">
        <v/>
      </c>
      <c r="L71" s="153" t="str">
        <v/>
      </c>
      <c r="M71" s="153" t="str">
        <v/>
      </c>
      <c r="N71" s="153" t="str">
        <v/>
      </c>
      <c r="O71" s="153" t="str">
        <v/>
      </c>
      <c r="P71" s="153" t="str">
        <v/>
      </c>
    </row>
    <row r="72" spans="1:16" s="88" customFormat="1" x14ac:dyDescent="0.2">
      <c r="A72" s="132" t="str">
        <v/>
      </c>
      <c r="B72" s="131" t="str">
        <f>IFERROR(TIMEVALUE(DaqBook_RAW_Data!Q62),IFERROR(TIMEVALUE(DaqBook_RAW_Data!A62),""))</f>
        <v/>
      </c>
      <c r="C72" s="153" t="str">
        <v/>
      </c>
      <c r="D72" s="153" t="str">
        <v/>
      </c>
      <c r="E72" s="153" t="str">
        <v/>
      </c>
      <c r="F72" s="153" t="str">
        <v/>
      </c>
      <c r="G72" s="153" t="str">
        <v/>
      </c>
      <c r="H72" s="153" t="str">
        <v/>
      </c>
      <c r="I72" s="153" t="str">
        <v/>
      </c>
      <c r="J72" s="153" t="str">
        <v/>
      </c>
      <c r="K72" s="153" t="str">
        <v/>
      </c>
      <c r="L72" s="153" t="str">
        <v/>
      </c>
      <c r="M72" s="153" t="str">
        <v/>
      </c>
      <c r="N72" s="153" t="str">
        <v/>
      </c>
      <c r="O72" s="153" t="str">
        <v/>
      </c>
      <c r="P72" s="153" t="str">
        <v/>
      </c>
    </row>
    <row r="73" spans="1:16" s="88" customFormat="1" x14ac:dyDescent="0.2">
      <c r="A73" s="132" t="str">
        <v/>
      </c>
      <c r="B73" s="131" t="str">
        <f>IFERROR(TIMEVALUE(DaqBook_RAW_Data!Q63),IFERROR(TIMEVALUE(DaqBook_RAW_Data!A63),""))</f>
        <v/>
      </c>
      <c r="C73" s="153" t="str">
        <v/>
      </c>
      <c r="D73" s="153" t="str">
        <v/>
      </c>
      <c r="E73" s="153" t="str">
        <v/>
      </c>
      <c r="F73" s="153" t="str">
        <v/>
      </c>
      <c r="G73" s="153" t="str">
        <v/>
      </c>
      <c r="H73" s="153" t="str">
        <v/>
      </c>
      <c r="I73" s="153" t="str">
        <v/>
      </c>
      <c r="J73" s="153" t="str">
        <v/>
      </c>
      <c r="K73" s="153" t="str">
        <v/>
      </c>
      <c r="L73" s="153" t="str">
        <v/>
      </c>
      <c r="M73" s="153" t="str">
        <v/>
      </c>
      <c r="N73" s="153" t="str">
        <v/>
      </c>
      <c r="O73" s="153" t="str">
        <v/>
      </c>
      <c r="P73" s="153" t="str">
        <v/>
      </c>
    </row>
    <row r="74" spans="1:16" s="88" customFormat="1" x14ac:dyDescent="0.2">
      <c r="A74" s="132" t="str">
        <v/>
      </c>
      <c r="B74" s="131" t="str">
        <f>IFERROR(TIMEVALUE(DaqBook_RAW_Data!Q64),IFERROR(TIMEVALUE(DaqBook_RAW_Data!A64),""))</f>
        <v/>
      </c>
      <c r="C74" s="153" t="str">
        <v/>
      </c>
      <c r="D74" s="153" t="str">
        <v/>
      </c>
      <c r="E74" s="153" t="str">
        <v/>
      </c>
      <c r="F74" s="153" t="str">
        <v/>
      </c>
      <c r="G74" s="153" t="str">
        <v/>
      </c>
      <c r="H74" s="153" t="str">
        <v/>
      </c>
      <c r="I74" s="153" t="str">
        <v/>
      </c>
      <c r="J74" s="153" t="str">
        <v/>
      </c>
      <c r="K74" s="153" t="str">
        <v/>
      </c>
      <c r="L74" s="153" t="str">
        <v/>
      </c>
      <c r="M74" s="153" t="str">
        <v/>
      </c>
      <c r="N74" s="153" t="str">
        <v/>
      </c>
      <c r="O74" s="153" t="str">
        <v/>
      </c>
      <c r="P74" s="153" t="str">
        <v/>
      </c>
    </row>
    <row r="75" spans="1:16" s="88" customFormat="1" x14ac:dyDescent="0.2">
      <c r="A75" s="132" t="str">
        <v/>
      </c>
      <c r="B75" s="131" t="str">
        <f>IFERROR(TIMEVALUE(DaqBook_RAW_Data!Q65),IFERROR(TIMEVALUE(DaqBook_RAW_Data!A65),""))</f>
        <v/>
      </c>
      <c r="C75" s="153" t="str">
        <v/>
      </c>
      <c r="D75" s="153" t="str">
        <v/>
      </c>
      <c r="E75" s="153" t="str">
        <v/>
      </c>
      <c r="F75" s="153" t="str">
        <v/>
      </c>
      <c r="G75" s="153" t="str">
        <v/>
      </c>
      <c r="H75" s="153" t="str">
        <v/>
      </c>
      <c r="I75" s="153" t="str">
        <v/>
      </c>
      <c r="J75" s="153" t="str">
        <v/>
      </c>
      <c r="K75" s="153" t="str">
        <v/>
      </c>
      <c r="L75" s="153" t="str">
        <v/>
      </c>
      <c r="M75" s="153" t="str">
        <v/>
      </c>
      <c r="N75" s="153" t="str">
        <v/>
      </c>
      <c r="O75" s="153" t="str">
        <v/>
      </c>
      <c r="P75" s="153" t="str">
        <v/>
      </c>
    </row>
    <row r="76" spans="1:16" s="88" customFormat="1" x14ac:dyDescent="0.2">
      <c r="A76" s="132" t="str">
        <v/>
      </c>
      <c r="B76" s="131" t="str">
        <f>IFERROR(TIMEVALUE(DaqBook_RAW_Data!Q66),IFERROR(TIMEVALUE(DaqBook_RAW_Data!A66),""))</f>
        <v/>
      </c>
      <c r="C76" s="153" t="str">
        <v/>
      </c>
      <c r="D76" s="153" t="str">
        <v/>
      </c>
      <c r="E76" s="153" t="str">
        <v/>
      </c>
      <c r="F76" s="153" t="str">
        <v/>
      </c>
      <c r="G76" s="153" t="str">
        <v/>
      </c>
      <c r="H76" s="153" t="str">
        <v/>
      </c>
      <c r="I76" s="153" t="str">
        <v/>
      </c>
      <c r="J76" s="153" t="str">
        <v/>
      </c>
      <c r="K76" s="153" t="str">
        <v/>
      </c>
      <c r="L76" s="153" t="str">
        <v/>
      </c>
      <c r="M76" s="153" t="str">
        <v/>
      </c>
      <c r="N76" s="153" t="str">
        <v/>
      </c>
      <c r="O76" s="153" t="str">
        <v/>
      </c>
      <c r="P76" s="153" t="str">
        <v/>
      </c>
    </row>
    <row r="77" spans="1:16" s="88" customFormat="1" x14ac:dyDescent="0.2">
      <c r="A77" s="132" t="str">
        <v/>
      </c>
      <c r="B77" s="131" t="str">
        <f>IFERROR(TIMEVALUE(DaqBook_RAW_Data!Q67),IFERROR(TIMEVALUE(DaqBook_RAW_Data!A67),""))</f>
        <v/>
      </c>
      <c r="C77" s="153" t="str">
        <v/>
      </c>
      <c r="D77" s="153" t="str">
        <v/>
      </c>
      <c r="E77" s="153" t="str">
        <v/>
      </c>
      <c r="F77" s="153" t="str">
        <v/>
      </c>
      <c r="G77" s="153" t="str">
        <v/>
      </c>
      <c r="H77" s="153" t="str">
        <v/>
      </c>
      <c r="I77" s="153" t="str">
        <v/>
      </c>
      <c r="J77" s="153" t="str">
        <v/>
      </c>
      <c r="K77" s="153" t="str">
        <v/>
      </c>
      <c r="L77" s="153" t="str">
        <v/>
      </c>
      <c r="M77" s="153" t="str">
        <v/>
      </c>
      <c r="N77" s="153" t="str">
        <v/>
      </c>
      <c r="O77" s="153" t="str">
        <v/>
      </c>
      <c r="P77" s="153" t="str">
        <v/>
      </c>
    </row>
    <row r="78" spans="1:16" s="88" customFormat="1" x14ac:dyDescent="0.2">
      <c r="A78" s="132" t="str">
        <v/>
      </c>
      <c r="B78" s="131" t="str">
        <f>IFERROR(TIMEVALUE(DaqBook_RAW_Data!Q68),IFERROR(TIMEVALUE(DaqBook_RAW_Data!A68),""))</f>
        <v/>
      </c>
      <c r="C78" s="153" t="str">
        <v/>
      </c>
      <c r="D78" s="153" t="str">
        <v/>
      </c>
      <c r="E78" s="153" t="str">
        <v/>
      </c>
      <c r="F78" s="153" t="str">
        <v/>
      </c>
      <c r="G78" s="153" t="str">
        <v/>
      </c>
      <c r="H78" s="153" t="str">
        <v/>
      </c>
      <c r="I78" s="153" t="str">
        <v/>
      </c>
      <c r="J78" s="153" t="str">
        <v/>
      </c>
      <c r="K78" s="153" t="str">
        <v/>
      </c>
      <c r="L78" s="153" t="str">
        <v/>
      </c>
      <c r="M78" s="153" t="str">
        <v/>
      </c>
      <c r="N78" s="153" t="str">
        <v/>
      </c>
      <c r="O78" s="153" t="str">
        <v/>
      </c>
      <c r="P78" s="153" t="str">
        <v/>
      </c>
    </row>
    <row r="79" spans="1:16" s="90" customFormat="1" x14ac:dyDescent="0.2">
      <c r="A79" s="89" t="str">
        <v/>
      </c>
      <c r="B79" s="131" t="str">
        <f>IFERROR(TIMEVALUE(DaqBook_RAW_Data!Q69),IFERROR(TIMEVALUE(DaqBook_RAW_Data!A69),""))</f>
        <v/>
      </c>
      <c r="C79" s="153" t="str">
        <v/>
      </c>
      <c r="D79" s="153" t="str">
        <v/>
      </c>
      <c r="E79" s="153" t="str">
        <v/>
      </c>
      <c r="F79" s="153" t="str">
        <v/>
      </c>
      <c r="G79" s="153" t="str">
        <v/>
      </c>
      <c r="H79" s="153" t="str">
        <v/>
      </c>
      <c r="I79" s="153" t="str">
        <v/>
      </c>
      <c r="J79" s="153" t="str">
        <v/>
      </c>
      <c r="K79" s="153" t="str">
        <v/>
      </c>
      <c r="L79" s="153" t="str">
        <v/>
      </c>
      <c r="M79" s="153" t="str">
        <v/>
      </c>
      <c r="N79" s="153" t="str">
        <v/>
      </c>
      <c r="O79" s="153" t="str">
        <v/>
      </c>
      <c r="P79" s="153" t="str">
        <v/>
      </c>
    </row>
    <row r="80" spans="1:16" s="90" customFormat="1" x14ac:dyDescent="0.2">
      <c r="A80" s="89" t="str">
        <v/>
      </c>
      <c r="B80" s="131" t="str">
        <f>IFERROR(TIMEVALUE(DaqBook_RAW_Data!Q70),IFERROR(TIMEVALUE(DaqBook_RAW_Data!A70),""))</f>
        <v/>
      </c>
      <c r="C80" s="153" t="str">
        <v/>
      </c>
      <c r="D80" s="153" t="str">
        <v/>
      </c>
      <c r="E80" s="153" t="str">
        <v/>
      </c>
      <c r="F80" s="153" t="str">
        <v/>
      </c>
      <c r="G80" s="153" t="str">
        <v/>
      </c>
      <c r="H80" s="153" t="str">
        <v/>
      </c>
      <c r="I80" s="153" t="str">
        <v/>
      </c>
      <c r="J80" s="153" t="str">
        <v/>
      </c>
      <c r="K80" s="153" t="str">
        <v/>
      </c>
      <c r="L80" s="153" t="str">
        <v/>
      </c>
      <c r="M80" s="153" t="str">
        <v/>
      </c>
      <c r="N80" s="153" t="str">
        <v/>
      </c>
      <c r="O80" s="153" t="str">
        <v/>
      </c>
      <c r="P80" s="153" t="str">
        <v/>
      </c>
    </row>
    <row r="81" spans="1:16" s="90" customFormat="1" x14ac:dyDescent="0.2">
      <c r="A81" s="89" t="str">
        <v/>
      </c>
      <c r="B81" s="131" t="str">
        <f>IFERROR(TIMEVALUE(DaqBook_RAW_Data!Q71),IFERROR(TIMEVALUE(DaqBook_RAW_Data!A71),""))</f>
        <v/>
      </c>
      <c r="C81" s="153" t="str">
        <v/>
      </c>
      <c r="D81" s="153" t="str">
        <v/>
      </c>
      <c r="E81" s="153" t="str">
        <v/>
      </c>
      <c r="F81" s="153" t="str">
        <v/>
      </c>
      <c r="G81" s="153" t="str">
        <v/>
      </c>
      <c r="H81" s="153" t="str">
        <v/>
      </c>
      <c r="I81" s="153" t="str">
        <v/>
      </c>
      <c r="J81" s="153" t="str">
        <v/>
      </c>
      <c r="K81" s="153" t="str">
        <v/>
      </c>
      <c r="L81" s="153" t="str">
        <v/>
      </c>
      <c r="M81" s="153" t="str">
        <v/>
      </c>
      <c r="N81" s="153" t="str">
        <v/>
      </c>
      <c r="O81" s="153" t="str">
        <v/>
      </c>
      <c r="P81" s="153" t="str">
        <v/>
      </c>
    </row>
    <row r="82" spans="1:16" s="90" customFormat="1" x14ac:dyDescent="0.2">
      <c r="A82" s="89" t="str">
        <v/>
      </c>
      <c r="B82" s="131" t="str">
        <f>IFERROR(TIMEVALUE(DaqBook_RAW_Data!Q72),IFERROR(TIMEVALUE(DaqBook_RAW_Data!A72),""))</f>
        <v/>
      </c>
      <c r="C82" s="153" t="str">
        <v/>
      </c>
      <c r="D82" s="153" t="str">
        <v/>
      </c>
      <c r="E82" s="153" t="str">
        <v/>
      </c>
      <c r="F82" s="153" t="str">
        <v/>
      </c>
      <c r="G82" s="153" t="str">
        <v/>
      </c>
      <c r="H82" s="153" t="str">
        <v/>
      </c>
      <c r="I82" s="153" t="str">
        <v/>
      </c>
      <c r="J82" s="153" t="str">
        <v/>
      </c>
      <c r="K82" s="153" t="str">
        <v/>
      </c>
      <c r="L82" s="153" t="str">
        <v/>
      </c>
      <c r="M82" s="153" t="str">
        <v/>
      </c>
      <c r="N82" s="153" t="str">
        <v/>
      </c>
      <c r="O82" s="153" t="str">
        <v/>
      </c>
      <c r="P82" s="153" t="str">
        <v/>
      </c>
    </row>
    <row r="83" spans="1:16" s="90" customFormat="1" x14ac:dyDescent="0.2">
      <c r="A83" s="89" t="str">
        <v/>
      </c>
      <c r="B83" s="131" t="str">
        <f>IFERROR(TIMEVALUE(DaqBook_RAW_Data!Q73),IFERROR(TIMEVALUE(DaqBook_RAW_Data!A73),""))</f>
        <v/>
      </c>
      <c r="C83" s="153" t="str">
        <v/>
      </c>
      <c r="D83" s="153" t="str">
        <v/>
      </c>
      <c r="E83" s="153" t="str">
        <v/>
      </c>
      <c r="F83" s="153" t="str">
        <v/>
      </c>
      <c r="G83" s="153" t="str">
        <v/>
      </c>
      <c r="H83" s="153" t="str">
        <v/>
      </c>
      <c r="I83" s="153" t="str">
        <v/>
      </c>
      <c r="J83" s="153" t="str">
        <v/>
      </c>
      <c r="K83" s="153" t="str">
        <v/>
      </c>
      <c r="L83" s="153" t="str">
        <v/>
      </c>
      <c r="M83" s="153" t="str">
        <v/>
      </c>
      <c r="N83" s="153" t="str">
        <v/>
      </c>
      <c r="O83" s="153" t="str">
        <v/>
      </c>
      <c r="P83" s="153" t="str">
        <v/>
      </c>
    </row>
    <row r="84" spans="1:16" s="88" customFormat="1" x14ac:dyDescent="0.2">
      <c r="A84" s="132" t="str">
        <v/>
      </c>
      <c r="B84" s="131" t="str">
        <f>IFERROR(TIMEVALUE(DaqBook_RAW_Data!Q74),IFERROR(TIMEVALUE(DaqBook_RAW_Data!A74),""))</f>
        <v/>
      </c>
      <c r="C84" s="153" t="str">
        <v/>
      </c>
      <c r="D84" s="153" t="str">
        <v/>
      </c>
      <c r="E84" s="153" t="str">
        <v/>
      </c>
      <c r="F84" s="153" t="str">
        <v/>
      </c>
      <c r="G84" s="153" t="str">
        <v/>
      </c>
      <c r="H84" s="153" t="str">
        <v/>
      </c>
      <c r="I84" s="153" t="str">
        <v/>
      </c>
      <c r="J84" s="153" t="str">
        <v/>
      </c>
      <c r="K84" s="153" t="str">
        <v/>
      </c>
      <c r="L84" s="153" t="str">
        <v/>
      </c>
      <c r="M84" s="153" t="str">
        <v/>
      </c>
      <c r="N84" s="153" t="str">
        <v/>
      </c>
      <c r="O84" s="153" t="str">
        <v/>
      </c>
      <c r="P84" s="153" t="str">
        <v/>
      </c>
    </row>
    <row r="85" spans="1:16" s="88" customFormat="1" x14ac:dyDescent="0.2">
      <c r="A85" s="132" t="str">
        <v/>
      </c>
      <c r="B85" s="131" t="str">
        <f>IFERROR(TIMEVALUE(DaqBook_RAW_Data!Q75),IFERROR(TIMEVALUE(DaqBook_RAW_Data!A75),""))</f>
        <v/>
      </c>
      <c r="C85" s="153" t="str">
        <v/>
      </c>
      <c r="D85" s="153" t="str">
        <v/>
      </c>
      <c r="E85" s="153" t="str">
        <v/>
      </c>
      <c r="F85" s="153" t="str">
        <v/>
      </c>
      <c r="G85" s="153" t="str">
        <v/>
      </c>
      <c r="H85" s="153" t="str">
        <v/>
      </c>
      <c r="I85" s="153" t="str">
        <v/>
      </c>
      <c r="J85" s="153" t="str">
        <v/>
      </c>
      <c r="K85" s="153" t="str">
        <v/>
      </c>
      <c r="L85" s="153" t="str">
        <v/>
      </c>
      <c r="M85" s="153" t="str">
        <v/>
      </c>
      <c r="N85" s="153" t="str">
        <v/>
      </c>
      <c r="O85" s="153" t="str">
        <v/>
      </c>
      <c r="P85" s="153" t="str">
        <v/>
      </c>
    </row>
    <row r="86" spans="1:16" s="88" customFormat="1" x14ac:dyDescent="0.2">
      <c r="A86" s="132" t="str">
        <v/>
      </c>
      <c r="B86" s="131" t="str">
        <f>IFERROR(TIMEVALUE(DaqBook_RAW_Data!Q76),IFERROR(TIMEVALUE(DaqBook_RAW_Data!A76),""))</f>
        <v/>
      </c>
      <c r="C86" s="153" t="str">
        <v/>
      </c>
      <c r="D86" s="153" t="str">
        <v/>
      </c>
      <c r="E86" s="153" t="str">
        <v/>
      </c>
      <c r="F86" s="153" t="str">
        <v/>
      </c>
      <c r="G86" s="153" t="str">
        <v/>
      </c>
      <c r="H86" s="153" t="str">
        <v/>
      </c>
      <c r="I86" s="153" t="str">
        <v/>
      </c>
      <c r="J86" s="153" t="str">
        <v/>
      </c>
      <c r="K86" s="153" t="str">
        <v/>
      </c>
      <c r="L86" s="153" t="str">
        <v/>
      </c>
      <c r="M86" s="153" t="str">
        <v/>
      </c>
      <c r="N86" s="153" t="str">
        <v/>
      </c>
      <c r="O86" s="153" t="str">
        <v/>
      </c>
      <c r="P86" s="153" t="str">
        <v/>
      </c>
    </row>
    <row r="87" spans="1:16" s="88" customFormat="1" x14ac:dyDescent="0.2">
      <c r="A87" s="132" t="str">
        <v/>
      </c>
      <c r="B87" s="131" t="str">
        <f>IFERROR(TIMEVALUE(DaqBook_RAW_Data!Q77),IFERROR(TIMEVALUE(DaqBook_RAW_Data!A77),""))</f>
        <v/>
      </c>
      <c r="C87" s="153" t="str">
        <v/>
      </c>
      <c r="D87" s="153" t="str">
        <v/>
      </c>
      <c r="E87" s="153" t="str">
        <v/>
      </c>
      <c r="F87" s="153" t="str">
        <v/>
      </c>
      <c r="G87" s="153" t="str">
        <v/>
      </c>
      <c r="H87" s="153" t="str">
        <v/>
      </c>
      <c r="I87" s="153" t="str">
        <v/>
      </c>
      <c r="J87" s="153" t="str">
        <v/>
      </c>
      <c r="K87" s="153" t="str">
        <v/>
      </c>
      <c r="L87" s="153" t="str">
        <v/>
      </c>
      <c r="M87" s="153" t="str">
        <v/>
      </c>
      <c r="N87" s="153" t="str">
        <v/>
      </c>
      <c r="O87" s="153" t="str">
        <v/>
      </c>
      <c r="P87" s="153" t="str">
        <v/>
      </c>
    </row>
    <row r="88" spans="1:16" s="88" customFormat="1" x14ac:dyDescent="0.2">
      <c r="A88" s="132" t="str">
        <v/>
      </c>
      <c r="B88" s="131" t="str">
        <f>IFERROR(TIMEVALUE(DaqBook_RAW_Data!Q78),IFERROR(TIMEVALUE(DaqBook_RAW_Data!A78),""))</f>
        <v/>
      </c>
      <c r="C88" s="153" t="str">
        <v/>
      </c>
      <c r="D88" s="153" t="str">
        <v/>
      </c>
      <c r="E88" s="153" t="str">
        <v/>
      </c>
      <c r="F88" s="153" t="str">
        <v/>
      </c>
      <c r="G88" s="153" t="str">
        <v/>
      </c>
      <c r="H88" s="153" t="str">
        <v/>
      </c>
      <c r="I88" s="153" t="str">
        <v/>
      </c>
      <c r="J88" s="153" t="str">
        <v/>
      </c>
      <c r="K88" s="153" t="str">
        <v/>
      </c>
      <c r="L88" s="153" t="str">
        <v/>
      </c>
      <c r="M88" s="153" t="str">
        <v/>
      </c>
      <c r="N88" s="153" t="str">
        <v/>
      </c>
      <c r="O88" s="153" t="str">
        <v/>
      </c>
      <c r="P88" s="153" t="str">
        <v/>
      </c>
    </row>
    <row r="89" spans="1:16" s="88" customFormat="1" x14ac:dyDescent="0.2">
      <c r="A89" s="132" t="str">
        <v/>
      </c>
      <c r="B89" s="131" t="str">
        <f>IFERROR(TIMEVALUE(DaqBook_RAW_Data!Q79),IFERROR(TIMEVALUE(DaqBook_RAW_Data!A79),""))</f>
        <v/>
      </c>
      <c r="C89" s="153" t="str">
        <v/>
      </c>
      <c r="D89" s="153" t="str">
        <v/>
      </c>
      <c r="E89" s="153" t="str">
        <v/>
      </c>
      <c r="F89" s="153" t="str">
        <v/>
      </c>
      <c r="G89" s="153" t="str">
        <v/>
      </c>
      <c r="H89" s="153" t="str">
        <v/>
      </c>
      <c r="I89" s="153" t="str">
        <v/>
      </c>
      <c r="J89" s="153" t="str">
        <v/>
      </c>
      <c r="K89" s="153" t="str">
        <v/>
      </c>
      <c r="L89" s="153" t="str">
        <v/>
      </c>
      <c r="M89" s="153" t="str">
        <v/>
      </c>
      <c r="N89" s="153" t="str">
        <v/>
      </c>
      <c r="O89" s="153" t="str">
        <v/>
      </c>
      <c r="P89" s="153" t="str">
        <v/>
      </c>
    </row>
    <row r="90" spans="1:16" s="88" customFormat="1" x14ac:dyDescent="0.2">
      <c r="A90" s="132" t="str">
        <v/>
      </c>
      <c r="B90" s="131" t="str">
        <f>IFERROR(TIMEVALUE(DaqBook_RAW_Data!Q80),IFERROR(TIMEVALUE(DaqBook_RAW_Data!A80),""))</f>
        <v/>
      </c>
      <c r="C90" s="153" t="str">
        <v/>
      </c>
      <c r="D90" s="153" t="str">
        <v/>
      </c>
      <c r="E90" s="153" t="str">
        <v/>
      </c>
      <c r="F90" s="153" t="str">
        <v/>
      </c>
      <c r="G90" s="153" t="str">
        <v/>
      </c>
      <c r="H90" s="153" t="str">
        <v/>
      </c>
      <c r="I90" s="153" t="str">
        <v/>
      </c>
      <c r="J90" s="153" t="str">
        <v/>
      </c>
      <c r="K90" s="153" t="str">
        <v/>
      </c>
      <c r="L90" s="153" t="str">
        <v/>
      </c>
      <c r="M90" s="153" t="str">
        <v/>
      </c>
      <c r="N90" s="153" t="str">
        <v/>
      </c>
      <c r="O90" s="153" t="str">
        <v/>
      </c>
      <c r="P90" s="153" t="str">
        <v/>
      </c>
    </row>
    <row r="91" spans="1:16" s="88" customFormat="1" x14ac:dyDescent="0.2">
      <c r="A91" s="132" t="str">
        <v/>
      </c>
      <c r="B91" s="131" t="str">
        <f>IFERROR(TIMEVALUE(DaqBook_RAW_Data!Q81),IFERROR(TIMEVALUE(DaqBook_RAW_Data!A81),""))</f>
        <v/>
      </c>
      <c r="C91" s="153" t="str">
        <v/>
      </c>
      <c r="D91" s="153" t="str">
        <v/>
      </c>
      <c r="E91" s="153" t="str">
        <v/>
      </c>
      <c r="F91" s="153" t="str">
        <v/>
      </c>
      <c r="G91" s="153" t="str">
        <v/>
      </c>
      <c r="H91" s="153" t="str">
        <v/>
      </c>
      <c r="I91" s="153" t="str">
        <v/>
      </c>
      <c r="J91" s="153" t="str">
        <v/>
      </c>
      <c r="K91" s="153" t="str">
        <v/>
      </c>
      <c r="L91" s="153" t="str">
        <v/>
      </c>
      <c r="M91" s="153" t="str">
        <v/>
      </c>
      <c r="N91" s="153" t="str">
        <v/>
      </c>
      <c r="O91" s="153" t="str">
        <v/>
      </c>
      <c r="P91" s="153" t="str">
        <v/>
      </c>
    </row>
    <row r="92" spans="1:16" s="88" customFormat="1" x14ac:dyDescent="0.2">
      <c r="A92" s="132" t="str">
        <v/>
      </c>
      <c r="B92" s="131" t="str">
        <f>IFERROR(TIMEVALUE(DaqBook_RAW_Data!Q82),IFERROR(TIMEVALUE(DaqBook_RAW_Data!A82),""))</f>
        <v/>
      </c>
      <c r="C92" s="153" t="str">
        <v/>
      </c>
      <c r="D92" s="153" t="str">
        <v/>
      </c>
      <c r="E92" s="153" t="str">
        <v/>
      </c>
      <c r="F92" s="153" t="str">
        <v/>
      </c>
      <c r="G92" s="153" t="str">
        <v/>
      </c>
      <c r="H92" s="153" t="str">
        <v/>
      </c>
      <c r="I92" s="153" t="str">
        <v/>
      </c>
      <c r="J92" s="153" t="str">
        <v/>
      </c>
      <c r="K92" s="153" t="str">
        <v/>
      </c>
      <c r="L92" s="153" t="str">
        <v/>
      </c>
      <c r="M92" s="153" t="str">
        <v/>
      </c>
      <c r="N92" s="153" t="str">
        <v/>
      </c>
      <c r="O92" s="153" t="str">
        <v/>
      </c>
      <c r="P92" s="153" t="str">
        <v/>
      </c>
    </row>
    <row r="93" spans="1:16" s="88" customFormat="1" x14ac:dyDescent="0.2">
      <c r="A93" s="132" t="str">
        <v/>
      </c>
      <c r="B93" s="131" t="str">
        <f>IFERROR(TIMEVALUE(DaqBook_RAW_Data!Q83),IFERROR(TIMEVALUE(DaqBook_RAW_Data!A83),""))</f>
        <v/>
      </c>
      <c r="C93" s="153" t="str">
        <v/>
      </c>
      <c r="D93" s="153" t="str">
        <v/>
      </c>
      <c r="E93" s="153" t="str">
        <v/>
      </c>
      <c r="F93" s="153" t="str">
        <v/>
      </c>
      <c r="G93" s="153" t="str">
        <v/>
      </c>
      <c r="H93" s="153" t="str">
        <v/>
      </c>
      <c r="I93" s="153" t="str">
        <v/>
      </c>
      <c r="J93" s="153" t="str">
        <v/>
      </c>
      <c r="K93" s="153" t="str">
        <v/>
      </c>
      <c r="L93" s="153" t="str">
        <v/>
      </c>
      <c r="M93" s="153" t="str">
        <v/>
      </c>
      <c r="N93" s="153" t="str">
        <v/>
      </c>
      <c r="O93" s="153" t="str">
        <v/>
      </c>
      <c r="P93" s="153" t="str">
        <v/>
      </c>
    </row>
    <row r="94" spans="1:16" s="88" customFormat="1" x14ac:dyDescent="0.2">
      <c r="A94" s="132" t="str">
        <v/>
      </c>
      <c r="B94" s="131" t="str">
        <f>IFERROR(TIMEVALUE(DaqBook_RAW_Data!Q84),IFERROR(TIMEVALUE(DaqBook_RAW_Data!A84),""))</f>
        <v/>
      </c>
      <c r="C94" s="153" t="str">
        <v/>
      </c>
      <c r="D94" s="153" t="str">
        <v/>
      </c>
      <c r="E94" s="153" t="str">
        <v/>
      </c>
      <c r="F94" s="153" t="str">
        <v/>
      </c>
      <c r="G94" s="153" t="str">
        <v/>
      </c>
      <c r="H94" s="153" t="str">
        <v/>
      </c>
      <c r="I94" s="153" t="str">
        <v/>
      </c>
      <c r="J94" s="153" t="str">
        <v/>
      </c>
      <c r="K94" s="153" t="str">
        <v/>
      </c>
      <c r="L94" s="153" t="str">
        <v/>
      </c>
      <c r="M94" s="153" t="str">
        <v/>
      </c>
      <c r="N94" s="153" t="str">
        <v/>
      </c>
      <c r="O94" s="153" t="str">
        <v/>
      </c>
      <c r="P94" s="153" t="str">
        <v/>
      </c>
    </row>
    <row r="95" spans="1:16" s="88" customFormat="1" x14ac:dyDescent="0.2">
      <c r="A95" s="132" t="str">
        <v/>
      </c>
      <c r="B95" s="131" t="str">
        <f>IFERROR(TIMEVALUE(DaqBook_RAW_Data!Q85),IFERROR(TIMEVALUE(DaqBook_RAW_Data!A85),""))</f>
        <v/>
      </c>
      <c r="C95" s="153" t="str">
        <v/>
      </c>
      <c r="D95" s="153" t="str">
        <v/>
      </c>
      <c r="E95" s="153" t="str">
        <v/>
      </c>
      <c r="F95" s="153" t="str">
        <v/>
      </c>
      <c r="G95" s="153" t="str">
        <v/>
      </c>
      <c r="H95" s="153" t="str">
        <v/>
      </c>
      <c r="I95" s="153" t="str">
        <v/>
      </c>
      <c r="J95" s="153" t="str">
        <v/>
      </c>
      <c r="K95" s="153" t="str">
        <v/>
      </c>
      <c r="L95" s="153" t="str">
        <v/>
      </c>
      <c r="M95" s="153" t="str">
        <v/>
      </c>
      <c r="N95" s="153" t="str">
        <v/>
      </c>
      <c r="O95" s="153" t="str">
        <v/>
      </c>
      <c r="P95" s="153" t="str">
        <v/>
      </c>
    </row>
    <row r="96" spans="1:16" s="88" customFormat="1" x14ac:dyDescent="0.2">
      <c r="A96" s="132" t="str">
        <v/>
      </c>
      <c r="B96" s="131" t="str">
        <f>IFERROR(TIMEVALUE(DaqBook_RAW_Data!Q86),IFERROR(TIMEVALUE(DaqBook_RAW_Data!A86),""))</f>
        <v/>
      </c>
      <c r="C96" s="153" t="str">
        <v/>
      </c>
      <c r="D96" s="153" t="str">
        <v/>
      </c>
      <c r="E96" s="153" t="str">
        <v/>
      </c>
      <c r="F96" s="153" t="str">
        <v/>
      </c>
      <c r="G96" s="153" t="str">
        <v/>
      </c>
      <c r="H96" s="153" t="str">
        <v/>
      </c>
      <c r="I96" s="153" t="str">
        <v/>
      </c>
      <c r="J96" s="153" t="str">
        <v/>
      </c>
      <c r="K96" s="153" t="str">
        <v/>
      </c>
      <c r="L96" s="153" t="str">
        <v/>
      </c>
      <c r="M96" s="153" t="str">
        <v/>
      </c>
      <c r="N96" s="153" t="str">
        <v/>
      </c>
      <c r="O96" s="153" t="str">
        <v/>
      </c>
      <c r="P96" s="153" t="str">
        <v/>
      </c>
    </row>
    <row r="97" spans="1:16" s="88" customFormat="1" x14ac:dyDescent="0.2">
      <c r="A97" s="132" t="str">
        <v/>
      </c>
      <c r="B97" s="131" t="str">
        <f>IFERROR(TIMEVALUE(DaqBook_RAW_Data!Q87),IFERROR(TIMEVALUE(DaqBook_RAW_Data!A87),""))</f>
        <v/>
      </c>
      <c r="C97" s="153" t="str">
        <v/>
      </c>
      <c r="D97" s="153" t="str">
        <v/>
      </c>
      <c r="E97" s="153" t="str">
        <v/>
      </c>
      <c r="F97" s="153" t="str">
        <v/>
      </c>
      <c r="G97" s="153" t="str">
        <v/>
      </c>
      <c r="H97" s="153" t="str">
        <v/>
      </c>
      <c r="I97" s="153" t="str">
        <v/>
      </c>
      <c r="J97" s="153" t="str">
        <v/>
      </c>
      <c r="K97" s="153" t="str">
        <v/>
      </c>
      <c r="L97" s="153" t="str">
        <v/>
      </c>
      <c r="M97" s="153" t="str">
        <v/>
      </c>
      <c r="N97" s="153" t="str">
        <v/>
      </c>
      <c r="O97" s="153" t="str">
        <v/>
      </c>
      <c r="P97" s="153" t="str">
        <v/>
      </c>
    </row>
    <row r="98" spans="1:16" s="88" customFormat="1" x14ac:dyDescent="0.2">
      <c r="A98" s="132" t="str">
        <v/>
      </c>
      <c r="B98" s="131" t="str">
        <f>IFERROR(TIMEVALUE(DaqBook_RAW_Data!Q88),IFERROR(TIMEVALUE(DaqBook_RAW_Data!A88),""))</f>
        <v/>
      </c>
      <c r="C98" s="153" t="str">
        <v/>
      </c>
      <c r="D98" s="153" t="str">
        <v/>
      </c>
      <c r="E98" s="153" t="str">
        <v/>
      </c>
      <c r="F98" s="153" t="str">
        <v/>
      </c>
      <c r="G98" s="153" t="str">
        <v/>
      </c>
      <c r="H98" s="153" t="str">
        <v/>
      </c>
      <c r="I98" s="153" t="str">
        <v/>
      </c>
      <c r="J98" s="153" t="str">
        <v/>
      </c>
      <c r="K98" s="153" t="str">
        <v/>
      </c>
      <c r="L98" s="153" t="str">
        <v/>
      </c>
      <c r="M98" s="153" t="str">
        <v/>
      </c>
      <c r="N98" s="153" t="str">
        <v/>
      </c>
      <c r="O98" s="153" t="str">
        <v/>
      </c>
      <c r="P98" s="153" t="str">
        <v/>
      </c>
    </row>
    <row r="99" spans="1:16" s="88" customFormat="1" x14ac:dyDescent="0.2">
      <c r="A99" s="132" t="str">
        <v/>
      </c>
      <c r="B99" s="131" t="str">
        <f>IFERROR(TIMEVALUE(DaqBook_RAW_Data!Q89),IFERROR(TIMEVALUE(DaqBook_RAW_Data!A89),""))</f>
        <v/>
      </c>
      <c r="C99" s="153" t="str">
        <v/>
      </c>
      <c r="D99" s="153" t="str">
        <v/>
      </c>
      <c r="E99" s="153" t="str">
        <v/>
      </c>
      <c r="F99" s="153" t="str">
        <v/>
      </c>
      <c r="G99" s="153" t="str">
        <v/>
      </c>
      <c r="H99" s="153" t="str">
        <v/>
      </c>
      <c r="I99" s="153" t="str">
        <v/>
      </c>
      <c r="J99" s="153" t="str">
        <v/>
      </c>
      <c r="K99" s="153" t="str">
        <v/>
      </c>
      <c r="L99" s="153" t="str">
        <v/>
      </c>
      <c r="M99" s="153" t="str">
        <v/>
      </c>
      <c r="N99" s="153" t="str">
        <v/>
      </c>
      <c r="O99" s="153" t="str">
        <v/>
      </c>
      <c r="P99" s="153" t="str">
        <v/>
      </c>
    </row>
    <row r="100" spans="1:16" s="88" customFormat="1" x14ac:dyDescent="0.2">
      <c r="A100" s="132" t="str">
        <v/>
      </c>
      <c r="B100" s="131" t="str">
        <f>IFERROR(TIMEVALUE(DaqBook_RAW_Data!Q90),IFERROR(TIMEVALUE(DaqBook_RAW_Data!A90),""))</f>
        <v/>
      </c>
      <c r="C100" s="153" t="str">
        <v/>
      </c>
      <c r="D100" s="153" t="str">
        <v/>
      </c>
      <c r="E100" s="153" t="str">
        <v/>
      </c>
      <c r="F100" s="153" t="str">
        <v/>
      </c>
      <c r="G100" s="153" t="str">
        <v/>
      </c>
      <c r="H100" s="153" t="str">
        <v/>
      </c>
      <c r="I100" s="153" t="str">
        <v/>
      </c>
      <c r="J100" s="153" t="str">
        <v/>
      </c>
      <c r="K100" s="153" t="str">
        <v/>
      </c>
      <c r="L100" s="153" t="str">
        <v/>
      </c>
      <c r="M100" s="153" t="str">
        <v/>
      </c>
      <c r="N100" s="153" t="str">
        <v/>
      </c>
      <c r="O100" s="153" t="str">
        <v/>
      </c>
      <c r="P100" s="153" t="str">
        <v/>
      </c>
    </row>
    <row r="101" spans="1:16" s="88" customFormat="1" x14ac:dyDescent="0.2">
      <c r="A101" s="132" t="str">
        <v/>
      </c>
      <c r="B101" s="131" t="str">
        <f>IFERROR(TIMEVALUE(DaqBook_RAW_Data!Q91),IFERROR(TIMEVALUE(DaqBook_RAW_Data!A91),""))</f>
        <v/>
      </c>
      <c r="C101" s="153" t="str">
        <v/>
      </c>
      <c r="D101" s="153" t="str">
        <v/>
      </c>
      <c r="E101" s="153" t="str">
        <v/>
      </c>
      <c r="F101" s="153" t="str">
        <v/>
      </c>
      <c r="G101" s="153" t="str">
        <v/>
      </c>
      <c r="H101" s="153" t="str">
        <v/>
      </c>
      <c r="I101" s="153" t="str">
        <v/>
      </c>
      <c r="J101" s="153" t="str">
        <v/>
      </c>
      <c r="K101" s="153" t="str">
        <v/>
      </c>
      <c r="L101" s="153" t="str">
        <v/>
      </c>
      <c r="M101" s="153" t="str">
        <v/>
      </c>
      <c r="N101" s="153" t="str">
        <v/>
      </c>
      <c r="O101" s="153" t="str">
        <v/>
      </c>
      <c r="P101" s="153" t="str">
        <v/>
      </c>
    </row>
    <row r="102" spans="1:16" s="88" customFormat="1" x14ac:dyDescent="0.2">
      <c r="A102" s="132" t="str">
        <v/>
      </c>
      <c r="B102" s="131" t="str">
        <f>IFERROR(TIMEVALUE(DaqBook_RAW_Data!Q92),IFERROR(TIMEVALUE(DaqBook_RAW_Data!A92),""))</f>
        <v/>
      </c>
      <c r="C102" s="153" t="str">
        <v/>
      </c>
      <c r="D102" s="153" t="str">
        <v/>
      </c>
      <c r="E102" s="153" t="str">
        <v/>
      </c>
      <c r="F102" s="153" t="str">
        <v/>
      </c>
      <c r="G102" s="153" t="str">
        <v/>
      </c>
      <c r="H102" s="153" t="str">
        <v/>
      </c>
      <c r="I102" s="153" t="str">
        <v/>
      </c>
      <c r="J102" s="153" t="str">
        <v/>
      </c>
      <c r="K102" s="153" t="str">
        <v/>
      </c>
      <c r="L102" s="153" t="str">
        <v/>
      </c>
      <c r="M102" s="153" t="str">
        <v/>
      </c>
      <c r="N102" s="153" t="str">
        <v/>
      </c>
      <c r="O102" s="153" t="str">
        <v/>
      </c>
      <c r="P102" s="153" t="str">
        <v/>
      </c>
    </row>
    <row r="103" spans="1:16" s="88" customFormat="1" x14ac:dyDescent="0.2">
      <c r="A103" s="132" t="str">
        <v/>
      </c>
      <c r="B103" s="131" t="str">
        <f>IFERROR(TIMEVALUE(DaqBook_RAW_Data!Q93),IFERROR(TIMEVALUE(DaqBook_RAW_Data!A93),""))</f>
        <v/>
      </c>
      <c r="C103" s="153" t="str">
        <v/>
      </c>
      <c r="D103" s="153" t="str">
        <v/>
      </c>
      <c r="E103" s="153" t="str">
        <v/>
      </c>
      <c r="F103" s="153" t="str">
        <v/>
      </c>
      <c r="G103" s="153" t="str">
        <v/>
      </c>
      <c r="H103" s="153" t="str">
        <v/>
      </c>
      <c r="I103" s="153" t="str">
        <v/>
      </c>
      <c r="J103" s="153" t="str">
        <v/>
      </c>
      <c r="K103" s="153" t="str">
        <v/>
      </c>
      <c r="L103" s="153" t="str">
        <v/>
      </c>
      <c r="M103" s="153" t="str">
        <v/>
      </c>
      <c r="N103" s="153" t="str">
        <v/>
      </c>
      <c r="O103" s="153" t="str">
        <v/>
      </c>
      <c r="P103" s="153" t="str">
        <v/>
      </c>
    </row>
    <row r="104" spans="1:16" s="88" customFormat="1" x14ac:dyDescent="0.2">
      <c r="A104" s="132" t="str">
        <v/>
      </c>
      <c r="B104" s="131" t="str">
        <f>IFERROR(TIMEVALUE(DaqBook_RAW_Data!Q94),IFERROR(TIMEVALUE(DaqBook_RAW_Data!A94),""))</f>
        <v/>
      </c>
      <c r="C104" s="153" t="str">
        <v/>
      </c>
      <c r="D104" s="153" t="str">
        <v/>
      </c>
      <c r="E104" s="153" t="str">
        <v/>
      </c>
      <c r="F104" s="153" t="str">
        <v/>
      </c>
      <c r="G104" s="153" t="str">
        <v/>
      </c>
      <c r="H104" s="153" t="str">
        <v/>
      </c>
      <c r="I104" s="153" t="str">
        <v/>
      </c>
      <c r="J104" s="153" t="str">
        <v/>
      </c>
      <c r="K104" s="153" t="str">
        <v/>
      </c>
      <c r="L104" s="153" t="str">
        <v/>
      </c>
      <c r="M104" s="153" t="str">
        <v/>
      </c>
      <c r="N104" s="153" t="str">
        <v/>
      </c>
      <c r="O104" s="153" t="str">
        <v/>
      </c>
      <c r="P104" s="153" t="str">
        <v/>
      </c>
    </row>
    <row r="105" spans="1:16" s="88" customFormat="1" x14ac:dyDescent="0.2">
      <c r="A105" s="132" t="str">
        <v/>
      </c>
      <c r="B105" s="131" t="str">
        <f>IFERROR(TIMEVALUE(DaqBook_RAW_Data!Q95),IFERROR(TIMEVALUE(DaqBook_RAW_Data!A95),""))</f>
        <v/>
      </c>
      <c r="C105" s="153" t="str">
        <v/>
      </c>
      <c r="D105" s="153" t="str">
        <v/>
      </c>
      <c r="E105" s="153" t="str">
        <v/>
      </c>
      <c r="F105" s="153" t="str">
        <v/>
      </c>
      <c r="G105" s="153" t="str">
        <v/>
      </c>
      <c r="H105" s="153" t="str">
        <v/>
      </c>
      <c r="I105" s="153" t="str">
        <v/>
      </c>
      <c r="J105" s="153" t="str">
        <v/>
      </c>
      <c r="K105" s="153" t="str">
        <v/>
      </c>
      <c r="L105" s="153" t="str">
        <v/>
      </c>
      <c r="M105" s="153" t="str">
        <v/>
      </c>
      <c r="N105" s="153" t="str">
        <v/>
      </c>
      <c r="O105" s="153" t="str">
        <v/>
      </c>
      <c r="P105" s="153" t="str">
        <v/>
      </c>
    </row>
    <row r="106" spans="1:16" x14ac:dyDescent="0.2">
      <c r="A106" s="58" t="str">
        <v/>
      </c>
      <c r="B106" s="131" t="str">
        <f>IFERROR(TIMEVALUE(DaqBook_RAW_Data!Q96),IFERROR(TIMEVALUE(DaqBook_RAW_Data!A96),""))</f>
        <v/>
      </c>
      <c r="C106" s="153" t="str">
        <v/>
      </c>
      <c r="D106" s="153" t="str">
        <v/>
      </c>
      <c r="E106" s="153" t="str">
        <v/>
      </c>
      <c r="F106" s="153" t="str">
        <v/>
      </c>
      <c r="G106" s="153" t="str">
        <v/>
      </c>
      <c r="H106" s="153" t="str">
        <v/>
      </c>
      <c r="I106" s="153" t="str">
        <v/>
      </c>
      <c r="J106" s="153" t="str">
        <v/>
      </c>
      <c r="K106" s="153" t="str">
        <v/>
      </c>
      <c r="L106" s="153" t="str">
        <v/>
      </c>
      <c r="M106" s="153" t="str">
        <v/>
      </c>
      <c r="N106" s="153" t="str">
        <v/>
      </c>
      <c r="O106" s="153" t="str">
        <v/>
      </c>
      <c r="P106" s="153" t="str">
        <v/>
      </c>
    </row>
    <row r="107" spans="1:16" x14ac:dyDescent="0.2">
      <c r="A107" s="58" t="str">
        <v/>
      </c>
      <c r="B107" s="131" t="str">
        <f>IFERROR(TIMEVALUE(DaqBook_RAW_Data!Q97),IFERROR(TIMEVALUE(DaqBook_RAW_Data!A97),""))</f>
        <v/>
      </c>
      <c r="C107" s="153" t="str">
        <v/>
      </c>
      <c r="D107" s="153" t="str">
        <v/>
      </c>
      <c r="E107" s="153" t="str">
        <v/>
      </c>
      <c r="F107" s="153" t="str">
        <v/>
      </c>
      <c r="G107" s="153" t="str">
        <v/>
      </c>
      <c r="H107" s="153" t="str">
        <v/>
      </c>
      <c r="I107" s="153" t="str">
        <v/>
      </c>
      <c r="J107" s="153" t="str">
        <v/>
      </c>
      <c r="K107" s="153" t="str">
        <v/>
      </c>
      <c r="L107" s="153" t="str">
        <v/>
      </c>
      <c r="M107" s="153" t="str">
        <v/>
      </c>
      <c r="N107" s="153" t="str">
        <v/>
      </c>
      <c r="O107" s="153" t="str">
        <v/>
      </c>
      <c r="P107" s="153" t="str">
        <v/>
      </c>
    </row>
    <row r="108" spans="1:16" x14ac:dyDescent="0.2">
      <c r="A108" s="58" t="str">
        <v/>
      </c>
      <c r="B108" s="131" t="str">
        <f>IFERROR(TIMEVALUE(DaqBook_RAW_Data!Q98),IFERROR(TIMEVALUE(DaqBook_RAW_Data!A98),""))</f>
        <v/>
      </c>
      <c r="C108" s="153" t="str">
        <v/>
      </c>
      <c r="D108" s="153" t="str">
        <v/>
      </c>
      <c r="E108" s="153" t="str">
        <v/>
      </c>
      <c r="F108" s="153" t="str">
        <v/>
      </c>
      <c r="G108" s="153" t="str">
        <v/>
      </c>
      <c r="H108" s="153" t="str">
        <v/>
      </c>
      <c r="I108" s="153" t="str">
        <v/>
      </c>
      <c r="J108" s="153" t="str">
        <v/>
      </c>
      <c r="K108" s="153" t="str">
        <v/>
      </c>
      <c r="L108" s="153" t="str">
        <v/>
      </c>
      <c r="M108" s="153" t="str">
        <v/>
      </c>
      <c r="N108" s="153" t="str">
        <v/>
      </c>
      <c r="O108" s="153" t="str">
        <v/>
      </c>
      <c r="P108" s="153" t="str">
        <v/>
      </c>
    </row>
    <row r="109" spans="1:16" x14ac:dyDescent="0.2">
      <c r="A109" s="58" t="str">
        <v/>
      </c>
      <c r="B109" s="131" t="str">
        <f>IFERROR(TIMEVALUE(DaqBook_RAW_Data!Q99),IFERROR(TIMEVALUE(DaqBook_RAW_Data!A99),""))</f>
        <v/>
      </c>
      <c r="C109" s="153" t="str">
        <v/>
      </c>
      <c r="D109" s="153" t="str">
        <v/>
      </c>
      <c r="E109" s="153" t="str">
        <v/>
      </c>
      <c r="F109" s="153" t="str">
        <v/>
      </c>
      <c r="G109" s="153" t="str">
        <v/>
      </c>
      <c r="H109" s="153" t="str">
        <v/>
      </c>
      <c r="I109" s="153" t="str">
        <v/>
      </c>
      <c r="J109" s="153" t="str">
        <v/>
      </c>
      <c r="K109" s="153" t="str">
        <v/>
      </c>
      <c r="L109" s="153" t="str">
        <v/>
      </c>
      <c r="M109" s="153" t="str">
        <v/>
      </c>
      <c r="N109" s="153" t="str">
        <v/>
      </c>
      <c r="O109" s="153" t="str">
        <v/>
      </c>
      <c r="P109" s="153" t="str">
        <v/>
      </c>
    </row>
    <row r="110" spans="1:16" x14ac:dyDescent="0.2">
      <c r="A110" s="58" t="str">
        <v/>
      </c>
      <c r="B110" s="131" t="str">
        <f>IFERROR(TIMEVALUE(DaqBook_RAW_Data!Q100),IFERROR(TIMEVALUE(DaqBook_RAW_Data!A100),""))</f>
        <v/>
      </c>
      <c r="C110" s="153" t="str">
        <v/>
      </c>
      <c r="D110" s="153" t="str">
        <v/>
      </c>
      <c r="E110" s="153" t="str">
        <v/>
      </c>
      <c r="F110" s="153" t="str">
        <v/>
      </c>
      <c r="G110" s="153" t="str">
        <v/>
      </c>
      <c r="H110" s="153" t="str">
        <v/>
      </c>
      <c r="I110" s="153" t="str">
        <v/>
      </c>
      <c r="J110" s="153" t="str">
        <v/>
      </c>
      <c r="K110" s="153" t="str">
        <v/>
      </c>
      <c r="L110" s="153" t="str">
        <v/>
      </c>
      <c r="M110" s="153" t="str">
        <v/>
      </c>
      <c r="N110" s="153" t="str">
        <v/>
      </c>
      <c r="O110" s="153" t="str">
        <v/>
      </c>
      <c r="P110" s="153" t="str">
        <v/>
      </c>
    </row>
    <row r="111" spans="1:16" x14ac:dyDescent="0.2">
      <c r="A111" s="58" t="str">
        <v/>
      </c>
      <c r="B111" s="131" t="str">
        <f>IFERROR(TIMEVALUE(DaqBook_RAW_Data!Q101),IFERROR(TIMEVALUE(DaqBook_RAW_Data!A101),""))</f>
        <v/>
      </c>
      <c r="C111" s="153" t="str">
        <v/>
      </c>
      <c r="D111" s="153" t="str">
        <v/>
      </c>
      <c r="E111" s="153" t="str">
        <v/>
      </c>
      <c r="F111" s="153" t="str">
        <v/>
      </c>
      <c r="G111" s="153" t="str">
        <v/>
      </c>
      <c r="H111" s="153" t="str">
        <v/>
      </c>
      <c r="I111" s="153" t="str">
        <v/>
      </c>
      <c r="J111" s="153" t="str">
        <v/>
      </c>
      <c r="K111" s="153" t="str">
        <v/>
      </c>
      <c r="L111" s="153" t="str">
        <v/>
      </c>
      <c r="M111" s="153" t="str">
        <v/>
      </c>
      <c r="N111" s="153" t="str">
        <v/>
      </c>
      <c r="O111" s="153" t="str">
        <v/>
      </c>
      <c r="P111" s="153" t="str">
        <v/>
      </c>
    </row>
    <row r="112" spans="1:16" x14ac:dyDescent="0.2">
      <c r="A112" s="58" t="str">
        <v/>
      </c>
      <c r="B112" s="131" t="str">
        <f>IFERROR(TIMEVALUE(DaqBook_RAW_Data!Q102),IFERROR(TIMEVALUE(DaqBook_RAW_Data!A102),""))</f>
        <v/>
      </c>
      <c r="C112" s="153" t="str">
        <v/>
      </c>
      <c r="D112" s="153" t="str">
        <v/>
      </c>
      <c r="E112" s="153" t="str">
        <v/>
      </c>
      <c r="F112" s="153" t="str">
        <v/>
      </c>
      <c r="G112" s="153" t="str">
        <v/>
      </c>
      <c r="H112" s="153" t="str">
        <v/>
      </c>
      <c r="I112" s="153" t="str">
        <v/>
      </c>
      <c r="J112" s="153" t="str">
        <v/>
      </c>
      <c r="K112" s="153" t="str">
        <v/>
      </c>
      <c r="L112" s="153" t="str">
        <v/>
      </c>
      <c r="M112" s="153" t="str">
        <v/>
      </c>
      <c r="N112" s="153" t="str">
        <v/>
      </c>
      <c r="O112" s="153" t="str">
        <v/>
      </c>
      <c r="P112" s="153" t="str">
        <v/>
      </c>
    </row>
    <row r="113" spans="1:16" x14ac:dyDescent="0.2">
      <c r="A113" s="58" t="str">
        <v/>
      </c>
      <c r="B113" s="131" t="str">
        <f>IFERROR(TIMEVALUE(DaqBook_RAW_Data!Q103),IFERROR(TIMEVALUE(DaqBook_RAW_Data!A103),""))</f>
        <v/>
      </c>
      <c r="C113" s="153" t="str">
        <v/>
      </c>
      <c r="D113" s="153" t="str">
        <v/>
      </c>
      <c r="E113" s="153" t="str">
        <v/>
      </c>
      <c r="F113" s="153" t="str">
        <v/>
      </c>
      <c r="G113" s="153" t="str">
        <v/>
      </c>
      <c r="H113" s="153" t="str">
        <v/>
      </c>
      <c r="I113" s="153" t="str">
        <v/>
      </c>
      <c r="J113" s="153" t="str">
        <v/>
      </c>
      <c r="K113" s="153" t="str">
        <v/>
      </c>
      <c r="L113" s="153" t="str">
        <v/>
      </c>
      <c r="M113" s="153" t="str">
        <v/>
      </c>
      <c r="N113" s="153" t="str">
        <v/>
      </c>
      <c r="O113" s="153" t="str">
        <v/>
      </c>
      <c r="P113" s="153" t="str">
        <v/>
      </c>
    </row>
    <row r="114" spans="1:16" x14ac:dyDescent="0.2">
      <c r="A114" s="58" t="str">
        <v/>
      </c>
      <c r="B114" s="131" t="str">
        <f>IFERROR(TIMEVALUE(DaqBook_RAW_Data!Q104),IFERROR(TIMEVALUE(DaqBook_RAW_Data!A104),""))</f>
        <v/>
      </c>
      <c r="C114" s="153" t="str">
        <v/>
      </c>
      <c r="D114" s="153" t="str">
        <v/>
      </c>
      <c r="E114" s="153" t="str">
        <v/>
      </c>
      <c r="F114" s="153" t="str">
        <v/>
      </c>
      <c r="G114" s="153" t="str">
        <v/>
      </c>
      <c r="H114" s="153" t="str">
        <v/>
      </c>
      <c r="I114" s="153" t="str">
        <v/>
      </c>
      <c r="J114" s="153" t="str">
        <v/>
      </c>
      <c r="K114" s="153" t="str">
        <v/>
      </c>
      <c r="L114" s="153" t="str">
        <v/>
      </c>
      <c r="M114" s="153" t="str">
        <v/>
      </c>
      <c r="N114" s="153" t="str">
        <v/>
      </c>
      <c r="O114" s="153" t="str">
        <v/>
      </c>
      <c r="P114" s="153" t="str">
        <v/>
      </c>
    </row>
    <row r="115" spans="1:16" x14ac:dyDescent="0.2">
      <c r="A115" s="58" t="str">
        <v/>
      </c>
      <c r="B115" s="131" t="str">
        <f>IFERROR(TIMEVALUE(DaqBook_RAW_Data!Q105),IFERROR(TIMEVALUE(DaqBook_RAW_Data!A105),""))</f>
        <v/>
      </c>
      <c r="C115" s="153" t="str">
        <v/>
      </c>
      <c r="D115" s="153" t="str">
        <v/>
      </c>
      <c r="E115" s="153" t="str">
        <v/>
      </c>
      <c r="F115" s="153" t="str">
        <v/>
      </c>
      <c r="G115" s="153" t="str">
        <v/>
      </c>
      <c r="H115" s="153" t="str">
        <v/>
      </c>
      <c r="I115" s="153" t="str">
        <v/>
      </c>
      <c r="J115" s="153" t="str">
        <v/>
      </c>
      <c r="K115" s="153" t="str">
        <v/>
      </c>
      <c r="L115" s="153" t="str">
        <v/>
      </c>
      <c r="M115" s="153" t="str">
        <v/>
      </c>
      <c r="N115" s="153" t="str">
        <v/>
      </c>
      <c r="O115" s="153" t="str">
        <v/>
      </c>
      <c r="P115" s="153" t="str">
        <v/>
      </c>
    </row>
    <row r="116" spans="1:16" x14ac:dyDescent="0.2">
      <c r="A116" s="58" t="str">
        <v/>
      </c>
      <c r="B116" s="131" t="str">
        <f>IFERROR(TIMEVALUE(DaqBook_RAW_Data!Q106),IFERROR(TIMEVALUE(DaqBook_RAW_Data!A106),""))</f>
        <v/>
      </c>
      <c r="C116" s="153" t="str">
        <v/>
      </c>
      <c r="D116" s="153" t="str">
        <v/>
      </c>
      <c r="E116" s="153" t="str">
        <v/>
      </c>
      <c r="F116" s="153" t="str">
        <v/>
      </c>
      <c r="G116" s="153" t="str">
        <v/>
      </c>
      <c r="H116" s="153" t="str">
        <v/>
      </c>
      <c r="I116" s="153" t="str">
        <v/>
      </c>
      <c r="J116" s="153" t="str">
        <v/>
      </c>
      <c r="K116" s="153" t="str">
        <v/>
      </c>
      <c r="L116" s="153" t="str">
        <v/>
      </c>
      <c r="M116" s="153" t="str">
        <v/>
      </c>
      <c r="N116" s="153" t="str">
        <v/>
      </c>
      <c r="O116" s="153" t="str">
        <v/>
      </c>
      <c r="P116" s="153" t="str">
        <v/>
      </c>
    </row>
    <row r="117" spans="1:16" x14ac:dyDescent="0.2">
      <c r="A117" s="58" t="str">
        <v/>
      </c>
      <c r="B117" s="131" t="str">
        <f>IFERROR(TIMEVALUE(DaqBook_RAW_Data!Q107),IFERROR(TIMEVALUE(DaqBook_RAW_Data!A107),""))</f>
        <v/>
      </c>
      <c r="C117" s="153" t="str">
        <v/>
      </c>
      <c r="D117" s="153" t="str">
        <v/>
      </c>
      <c r="E117" s="153" t="str">
        <v/>
      </c>
      <c r="F117" s="153" t="str">
        <v/>
      </c>
      <c r="G117" s="153" t="str">
        <v/>
      </c>
      <c r="H117" s="153" t="str">
        <v/>
      </c>
      <c r="I117" s="153" t="str">
        <v/>
      </c>
      <c r="J117" s="153" t="str">
        <v/>
      </c>
      <c r="K117" s="153" t="str">
        <v/>
      </c>
      <c r="L117" s="153" t="str">
        <v/>
      </c>
      <c r="M117" s="153" t="str">
        <v/>
      </c>
      <c r="N117" s="153" t="str">
        <v/>
      </c>
      <c r="O117" s="153" t="str">
        <v/>
      </c>
      <c r="P117" s="153" t="str">
        <v/>
      </c>
    </row>
    <row r="118" spans="1:16" x14ac:dyDescent="0.2">
      <c r="A118" s="58" t="str">
        <v/>
      </c>
      <c r="B118" s="131" t="str">
        <f>IFERROR(TIMEVALUE(DaqBook_RAW_Data!Q108),IFERROR(TIMEVALUE(DaqBook_RAW_Data!A108),""))</f>
        <v/>
      </c>
      <c r="C118" s="153" t="str">
        <v/>
      </c>
      <c r="D118" s="153" t="str">
        <v/>
      </c>
      <c r="E118" s="153" t="str">
        <v/>
      </c>
      <c r="F118" s="153" t="str">
        <v/>
      </c>
      <c r="G118" s="153" t="str">
        <v/>
      </c>
      <c r="H118" s="153" t="str">
        <v/>
      </c>
      <c r="I118" s="153" t="str">
        <v/>
      </c>
      <c r="J118" s="153" t="str">
        <v/>
      </c>
      <c r="K118" s="153" t="str">
        <v/>
      </c>
      <c r="L118" s="153" t="str">
        <v/>
      </c>
      <c r="M118" s="153" t="str">
        <v/>
      </c>
      <c r="N118" s="153" t="str">
        <v/>
      </c>
      <c r="O118" s="153" t="str">
        <v/>
      </c>
      <c r="P118" s="153" t="str">
        <v/>
      </c>
    </row>
    <row r="119" spans="1:16" x14ac:dyDescent="0.2">
      <c r="A119" s="58" t="str">
        <v/>
      </c>
      <c r="B119" s="131" t="str">
        <f>IFERROR(TIMEVALUE(DaqBook_RAW_Data!Q109),IFERROR(TIMEVALUE(DaqBook_RAW_Data!A109),""))</f>
        <v/>
      </c>
      <c r="C119" s="153" t="str">
        <v/>
      </c>
      <c r="D119" s="153" t="str">
        <v/>
      </c>
      <c r="E119" s="153" t="str">
        <v/>
      </c>
      <c r="F119" s="153" t="str">
        <v/>
      </c>
      <c r="G119" s="153" t="str">
        <v/>
      </c>
      <c r="H119" s="153" t="str">
        <v/>
      </c>
      <c r="I119" s="153" t="str">
        <v/>
      </c>
      <c r="J119" s="153" t="str">
        <v/>
      </c>
      <c r="K119" s="153" t="str">
        <v/>
      </c>
      <c r="L119" s="153" t="str">
        <v/>
      </c>
      <c r="M119" s="153" t="str">
        <v/>
      </c>
      <c r="N119" s="153" t="str">
        <v/>
      </c>
      <c r="O119" s="153" t="str">
        <v/>
      </c>
      <c r="P119" s="153" t="str">
        <v/>
      </c>
    </row>
    <row r="120" spans="1:16" x14ac:dyDescent="0.2">
      <c r="A120" s="58" t="str">
        <v/>
      </c>
      <c r="B120" s="131" t="str">
        <f>IFERROR(TIMEVALUE(DaqBook_RAW_Data!Q110),IFERROR(TIMEVALUE(DaqBook_RAW_Data!A110),""))</f>
        <v/>
      </c>
      <c r="C120" s="153" t="str">
        <v/>
      </c>
      <c r="D120" s="153" t="str">
        <v/>
      </c>
      <c r="E120" s="153" t="str">
        <v/>
      </c>
      <c r="F120" s="153" t="str">
        <v/>
      </c>
      <c r="G120" s="153" t="str">
        <v/>
      </c>
      <c r="H120" s="153" t="str">
        <v/>
      </c>
      <c r="I120" s="153" t="str">
        <v/>
      </c>
      <c r="J120" s="153" t="str">
        <v/>
      </c>
      <c r="K120" s="153" t="str">
        <v/>
      </c>
      <c r="L120" s="153" t="str">
        <v/>
      </c>
      <c r="M120" s="153" t="str">
        <v/>
      </c>
      <c r="N120" s="153" t="str">
        <v/>
      </c>
      <c r="O120" s="153" t="str">
        <v/>
      </c>
      <c r="P120" s="153" t="str">
        <v/>
      </c>
    </row>
    <row r="121" spans="1:16" x14ac:dyDescent="0.2">
      <c r="A121" s="58" t="str">
        <v/>
      </c>
      <c r="B121" s="131" t="str">
        <f>IFERROR(TIMEVALUE(DaqBook_RAW_Data!Q111),IFERROR(TIMEVALUE(DaqBook_RAW_Data!A111),""))</f>
        <v/>
      </c>
      <c r="C121" s="153" t="str">
        <v/>
      </c>
      <c r="D121" s="153" t="str">
        <v/>
      </c>
      <c r="E121" s="153" t="str">
        <v/>
      </c>
      <c r="F121" s="153" t="str">
        <v/>
      </c>
      <c r="G121" s="153" t="str">
        <v/>
      </c>
      <c r="H121" s="153" t="str">
        <v/>
      </c>
      <c r="I121" s="153" t="str">
        <v/>
      </c>
      <c r="J121" s="153" t="str">
        <v/>
      </c>
      <c r="K121" s="153" t="str">
        <v/>
      </c>
      <c r="L121" s="153" t="str">
        <v/>
      </c>
      <c r="M121" s="153" t="str">
        <v/>
      </c>
      <c r="N121" s="153" t="str">
        <v/>
      </c>
      <c r="O121" s="153" t="str">
        <v/>
      </c>
      <c r="P121" s="153" t="str">
        <v/>
      </c>
    </row>
    <row r="122" spans="1:16" x14ac:dyDescent="0.2">
      <c r="A122" s="58" t="str">
        <v/>
      </c>
      <c r="B122" s="131" t="str">
        <f>IFERROR(TIMEVALUE(DaqBook_RAW_Data!Q112),IFERROR(TIMEVALUE(DaqBook_RAW_Data!A112),""))</f>
        <v/>
      </c>
      <c r="C122" s="153" t="str">
        <v/>
      </c>
      <c r="D122" s="153" t="str">
        <v/>
      </c>
      <c r="E122" s="153" t="str">
        <v/>
      </c>
      <c r="F122" s="153" t="str">
        <v/>
      </c>
      <c r="G122" s="153" t="str">
        <v/>
      </c>
      <c r="H122" s="153" t="str">
        <v/>
      </c>
      <c r="I122" s="153" t="str">
        <v/>
      </c>
      <c r="J122" s="153" t="str">
        <v/>
      </c>
      <c r="K122" s="153" t="str">
        <v/>
      </c>
      <c r="L122" s="153" t="str">
        <v/>
      </c>
      <c r="M122" s="153" t="str">
        <v/>
      </c>
      <c r="N122" s="153" t="str">
        <v/>
      </c>
      <c r="O122" s="153" t="str">
        <v/>
      </c>
      <c r="P122" s="153" t="str">
        <v/>
      </c>
    </row>
    <row r="123" spans="1:16" x14ac:dyDescent="0.2">
      <c r="A123" s="58" t="str">
        <v/>
      </c>
      <c r="B123" s="131" t="str">
        <f>IFERROR(TIMEVALUE(DaqBook_RAW_Data!Q113),IFERROR(TIMEVALUE(DaqBook_RAW_Data!A113),""))</f>
        <v/>
      </c>
      <c r="C123" s="153" t="str">
        <v/>
      </c>
      <c r="D123" s="153" t="str">
        <v/>
      </c>
      <c r="E123" s="153" t="str">
        <v/>
      </c>
      <c r="F123" s="153" t="str">
        <v/>
      </c>
      <c r="G123" s="153" t="str">
        <v/>
      </c>
      <c r="H123" s="153" t="str">
        <v/>
      </c>
      <c r="I123" s="153" t="str">
        <v/>
      </c>
      <c r="J123" s="153" t="str">
        <v/>
      </c>
      <c r="K123" s="153" t="str">
        <v/>
      </c>
      <c r="L123" s="153" t="str">
        <v/>
      </c>
      <c r="M123" s="153" t="str">
        <v/>
      </c>
      <c r="N123" s="153" t="str">
        <v/>
      </c>
      <c r="O123" s="153" t="str">
        <v/>
      </c>
      <c r="P123" s="153" t="str">
        <v/>
      </c>
    </row>
    <row r="124" spans="1:16" x14ac:dyDescent="0.2">
      <c r="A124" s="58" t="str">
        <v/>
      </c>
      <c r="B124" s="131" t="str">
        <f>IFERROR(TIMEVALUE(DaqBook_RAW_Data!Q114),IFERROR(TIMEVALUE(DaqBook_RAW_Data!A114),""))</f>
        <v/>
      </c>
      <c r="C124" s="153" t="str">
        <v/>
      </c>
      <c r="D124" s="153" t="str">
        <v/>
      </c>
      <c r="E124" s="153" t="str">
        <v/>
      </c>
      <c r="F124" s="153" t="str">
        <v/>
      </c>
      <c r="G124" s="153" t="str">
        <v/>
      </c>
      <c r="H124" s="153" t="str">
        <v/>
      </c>
      <c r="I124" s="153" t="str">
        <v/>
      </c>
      <c r="J124" s="153" t="str">
        <v/>
      </c>
      <c r="K124" s="153" t="str">
        <v/>
      </c>
      <c r="L124" s="153" t="str">
        <v/>
      </c>
      <c r="M124" s="153" t="str">
        <v/>
      </c>
      <c r="N124" s="153" t="str">
        <v/>
      </c>
      <c r="O124" s="153" t="str">
        <v/>
      </c>
      <c r="P124" s="153" t="str">
        <v/>
      </c>
    </row>
    <row r="125" spans="1:16" x14ac:dyDescent="0.2">
      <c r="A125" s="58" t="str">
        <v/>
      </c>
      <c r="B125" s="131" t="str">
        <f>IFERROR(TIMEVALUE(DaqBook_RAW_Data!Q115),IFERROR(TIMEVALUE(DaqBook_RAW_Data!A115),""))</f>
        <v/>
      </c>
      <c r="C125" s="153" t="str">
        <v/>
      </c>
      <c r="D125" s="153" t="str">
        <v/>
      </c>
      <c r="E125" s="153" t="str">
        <v/>
      </c>
      <c r="F125" s="153" t="str">
        <v/>
      </c>
      <c r="G125" s="153" t="str">
        <v/>
      </c>
      <c r="H125" s="153" t="str">
        <v/>
      </c>
      <c r="I125" s="153" t="str">
        <v/>
      </c>
      <c r="J125" s="153" t="str">
        <v/>
      </c>
      <c r="K125" s="153" t="str">
        <v/>
      </c>
      <c r="L125" s="153" t="str">
        <v/>
      </c>
      <c r="M125" s="153" t="str">
        <v/>
      </c>
      <c r="N125" s="153" t="str">
        <v/>
      </c>
      <c r="O125" s="153" t="str">
        <v/>
      </c>
      <c r="P125" s="153" t="str">
        <v/>
      </c>
    </row>
    <row r="126" spans="1:16" x14ac:dyDescent="0.2">
      <c r="A126" s="58" t="str">
        <v/>
      </c>
      <c r="B126" s="131" t="str">
        <f>IFERROR(TIMEVALUE(DaqBook_RAW_Data!Q116),IFERROR(TIMEVALUE(DaqBook_RAW_Data!A116),""))</f>
        <v/>
      </c>
      <c r="C126" s="153" t="str">
        <v/>
      </c>
      <c r="D126" s="153" t="str">
        <v/>
      </c>
      <c r="E126" s="153" t="str">
        <v/>
      </c>
      <c r="F126" s="153" t="str">
        <v/>
      </c>
      <c r="G126" s="153" t="str">
        <v/>
      </c>
      <c r="H126" s="153" t="str">
        <v/>
      </c>
      <c r="I126" s="153" t="str">
        <v/>
      </c>
      <c r="J126" s="153" t="str">
        <v/>
      </c>
      <c r="K126" s="153" t="str">
        <v/>
      </c>
      <c r="L126" s="153" t="str">
        <v/>
      </c>
      <c r="M126" s="153" t="str">
        <v/>
      </c>
      <c r="N126" s="153" t="str">
        <v/>
      </c>
      <c r="O126" s="153" t="str">
        <v/>
      </c>
      <c r="P126" s="153" t="str">
        <v/>
      </c>
    </row>
    <row r="127" spans="1:16" x14ac:dyDescent="0.2">
      <c r="A127" s="58" t="str">
        <v/>
      </c>
      <c r="B127" s="131" t="str">
        <f>IFERROR(TIMEVALUE(DaqBook_RAW_Data!Q117),IFERROR(TIMEVALUE(DaqBook_RAW_Data!A117),""))</f>
        <v/>
      </c>
      <c r="C127" s="153" t="str">
        <v/>
      </c>
      <c r="D127" s="153" t="str">
        <v/>
      </c>
      <c r="E127" s="153" t="str">
        <v/>
      </c>
      <c r="F127" s="153" t="str">
        <v/>
      </c>
      <c r="G127" s="153" t="str">
        <v/>
      </c>
      <c r="H127" s="153" t="str">
        <v/>
      </c>
      <c r="I127" s="153" t="str">
        <v/>
      </c>
      <c r="J127" s="153" t="str">
        <v/>
      </c>
      <c r="K127" s="153" t="str">
        <v/>
      </c>
      <c r="L127" s="153" t="str">
        <v/>
      </c>
      <c r="M127" s="153" t="str">
        <v/>
      </c>
      <c r="N127" s="153" t="str">
        <v/>
      </c>
      <c r="O127" s="153" t="str">
        <v/>
      </c>
      <c r="P127" s="153" t="str">
        <v/>
      </c>
    </row>
    <row r="128" spans="1:16" x14ac:dyDescent="0.2">
      <c r="A128" s="58" t="str">
        <v/>
      </c>
      <c r="B128" s="131" t="str">
        <f>IFERROR(TIMEVALUE(DaqBook_RAW_Data!Q118),IFERROR(TIMEVALUE(DaqBook_RAW_Data!A118),""))</f>
        <v/>
      </c>
      <c r="C128" s="153" t="str">
        <v/>
      </c>
      <c r="D128" s="153" t="str">
        <v/>
      </c>
      <c r="E128" s="153" t="str">
        <v/>
      </c>
      <c r="F128" s="153" t="str">
        <v/>
      </c>
      <c r="G128" s="153" t="str">
        <v/>
      </c>
      <c r="H128" s="153" t="str">
        <v/>
      </c>
      <c r="I128" s="153" t="str">
        <v/>
      </c>
      <c r="J128" s="153" t="str">
        <v/>
      </c>
      <c r="K128" s="153" t="str">
        <v/>
      </c>
      <c r="L128" s="153" t="str">
        <v/>
      </c>
      <c r="M128" s="153" t="str">
        <v/>
      </c>
      <c r="N128" s="153" t="str">
        <v/>
      </c>
      <c r="O128" s="153" t="str">
        <v/>
      </c>
      <c r="P128" s="153" t="str">
        <v/>
      </c>
    </row>
    <row r="129" spans="1:16" x14ac:dyDescent="0.2">
      <c r="A129" s="58" t="str">
        <v/>
      </c>
      <c r="B129" s="131" t="str">
        <f>IFERROR(TIMEVALUE(DaqBook_RAW_Data!Q119),IFERROR(TIMEVALUE(DaqBook_RAW_Data!A119),""))</f>
        <v/>
      </c>
      <c r="C129" s="153" t="str">
        <v/>
      </c>
      <c r="D129" s="153" t="str">
        <v/>
      </c>
      <c r="E129" s="153" t="str">
        <v/>
      </c>
      <c r="F129" s="153" t="str">
        <v/>
      </c>
      <c r="G129" s="153" t="str">
        <v/>
      </c>
      <c r="H129" s="153" t="str">
        <v/>
      </c>
      <c r="I129" s="153" t="str">
        <v/>
      </c>
      <c r="J129" s="153" t="str">
        <v/>
      </c>
      <c r="K129" s="153" t="str">
        <v/>
      </c>
      <c r="L129" s="153" t="str">
        <v/>
      </c>
      <c r="M129" s="153" t="str">
        <v/>
      </c>
      <c r="N129" s="153" t="str">
        <v/>
      </c>
      <c r="O129" s="153" t="str">
        <v/>
      </c>
      <c r="P129" s="153" t="str">
        <v/>
      </c>
    </row>
    <row r="130" spans="1:16" x14ac:dyDescent="0.2">
      <c r="A130" s="58" t="str">
        <v/>
      </c>
      <c r="B130" s="131" t="str">
        <f>IFERROR(TIMEVALUE(DaqBook_RAW_Data!Q120),IFERROR(TIMEVALUE(DaqBook_RAW_Data!A120),""))</f>
        <v/>
      </c>
      <c r="C130" s="153" t="str">
        <v/>
      </c>
      <c r="D130" s="153" t="str">
        <v/>
      </c>
      <c r="E130" s="153" t="str">
        <v/>
      </c>
      <c r="F130" s="153" t="str">
        <v/>
      </c>
      <c r="G130" s="153" t="str">
        <v/>
      </c>
      <c r="H130" s="153" t="str">
        <v/>
      </c>
      <c r="I130" s="153" t="str">
        <v/>
      </c>
      <c r="J130" s="153" t="str">
        <v/>
      </c>
      <c r="K130" s="153" t="str">
        <v/>
      </c>
      <c r="L130" s="153" t="str">
        <v/>
      </c>
      <c r="M130" s="153" t="str">
        <v/>
      </c>
      <c r="N130" s="153" t="str">
        <v/>
      </c>
      <c r="O130" s="153" t="str">
        <v/>
      </c>
      <c r="P130" s="153" t="str">
        <v/>
      </c>
    </row>
    <row r="131" spans="1:16" x14ac:dyDescent="0.2">
      <c r="A131" s="58" t="str">
        <v/>
      </c>
      <c r="B131" s="131" t="str">
        <f>IFERROR(TIMEVALUE(DaqBook_RAW_Data!Q121),IFERROR(TIMEVALUE(DaqBook_RAW_Data!A121),""))</f>
        <v/>
      </c>
      <c r="C131" s="153" t="str">
        <v/>
      </c>
      <c r="D131" s="153" t="str">
        <v/>
      </c>
      <c r="E131" s="153" t="str">
        <v/>
      </c>
      <c r="F131" s="153" t="str">
        <v/>
      </c>
      <c r="G131" s="153" t="str">
        <v/>
      </c>
      <c r="H131" s="153" t="str">
        <v/>
      </c>
      <c r="I131" s="153" t="str">
        <v/>
      </c>
      <c r="J131" s="153" t="str">
        <v/>
      </c>
      <c r="K131" s="153" t="str">
        <v/>
      </c>
      <c r="L131" s="153" t="str">
        <v/>
      </c>
      <c r="M131" s="153" t="str">
        <v/>
      </c>
      <c r="N131" s="153" t="str">
        <v/>
      </c>
      <c r="O131" s="153" t="str">
        <v/>
      </c>
      <c r="P131" s="153" t="str">
        <v/>
      </c>
    </row>
    <row r="132" spans="1:16" x14ac:dyDescent="0.2">
      <c r="A132" s="58" t="str">
        <v/>
      </c>
      <c r="B132" s="131" t="str">
        <f>IFERROR(TIMEVALUE(DaqBook_RAW_Data!Q122),IFERROR(TIMEVALUE(DaqBook_RAW_Data!A122),""))</f>
        <v/>
      </c>
      <c r="C132" s="153" t="str">
        <v/>
      </c>
      <c r="D132" s="153" t="str">
        <v/>
      </c>
      <c r="E132" s="153" t="str">
        <v/>
      </c>
      <c r="F132" s="153" t="str">
        <v/>
      </c>
      <c r="G132" s="153" t="str">
        <v/>
      </c>
      <c r="H132" s="153" t="str">
        <v/>
      </c>
      <c r="I132" s="153" t="str">
        <v/>
      </c>
      <c r="J132" s="153" t="str">
        <v/>
      </c>
      <c r="K132" s="153" t="str">
        <v/>
      </c>
      <c r="L132" s="153" t="str">
        <v/>
      </c>
      <c r="M132" s="153" t="str">
        <v/>
      </c>
      <c r="N132" s="153" t="str">
        <v/>
      </c>
      <c r="O132" s="153" t="str">
        <v/>
      </c>
      <c r="P132" s="153" t="str">
        <v/>
      </c>
    </row>
    <row r="133" spans="1:16" x14ac:dyDescent="0.2">
      <c r="A133" s="58" t="str">
        <v/>
      </c>
      <c r="B133" s="131" t="str">
        <f>IFERROR(TIMEVALUE(DaqBook_RAW_Data!Q123),IFERROR(TIMEVALUE(DaqBook_RAW_Data!A123),""))</f>
        <v/>
      </c>
      <c r="C133" s="153" t="str">
        <v/>
      </c>
      <c r="D133" s="153" t="str">
        <v/>
      </c>
      <c r="E133" s="153" t="str">
        <v/>
      </c>
      <c r="F133" s="153" t="str">
        <v/>
      </c>
      <c r="G133" s="153" t="str">
        <v/>
      </c>
      <c r="H133" s="153" t="str">
        <v/>
      </c>
      <c r="I133" s="153" t="str">
        <v/>
      </c>
      <c r="J133" s="153" t="str">
        <v/>
      </c>
      <c r="K133" s="153" t="str">
        <v/>
      </c>
      <c r="L133" s="153" t="str">
        <v/>
      </c>
      <c r="M133" s="153" t="str">
        <v/>
      </c>
      <c r="N133" s="153" t="str">
        <v/>
      </c>
      <c r="O133" s="153" t="str">
        <v/>
      </c>
      <c r="P133" s="153" t="str">
        <v/>
      </c>
    </row>
    <row r="134" spans="1:16" x14ac:dyDescent="0.2">
      <c r="A134" s="58" t="str">
        <v/>
      </c>
      <c r="B134" s="131" t="str">
        <f>IFERROR(TIMEVALUE(DaqBook_RAW_Data!Q124),IFERROR(TIMEVALUE(DaqBook_RAW_Data!A124),""))</f>
        <v/>
      </c>
      <c r="C134" s="153" t="str">
        <v/>
      </c>
      <c r="D134" s="153" t="str">
        <v/>
      </c>
      <c r="E134" s="153" t="str">
        <v/>
      </c>
      <c r="F134" s="153" t="str">
        <v/>
      </c>
      <c r="G134" s="153" t="str">
        <v/>
      </c>
      <c r="H134" s="153" t="str">
        <v/>
      </c>
      <c r="I134" s="153" t="str">
        <v/>
      </c>
      <c r="J134" s="153" t="str">
        <v/>
      </c>
      <c r="K134" s="153" t="str">
        <v/>
      </c>
      <c r="L134" s="153" t="str">
        <v/>
      </c>
      <c r="M134" s="153" t="str">
        <v/>
      </c>
      <c r="N134" s="153" t="str">
        <v/>
      </c>
      <c r="O134" s="153" t="str">
        <v/>
      </c>
      <c r="P134" s="153" t="str">
        <v/>
      </c>
    </row>
    <row r="135" spans="1:16" x14ac:dyDescent="0.2">
      <c r="A135" s="58" t="str">
        <v/>
      </c>
      <c r="B135" s="131" t="str">
        <f>IFERROR(TIMEVALUE(DaqBook_RAW_Data!Q125),IFERROR(TIMEVALUE(DaqBook_RAW_Data!A125),""))</f>
        <v/>
      </c>
      <c r="C135" s="153" t="str">
        <v/>
      </c>
      <c r="D135" s="153" t="str">
        <v/>
      </c>
      <c r="E135" s="153" t="str">
        <v/>
      </c>
      <c r="F135" s="153" t="str">
        <v/>
      </c>
      <c r="G135" s="153" t="str">
        <v/>
      </c>
      <c r="H135" s="153" t="str">
        <v/>
      </c>
      <c r="I135" s="153" t="str">
        <v/>
      </c>
      <c r="J135" s="153" t="str">
        <v/>
      </c>
      <c r="K135" s="153" t="str">
        <v/>
      </c>
      <c r="L135" s="153" t="str">
        <v/>
      </c>
      <c r="M135" s="153" t="str">
        <v/>
      </c>
      <c r="N135" s="153" t="str">
        <v/>
      </c>
      <c r="O135" s="153" t="str">
        <v/>
      </c>
      <c r="P135" s="153" t="str">
        <v/>
      </c>
    </row>
    <row r="136" spans="1:16" x14ac:dyDescent="0.2">
      <c r="A136" s="58" t="str">
        <v/>
      </c>
      <c r="B136" s="131" t="str">
        <f>IFERROR(TIMEVALUE(DaqBook_RAW_Data!Q126),IFERROR(TIMEVALUE(DaqBook_RAW_Data!A126),""))</f>
        <v/>
      </c>
      <c r="C136" s="153" t="str">
        <v/>
      </c>
      <c r="D136" s="153" t="str">
        <v/>
      </c>
      <c r="E136" s="153" t="str">
        <v/>
      </c>
      <c r="F136" s="153" t="str">
        <v/>
      </c>
      <c r="G136" s="153" t="str">
        <v/>
      </c>
      <c r="H136" s="153" t="str">
        <v/>
      </c>
      <c r="I136" s="153" t="str">
        <v/>
      </c>
      <c r="J136" s="153" t="str">
        <v/>
      </c>
      <c r="K136" s="153" t="str">
        <v/>
      </c>
      <c r="L136" s="153" t="str">
        <v/>
      </c>
      <c r="M136" s="153" t="str">
        <v/>
      </c>
      <c r="N136" s="153" t="str">
        <v/>
      </c>
      <c r="O136" s="153" t="str">
        <v/>
      </c>
      <c r="P136" s="153" t="str">
        <v/>
      </c>
    </row>
    <row r="137" spans="1:16" x14ac:dyDescent="0.2">
      <c r="A137" s="58" t="str">
        <v/>
      </c>
      <c r="B137" s="131" t="str">
        <f>IFERROR(TIMEVALUE(DaqBook_RAW_Data!Q127),IFERROR(TIMEVALUE(DaqBook_RAW_Data!A127),""))</f>
        <v/>
      </c>
      <c r="C137" s="153" t="str">
        <v/>
      </c>
      <c r="D137" s="153" t="str">
        <v/>
      </c>
      <c r="E137" s="153" t="str">
        <v/>
      </c>
      <c r="F137" s="153" t="str">
        <v/>
      </c>
      <c r="G137" s="153" t="str">
        <v/>
      </c>
      <c r="H137" s="153" t="str">
        <v/>
      </c>
      <c r="I137" s="153" t="str">
        <v/>
      </c>
      <c r="J137" s="153" t="str">
        <v/>
      </c>
      <c r="K137" s="153" t="str">
        <v/>
      </c>
      <c r="L137" s="153" t="str">
        <v/>
      </c>
      <c r="M137" s="153" t="str">
        <v/>
      </c>
      <c r="N137" s="153" t="str">
        <v/>
      </c>
      <c r="O137" s="153" t="str">
        <v/>
      </c>
      <c r="P137" s="153" t="str">
        <v/>
      </c>
    </row>
    <row r="138" spans="1:16" x14ac:dyDescent="0.2">
      <c r="A138" s="58" t="str">
        <v/>
      </c>
      <c r="B138" s="131" t="str">
        <f>IFERROR(TIMEVALUE(DaqBook_RAW_Data!Q128),IFERROR(TIMEVALUE(DaqBook_RAW_Data!A128),""))</f>
        <v/>
      </c>
      <c r="C138" s="153" t="str">
        <v/>
      </c>
      <c r="D138" s="153" t="str">
        <v/>
      </c>
      <c r="E138" s="153" t="str">
        <v/>
      </c>
      <c r="F138" s="153" t="str">
        <v/>
      </c>
      <c r="G138" s="153" t="str">
        <v/>
      </c>
      <c r="H138" s="153" t="str">
        <v/>
      </c>
      <c r="I138" s="153" t="str">
        <v/>
      </c>
      <c r="J138" s="153" t="str">
        <v/>
      </c>
      <c r="K138" s="153" t="str">
        <v/>
      </c>
      <c r="L138" s="153" t="str">
        <v/>
      </c>
      <c r="M138" s="153" t="str">
        <v/>
      </c>
      <c r="N138" s="153" t="str">
        <v/>
      </c>
      <c r="O138" s="153" t="str">
        <v/>
      </c>
      <c r="P138" s="153" t="str">
        <v/>
      </c>
    </row>
    <row r="139" spans="1:16" x14ac:dyDescent="0.2">
      <c r="A139" s="58" t="str">
        <v/>
      </c>
      <c r="B139" s="131" t="str">
        <f>IFERROR(TIMEVALUE(DaqBook_RAW_Data!Q129),IFERROR(TIMEVALUE(DaqBook_RAW_Data!A129),""))</f>
        <v/>
      </c>
      <c r="C139" s="153" t="str">
        <v/>
      </c>
      <c r="D139" s="153" t="str">
        <v/>
      </c>
      <c r="E139" s="153" t="str">
        <v/>
      </c>
      <c r="F139" s="153" t="str">
        <v/>
      </c>
      <c r="G139" s="153" t="str">
        <v/>
      </c>
      <c r="H139" s="153" t="str">
        <v/>
      </c>
      <c r="I139" s="153" t="str">
        <v/>
      </c>
      <c r="J139" s="153" t="str">
        <v/>
      </c>
      <c r="K139" s="153" t="str">
        <v/>
      </c>
      <c r="L139" s="153" t="str">
        <v/>
      </c>
      <c r="M139" s="153" t="str">
        <v/>
      </c>
      <c r="N139" s="153" t="str">
        <v/>
      </c>
      <c r="O139" s="153" t="str">
        <v/>
      </c>
      <c r="P139" s="153" t="str">
        <v/>
      </c>
    </row>
    <row r="140" spans="1:16" x14ac:dyDescent="0.2">
      <c r="A140" s="58" t="str">
        <v/>
      </c>
      <c r="B140" s="131" t="str">
        <f>IFERROR(TIMEVALUE(DaqBook_RAW_Data!Q130),IFERROR(TIMEVALUE(DaqBook_RAW_Data!A130),""))</f>
        <v/>
      </c>
      <c r="C140" s="153" t="str">
        <v/>
      </c>
      <c r="D140" s="153" t="str">
        <v/>
      </c>
      <c r="E140" s="153" t="str">
        <v/>
      </c>
      <c r="F140" s="153" t="str">
        <v/>
      </c>
      <c r="G140" s="153" t="str">
        <v/>
      </c>
      <c r="H140" s="153" t="str">
        <v/>
      </c>
      <c r="I140" s="153" t="str">
        <v/>
      </c>
      <c r="J140" s="153" t="str">
        <v/>
      </c>
      <c r="K140" s="153" t="str">
        <v/>
      </c>
      <c r="L140" s="153" t="str">
        <v/>
      </c>
      <c r="M140" s="153" t="str">
        <v/>
      </c>
      <c r="N140" s="153" t="str">
        <v/>
      </c>
      <c r="O140" s="153" t="str">
        <v/>
      </c>
      <c r="P140" s="153" t="str">
        <v/>
      </c>
    </row>
    <row r="141" spans="1:16" x14ac:dyDescent="0.2">
      <c r="A141" s="58" t="str">
        <v/>
      </c>
      <c r="B141" s="131" t="str">
        <f>IFERROR(TIMEVALUE(DaqBook_RAW_Data!Q131),IFERROR(TIMEVALUE(DaqBook_RAW_Data!A131),""))</f>
        <v/>
      </c>
      <c r="C141" s="153" t="str">
        <v/>
      </c>
      <c r="D141" s="153" t="str">
        <v/>
      </c>
      <c r="E141" s="153" t="str">
        <v/>
      </c>
      <c r="F141" s="153" t="str">
        <v/>
      </c>
      <c r="G141" s="153" t="str">
        <v/>
      </c>
      <c r="H141" s="153" t="str">
        <v/>
      </c>
      <c r="I141" s="153" t="str">
        <v/>
      </c>
      <c r="J141" s="153" t="str">
        <v/>
      </c>
      <c r="K141" s="153" t="str">
        <v/>
      </c>
      <c r="L141" s="153" t="str">
        <v/>
      </c>
      <c r="M141" s="153" t="str">
        <v/>
      </c>
      <c r="N141" s="153" t="str">
        <v/>
      </c>
      <c r="O141" s="153" t="str">
        <v/>
      </c>
      <c r="P141" s="153" t="str">
        <v/>
      </c>
    </row>
    <row r="142" spans="1:16" x14ac:dyDescent="0.2">
      <c r="A142" s="58" t="str">
        <v/>
      </c>
      <c r="B142" s="131" t="str">
        <f>IFERROR(TIMEVALUE(DaqBook_RAW_Data!Q132),IFERROR(TIMEVALUE(DaqBook_RAW_Data!A132),""))</f>
        <v/>
      </c>
      <c r="C142" s="153" t="str">
        <v/>
      </c>
      <c r="D142" s="153" t="str">
        <v/>
      </c>
      <c r="E142" s="153" t="str">
        <v/>
      </c>
      <c r="F142" s="153" t="str">
        <v/>
      </c>
      <c r="G142" s="153" t="str">
        <v/>
      </c>
      <c r="H142" s="153" t="str">
        <v/>
      </c>
      <c r="I142" s="153" t="str">
        <v/>
      </c>
      <c r="J142" s="153" t="str">
        <v/>
      </c>
      <c r="K142" s="153" t="str">
        <v/>
      </c>
      <c r="L142" s="153" t="str">
        <v/>
      </c>
      <c r="M142" s="153" t="str">
        <v/>
      </c>
      <c r="N142" s="153" t="str">
        <v/>
      </c>
      <c r="O142" s="153" t="str">
        <v/>
      </c>
      <c r="P142" s="153" t="str">
        <v/>
      </c>
    </row>
    <row r="143" spans="1:16" x14ac:dyDescent="0.2">
      <c r="A143" s="58" t="str">
        <v/>
      </c>
      <c r="B143" s="131" t="str">
        <f>IFERROR(TIMEVALUE(DaqBook_RAW_Data!Q133),IFERROR(TIMEVALUE(DaqBook_RAW_Data!A133),""))</f>
        <v/>
      </c>
      <c r="C143" s="153" t="str">
        <v/>
      </c>
      <c r="D143" s="153" t="str">
        <v/>
      </c>
      <c r="E143" s="153" t="str">
        <v/>
      </c>
      <c r="F143" s="153" t="str">
        <v/>
      </c>
      <c r="G143" s="153" t="str">
        <v/>
      </c>
      <c r="H143" s="153" t="str">
        <v/>
      </c>
      <c r="I143" s="153" t="str">
        <v/>
      </c>
      <c r="J143" s="153" t="str">
        <v/>
      </c>
      <c r="K143" s="153" t="str">
        <v/>
      </c>
      <c r="L143" s="153" t="str">
        <v/>
      </c>
      <c r="M143" s="153" t="str">
        <v/>
      </c>
      <c r="N143" s="153" t="str">
        <v/>
      </c>
      <c r="O143" s="153" t="str">
        <v/>
      </c>
      <c r="P143" s="153" t="str">
        <v/>
      </c>
    </row>
    <row r="144" spans="1:16" x14ac:dyDescent="0.2">
      <c r="A144" s="58" t="str">
        <v/>
      </c>
      <c r="B144" s="131" t="str">
        <f>IFERROR(TIMEVALUE(DaqBook_RAW_Data!Q134),IFERROR(TIMEVALUE(DaqBook_RAW_Data!A134),""))</f>
        <v/>
      </c>
      <c r="C144" s="153" t="str">
        <v/>
      </c>
      <c r="D144" s="153" t="str">
        <v/>
      </c>
      <c r="E144" s="153" t="str">
        <v/>
      </c>
      <c r="F144" s="153" t="str">
        <v/>
      </c>
      <c r="G144" s="153" t="str">
        <v/>
      </c>
      <c r="H144" s="153" t="str">
        <v/>
      </c>
      <c r="I144" s="153" t="str">
        <v/>
      </c>
      <c r="J144" s="153" t="str">
        <v/>
      </c>
      <c r="K144" s="153" t="str">
        <v/>
      </c>
      <c r="L144" s="153" t="str">
        <v/>
      </c>
      <c r="M144" s="153" t="str">
        <v/>
      </c>
      <c r="N144" s="153" t="str">
        <v/>
      </c>
      <c r="O144" s="153" t="str">
        <v/>
      </c>
      <c r="P144" s="153" t="str">
        <v/>
      </c>
    </row>
    <row r="145" spans="1:16" x14ac:dyDescent="0.2">
      <c r="A145" s="58" t="str">
        <v/>
      </c>
      <c r="B145" s="131" t="str">
        <f>IFERROR(TIMEVALUE(DaqBook_RAW_Data!Q135),IFERROR(TIMEVALUE(DaqBook_RAW_Data!A135),""))</f>
        <v/>
      </c>
      <c r="C145" s="153" t="str">
        <v/>
      </c>
      <c r="D145" s="153" t="str">
        <v/>
      </c>
      <c r="E145" s="153" t="str">
        <v/>
      </c>
      <c r="F145" s="153" t="str">
        <v/>
      </c>
      <c r="G145" s="153" t="str">
        <v/>
      </c>
      <c r="H145" s="153" t="str">
        <v/>
      </c>
      <c r="I145" s="153" t="str">
        <v/>
      </c>
      <c r="J145" s="153" t="str">
        <v/>
      </c>
      <c r="K145" s="153" t="str">
        <v/>
      </c>
      <c r="L145" s="153" t="str">
        <v/>
      </c>
      <c r="M145" s="153" t="str">
        <v/>
      </c>
      <c r="N145" s="153" t="str">
        <v/>
      </c>
      <c r="O145" s="153" t="str">
        <v/>
      </c>
      <c r="P145" s="153" t="str">
        <v/>
      </c>
    </row>
    <row r="146" spans="1:16" x14ac:dyDescent="0.2">
      <c r="A146" s="58" t="str">
        <v/>
      </c>
      <c r="B146" s="131" t="str">
        <f>IFERROR(TIMEVALUE(DaqBook_RAW_Data!Q136),IFERROR(TIMEVALUE(DaqBook_RAW_Data!A136),""))</f>
        <v/>
      </c>
      <c r="C146" s="153" t="str">
        <v/>
      </c>
      <c r="D146" s="153" t="str">
        <v/>
      </c>
      <c r="E146" s="153" t="str">
        <v/>
      </c>
      <c r="F146" s="153" t="str">
        <v/>
      </c>
      <c r="G146" s="153" t="str">
        <v/>
      </c>
      <c r="H146" s="153" t="str">
        <v/>
      </c>
      <c r="I146" s="153" t="str">
        <v/>
      </c>
      <c r="J146" s="153" t="str">
        <v/>
      </c>
      <c r="K146" s="153" t="str">
        <v/>
      </c>
      <c r="L146" s="153" t="str">
        <v/>
      </c>
      <c r="M146" s="153" t="str">
        <v/>
      </c>
      <c r="N146" s="153" t="str">
        <v/>
      </c>
      <c r="O146" s="153" t="str">
        <v/>
      </c>
      <c r="P146" s="153" t="str">
        <v/>
      </c>
    </row>
    <row r="147" spans="1:16" x14ac:dyDescent="0.2">
      <c r="A147" s="58" t="str">
        <v/>
      </c>
      <c r="B147" s="131" t="str">
        <f>IFERROR(TIMEVALUE(DaqBook_RAW_Data!Q137),IFERROR(TIMEVALUE(DaqBook_RAW_Data!A137),""))</f>
        <v/>
      </c>
      <c r="C147" s="153" t="str">
        <v/>
      </c>
      <c r="D147" s="153" t="str">
        <v/>
      </c>
      <c r="E147" s="153" t="str">
        <v/>
      </c>
      <c r="F147" s="153" t="str">
        <v/>
      </c>
      <c r="G147" s="153" t="str">
        <v/>
      </c>
      <c r="H147" s="153" t="str">
        <v/>
      </c>
      <c r="I147" s="153" t="str">
        <v/>
      </c>
      <c r="J147" s="153" t="str">
        <v/>
      </c>
      <c r="K147" s="153" t="str">
        <v/>
      </c>
      <c r="L147" s="153" t="str">
        <v/>
      </c>
      <c r="M147" s="153" t="str">
        <v/>
      </c>
      <c r="N147" s="153" t="str">
        <v/>
      </c>
      <c r="O147" s="153" t="str">
        <v/>
      </c>
      <c r="P147" s="153" t="str">
        <v/>
      </c>
    </row>
    <row r="148" spans="1:16" x14ac:dyDescent="0.2">
      <c r="A148" s="58" t="str">
        <v/>
      </c>
      <c r="B148" s="131" t="str">
        <f>IFERROR(TIMEVALUE(DaqBook_RAW_Data!Q138),IFERROR(TIMEVALUE(DaqBook_RAW_Data!A138),""))</f>
        <v/>
      </c>
      <c r="C148" s="153" t="str">
        <v/>
      </c>
      <c r="D148" s="153" t="str">
        <v/>
      </c>
      <c r="E148" s="153" t="str">
        <v/>
      </c>
      <c r="F148" s="153" t="str">
        <v/>
      </c>
      <c r="G148" s="153" t="str">
        <v/>
      </c>
      <c r="H148" s="153" t="str">
        <v/>
      </c>
      <c r="I148" s="153" t="str">
        <v/>
      </c>
      <c r="J148" s="153" t="str">
        <v/>
      </c>
      <c r="K148" s="153" t="str">
        <v/>
      </c>
      <c r="L148" s="153" t="str">
        <v/>
      </c>
      <c r="M148" s="153" t="str">
        <v/>
      </c>
      <c r="N148" s="153" t="str">
        <v/>
      </c>
      <c r="O148" s="153" t="str">
        <v/>
      </c>
      <c r="P148" s="153" t="str">
        <v/>
      </c>
    </row>
    <row r="149" spans="1:16" x14ac:dyDescent="0.2">
      <c r="A149" s="58" t="str">
        <v/>
      </c>
      <c r="B149" s="131" t="str">
        <f>IFERROR(TIMEVALUE(DaqBook_RAW_Data!Q139),IFERROR(TIMEVALUE(DaqBook_RAW_Data!A139),""))</f>
        <v/>
      </c>
      <c r="C149" s="153" t="str">
        <v/>
      </c>
      <c r="D149" s="153" t="str">
        <v/>
      </c>
      <c r="E149" s="153" t="str">
        <v/>
      </c>
      <c r="F149" s="153" t="str">
        <v/>
      </c>
      <c r="G149" s="153" t="str">
        <v/>
      </c>
      <c r="H149" s="153" t="str">
        <v/>
      </c>
      <c r="I149" s="153" t="str">
        <v/>
      </c>
      <c r="J149" s="153" t="str">
        <v/>
      </c>
      <c r="K149" s="153" t="str">
        <v/>
      </c>
      <c r="L149" s="153" t="str">
        <v/>
      </c>
      <c r="M149" s="153" t="str">
        <v/>
      </c>
      <c r="N149" s="153" t="str">
        <v/>
      </c>
      <c r="O149" s="153" t="str">
        <v/>
      </c>
      <c r="P149" s="153" t="str">
        <v/>
      </c>
    </row>
    <row r="150" spans="1:16" x14ac:dyDescent="0.2">
      <c r="A150" s="58" t="str">
        <v/>
      </c>
      <c r="B150" s="131" t="str">
        <f>IFERROR(TIMEVALUE(DaqBook_RAW_Data!Q140),IFERROR(TIMEVALUE(DaqBook_RAW_Data!A140),""))</f>
        <v/>
      </c>
      <c r="C150" s="153" t="str">
        <v/>
      </c>
      <c r="D150" s="153" t="str">
        <v/>
      </c>
      <c r="E150" s="153" t="str">
        <v/>
      </c>
      <c r="F150" s="153" t="str">
        <v/>
      </c>
      <c r="G150" s="153" t="str">
        <v/>
      </c>
      <c r="H150" s="153" t="str">
        <v/>
      </c>
      <c r="I150" s="153" t="str">
        <v/>
      </c>
      <c r="J150" s="153" t="str">
        <v/>
      </c>
      <c r="K150" s="153" t="str">
        <v/>
      </c>
      <c r="L150" s="153" t="str">
        <v/>
      </c>
      <c r="M150" s="153" t="str">
        <v/>
      </c>
      <c r="N150" s="153" t="str">
        <v/>
      </c>
      <c r="O150" s="153" t="str">
        <v/>
      </c>
      <c r="P150" s="153" t="str">
        <v/>
      </c>
    </row>
    <row r="151" spans="1:16" x14ac:dyDescent="0.2">
      <c r="A151" s="58" t="str">
        <v/>
      </c>
      <c r="B151" s="131" t="str">
        <f>IFERROR(TIMEVALUE(DaqBook_RAW_Data!Q141),IFERROR(TIMEVALUE(DaqBook_RAW_Data!A141),""))</f>
        <v/>
      </c>
      <c r="C151" s="153" t="str">
        <v/>
      </c>
      <c r="D151" s="153" t="str">
        <v/>
      </c>
      <c r="E151" s="153" t="str">
        <v/>
      </c>
      <c r="F151" s="153" t="str">
        <v/>
      </c>
      <c r="G151" s="153" t="str">
        <v/>
      </c>
      <c r="H151" s="153" t="str">
        <v/>
      </c>
      <c r="I151" s="153" t="str">
        <v/>
      </c>
      <c r="J151" s="153" t="str">
        <v/>
      </c>
      <c r="K151" s="153" t="str">
        <v/>
      </c>
      <c r="L151" s="153" t="str">
        <v/>
      </c>
      <c r="M151" s="153" t="str">
        <v/>
      </c>
      <c r="N151" s="153" t="str">
        <v/>
      </c>
      <c r="O151" s="153" t="str">
        <v/>
      </c>
      <c r="P151" s="153" t="str">
        <v/>
      </c>
    </row>
    <row r="152" spans="1:16" x14ac:dyDescent="0.2">
      <c r="A152" s="58" t="str">
        <v/>
      </c>
      <c r="B152" s="131" t="str">
        <f>IFERROR(TIMEVALUE(DaqBook_RAW_Data!Q142),IFERROR(TIMEVALUE(DaqBook_RAW_Data!A142),""))</f>
        <v/>
      </c>
      <c r="C152" s="153" t="str">
        <v/>
      </c>
      <c r="D152" s="153" t="str">
        <v/>
      </c>
      <c r="E152" s="153" t="str">
        <v/>
      </c>
      <c r="F152" s="153" t="str">
        <v/>
      </c>
      <c r="G152" s="153" t="str">
        <v/>
      </c>
      <c r="H152" s="153" t="str">
        <v/>
      </c>
      <c r="I152" s="153" t="str">
        <v/>
      </c>
      <c r="J152" s="153" t="str">
        <v/>
      </c>
      <c r="K152" s="153" t="str">
        <v/>
      </c>
      <c r="L152" s="153" t="str">
        <v/>
      </c>
      <c r="M152" s="153" t="str">
        <v/>
      </c>
      <c r="N152" s="153" t="str">
        <v/>
      </c>
      <c r="O152" s="153" t="str">
        <v/>
      </c>
      <c r="P152" s="153" t="str">
        <v/>
      </c>
    </row>
    <row r="153" spans="1:16" x14ac:dyDescent="0.2">
      <c r="A153" s="58" t="str">
        <v/>
      </c>
      <c r="B153" s="131" t="str">
        <f>IFERROR(TIMEVALUE(DaqBook_RAW_Data!Q143),IFERROR(TIMEVALUE(DaqBook_RAW_Data!A143),""))</f>
        <v/>
      </c>
      <c r="C153" s="153" t="str">
        <v/>
      </c>
      <c r="D153" s="153" t="str">
        <v/>
      </c>
      <c r="E153" s="153" t="str">
        <v/>
      </c>
      <c r="F153" s="153" t="str">
        <v/>
      </c>
      <c r="G153" s="153" t="str">
        <v/>
      </c>
      <c r="H153" s="153" t="str">
        <v/>
      </c>
      <c r="I153" s="153" t="str">
        <v/>
      </c>
      <c r="J153" s="153" t="str">
        <v/>
      </c>
      <c r="K153" s="153" t="str">
        <v/>
      </c>
      <c r="L153" s="153" t="str">
        <v/>
      </c>
      <c r="M153" s="153" t="str">
        <v/>
      </c>
      <c r="N153" s="153" t="str">
        <v/>
      </c>
      <c r="O153" s="153" t="str">
        <v/>
      </c>
      <c r="P153" s="153" t="str">
        <v/>
      </c>
    </row>
    <row r="154" spans="1:16" x14ac:dyDescent="0.2">
      <c r="A154" s="58" t="str">
        <v/>
      </c>
      <c r="B154" s="131" t="str">
        <f>IFERROR(TIMEVALUE(DaqBook_RAW_Data!Q144),IFERROR(TIMEVALUE(DaqBook_RAW_Data!A144),""))</f>
        <v/>
      </c>
      <c r="C154" s="153" t="str">
        <v/>
      </c>
      <c r="D154" s="153" t="str">
        <v/>
      </c>
      <c r="E154" s="153" t="str">
        <v/>
      </c>
      <c r="F154" s="153" t="str">
        <v/>
      </c>
      <c r="G154" s="153" t="str">
        <v/>
      </c>
      <c r="H154" s="153" t="str">
        <v/>
      </c>
      <c r="I154" s="153" t="str">
        <v/>
      </c>
      <c r="J154" s="153" t="str">
        <v/>
      </c>
      <c r="K154" s="153" t="str">
        <v/>
      </c>
      <c r="L154" s="153" t="str">
        <v/>
      </c>
      <c r="M154" s="153" t="str">
        <v/>
      </c>
      <c r="N154" s="153" t="str">
        <v/>
      </c>
      <c r="O154" s="153" t="str">
        <v/>
      </c>
      <c r="P154" s="153" t="str">
        <v/>
      </c>
    </row>
    <row r="155" spans="1:16" x14ac:dyDescent="0.2">
      <c r="A155" s="58" t="str">
        <v/>
      </c>
      <c r="B155" s="131" t="str">
        <f>IFERROR(TIMEVALUE(DaqBook_RAW_Data!Q145),IFERROR(TIMEVALUE(DaqBook_RAW_Data!A145),""))</f>
        <v/>
      </c>
      <c r="C155" s="153" t="str">
        <v/>
      </c>
      <c r="D155" s="153" t="str">
        <v/>
      </c>
      <c r="E155" s="153" t="str">
        <v/>
      </c>
      <c r="F155" s="153" t="str">
        <v/>
      </c>
      <c r="G155" s="153" t="str">
        <v/>
      </c>
      <c r="H155" s="153" t="str">
        <v/>
      </c>
      <c r="I155" s="153" t="str">
        <v/>
      </c>
      <c r="J155" s="153" t="str">
        <v/>
      </c>
      <c r="K155" s="153" t="str">
        <v/>
      </c>
      <c r="L155" s="153" t="str">
        <v/>
      </c>
      <c r="M155" s="153" t="str">
        <v/>
      </c>
      <c r="N155" s="153" t="str">
        <v/>
      </c>
      <c r="O155" s="153" t="str">
        <v/>
      </c>
      <c r="P155" s="153" t="str">
        <v/>
      </c>
    </row>
    <row r="156" spans="1:16" x14ac:dyDescent="0.2">
      <c r="A156" s="58" t="str">
        <v/>
      </c>
      <c r="B156" s="131" t="str">
        <f>IFERROR(TIMEVALUE(DaqBook_RAW_Data!Q146),IFERROR(TIMEVALUE(DaqBook_RAW_Data!A146),""))</f>
        <v/>
      </c>
      <c r="C156" s="153" t="str">
        <v/>
      </c>
      <c r="D156" s="153" t="str">
        <v/>
      </c>
      <c r="E156" s="153" t="str">
        <v/>
      </c>
      <c r="F156" s="153" t="str">
        <v/>
      </c>
      <c r="G156" s="153" t="str">
        <v/>
      </c>
      <c r="H156" s="153" t="str">
        <v/>
      </c>
      <c r="I156" s="153" t="str">
        <v/>
      </c>
      <c r="J156" s="153" t="str">
        <v/>
      </c>
      <c r="K156" s="153" t="str">
        <v/>
      </c>
      <c r="L156" s="153" t="str">
        <v/>
      </c>
      <c r="M156" s="153" t="str">
        <v/>
      </c>
      <c r="N156" s="153" t="str">
        <v/>
      </c>
      <c r="O156" s="153" t="str">
        <v/>
      </c>
      <c r="P156" s="153" t="str">
        <v/>
      </c>
    </row>
    <row r="157" spans="1:16" x14ac:dyDescent="0.2">
      <c r="A157" s="58" t="str">
        <v/>
      </c>
      <c r="B157" s="131" t="str">
        <f>IFERROR(TIMEVALUE(DaqBook_RAW_Data!Q147),IFERROR(TIMEVALUE(DaqBook_RAW_Data!A147),""))</f>
        <v/>
      </c>
      <c r="C157" s="153" t="str">
        <v/>
      </c>
      <c r="D157" s="153" t="str">
        <v/>
      </c>
      <c r="E157" s="153" t="str">
        <v/>
      </c>
      <c r="F157" s="153" t="str">
        <v/>
      </c>
      <c r="G157" s="153" t="str">
        <v/>
      </c>
      <c r="H157" s="153" t="str">
        <v/>
      </c>
      <c r="I157" s="153" t="str">
        <v/>
      </c>
      <c r="J157" s="153" t="str">
        <v/>
      </c>
      <c r="K157" s="153" t="str">
        <v/>
      </c>
      <c r="L157" s="153" t="str">
        <v/>
      </c>
      <c r="M157" s="153" t="str">
        <v/>
      </c>
      <c r="N157" s="153" t="str">
        <v/>
      </c>
      <c r="O157" s="153" t="str">
        <v/>
      </c>
      <c r="P157" s="153" t="str">
        <v/>
      </c>
    </row>
    <row r="158" spans="1:16" x14ac:dyDescent="0.2">
      <c r="A158" s="58" t="str">
        <v/>
      </c>
      <c r="B158" s="131" t="str">
        <f>IFERROR(TIMEVALUE(DaqBook_RAW_Data!Q148),IFERROR(TIMEVALUE(DaqBook_RAW_Data!A148),""))</f>
        <v/>
      </c>
      <c r="C158" s="153" t="str">
        <v/>
      </c>
      <c r="D158" s="153" t="str">
        <v/>
      </c>
      <c r="E158" s="153" t="str">
        <v/>
      </c>
      <c r="F158" s="153" t="str">
        <v/>
      </c>
      <c r="G158" s="153" t="str">
        <v/>
      </c>
      <c r="H158" s="153" t="str">
        <v/>
      </c>
      <c r="I158" s="153" t="str">
        <v/>
      </c>
      <c r="J158" s="153" t="str">
        <v/>
      </c>
      <c r="K158" s="153" t="str">
        <v/>
      </c>
      <c r="L158" s="153" t="str">
        <v/>
      </c>
      <c r="M158" s="153" t="str">
        <v/>
      </c>
      <c r="N158" s="153" t="str">
        <v/>
      </c>
      <c r="O158" s="153" t="str">
        <v/>
      </c>
      <c r="P158" s="153" t="str">
        <v/>
      </c>
    </row>
    <row r="159" spans="1:16" x14ac:dyDescent="0.2">
      <c r="A159" s="58" t="str">
        <v/>
      </c>
      <c r="B159" s="131" t="str">
        <f>IFERROR(TIMEVALUE(DaqBook_RAW_Data!Q149),IFERROR(TIMEVALUE(DaqBook_RAW_Data!A149),""))</f>
        <v/>
      </c>
      <c r="C159" s="153" t="str">
        <v/>
      </c>
      <c r="D159" s="153" t="str">
        <v/>
      </c>
      <c r="E159" s="153" t="str">
        <v/>
      </c>
      <c r="F159" s="153" t="str">
        <v/>
      </c>
      <c r="G159" s="153" t="str">
        <v/>
      </c>
      <c r="H159" s="153" t="str">
        <v/>
      </c>
      <c r="I159" s="153" t="str">
        <v/>
      </c>
      <c r="J159" s="153" t="str">
        <v/>
      </c>
      <c r="K159" s="153" t="str">
        <v/>
      </c>
      <c r="L159" s="153" t="str">
        <v/>
      </c>
      <c r="M159" s="153" t="str">
        <v/>
      </c>
      <c r="N159" s="153" t="str">
        <v/>
      </c>
      <c r="O159" s="153" t="str">
        <v/>
      </c>
      <c r="P159" s="153" t="str">
        <v/>
      </c>
    </row>
    <row r="160" spans="1:16" x14ac:dyDescent="0.2">
      <c r="A160" s="58" t="str">
        <v/>
      </c>
      <c r="B160" s="131" t="str">
        <f>IFERROR(TIMEVALUE(DaqBook_RAW_Data!Q150),IFERROR(TIMEVALUE(DaqBook_RAW_Data!A150),""))</f>
        <v/>
      </c>
      <c r="C160" s="153" t="str">
        <v/>
      </c>
      <c r="D160" s="153" t="str">
        <v/>
      </c>
      <c r="E160" s="153" t="str">
        <v/>
      </c>
      <c r="F160" s="153" t="str">
        <v/>
      </c>
      <c r="G160" s="153" t="str">
        <v/>
      </c>
      <c r="H160" s="153" t="str">
        <v/>
      </c>
      <c r="I160" s="153" t="str">
        <v/>
      </c>
      <c r="J160" s="153" t="str">
        <v/>
      </c>
      <c r="K160" s="153" t="str">
        <v/>
      </c>
      <c r="L160" s="153" t="str">
        <v/>
      </c>
      <c r="M160" s="153" t="str">
        <v/>
      </c>
      <c r="N160" s="153" t="str">
        <v/>
      </c>
      <c r="O160" s="153" t="str">
        <v/>
      </c>
      <c r="P160" s="153" t="str">
        <v/>
      </c>
    </row>
    <row r="161" spans="1:16" x14ac:dyDescent="0.2">
      <c r="A161" s="58" t="str">
        <v/>
      </c>
      <c r="B161" s="131" t="str">
        <f>IFERROR(TIMEVALUE(DaqBook_RAW_Data!Q151),IFERROR(TIMEVALUE(DaqBook_RAW_Data!A151),""))</f>
        <v/>
      </c>
      <c r="C161" s="153" t="str">
        <v/>
      </c>
      <c r="D161" s="153" t="str">
        <v/>
      </c>
      <c r="E161" s="153" t="str">
        <v/>
      </c>
      <c r="F161" s="153" t="str">
        <v/>
      </c>
      <c r="G161" s="153" t="str">
        <v/>
      </c>
      <c r="H161" s="153" t="str">
        <v/>
      </c>
      <c r="I161" s="153" t="str">
        <v/>
      </c>
      <c r="J161" s="153" t="str">
        <v/>
      </c>
      <c r="K161" s="153" t="str">
        <v/>
      </c>
      <c r="L161" s="153" t="str">
        <v/>
      </c>
      <c r="M161" s="153" t="str">
        <v/>
      </c>
      <c r="N161" s="153" t="str">
        <v/>
      </c>
      <c r="O161" s="153" t="str">
        <v/>
      </c>
      <c r="P161" s="153" t="str">
        <v/>
      </c>
    </row>
    <row r="162" spans="1:16" x14ac:dyDescent="0.2">
      <c r="A162" s="58" t="str">
        <v/>
      </c>
      <c r="B162" s="131" t="str">
        <f>IFERROR(TIMEVALUE(DaqBook_RAW_Data!Q152),IFERROR(TIMEVALUE(DaqBook_RAW_Data!A152),""))</f>
        <v/>
      </c>
      <c r="C162" s="153" t="str">
        <v/>
      </c>
      <c r="D162" s="153" t="str">
        <v/>
      </c>
      <c r="E162" s="153" t="str">
        <v/>
      </c>
      <c r="F162" s="153" t="str">
        <v/>
      </c>
      <c r="G162" s="153" t="str">
        <v/>
      </c>
      <c r="H162" s="153" t="str">
        <v/>
      </c>
      <c r="I162" s="153" t="str">
        <v/>
      </c>
      <c r="J162" s="153" t="str">
        <v/>
      </c>
      <c r="K162" s="153" t="str">
        <v/>
      </c>
      <c r="L162" s="153" t="str">
        <v/>
      </c>
      <c r="M162" s="153" t="str">
        <v/>
      </c>
      <c r="N162" s="153" t="str">
        <v/>
      </c>
      <c r="O162" s="153" t="str">
        <v/>
      </c>
      <c r="P162" s="153" t="str">
        <v/>
      </c>
    </row>
    <row r="163" spans="1:16" x14ac:dyDescent="0.2">
      <c r="A163" s="58" t="str">
        <v/>
      </c>
      <c r="B163" s="131" t="str">
        <f>IFERROR(TIMEVALUE(DaqBook_RAW_Data!Q153),IFERROR(TIMEVALUE(DaqBook_RAW_Data!A153),""))</f>
        <v/>
      </c>
      <c r="C163" s="153" t="str">
        <v/>
      </c>
      <c r="D163" s="153" t="str">
        <v/>
      </c>
      <c r="E163" s="153" t="str">
        <v/>
      </c>
      <c r="F163" s="153" t="str">
        <v/>
      </c>
      <c r="G163" s="153" t="str">
        <v/>
      </c>
      <c r="H163" s="153" t="str">
        <v/>
      </c>
      <c r="I163" s="153" t="str">
        <v/>
      </c>
      <c r="J163" s="153" t="str">
        <v/>
      </c>
      <c r="K163" s="153" t="str">
        <v/>
      </c>
      <c r="L163" s="153" t="str">
        <v/>
      </c>
      <c r="M163" s="153" t="str">
        <v/>
      </c>
      <c r="N163" s="153" t="str">
        <v/>
      </c>
      <c r="O163" s="153" t="str">
        <v/>
      </c>
      <c r="P163" s="153" t="str">
        <v/>
      </c>
    </row>
    <row r="164" spans="1:16" x14ac:dyDescent="0.2">
      <c r="A164" s="58" t="str">
        <v/>
      </c>
      <c r="B164" s="131" t="str">
        <f>IFERROR(TIMEVALUE(DaqBook_RAW_Data!Q154),IFERROR(TIMEVALUE(DaqBook_RAW_Data!A154),""))</f>
        <v/>
      </c>
      <c r="C164" s="153" t="str">
        <v/>
      </c>
      <c r="D164" s="153" t="str">
        <v/>
      </c>
      <c r="E164" s="153" t="str">
        <v/>
      </c>
      <c r="F164" s="153" t="str">
        <v/>
      </c>
      <c r="G164" s="153" t="str">
        <v/>
      </c>
      <c r="H164" s="153" t="str">
        <v/>
      </c>
      <c r="I164" s="153" t="str">
        <v/>
      </c>
      <c r="J164" s="153" t="str">
        <v/>
      </c>
      <c r="K164" s="153" t="str">
        <v/>
      </c>
      <c r="L164" s="153" t="str">
        <v/>
      </c>
      <c r="M164" s="153" t="str">
        <v/>
      </c>
      <c r="N164" s="153" t="str">
        <v/>
      </c>
      <c r="O164" s="153" t="str">
        <v/>
      </c>
      <c r="P164" s="153" t="str">
        <v/>
      </c>
    </row>
    <row r="165" spans="1:16" x14ac:dyDescent="0.2">
      <c r="A165" s="58" t="str">
        <v/>
      </c>
      <c r="B165" s="131" t="str">
        <f>IFERROR(TIMEVALUE(DaqBook_RAW_Data!Q155),IFERROR(TIMEVALUE(DaqBook_RAW_Data!A155),""))</f>
        <v/>
      </c>
      <c r="C165" s="153" t="str">
        <v/>
      </c>
      <c r="D165" s="153" t="str">
        <v/>
      </c>
      <c r="E165" s="153" t="str">
        <v/>
      </c>
      <c r="F165" s="153" t="str">
        <v/>
      </c>
      <c r="G165" s="153" t="str">
        <v/>
      </c>
      <c r="H165" s="153" t="str">
        <v/>
      </c>
      <c r="I165" s="153" t="str">
        <v/>
      </c>
      <c r="J165" s="153" t="str">
        <v/>
      </c>
      <c r="K165" s="153" t="str">
        <v/>
      </c>
      <c r="L165" s="153" t="str">
        <v/>
      </c>
      <c r="M165" s="153" t="str">
        <v/>
      </c>
      <c r="N165" s="153" t="str">
        <v/>
      </c>
      <c r="O165" s="153" t="str">
        <v/>
      </c>
      <c r="P165" s="153" t="str">
        <v/>
      </c>
    </row>
    <row r="166" spans="1:16" x14ac:dyDescent="0.2">
      <c r="A166" s="58" t="str">
        <v/>
      </c>
      <c r="B166" s="131" t="str">
        <f>IFERROR(TIMEVALUE(DaqBook_RAW_Data!Q156),IFERROR(TIMEVALUE(DaqBook_RAW_Data!A156),""))</f>
        <v/>
      </c>
      <c r="C166" s="153" t="str">
        <v/>
      </c>
      <c r="D166" s="153" t="str">
        <v/>
      </c>
      <c r="E166" s="153" t="str">
        <v/>
      </c>
      <c r="F166" s="153" t="str">
        <v/>
      </c>
      <c r="G166" s="153" t="str">
        <v/>
      </c>
      <c r="H166" s="153" t="str">
        <v/>
      </c>
      <c r="I166" s="153" t="str">
        <v/>
      </c>
      <c r="J166" s="153" t="str">
        <v/>
      </c>
      <c r="K166" s="153" t="str">
        <v/>
      </c>
      <c r="L166" s="153" t="str">
        <v/>
      </c>
      <c r="M166" s="153" t="str">
        <v/>
      </c>
      <c r="N166" s="153" t="str">
        <v/>
      </c>
      <c r="O166" s="153" t="str">
        <v/>
      </c>
      <c r="P166" s="153" t="str">
        <v/>
      </c>
    </row>
    <row r="167" spans="1:16" x14ac:dyDescent="0.2">
      <c r="A167" s="58" t="str">
        <v/>
      </c>
      <c r="B167" s="131" t="str">
        <f>IFERROR(TIMEVALUE(DaqBook_RAW_Data!Q157),IFERROR(TIMEVALUE(DaqBook_RAW_Data!A157),""))</f>
        <v/>
      </c>
      <c r="C167" s="153" t="str">
        <v/>
      </c>
      <c r="D167" s="153" t="str">
        <v/>
      </c>
      <c r="E167" s="153" t="str">
        <v/>
      </c>
      <c r="F167" s="153" t="str">
        <v/>
      </c>
      <c r="G167" s="153" t="str">
        <v/>
      </c>
      <c r="H167" s="153" t="str">
        <v/>
      </c>
      <c r="I167" s="153" t="str">
        <v/>
      </c>
      <c r="J167" s="153" t="str">
        <v/>
      </c>
      <c r="K167" s="153" t="str">
        <v/>
      </c>
      <c r="L167" s="153" t="str">
        <v/>
      </c>
      <c r="M167" s="153" t="str">
        <v/>
      </c>
      <c r="N167" s="153" t="str">
        <v/>
      </c>
      <c r="O167" s="153" t="str">
        <v/>
      </c>
      <c r="P167" s="153" t="str">
        <v/>
      </c>
    </row>
    <row r="168" spans="1:16" x14ac:dyDescent="0.2">
      <c r="A168" s="58" t="str">
        <v/>
      </c>
      <c r="B168" s="131" t="str">
        <f>IFERROR(TIMEVALUE(DaqBook_RAW_Data!Q158),IFERROR(TIMEVALUE(DaqBook_RAW_Data!A158),""))</f>
        <v/>
      </c>
      <c r="C168" s="153" t="str">
        <v/>
      </c>
      <c r="D168" s="153" t="str">
        <v/>
      </c>
      <c r="E168" s="153" t="str">
        <v/>
      </c>
      <c r="F168" s="153" t="str">
        <v/>
      </c>
      <c r="G168" s="153" t="str">
        <v/>
      </c>
      <c r="H168" s="153" t="str">
        <v/>
      </c>
      <c r="I168" s="153" t="str">
        <v/>
      </c>
      <c r="J168" s="153" t="str">
        <v/>
      </c>
      <c r="K168" s="153" t="str">
        <v/>
      </c>
      <c r="L168" s="153" t="str">
        <v/>
      </c>
      <c r="M168" s="153" t="str">
        <v/>
      </c>
      <c r="N168" s="153" t="str">
        <v/>
      </c>
      <c r="O168" s="153" t="str">
        <v/>
      </c>
      <c r="P168" s="153" t="str">
        <v/>
      </c>
    </row>
    <row r="169" spans="1:16" x14ac:dyDescent="0.2">
      <c r="A169" s="58" t="str">
        <v/>
      </c>
      <c r="B169" s="131" t="str">
        <f>IFERROR(TIMEVALUE(DaqBook_RAW_Data!Q159),IFERROR(TIMEVALUE(DaqBook_RAW_Data!A159),""))</f>
        <v/>
      </c>
      <c r="C169" s="153" t="str">
        <v/>
      </c>
      <c r="D169" s="153" t="str">
        <v/>
      </c>
      <c r="E169" s="153" t="str">
        <v/>
      </c>
      <c r="F169" s="153" t="str">
        <v/>
      </c>
      <c r="G169" s="153" t="str">
        <v/>
      </c>
      <c r="H169" s="153" t="str">
        <v/>
      </c>
      <c r="I169" s="153" t="str">
        <v/>
      </c>
      <c r="J169" s="153" t="str">
        <v/>
      </c>
      <c r="K169" s="153" t="str">
        <v/>
      </c>
      <c r="L169" s="153" t="str">
        <v/>
      </c>
      <c r="M169" s="153" t="str">
        <v/>
      </c>
      <c r="N169" s="153" t="str">
        <v/>
      </c>
      <c r="O169" s="153" t="str">
        <v/>
      </c>
      <c r="P169" s="153" t="str">
        <v/>
      </c>
    </row>
    <row r="170" spans="1:16" x14ac:dyDescent="0.2">
      <c r="A170" s="58" t="str">
        <v/>
      </c>
      <c r="B170" s="131" t="str">
        <f>IFERROR(TIMEVALUE(DaqBook_RAW_Data!Q160),IFERROR(TIMEVALUE(DaqBook_RAW_Data!A160),""))</f>
        <v/>
      </c>
      <c r="C170" s="153" t="str">
        <v/>
      </c>
      <c r="D170" s="153" t="str">
        <v/>
      </c>
      <c r="E170" s="153" t="str">
        <v/>
      </c>
      <c r="F170" s="153" t="str">
        <v/>
      </c>
      <c r="G170" s="153" t="str">
        <v/>
      </c>
      <c r="H170" s="153" t="str">
        <v/>
      </c>
      <c r="I170" s="153" t="str">
        <v/>
      </c>
      <c r="J170" s="153" t="str">
        <v/>
      </c>
      <c r="K170" s="153" t="str">
        <v/>
      </c>
      <c r="L170" s="153" t="str">
        <v/>
      </c>
      <c r="M170" s="153" t="str">
        <v/>
      </c>
      <c r="N170" s="153" t="str">
        <v/>
      </c>
      <c r="O170" s="153" t="str">
        <v/>
      </c>
      <c r="P170" s="153" t="str">
        <v/>
      </c>
    </row>
    <row r="171" spans="1:16" x14ac:dyDescent="0.2">
      <c r="A171" s="58" t="str">
        <v/>
      </c>
      <c r="B171" s="131" t="str">
        <f>IFERROR(TIMEVALUE(DaqBook_RAW_Data!Q161),IFERROR(TIMEVALUE(DaqBook_RAW_Data!A161),""))</f>
        <v/>
      </c>
      <c r="C171" s="153" t="str">
        <v/>
      </c>
      <c r="D171" s="153" t="str">
        <v/>
      </c>
      <c r="E171" s="153" t="str">
        <v/>
      </c>
      <c r="F171" s="153" t="str">
        <v/>
      </c>
      <c r="G171" s="153" t="str">
        <v/>
      </c>
      <c r="H171" s="153" t="str">
        <v/>
      </c>
      <c r="I171" s="153" t="str">
        <v/>
      </c>
      <c r="J171" s="153" t="str">
        <v/>
      </c>
      <c r="K171" s="153" t="str">
        <v/>
      </c>
      <c r="L171" s="153" t="str">
        <v/>
      </c>
      <c r="M171" s="153" t="str">
        <v/>
      </c>
      <c r="N171" s="153" t="str">
        <v/>
      </c>
      <c r="O171" s="153" t="str">
        <v/>
      </c>
      <c r="P171" s="153" t="str">
        <v/>
      </c>
    </row>
    <row r="172" spans="1:16" x14ac:dyDescent="0.2">
      <c r="A172" s="58" t="str">
        <v/>
      </c>
      <c r="B172" s="131" t="str">
        <f>IFERROR(TIMEVALUE(DaqBook_RAW_Data!Q162),IFERROR(TIMEVALUE(DaqBook_RAW_Data!A162),""))</f>
        <v/>
      </c>
      <c r="C172" s="153" t="str">
        <v/>
      </c>
      <c r="D172" s="153" t="str">
        <v/>
      </c>
      <c r="E172" s="153" t="str">
        <v/>
      </c>
      <c r="F172" s="153" t="str">
        <v/>
      </c>
      <c r="G172" s="153" t="str">
        <v/>
      </c>
      <c r="H172" s="153" t="str">
        <v/>
      </c>
      <c r="I172" s="153" t="str">
        <v/>
      </c>
      <c r="J172" s="153" t="str">
        <v/>
      </c>
      <c r="K172" s="153" t="str">
        <v/>
      </c>
      <c r="L172" s="153" t="str">
        <v/>
      </c>
      <c r="M172" s="153" t="str">
        <v/>
      </c>
      <c r="N172" s="153" t="str">
        <v/>
      </c>
      <c r="O172" s="153" t="str">
        <v/>
      </c>
      <c r="P172" s="153" t="str">
        <v/>
      </c>
    </row>
    <row r="173" spans="1:16" x14ac:dyDescent="0.2">
      <c r="A173" s="58" t="str">
        <v/>
      </c>
      <c r="B173" s="131" t="str">
        <f>IFERROR(TIMEVALUE(DaqBook_RAW_Data!Q163),IFERROR(TIMEVALUE(DaqBook_RAW_Data!A163),""))</f>
        <v/>
      </c>
      <c r="C173" s="153" t="str">
        <v/>
      </c>
      <c r="D173" s="153" t="str">
        <v/>
      </c>
      <c r="E173" s="153" t="str">
        <v/>
      </c>
      <c r="F173" s="153" t="str">
        <v/>
      </c>
      <c r="G173" s="153" t="str">
        <v/>
      </c>
      <c r="H173" s="153" t="str">
        <v/>
      </c>
      <c r="I173" s="153" t="str">
        <v/>
      </c>
      <c r="J173" s="153" t="str">
        <v/>
      </c>
      <c r="K173" s="153" t="str">
        <v/>
      </c>
      <c r="L173" s="153" t="str">
        <v/>
      </c>
      <c r="M173" s="153" t="str">
        <v/>
      </c>
      <c r="N173" s="153" t="str">
        <v/>
      </c>
      <c r="O173" s="153" t="str">
        <v/>
      </c>
      <c r="P173" s="153" t="str">
        <v/>
      </c>
    </row>
    <row r="174" spans="1:16" x14ac:dyDescent="0.2">
      <c r="A174" s="58" t="str">
        <v/>
      </c>
      <c r="B174" s="131" t="str">
        <f>IFERROR(TIMEVALUE(DaqBook_RAW_Data!Q164),IFERROR(TIMEVALUE(DaqBook_RAW_Data!A164),""))</f>
        <v/>
      </c>
      <c r="C174" s="153" t="str">
        <v/>
      </c>
      <c r="D174" s="153" t="str">
        <v/>
      </c>
      <c r="E174" s="153" t="str">
        <v/>
      </c>
      <c r="F174" s="153" t="str">
        <v/>
      </c>
      <c r="G174" s="153" t="str">
        <v/>
      </c>
      <c r="H174" s="153" t="str">
        <v/>
      </c>
      <c r="I174" s="153" t="str">
        <v/>
      </c>
      <c r="J174" s="153" t="str">
        <v/>
      </c>
      <c r="K174" s="153" t="str">
        <v/>
      </c>
      <c r="L174" s="153" t="str">
        <v/>
      </c>
      <c r="M174" s="153" t="str">
        <v/>
      </c>
      <c r="N174" s="153" t="str">
        <v/>
      </c>
      <c r="O174" s="153" t="str">
        <v/>
      </c>
      <c r="P174" s="153" t="str">
        <v/>
      </c>
    </row>
    <row r="175" spans="1:16" x14ac:dyDescent="0.2">
      <c r="A175" s="58" t="str">
        <v/>
      </c>
      <c r="B175" s="131" t="str">
        <f>IFERROR(TIMEVALUE(DaqBook_RAW_Data!Q165),IFERROR(TIMEVALUE(DaqBook_RAW_Data!A165),""))</f>
        <v/>
      </c>
      <c r="C175" s="153" t="str">
        <v/>
      </c>
      <c r="D175" s="153" t="str">
        <v/>
      </c>
      <c r="E175" s="153" t="str">
        <v/>
      </c>
      <c r="F175" s="153" t="str">
        <v/>
      </c>
      <c r="G175" s="153" t="str">
        <v/>
      </c>
      <c r="H175" s="153" t="str">
        <v/>
      </c>
      <c r="I175" s="153" t="str">
        <v/>
      </c>
      <c r="J175" s="153" t="str">
        <v/>
      </c>
      <c r="K175" s="153" t="str">
        <v/>
      </c>
      <c r="L175" s="153" t="str">
        <v/>
      </c>
      <c r="M175" s="153" t="str">
        <v/>
      </c>
      <c r="N175" s="153" t="str">
        <v/>
      </c>
      <c r="O175" s="153" t="str">
        <v/>
      </c>
      <c r="P175" s="153" t="str">
        <v/>
      </c>
    </row>
    <row r="176" spans="1:16" x14ac:dyDescent="0.2">
      <c r="A176" s="58" t="str">
        <v/>
      </c>
      <c r="B176" s="131" t="str">
        <f>IFERROR(TIMEVALUE(DaqBook_RAW_Data!Q166),IFERROR(TIMEVALUE(DaqBook_RAW_Data!A166),""))</f>
        <v/>
      </c>
      <c r="C176" s="153" t="str">
        <v/>
      </c>
      <c r="D176" s="153" t="str">
        <v/>
      </c>
      <c r="E176" s="153" t="str">
        <v/>
      </c>
      <c r="F176" s="153" t="str">
        <v/>
      </c>
      <c r="G176" s="153" t="str">
        <v/>
      </c>
      <c r="H176" s="153" t="str">
        <v/>
      </c>
      <c r="I176" s="153" t="str">
        <v/>
      </c>
      <c r="J176" s="153" t="str">
        <v/>
      </c>
      <c r="K176" s="153" t="str">
        <v/>
      </c>
      <c r="L176" s="153" t="str">
        <v/>
      </c>
      <c r="M176" s="153" t="str">
        <v/>
      </c>
      <c r="N176" s="153" t="str">
        <v/>
      </c>
      <c r="O176" s="153" t="str">
        <v/>
      </c>
      <c r="P176" s="153" t="str">
        <v/>
      </c>
    </row>
    <row r="177" spans="1:16" x14ac:dyDescent="0.2">
      <c r="A177" s="58" t="str">
        <v/>
      </c>
      <c r="B177" s="131" t="str">
        <f>IFERROR(TIMEVALUE(DaqBook_RAW_Data!Q167),IFERROR(TIMEVALUE(DaqBook_RAW_Data!A167),""))</f>
        <v/>
      </c>
      <c r="C177" s="153" t="str">
        <v/>
      </c>
      <c r="D177" s="153" t="str">
        <v/>
      </c>
      <c r="E177" s="153" t="str">
        <v/>
      </c>
      <c r="F177" s="153" t="str">
        <v/>
      </c>
      <c r="G177" s="153" t="str">
        <v/>
      </c>
      <c r="H177" s="153" t="str">
        <v/>
      </c>
      <c r="I177" s="153" t="str">
        <v/>
      </c>
      <c r="J177" s="153" t="str">
        <v/>
      </c>
      <c r="K177" s="153" t="str">
        <v/>
      </c>
      <c r="L177" s="153" t="str">
        <v/>
      </c>
      <c r="M177" s="153" t="str">
        <v/>
      </c>
      <c r="N177" s="153" t="str">
        <v/>
      </c>
      <c r="O177" s="153" t="str">
        <v/>
      </c>
      <c r="P177" s="153" t="str">
        <v/>
      </c>
    </row>
    <row r="178" spans="1:16" x14ac:dyDescent="0.2">
      <c r="A178" s="58" t="str">
        <v/>
      </c>
      <c r="B178" s="131" t="str">
        <f>IFERROR(TIMEVALUE(DaqBook_RAW_Data!Q168),IFERROR(TIMEVALUE(DaqBook_RAW_Data!A168),""))</f>
        <v/>
      </c>
      <c r="C178" s="153" t="str">
        <v/>
      </c>
      <c r="D178" s="153" t="str">
        <v/>
      </c>
      <c r="E178" s="153" t="str">
        <v/>
      </c>
      <c r="F178" s="153" t="str">
        <v/>
      </c>
      <c r="G178" s="153" t="str">
        <v/>
      </c>
      <c r="H178" s="153" t="str">
        <v/>
      </c>
      <c r="I178" s="153" t="str">
        <v/>
      </c>
      <c r="J178" s="153" t="str">
        <v/>
      </c>
      <c r="K178" s="153" t="str">
        <v/>
      </c>
      <c r="L178" s="153" t="str">
        <v/>
      </c>
      <c r="M178" s="153" t="str">
        <v/>
      </c>
      <c r="N178" s="153" t="str">
        <v/>
      </c>
      <c r="O178" s="153" t="str">
        <v/>
      </c>
      <c r="P178" s="153" t="str">
        <v/>
      </c>
    </row>
    <row r="179" spans="1:16" x14ac:dyDescent="0.2">
      <c r="A179" s="58" t="str">
        <v/>
      </c>
      <c r="B179" s="131" t="str">
        <f>IFERROR(TIMEVALUE(DaqBook_RAW_Data!Q169),IFERROR(TIMEVALUE(DaqBook_RAW_Data!A169),""))</f>
        <v/>
      </c>
      <c r="C179" s="153" t="str">
        <v/>
      </c>
      <c r="D179" s="153" t="str">
        <v/>
      </c>
      <c r="E179" s="153" t="str">
        <v/>
      </c>
      <c r="F179" s="153" t="str">
        <v/>
      </c>
      <c r="G179" s="153" t="str">
        <v/>
      </c>
      <c r="H179" s="153" t="str">
        <v/>
      </c>
      <c r="I179" s="153" t="str">
        <v/>
      </c>
      <c r="J179" s="153" t="str">
        <v/>
      </c>
      <c r="K179" s="153" t="str">
        <v/>
      </c>
      <c r="L179" s="153" t="str">
        <v/>
      </c>
      <c r="M179" s="153" t="str">
        <v/>
      </c>
      <c r="N179" s="153" t="str">
        <v/>
      </c>
      <c r="O179" s="153" t="str">
        <v/>
      </c>
      <c r="P179" s="153" t="str">
        <v/>
      </c>
    </row>
    <row r="180" spans="1:16" x14ac:dyDescent="0.2">
      <c r="A180" s="58" t="str">
        <v/>
      </c>
      <c r="B180" s="131" t="str">
        <f>IFERROR(TIMEVALUE(DaqBook_RAW_Data!Q170),IFERROR(TIMEVALUE(DaqBook_RAW_Data!A170),""))</f>
        <v/>
      </c>
      <c r="C180" s="153" t="str">
        <v/>
      </c>
      <c r="D180" s="153" t="str">
        <v/>
      </c>
      <c r="E180" s="153" t="str">
        <v/>
      </c>
      <c r="F180" s="153" t="str">
        <v/>
      </c>
      <c r="G180" s="153" t="str">
        <v/>
      </c>
      <c r="H180" s="153" t="str">
        <v/>
      </c>
      <c r="I180" s="153" t="str">
        <v/>
      </c>
      <c r="J180" s="153" t="str">
        <v/>
      </c>
      <c r="K180" s="153" t="str">
        <v/>
      </c>
      <c r="L180" s="153" t="str">
        <v/>
      </c>
      <c r="M180" s="153" t="str">
        <v/>
      </c>
      <c r="N180" s="153" t="str">
        <v/>
      </c>
      <c r="O180" s="153" t="str">
        <v/>
      </c>
      <c r="P180" s="153" t="str">
        <v/>
      </c>
    </row>
    <row r="181" spans="1:16" x14ac:dyDescent="0.2">
      <c r="A181" s="58" t="str">
        <v/>
      </c>
      <c r="B181" s="131" t="str">
        <f>IFERROR(TIMEVALUE(DaqBook_RAW_Data!Q171),IFERROR(TIMEVALUE(DaqBook_RAW_Data!A171),""))</f>
        <v/>
      </c>
      <c r="C181" s="153" t="str">
        <v/>
      </c>
      <c r="D181" s="153" t="str">
        <v/>
      </c>
      <c r="E181" s="153" t="str">
        <v/>
      </c>
      <c r="F181" s="153" t="str">
        <v/>
      </c>
      <c r="G181" s="153" t="str">
        <v/>
      </c>
      <c r="H181" s="153" t="str">
        <v/>
      </c>
      <c r="I181" s="153" t="str">
        <v/>
      </c>
      <c r="J181" s="153" t="str">
        <v/>
      </c>
      <c r="K181" s="153" t="str">
        <v/>
      </c>
      <c r="L181" s="153" t="str">
        <v/>
      </c>
      <c r="M181" s="153" t="str">
        <v/>
      </c>
      <c r="N181" s="153" t="str">
        <v/>
      </c>
      <c r="O181" s="153" t="str">
        <v/>
      </c>
      <c r="P181" s="153" t="str">
        <v/>
      </c>
    </row>
    <row r="182" spans="1:16" x14ac:dyDescent="0.2">
      <c r="A182" s="58" t="str">
        <v/>
      </c>
      <c r="B182" s="131" t="str">
        <f>IFERROR(TIMEVALUE(DaqBook_RAW_Data!Q172),IFERROR(TIMEVALUE(DaqBook_RAW_Data!A172),""))</f>
        <v/>
      </c>
      <c r="C182" s="153" t="str">
        <v/>
      </c>
      <c r="D182" s="153" t="str">
        <v/>
      </c>
      <c r="E182" s="153" t="str">
        <v/>
      </c>
      <c r="F182" s="153" t="str">
        <v/>
      </c>
      <c r="G182" s="153" t="str">
        <v/>
      </c>
      <c r="H182" s="153" t="str">
        <v/>
      </c>
      <c r="I182" s="153" t="str">
        <v/>
      </c>
      <c r="J182" s="153" t="str">
        <v/>
      </c>
      <c r="K182" s="153" t="str">
        <v/>
      </c>
      <c r="L182" s="153" t="str">
        <v/>
      </c>
      <c r="M182" s="153" t="str">
        <v/>
      </c>
      <c r="N182" s="153" t="str">
        <v/>
      </c>
      <c r="O182" s="153" t="str">
        <v/>
      </c>
      <c r="P182" s="153" t="str">
        <v/>
      </c>
    </row>
    <row r="183" spans="1:16" x14ac:dyDescent="0.2">
      <c r="A183" s="58" t="str">
        <v/>
      </c>
      <c r="B183" s="131" t="str">
        <f>IFERROR(TIMEVALUE(DaqBook_RAW_Data!Q173),IFERROR(TIMEVALUE(DaqBook_RAW_Data!A173),""))</f>
        <v/>
      </c>
      <c r="C183" s="153" t="str">
        <v/>
      </c>
      <c r="D183" s="153" t="str">
        <v/>
      </c>
      <c r="E183" s="153" t="str">
        <v/>
      </c>
      <c r="F183" s="153" t="str">
        <v/>
      </c>
      <c r="G183" s="153" t="str">
        <v/>
      </c>
      <c r="H183" s="153" t="str">
        <v/>
      </c>
      <c r="I183" s="153" t="str">
        <v/>
      </c>
      <c r="J183" s="153" t="str">
        <v/>
      </c>
      <c r="K183" s="153" t="str">
        <v/>
      </c>
      <c r="L183" s="153" t="str">
        <v/>
      </c>
      <c r="M183" s="153" t="str">
        <v/>
      </c>
      <c r="N183" s="153" t="str">
        <v/>
      </c>
      <c r="O183" s="153" t="str">
        <v/>
      </c>
      <c r="P183" s="153" t="str">
        <v/>
      </c>
    </row>
    <row r="184" spans="1:16" x14ac:dyDescent="0.2">
      <c r="A184" s="58" t="str">
        <v/>
      </c>
      <c r="B184" s="131" t="str">
        <f>IFERROR(TIMEVALUE(DaqBook_RAW_Data!Q174),IFERROR(TIMEVALUE(DaqBook_RAW_Data!A174),""))</f>
        <v/>
      </c>
      <c r="C184" s="153" t="str">
        <v/>
      </c>
      <c r="D184" s="153" t="str">
        <v/>
      </c>
      <c r="E184" s="153" t="str">
        <v/>
      </c>
      <c r="F184" s="153" t="str">
        <v/>
      </c>
      <c r="G184" s="153" t="str">
        <v/>
      </c>
      <c r="H184" s="153" t="str">
        <v/>
      </c>
      <c r="I184" s="153" t="str">
        <v/>
      </c>
      <c r="J184" s="153" t="str">
        <v/>
      </c>
      <c r="K184" s="153" t="str">
        <v/>
      </c>
      <c r="L184" s="153" t="str">
        <v/>
      </c>
      <c r="M184" s="153" t="str">
        <v/>
      </c>
      <c r="N184" s="153" t="str">
        <v/>
      </c>
      <c r="O184" s="153" t="str">
        <v/>
      </c>
      <c r="P184" s="153" t="str">
        <v/>
      </c>
    </row>
    <row r="185" spans="1:16" x14ac:dyDescent="0.2">
      <c r="A185" s="58" t="str">
        <v/>
      </c>
      <c r="B185" s="131" t="str">
        <f>IFERROR(TIMEVALUE(DaqBook_RAW_Data!Q175),IFERROR(TIMEVALUE(DaqBook_RAW_Data!A175),""))</f>
        <v/>
      </c>
      <c r="C185" s="153" t="str">
        <v/>
      </c>
      <c r="D185" s="153" t="str">
        <v/>
      </c>
      <c r="E185" s="153" t="str">
        <v/>
      </c>
      <c r="F185" s="153" t="str">
        <v/>
      </c>
      <c r="G185" s="153" t="str">
        <v/>
      </c>
      <c r="H185" s="153" t="str">
        <v/>
      </c>
      <c r="I185" s="153" t="str">
        <v/>
      </c>
      <c r="J185" s="153" t="str">
        <v/>
      </c>
      <c r="K185" s="153" t="str">
        <v/>
      </c>
      <c r="L185" s="153" t="str">
        <v/>
      </c>
      <c r="M185" s="153" t="str">
        <v/>
      </c>
      <c r="N185" s="153" t="str">
        <v/>
      </c>
      <c r="O185" s="153" t="str">
        <v/>
      </c>
      <c r="P185" s="153" t="str">
        <v/>
      </c>
    </row>
    <row r="186" spans="1:16" x14ac:dyDescent="0.2">
      <c r="A186" s="58" t="str">
        <v/>
      </c>
      <c r="B186" s="131" t="str">
        <f>IFERROR(TIMEVALUE(DaqBook_RAW_Data!Q176),IFERROR(TIMEVALUE(DaqBook_RAW_Data!A176),""))</f>
        <v/>
      </c>
      <c r="C186" s="153" t="str">
        <v/>
      </c>
      <c r="D186" s="153" t="str">
        <v/>
      </c>
      <c r="E186" s="153" t="str">
        <v/>
      </c>
      <c r="F186" s="153" t="str">
        <v/>
      </c>
      <c r="G186" s="153" t="str">
        <v/>
      </c>
      <c r="H186" s="153" t="str">
        <v/>
      </c>
      <c r="I186" s="153" t="str">
        <v/>
      </c>
      <c r="J186" s="153" t="str">
        <v/>
      </c>
      <c r="K186" s="153" t="str">
        <v/>
      </c>
      <c r="L186" s="153" t="str">
        <v/>
      </c>
      <c r="M186" s="153" t="str">
        <v/>
      </c>
      <c r="N186" s="153" t="str">
        <v/>
      </c>
      <c r="O186" s="153" t="str">
        <v/>
      </c>
      <c r="P186" s="153" t="str">
        <v/>
      </c>
    </row>
    <row r="187" spans="1:16" x14ac:dyDescent="0.2">
      <c r="A187" s="58" t="str">
        <v/>
      </c>
      <c r="B187" s="131" t="str">
        <f>IFERROR(TIMEVALUE(DaqBook_RAW_Data!Q177),IFERROR(TIMEVALUE(DaqBook_RAW_Data!A177),""))</f>
        <v/>
      </c>
      <c r="C187" s="153" t="str">
        <v/>
      </c>
      <c r="D187" s="153" t="str">
        <v/>
      </c>
      <c r="E187" s="153" t="str">
        <v/>
      </c>
      <c r="F187" s="153" t="str">
        <v/>
      </c>
      <c r="G187" s="153" t="str">
        <v/>
      </c>
      <c r="H187" s="153" t="str">
        <v/>
      </c>
      <c r="I187" s="153" t="str">
        <v/>
      </c>
      <c r="J187" s="153" t="str">
        <v/>
      </c>
      <c r="K187" s="153" t="str">
        <v/>
      </c>
      <c r="L187" s="153" t="str">
        <v/>
      </c>
      <c r="M187" s="153" t="str">
        <v/>
      </c>
      <c r="N187" s="153" t="str">
        <v/>
      </c>
      <c r="O187" s="153" t="str">
        <v/>
      </c>
      <c r="P187" s="153" t="str">
        <v/>
      </c>
    </row>
    <row r="188" spans="1:16" x14ac:dyDescent="0.2">
      <c r="A188" s="58" t="str">
        <v/>
      </c>
      <c r="B188" s="131" t="str">
        <f>IFERROR(TIMEVALUE(DaqBook_RAW_Data!Q178),IFERROR(TIMEVALUE(DaqBook_RAW_Data!A178),""))</f>
        <v/>
      </c>
      <c r="C188" s="153" t="str">
        <v/>
      </c>
      <c r="D188" s="153" t="str">
        <v/>
      </c>
      <c r="E188" s="153" t="str">
        <v/>
      </c>
      <c r="F188" s="153" t="str">
        <v/>
      </c>
      <c r="G188" s="153" t="str">
        <v/>
      </c>
      <c r="H188" s="153" t="str">
        <v/>
      </c>
      <c r="I188" s="153" t="str">
        <v/>
      </c>
      <c r="J188" s="153" t="str">
        <v/>
      </c>
      <c r="K188" s="153" t="str">
        <v/>
      </c>
      <c r="L188" s="153" t="str">
        <v/>
      </c>
      <c r="M188" s="153" t="str">
        <v/>
      </c>
      <c r="N188" s="153" t="str">
        <v/>
      </c>
      <c r="O188" s="153" t="str">
        <v/>
      </c>
      <c r="P188" s="153" t="str">
        <v/>
      </c>
    </row>
    <row r="189" spans="1:16" x14ac:dyDescent="0.2">
      <c r="A189" s="58" t="str">
        <v/>
      </c>
      <c r="B189" s="131" t="str">
        <f>IFERROR(TIMEVALUE(DaqBook_RAW_Data!Q179),IFERROR(TIMEVALUE(DaqBook_RAW_Data!A179),""))</f>
        <v/>
      </c>
      <c r="C189" s="153" t="str">
        <v/>
      </c>
      <c r="D189" s="153" t="str">
        <v/>
      </c>
      <c r="E189" s="153" t="str">
        <v/>
      </c>
      <c r="F189" s="153" t="str">
        <v/>
      </c>
      <c r="G189" s="153" t="str">
        <v/>
      </c>
      <c r="H189" s="153" t="str">
        <v/>
      </c>
      <c r="I189" s="153" t="str">
        <v/>
      </c>
      <c r="J189" s="153" t="str">
        <v/>
      </c>
      <c r="K189" s="153" t="str">
        <v/>
      </c>
      <c r="L189" s="153" t="str">
        <v/>
      </c>
      <c r="M189" s="153" t="str">
        <v/>
      </c>
      <c r="N189" s="153" t="str">
        <v/>
      </c>
      <c r="O189" s="153" t="str">
        <v/>
      </c>
      <c r="P189" s="153" t="str">
        <v/>
      </c>
    </row>
    <row r="190" spans="1:16" x14ac:dyDescent="0.2">
      <c r="A190" s="58" t="str">
        <v/>
      </c>
      <c r="B190" s="131" t="str">
        <f>IFERROR(TIMEVALUE(DaqBook_RAW_Data!Q180),IFERROR(TIMEVALUE(DaqBook_RAW_Data!A180),""))</f>
        <v/>
      </c>
      <c r="C190" s="153" t="str">
        <v/>
      </c>
      <c r="D190" s="153" t="str">
        <v/>
      </c>
      <c r="E190" s="153" t="str">
        <v/>
      </c>
      <c r="F190" s="153" t="str">
        <v/>
      </c>
      <c r="G190" s="153" t="str">
        <v/>
      </c>
      <c r="H190" s="153" t="str">
        <v/>
      </c>
      <c r="I190" s="153" t="str">
        <v/>
      </c>
      <c r="J190" s="153" t="str">
        <v/>
      </c>
      <c r="K190" s="153" t="str">
        <v/>
      </c>
      <c r="L190" s="153" t="str">
        <v/>
      </c>
      <c r="M190" s="153" t="str">
        <v/>
      </c>
      <c r="N190" s="153" t="str">
        <v/>
      </c>
      <c r="O190" s="153" t="str">
        <v/>
      </c>
      <c r="P190" s="153" t="str">
        <v/>
      </c>
    </row>
    <row r="191" spans="1:16" x14ac:dyDescent="0.2">
      <c r="A191" s="58" t="str">
        <v/>
      </c>
      <c r="B191" s="131" t="str">
        <f>IFERROR(TIMEVALUE(DaqBook_RAW_Data!Q181),IFERROR(TIMEVALUE(DaqBook_RAW_Data!A181),""))</f>
        <v/>
      </c>
      <c r="C191" s="153" t="str">
        <v/>
      </c>
      <c r="D191" s="153" t="str">
        <v/>
      </c>
      <c r="E191" s="153" t="str">
        <v/>
      </c>
      <c r="F191" s="153" t="str">
        <v/>
      </c>
      <c r="G191" s="153" t="str">
        <v/>
      </c>
      <c r="H191" s="153" t="str">
        <v/>
      </c>
      <c r="I191" s="153" t="str">
        <v/>
      </c>
      <c r="J191" s="153" t="str">
        <v/>
      </c>
      <c r="K191" s="153" t="str">
        <v/>
      </c>
      <c r="L191" s="153" t="str">
        <v/>
      </c>
      <c r="M191" s="153" t="str">
        <v/>
      </c>
      <c r="N191" s="153" t="str">
        <v/>
      </c>
      <c r="O191" s="153" t="str">
        <v/>
      </c>
      <c r="P191" s="153" t="str">
        <v/>
      </c>
    </row>
    <row r="192" spans="1:16" x14ac:dyDescent="0.2">
      <c r="A192" s="58" t="str">
        <v/>
      </c>
      <c r="B192" s="131" t="str">
        <f>IFERROR(TIMEVALUE(DaqBook_RAW_Data!Q182),IFERROR(TIMEVALUE(DaqBook_RAW_Data!A182),""))</f>
        <v/>
      </c>
      <c r="C192" s="153" t="str">
        <v/>
      </c>
      <c r="D192" s="153" t="str">
        <v/>
      </c>
      <c r="E192" s="153" t="str">
        <v/>
      </c>
      <c r="F192" s="153" t="str">
        <v/>
      </c>
      <c r="G192" s="153" t="str">
        <v/>
      </c>
      <c r="H192" s="153" t="str">
        <v/>
      </c>
      <c r="I192" s="153" t="str">
        <v/>
      </c>
      <c r="J192" s="153" t="str">
        <v/>
      </c>
      <c r="K192" s="153" t="str">
        <v/>
      </c>
      <c r="L192" s="153" t="str">
        <v/>
      </c>
      <c r="M192" s="153" t="str">
        <v/>
      </c>
      <c r="N192" s="153" t="str">
        <v/>
      </c>
      <c r="O192" s="153" t="str">
        <v/>
      </c>
      <c r="P192" s="153" t="str">
        <v/>
      </c>
    </row>
    <row r="193" spans="1:16" x14ac:dyDescent="0.2">
      <c r="A193" s="58" t="str">
        <v/>
      </c>
      <c r="B193" s="131" t="str">
        <f>IFERROR(TIMEVALUE(DaqBook_RAW_Data!Q183),IFERROR(TIMEVALUE(DaqBook_RAW_Data!A183),""))</f>
        <v/>
      </c>
      <c r="C193" s="153" t="str">
        <v/>
      </c>
      <c r="D193" s="153" t="str">
        <v/>
      </c>
      <c r="E193" s="153" t="str">
        <v/>
      </c>
      <c r="F193" s="153" t="str">
        <v/>
      </c>
      <c r="G193" s="153" t="str">
        <v/>
      </c>
      <c r="H193" s="153" t="str">
        <v/>
      </c>
      <c r="I193" s="153" t="str">
        <v/>
      </c>
      <c r="J193" s="153" t="str">
        <v/>
      </c>
      <c r="K193" s="153" t="str">
        <v/>
      </c>
      <c r="L193" s="153" t="str">
        <v/>
      </c>
      <c r="M193" s="153" t="str">
        <v/>
      </c>
      <c r="N193" s="153" t="str">
        <v/>
      </c>
      <c r="O193" s="153" t="str">
        <v/>
      </c>
      <c r="P193" s="153" t="str">
        <v/>
      </c>
    </row>
    <row r="194" spans="1:16" x14ac:dyDescent="0.2">
      <c r="A194" s="58" t="str">
        <v/>
      </c>
      <c r="B194" s="131" t="str">
        <f>IFERROR(TIMEVALUE(DaqBook_RAW_Data!Q184),IFERROR(TIMEVALUE(DaqBook_RAW_Data!A184),""))</f>
        <v/>
      </c>
      <c r="C194" s="153" t="str">
        <v/>
      </c>
      <c r="D194" s="153" t="str">
        <v/>
      </c>
      <c r="E194" s="153" t="str">
        <v/>
      </c>
      <c r="F194" s="153" t="str">
        <v/>
      </c>
      <c r="G194" s="153" t="str">
        <v/>
      </c>
      <c r="H194" s="153" t="str">
        <v/>
      </c>
      <c r="I194" s="153" t="str">
        <v/>
      </c>
      <c r="J194" s="153" t="str">
        <v/>
      </c>
      <c r="K194" s="153" t="str">
        <v/>
      </c>
      <c r="L194" s="153" t="str">
        <v/>
      </c>
      <c r="M194" s="153" t="str">
        <v/>
      </c>
      <c r="N194" s="153" t="str">
        <v/>
      </c>
      <c r="O194" s="153" t="str">
        <v/>
      </c>
      <c r="P194" s="153" t="str">
        <v/>
      </c>
    </row>
    <row r="195" spans="1:16" x14ac:dyDescent="0.2">
      <c r="A195" s="58" t="str">
        <v/>
      </c>
      <c r="B195" s="131" t="str">
        <f>IFERROR(TIMEVALUE(DaqBook_RAW_Data!Q185),IFERROR(TIMEVALUE(DaqBook_RAW_Data!A185),""))</f>
        <v/>
      </c>
      <c r="C195" s="153" t="str">
        <v/>
      </c>
      <c r="D195" s="153" t="str">
        <v/>
      </c>
      <c r="E195" s="153" t="str">
        <v/>
      </c>
      <c r="F195" s="153" t="str">
        <v/>
      </c>
      <c r="G195" s="153" t="str">
        <v/>
      </c>
      <c r="H195" s="153" t="str">
        <v/>
      </c>
      <c r="I195" s="153" t="str">
        <v/>
      </c>
      <c r="J195" s="153" t="str">
        <v/>
      </c>
      <c r="K195" s="153" t="str">
        <v/>
      </c>
      <c r="L195" s="153" t="str">
        <v/>
      </c>
      <c r="M195" s="153" t="str">
        <v/>
      </c>
      <c r="N195" s="153" t="str">
        <v/>
      </c>
      <c r="O195" s="153" t="str">
        <v/>
      </c>
      <c r="P195" s="153" t="str">
        <v/>
      </c>
    </row>
    <row r="196" spans="1:16" x14ac:dyDescent="0.2">
      <c r="A196" s="58" t="str">
        <v/>
      </c>
      <c r="B196" s="131" t="str">
        <f>IFERROR(TIMEVALUE(DaqBook_RAW_Data!Q186),IFERROR(TIMEVALUE(DaqBook_RAW_Data!A186),""))</f>
        <v/>
      </c>
      <c r="C196" s="153" t="str">
        <v/>
      </c>
      <c r="D196" s="153" t="str">
        <v/>
      </c>
      <c r="E196" s="153" t="str">
        <v/>
      </c>
      <c r="F196" s="153" t="str">
        <v/>
      </c>
      <c r="G196" s="153" t="str">
        <v/>
      </c>
      <c r="H196" s="153" t="str">
        <v/>
      </c>
      <c r="I196" s="153" t="str">
        <v/>
      </c>
      <c r="J196" s="153" t="str">
        <v/>
      </c>
      <c r="K196" s="153" t="str">
        <v/>
      </c>
      <c r="L196" s="153" t="str">
        <v/>
      </c>
      <c r="M196" s="153" t="str">
        <v/>
      </c>
      <c r="N196" s="153" t="str">
        <v/>
      </c>
      <c r="O196" s="153" t="str">
        <v/>
      </c>
      <c r="P196" s="153" t="str">
        <v/>
      </c>
    </row>
    <row r="197" spans="1:16" x14ac:dyDescent="0.2">
      <c r="A197" s="58" t="str">
        <v/>
      </c>
      <c r="B197" s="131" t="str">
        <f>IFERROR(TIMEVALUE(DaqBook_RAW_Data!Q187),IFERROR(TIMEVALUE(DaqBook_RAW_Data!A187),""))</f>
        <v/>
      </c>
      <c r="C197" s="153" t="str">
        <v/>
      </c>
      <c r="D197" s="153" t="str">
        <v/>
      </c>
      <c r="E197" s="153" t="str">
        <v/>
      </c>
      <c r="F197" s="153" t="str">
        <v/>
      </c>
      <c r="G197" s="153" t="str">
        <v/>
      </c>
      <c r="H197" s="153" t="str">
        <v/>
      </c>
      <c r="I197" s="153" t="str">
        <v/>
      </c>
      <c r="J197" s="153" t="str">
        <v/>
      </c>
      <c r="K197" s="153" t="str">
        <v/>
      </c>
      <c r="L197" s="153" t="str">
        <v/>
      </c>
      <c r="M197" s="153" t="str">
        <v/>
      </c>
      <c r="N197" s="153" t="str">
        <v/>
      </c>
      <c r="O197" s="153" t="str">
        <v/>
      </c>
      <c r="P197" s="153" t="str">
        <v/>
      </c>
    </row>
    <row r="198" spans="1:16" x14ac:dyDescent="0.2">
      <c r="A198" s="58" t="str">
        <v/>
      </c>
      <c r="B198" s="131" t="str">
        <f>IFERROR(TIMEVALUE(DaqBook_RAW_Data!Q188),IFERROR(TIMEVALUE(DaqBook_RAW_Data!A188),""))</f>
        <v/>
      </c>
      <c r="C198" s="153" t="str">
        <v/>
      </c>
      <c r="D198" s="153" t="str">
        <v/>
      </c>
      <c r="E198" s="153" t="str">
        <v/>
      </c>
      <c r="F198" s="153" t="str">
        <v/>
      </c>
      <c r="G198" s="153" t="str">
        <v/>
      </c>
      <c r="H198" s="153" t="str">
        <v/>
      </c>
      <c r="I198" s="153" t="str">
        <v/>
      </c>
      <c r="J198" s="153" t="str">
        <v/>
      </c>
      <c r="K198" s="153" t="str">
        <v/>
      </c>
      <c r="L198" s="153" t="str">
        <v/>
      </c>
      <c r="M198" s="153" t="str">
        <v/>
      </c>
      <c r="N198" s="153" t="str">
        <v/>
      </c>
      <c r="O198" s="153" t="str">
        <v/>
      </c>
      <c r="P198" s="153" t="str">
        <v/>
      </c>
    </row>
    <row r="199" spans="1:16" x14ac:dyDescent="0.2">
      <c r="A199" s="58" t="str">
        <v/>
      </c>
      <c r="B199" s="131" t="str">
        <f>IFERROR(TIMEVALUE(DaqBook_RAW_Data!Q189),IFERROR(TIMEVALUE(DaqBook_RAW_Data!A189),""))</f>
        <v/>
      </c>
      <c r="C199" s="153" t="str">
        <v/>
      </c>
      <c r="D199" s="153" t="str">
        <v/>
      </c>
      <c r="E199" s="153" t="str">
        <v/>
      </c>
      <c r="F199" s="153" t="str">
        <v/>
      </c>
      <c r="G199" s="153" t="str">
        <v/>
      </c>
      <c r="H199" s="153" t="str">
        <v/>
      </c>
      <c r="I199" s="153" t="str">
        <v/>
      </c>
      <c r="J199" s="153" t="str">
        <v/>
      </c>
      <c r="K199" s="153" t="str">
        <v/>
      </c>
      <c r="L199" s="153" t="str">
        <v/>
      </c>
      <c r="M199" s="153" t="str">
        <v/>
      </c>
      <c r="N199" s="153" t="str">
        <v/>
      </c>
      <c r="O199" s="153" t="str">
        <v/>
      </c>
      <c r="P199" s="153" t="str">
        <v/>
      </c>
    </row>
    <row r="200" spans="1:16" x14ac:dyDescent="0.2">
      <c r="A200" s="58" t="str">
        <v/>
      </c>
      <c r="B200" s="131" t="str">
        <f>IFERROR(TIMEVALUE(DaqBook_RAW_Data!Q190),IFERROR(TIMEVALUE(DaqBook_RAW_Data!A190),""))</f>
        <v/>
      </c>
      <c r="C200" s="153" t="str">
        <v/>
      </c>
      <c r="D200" s="153" t="str">
        <v/>
      </c>
      <c r="E200" s="153" t="str">
        <v/>
      </c>
      <c r="F200" s="153" t="str">
        <v/>
      </c>
      <c r="G200" s="153" t="str">
        <v/>
      </c>
      <c r="H200" s="153" t="str">
        <v/>
      </c>
      <c r="I200" s="153" t="str">
        <v/>
      </c>
      <c r="J200" s="153" t="str">
        <v/>
      </c>
      <c r="K200" s="153" t="str">
        <v/>
      </c>
      <c r="L200" s="153" t="str">
        <v/>
      </c>
      <c r="M200" s="153" t="str">
        <v/>
      </c>
      <c r="N200" s="153" t="str">
        <v/>
      </c>
      <c r="O200" s="153" t="str">
        <v/>
      </c>
      <c r="P200" s="153" t="str">
        <v/>
      </c>
    </row>
    <row r="201" spans="1:16" x14ac:dyDescent="0.2">
      <c r="A201" s="58" t="str">
        <v/>
      </c>
      <c r="B201" s="131" t="str">
        <f>IFERROR(TIMEVALUE(DaqBook_RAW_Data!Q191),IFERROR(TIMEVALUE(DaqBook_RAW_Data!A191),""))</f>
        <v/>
      </c>
      <c r="C201" s="153" t="str">
        <v/>
      </c>
      <c r="D201" s="153" t="str">
        <v/>
      </c>
      <c r="E201" s="153" t="str">
        <v/>
      </c>
      <c r="F201" s="153" t="str">
        <v/>
      </c>
      <c r="G201" s="153" t="str">
        <v/>
      </c>
      <c r="H201" s="153" t="str">
        <v/>
      </c>
      <c r="I201" s="153" t="str">
        <v/>
      </c>
      <c r="J201" s="153" t="str">
        <v/>
      </c>
      <c r="K201" s="153" t="str">
        <v/>
      </c>
      <c r="L201" s="153" t="str">
        <v/>
      </c>
      <c r="M201" s="153" t="str">
        <v/>
      </c>
      <c r="N201" s="153" t="str">
        <v/>
      </c>
      <c r="O201" s="153" t="str">
        <v/>
      </c>
      <c r="P201" s="153" t="str">
        <v/>
      </c>
    </row>
    <row r="202" spans="1:16" x14ac:dyDescent="0.2">
      <c r="A202" s="58" t="str">
        <v/>
      </c>
      <c r="B202" s="131" t="str">
        <f>IFERROR(TIMEVALUE(DaqBook_RAW_Data!Q192),IFERROR(TIMEVALUE(DaqBook_RAW_Data!A192),""))</f>
        <v/>
      </c>
      <c r="C202" s="153" t="str">
        <v/>
      </c>
      <c r="D202" s="153" t="str">
        <v/>
      </c>
      <c r="E202" s="153" t="str">
        <v/>
      </c>
      <c r="F202" s="153" t="str">
        <v/>
      </c>
      <c r="G202" s="153" t="str">
        <v/>
      </c>
      <c r="H202" s="153" t="str">
        <v/>
      </c>
      <c r="I202" s="153" t="str">
        <v/>
      </c>
      <c r="J202" s="153" t="str">
        <v/>
      </c>
      <c r="K202" s="153" t="str">
        <v/>
      </c>
      <c r="L202" s="153" t="str">
        <v/>
      </c>
      <c r="M202" s="153" t="str">
        <v/>
      </c>
      <c r="N202" s="153" t="str">
        <v/>
      </c>
      <c r="O202" s="153" t="str">
        <v/>
      </c>
      <c r="P202" s="153" t="str">
        <v/>
      </c>
    </row>
    <row r="203" spans="1:16" x14ac:dyDescent="0.2">
      <c r="A203" s="58" t="str">
        <v/>
      </c>
      <c r="B203" s="131" t="str">
        <f>IFERROR(TIMEVALUE(DaqBook_RAW_Data!Q193),IFERROR(TIMEVALUE(DaqBook_RAW_Data!A193),""))</f>
        <v/>
      </c>
      <c r="C203" s="153" t="str">
        <v/>
      </c>
      <c r="D203" s="153" t="str">
        <v/>
      </c>
      <c r="E203" s="153" t="str">
        <v/>
      </c>
      <c r="F203" s="153" t="str">
        <v/>
      </c>
      <c r="G203" s="153" t="str">
        <v/>
      </c>
      <c r="H203" s="153" t="str">
        <v/>
      </c>
      <c r="I203" s="153" t="str">
        <v/>
      </c>
      <c r="J203" s="153" t="str">
        <v/>
      </c>
      <c r="K203" s="153" t="str">
        <v/>
      </c>
      <c r="L203" s="153" t="str">
        <v/>
      </c>
      <c r="M203" s="153" t="str">
        <v/>
      </c>
      <c r="N203" s="153" t="str">
        <v/>
      </c>
      <c r="O203" s="153" t="str">
        <v/>
      </c>
      <c r="P203" s="153" t="str">
        <v/>
      </c>
    </row>
    <row r="204" spans="1:16" x14ac:dyDescent="0.2">
      <c r="A204" s="58" t="str">
        <v/>
      </c>
      <c r="B204" s="131" t="str">
        <f>IFERROR(TIMEVALUE(DaqBook_RAW_Data!Q194),IFERROR(TIMEVALUE(DaqBook_RAW_Data!A194),""))</f>
        <v/>
      </c>
      <c r="C204" s="153" t="str">
        <v/>
      </c>
      <c r="D204" s="153" t="str">
        <v/>
      </c>
      <c r="E204" s="153" t="str">
        <v/>
      </c>
      <c r="F204" s="153" t="str">
        <v/>
      </c>
      <c r="G204" s="153" t="str">
        <v/>
      </c>
      <c r="H204" s="153" t="str">
        <v/>
      </c>
      <c r="I204" s="153" t="str">
        <v/>
      </c>
      <c r="J204" s="153" t="str">
        <v/>
      </c>
      <c r="K204" s="153" t="str">
        <v/>
      </c>
      <c r="L204" s="153" t="str">
        <v/>
      </c>
      <c r="M204" s="153" t="str">
        <v/>
      </c>
      <c r="N204" s="153" t="str">
        <v/>
      </c>
      <c r="O204" s="153" t="str">
        <v/>
      </c>
      <c r="P204" s="153" t="str">
        <v/>
      </c>
    </row>
    <row r="205" spans="1:16" x14ac:dyDescent="0.2">
      <c r="A205" s="58" t="str">
        <v/>
      </c>
      <c r="B205" s="131" t="str">
        <f>IFERROR(TIMEVALUE(DaqBook_RAW_Data!Q195),IFERROR(TIMEVALUE(DaqBook_RAW_Data!A195),""))</f>
        <v/>
      </c>
      <c r="C205" s="153" t="str">
        <v/>
      </c>
      <c r="D205" s="153" t="str">
        <v/>
      </c>
      <c r="E205" s="153" t="str">
        <v/>
      </c>
      <c r="F205" s="153" t="str">
        <v/>
      </c>
      <c r="G205" s="153" t="str">
        <v/>
      </c>
      <c r="H205" s="153" t="str">
        <v/>
      </c>
      <c r="I205" s="153" t="str">
        <v/>
      </c>
      <c r="J205" s="153" t="str">
        <v/>
      </c>
      <c r="K205" s="153" t="str">
        <v/>
      </c>
      <c r="L205" s="153" t="str">
        <v/>
      </c>
      <c r="M205" s="153" t="str">
        <v/>
      </c>
      <c r="N205" s="153" t="str">
        <v/>
      </c>
      <c r="O205" s="153" t="str">
        <v/>
      </c>
      <c r="P205" s="153" t="str">
        <v/>
      </c>
    </row>
    <row r="206" spans="1:16" x14ac:dyDescent="0.2">
      <c r="A206" s="58" t="str">
        <v/>
      </c>
      <c r="B206" s="131" t="str">
        <f>IFERROR(TIMEVALUE(DaqBook_RAW_Data!Q196),IFERROR(TIMEVALUE(DaqBook_RAW_Data!A196),""))</f>
        <v/>
      </c>
      <c r="C206" s="153" t="str">
        <v/>
      </c>
      <c r="D206" s="153" t="str">
        <v/>
      </c>
      <c r="E206" s="153" t="str">
        <v/>
      </c>
      <c r="F206" s="153" t="str">
        <v/>
      </c>
      <c r="G206" s="153" t="str">
        <v/>
      </c>
      <c r="H206" s="153" t="str">
        <v/>
      </c>
      <c r="I206" s="153" t="str">
        <v/>
      </c>
      <c r="J206" s="153" t="str">
        <v/>
      </c>
      <c r="K206" s="153" t="str">
        <v/>
      </c>
      <c r="L206" s="153" t="str">
        <v/>
      </c>
      <c r="M206" s="153" t="str">
        <v/>
      </c>
      <c r="N206" s="153" t="str">
        <v/>
      </c>
      <c r="O206" s="153" t="str">
        <v/>
      </c>
      <c r="P206" s="153" t="str">
        <v/>
      </c>
    </row>
    <row r="207" spans="1:16" x14ac:dyDescent="0.2">
      <c r="A207" s="58" t="str">
        <v/>
      </c>
      <c r="B207" s="131" t="str">
        <f>IFERROR(TIMEVALUE(DaqBook_RAW_Data!Q197),IFERROR(TIMEVALUE(DaqBook_RAW_Data!A197),""))</f>
        <v/>
      </c>
      <c r="C207" s="153" t="str">
        <v/>
      </c>
      <c r="D207" s="153" t="str">
        <v/>
      </c>
      <c r="E207" s="153" t="str">
        <v/>
      </c>
      <c r="F207" s="153" t="str">
        <v/>
      </c>
      <c r="G207" s="153" t="str">
        <v/>
      </c>
      <c r="H207" s="153" t="str">
        <v/>
      </c>
      <c r="I207" s="153" t="str">
        <v/>
      </c>
      <c r="J207" s="153" t="str">
        <v/>
      </c>
      <c r="K207" s="153" t="str">
        <v/>
      </c>
      <c r="L207" s="153" t="str">
        <v/>
      </c>
      <c r="M207" s="153" t="str">
        <v/>
      </c>
      <c r="N207" s="153" t="str">
        <v/>
      </c>
      <c r="O207" s="153" t="str">
        <v/>
      </c>
      <c r="P207" s="153" t="str">
        <v/>
      </c>
    </row>
    <row r="208" spans="1:16" x14ac:dyDescent="0.2">
      <c r="A208" s="58" t="str">
        <v/>
      </c>
      <c r="B208" s="131" t="str">
        <f>IFERROR(TIMEVALUE(DaqBook_RAW_Data!Q198),IFERROR(TIMEVALUE(DaqBook_RAW_Data!A198),""))</f>
        <v/>
      </c>
      <c r="C208" s="153" t="str">
        <v/>
      </c>
      <c r="D208" s="153" t="str">
        <v/>
      </c>
      <c r="E208" s="153" t="str">
        <v/>
      </c>
      <c r="F208" s="153" t="str">
        <v/>
      </c>
      <c r="G208" s="153" t="str">
        <v/>
      </c>
      <c r="H208" s="153" t="str">
        <v/>
      </c>
      <c r="I208" s="153" t="str">
        <v/>
      </c>
      <c r="J208" s="153" t="str">
        <v/>
      </c>
      <c r="K208" s="153" t="str">
        <v/>
      </c>
      <c r="L208" s="153" t="str">
        <v/>
      </c>
      <c r="M208" s="153" t="str">
        <v/>
      </c>
      <c r="N208" s="153" t="str">
        <v/>
      </c>
      <c r="O208" s="153" t="str">
        <v/>
      </c>
      <c r="P208" s="153" t="str">
        <v/>
      </c>
    </row>
    <row r="209" spans="1:16" x14ac:dyDescent="0.2">
      <c r="A209" s="58" t="str">
        <v/>
      </c>
      <c r="B209" s="131" t="str">
        <f>IFERROR(TIMEVALUE(DaqBook_RAW_Data!Q199),IFERROR(TIMEVALUE(DaqBook_RAW_Data!A199),""))</f>
        <v/>
      </c>
      <c r="C209" s="153" t="str">
        <v/>
      </c>
      <c r="D209" s="153" t="str">
        <v/>
      </c>
      <c r="E209" s="153" t="str">
        <v/>
      </c>
      <c r="F209" s="153" t="str">
        <v/>
      </c>
      <c r="G209" s="153" t="str">
        <v/>
      </c>
      <c r="H209" s="153" t="str">
        <v/>
      </c>
      <c r="I209" s="153" t="str">
        <v/>
      </c>
      <c r="J209" s="153" t="str">
        <v/>
      </c>
      <c r="K209" s="153" t="str">
        <v/>
      </c>
      <c r="L209" s="153" t="str">
        <v/>
      </c>
      <c r="M209" s="153" t="str">
        <v/>
      </c>
      <c r="N209" s="153" t="str">
        <v/>
      </c>
      <c r="O209" s="153" t="str">
        <v/>
      </c>
      <c r="P209" s="153" t="str">
        <v/>
      </c>
    </row>
    <row r="210" spans="1:16" x14ac:dyDescent="0.2">
      <c r="A210" s="58" t="str">
        <v/>
      </c>
      <c r="B210" s="131" t="str">
        <f>IFERROR(TIMEVALUE(DaqBook_RAW_Data!Q200),IFERROR(TIMEVALUE(DaqBook_RAW_Data!A200),""))</f>
        <v/>
      </c>
      <c r="C210" s="153" t="str">
        <v/>
      </c>
      <c r="D210" s="153" t="str">
        <v/>
      </c>
      <c r="E210" s="153" t="str">
        <v/>
      </c>
      <c r="F210" s="153" t="str">
        <v/>
      </c>
      <c r="G210" s="153" t="str">
        <v/>
      </c>
      <c r="H210" s="153" t="str">
        <v/>
      </c>
      <c r="I210" s="153" t="str">
        <v/>
      </c>
      <c r="J210" s="153" t="str">
        <v/>
      </c>
      <c r="K210" s="153" t="str">
        <v/>
      </c>
      <c r="L210" s="153" t="str">
        <v/>
      </c>
      <c r="M210" s="153" t="str">
        <v/>
      </c>
      <c r="N210" s="153" t="str">
        <v/>
      </c>
      <c r="O210" s="153" t="str">
        <v/>
      </c>
      <c r="P210" s="153" t="str">
        <v/>
      </c>
    </row>
    <row r="211" spans="1:16" x14ac:dyDescent="0.2">
      <c r="A211" s="58" t="str">
        <v/>
      </c>
      <c r="B211" s="131" t="str">
        <f>IFERROR(TIMEVALUE(DaqBook_RAW_Data!Q201),IFERROR(TIMEVALUE(DaqBook_RAW_Data!A201),""))</f>
        <v/>
      </c>
      <c r="C211" s="153" t="str">
        <v/>
      </c>
      <c r="D211" s="153" t="str">
        <v/>
      </c>
      <c r="E211" s="153" t="str">
        <v/>
      </c>
      <c r="F211" s="153" t="str">
        <v/>
      </c>
      <c r="G211" s="153" t="str">
        <v/>
      </c>
      <c r="H211" s="153" t="str">
        <v/>
      </c>
      <c r="I211" s="153" t="str">
        <v/>
      </c>
      <c r="J211" s="153" t="str">
        <v/>
      </c>
      <c r="K211" s="153" t="str">
        <v/>
      </c>
      <c r="L211" s="153" t="str">
        <v/>
      </c>
      <c r="M211" s="153" t="str">
        <v/>
      </c>
      <c r="N211" s="153" t="str">
        <v/>
      </c>
      <c r="O211" s="153" t="str">
        <v/>
      </c>
      <c r="P211" s="153" t="str">
        <v/>
      </c>
    </row>
    <row r="212" spans="1:16" x14ac:dyDescent="0.2">
      <c r="A212" s="58" t="str">
        <v/>
      </c>
      <c r="B212" s="131" t="str">
        <f>IFERROR(TIMEVALUE(DaqBook_RAW_Data!Q202),IFERROR(TIMEVALUE(DaqBook_RAW_Data!A202),""))</f>
        <v/>
      </c>
      <c r="C212" s="153" t="str">
        <v/>
      </c>
      <c r="D212" s="153" t="str">
        <v/>
      </c>
      <c r="E212" s="153" t="str">
        <v/>
      </c>
      <c r="F212" s="153" t="str">
        <v/>
      </c>
      <c r="G212" s="153" t="str">
        <v/>
      </c>
      <c r="H212" s="153" t="str">
        <v/>
      </c>
      <c r="I212" s="153" t="str">
        <v/>
      </c>
      <c r="J212" s="153" t="str">
        <v/>
      </c>
      <c r="K212" s="153" t="str">
        <v/>
      </c>
      <c r="L212" s="153" t="str">
        <v/>
      </c>
      <c r="M212" s="153" t="str">
        <v/>
      </c>
      <c r="N212" s="153" t="str">
        <v/>
      </c>
      <c r="O212" s="153" t="str">
        <v/>
      </c>
      <c r="P212" s="153" t="str">
        <v/>
      </c>
    </row>
    <row r="213" spans="1:16" x14ac:dyDescent="0.2">
      <c r="A213" s="58" t="str">
        <v/>
      </c>
      <c r="B213" s="131" t="str">
        <f>IFERROR(TIMEVALUE(DaqBook_RAW_Data!Q203),IFERROR(TIMEVALUE(DaqBook_RAW_Data!A203),""))</f>
        <v/>
      </c>
      <c r="C213" s="153" t="str">
        <v/>
      </c>
      <c r="D213" s="153" t="str">
        <v/>
      </c>
      <c r="E213" s="153" t="str">
        <v/>
      </c>
      <c r="F213" s="153" t="str">
        <v/>
      </c>
      <c r="G213" s="153" t="str">
        <v/>
      </c>
      <c r="H213" s="153" t="str">
        <v/>
      </c>
      <c r="I213" s="153" t="str">
        <v/>
      </c>
      <c r="J213" s="153" t="str">
        <v/>
      </c>
      <c r="K213" s="153" t="str">
        <v/>
      </c>
      <c r="L213" s="153" t="str">
        <v/>
      </c>
      <c r="M213" s="153" t="str">
        <v/>
      </c>
      <c r="N213" s="153" t="str">
        <v/>
      </c>
      <c r="O213" s="153" t="str">
        <v/>
      </c>
      <c r="P213" s="153" t="str">
        <v/>
      </c>
    </row>
    <row r="214" spans="1:16" x14ac:dyDescent="0.2">
      <c r="A214" s="58" t="str">
        <v/>
      </c>
      <c r="B214" s="131" t="str">
        <f>IFERROR(TIMEVALUE(DaqBook_RAW_Data!Q204),IFERROR(TIMEVALUE(DaqBook_RAW_Data!A204),""))</f>
        <v/>
      </c>
      <c r="C214" s="153" t="str">
        <v/>
      </c>
      <c r="D214" s="153" t="str">
        <v/>
      </c>
      <c r="E214" s="153" t="str">
        <v/>
      </c>
      <c r="F214" s="153" t="str">
        <v/>
      </c>
      <c r="G214" s="153" t="str">
        <v/>
      </c>
      <c r="H214" s="153" t="str">
        <v/>
      </c>
      <c r="I214" s="153" t="str">
        <v/>
      </c>
      <c r="J214" s="153" t="str">
        <v/>
      </c>
      <c r="K214" s="153" t="str">
        <v/>
      </c>
      <c r="L214" s="153" t="str">
        <v/>
      </c>
      <c r="M214" s="153" t="str">
        <v/>
      </c>
      <c r="N214" s="153" t="str">
        <v/>
      </c>
      <c r="O214" s="153" t="str">
        <v/>
      </c>
      <c r="P214" s="153" t="str">
        <v/>
      </c>
    </row>
    <row r="215" spans="1:16" x14ac:dyDescent="0.2">
      <c r="A215" s="58" t="str">
        <v/>
      </c>
      <c r="B215" s="131" t="str">
        <f>IFERROR(TIMEVALUE(DaqBook_RAW_Data!Q205),IFERROR(TIMEVALUE(DaqBook_RAW_Data!A205),""))</f>
        <v/>
      </c>
      <c r="C215" s="153" t="str">
        <v/>
      </c>
      <c r="D215" s="153" t="str">
        <v/>
      </c>
      <c r="E215" s="153" t="str">
        <v/>
      </c>
      <c r="F215" s="153" t="str">
        <v/>
      </c>
      <c r="G215" s="153" t="str">
        <v/>
      </c>
      <c r="H215" s="153" t="str">
        <v/>
      </c>
      <c r="I215" s="153" t="str">
        <v/>
      </c>
      <c r="J215" s="153" t="str">
        <v/>
      </c>
      <c r="K215" s="153" t="str">
        <v/>
      </c>
      <c r="L215" s="153" t="str">
        <v/>
      </c>
      <c r="M215" s="153" t="str">
        <v/>
      </c>
      <c r="N215" s="153" t="str">
        <v/>
      </c>
      <c r="O215" s="153" t="str">
        <v/>
      </c>
      <c r="P215" s="153" t="str">
        <v/>
      </c>
    </row>
    <row r="216" spans="1:16" x14ac:dyDescent="0.2">
      <c r="A216" s="58" t="str">
        <v/>
      </c>
      <c r="B216" s="131" t="str">
        <f>IFERROR(TIMEVALUE(DaqBook_RAW_Data!Q206),IFERROR(TIMEVALUE(DaqBook_RAW_Data!A206),""))</f>
        <v/>
      </c>
      <c r="C216" s="153" t="str">
        <v/>
      </c>
      <c r="D216" s="153" t="str">
        <v/>
      </c>
      <c r="E216" s="153" t="str">
        <v/>
      </c>
      <c r="F216" s="153" t="str">
        <v/>
      </c>
      <c r="G216" s="153" t="str">
        <v/>
      </c>
      <c r="H216" s="153" t="str">
        <v/>
      </c>
      <c r="I216" s="153" t="str">
        <v/>
      </c>
      <c r="J216" s="153" t="str">
        <v/>
      </c>
      <c r="K216" s="153" t="str">
        <v/>
      </c>
      <c r="L216" s="153" t="str">
        <v/>
      </c>
      <c r="M216" s="153" t="str">
        <v/>
      </c>
      <c r="N216" s="153" t="str">
        <v/>
      </c>
      <c r="O216" s="153" t="str">
        <v/>
      </c>
      <c r="P216" s="153" t="str">
        <v/>
      </c>
    </row>
    <row r="217" spans="1:16" x14ac:dyDescent="0.2">
      <c r="A217" s="58" t="str">
        <v/>
      </c>
      <c r="B217" s="131" t="str">
        <f>IFERROR(TIMEVALUE(DaqBook_RAW_Data!Q207),IFERROR(TIMEVALUE(DaqBook_RAW_Data!A207),""))</f>
        <v/>
      </c>
      <c r="C217" s="153" t="str">
        <v/>
      </c>
      <c r="D217" s="153" t="str">
        <v/>
      </c>
      <c r="E217" s="153" t="str">
        <v/>
      </c>
      <c r="F217" s="153" t="str">
        <v/>
      </c>
      <c r="G217" s="153" t="str">
        <v/>
      </c>
      <c r="H217" s="153" t="str">
        <v/>
      </c>
      <c r="I217" s="153" t="str">
        <v/>
      </c>
      <c r="J217" s="153" t="str">
        <v/>
      </c>
      <c r="K217" s="153" t="str">
        <v/>
      </c>
      <c r="L217" s="153" t="str">
        <v/>
      </c>
      <c r="M217" s="153" t="str">
        <v/>
      </c>
      <c r="N217" s="153" t="str">
        <v/>
      </c>
      <c r="O217" s="153" t="str">
        <v/>
      </c>
      <c r="P217" s="153" t="str">
        <v/>
      </c>
    </row>
    <row r="218" spans="1:16" x14ac:dyDescent="0.2">
      <c r="A218" s="58" t="str">
        <v/>
      </c>
      <c r="B218" s="131" t="str">
        <f>IFERROR(TIMEVALUE(DaqBook_RAW_Data!Q208),IFERROR(TIMEVALUE(DaqBook_RAW_Data!A208),""))</f>
        <v/>
      </c>
      <c r="C218" s="153" t="str">
        <v/>
      </c>
      <c r="D218" s="153" t="str">
        <v/>
      </c>
      <c r="E218" s="153" t="str">
        <v/>
      </c>
      <c r="F218" s="153" t="str">
        <v/>
      </c>
      <c r="G218" s="153" t="str">
        <v/>
      </c>
      <c r="H218" s="153" t="str">
        <v/>
      </c>
      <c r="I218" s="153" t="str">
        <v/>
      </c>
      <c r="J218" s="153" t="str">
        <v/>
      </c>
      <c r="K218" s="153" t="str">
        <v/>
      </c>
      <c r="L218" s="153" t="str">
        <v/>
      </c>
      <c r="M218" s="153" t="str">
        <v/>
      </c>
      <c r="N218" s="153" t="str">
        <v/>
      </c>
      <c r="O218" s="153" t="str">
        <v/>
      </c>
      <c r="P218" s="153" t="str">
        <v/>
      </c>
    </row>
    <row r="219" spans="1:16" x14ac:dyDescent="0.2">
      <c r="A219" s="58" t="str">
        <v/>
      </c>
      <c r="B219" s="131" t="str">
        <f>IFERROR(TIMEVALUE(DaqBook_RAW_Data!Q209),IFERROR(TIMEVALUE(DaqBook_RAW_Data!A209),""))</f>
        <v/>
      </c>
      <c r="C219" s="153" t="str">
        <v/>
      </c>
      <c r="D219" s="153" t="str">
        <v/>
      </c>
      <c r="E219" s="153" t="str">
        <v/>
      </c>
      <c r="F219" s="153" t="str">
        <v/>
      </c>
      <c r="G219" s="153" t="str">
        <v/>
      </c>
      <c r="H219" s="153" t="str">
        <v/>
      </c>
      <c r="I219" s="153" t="str">
        <v/>
      </c>
      <c r="J219" s="153" t="str">
        <v/>
      </c>
      <c r="K219" s="153" t="str">
        <v/>
      </c>
      <c r="L219" s="153" t="str">
        <v/>
      </c>
      <c r="M219" s="153" t="str">
        <v/>
      </c>
      <c r="N219" s="153" t="str">
        <v/>
      </c>
      <c r="O219" s="153" t="str">
        <v/>
      </c>
      <c r="P219" s="153" t="str">
        <v/>
      </c>
    </row>
    <row r="220" spans="1:16" x14ac:dyDescent="0.2">
      <c r="A220" s="58" t="str">
        <v/>
      </c>
      <c r="B220" s="131" t="str">
        <f>IFERROR(TIMEVALUE(DaqBook_RAW_Data!Q210),IFERROR(TIMEVALUE(DaqBook_RAW_Data!A210),""))</f>
        <v/>
      </c>
      <c r="C220" s="153" t="str">
        <v/>
      </c>
      <c r="D220" s="153" t="str">
        <v/>
      </c>
      <c r="E220" s="153" t="str">
        <v/>
      </c>
      <c r="F220" s="153" t="str">
        <v/>
      </c>
      <c r="G220" s="153" t="str">
        <v/>
      </c>
      <c r="H220" s="153" t="str">
        <v/>
      </c>
      <c r="I220" s="153" t="str">
        <v/>
      </c>
      <c r="J220" s="153" t="str">
        <v/>
      </c>
      <c r="K220" s="153" t="str">
        <v/>
      </c>
      <c r="L220" s="153" t="str">
        <v/>
      </c>
      <c r="M220" s="153" t="str">
        <v/>
      </c>
      <c r="N220" s="153" t="str">
        <v/>
      </c>
      <c r="O220" s="153" t="str">
        <v/>
      </c>
      <c r="P220" s="153" t="str">
        <v/>
      </c>
    </row>
    <row r="221" spans="1:16" x14ac:dyDescent="0.2">
      <c r="A221" s="58" t="str">
        <v/>
      </c>
      <c r="B221" s="131" t="str">
        <f>IFERROR(TIMEVALUE(DaqBook_RAW_Data!Q211),IFERROR(TIMEVALUE(DaqBook_RAW_Data!A211),""))</f>
        <v/>
      </c>
      <c r="C221" s="153" t="str">
        <v/>
      </c>
      <c r="D221" s="153" t="str">
        <v/>
      </c>
      <c r="E221" s="153" t="str">
        <v/>
      </c>
      <c r="F221" s="153" t="str">
        <v/>
      </c>
      <c r="G221" s="153" t="str">
        <v/>
      </c>
      <c r="H221" s="153" t="str">
        <v/>
      </c>
      <c r="I221" s="153" t="str">
        <v/>
      </c>
      <c r="J221" s="153" t="str">
        <v/>
      </c>
      <c r="K221" s="153" t="str">
        <v/>
      </c>
      <c r="L221" s="153" t="str">
        <v/>
      </c>
      <c r="M221" s="153" t="str">
        <v/>
      </c>
      <c r="N221" s="153" t="str">
        <v/>
      </c>
      <c r="O221" s="153" t="str">
        <v/>
      </c>
      <c r="P221" s="153" t="str">
        <v/>
      </c>
    </row>
    <row r="222" spans="1:16" x14ac:dyDescent="0.2">
      <c r="A222" s="58" t="str">
        <v/>
      </c>
      <c r="B222" s="131" t="str">
        <f>IFERROR(TIMEVALUE(DaqBook_RAW_Data!Q212),IFERROR(TIMEVALUE(DaqBook_RAW_Data!A212),""))</f>
        <v/>
      </c>
      <c r="C222" s="153" t="str">
        <v/>
      </c>
      <c r="D222" s="153" t="str">
        <v/>
      </c>
      <c r="E222" s="153" t="str">
        <v/>
      </c>
      <c r="F222" s="153" t="str">
        <v/>
      </c>
      <c r="G222" s="153" t="str">
        <v/>
      </c>
      <c r="H222" s="153" t="str">
        <v/>
      </c>
      <c r="I222" s="153" t="str">
        <v/>
      </c>
      <c r="J222" s="153" t="str">
        <v/>
      </c>
      <c r="K222" s="153" t="str">
        <v/>
      </c>
      <c r="L222" s="153" t="str">
        <v/>
      </c>
      <c r="M222" s="153" t="str">
        <v/>
      </c>
      <c r="N222" s="153" t="str">
        <v/>
      </c>
      <c r="O222" s="153" t="str">
        <v/>
      </c>
      <c r="P222" s="153" t="str">
        <v/>
      </c>
    </row>
    <row r="223" spans="1:16" x14ac:dyDescent="0.2">
      <c r="A223" s="58" t="str">
        <v/>
      </c>
      <c r="B223" s="131" t="str">
        <f>IFERROR(TIMEVALUE(DaqBook_RAW_Data!Q213),IFERROR(TIMEVALUE(DaqBook_RAW_Data!A213),""))</f>
        <v/>
      </c>
      <c r="C223" s="153" t="str">
        <v/>
      </c>
      <c r="D223" s="153" t="str">
        <v/>
      </c>
      <c r="E223" s="153" t="str">
        <v/>
      </c>
      <c r="F223" s="153" t="str">
        <v/>
      </c>
      <c r="G223" s="153" t="str">
        <v/>
      </c>
      <c r="H223" s="153" t="str">
        <v/>
      </c>
      <c r="I223" s="153" t="str">
        <v/>
      </c>
      <c r="J223" s="153" t="str">
        <v/>
      </c>
      <c r="K223" s="153" t="str">
        <v/>
      </c>
      <c r="L223" s="153" t="str">
        <v/>
      </c>
      <c r="M223" s="153" t="str">
        <v/>
      </c>
      <c r="N223" s="153" t="str">
        <v/>
      </c>
      <c r="O223" s="153" t="str">
        <v/>
      </c>
      <c r="P223" s="153" t="str">
        <v/>
      </c>
    </row>
    <row r="224" spans="1:16" x14ac:dyDescent="0.2">
      <c r="A224" s="58" t="str">
        <v/>
      </c>
      <c r="B224" s="131" t="str">
        <f>IFERROR(TIMEVALUE(DaqBook_RAW_Data!Q214),IFERROR(TIMEVALUE(DaqBook_RAW_Data!A214),""))</f>
        <v/>
      </c>
      <c r="C224" s="153" t="str">
        <v/>
      </c>
      <c r="D224" s="153" t="str">
        <v/>
      </c>
      <c r="E224" s="153" t="str">
        <v/>
      </c>
      <c r="F224" s="153" t="str">
        <v/>
      </c>
      <c r="G224" s="153" t="str">
        <v/>
      </c>
      <c r="H224" s="153" t="str">
        <v/>
      </c>
      <c r="I224" s="153" t="str">
        <v/>
      </c>
      <c r="J224" s="153" t="str">
        <v/>
      </c>
      <c r="K224" s="153" t="str">
        <v/>
      </c>
      <c r="L224" s="153" t="str">
        <v/>
      </c>
      <c r="M224" s="153" t="str">
        <v/>
      </c>
      <c r="N224" s="153" t="str">
        <v/>
      </c>
      <c r="O224" s="153" t="str">
        <v/>
      </c>
      <c r="P224" s="153" t="str">
        <v/>
      </c>
    </row>
    <row r="225" spans="1:16" x14ac:dyDescent="0.2">
      <c r="A225" s="58" t="str">
        <v/>
      </c>
      <c r="B225" s="131" t="str">
        <f>IFERROR(TIMEVALUE(DaqBook_RAW_Data!Q215),IFERROR(TIMEVALUE(DaqBook_RAW_Data!A215),""))</f>
        <v/>
      </c>
      <c r="C225" s="153" t="str">
        <v/>
      </c>
      <c r="D225" s="153" t="str">
        <v/>
      </c>
      <c r="E225" s="153" t="str">
        <v/>
      </c>
      <c r="F225" s="153" t="str">
        <v/>
      </c>
      <c r="G225" s="153" t="str">
        <v/>
      </c>
      <c r="H225" s="153" t="str">
        <v/>
      </c>
      <c r="I225" s="153" t="str">
        <v/>
      </c>
      <c r="J225" s="153" t="str">
        <v/>
      </c>
      <c r="K225" s="153" t="str">
        <v/>
      </c>
      <c r="L225" s="153" t="str">
        <v/>
      </c>
      <c r="M225" s="153" t="str">
        <v/>
      </c>
      <c r="N225" s="153" t="str">
        <v/>
      </c>
      <c r="O225" s="153" t="str">
        <v/>
      </c>
      <c r="P225" s="153" t="str">
        <v/>
      </c>
    </row>
    <row r="226" spans="1:16" x14ac:dyDescent="0.2">
      <c r="A226" s="58" t="str">
        <v/>
      </c>
      <c r="B226" s="131" t="str">
        <f>IFERROR(TIMEVALUE(DaqBook_RAW_Data!Q216),IFERROR(TIMEVALUE(DaqBook_RAW_Data!A216),""))</f>
        <v/>
      </c>
      <c r="C226" s="153" t="str">
        <v/>
      </c>
      <c r="D226" s="153" t="str">
        <v/>
      </c>
      <c r="E226" s="153" t="str">
        <v/>
      </c>
      <c r="F226" s="153" t="str">
        <v/>
      </c>
      <c r="G226" s="153" t="str">
        <v/>
      </c>
      <c r="H226" s="153" t="str">
        <v/>
      </c>
      <c r="I226" s="153" t="str">
        <v/>
      </c>
      <c r="J226" s="153" t="str">
        <v/>
      </c>
      <c r="K226" s="153" t="str">
        <v/>
      </c>
      <c r="L226" s="153" t="str">
        <v/>
      </c>
      <c r="M226" s="153" t="str">
        <v/>
      </c>
      <c r="N226" s="153" t="str">
        <v/>
      </c>
      <c r="O226" s="153" t="str">
        <v/>
      </c>
      <c r="P226" s="153" t="str">
        <v/>
      </c>
    </row>
    <row r="227" spans="1:16" x14ac:dyDescent="0.2">
      <c r="A227" s="58" t="str">
        <v/>
      </c>
      <c r="B227" s="131" t="str">
        <f>IFERROR(TIMEVALUE(DaqBook_RAW_Data!Q217),IFERROR(TIMEVALUE(DaqBook_RAW_Data!A217),""))</f>
        <v/>
      </c>
      <c r="C227" s="153" t="str">
        <v/>
      </c>
      <c r="D227" s="153" t="str">
        <v/>
      </c>
      <c r="E227" s="153" t="str">
        <v/>
      </c>
      <c r="F227" s="153" t="str">
        <v/>
      </c>
      <c r="G227" s="153" t="str">
        <v/>
      </c>
      <c r="H227" s="153" t="str">
        <v/>
      </c>
      <c r="I227" s="153" t="str">
        <v/>
      </c>
      <c r="J227" s="153" t="str">
        <v/>
      </c>
      <c r="K227" s="153" t="str">
        <v/>
      </c>
      <c r="L227" s="153" t="str">
        <v/>
      </c>
      <c r="M227" s="153" t="str">
        <v/>
      </c>
      <c r="N227" s="153" t="str">
        <v/>
      </c>
      <c r="O227" s="153" t="str">
        <v/>
      </c>
      <c r="P227" s="153" t="str">
        <v/>
      </c>
    </row>
    <row r="228" spans="1:16" x14ac:dyDescent="0.2">
      <c r="A228" s="58" t="str">
        <v/>
      </c>
      <c r="B228" s="131" t="str">
        <f>IFERROR(TIMEVALUE(DaqBook_RAW_Data!Q218),IFERROR(TIMEVALUE(DaqBook_RAW_Data!A218),""))</f>
        <v/>
      </c>
      <c r="C228" s="153" t="str">
        <v/>
      </c>
      <c r="D228" s="153" t="str">
        <v/>
      </c>
      <c r="E228" s="153" t="str">
        <v/>
      </c>
      <c r="F228" s="153" t="str">
        <v/>
      </c>
      <c r="G228" s="153" t="str">
        <v/>
      </c>
      <c r="H228" s="153" t="str">
        <v/>
      </c>
      <c r="I228" s="153" t="str">
        <v/>
      </c>
      <c r="J228" s="153" t="str">
        <v/>
      </c>
      <c r="K228" s="153" t="str">
        <v/>
      </c>
      <c r="L228" s="153" t="str">
        <v/>
      </c>
      <c r="M228" s="153" t="str">
        <v/>
      </c>
      <c r="N228" s="153" t="str">
        <v/>
      </c>
      <c r="O228" s="153" t="str">
        <v/>
      </c>
      <c r="P228" s="153" t="str">
        <v/>
      </c>
    </row>
    <row r="229" spans="1:16" x14ac:dyDescent="0.2">
      <c r="A229" s="58" t="str">
        <v/>
      </c>
      <c r="B229" s="131" t="str">
        <f>IFERROR(TIMEVALUE(DaqBook_RAW_Data!Q219),IFERROR(TIMEVALUE(DaqBook_RAW_Data!A219),""))</f>
        <v/>
      </c>
      <c r="C229" s="153" t="str">
        <v/>
      </c>
      <c r="D229" s="153" t="str">
        <v/>
      </c>
      <c r="E229" s="153" t="str">
        <v/>
      </c>
      <c r="F229" s="153" t="str">
        <v/>
      </c>
      <c r="G229" s="153" t="str">
        <v/>
      </c>
      <c r="H229" s="153" t="str">
        <v/>
      </c>
      <c r="I229" s="153" t="str">
        <v/>
      </c>
      <c r="J229" s="153" t="str">
        <v/>
      </c>
      <c r="K229" s="153" t="str">
        <v/>
      </c>
      <c r="L229" s="153" t="str">
        <v/>
      </c>
      <c r="M229" s="153" t="str">
        <v/>
      </c>
      <c r="N229" s="153" t="str">
        <v/>
      </c>
      <c r="O229" s="153" t="str">
        <v/>
      </c>
      <c r="P229" s="153" t="str">
        <v/>
      </c>
    </row>
    <row r="230" spans="1:16" x14ac:dyDescent="0.2">
      <c r="A230" s="58" t="str">
        <v/>
      </c>
      <c r="B230" s="131" t="str">
        <f>IFERROR(TIMEVALUE(DaqBook_RAW_Data!Q220),IFERROR(TIMEVALUE(DaqBook_RAW_Data!A220),""))</f>
        <v/>
      </c>
      <c r="C230" s="153" t="str">
        <v/>
      </c>
      <c r="D230" s="153" t="str">
        <v/>
      </c>
      <c r="E230" s="153" t="str">
        <v/>
      </c>
      <c r="F230" s="153" t="str">
        <v/>
      </c>
      <c r="G230" s="153" t="str">
        <v/>
      </c>
      <c r="H230" s="153" t="str">
        <v/>
      </c>
      <c r="I230" s="153" t="str">
        <v/>
      </c>
      <c r="J230" s="153" t="str">
        <v/>
      </c>
      <c r="K230" s="153" t="str">
        <v/>
      </c>
      <c r="L230" s="153" t="str">
        <v/>
      </c>
      <c r="M230" s="153" t="str">
        <v/>
      </c>
      <c r="N230" s="153" t="str">
        <v/>
      </c>
      <c r="O230" s="153" t="str">
        <v/>
      </c>
      <c r="P230" s="153" t="str">
        <v/>
      </c>
    </row>
    <row r="231" spans="1:16" x14ac:dyDescent="0.2">
      <c r="A231" s="58" t="str">
        <v/>
      </c>
      <c r="B231" s="131" t="str">
        <f>IFERROR(TIMEVALUE(DaqBook_RAW_Data!Q221),IFERROR(TIMEVALUE(DaqBook_RAW_Data!A221),""))</f>
        <v/>
      </c>
      <c r="C231" s="153" t="str">
        <v/>
      </c>
      <c r="D231" s="153" t="str">
        <v/>
      </c>
      <c r="E231" s="153" t="str">
        <v/>
      </c>
      <c r="F231" s="153" t="str">
        <v/>
      </c>
      <c r="G231" s="153" t="str">
        <v/>
      </c>
      <c r="H231" s="153" t="str">
        <v/>
      </c>
      <c r="I231" s="153" t="str">
        <v/>
      </c>
      <c r="J231" s="153" t="str">
        <v/>
      </c>
      <c r="K231" s="153" t="str">
        <v/>
      </c>
      <c r="L231" s="153" t="str">
        <v/>
      </c>
      <c r="M231" s="153" t="str">
        <v/>
      </c>
      <c r="N231" s="153" t="str">
        <v/>
      </c>
      <c r="O231" s="153" t="str">
        <v/>
      </c>
      <c r="P231" s="153" t="str">
        <v/>
      </c>
    </row>
    <row r="232" spans="1:16" x14ac:dyDescent="0.2">
      <c r="A232" s="58" t="str">
        <v/>
      </c>
      <c r="B232" s="131" t="str">
        <f>IFERROR(TIMEVALUE(DaqBook_RAW_Data!Q222),IFERROR(TIMEVALUE(DaqBook_RAW_Data!A222),""))</f>
        <v/>
      </c>
      <c r="C232" s="153" t="str">
        <v/>
      </c>
      <c r="D232" s="153" t="str">
        <v/>
      </c>
      <c r="E232" s="153" t="str">
        <v/>
      </c>
      <c r="F232" s="153" t="str">
        <v/>
      </c>
      <c r="G232" s="153" t="str">
        <v/>
      </c>
      <c r="H232" s="153" t="str">
        <v/>
      </c>
      <c r="I232" s="153" t="str">
        <v/>
      </c>
      <c r="J232" s="153" t="str">
        <v/>
      </c>
      <c r="K232" s="153" t="str">
        <v/>
      </c>
      <c r="L232" s="153" t="str">
        <v/>
      </c>
      <c r="M232" s="153" t="str">
        <v/>
      </c>
      <c r="N232" s="153" t="str">
        <v/>
      </c>
      <c r="O232" s="153" t="str">
        <v/>
      </c>
      <c r="P232" s="153" t="str">
        <v/>
      </c>
    </row>
    <row r="233" spans="1:16" x14ac:dyDescent="0.2">
      <c r="A233" s="58" t="str">
        <v/>
      </c>
      <c r="B233" s="131" t="str">
        <f>IFERROR(TIMEVALUE(DaqBook_RAW_Data!Q223),IFERROR(TIMEVALUE(DaqBook_RAW_Data!A223),""))</f>
        <v/>
      </c>
      <c r="C233" s="153" t="str">
        <v/>
      </c>
      <c r="D233" s="153" t="str">
        <v/>
      </c>
      <c r="E233" s="153" t="str">
        <v/>
      </c>
      <c r="F233" s="153" t="str">
        <v/>
      </c>
      <c r="G233" s="153" t="str">
        <v/>
      </c>
      <c r="H233" s="153" t="str">
        <v/>
      </c>
      <c r="I233" s="153" t="str">
        <v/>
      </c>
      <c r="J233" s="153" t="str">
        <v/>
      </c>
      <c r="K233" s="153" t="str">
        <v/>
      </c>
      <c r="L233" s="153" t="str">
        <v/>
      </c>
      <c r="M233" s="153" t="str">
        <v/>
      </c>
      <c r="N233" s="153" t="str">
        <v/>
      </c>
      <c r="O233" s="153" t="str">
        <v/>
      </c>
      <c r="P233" s="153" t="str">
        <v/>
      </c>
    </row>
    <row r="234" spans="1:16" x14ac:dyDescent="0.2">
      <c r="A234" s="58" t="str">
        <v/>
      </c>
      <c r="B234" s="131" t="str">
        <f>IFERROR(TIMEVALUE(DaqBook_RAW_Data!Q224),IFERROR(TIMEVALUE(DaqBook_RAW_Data!A224),""))</f>
        <v/>
      </c>
      <c r="C234" s="153" t="str">
        <v/>
      </c>
      <c r="D234" s="153" t="str">
        <v/>
      </c>
      <c r="E234" s="153" t="str">
        <v/>
      </c>
      <c r="F234" s="153" t="str">
        <v/>
      </c>
      <c r="G234" s="153" t="str">
        <v/>
      </c>
      <c r="H234" s="153" t="str">
        <v/>
      </c>
      <c r="I234" s="153" t="str">
        <v/>
      </c>
      <c r="J234" s="153" t="str">
        <v/>
      </c>
      <c r="K234" s="153" t="str">
        <v/>
      </c>
      <c r="L234" s="153" t="str">
        <v/>
      </c>
      <c r="M234" s="153" t="str">
        <v/>
      </c>
      <c r="N234" s="153" t="str">
        <v/>
      </c>
      <c r="O234" s="153" t="str">
        <v/>
      </c>
      <c r="P234" s="153" t="str">
        <v/>
      </c>
    </row>
    <row r="235" spans="1:16" x14ac:dyDescent="0.2">
      <c r="A235" s="58" t="str">
        <v/>
      </c>
      <c r="B235" s="131" t="str">
        <f>IFERROR(TIMEVALUE(DaqBook_RAW_Data!Q225),IFERROR(TIMEVALUE(DaqBook_RAW_Data!A225),""))</f>
        <v/>
      </c>
      <c r="C235" s="153" t="str">
        <v/>
      </c>
      <c r="D235" s="153" t="str">
        <v/>
      </c>
      <c r="E235" s="153" t="str">
        <v/>
      </c>
      <c r="F235" s="153" t="str">
        <v/>
      </c>
      <c r="G235" s="153" t="str">
        <v/>
      </c>
      <c r="H235" s="153" t="str">
        <v/>
      </c>
      <c r="I235" s="153" t="str">
        <v/>
      </c>
      <c r="J235" s="153" t="str">
        <v/>
      </c>
      <c r="K235" s="153" t="str">
        <v/>
      </c>
      <c r="L235" s="153" t="str">
        <v/>
      </c>
      <c r="M235" s="153" t="str">
        <v/>
      </c>
      <c r="N235" s="153" t="str">
        <v/>
      </c>
      <c r="O235" s="153" t="str">
        <v/>
      </c>
      <c r="P235" s="153" t="str">
        <v/>
      </c>
    </row>
    <row r="236" spans="1:16" x14ac:dyDescent="0.2">
      <c r="A236" s="58" t="str">
        <v/>
      </c>
      <c r="B236" s="131" t="str">
        <f>IFERROR(TIMEVALUE(DaqBook_RAW_Data!Q226),IFERROR(TIMEVALUE(DaqBook_RAW_Data!A226),""))</f>
        <v/>
      </c>
      <c r="C236" s="153" t="str">
        <v/>
      </c>
      <c r="D236" s="153" t="str">
        <v/>
      </c>
      <c r="E236" s="153" t="str">
        <v/>
      </c>
      <c r="F236" s="153" t="str">
        <v/>
      </c>
      <c r="G236" s="153" t="str">
        <v/>
      </c>
      <c r="H236" s="153" t="str">
        <v/>
      </c>
      <c r="I236" s="153" t="str">
        <v/>
      </c>
      <c r="J236" s="153" t="str">
        <v/>
      </c>
      <c r="K236" s="153" t="str">
        <v/>
      </c>
      <c r="L236" s="153" t="str">
        <v/>
      </c>
      <c r="M236" s="153" t="str">
        <v/>
      </c>
      <c r="N236" s="153" t="str">
        <v/>
      </c>
      <c r="O236" s="153" t="str">
        <v/>
      </c>
      <c r="P236" s="153" t="str">
        <v/>
      </c>
    </row>
    <row r="237" spans="1:16" x14ac:dyDescent="0.2">
      <c r="A237" s="58" t="str">
        <v/>
      </c>
      <c r="B237" s="131" t="str">
        <f>IFERROR(TIMEVALUE(DaqBook_RAW_Data!Q227),IFERROR(TIMEVALUE(DaqBook_RAW_Data!A227),""))</f>
        <v/>
      </c>
      <c r="C237" s="153" t="str">
        <v/>
      </c>
      <c r="D237" s="153" t="str">
        <v/>
      </c>
      <c r="E237" s="153" t="str">
        <v/>
      </c>
      <c r="F237" s="153" t="str">
        <v/>
      </c>
      <c r="G237" s="153" t="str">
        <v/>
      </c>
      <c r="H237" s="153" t="str">
        <v/>
      </c>
      <c r="I237" s="153" t="str">
        <v/>
      </c>
      <c r="J237" s="153" t="str">
        <v/>
      </c>
      <c r="K237" s="153" t="str">
        <v/>
      </c>
      <c r="L237" s="153" t="str">
        <v/>
      </c>
      <c r="M237" s="153" t="str">
        <v/>
      </c>
      <c r="N237" s="153" t="str">
        <v/>
      </c>
      <c r="O237" s="153" t="str">
        <v/>
      </c>
      <c r="P237" s="153" t="str">
        <v/>
      </c>
    </row>
    <row r="238" spans="1:16" x14ac:dyDescent="0.2">
      <c r="A238" s="58" t="str">
        <v/>
      </c>
      <c r="B238" s="131" t="str">
        <f>IFERROR(TIMEVALUE(DaqBook_RAW_Data!Q228),IFERROR(TIMEVALUE(DaqBook_RAW_Data!A228),""))</f>
        <v/>
      </c>
      <c r="C238" s="153" t="str">
        <v/>
      </c>
      <c r="D238" s="153" t="str">
        <v/>
      </c>
      <c r="E238" s="153" t="str">
        <v/>
      </c>
      <c r="F238" s="153" t="str">
        <v/>
      </c>
      <c r="G238" s="153" t="str">
        <v/>
      </c>
      <c r="H238" s="153" t="str">
        <v/>
      </c>
      <c r="I238" s="153" t="str">
        <v/>
      </c>
      <c r="J238" s="153" t="str">
        <v/>
      </c>
      <c r="K238" s="153" t="str">
        <v/>
      </c>
      <c r="L238" s="153" t="str">
        <v/>
      </c>
      <c r="M238" s="153" t="str">
        <v/>
      </c>
      <c r="N238" s="153" t="str">
        <v/>
      </c>
      <c r="O238" s="153" t="str">
        <v/>
      </c>
      <c r="P238" s="153" t="str">
        <v/>
      </c>
    </row>
    <row r="239" spans="1:16" x14ac:dyDescent="0.2">
      <c r="A239" s="58" t="str">
        <v/>
      </c>
      <c r="B239" s="131" t="str">
        <f>IFERROR(TIMEVALUE(DaqBook_RAW_Data!Q229),IFERROR(TIMEVALUE(DaqBook_RAW_Data!A229),""))</f>
        <v/>
      </c>
      <c r="C239" s="153" t="str">
        <v/>
      </c>
      <c r="D239" s="153" t="str">
        <v/>
      </c>
      <c r="E239" s="153" t="str">
        <v/>
      </c>
      <c r="F239" s="153" t="str">
        <v/>
      </c>
      <c r="G239" s="153" t="str">
        <v/>
      </c>
      <c r="H239" s="153" t="str">
        <v/>
      </c>
      <c r="I239" s="153" t="str">
        <v/>
      </c>
      <c r="J239" s="153" t="str">
        <v/>
      </c>
      <c r="K239" s="153" t="str">
        <v/>
      </c>
      <c r="L239" s="153" t="str">
        <v/>
      </c>
      <c r="M239" s="153" t="str">
        <v/>
      </c>
      <c r="N239" s="153" t="str">
        <v/>
      </c>
      <c r="O239" s="153" t="str">
        <v/>
      </c>
      <c r="P239" s="153" t="str">
        <v/>
      </c>
    </row>
    <row r="240" spans="1:16" x14ac:dyDescent="0.2">
      <c r="A240" s="58" t="str">
        <v/>
      </c>
      <c r="B240" s="131" t="str">
        <f>IFERROR(TIMEVALUE(DaqBook_RAW_Data!Q230),IFERROR(TIMEVALUE(DaqBook_RAW_Data!A230),""))</f>
        <v/>
      </c>
      <c r="C240" s="153" t="str">
        <v/>
      </c>
      <c r="D240" s="153" t="str">
        <v/>
      </c>
      <c r="E240" s="153" t="str">
        <v/>
      </c>
      <c r="F240" s="153" t="str">
        <v/>
      </c>
      <c r="G240" s="153" t="str">
        <v/>
      </c>
      <c r="H240" s="153" t="str">
        <v/>
      </c>
      <c r="I240" s="153" t="str">
        <v/>
      </c>
      <c r="J240" s="153" t="str">
        <v/>
      </c>
      <c r="K240" s="153" t="str">
        <v/>
      </c>
      <c r="L240" s="153" t="str">
        <v/>
      </c>
      <c r="M240" s="153" t="str">
        <v/>
      </c>
      <c r="N240" s="153" t="str">
        <v/>
      </c>
      <c r="O240" s="153" t="str">
        <v/>
      </c>
      <c r="P240" s="153" t="str">
        <v/>
      </c>
    </row>
    <row r="241" spans="1:16" x14ac:dyDescent="0.2">
      <c r="A241" s="58" t="str">
        <v/>
      </c>
      <c r="B241" s="131" t="str">
        <f>IFERROR(TIMEVALUE(DaqBook_RAW_Data!Q231),IFERROR(TIMEVALUE(DaqBook_RAW_Data!A231),""))</f>
        <v/>
      </c>
      <c r="C241" s="153" t="str">
        <v/>
      </c>
      <c r="D241" s="153" t="str">
        <v/>
      </c>
      <c r="E241" s="153" t="str">
        <v/>
      </c>
      <c r="F241" s="153" t="str">
        <v/>
      </c>
      <c r="G241" s="153" t="str">
        <v/>
      </c>
      <c r="H241" s="153" t="str">
        <v/>
      </c>
      <c r="I241" s="153" t="str">
        <v/>
      </c>
      <c r="J241" s="153" t="str">
        <v/>
      </c>
      <c r="K241" s="153" t="str">
        <v/>
      </c>
      <c r="L241" s="153" t="str">
        <v/>
      </c>
      <c r="M241" s="153" t="str">
        <v/>
      </c>
      <c r="N241" s="153" t="str">
        <v/>
      </c>
      <c r="O241" s="153" t="str">
        <v/>
      </c>
      <c r="P241" s="153" t="str">
        <v/>
      </c>
    </row>
    <row r="242" spans="1:16" x14ac:dyDescent="0.2">
      <c r="A242" s="58" t="str">
        <v/>
      </c>
      <c r="B242" s="131" t="str">
        <f>IFERROR(TIMEVALUE(DaqBook_RAW_Data!Q232),IFERROR(TIMEVALUE(DaqBook_RAW_Data!A232),""))</f>
        <v/>
      </c>
      <c r="C242" s="153" t="str">
        <v/>
      </c>
      <c r="D242" s="153" t="str">
        <v/>
      </c>
      <c r="E242" s="153" t="str">
        <v/>
      </c>
      <c r="F242" s="153" t="str">
        <v/>
      </c>
      <c r="G242" s="153" t="str">
        <v/>
      </c>
      <c r="H242" s="153" t="str">
        <v/>
      </c>
      <c r="I242" s="153" t="str">
        <v/>
      </c>
      <c r="J242" s="153" t="str">
        <v/>
      </c>
      <c r="K242" s="153" t="str">
        <v/>
      </c>
      <c r="L242" s="153" t="str">
        <v/>
      </c>
      <c r="M242" s="153" t="str">
        <v/>
      </c>
      <c r="N242" s="153" t="str">
        <v/>
      </c>
      <c r="O242" s="153" t="str">
        <v/>
      </c>
      <c r="P242" s="153" t="str">
        <v/>
      </c>
    </row>
    <row r="243" spans="1:16" x14ac:dyDescent="0.2">
      <c r="A243" s="58" t="str">
        <v/>
      </c>
      <c r="B243" s="131" t="str">
        <f>IFERROR(TIMEVALUE(DaqBook_RAW_Data!Q233),IFERROR(TIMEVALUE(DaqBook_RAW_Data!A233),""))</f>
        <v/>
      </c>
      <c r="C243" s="153" t="str">
        <v/>
      </c>
      <c r="D243" s="153" t="str">
        <v/>
      </c>
      <c r="E243" s="153" t="str">
        <v/>
      </c>
      <c r="F243" s="153" t="str">
        <v/>
      </c>
      <c r="G243" s="153" t="str">
        <v/>
      </c>
      <c r="H243" s="153" t="str">
        <v/>
      </c>
      <c r="I243" s="153" t="str">
        <v/>
      </c>
      <c r="J243" s="153" t="str">
        <v/>
      </c>
      <c r="K243" s="153" t="str">
        <v/>
      </c>
      <c r="L243" s="153" t="str">
        <v/>
      </c>
      <c r="M243" s="153" t="str">
        <v/>
      </c>
      <c r="N243" s="153" t="str">
        <v/>
      </c>
      <c r="O243" s="153" t="str">
        <v/>
      </c>
      <c r="P243" s="153" t="str">
        <v/>
      </c>
    </row>
    <row r="244" spans="1:16" x14ac:dyDescent="0.2">
      <c r="A244" s="58" t="str">
        <v/>
      </c>
      <c r="B244" s="131" t="str">
        <f>IFERROR(TIMEVALUE(DaqBook_RAW_Data!Q234),IFERROR(TIMEVALUE(DaqBook_RAW_Data!A234),""))</f>
        <v/>
      </c>
      <c r="C244" s="153" t="str">
        <v/>
      </c>
      <c r="D244" s="153" t="str">
        <v/>
      </c>
      <c r="E244" s="153" t="str">
        <v/>
      </c>
      <c r="F244" s="153" t="str">
        <v/>
      </c>
      <c r="G244" s="153" t="str">
        <v/>
      </c>
      <c r="H244" s="153" t="str">
        <v/>
      </c>
      <c r="I244" s="153" t="str">
        <v/>
      </c>
      <c r="J244" s="153" t="str">
        <v/>
      </c>
      <c r="K244" s="153" t="str">
        <v/>
      </c>
      <c r="L244" s="153" t="str">
        <v/>
      </c>
      <c r="M244" s="153" t="str">
        <v/>
      </c>
      <c r="N244" s="153" t="str">
        <v/>
      </c>
      <c r="O244" s="153" t="str">
        <v/>
      </c>
      <c r="P244" s="153" t="str">
        <v/>
      </c>
    </row>
    <row r="245" spans="1:16" x14ac:dyDescent="0.2">
      <c r="A245" s="58" t="str">
        <v/>
      </c>
      <c r="B245" s="131" t="str">
        <f>IFERROR(TIMEVALUE(DaqBook_RAW_Data!Q235),IFERROR(TIMEVALUE(DaqBook_RAW_Data!A235),""))</f>
        <v/>
      </c>
      <c r="C245" s="153" t="str">
        <v/>
      </c>
      <c r="D245" s="153" t="str">
        <v/>
      </c>
      <c r="E245" s="153" t="str">
        <v/>
      </c>
      <c r="F245" s="153" t="str">
        <v/>
      </c>
      <c r="G245" s="153" t="str">
        <v/>
      </c>
      <c r="H245" s="153" t="str">
        <v/>
      </c>
      <c r="I245" s="153" t="str">
        <v/>
      </c>
      <c r="J245" s="153" t="str">
        <v/>
      </c>
      <c r="K245" s="153" t="str">
        <v/>
      </c>
      <c r="L245" s="153" t="str">
        <v/>
      </c>
      <c r="M245" s="153" t="str">
        <v/>
      </c>
      <c r="N245" s="153" t="str">
        <v/>
      </c>
      <c r="O245" s="153" t="str">
        <v/>
      </c>
      <c r="P245" s="153" t="str">
        <v/>
      </c>
    </row>
    <row r="246" spans="1:16" x14ac:dyDescent="0.2">
      <c r="A246" s="58" t="str">
        <v/>
      </c>
      <c r="B246" s="131" t="str">
        <f>IFERROR(TIMEVALUE(DaqBook_RAW_Data!Q236),IFERROR(TIMEVALUE(DaqBook_RAW_Data!A236),""))</f>
        <v/>
      </c>
      <c r="C246" s="153" t="str">
        <v/>
      </c>
      <c r="D246" s="153" t="str">
        <v/>
      </c>
      <c r="E246" s="153" t="str">
        <v/>
      </c>
      <c r="F246" s="153" t="str">
        <v/>
      </c>
      <c r="G246" s="153" t="str">
        <v/>
      </c>
      <c r="H246" s="153" t="str">
        <v/>
      </c>
      <c r="I246" s="153" t="str">
        <v/>
      </c>
      <c r="J246" s="153" t="str">
        <v/>
      </c>
      <c r="K246" s="153" t="str">
        <v/>
      </c>
      <c r="L246" s="153" t="str">
        <v/>
      </c>
      <c r="M246" s="153" t="str">
        <v/>
      </c>
      <c r="N246" s="153" t="str">
        <v/>
      </c>
      <c r="O246" s="153" t="str">
        <v/>
      </c>
      <c r="P246" s="153" t="str">
        <v/>
      </c>
    </row>
    <row r="247" spans="1:16" x14ac:dyDescent="0.2">
      <c r="A247" s="58" t="str">
        <v/>
      </c>
      <c r="B247" s="131" t="str">
        <f>IFERROR(TIMEVALUE(DaqBook_RAW_Data!Q237),IFERROR(TIMEVALUE(DaqBook_RAW_Data!A237),""))</f>
        <v/>
      </c>
      <c r="C247" s="153" t="str">
        <v/>
      </c>
      <c r="D247" s="153" t="str">
        <v/>
      </c>
      <c r="E247" s="153" t="str">
        <v/>
      </c>
      <c r="F247" s="153" t="str">
        <v/>
      </c>
      <c r="G247" s="153" t="str">
        <v/>
      </c>
      <c r="H247" s="153" t="str">
        <v/>
      </c>
      <c r="I247" s="153" t="str">
        <v/>
      </c>
      <c r="J247" s="153" t="str">
        <v/>
      </c>
      <c r="K247" s="153" t="str">
        <v/>
      </c>
      <c r="L247" s="153" t="str">
        <v/>
      </c>
      <c r="M247" s="153" t="str">
        <v/>
      </c>
      <c r="N247" s="153" t="str">
        <v/>
      </c>
      <c r="O247" s="153" t="str">
        <v/>
      </c>
      <c r="P247" s="153" t="str">
        <v/>
      </c>
    </row>
    <row r="248" spans="1:16" x14ac:dyDescent="0.2">
      <c r="A248" s="58" t="str">
        <v/>
      </c>
      <c r="B248" s="131" t="str">
        <f>IFERROR(TIMEVALUE(DaqBook_RAW_Data!Q238),IFERROR(TIMEVALUE(DaqBook_RAW_Data!A238),""))</f>
        <v/>
      </c>
      <c r="C248" s="153" t="str">
        <v/>
      </c>
      <c r="D248" s="153" t="str">
        <v/>
      </c>
      <c r="E248" s="153" t="str">
        <v/>
      </c>
      <c r="F248" s="153" t="str">
        <v/>
      </c>
      <c r="G248" s="153" t="str">
        <v/>
      </c>
      <c r="H248" s="153" t="str">
        <v/>
      </c>
      <c r="I248" s="153" t="str">
        <v/>
      </c>
      <c r="J248" s="153" t="str">
        <v/>
      </c>
      <c r="K248" s="153" t="str">
        <v/>
      </c>
      <c r="L248" s="153" t="str">
        <v/>
      </c>
      <c r="M248" s="153" t="str">
        <v/>
      </c>
      <c r="N248" s="153" t="str">
        <v/>
      </c>
      <c r="O248" s="153" t="str">
        <v/>
      </c>
      <c r="P248" s="153" t="str">
        <v/>
      </c>
    </row>
    <row r="249" spans="1:16" x14ac:dyDescent="0.2">
      <c r="A249" s="58" t="str">
        <v/>
      </c>
      <c r="B249" s="131" t="str">
        <f>IFERROR(TIMEVALUE(DaqBook_RAW_Data!Q239),IFERROR(TIMEVALUE(DaqBook_RAW_Data!A239),""))</f>
        <v/>
      </c>
      <c r="C249" s="153" t="str">
        <v/>
      </c>
      <c r="D249" s="153" t="str">
        <v/>
      </c>
      <c r="E249" s="153" t="str">
        <v/>
      </c>
      <c r="F249" s="153" t="str">
        <v/>
      </c>
      <c r="G249" s="153" t="str">
        <v/>
      </c>
      <c r="H249" s="153" t="str">
        <v/>
      </c>
      <c r="I249" s="153" t="str">
        <v/>
      </c>
      <c r="J249" s="153" t="str">
        <v/>
      </c>
      <c r="K249" s="153" t="str">
        <v/>
      </c>
      <c r="L249" s="153" t="str">
        <v/>
      </c>
      <c r="M249" s="153" t="str">
        <v/>
      </c>
      <c r="N249" s="153" t="str">
        <v/>
      </c>
      <c r="O249" s="153" t="str">
        <v/>
      </c>
      <c r="P249" s="153" t="str">
        <v/>
      </c>
    </row>
    <row r="250" spans="1:16" x14ac:dyDescent="0.2">
      <c r="A250" s="58" t="str">
        <v/>
      </c>
      <c r="B250" s="131" t="str">
        <f>IFERROR(TIMEVALUE(DaqBook_RAW_Data!Q240),IFERROR(TIMEVALUE(DaqBook_RAW_Data!A240),""))</f>
        <v/>
      </c>
      <c r="C250" s="153" t="str">
        <v/>
      </c>
      <c r="D250" s="153" t="str">
        <v/>
      </c>
      <c r="E250" s="153" t="str">
        <v/>
      </c>
      <c r="F250" s="153" t="str">
        <v/>
      </c>
      <c r="G250" s="153" t="str">
        <v/>
      </c>
      <c r="H250" s="153" t="str">
        <v/>
      </c>
      <c r="I250" s="153" t="str">
        <v/>
      </c>
      <c r="J250" s="153" t="str">
        <v/>
      </c>
      <c r="K250" s="153" t="str">
        <v/>
      </c>
      <c r="L250" s="153" t="str">
        <v/>
      </c>
      <c r="M250" s="153" t="str">
        <v/>
      </c>
      <c r="N250" s="153" t="str">
        <v/>
      </c>
      <c r="O250" s="153" t="str">
        <v/>
      </c>
      <c r="P250" s="153" t="str">
        <v/>
      </c>
    </row>
    <row r="251" spans="1:16" x14ac:dyDescent="0.2">
      <c r="A251" s="58" t="str">
        <v/>
      </c>
      <c r="B251" s="131" t="str">
        <f>IFERROR(TIMEVALUE(DaqBook_RAW_Data!Q241),IFERROR(TIMEVALUE(DaqBook_RAW_Data!A241),""))</f>
        <v/>
      </c>
      <c r="C251" s="153" t="str">
        <v/>
      </c>
      <c r="D251" s="153" t="str">
        <v/>
      </c>
      <c r="E251" s="153" t="str">
        <v/>
      </c>
      <c r="F251" s="153" t="str">
        <v/>
      </c>
      <c r="G251" s="153" t="str">
        <v/>
      </c>
      <c r="H251" s="153" t="str">
        <v/>
      </c>
      <c r="I251" s="153" t="str">
        <v/>
      </c>
      <c r="J251" s="153" t="str">
        <v/>
      </c>
      <c r="K251" s="153" t="str">
        <v/>
      </c>
      <c r="L251" s="153" t="str">
        <v/>
      </c>
      <c r="M251" s="153" t="str">
        <v/>
      </c>
      <c r="N251" s="153" t="str">
        <v/>
      </c>
      <c r="O251" s="153" t="str">
        <v/>
      </c>
      <c r="P251" s="153" t="str">
        <v/>
      </c>
    </row>
    <row r="252" spans="1:16" x14ac:dyDescent="0.2">
      <c r="A252" s="58" t="str">
        <v/>
      </c>
      <c r="B252" s="131" t="str">
        <f>IFERROR(TIMEVALUE(DaqBook_RAW_Data!Q242),IFERROR(TIMEVALUE(DaqBook_RAW_Data!A242),""))</f>
        <v/>
      </c>
      <c r="C252" s="153" t="str">
        <v/>
      </c>
      <c r="D252" s="153" t="str">
        <v/>
      </c>
      <c r="E252" s="153" t="str">
        <v/>
      </c>
      <c r="F252" s="153" t="str">
        <v/>
      </c>
      <c r="G252" s="153" t="str">
        <v/>
      </c>
      <c r="H252" s="153" t="str">
        <v/>
      </c>
      <c r="I252" s="153" t="str">
        <v/>
      </c>
      <c r="J252" s="153" t="str">
        <v/>
      </c>
      <c r="K252" s="153" t="str">
        <v/>
      </c>
      <c r="L252" s="153" t="str">
        <v/>
      </c>
      <c r="M252" s="153" t="str">
        <v/>
      </c>
      <c r="N252" s="153" t="str">
        <v/>
      </c>
      <c r="O252" s="153" t="str">
        <v/>
      </c>
      <c r="P252" s="153" t="str">
        <v/>
      </c>
    </row>
    <row r="253" spans="1:16" x14ac:dyDescent="0.2">
      <c r="A253" s="58" t="str">
        <v/>
      </c>
      <c r="B253" s="131" t="str">
        <f>IFERROR(TIMEVALUE(DaqBook_RAW_Data!Q243),IFERROR(TIMEVALUE(DaqBook_RAW_Data!A243),""))</f>
        <v/>
      </c>
      <c r="C253" s="153" t="str">
        <v/>
      </c>
      <c r="D253" s="153" t="str">
        <v/>
      </c>
      <c r="E253" s="153" t="str">
        <v/>
      </c>
      <c r="F253" s="153" t="str">
        <v/>
      </c>
      <c r="G253" s="153" t="str">
        <v/>
      </c>
      <c r="H253" s="153" t="str">
        <v/>
      </c>
      <c r="I253" s="153" t="str">
        <v/>
      </c>
      <c r="J253" s="153" t="str">
        <v/>
      </c>
      <c r="K253" s="153" t="str">
        <v/>
      </c>
      <c r="L253" s="153" t="str">
        <v/>
      </c>
      <c r="M253" s="153" t="str">
        <v/>
      </c>
      <c r="N253" s="153" t="str">
        <v/>
      </c>
      <c r="O253" s="153" t="str">
        <v/>
      </c>
      <c r="P253" s="153" t="str">
        <v/>
      </c>
    </row>
    <row r="254" spans="1:16" x14ac:dyDescent="0.2">
      <c r="A254" s="58" t="str">
        <v/>
      </c>
      <c r="B254" s="131" t="str">
        <f>IFERROR(TIMEVALUE(DaqBook_RAW_Data!Q244),IFERROR(TIMEVALUE(DaqBook_RAW_Data!A244),""))</f>
        <v/>
      </c>
      <c r="C254" s="153" t="str">
        <v/>
      </c>
      <c r="D254" s="153" t="str">
        <v/>
      </c>
      <c r="E254" s="153" t="str">
        <v/>
      </c>
      <c r="F254" s="153" t="str">
        <v/>
      </c>
      <c r="G254" s="153" t="str">
        <v/>
      </c>
      <c r="H254" s="153" t="str">
        <v/>
      </c>
      <c r="I254" s="153" t="str">
        <v/>
      </c>
      <c r="J254" s="153" t="str">
        <v/>
      </c>
      <c r="K254" s="153" t="str">
        <v/>
      </c>
      <c r="L254" s="153" t="str">
        <v/>
      </c>
      <c r="M254" s="153" t="str">
        <v/>
      </c>
      <c r="N254" s="153" t="str">
        <v/>
      </c>
      <c r="O254" s="153" t="str">
        <v/>
      </c>
      <c r="P254" s="153" t="str">
        <v/>
      </c>
    </row>
    <row r="255" spans="1:16" x14ac:dyDescent="0.2">
      <c r="A255" s="58" t="str">
        <v/>
      </c>
      <c r="B255" s="131" t="str">
        <f>IFERROR(TIMEVALUE(DaqBook_RAW_Data!Q245),IFERROR(TIMEVALUE(DaqBook_RAW_Data!A245),""))</f>
        <v/>
      </c>
      <c r="C255" s="153" t="str">
        <v/>
      </c>
      <c r="D255" s="153" t="str">
        <v/>
      </c>
      <c r="E255" s="153" t="str">
        <v/>
      </c>
      <c r="F255" s="153" t="str">
        <v/>
      </c>
      <c r="G255" s="153" t="str">
        <v/>
      </c>
      <c r="H255" s="153" t="str">
        <v/>
      </c>
      <c r="I255" s="153" t="str">
        <v/>
      </c>
      <c r="J255" s="153" t="str">
        <v/>
      </c>
      <c r="K255" s="153" t="str">
        <v/>
      </c>
      <c r="L255" s="153" t="str">
        <v/>
      </c>
      <c r="M255" s="153" t="str">
        <v/>
      </c>
      <c r="N255" s="153" t="str">
        <v/>
      </c>
      <c r="O255" s="153" t="str">
        <v/>
      </c>
      <c r="P255" s="153" t="str">
        <v/>
      </c>
    </row>
    <row r="256" spans="1:16" x14ac:dyDescent="0.2">
      <c r="A256" s="58" t="str">
        <v/>
      </c>
      <c r="B256" s="131" t="str">
        <f>IFERROR(TIMEVALUE(DaqBook_RAW_Data!Q246),IFERROR(TIMEVALUE(DaqBook_RAW_Data!A246),""))</f>
        <v/>
      </c>
      <c r="C256" s="153" t="str">
        <v/>
      </c>
      <c r="D256" s="153" t="str">
        <v/>
      </c>
      <c r="E256" s="153" t="str">
        <v/>
      </c>
      <c r="F256" s="153" t="str">
        <v/>
      </c>
      <c r="G256" s="153" t="str">
        <v/>
      </c>
      <c r="H256" s="153" t="str">
        <v/>
      </c>
      <c r="I256" s="153" t="str">
        <v/>
      </c>
      <c r="J256" s="153" t="str">
        <v/>
      </c>
      <c r="K256" s="153" t="str">
        <v/>
      </c>
      <c r="L256" s="153" t="str">
        <v/>
      </c>
      <c r="M256" s="153" t="str">
        <v/>
      </c>
      <c r="N256" s="153" t="str">
        <v/>
      </c>
      <c r="O256" s="153" t="str">
        <v/>
      </c>
      <c r="P256" s="153" t="str">
        <v/>
      </c>
    </row>
    <row r="257" spans="1:16" x14ac:dyDescent="0.2">
      <c r="A257" s="58" t="str">
        <v/>
      </c>
      <c r="B257" s="131" t="str">
        <f>IFERROR(TIMEVALUE(DaqBook_RAW_Data!Q247),IFERROR(TIMEVALUE(DaqBook_RAW_Data!A247),""))</f>
        <v/>
      </c>
      <c r="C257" s="153" t="str">
        <v/>
      </c>
      <c r="D257" s="153" t="str">
        <v/>
      </c>
      <c r="E257" s="153" t="str">
        <v/>
      </c>
      <c r="F257" s="153" t="str">
        <v/>
      </c>
      <c r="G257" s="153" t="str">
        <v/>
      </c>
      <c r="H257" s="153" t="str">
        <v/>
      </c>
      <c r="I257" s="153" t="str">
        <v/>
      </c>
      <c r="J257" s="153" t="str">
        <v/>
      </c>
      <c r="K257" s="153" t="str">
        <v/>
      </c>
      <c r="L257" s="153" t="str">
        <v/>
      </c>
      <c r="M257" s="153" t="str">
        <v/>
      </c>
      <c r="N257" s="153" t="str">
        <v/>
      </c>
      <c r="O257" s="153" t="str">
        <v/>
      </c>
      <c r="P257" s="153" t="str">
        <v/>
      </c>
    </row>
    <row r="258" spans="1:16" x14ac:dyDescent="0.2">
      <c r="A258" s="58" t="str">
        <v/>
      </c>
      <c r="B258" s="131" t="str">
        <f>IFERROR(TIMEVALUE(DaqBook_RAW_Data!Q248),IFERROR(TIMEVALUE(DaqBook_RAW_Data!A248),""))</f>
        <v/>
      </c>
      <c r="C258" s="153" t="str">
        <v/>
      </c>
      <c r="D258" s="153" t="str">
        <v/>
      </c>
      <c r="E258" s="153" t="str">
        <v/>
      </c>
      <c r="F258" s="153" t="str">
        <v/>
      </c>
      <c r="G258" s="153" t="str">
        <v/>
      </c>
      <c r="H258" s="153" t="str">
        <v/>
      </c>
      <c r="I258" s="153" t="str">
        <v/>
      </c>
      <c r="J258" s="153" t="str">
        <v/>
      </c>
      <c r="K258" s="153" t="str">
        <v/>
      </c>
      <c r="L258" s="153" t="str">
        <v/>
      </c>
      <c r="M258" s="153" t="str">
        <v/>
      </c>
      <c r="N258" s="153" t="str">
        <v/>
      </c>
      <c r="O258" s="153" t="str">
        <v/>
      </c>
      <c r="P258" s="153" t="str">
        <v/>
      </c>
    </row>
    <row r="259" spans="1:16" x14ac:dyDescent="0.2">
      <c r="A259" s="58" t="str">
        <v/>
      </c>
      <c r="B259" s="131" t="str">
        <f>IFERROR(TIMEVALUE(DaqBook_RAW_Data!Q249),IFERROR(TIMEVALUE(DaqBook_RAW_Data!A249),""))</f>
        <v/>
      </c>
      <c r="C259" s="153" t="str">
        <v/>
      </c>
      <c r="D259" s="153" t="str">
        <v/>
      </c>
      <c r="E259" s="153" t="str">
        <v/>
      </c>
      <c r="F259" s="153" t="str">
        <v/>
      </c>
      <c r="G259" s="153" t="str">
        <v/>
      </c>
      <c r="H259" s="153" t="str">
        <v/>
      </c>
      <c r="I259" s="153" t="str">
        <v/>
      </c>
      <c r="J259" s="153" t="str">
        <v/>
      </c>
      <c r="K259" s="153" t="str">
        <v/>
      </c>
      <c r="L259" s="153" t="str">
        <v/>
      </c>
      <c r="M259" s="153" t="str">
        <v/>
      </c>
      <c r="N259" s="153" t="str">
        <v/>
      </c>
      <c r="O259" s="153" t="str">
        <v/>
      </c>
      <c r="P259" s="153" t="str">
        <v/>
      </c>
    </row>
    <row r="260" spans="1:16" x14ac:dyDescent="0.2">
      <c r="A260" s="58" t="str">
        <v/>
      </c>
      <c r="B260" s="131" t="str">
        <f>IFERROR(TIMEVALUE(DaqBook_RAW_Data!Q250),IFERROR(TIMEVALUE(DaqBook_RAW_Data!A250),""))</f>
        <v/>
      </c>
      <c r="C260" s="153" t="str">
        <v/>
      </c>
      <c r="D260" s="153" t="str">
        <v/>
      </c>
      <c r="E260" s="153" t="str">
        <v/>
      </c>
      <c r="F260" s="153" t="str">
        <v/>
      </c>
      <c r="G260" s="153" t="str">
        <v/>
      </c>
      <c r="H260" s="153" t="str">
        <v/>
      </c>
      <c r="I260" s="153" t="str">
        <v/>
      </c>
      <c r="J260" s="153" t="str">
        <v/>
      </c>
      <c r="K260" s="153" t="str">
        <v/>
      </c>
      <c r="L260" s="153" t="str">
        <v/>
      </c>
      <c r="M260" s="153" t="str">
        <v/>
      </c>
      <c r="N260" s="153" t="str">
        <v/>
      </c>
      <c r="O260" s="153" t="str">
        <v/>
      </c>
      <c r="P260" s="153" t="str">
        <v/>
      </c>
    </row>
    <row r="261" spans="1:16" x14ac:dyDescent="0.2">
      <c r="A261" s="58" t="str">
        <v/>
      </c>
      <c r="B261" s="131" t="str">
        <f>IFERROR(TIMEVALUE(DaqBook_RAW_Data!Q251),IFERROR(TIMEVALUE(DaqBook_RAW_Data!A251),""))</f>
        <v/>
      </c>
      <c r="C261" s="153" t="str">
        <v/>
      </c>
      <c r="D261" s="153" t="str">
        <v/>
      </c>
      <c r="E261" s="153" t="str">
        <v/>
      </c>
      <c r="F261" s="153" t="str">
        <v/>
      </c>
      <c r="G261" s="153" t="str">
        <v/>
      </c>
      <c r="H261" s="153" t="str">
        <v/>
      </c>
      <c r="I261" s="153" t="str">
        <v/>
      </c>
      <c r="J261" s="153" t="str">
        <v/>
      </c>
      <c r="K261" s="153" t="str">
        <v/>
      </c>
      <c r="L261" s="153" t="str">
        <v/>
      </c>
      <c r="M261" s="153" t="str">
        <v/>
      </c>
      <c r="N261" s="153" t="str">
        <v/>
      </c>
      <c r="O261" s="153" t="str">
        <v/>
      </c>
      <c r="P261" s="153" t="str">
        <v/>
      </c>
    </row>
    <row r="262" spans="1:16" x14ac:dyDescent="0.2">
      <c r="A262" s="58" t="str">
        <v/>
      </c>
      <c r="B262" s="131" t="str">
        <f>IFERROR(TIMEVALUE(DaqBook_RAW_Data!Q252),IFERROR(TIMEVALUE(DaqBook_RAW_Data!A252),""))</f>
        <v/>
      </c>
      <c r="C262" s="153" t="str">
        <v/>
      </c>
      <c r="D262" s="153" t="str">
        <v/>
      </c>
      <c r="E262" s="153" t="str">
        <v/>
      </c>
      <c r="F262" s="153" t="str">
        <v/>
      </c>
      <c r="G262" s="153" t="str">
        <v/>
      </c>
      <c r="H262" s="153" t="str">
        <v/>
      </c>
      <c r="I262" s="153" t="str">
        <v/>
      </c>
      <c r="J262" s="153" t="str">
        <v/>
      </c>
      <c r="K262" s="153" t="str">
        <v/>
      </c>
      <c r="L262" s="153" t="str">
        <v/>
      </c>
      <c r="M262" s="153" t="str">
        <v/>
      </c>
      <c r="N262" s="153" t="str">
        <v/>
      </c>
      <c r="O262" s="153" t="str">
        <v/>
      </c>
      <c r="P262" s="153" t="str">
        <v/>
      </c>
    </row>
    <row r="263" spans="1:16" x14ac:dyDescent="0.2">
      <c r="A263" s="58" t="str">
        <v/>
      </c>
      <c r="B263" s="131" t="str">
        <f>IFERROR(TIMEVALUE(DaqBook_RAW_Data!Q253),IFERROR(TIMEVALUE(DaqBook_RAW_Data!A253),""))</f>
        <v/>
      </c>
      <c r="C263" s="153" t="str">
        <v/>
      </c>
      <c r="D263" s="153" t="str">
        <v/>
      </c>
      <c r="E263" s="153" t="str">
        <v/>
      </c>
      <c r="F263" s="153" t="str">
        <v/>
      </c>
      <c r="G263" s="153" t="str">
        <v/>
      </c>
      <c r="H263" s="153" t="str">
        <v/>
      </c>
      <c r="I263" s="153" t="str">
        <v/>
      </c>
      <c r="J263" s="153" t="str">
        <v/>
      </c>
      <c r="K263" s="153" t="str">
        <v/>
      </c>
      <c r="L263" s="153" t="str">
        <v/>
      </c>
      <c r="M263" s="153" t="str">
        <v/>
      </c>
      <c r="N263" s="153" t="str">
        <v/>
      </c>
      <c r="O263" s="153" t="str">
        <v/>
      </c>
      <c r="P263" s="153" t="str">
        <v/>
      </c>
    </row>
    <row r="264" spans="1:16" x14ac:dyDescent="0.2">
      <c r="A264" s="58" t="str">
        <v/>
      </c>
      <c r="B264" s="131" t="str">
        <f>IFERROR(TIMEVALUE(DaqBook_RAW_Data!Q254),IFERROR(TIMEVALUE(DaqBook_RAW_Data!A254),""))</f>
        <v/>
      </c>
      <c r="C264" s="153" t="str">
        <v/>
      </c>
      <c r="D264" s="153" t="str">
        <v/>
      </c>
      <c r="E264" s="153" t="str">
        <v/>
      </c>
      <c r="F264" s="153" t="str">
        <v/>
      </c>
      <c r="G264" s="153" t="str">
        <v/>
      </c>
      <c r="H264" s="153" t="str">
        <v/>
      </c>
      <c r="I264" s="153" t="str">
        <v/>
      </c>
      <c r="J264" s="153" t="str">
        <v/>
      </c>
      <c r="K264" s="153" t="str">
        <v/>
      </c>
      <c r="L264" s="153" t="str">
        <v/>
      </c>
      <c r="M264" s="153" t="str">
        <v/>
      </c>
      <c r="N264" s="153" t="str">
        <v/>
      </c>
      <c r="O264" s="153" t="str">
        <v/>
      </c>
      <c r="P264" s="153" t="str">
        <v/>
      </c>
    </row>
    <row r="265" spans="1:16" x14ac:dyDescent="0.2">
      <c r="A265" s="58" t="str">
        <v/>
      </c>
      <c r="B265" s="131" t="str">
        <f>IFERROR(TIMEVALUE(DaqBook_RAW_Data!Q255),IFERROR(TIMEVALUE(DaqBook_RAW_Data!A255),""))</f>
        <v/>
      </c>
      <c r="C265" s="153" t="str">
        <v/>
      </c>
      <c r="D265" s="153" t="str">
        <v/>
      </c>
      <c r="E265" s="153" t="str">
        <v/>
      </c>
      <c r="F265" s="153" t="str">
        <v/>
      </c>
      <c r="G265" s="153" t="str">
        <v/>
      </c>
      <c r="H265" s="153" t="str">
        <v/>
      </c>
      <c r="I265" s="153" t="str">
        <v/>
      </c>
      <c r="J265" s="153" t="str">
        <v/>
      </c>
      <c r="K265" s="153" t="str">
        <v/>
      </c>
      <c r="L265" s="153" t="str">
        <v/>
      </c>
      <c r="M265" s="153" t="str">
        <v/>
      </c>
      <c r="N265" s="153" t="str">
        <v/>
      </c>
      <c r="O265" s="153" t="str">
        <v/>
      </c>
      <c r="P265" s="153" t="str">
        <v/>
      </c>
    </row>
    <row r="266" spans="1:16" x14ac:dyDescent="0.2">
      <c r="A266" s="58" t="str">
        <v/>
      </c>
      <c r="B266" s="131" t="str">
        <f>IFERROR(TIMEVALUE(DaqBook_RAW_Data!Q256),IFERROR(TIMEVALUE(DaqBook_RAW_Data!A256),""))</f>
        <v/>
      </c>
      <c r="C266" s="153" t="str">
        <v/>
      </c>
      <c r="D266" s="153" t="str">
        <v/>
      </c>
      <c r="E266" s="153" t="str">
        <v/>
      </c>
      <c r="F266" s="153" t="str">
        <v/>
      </c>
      <c r="G266" s="153" t="str">
        <v/>
      </c>
      <c r="H266" s="153" t="str">
        <v/>
      </c>
      <c r="I266" s="153" t="str">
        <v/>
      </c>
      <c r="J266" s="153" t="str">
        <v/>
      </c>
      <c r="K266" s="153" t="str">
        <v/>
      </c>
      <c r="L266" s="153" t="str">
        <v/>
      </c>
      <c r="M266" s="153" t="str">
        <v/>
      </c>
      <c r="N266" s="153" t="str">
        <v/>
      </c>
      <c r="O266" s="153" t="str">
        <v/>
      </c>
      <c r="P266" s="153" t="str">
        <v/>
      </c>
    </row>
    <row r="267" spans="1:16" x14ac:dyDescent="0.2">
      <c r="A267" s="58" t="str">
        <v/>
      </c>
      <c r="B267" s="131" t="str">
        <f>IFERROR(TIMEVALUE(DaqBook_RAW_Data!Q257),IFERROR(TIMEVALUE(DaqBook_RAW_Data!A257),""))</f>
        <v/>
      </c>
      <c r="C267" s="153" t="str">
        <v/>
      </c>
      <c r="D267" s="153" t="str">
        <v/>
      </c>
      <c r="E267" s="153" t="str">
        <v/>
      </c>
      <c r="F267" s="153" t="str">
        <v/>
      </c>
      <c r="G267" s="153" t="str">
        <v/>
      </c>
      <c r="H267" s="153" t="str">
        <v/>
      </c>
      <c r="I267" s="153" t="str">
        <v/>
      </c>
      <c r="J267" s="153" t="str">
        <v/>
      </c>
      <c r="K267" s="153" t="str">
        <v/>
      </c>
      <c r="L267" s="153" t="str">
        <v/>
      </c>
      <c r="M267" s="153" t="str">
        <v/>
      </c>
      <c r="N267" s="153" t="str">
        <v/>
      </c>
      <c r="O267" s="153" t="str">
        <v/>
      </c>
      <c r="P267" s="153" t="str">
        <v/>
      </c>
    </row>
    <row r="268" spans="1:16" x14ac:dyDescent="0.2">
      <c r="A268" s="58" t="str">
        <v/>
      </c>
      <c r="B268" s="131" t="str">
        <f>IFERROR(TIMEVALUE(DaqBook_RAW_Data!Q258),IFERROR(TIMEVALUE(DaqBook_RAW_Data!A258),""))</f>
        <v/>
      </c>
      <c r="C268" s="153" t="str">
        <v/>
      </c>
      <c r="D268" s="153" t="str">
        <v/>
      </c>
      <c r="E268" s="153" t="str">
        <v/>
      </c>
      <c r="F268" s="153" t="str">
        <v/>
      </c>
      <c r="G268" s="153" t="str">
        <v/>
      </c>
      <c r="H268" s="153" t="str">
        <v/>
      </c>
      <c r="I268" s="153" t="str">
        <v/>
      </c>
      <c r="J268" s="153" t="str">
        <v/>
      </c>
      <c r="K268" s="153" t="str">
        <v/>
      </c>
      <c r="L268" s="153" t="str">
        <v/>
      </c>
      <c r="M268" s="153" t="str">
        <v/>
      </c>
      <c r="N268" s="153" t="str">
        <v/>
      </c>
      <c r="O268" s="153" t="str">
        <v/>
      </c>
      <c r="P268" s="153" t="str">
        <v/>
      </c>
    </row>
    <row r="269" spans="1:16" x14ac:dyDescent="0.2">
      <c r="A269" s="58" t="str">
        <v/>
      </c>
      <c r="B269" s="131" t="str">
        <f>IFERROR(TIMEVALUE(DaqBook_RAW_Data!Q259),IFERROR(TIMEVALUE(DaqBook_RAW_Data!A259),""))</f>
        <v/>
      </c>
      <c r="C269" s="153" t="str">
        <v/>
      </c>
      <c r="D269" s="153" t="str">
        <v/>
      </c>
      <c r="E269" s="153" t="str">
        <v/>
      </c>
      <c r="F269" s="153" t="str">
        <v/>
      </c>
      <c r="G269" s="153" t="str">
        <v/>
      </c>
      <c r="H269" s="153" t="str">
        <v/>
      </c>
      <c r="I269" s="153" t="str">
        <v/>
      </c>
      <c r="J269" s="153" t="str">
        <v/>
      </c>
      <c r="K269" s="153" t="str">
        <v/>
      </c>
      <c r="L269" s="153" t="str">
        <v/>
      </c>
      <c r="M269" s="153" t="str">
        <v/>
      </c>
      <c r="N269" s="153" t="str">
        <v/>
      </c>
      <c r="O269" s="153" t="str">
        <v/>
      </c>
      <c r="P269" s="153" t="str">
        <v/>
      </c>
    </row>
    <row r="270" spans="1:16" x14ac:dyDescent="0.2">
      <c r="A270" s="58" t="str">
        <v/>
      </c>
      <c r="B270" s="131" t="str">
        <f>IFERROR(TIMEVALUE(DaqBook_RAW_Data!Q260),IFERROR(TIMEVALUE(DaqBook_RAW_Data!A260),""))</f>
        <v/>
      </c>
      <c r="C270" s="153" t="str">
        <v/>
      </c>
      <c r="D270" s="153" t="str">
        <v/>
      </c>
      <c r="E270" s="153" t="str">
        <v/>
      </c>
      <c r="F270" s="153" t="str">
        <v/>
      </c>
      <c r="G270" s="153" t="str">
        <v/>
      </c>
      <c r="H270" s="153" t="str">
        <v/>
      </c>
      <c r="I270" s="153" t="str">
        <v/>
      </c>
      <c r="J270" s="153" t="str">
        <v/>
      </c>
      <c r="K270" s="153" t="str">
        <v/>
      </c>
      <c r="L270" s="153" t="str">
        <v/>
      </c>
      <c r="M270" s="153" t="str">
        <v/>
      </c>
      <c r="N270" s="153" t="str">
        <v/>
      </c>
      <c r="O270" s="153" t="str">
        <v/>
      </c>
      <c r="P270" s="153" t="str">
        <v/>
      </c>
    </row>
    <row r="271" spans="1:16" x14ac:dyDescent="0.2">
      <c r="A271" s="58" t="str">
        <v/>
      </c>
      <c r="B271" s="131" t="str">
        <f>IFERROR(TIMEVALUE(DaqBook_RAW_Data!Q261),IFERROR(TIMEVALUE(DaqBook_RAW_Data!A261),""))</f>
        <v/>
      </c>
      <c r="C271" s="153" t="str">
        <v/>
      </c>
      <c r="D271" s="153" t="str">
        <v/>
      </c>
      <c r="E271" s="153" t="str">
        <v/>
      </c>
      <c r="F271" s="153" t="str">
        <v/>
      </c>
      <c r="G271" s="153" t="str">
        <v/>
      </c>
      <c r="H271" s="153" t="str">
        <v/>
      </c>
      <c r="I271" s="153" t="str">
        <v/>
      </c>
      <c r="J271" s="153" t="str">
        <v/>
      </c>
      <c r="K271" s="153" t="str">
        <v/>
      </c>
      <c r="L271" s="153" t="str">
        <v/>
      </c>
      <c r="M271" s="153" t="str">
        <v/>
      </c>
      <c r="N271" s="153" t="str">
        <v/>
      </c>
      <c r="O271" s="153" t="str">
        <v/>
      </c>
      <c r="P271" s="153" t="str">
        <v/>
      </c>
    </row>
    <row r="272" spans="1:16" x14ac:dyDescent="0.2">
      <c r="A272" s="58" t="str">
        <v/>
      </c>
      <c r="B272" s="131" t="str">
        <f>IFERROR(TIMEVALUE(DaqBook_RAW_Data!Q262),IFERROR(TIMEVALUE(DaqBook_RAW_Data!A262),""))</f>
        <v/>
      </c>
      <c r="C272" s="153" t="str">
        <v/>
      </c>
      <c r="D272" s="153" t="str">
        <v/>
      </c>
      <c r="E272" s="153" t="str">
        <v/>
      </c>
      <c r="F272" s="153" t="str">
        <v/>
      </c>
      <c r="G272" s="153" t="str">
        <v/>
      </c>
      <c r="H272" s="153" t="str">
        <v/>
      </c>
      <c r="I272" s="153" t="str">
        <v/>
      </c>
      <c r="J272" s="153" t="str">
        <v/>
      </c>
      <c r="K272" s="153" t="str">
        <v/>
      </c>
      <c r="L272" s="153" t="str">
        <v/>
      </c>
      <c r="M272" s="153" t="str">
        <v/>
      </c>
      <c r="N272" s="153" t="str">
        <v/>
      </c>
      <c r="O272" s="153" t="str">
        <v/>
      </c>
      <c r="P272" s="153" t="str">
        <v/>
      </c>
    </row>
    <row r="273" spans="1:16" x14ac:dyDescent="0.2">
      <c r="A273" s="58" t="str">
        <v/>
      </c>
      <c r="B273" s="131" t="str">
        <f>IFERROR(TIMEVALUE(DaqBook_RAW_Data!Q263),IFERROR(TIMEVALUE(DaqBook_RAW_Data!A263),""))</f>
        <v/>
      </c>
      <c r="C273" s="153" t="str">
        <v/>
      </c>
      <c r="D273" s="153" t="str">
        <v/>
      </c>
      <c r="E273" s="153" t="str">
        <v/>
      </c>
      <c r="F273" s="153" t="str">
        <v/>
      </c>
      <c r="G273" s="153" t="str">
        <v/>
      </c>
      <c r="H273" s="153" t="str">
        <v/>
      </c>
      <c r="I273" s="153" t="str">
        <v/>
      </c>
      <c r="J273" s="153" t="str">
        <v/>
      </c>
      <c r="K273" s="153" t="str">
        <v/>
      </c>
      <c r="L273" s="153" t="str">
        <v/>
      </c>
      <c r="M273" s="153" t="str">
        <v/>
      </c>
      <c r="N273" s="153" t="str">
        <v/>
      </c>
      <c r="O273" s="153" t="str">
        <v/>
      </c>
      <c r="P273" s="153" t="str">
        <v/>
      </c>
    </row>
    <row r="274" spans="1:16" x14ac:dyDescent="0.2">
      <c r="A274" s="58" t="str">
        <v/>
      </c>
      <c r="B274" s="131" t="str">
        <f>IFERROR(TIMEVALUE(DaqBook_RAW_Data!Q264),IFERROR(TIMEVALUE(DaqBook_RAW_Data!A264),""))</f>
        <v/>
      </c>
      <c r="C274" s="153" t="str">
        <v/>
      </c>
      <c r="D274" s="153" t="str">
        <v/>
      </c>
      <c r="E274" s="153" t="str">
        <v/>
      </c>
      <c r="F274" s="153" t="str">
        <v/>
      </c>
      <c r="G274" s="153" t="str">
        <v/>
      </c>
      <c r="H274" s="153" t="str">
        <v/>
      </c>
      <c r="I274" s="153" t="str">
        <v/>
      </c>
      <c r="J274" s="153" t="str">
        <v/>
      </c>
      <c r="K274" s="153" t="str">
        <v/>
      </c>
      <c r="L274" s="153" t="str">
        <v/>
      </c>
      <c r="M274" s="153" t="str">
        <v/>
      </c>
      <c r="N274" s="153" t="str">
        <v/>
      </c>
      <c r="O274" s="153" t="str">
        <v/>
      </c>
      <c r="P274" s="153" t="str">
        <v/>
      </c>
    </row>
    <row r="275" spans="1:16" x14ac:dyDescent="0.2">
      <c r="A275" s="58" t="str">
        <v/>
      </c>
      <c r="B275" s="131" t="str">
        <f>IFERROR(TIMEVALUE(DaqBook_RAW_Data!Q265),IFERROR(TIMEVALUE(DaqBook_RAW_Data!A265),""))</f>
        <v/>
      </c>
      <c r="C275" s="153" t="str">
        <v/>
      </c>
      <c r="D275" s="153" t="str">
        <v/>
      </c>
      <c r="E275" s="153" t="str">
        <v/>
      </c>
      <c r="F275" s="153" t="str">
        <v/>
      </c>
      <c r="G275" s="153" t="str">
        <v/>
      </c>
      <c r="H275" s="153" t="str">
        <v/>
      </c>
      <c r="I275" s="153" t="str">
        <v/>
      </c>
      <c r="J275" s="153" t="str">
        <v/>
      </c>
      <c r="K275" s="153" t="str">
        <v/>
      </c>
      <c r="L275" s="153" t="str">
        <v/>
      </c>
      <c r="M275" s="153" t="str">
        <v/>
      </c>
      <c r="N275" s="153" t="str">
        <v/>
      </c>
      <c r="O275" s="153" t="str">
        <v/>
      </c>
      <c r="P275" s="153" t="str">
        <v/>
      </c>
    </row>
    <row r="276" spans="1:16" x14ac:dyDescent="0.2">
      <c r="A276" s="58" t="str">
        <v/>
      </c>
      <c r="B276" s="131" t="str">
        <f>IFERROR(TIMEVALUE(DaqBook_RAW_Data!Q266),IFERROR(TIMEVALUE(DaqBook_RAW_Data!A266),""))</f>
        <v/>
      </c>
      <c r="C276" s="153" t="str">
        <v/>
      </c>
      <c r="D276" s="153" t="str">
        <v/>
      </c>
      <c r="E276" s="153" t="str">
        <v/>
      </c>
      <c r="F276" s="153" t="str">
        <v/>
      </c>
      <c r="G276" s="153" t="str">
        <v/>
      </c>
      <c r="H276" s="153" t="str">
        <v/>
      </c>
      <c r="I276" s="153" t="str">
        <v/>
      </c>
      <c r="J276" s="153" t="str">
        <v/>
      </c>
      <c r="K276" s="153" t="str">
        <v/>
      </c>
      <c r="L276" s="153" t="str">
        <v/>
      </c>
      <c r="M276" s="153" t="str">
        <v/>
      </c>
      <c r="N276" s="153" t="str">
        <v/>
      </c>
      <c r="O276" s="153" t="str">
        <v/>
      </c>
      <c r="P276" s="153" t="str">
        <v/>
      </c>
    </row>
    <row r="277" spans="1:16" x14ac:dyDescent="0.2">
      <c r="A277" s="58" t="str">
        <v/>
      </c>
      <c r="B277" s="131" t="str">
        <f>IFERROR(TIMEVALUE(DaqBook_RAW_Data!Q267),IFERROR(TIMEVALUE(DaqBook_RAW_Data!A267),""))</f>
        <v/>
      </c>
      <c r="C277" s="153" t="str">
        <v/>
      </c>
      <c r="D277" s="153" t="str">
        <v/>
      </c>
      <c r="E277" s="153" t="str">
        <v/>
      </c>
      <c r="F277" s="153" t="str">
        <v/>
      </c>
      <c r="G277" s="153" t="str">
        <v/>
      </c>
      <c r="H277" s="153" t="str">
        <v/>
      </c>
      <c r="I277" s="153" t="str">
        <v/>
      </c>
      <c r="J277" s="153" t="str">
        <v/>
      </c>
      <c r="K277" s="153" t="str">
        <v/>
      </c>
      <c r="L277" s="153" t="str">
        <v/>
      </c>
      <c r="M277" s="153" t="str">
        <v/>
      </c>
      <c r="N277" s="153" t="str">
        <v/>
      </c>
      <c r="O277" s="153" t="str">
        <v/>
      </c>
      <c r="P277" s="153" t="str">
        <v/>
      </c>
    </row>
    <row r="278" spans="1:16" x14ac:dyDescent="0.2">
      <c r="A278" s="58" t="str">
        <v/>
      </c>
      <c r="B278" s="131" t="str">
        <f>IFERROR(TIMEVALUE(DaqBook_RAW_Data!Q268),IFERROR(TIMEVALUE(DaqBook_RAW_Data!A268),""))</f>
        <v/>
      </c>
      <c r="C278" s="153" t="str">
        <v/>
      </c>
      <c r="D278" s="153" t="str">
        <v/>
      </c>
      <c r="E278" s="153" t="str">
        <v/>
      </c>
      <c r="F278" s="153" t="str">
        <v/>
      </c>
      <c r="G278" s="153" t="str">
        <v/>
      </c>
      <c r="H278" s="153" t="str">
        <v/>
      </c>
      <c r="I278" s="153" t="str">
        <v/>
      </c>
      <c r="J278" s="153" t="str">
        <v/>
      </c>
      <c r="K278" s="153" t="str">
        <v/>
      </c>
      <c r="L278" s="153" t="str">
        <v/>
      </c>
      <c r="M278" s="153" t="str">
        <v/>
      </c>
      <c r="N278" s="153" t="str">
        <v/>
      </c>
      <c r="O278" s="153" t="str">
        <v/>
      </c>
      <c r="P278" s="153" t="str">
        <v/>
      </c>
    </row>
    <row r="279" spans="1:16" x14ac:dyDescent="0.2">
      <c r="A279" s="58" t="str">
        <v/>
      </c>
      <c r="B279" s="131" t="str">
        <f>IFERROR(TIMEVALUE(DaqBook_RAW_Data!Q269),IFERROR(TIMEVALUE(DaqBook_RAW_Data!A269),""))</f>
        <v/>
      </c>
      <c r="C279" s="153" t="str">
        <v/>
      </c>
      <c r="D279" s="153" t="str">
        <v/>
      </c>
      <c r="E279" s="153" t="str">
        <v/>
      </c>
      <c r="F279" s="153" t="str">
        <v/>
      </c>
      <c r="G279" s="153" t="str">
        <v/>
      </c>
      <c r="H279" s="153" t="str">
        <v/>
      </c>
      <c r="I279" s="153" t="str">
        <v/>
      </c>
      <c r="J279" s="153" t="str">
        <v/>
      </c>
      <c r="K279" s="153" t="str">
        <v/>
      </c>
      <c r="L279" s="153" t="str">
        <v/>
      </c>
      <c r="M279" s="153" t="str">
        <v/>
      </c>
      <c r="N279" s="153" t="str">
        <v/>
      </c>
      <c r="O279" s="153" t="str">
        <v/>
      </c>
      <c r="P279" s="153" t="str">
        <v/>
      </c>
    </row>
    <row r="280" spans="1:16" x14ac:dyDescent="0.2">
      <c r="A280" s="58" t="str">
        <v/>
      </c>
      <c r="B280" s="131" t="str">
        <f>IFERROR(TIMEVALUE(DaqBook_RAW_Data!Q270),IFERROR(TIMEVALUE(DaqBook_RAW_Data!A270),""))</f>
        <v/>
      </c>
      <c r="C280" s="153" t="str">
        <v/>
      </c>
      <c r="D280" s="153" t="str">
        <v/>
      </c>
      <c r="E280" s="153" t="str">
        <v/>
      </c>
      <c r="F280" s="153" t="str">
        <v/>
      </c>
      <c r="G280" s="153" t="str">
        <v/>
      </c>
      <c r="H280" s="153" t="str">
        <v/>
      </c>
      <c r="I280" s="153" t="str">
        <v/>
      </c>
      <c r="J280" s="153" t="str">
        <v/>
      </c>
      <c r="K280" s="153" t="str">
        <v/>
      </c>
      <c r="L280" s="153" t="str">
        <v/>
      </c>
      <c r="M280" s="153" t="str">
        <v/>
      </c>
      <c r="N280" s="153" t="str">
        <v/>
      </c>
      <c r="O280" s="153" t="str">
        <v/>
      </c>
      <c r="P280" s="153" t="str">
        <v/>
      </c>
    </row>
    <row r="281" spans="1:16" x14ac:dyDescent="0.2">
      <c r="A281" s="58" t="str">
        <v/>
      </c>
      <c r="B281" s="131" t="str">
        <f>IFERROR(TIMEVALUE(DaqBook_RAW_Data!Q271),IFERROR(TIMEVALUE(DaqBook_RAW_Data!A271),""))</f>
        <v/>
      </c>
      <c r="C281" s="153" t="str">
        <v/>
      </c>
      <c r="D281" s="153" t="str">
        <v/>
      </c>
      <c r="E281" s="153" t="str">
        <v/>
      </c>
      <c r="F281" s="153" t="str">
        <v/>
      </c>
      <c r="G281" s="153" t="str">
        <v/>
      </c>
      <c r="H281" s="153" t="str">
        <v/>
      </c>
      <c r="I281" s="153" t="str">
        <v/>
      </c>
      <c r="J281" s="153" t="str">
        <v/>
      </c>
      <c r="K281" s="153" t="str">
        <v/>
      </c>
      <c r="L281" s="153" t="str">
        <v/>
      </c>
      <c r="M281" s="153" t="str">
        <v/>
      </c>
      <c r="N281" s="153" t="str">
        <v/>
      </c>
      <c r="O281" s="153" t="str">
        <v/>
      </c>
      <c r="P281" s="153" t="str">
        <v/>
      </c>
    </row>
    <row r="282" spans="1:16" x14ac:dyDescent="0.2">
      <c r="A282" s="58" t="str">
        <v/>
      </c>
      <c r="B282" s="131" t="str">
        <f>IFERROR(TIMEVALUE(DaqBook_RAW_Data!Q272),IFERROR(TIMEVALUE(DaqBook_RAW_Data!A272),""))</f>
        <v/>
      </c>
      <c r="C282" s="153" t="str">
        <v/>
      </c>
      <c r="D282" s="153" t="str">
        <v/>
      </c>
      <c r="E282" s="153" t="str">
        <v/>
      </c>
      <c r="F282" s="153" t="str">
        <v/>
      </c>
      <c r="G282" s="153" t="str">
        <v/>
      </c>
      <c r="H282" s="153" t="str">
        <v/>
      </c>
      <c r="I282" s="153" t="str">
        <v/>
      </c>
      <c r="J282" s="153" t="str">
        <v/>
      </c>
      <c r="K282" s="153" t="str">
        <v/>
      </c>
      <c r="L282" s="153" t="str">
        <v/>
      </c>
      <c r="M282" s="153" t="str">
        <v/>
      </c>
      <c r="N282" s="153" t="str">
        <v/>
      </c>
      <c r="O282" s="153" t="str">
        <v/>
      </c>
      <c r="P282" s="153" t="str">
        <v/>
      </c>
    </row>
    <row r="283" spans="1:16" x14ac:dyDescent="0.2">
      <c r="A283" s="58" t="str">
        <v/>
      </c>
      <c r="B283" s="131" t="str">
        <f>IFERROR(TIMEVALUE(DaqBook_RAW_Data!Q273),IFERROR(TIMEVALUE(DaqBook_RAW_Data!A273),""))</f>
        <v/>
      </c>
      <c r="C283" s="153" t="str">
        <v/>
      </c>
      <c r="D283" s="153" t="str">
        <v/>
      </c>
      <c r="E283" s="153" t="str">
        <v/>
      </c>
      <c r="F283" s="153" t="str">
        <v/>
      </c>
      <c r="G283" s="153" t="str">
        <v/>
      </c>
      <c r="H283" s="153" t="str">
        <v/>
      </c>
      <c r="I283" s="153" t="str">
        <v/>
      </c>
      <c r="J283" s="153" t="str">
        <v/>
      </c>
      <c r="K283" s="153" t="str">
        <v/>
      </c>
      <c r="L283" s="153" t="str">
        <v/>
      </c>
      <c r="M283" s="153" t="str">
        <v/>
      </c>
      <c r="N283" s="153" t="str">
        <v/>
      </c>
      <c r="O283" s="153" t="str">
        <v/>
      </c>
      <c r="P283" s="153" t="str">
        <v/>
      </c>
    </row>
    <row r="284" spans="1:16" x14ac:dyDescent="0.2">
      <c r="A284" s="58" t="str">
        <v/>
      </c>
      <c r="B284" s="131" t="str">
        <f>IFERROR(TIMEVALUE(DaqBook_RAW_Data!Q274),IFERROR(TIMEVALUE(DaqBook_RAW_Data!A274),""))</f>
        <v/>
      </c>
      <c r="C284" s="153" t="str">
        <v/>
      </c>
      <c r="D284" s="153" t="str">
        <v/>
      </c>
      <c r="E284" s="153" t="str">
        <v/>
      </c>
      <c r="F284" s="153" t="str">
        <v/>
      </c>
      <c r="G284" s="153" t="str">
        <v/>
      </c>
      <c r="H284" s="153" t="str">
        <v/>
      </c>
      <c r="I284" s="153" t="str">
        <v/>
      </c>
      <c r="J284" s="153" t="str">
        <v/>
      </c>
      <c r="K284" s="153" t="str">
        <v/>
      </c>
      <c r="L284" s="153" t="str">
        <v/>
      </c>
      <c r="M284" s="153" t="str">
        <v/>
      </c>
      <c r="N284" s="153" t="str">
        <v/>
      </c>
      <c r="O284" s="153" t="str">
        <v/>
      </c>
      <c r="P284" s="153" t="str">
        <v/>
      </c>
    </row>
    <row r="285" spans="1:16" x14ac:dyDescent="0.2">
      <c r="A285" s="58" t="str">
        <v/>
      </c>
      <c r="B285" s="131" t="str">
        <f>IFERROR(TIMEVALUE(DaqBook_RAW_Data!Q275),IFERROR(TIMEVALUE(DaqBook_RAW_Data!A275),""))</f>
        <v/>
      </c>
      <c r="C285" s="153" t="str">
        <v/>
      </c>
      <c r="D285" s="153" t="str">
        <v/>
      </c>
      <c r="E285" s="153" t="str">
        <v/>
      </c>
      <c r="F285" s="153" t="str">
        <v/>
      </c>
      <c r="G285" s="153" t="str">
        <v/>
      </c>
      <c r="H285" s="153" t="str">
        <v/>
      </c>
      <c r="I285" s="153" t="str">
        <v/>
      </c>
      <c r="J285" s="153" t="str">
        <v/>
      </c>
      <c r="K285" s="153" t="str">
        <v/>
      </c>
      <c r="L285" s="153" t="str">
        <v/>
      </c>
      <c r="M285" s="153" t="str">
        <v/>
      </c>
      <c r="N285" s="153" t="str">
        <v/>
      </c>
      <c r="O285" s="153" t="str">
        <v/>
      </c>
      <c r="P285" s="153" t="str">
        <v/>
      </c>
    </row>
    <row r="286" spans="1:16" x14ac:dyDescent="0.2">
      <c r="A286" s="58" t="str">
        <v/>
      </c>
      <c r="B286" s="131" t="str">
        <f>IFERROR(TIMEVALUE(DaqBook_RAW_Data!Q276),IFERROR(TIMEVALUE(DaqBook_RAW_Data!A276),""))</f>
        <v/>
      </c>
      <c r="C286" s="153" t="str">
        <v/>
      </c>
      <c r="D286" s="153" t="str">
        <v/>
      </c>
      <c r="E286" s="153" t="str">
        <v/>
      </c>
      <c r="F286" s="153" t="str">
        <v/>
      </c>
      <c r="G286" s="153" t="str">
        <v/>
      </c>
      <c r="H286" s="153" t="str">
        <v/>
      </c>
      <c r="I286" s="153" t="str">
        <v/>
      </c>
      <c r="J286" s="153" t="str">
        <v/>
      </c>
      <c r="K286" s="153" t="str">
        <v/>
      </c>
      <c r="L286" s="153" t="str">
        <v/>
      </c>
      <c r="M286" s="153" t="str">
        <v/>
      </c>
      <c r="N286" s="153" t="str">
        <v/>
      </c>
      <c r="O286" s="153" t="str">
        <v/>
      </c>
      <c r="P286" s="153" t="str">
        <v/>
      </c>
    </row>
    <row r="287" spans="1:16" x14ac:dyDescent="0.2">
      <c r="A287" s="58" t="str">
        <v/>
      </c>
      <c r="B287" s="131" t="str">
        <f>IFERROR(TIMEVALUE(DaqBook_RAW_Data!Q277),IFERROR(TIMEVALUE(DaqBook_RAW_Data!A277),""))</f>
        <v/>
      </c>
      <c r="C287" s="153" t="str">
        <v/>
      </c>
      <c r="D287" s="153" t="str">
        <v/>
      </c>
      <c r="E287" s="153" t="str">
        <v/>
      </c>
      <c r="F287" s="153" t="str">
        <v/>
      </c>
      <c r="G287" s="153" t="str">
        <v/>
      </c>
      <c r="H287" s="153" t="str">
        <v/>
      </c>
      <c r="I287" s="153" t="str">
        <v/>
      </c>
      <c r="J287" s="153" t="str">
        <v/>
      </c>
      <c r="K287" s="153" t="str">
        <v/>
      </c>
      <c r="L287" s="153" t="str">
        <v/>
      </c>
      <c r="M287" s="153" t="str">
        <v/>
      </c>
      <c r="N287" s="153" t="str">
        <v/>
      </c>
      <c r="O287" s="153" t="str">
        <v/>
      </c>
      <c r="P287" s="153" t="str">
        <v/>
      </c>
    </row>
    <row r="288" spans="1:16" x14ac:dyDescent="0.2">
      <c r="A288" s="58" t="str">
        <v/>
      </c>
      <c r="B288" s="131" t="str">
        <f>IFERROR(TIMEVALUE(DaqBook_RAW_Data!Q278),IFERROR(TIMEVALUE(DaqBook_RAW_Data!A278),""))</f>
        <v/>
      </c>
      <c r="C288" s="153" t="str">
        <v/>
      </c>
      <c r="D288" s="153" t="str">
        <v/>
      </c>
      <c r="E288" s="153" t="str">
        <v/>
      </c>
      <c r="F288" s="153" t="str">
        <v/>
      </c>
      <c r="G288" s="153" t="str">
        <v/>
      </c>
      <c r="H288" s="153" t="str">
        <v/>
      </c>
      <c r="I288" s="153" t="str">
        <v/>
      </c>
      <c r="J288" s="153" t="str">
        <v/>
      </c>
      <c r="K288" s="153" t="str">
        <v/>
      </c>
      <c r="L288" s="153" t="str">
        <v/>
      </c>
      <c r="M288" s="153" t="str">
        <v/>
      </c>
      <c r="N288" s="153" t="str">
        <v/>
      </c>
      <c r="O288" s="153" t="str">
        <v/>
      </c>
      <c r="P288" s="153" t="str">
        <v/>
      </c>
    </row>
    <row r="289" spans="1:16" x14ac:dyDescent="0.2">
      <c r="A289" s="58" t="str">
        <v/>
      </c>
      <c r="B289" s="131" t="str">
        <f>IFERROR(TIMEVALUE(DaqBook_RAW_Data!Q279),IFERROR(TIMEVALUE(DaqBook_RAW_Data!A279),""))</f>
        <v/>
      </c>
      <c r="C289" s="153" t="str">
        <v/>
      </c>
      <c r="D289" s="153" t="str">
        <v/>
      </c>
      <c r="E289" s="153" t="str">
        <v/>
      </c>
      <c r="F289" s="153" t="str">
        <v/>
      </c>
      <c r="G289" s="153" t="str">
        <v/>
      </c>
      <c r="H289" s="153" t="str">
        <v/>
      </c>
      <c r="I289" s="153" t="str">
        <v/>
      </c>
      <c r="J289" s="153" t="str">
        <v/>
      </c>
      <c r="K289" s="153" t="str">
        <v/>
      </c>
      <c r="L289" s="153" t="str">
        <v/>
      </c>
      <c r="M289" s="153" t="str">
        <v/>
      </c>
      <c r="N289" s="153" t="str">
        <v/>
      </c>
      <c r="O289" s="153" t="str">
        <v/>
      </c>
      <c r="P289" s="153" t="str">
        <v/>
      </c>
    </row>
    <row r="290" spans="1:16" x14ac:dyDescent="0.2">
      <c r="A290" s="58" t="str">
        <v/>
      </c>
      <c r="B290" s="131" t="str">
        <f>IFERROR(TIMEVALUE(DaqBook_RAW_Data!Q280),IFERROR(TIMEVALUE(DaqBook_RAW_Data!A280),""))</f>
        <v/>
      </c>
      <c r="C290" s="153" t="str">
        <v/>
      </c>
      <c r="D290" s="153" t="str">
        <v/>
      </c>
      <c r="E290" s="153" t="str">
        <v/>
      </c>
      <c r="F290" s="153" t="str">
        <v/>
      </c>
      <c r="G290" s="153" t="str">
        <v/>
      </c>
      <c r="H290" s="153" t="str">
        <v/>
      </c>
      <c r="I290" s="153" t="str">
        <v/>
      </c>
      <c r="J290" s="153" t="str">
        <v/>
      </c>
      <c r="K290" s="153" t="str">
        <v/>
      </c>
      <c r="L290" s="153" t="str">
        <v/>
      </c>
      <c r="M290" s="153" t="str">
        <v/>
      </c>
      <c r="N290" s="153" t="str">
        <v/>
      </c>
      <c r="O290" s="153" t="str">
        <v/>
      </c>
      <c r="P290" s="153" t="str">
        <v/>
      </c>
    </row>
    <row r="291" spans="1:16" x14ac:dyDescent="0.2">
      <c r="A291" s="58" t="str">
        <v/>
      </c>
      <c r="B291" s="131" t="str">
        <f>IFERROR(TIMEVALUE(DaqBook_RAW_Data!Q281),IFERROR(TIMEVALUE(DaqBook_RAW_Data!A281),""))</f>
        <v/>
      </c>
      <c r="C291" s="153" t="str">
        <v/>
      </c>
      <c r="D291" s="153" t="str">
        <v/>
      </c>
      <c r="E291" s="153" t="str">
        <v/>
      </c>
      <c r="F291" s="153" t="str">
        <v/>
      </c>
      <c r="G291" s="153" t="str">
        <v/>
      </c>
      <c r="H291" s="153" t="str">
        <v/>
      </c>
      <c r="I291" s="153" t="str">
        <v/>
      </c>
      <c r="J291" s="153" t="str">
        <v/>
      </c>
      <c r="K291" s="153" t="str">
        <v/>
      </c>
      <c r="L291" s="153" t="str">
        <v/>
      </c>
      <c r="M291" s="153" t="str">
        <v/>
      </c>
      <c r="N291" s="153" t="str">
        <v/>
      </c>
      <c r="O291" s="153" t="str">
        <v/>
      </c>
      <c r="P291" s="153" t="str">
        <v/>
      </c>
    </row>
    <row r="292" spans="1:16" x14ac:dyDescent="0.2">
      <c r="A292" s="58" t="str">
        <v/>
      </c>
      <c r="B292" s="131" t="str">
        <f>IFERROR(TIMEVALUE(DaqBook_RAW_Data!Q282),IFERROR(TIMEVALUE(DaqBook_RAW_Data!A282),""))</f>
        <v/>
      </c>
      <c r="C292" s="153" t="str">
        <v/>
      </c>
      <c r="D292" s="153" t="str">
        <v/>
      </c>
      <c r="E292" s="153" t="str">
        <v/>
      </c>
      <c r="F292" s="153" t="str">
        <v/>
      </c>
      <c r="G292" s="153" t="str">
        <v/>
      </c>
      <c r="H292" s="153" t="str">
        <v/>
      </c>
      <c r="I292" s="153" t="str">
        <v/>
      </c>
      <c r="J292" s="153" t="str">
        <v/>
      </c>
      <c r="K292" s="153" t="str">
        <v/>
      </c>
      <c r="L292" s="153" t="str">
        <v/>
      </c>
      <c r="M292" s="153" t="str">
        <v/>
      </c>
      <c r="N292" s="153" t="str">
        <v/>
      </c>
      <c r="O292" s="153" t="str">
        <v/>
      </c>
      <c r="P292" s="153" t="str">
        <v/>
      </c>
    </row>
    <row r="293" spans="1:16" x14ac:dyDescent="0.2">
      <c r="A293" s="58" t="str">
        <v/>
      </c>
      <c r="B293" s="131" t="str">
        <f>IFERROR(TIMEVALUE(DaqBook_RAW_Data!Q283),IFERROR(TIMEVALUE(DaqBook_RAW_Data!A283),""))</f>
        <v/>
      </c>
      <c r="C293" s="153" t="str">
        <v/>
      </c>
      <c r="D293" s="153" t="str">
        <v/>
      </c>
      <c r="E293" s="153" t="str">
        <v/>
      </c>
      <c r="F293" s="153" t="str">
        <v/>
      </c>
      <c r="G293" s="153" t="str">
        <v/>
      </c>
      <c r="H293" s="153" t="str">
        <v/>
      </c>
      <c r="I293" s="153" t="str">
        <v/>
      </c>
      <c r="J293" s="153" t="str">
        <v/>
      </c>
      <c r="K293" s="153" t="str">
        <v/>
      </c>
      <c r="L293" s="153" t="str">
        <v/>
      </c>
      <c r="M293" s="153" t="str">
        <v/>
      </c>
      <c r="N293" s="153" t="str">
        <v/>
      </c>
      <c r="O293" s="153" t="str">
        <v/>
      </c>
      <c r="P293" s="153" t="str">
        <v/>
      </c>
    </row>
    <row r="294" spans="1:16" x14ac:dyDescent="0.2">
      <c r="A294" s="58" t="str">
        <v/>
      </c>
      <c r="B294" s="131" t="str">
        <f>IFERROR(TIMEVALUE(DaqBook_RAW_Data!Q284),IFERROR(TIMEVALUE(DaqBook_RAW_Data!A284),""))</f>
        <v/>
      </c>
      <c r="C294" s="153" t="str">
        <v/>
      </c>
      <c r="D294" s="153" t="str">
        <v/>
      </c>
      <c r="E294" s="153" t="str">
        <v/>
      </c>
      <c r="F294" s="153" t="str">
        <v/>
      </c>
      <c r="G294" s="153" t="str">
        <v/>
      </c>
      <c r="H294" s="153" t="str">
        <v/>
      </c>
      <c r="I294" s="153" t="str">
        <v/>
      </c>
      <c r="J294" s="153" t="str">
        <v/>
      </c>
      <c r="K294" s="153" t="str">
        <v/>
      </c>
      <c r="L294" s="153" t="str">
        <v/>
      </c>
      <c r="M294" s="153" t="str">
        <v/>
      </c>
      <c r="N294" s="153" t="str">
        <v/>
      </c>
      <c r="O294" s="153" t="str">
        <v/>
      </c>
      <c r="P294" s="153" t="str">
        <v/>
      </c>
    </row>
    <row r="295" spans="1:16" x14ac:dyDescent="0.2">
      <c r="A295" s="58" t="str">
        <v/>
      </c>
      <c r="B295" s="131" t="str">
        <f>IFERROR(TIMEVALUE(DaqBook_RAW_Data!Q285),IFERROR(TIMEVALUE(DaqBook_RAW_Data!A285),""))</f>
        <v/>
      </c>
      <c r="C295" s="153" t="str">
        <v/>
      </c>
      <c r="D295" s="153" t="str">
        <v/>
      </c>
      <c r="E295" s="153" t="str">
        <v/>
      </c>
      <c r="F295" s="153" t="str">
        <v/>
      </c>
      <c r="G295" s="153" t="str">
        <v/>
      </c>
      <c r="H295" s="153" t="str">
        <v/>
      </c>
      <c r="I295" s="153" t="str">
        <v/>
      </c>
      <c r="J295" s="153" t="str">
        <v/>
      </c>
      <c r="K295" s="153" t="str">
        <v/>
      </c>
      <c r="L295" s="153" t="str">
        <v/>
      </c>
      <c r="M295" s="153" t="str">
        <v/>
      </c>
      <c r="N295" s="153" t="str">
        <v/>
      </c>
      <c r="O295" s="153" t="str">
        <v/>
      </c>
      <c r="P295" s="153" t="str">
        <v/>
      </c>
    </row>
    <row r="296" spans="1:16" x14ac:dyDescent="0.2">
      <c r="A296" s="58" t="str">
        <v/>
      </c>
      <c r="B296" s="131" t="str">
        <f>IFERROR(TIMEVALUE(DaqBook_RAW_Data!Q286),IFERROR(TIMEVALUE(DaqBook_RAW_Data!A286),""))</f>
        <v/>
      </c>
      <c r="C296" s="153" t="str">
        <v/>
      </c>
      <c r="D296" s="153" t="str">
        <v/>
      </c>
      <c r="E296" s="153" t="str">
        <v/>
      </c>
      <c r="F296" s="153" t="str">
        <v/>
      </c>
      <c r="G296" s="153" t="str">
        <v/>
      </c>
      <c r="H296" s="153" t="str">
        <v/>
      </c>
      <c r="I296" s="153" t="str">
        <v/>
      </c>
      <c r="J296" s="153" t="str">
        <v/>
      </c>
      <c r="K296" s="153" t="str">
        <v/>
      </c>
      <c r="L296" s="153" t="str">
        <v/>
      </c>
      <c r="M296" s="153" t="str">
        <v/>
      </c>
      <c r="N296" s="153" t="str">
        <v/>
      </c>
      <c r="O296" s="153" t="str">
        <v/>
      </c>
      <c r="P296" s="153" t="str">
        <v/>
      </c>
    </row>
    <row r="297" spans="1:16" x14ac:dyDescent="0.2">
      <c r="A297" s="58" t="str">
        <v/>
      </c>
      <c r="B297" s="131" t="str">
        <f>IFERROR(TIMEVALUE(DaqBook_RAW_Data!Q287),IFERROR(TIMEVALUE(DaqBook_RAW_Data!A287),""))</f>
        <v/>
      </c>
      <c r="C297" s="153" t="str">
        <v/>
      </c>
      <c r="D297" s="153" t="str">
        <v/>
      </c>
      <c r="E297" s="153" t="str">
        <v/>
      </c>
      <c r="F297" s="153" t="str">
        <v/>
      </c>
      <c r="G297" s="153" t="str">
        <v/>
      </c>
      <c r="H297" s="153" t="str">
        <v/>
      </c>
      <c r="I297" s="153" t="str">
        <v/>
      </c>
      <c r="J297" s="153" t="str">
        <v/>
      </c>
      <c r="K297" s="153" t="str">
        <v/>
      </c>
      <c r="L297" s="153" t="str">
        <v/>
      </c>
      <c r="M297" s="153" t="str">
        <v/>
      </c>
      <c r="N297" s="153" t="str">
        <v/>
      </c>
      <c r="O297" s="153" t="str">
        <v/>
      </c>
      <c r="P297" s="153" t="str">
        <v/>
      </c>
    </row>
    <row r="298" spans="1:16" x14ac:dyDescent="0.2">
      <c r="A298" s="58" t="str">
        <v/>
      </c>
      <c r="B298" s="131" t="str">
        <f>IFERROR(TIMEVALUE(DaqBook_RAW_Data!Q288),IFERROR(TIMEVALUE(DaqBook_RAW_Data!A288),""))</f>
        <v/>
      </c>
      <c r="C298" s="153" t="str">
        <v/>
      </c>
      <c r="D298" s="153" t="str">
        <v/>
      </c>
      <c r="E298" s="153" t="str">
        <v/>
      </c>
      <c r="F298" s="153" t="str">
        <v/>
      </c>
      <c r="G298" s="153" t="str">
        <v/>
      </c>
      <c r="H298" s="153" t="str">
        <v/>
      </c>
      <c r="I298" s="153" t="str">
        <v/>
      </c>
      <c r="J298" s="153" t="str">
        <v/>
      </c>
      <c r="K298" s="153" t="str">
        <v/>
      </c>
      <c r="L298" s="153" t="str">
        <v/>
      </c>
      <c r="M298" s="153" t="str">
        <v/>
      </c>
      <c r="N298" s="153" t="str">
        <v/>
      </c>
      <c r="O298" s="153" t="str">
        <v/>
      </c>
      <c r="P298" s="153" t="str">
        <v/>
      </c>
    </row>
    <row r="299" spans="1:16" x14ac:dyDescent="0.2">
      <c r="A299" s="58" t="str">
        <v/>
      </c>
      <c r="B299" s="131" t="str">
        <f>IFERROR(TIMEVALUE(DaqBook_RAW_Data!Q289),IFERROR(TIMEVALUE(DaqBook_RAW_Data!A289),""))</f>
        <v/>
      </c>
      <c r="C299" s="153" t="str">
        <v/>
      </c>
      <c r="D299" s="153" t="str">
        <v/>
      </c>
      <c r="E299" s="153" t="str">
        <v/>
      </c>
      <c r="F299" s="153" t="str">
        <v/>
      </c>
      <c r="G299" s="153" t="str">
        <v/>
      </c>
      <c r="H299" s="153" t="str">
        <v/>
      </c>
      <c r="I299" s="153" t="str">
        <v/>
      </c>
      <c r="J299" s="153" t="str">
        <v/>
      </c>
      <c r="K299" s="153" t="str">
        <v/>
      </c>
      <c r="L299" s="153" t="str">
        <v/>
      </c>
      <c r="M299" s="153" t="str">
        <v/>
      </c>
      <c r="N299" s="153" t="str">
        <v/>
      </c>
      <c r="O299" s="153" t="str">
        <v/>
      </c>
      <c r="P299" s="153" t="str">
        <v/>
      </c>
    </row>
    <row r="300" spans="1:16" x14ac:dyDescent="0.2">
      <c r="A300" s="58" t="str">
        <v/>
      </c>
      <c r="B300" s="131" t="str">
        <f>IFERROR(TIMEVALUE(DaqBook_RAW_Data!Q290),IFERROR(TIMEVALUE(DaqBook_RAW_Data!A290),""))</f>
        <v/>
      </c>
      <c r="C300" s="153" t="str">
        <v/>
      </c>
      <c r="D300" s="153" t="str">
        <v/>
      </c>
      <c r="E300" s="153" t="str">
        <v/>
      </c>
      <c r="F300" s="153" t="str">
        <v/>
      </c>
      <c r="G300" s="153" t="str">
        <v/>
      </c>
      <c r="H300" s="153" t="str">
        <v/>
      </c>
      <c r="I300" s="153" t="str">
        <v/>
      </c>
      <c r="J300" s="153" t="str">
        <v/>
      </c>
      <c r="K300" s="153" t="str">
        <v/>
      </c>
      <c r="L300" s="153" t="str">
        <v/>
      </c>
      <c r="M300" s="153" t="str">
        <v/>
      </c>
      <c r="N300" s="153" t="str">
        <v/>
      </c>
      <c r="O300" s="153" t="str">
        <v/>
      </c>
      <c r="P300" s="153" t="str">
        <v/>
      </c>
    </row>
    <row r="301" spans="1:16" x14ac:dyDescent="0.2">
      <c r="A301" s="58" t="str">
        <v/>
      </c>
      <c r="B301" s="131" t="str">
        <f>IFERROR(TIMEVALUE(DaqBook_RAW_Data!Q291),IFERROR(TIMEVALUE(DaqBook_RAW_Data!A291),""))</f>
        <v/>
      </c>
      <c r="C301" s="153" t="str">
        <v/>
      </c>
      <c r="D301" s="153" t="str">
        <v/>
      </c>
      <c r="E301" s="153" t="str">
        <v/>
      </c>
      <c r="F301" s="153" t="str">
        <v/>
      </c>
      <c r="G301" s="153" t="str">
        <v/>
      </c>
      <c r="H301" s="153" t="str">
        <v/>
      </c>
      <c r="I301" s="153" t="str">
        <v/>
      </c>
      <c r="J301" s="153" t="str">
        <v/>
      </c>
      <c r="K301" s="153" t="str">
        <v/>
      </c>
      <c r="L301" s="153" t="str">
        <v/>
      </c>
      <c r="M301" s="153" t="str">
        <v/>
      </c>
      <c r="N301" s="153" t="str">
        <v/>
      </c>
      <c r="O301" s="153" t="str">
        <v/>
      </c>
      <c r="P301" s="153" t="str">
        <v/>
      </c>
    </row>
    <row r="302" spans="1:16" x14ac:dyDescent="0.2">
      <c r="A302" s="58" t="str">
        <v/>
      </c>
      <c r="B302" s="131" t="str">
        <f>IFERROR(TIMEVALUE(DaqBook_RAW_Data!Q292),IFERROR(TIMEVALUE(DaqBook_RAW_Data!A292),""))</f>
        <v/>
      </c>
      <c r="C302" s="153" t="str">
        <v/>
      </c>
      <c r="D302" s="153" t="str">
        <v/>
      </c>
      <c r="E302" s="153" t="str">
        <v/>
      </c>
      <c r="F302" s="153" t="str">
        <v/>
      </c>
      <c r="G302" s="153" t="str">
        <v/>
      </c>
      <c r="H302" s="153" t="str">
        <v/>
      </c>
      <c r="I302" s="153" t="str">
        <v/>
      </c>
      <c r="J302" s="153" t="str">
        <v/>
      </c>
      <c r="K302" s="153" t="str">
        <v/>
      </c>
      <c r="L302" s="153" t="str">
        <v/>
      </c>
      <c r="M302" s="153" t="str">
        <v/>
      </c>
      <c r="N302" s="153" t="str">
        <v/>
      </c>
      <c r="O302" s="153" t="str">
        <v/>
      </c>
      <c r="P302" s="153" t="str">
        <v/>
      </c>
    </row>
    <row r="303" spans="1:16" x14ac:dyDescent="0.2">
      <c r="A303" s="58" t="str">
        <v/>
      </c>
      <c r="B303" s="131" t="str">
        <f>IFERROR(TIMEVALUE(DaqBook_RAW_Data!Q293),IFERROR(TIMEVALUE(DaqBook_RAW_Data!A293),""))</f>
        <v/>
      </c>
      <c r="C303" s="153" t="str">
        <v/>
      </c>
      <c r="D303" s="153" t="str">
        <v/>
      </c>
      <c r="E303" s="153" t="str">
        <v/>
      </c>
      <c r="F303" s="153" t="str">
        <v/>
      </c>
      <c r="G303" s="153" t="str">
        <v/>
      </c>
      <c r="H303" s="153" t="str">
        <v/>
      </c>
      <c r="I303" s="153" t="str">
        <v/>
      </c>
      <c r="J303" s="153" t="str">
        <v/>
      </c>
      <c r="K303" s="153" t="str">
        <v/>
      </c>
      <c r="L303" s="153" t="str">
        <v/>
      </c>
      <c r="M303" s="153" t="str">
        <v/>
      </c>
      <c r="N303" s="153" t="str">
        <v/>
      </c>
      <c r="O303" s="153" t="str">
        <v/>
      </c>
      <c r="P303" s="153" t="str">
        <v/>
      </c>
    </row>
    <row r="304" spans="1:16" x14ac:dyDescent="0.2">
      <c r="A304" s="58" t="str">
        <v/>
      </c>
      <c r="B304" s="131" t="str">
        <f>IFERROR(TIMEVALUE(DaqBook_RAW_Data!Q294),IFERROR(TIMEVALUE(DaqBook_RAW_Data!A294),""))</f>
        <v/>
      </c>
      <c r="C304" s="153" t="str">
        <v/>
      </c>
      <c r="D304" s="153" t="str">
        <v/>
      </c>
      <c r="E304" s="153" t="str">
        <v/>
      </c>
      <c r="F304" s="153" t="str">
        <v/>
      </c>
      <c r="G304" s="153" t="str">
        <v/>
      </c>
      <c r="H304" s="153" t="str">
        <v/>
      </c>
      <c r="I304" s="153" t="str">
        <v/>
      </c>
      <c r="J304" s="153" t="str">
        <v/>
      </c>
      <c r="K304" s="153" t="str">
        <v/>
      </c>
      <c r="L304" s="153" t="str">
        <v/>
      </c>
      <c r="M304" s="153" t="str">
        <v/>
      </c>
      <c r="N304" s="153" t="str">
        <v/>
      </c>
      <c r="O304" s="153" t="str">
        <v/>
      </c>
      <c r="P304" s="153" t="str">
        <v/>
      </c>
    </row>
    <row r="305" spans="1:16" x14ac:dyDescent="0.2">
      <c r="A305" s="58" t="str">
        <v/>
      </c>
      <c r="B305" s="131" t="str">
        <f>IFERROR(TIMEVALUE(DaqBook_RAW_Data!Q295),IFERROR(TIMEVALUE(DaqBook_RAW_Data!A295),""))</f>
        <v/>
      </c>
      <c r="C305" s="153" t="str">
        <v/>
      </c>
      <c r="D305" s="153" t="str">
        <v/>
      </c>
      <c r="E305" s="153" t="str">
        <v/>
      </c>
      <c r="F305" s="153" t="str">
        <v/>
      </c>
      <c r="G305" s="153" t="str">
        <v/>
      </c>
      <c r="H305" s="153" t="str">
        <v/>
      </c>
      <c r="I305" s="153" t="str">
        <v/>
      </c>
      <c r="J305" s="153" t="str">
        <v/>
      </c>
      <c r="K305" s="153" t="str">
        <v/>
      </c>
      <c r="L305" s="153" t="str">
        <v/>
      </c>
      <c r="M305" s="153" t="str">
        <v/>
      </c>
      <c r="N305" s="153" t="str">
        <v/>
      </c>
      <c r="O305" s="153" t="str">
        <v/>
      </c>
      <c r="P305" s="153" t="str">
        <v/>
      </c>
    </row>
    <row r="306" spans="1:16" x14ac:dyDescent="0.2">
      <c r="A306" s="58" t="str">
        <v/>
      </c>
      <c r="B306" s="131" t="str">
        <f>IFERROR(TIMEVALUE(DaqBook_RAW_Data!Q296),IFERROR(TIMEVALUE(DaqBook_RAW_Data!A296),""))</f>
        <v/>
      </c>
      <c r="C306" s="153" t="str">
        <v/>
      </c>
      <c r="D306" s="153" t="str">
        <v/>
      </c>
      <c r="E306" s="153" t="str">
        <v/>
      </c>
      <c r="F306" s="153" t="str">
        <v/>
      </c>
      <c r="G306" s="153" t="str">
        <v/>
      </c>
      <c r="H306" s="153" t="str">
        <v/>
      </c>
      <c r="I306" s="153" t="str">
        <v/>
      </c>
      <c r="J306" s="153" t="str">
        <v/>
      </c>
      <c r="K306" s="153" t="str">
        <v/>
      </c>
      <c r="L306" s="153" t="str">
        <v/>
      </c>
      <c r="M306" s="153" t="str">
        <v/>
      </c>
      <c r="N306" s="153" t="str">
        <v/>
      </c>
      <c r="O306" s="153" t="str">
        <v/>
      </c>
      <c r="P306" s="153" t="str">
        <v/>
      </c>
    </row>
    <row r="307" spans="1:16" x14ac:dyDescent="0.2">
      <c r="A307" s="58" t="str">
        <v/>
      </c>
      <c r="B307" s="131" t="str">
        <f>IFERROR(TIMEVALUE(DaqBook_RAW_Data!Q297),IFERROR(TIMEVALUE(DaqBook_RAW_Data!A297),""))</f>
        <v/>
      </c>
      <c r="C307" s="153" t="str">
        <v/>
      </c>
      <c r="D307" s="153" t="str">
        <v/>
      </c>
      <c r="E307" s="153" t="str">
        <v/>
      </c>
      <c r="F307" s="153" t="str">
        <v/>
      </c>
      <c r="G307" s="153" t="str">
        <v/>
      </c>
      <c r="H307" s="153" t="str">
        <v/>
      </c>
      <c r="I307" s="153" t="str">
        <v/>
      </c>
      <c r="J307" s="153" t="str">
        <v/>
      </c>
      <c r="K307" s="153" t="str">
        <v/>
      </c>
      <c r="L307" s="153" t="str">
        <v/>
      </c>
      <c r="M307" s="153" t="str">
        <v/>
      </c>
      <c r="N307" s="153" t="str">
        <v/>
      </c>
      <c r="O307" s="153" t="str">
        <v/>
      </c>
      <c r="P307" s="153" t="str">
        <v/>
      </c>
    </row>
    <row r="308" spans="1:16" x14ac:dyDescent="0.2">
      <c r="A308" s="58" t="str">
        <v/>
      </c>
      <c r="B308" s="131" t="str">
        <f>IFERROR(TIMEVALUE(DaqBook_RAW_Data!Q298),IFERROR(TIMEVALUE(DaqBook_RAW_Data!A298),""))</f>
        <v/>
      </c>
      <c r="C308" s="153" t="str">
        <v/>
      </c>
      <c r="D308" s="153" t="str">
        <v/>
      </c>
      <c r="E308" s="153" t="str">
        <v/>
      </c>
      <c r="F308" s="153" t="str">
        <v/>
      </c>
      <c r="G308" s="153" t="str">
        <v/>
      </c>
      <c r="H308" s="153" t="str">
        <v/>
      </c>
      <c r="I308" s="153" t="str">
        <v/>
      </c>
      <c r="J308" s="153" t="str">
        <v/>
      </c>
      <c r="K308" s="153" t="str">
        <v/>
      </c>
      <c r="L308" s="153" t="str">
        <v/>
      </c>
      <c r="M308" s="153" t="str">
        <v/>
      </c>
      <c r="N308" s="153" t="str">
        <v/>
      </c>
      <c r="O308" s="153" t="str">
        <v/>
      </c>
      <c r="P308" s="153" t="str">
        <v/>
      </c>
    </row>
    <row r="309" spans="1:16" x14ac:dyDescent="0.2">
      <c r="A309" s="58" t="str">
        <v/>
      </c>
      <c r="B309" s="131" t="str">
        <f>IFERROR(TIMEVALUE(DaqBook_RAW_Data!Q299),IFERROR(TIMEVALUE(DaqBook_RAW_Data!A299),""))</f>
        <v/>
      </c>
      <c r="C309" s="153" t="str">
        <v/>
      </c>
      <c r="D309" s="153" t="str">
        <v/>
      </c>
      <c r="E309" s="153" t="str">
        <v/>
      </c>
      <c r="F309" s="153" t="str">
        <v/>
      </c>
      <c r="G309" s="153" t="str">
        <v/>
      </c>
      <c r="H309" s="153" t="str">
        <v/>
      </c>
      <c r="I309" s="153" t="str">
        <v/>
      </c>
      <c r="J309" s="153" t="str">
        <v/>
      </c>
      <c r="K309" s="153" t="str">
        <v/>
      </c>
      <c r="L309" s="153" t="str">
        <v/>
      </c>
      <c r="M309" s="153" t="str">
        <v/>
      </c>
      <c r="N309" s="153" t="str">
        <v/>
      </c>
      <c r="O309" s="153" t="str">
        <v/>
      </c>
      <c r="P309" s="153" t="str">
        <v/>
      </c>
    </row>
    <row r="310" spans="1:16" x14ac:dyDescent="0.2">
      <c r="A310" s="58" t="str">
        <v/>
      </c>
      <c r="B310" s="131" t="str">
        <f>IFERROR(TIMEVALUE(DaqBook_RAW_Data!Q300),IFERROR(TIMEVALUE(DaqBook_RAW_Data!A300),""))</f>
        <v/>
      </c>
      <c r="C310" s="153" t="str">
        <v/>
      </c>
      <c r="D310" s="153" t="str">
        <v/>
      </c>
      <c r="E310" s="153" t="str">
        <v/>
      </c>
      <c r="F310" s="153" t="str">
        <v/>
      </c>
      <c r="G310" s="153" t="str">
        <v/>
      </c>
      <c r="H310" s="153" t="str">
        <v/>
      </c>
      <c r="I310" s="153" t="str">
        <v/>
      </c>
      <c r="J310" s="153" t="str">
        <v/>
      </c>
      <c r="K310" s="153" t="str">
        <v/>
      </c>
      <c r="L310" s="153" t="str">
        <v/>
      </c>
      <c r="M310" s="153" t="str">
        <v/>
      </c>
      <c r="N310" s="153" t="str">
        <v/>
      </c>
      <c r="O310" s="153" t="str">
        <v/>
      </c>
      <c r="P310" s="153" t="str">
        <v/>
      </c>
    </row>
    <row r="311" spans="1:16" x14ac:dyDescent="0.2">
      <c r="A311" s="58" t="str">
        <v/>
      </c>
      <c r="B311" s="131" t="str">
        <f>IFERROR(TIMEVALUE(DaqBook_RAW_Data!Q301),IFERROR(TIMEVALUE(DaqBook_RAW_Data!A301),""))</f>
        <v/>
      </c>
      <c r="C311" s="153" t="str">
        <v/>
      </c>
      <c r="D311" s="153" t="str">
        <v/>
      </c>
      <c r="E311" s="153" t="str">
        <v/>
      </c>
      <c r="F311" s="153" t="str">
        <v/>
      </c>
      <c r="G311" s="153" t="str">
        <v/>
      </c>
      <c r="H311" s="153" t="str">
        <v/>
      </c>
      <c r="I311" s="153" t="str">
        <v/>
      </c>
      <c r="J311" s="153" t="str">
        <v/>
      </c>
      <c r="K311" s="153" t="str">
        <v/>
      </c>
      <c r="L311" s="153" t="str">
        <v/>
      </c>
      <c r="M311" s="153" t="str">
        <v/>
      </c>
      <c r="N311" s="153" t="str">
        <v/>
      </c>
      <c r="O311" s="153" t="str">
        <v/>
      </c>
      <c r="P311" s="153" t="str">
        <v/>
      </c>
    </row>
    <row r="312" spans="1:16" x14ac:dyDescent="0.2">
      <c r="A312" s="58" t="str">
        <v/>
      </c>
      <c r="B312" s="131" t="str">
        <f>IFERROR(TIMEVALUE(DaqBook_RAW_Data!Q302),IFERROR(TIMEVALUE(DaqBook_RAW_Data!A302),""))</f>
        <v/>
      </c>
      <c r="C312" s="153" t="str">
        <v/>
      </c>
      <c r="D312" s="153" t="str">
        <v/>
      </c>
      <c r="E312" s="153" t="str">
        <v/>
      </c>
      <c r="F312" s="153" t="str">
        <v/>
      </c>
      <c r="G312" s="153" t="str">
        <v/>
      </c>
      <c r="H312" s="153" t="str">
        <v/>
      </c>
      <c r="I312" s="153" t="str">
        <v/>
      </c>
      <c r="J312" s="153" t="str">
        <v/>
      </c>
      <c r="K312" s="153" t="str">
        <v/>
      </c>
      <c r="L312" s="153" t="str">
        <v/>
      </c>
      <c r="M312" s="153" t="str">
        <v/>
      </c>
      <c r="N312" s="153" t="str">
        <v/>
      </c>
      <c r="O312" s="153" t="str">
        <v/>
      </c>
      <c r="P312" s="153" t="str">
        <v/>
      </c>
    </row>
    <row r="313" spans="1:16" x14ac:dyDescent="0.2">
      <c r="A313" s="58" t="str">
        <v/>
      </c>
      <c r="B313" s="131" t="str">
        <f>IFERROR(TIMEVALUE(DaqBook_RAW_Data!Q303),IFERROR(TIMEVALUE(DaqBook_RAW_Data!A303),""))</f>
        <v/>
      </c>
      <c r="C313" s="153" t="str">
        <v/>
      </c>
      <c r="D313" s="153" t="str">
        <v/>
      </c>
      <c r="E313" s="153" t="str">
        <v/>
      </c>
      <c r="F313" s="153" t="str">
        <v/>
      </c>
      <c r="G313" s="153" t="str">
        <v/>
      </c>
      <c r="H313" s="153" t="str">
        <v/>
      </c>
      <c r="I313" s="153" t="str">
        <v/>
      </c>
      <c r="J313" s="153" t="str">
        <v/>
      </c>
      <c r="K313" s="153" t="str">
        <v/>
      </c>
      <c r="L313" s="153" t="str">
        <v/>
      </c>
      <c r="M313" s="153" t="str">
        <v/>
      </c>
      <c r="N313" s="153" t="str">
        <v/>
      </c>
      <c r="O313" s="153" t="str">
        <v/>
      </c>
      <c r="P313" s="153" t="str">
        <v/>
      </c>
    </row>
    <row r="314" spans="1:16" x14ac:dyDescent="0.2">
      <c r="A314" s="58" t="str">
        <v/>
      </c>
      <c r="B314" s="131" t="str">
        <f>IFERROR(TIMEVALUE(DaqBook_RAW_Data!Q304),IFERROR(TIMEVALUE(DaqBook_RAW_Data!A304),""))</f>
        <v/>
      </c>
      <c r="C314" s="153" t="str">
        <v/>
      </c>
      <c r="D314" s="153" t="str">
        <v/>
      </c>
      <c r="E314" s="153" t="str">
        <v/>
      </c>
      <c r="F314" s="153" t="str">
        <v/>
      </c>
      <c r="G314" s="153" t="str">
        <v/>
      </c>
      <c r="H314" s="153" t="str">
        <v/>
      </c>
      <c r="I314" s="153" t="str">
        <v/>
      </c>
      <c r="J314" s="153" t="str">
        <v/>
      </c>
      <c r="K314" s="153" t="str">
        <v/>
      </c>
      <c r="L314" s="153" t="str">
        <v/>
      </c>
      <c r="M314" s="153" t="str">
        <v/>
      </c>
      <c r="N314" s="153" t="str">
        <v/>
      </c>
      <c r="O314" s="153" t="str">
        <v/>
      </c>
      <c r="P314" s="153" t="str">
        <v/>
      </c>
    </row>
    <row r="315" spans="1:16" x14ac:dyDescent="0.2">
      <c r="A315" s="58" t="str">
        <v/>
      </c>
      <c r="B315" s="131" t="str">
        <f>IFERROR(TIMEVALUE(DaqBook_RAW_Data!Q305),IFERROR(TIMEVALUE(DaqBook_RAW_Data!A305),""))</f>
        <v/>
      </c>
      <c r="C315" s="153" t="str">
        <v/>
      </c>
      <c r="D315" s="153" t="str">
        <v/>
      </c>
      <c r="E315" s="153" t="str">
        <v/>
      </c>
      <c r="F315" s="153" t="str">
        <v/>
      </c>
      <c r="G315" s="153" t="str">
        <v/>
      </c>
      <c r="H315" s="153" t="str">
        <v/>
      </c>
      <c r="I315" s="153" t="str">
        <v/>
      </c>
      <c r="J315" s="153" t="str">
        <v/>
      </c>
      <c r="K315" s="153" t="str">
        <v/>
      </c>
      <c r="L315" s="153" t="str">
        <v/>
      </c>
      <c r="M315" s="153" t="str">
        <v/>
      </c>
      <c r="N315" s="153" t="str">
        <v/>
      </c>
      <c r="O315" s="153" t="str">
        <v/>
      </c>
      <c r="P315" s="153" t="str">
        <v/>
      </c>
    </row>
    <row r="316" spans="1:16" x14ac:dyDescent="0.2">
      <c r="A316" s="58" t="str">
        <v/>
      </c>
      <c r="B316" s="131" t="str">
        <f>IFERROR(TIMEVALUE(DaqBook_RAW_Data!Q306),IFERROR(TIMEVALUE(DaqBook_RAW_Data!A306),""))</f>
        <v/>
      </c>
      <c r="C316" s="153" t="str">
        <v/>
      </c>
      <c r="D316" s="153" t="str">
        <v/>
      </c>
      <c r="E316" s="153" t="str">
        <v/>
      </c>
      <c r="F316" s="153" t="str">
        <v/>
      </c>
      <c r="G316" s="153" t="str">
        <v/>
      </c>
      <c r="H316" s="153" t="str">
        <v/>
      </c>
      <c r="I316" s="153" t="str">
        <v/>
      </c>
      <c r="J316" s="153" t="str">
        <v/>
      </c>
      <c r="K316" s="153" t="str">
        <v/>
      </c>
      <c r="L316" s="153" t="str">
        <v/>
      </c>
      <c r="M316" s="153" t="str">
        <v/>
      </c>
      <c r="N316" s="153" t="str">
        <v/>
      </c>
      <c r="O316" s="153" t="str">
        <v/>
      </c>
      <c r="P316" s="153" t="str">
        <v/>
      </c>
    </row>
    <row r="317" spans="1:16" x14ac:dyDescent="0.2">
      <c r="A317" s="58" t="str">
        <v/>
      </c>
      <c r="B317" s="131" t="str">
        <f>IFERROR(TIMEVALUE(DaqBook_RAW_Data!Q307),IFERROR(TIMEVALUE(DaqBook_RAW_Data!A307),""))</f>
        <v/>
      </c>
      <c r="C317" s="153" t="str">
        <v/>
      </c>
      <c r="D317" s="153" t="str">
        <v/>
      </c>
      <c r="E317" s="153" t="str">
        <v/>
      </c>
      <c r="F317" s="153" t="str">
        <v/>
      </c>
      <c r="G317" s="153" t="str">
        <v/>
      </c>
      <c r="H317" s="153" t="str">
        <v/>
      </c>
      <c r="I317" s="153" t="str">
        <v/>
      </c>
      <c r="J317" s="153" t="str">
        <v/>
      </c>
      <c r="K317" s="153" t="str">
        <v/>
      </c>
      <c r="L317" s="153" t="str">
        <v/>
      </c>
      <c r="M317" s="153" t="str">
        <v/>
      </c>
      <c r="N317" s="153" t="str">
        <v/>
      </c>
      <c r="O317" s="153" t="str">
        <v/>
      </c>
      <c r="P317" s="153" t="str">
        <v/>
      </c>
    </row>
    <row r="318" spans="1:16" x14ac:dyDescent="0.2">
      <c r="A318" s="58" t="str">
        <v/>
      </c>
      <c r="B318" s="131" t="str">
        <f>IFERROR(TIMEVALUE(DaqBook_RAW_Data!Q308),IFERROR(TIMEVALUE(DaqBook_RAW_Data!A308),""))</f>
        <v/>
      </c>
      <c r="C318" s="153" t="str">
        <v/>
      </c>
      <c r="D318" s="153" t="str">
        <v/>
      </c>
      <c r="E318" s="153" t="str">
        <v/>
      </c>
      <c r="F318" s="153" t="str">
        <v/>
      </c>
      <c r="G318" s="153" t="str">
        <v/>
      </c>
      <c r="H318" s="153" t="str">
        <v/>
      </c>
      <c r="I318" s="153" t="str">
        <v/>
      </c>
      <c r="J318" s="153" t="str">
        <v/>
      </c>
      <c r="K318" s="153" t="str">
        <v/>
      </c>
      <c r="L318" s="153" t="str">
        <v/>
      </c>
      <c r="M318" s="153" t="str">
        <v/>
      </c>
      <c r="N318" s="153" t="str">
        <v/>
      </c>
      <c r="O318" s="153" t="str">
        <v/>
      </c>
      <c r="P318" s="153" t="str">
        <v/>
      </c>
    </row>
    <row r="319" spans="1:16" x14ac:dyDescent="0.2">
      <c r="A319" s="58" t="str">
        <v/>
      </c>
      <c r="B319" s="131" t="str">
        <f>IFERROR(TIMEVALUE(DaqBook_RAW_Data!Q309),IFERROR(TIMEVALUE(DaqBook_RAW_Data!A309),""))</f>
        <v/>
      </c>
      <c r="C319" s="153" t="str">
        <v/>
      </c>
      <c r="D319" s="153" t="str">
        <v/>
      </c>
      <c r="E319" s="153" t="str">
        <v/>
      </c>
      <c r="F319" s="153" t="str">
        <v/>
      </c>
      <c r="G319" s="153" t="str">
        <v/>
      </c>
      <c r="H319" s="153" t="str">
        <v/>
      </c>
      <c r="I319" s="153" t="str">
        <v/>
      </c>
      <c r="J319" s="153" t="str">
        <v/>
      </c>
      <c r="K319" s="153" t="str">
        <v/>
      </c>
      <c r="L319" s="153" t="str">
        <v/>
      </c>
      <c r="M319" s="153" t="str">
        <v/>
      </c>
      <c r="N319" s="153" t="str">
        <v/>
      </c>
      <c r="O319" s="153" t="str">
        <v/>
      </c>
      <c r="P319" s="153" t="str">
        <v/>
      </c>
    </row>
    <row r="320" spans="1:16" x14ac:dyDescent="0.2">
      <c r="A320" s="58" t="str">
        <v/>
      </c>
      <c r="B320" s="131" t="str">
        <f>IFERROR(TIMEVALUE(DaqBook_RAW_Data!Q310),IFERROR(TIMEVALUE(DaqBook_RAW_Data!A310),""))</f>
        <v/>
      </c>
      <c r="C320" s="153" t="str">
        <v/>
      </c>
      <c r="D320" s="153" t="str">
        <v/>
      </c>
      <c r="E320" s="153" t="str">
        <v/>
      </c>
      <c r="F320" s="153" t="str">
        <v/>
      </c>
      <c r="G320" s="153" t="str">
        <v/>
      </c>
      <c r="H320" s="153" t="str">
        <v/>
      </c>
      <c r="I320" s="153" t="str">
        <v/>
      </c>
      <c r="J320" s="153" t="str">
        <v/>
      </c>
      <c r="K320" s="153" t="str">
        <v/>
      </c>
      <c r="L320" s="153" t="str">
        <v/>
      </c>
      <c r="M320" s="153" t="str">
        <v/>
      </c>
      <c r="N320" s="153" t="str">
        <v/>
      </c>
      <c r="O320" s="153" t="str">
        <v/>
      </c>
      <c r="P320" s="153" t="str">
        <v/>
      </c>
    </row>
    <row r="321" spans="1:16" x14ac:dyDescent="0.2">
      <c r="A321" s="58" t="str">
        <v/>
      </c>
      <c r="B321" s="131" t="str">
        <f>IFERROR(TIMEVALUE(DaqBook_RAW_Data!Q311),IFERROR(TIMEVALUE(DaqBook_RAW_Data!A311),""))</f>
        <v/>
      </c>
      <c r="C321" s="153" t="str">
        <v/>
      </c>
      <c r="D321" s="153" t="str">
        <v/>
      </c>
      <c r="E321" s="153" t="str">
        <v/>
      </c>
      <c r="F321" s="153" t="str">
        <v/>
      </c>
      <c r="G321" s="153" t="str">
        <v/>
      </c>
      <c r="H321" s="153" t="str">
        <v/>
      </c>
      <c r="I321" s="153" t="str">
        <v/>
      </c>
      <c r="J321" s="153" t="str">
        <v/>
      </c>
      <c r="K321" s="153" t="str">
        <v/>
      </c>
      <c r="L321" s="153" t="str">
        <v/>
      </c>
      <c r="M321" s="153" t="str">
        <v/>
      </c>
      <c r="N321" s="153" t="str">
        <v/>
      </c>
      <c r="O321" s="153" t="str">
        <v/>
      </c>
      <c r="P321" s="153" t="str">
        <v/>
      </c>
    </row>
    <row r="322" spans="1:16" x14ac:dyDescent="0.2">
      <c r="A322" s="58" t="str">
        <v/>
      </c>
      <c r="B322" s="131" t="str">
        <f>IFERROR(TIMEVALUE(DaqBook_RAW_Data!Q312),IFERROR(TIMEVALUE(DaqBook_RAW_Data!A312),""))</f>
        <v/>
      </c>
      <c r="C322" s="153" t="str">
        <v/>
      </c>
      <c r="D322" s="153" t="str">
        <v/>
      </c>
      <c r="E322" s="153" t="str">
        <v/>
      </c>
      <c r="F322" s="153" t="str">
        <v/>
      </c>
      <c r="G322" s="153" t="str">
        <v/>
      </c>
      <c r="H322" s="153" t="str">
        <v/>
      </c>
      <c r="I322" s="153" t="str">
        <v/>
      </c>
      <c r="J322" s="153" t="str">
        <v/>
      </c>
      <c r="K322" s="153" t="str">
        <v/>
      </c>
      <c r="L322" s="153" t="str">
        <v/>
      </c>
      <c r="M322" s="153" t="str">
        <v/>
      </c>
      <c r="N322" s="153" t="str">
        <v/>
      </c>
      <c r="O322" s="153" t="str">
        <v/>
      </c>
      <c r="P322" s="153" t="str">
        <v/>
      </c>
    </row>
    <row r="323" spans="1:16" x14ac:dyDescent="0.2">
      <c r="A323" s="58" t="str">
        <v/>
      </c>
      <c r="B323" s="131" t="str">
        <f>IFERROR(TIMEVALUE(DaqBook_RAW_Data!Q313),IFERROR(TIMEVALUE(DaqBook_RAW_Data!A313),""))</f>
        <v/>
      </c>
      <c r="C323" s="153" t="str">
        <v/>
      </c>
      <c r="D323" s="153" t="str">
        <v/>
      </c>
      <c r="E323" s="153" t="str">
        <v/>
      </c>
      <c r="F323" s="153" t="str">
        <v/>
      </c>
      <c r="G323" s="153" t="str">
        <v/>
      </c>
      <c r="H323" s="153" t="str">
        <v/>
      </c>
      <c r="I323" s="153" t="str">
        <v/>
      </c>
      <c r="J323" s="153" t="str">
        <v/>
      </c>
      <c r="K323" s="153" t="str">
        <v/>
      </c>
      <c r="L323" s="153" t="str">
        <v/>
      </c>
      <c r="M323" s="153" t="str">
        <v/>
      </c>
      <c r="N323" s="153" t="str">
        <v/>
      </c>
      <c r="O323" s="153" t="str">
        <v/>
      </c>
      <c r="P323" s="153" t="str">
        <v/>
      </c>
    </row>
    <row r="324" spans="1:16" x14ac:dyDescent="0.2">
      <c r="A324" s="58" t="str">
        <v/>
      </c>
      <c r="B324" s="131" t="str">
        <f>IFERROR(TIMEVALUE(DaqBook_RAW_Data!Q314),IFERROR(TIMEVALUE(DaqBook_RAW_Data!A314),""))</f>
        <v/>
      </c>
      <c r="C324" s="153" t="str">
        <v/>
      </c>
      <c r="D324" s="153" t="str">
        <v/>
      </c>
      <c r="E324" s="153" t="str">
        <v/>
      </c>
      <c r="F324" s="153" t="str">
        <v/>
      </c>
      <c r="G324" s="153" t="str">
        <v/>
      </c>
      <c r="H324" s="153" t="str">
        <v/>
      </c>
      <c r="I324" s="153" t="str">
        <v/>
      </c>
      <c r="J324" s="153" t="str">
        <v/>
      </c>
      <c r="K324" s="153" t="str">
        <v/>
      </c>
      <c r="L324" s="153" t="str">
        <v/>
      </c>
      <c r="M324" s="153" t="str">
        <v/>
      </c>
      <c r="N324" s="153" t="str">
        <v/>
      </c>
      <c r="O324" s="153" t="str">
        <v/>
      </c>
      <c r="P324" s="153" t="str">
        <v/>
      </c>
    </row>
    <row r="325" spans="1:16" x14ac:dyDescent="0.2">
      <c r="A325" s="58" t="str">
        <v/>
      </c>
      <c r="B325" s="131" t="str">
        <f>IFERROR(TIMEVALUE(DaqBook_RAW_Data!Q315),IFERROR(TIMEVALUE(DaqBook_RAW_Data!A315),""))</f>
        <v/>
      </c>
      <c r="C325" s="153" t="str">
        <v/>
      </c>
      <c r="D325" s="153" t="str">
        <v/>
      </c>
      <c r="E325" s="153" t="str">
        <v/>
      </c>
      <c r="F325" s="153" t="str">
        <v/>
      </c>
      <c r="G325" s="153" t="str">
        <v/>
      </c>
      <c r="H325" s="153" t="str">
        <v/>
      </c>
      <c r="I325" s="153" t="str">
        <v/>
      </c>
      <c r="J325" s="153" t="str">
        <v/>
      </c>
      <c r="K325" s="153" t="str">
        <v/>
      </c>
      <c r="L325" s="153" t="str">
        <v/>
      </c>
      <c r="M325" s="153" t="str">
        <v/>
      </c>
      <c r="N325" s="153" t="str">
        <v/>
      </c>
      <c r="O325" s="153" t="str">
        <v/>
      </c>
      <c r="P325" s="153" t="str">
        <v/>
      </c>
    </row>
    <row r="326" spans="1:16" x14ac:dyDescent="0.2">
      <c r="A326" s="58" t="str">
        <v/>
      </c>
      <c r="B326" s="131" t="str">
        <f>IFERROR(TIMEVALUE(DaqBook_RAW_Data!Q316),IFERROR(TIMEVALUE(DaqBook_RAW_Data!A316),""))</f>
        <v/>
      </c>
      <c r="C326" s="153" t="str">
        <v/>
      </c>
      <c r="D326" s="153" t="str">
        <v/>
      </c>
      <c r="E326" s="153" t="str">
        <v/>
      </c>
      <c r="F326" s="153" t="str">
        <v/>
      </c>
      <c r="G326" s="153" t="str">
        <v/>
      </c>
      <c r="H326" s="153" t="str">
        <v/>
      </c>
      <c r="I326" s="153" t="str">
        <v/>
      </c>
      <c r="J326" s="153" t="str">
        <v/>
      </c>
      <c r="K326" s="153" t="str">
        <v/>
      </c>
      <c r="L326" s="153" t="str">
        <v/>
      </c>
      <c r="M326" s="153" t="str">
        <v/>
      </c>
      <c r="N326" s="153" t="str">
        <v/>
      </c>
      <c r="O326" s="153" t="str">
        <v/>
      </c>
      <c r="P326" s="153" t="str">
        <v/>
      </c>
    </row>
    <row r="327" spans="1:16" x14ac:dyDescent="0.2">
      <c r="A327" s="58" t="str">
        <v/>
      </c>
      <c r="B327" s="131" t="str">
        <f>IFERROR(TIMEVALUE(DaqBook_RAW_Data!Q317),IFERROR(TIMEVALUE(DaqBook_RAW_Data!A317),""))</f>
        <v/>
      </c>
      <c r="C327" s="153" t="str">
        <v/>
      </c>
      <c r="D327" s="153" t="str">
        <v/>
      </c>
      <c r="E327" s="153" t="str">
        <v/>
      </c>
      <c r="F327" s="153" t="str">
        <v/>
      </c>
      <c r="G327" s="153" t="str">
        <v/>
      </c>
      <c r="H327" s="153" t="str">
        <v/>
      </c>
      <c r="I327" s="153" t="str">
        <v/>
      </c>
      <c r="J327" s="153" t="str">
        <v/>
      </c>
      <c r="K327" s="153" t="str">
        <v/>
      </c>
      <c r="L327" s="153" t="str">
        <v/>
      </c>
      <c r="M327" s="153" t="str">
        <v/>
      </c>
      <c r="N327" s="153" t="str">
        <v/>
      </c>
      <c r="O327" s="153" t="str">
        <v/>
      </c>
      <c r="P327" s="153" t="str">
        <v/>
      </c>
    </row>
    <row r="328" spans="1:16" x14ac:dyDescent="0.2">
      <c r="A328" s="58" t="str">
        <v/>
      </c>
      <c r="B328" s="131" t="str">
        <f>IFERROR(TIMEVALUE(DaqBook_RAW_Data!Q318),IFERROR(TIMEVALUE(DaqBook_RAW_Data!A318),""))</f>
        <v/>
      </c>
      <c r="C328" s="153" t="str">
        <v/>
      </c>
      <c r="D328" s="153" t="str">
        <v/>
      </c>
      <c r="E328" s="153" t="str">
        <v/>
      </c>
      <c r="F328" s="153" t="str">
        <v/>
      </c>
      <c r="G328" s="153" t="str">
        <v/>
      </c>
      <c r="H328" s="153" t="str">
        <v/>
      </c>
      <c r="I328" s="153" t="str">
        <v/>
      </c>
      <c r="J328" s="153" t="str">
        <v/>
      </c>
      <c r="K328" s="153" t="str">
        <v/>
      </c>
      <c r="L328" s="153" t="str">
        <v/>
      </c>
      <c r="M328" s="153" t="str">
        <v/>
      </c>
      <c r="N328" s="153" t="str">
        <v/>
      </c>
      <c r="O328" s="153" t="str">
        <v/>
      </c>
      <c r="P328" s="153" t="str">
        <v/>
      </c>
    </row>
    <row r="329" spans="1:16" x14ac:dyDescent="0.2">
      <c r="A329" s="58" t="str">
        <v/>
      </c>
      <c r="B329" s="131" t="str">
        <f>IFERROR(TIMEVALUE(DaqBook_RAW_Data!Q319),IFERROR(TIMEVALUE(DaqBook_RAW_Data!A319),""))</f>
        <v/>
      </c>
      <c r="C329" s="153" t="str">
        <v/>
      </c>
      <c r="D329" s="153" t="str">
        <v/>
      </c>
      <c r="E329" s="153" t="str">
        <v/>
      </c>
      <c r="F329" s="153" t="str">
        <v/>
      </c>
      <c r="G329" s="153" t="str">
        <v/>
      </c>
      <c r="H329" s="153" t="str">
        <v/>
      </c>
      <c r="I329" s="153" t="str">
        <v/>
      </c>
      <c r="J329" s="153" t="str">
        <v/>
      </c>
      <c r="K329" s="153" t="str">
        <v/>
      </c>
      <c r="L329" s="153" t="str">
        <v/>
      </c>
      <c r="M329" s="153" t="str">
        <v/>
      </c>
      <c r="N329" s="153" t="str">
        <v/>
      </c>
      <c r="O329" s="153" t="str">
        <v/>
      </c>
      <c r="P329" s="153" t="str">
        <v/>
      </c>
    </row>
    <row r="330" spans="1:16" x14ac:dyDescent="0.2">
      <c r="A330" s="58" t="str">
        <v/>
      </c>
      <c r="B330" s="131" t="str">
        <f>IFERROR(TIMEVALUE(DaqBook_RAW_Data!Q320),IFERROR(TIMEVALUE(DaqBook_RAW_Data!A320),""))</f>
        <v/>
      </c>
      <c r="C330" s="153" t="str">
        <v/>
      </c>
      <c r="D330" s="153" t="str">
        <v/>
      </c>
      <c r="E330" s="153" t="str">
        <v/>
      </c>
      <c r="F330" s="153" t="str">
        <v/>
      </c>
      <c r="G330" s="153" t="str">
        <v/>
      </c>
      <c r="H330" s="153" t="str">
        <v/>
      </c>
      <c r="I330" s="153" t="str">
        <v/>
      </c>
      <c r="J330" s="153" t="str">
        <v/>
      </c>
      <c r="K330" s="153" t="str">
        <v/>
      </c>
      <c r="L330" s="153" t="str">
        <v/>
      </c>
      <c r="M330" s="153" t="str">
        <v/>
      </c>
      <c r="N330" s="153" t="str">
        <v/>
      </c>
      <c r="O330" s="153" t="str">
        <v/>
      </c>
      <c r="P330" s="153" t="str">
        <v/>
      </c>
    </row>
    <row r="331" spans="1:16" x14ac:dyDescent="0.2">
      <c r="A331" s="58" t="str">
        <v/>
      </c>
      <c r="B331" s="131" t="str">
        <f>IFERROR(TIMEVALUE(DaqBook_RAW_Data!Q321),IFERROR(TIMEVALUE(DaqBook_RAW_Data!A321),""))</f>
        <v/>
      </c>
      <c r="C331" s="153" t="str">
        <v/>
      </c>
      <c r="D331" s="153" t="str">
        <v/>
      </c>
      <c r="E331" s="153" t="str">
        <v/>
      </c>
      <c r="F331" s="153" t="str">
        <v/>
      </c>
      <c r="G331" s="153" t="str">
        <v/>
      </c>
      <c r="H331" s="153" t="str">
        <v/>
      </c>
      <c r="I331" s="153" t="str">
        <v/>
      </c>
      <c r="J331" s="153" t="str">
        <v/>
      </c>
      <c r="K331" s="153" t="str">
        <v/>
      </c>
      <c r="L331" s="153" t="str">
        <v/>
      </c>
      <c r="M331" s="153" t="str">
        <v/>
      </c>
      <c r="N331" s="153" t="str">
        <v/>
      </c>
      <c r="O331" s="153" t="str">
        <v/>
      </c>
      <c r="P331" s="153" t="str">
        <v/>
      </c>
    </row>
    <row r="332" spans="1:16" x14ac:dyDescent="0.2">
      <c r="A332" s="58" t="str">
        <v/>
      </c>
      <c r="B332" s="131" t="str">
        <f>IFERROR(TIMEVALUE(DaqBook_RAW_Data!Q322),IFERROR(TIMEVALUE(DaqBook_RAW_Data!A322),""))</f>
        <v/>
      </c>
      <c r="C332" s="153" t="str">
        <v/>
      </c>
      <c r="D332" s="153" t="str">
        <v/>
      </c>
      <c r="E332" s="153" t="str">
        <v/>
      </c>
      <c r="F332" s="153" t="str">
        <v/>
      </c>
      <c r="G332" s="153" t="str">
        <v/>
      </c>
      <c r="H332" s="153" t="str">
        <v/>
      </c>
      <c r="I332" s="153" t="str">
        <v/>
      </c>
      <c r="J332" s="153" t="str">
        <v/>
      </c>
      <c r="K332" s="153" t="str">
        <v/>
      </c>
      <c r="L332" s="153" t="str">
        <v/>
      </c>
      <c r="M332" s="153" t="str">
        <v/>
      </c>
      <c r="N332" s="153" t="str">
        <v/>
      </c>
      <c r="O332" s="153" t="str">
        <v/>
      </c>
      <c r="P332" s="153" t="str">
        <v/>
      </c>
    </row>
    <row r="333" spans="1:16" x14ac:dyDescent="0.2">
      <c r="A333" s="58" t="str">
        <v/>
      </c>
      <c r="B333" s="131" t="str">
        <f>IFERROR(TIMEVALUE(DaqBook_RAW_Data!Q323),IFERROR(TIMEVALUE(DaqBook_RAW_Data!A323),""))</f>
        <v/>
      </c>
      <c r="C333" s="153" t="str">
        <v/>
      </c>
      <c r="D333" s="153" t="str">
        <v/>
      </c>
      <c r="E333" s="153" t="str">
        <v/>
      </c>
      <c r="F333" s="153" t="str">
        <v/>
      </c>
      <c r="G333" s="153" t="str">
        <v/>
      </c>
      <c r="H333" s="153" t="str">
        <v/>
      </c>
      <c r="I333" s="153" t="str">
        <v/>
      </c>
      <c r="J333" s="153" t="str">
        <v/>
      </c>
      <c r="K333" s="153" t="str">
        <v/>
      </c>
      <c r="L333" s="153" t="str">
        <v/>
      </c>
      <c r="M333" s="153" t="str">
        <v/>
      </c>
      <c r="N333" s="153" t="str">
        <v/>
      </c>
      <c r="O333" s="153" t="str">
        <v/>
      </c>
      <c r="P333" s="153" t="str">
        <v/>
      </c>
    </row>
    <row r="334" spans="1:16" x14ac:dyDescent="0.2">
      <c r="A334" s="58" t="str">
        <v/>
      </c>
      <c r="B334" s="131" t="str">
        <f>IFERROR(TIMEVALUE(DaqBook_RAW_Data!Q324),IFERROR(TIMEVALUE(DaqBook_RAW_Data!A324),""))</f>
        <v/>
      </c>
      <c r="C334" s="153" t="str">
        <v/>
      </c>
      <c r="D334" s="153" t="str">
        <v/>
      </c>
      <c r="E334" s="153" t="str">
        <v/>
      </c>
      <c r="F334" s="153" t="str">
        <v/>
      </c>
      <c r="G334" s="153" t="str">
        <v/>
      </c>
      <c r="H334" s="153" t="str">
        <v/>
      </c>
      <c r="I334" s="153" t="str">
        <v/>
      </c>
      <c r="J334" s="153" t="str">
        <v/>
      </c>
      <c r="K334" s="153" t="str">
        <v/>
      </c>
      <c r="L334" s="153" t="str">
        <v/>
      </c>
      <c r="M334" s="153" t="str">
        <v/>
      </c>
      <c r="N334" s="153" t="str">
        <v/>
      </c>
      <c r="O334" s="153" t="str">
        <v/>
      </c>
      <c r="P334" s="153" t="str">
        <v/>
      </c>
    </row>
    <row r="335" spans="1:16" x14ac:dyDescent="0.2">
      <c r="A335" s="58" t="str">
        <v/>
      </c>
      <c r="B335" s="131" t="str">
        <f>IFERROR(TIMEVALUE(DaqBook_RAW_Data!Q325),IFERROR(TIMEVALUE(DaqBook_RAW_Data!A325),""))</f>
        <v/>
      </c>
      <c r="C335" s="153" t="str">
        <v/>
      </c>
      <c r="D335" s="153" t="str">
        <v/>
      </c>
      <c r="E335" s="153" t="str">
        <v/>
      </c>
      <c r="F335" s="153" t="str">
        <v/>
      </c>
      <c r="G335" s="153" t="str">
        <v/>
      </c>
      <c r="H335" s="153" t="str">
        <v/>
      </c>
      <c r="I335" s="153" t="str">
        <v/>
      </c>
      <c r="J335" s="153" t="str">
        <v/>
      </c>
      <c r="K335" s="153" t="str">
        <v/>
      </c>
      <c r="L335" s="153" t="str">
        <v/>
      </c>
      <c r="M335" s="153" t="str">
        <v/>
      </c>
      <c r="N335" s="153" t="str">
        <v/>
      </c>
      <c r="O335" s="153" t="str">
        <v/>
      </c>
      <c r="P335" s="153" t="str">
        <v/>
      </c>
    </row>
    <row r="336" spans="1:16" x14ac:dyDescent="0.2">
      <c r="A336" s="58" t="str">
        <v/>
      </c>
      <c r="B336" s="131" t="str">
        <f>IFERROR(TIMEVALUE(DaqBook_RAW_Data!Q326),IFERROR(TIMEVALUE(DaqBook_RAW_Data!A326),""))</f>
        <v/>
      </c>
      <c r="C336" s="153" t="str">
        <v/>
      </c>
      <c r="D336" s="153" t="str">
        <v/>
      </c>
      <c r="E336" s="153" t="str">
        <v/>
      </c>
      <c r="F336" s="153" t="str">
        <v/>
      </c>
      <c r="G336" s="153" t="str">
        <v/>
      </c>
      <c r="H336" s="153" t="str">
        <v/>
      </c>
      <c r="I336" s="153" t="str">
        <v/>
      </c>
      <c r="J336" s="153" t="str">
        <v/>
      </c>
      <c r="K336" s="153" t="str">
        <v/>
      </c>
      <c r="L336" s="153" t="str">
        <v/>
      </c>
      <c r="M336" s="153" t="str">
        <v/>
      </c>
      <c r="N336" s="153" t="str">
        <v/>
      </c>
      <c r="O336" s="153" t="str">
        <v/>
      </c>
      <c r="P336" s="153" t="str">
        <v/>
      </c>
    </row>
    <row r="337" spans="1:16" x14ac:dyDescent="0.2">
      <c r="A337" s="58" t="str">
        <v/>
      </c>
      <c r="B337" s="131" t="str">
        <f>IFERROR(TIMEVALUE(DaqBook_RAW_Data!Q327),IFERROR(TIMEVALUE(DaqBook_RAW_Data!A327),""))</f>
        <v/>
      </c>
      <c r="C337" s="153" t="str">
        <v/>
      </c>
      <c r="D337" s="153" t="str">
        <v/>
      </c>
      <c r="E337" s="153" t="str">
        <v/>
      </c>
      <c r="F337" s="153" t="str">
        <v/>
      </c>
      <c r="G337" s="153" t="str">
        <v/>
      </c>
      <c r="H337" s="153" t="str">
        <v/>
      </c>
      <c r="I337" s="153" t="str">
        <v/>
      </c>
      <c r="J337" s="153" t="str">
        <v/>
      </c>
      <c r="K337" s="153" t="str">
        <v/>
      </c>
      <c r="L337" s="153" t="str">
        <v/>
      </c>
      <c r="M337" s="153" t="str">
        <v/>
      </c>
      <c r="N337" s="153" t="str">
        <v/>
      </c>
      <c r="O337" s="153" t="str">
        <v/>
      </c>
      <c r="P337" s="153" t="str">
        <v/>
      </c>
    </row>
    <row r="338" spans="1:16" x14ac:dyDescent="0.2">
      <c r="A338" s="58" t="str">
        <v/>
      </c>
      <c r="B338" s="131" t="str">
        <f>IFERROR(TIMEVALUE(DaqBook_RAW_Data!Q328),IFERROR(TIMEVALUE(DaqBook_RAW_Data!A328),""))</f>
        <v/>
      </c>
      <c r="C338" s="153" t="str">
        <v/>
      </c>
      <c r="D338" s="153" t="str">
        <v/>
      </c>
      <c r="E338" s="153" t="str">
        <v/>
      </c>
      <c r="F338" s="153" t="str">
        <v/>
      </c>
      <c r="G338" s="153" t="str">
        <v/>
      </c>
      <c r="H338" s="153" t="str">
        <v/>
      </c>
      <c r="I338" s="153" t="str">
        <v/>
      </c>
      <c r="J338" s="153" t="str">
        <v/>
      </c>
      <c r="K338" s="153" t="str">
        <v/>
      </c>
      <c r="L338" s="153" t="str">
        <v/>
      </c>
      <c r="M338" s="153" t="str">
        <v/>
      </c>
      <c r="N338" s="153" t="str">
        <v/>
      </c>
      <c r="O338" s="153" t="str">
        <v/>
      </c>
      <c r="P338" s="153" t="str">
        <v/>
      </c>
    </row>
    <row r="339" spans="1:16" x14ac:dyDescent="0.2">
      <c r="A339" s="58" t="str">
        <v/>
      </c>
      <c r="B339" s="131" t="str">
        <f>IFERROR(TIMEVALUE(DaqBook_RAW_Data!Q329),IFERROR(TIMEVALUE(DaqBook_RAW_Data!A329),""))</f>
        <v/>
      </c>
      <c r="C339" s="153" t="str">
        <v/>
      </c>
      <c r="D339" s="153" t="str">
        <v/>
      </c>
      <c r="E339" s="153" t="str">
        <v/>
      </c>
      <c r="F339" s="153" t="str">
        <v/>
      </c>
      <c r="G339" s="153" t="str">
        <v/>
      </c>
      <c r="H339" s="153" t="str">
        <v/>
      </c>
      <c r="I339" s="153" t="str">
        <v/>
      </c>
      <c r="J339" s="153" t="str">
        <v/>
      </c>
      <c r="K339" s="153" t="str">
        <v/>
      </c>
      <c r="L339" s="153" t="str">
        <v/>
      </c>
      <c r="M339" s="153" t="str">
        <v/>
      </c>
      <c r="N339" s="153" t="str">
        <v/>
      </c>
      <c r="O339" s="153" t="str">
        <v/>
      </c>
      <c r="P339" s="153" t="str">
        <v/>
      </c>
    </row>
    <row r="340" spans="1:16" x14ac:dyDescent="0.2">
      <c r="A340" s="58" t="str">
        <v/>
      </c>
      <c r="B340" s="131" t="str">
        <f>IFERROR(TIMEVALUE(DaqBook_RAW_Data!Q330),IFERROR(TIMEVALUE(DaqBook_RAW_Data!A330),""))</f>
        <v/>
      </c>
      <c r="C340" s="153" t="str">
        <v/>
      </c>
      <c r="D340" s="153" t="str">
        <v/>
      </c>
      <c r="E340" s="153" t="str">
        <v/>
      </c>
      <c r="F340" s="153" t="str">
        <v/>
      </c>
      <c r="G340" s="153" t="str">
        <v/>
      </c>
      <c r="H340" s="153" t="str">
        <v/>
      </c>
      <c r="I340" s="153" t="str">
        <v/>
      </c>
      <c r="J340" s="153" t="str">
        <v/>
      </c>
      <c r="K340" s="153" t="str">
        <v/>
      </c>
      <c r="L340" s="153" t="str">
        <v/>
      </c>
      <c r="M340" s="153" t="str">
        <v/>
      </c>
      <c r="N340" s="153" t="str">
        <v/>
      </c>
      <c r="O340" s="153" t="str">
        <v/>
      </c>
      <c r="P340" s="153" t="str">
        <v/>
      </c>
    </row>
    <row r="341" spans="1:16" x14ac:dyDescent="0.2">
      <c r="A341" s="58" t="str">
        <v/>
      </c>
      <c r="B341" s="131" t="str">
        <f>IFERROR(TIMEVALUE(DaqBook_RAW_Data!Q331),IFERROR(TIMEVALUE(DaqBook_RAW_Data!A331),""))</f>
        <v/>
      </c>
      <c r="C341" s="153" t="str">
        <v/>
      </c>
      <c r="D341" s="153" t="str">
        <v/>
      </c>
      <c r="E341" s="153" t="str">
        <v/>
      </c>
      <c r="F341" s="153" t="str">
        <v/>
      </c>
      <c r="G341" s="153" t="str">
        <v/>
      </c>
      <c r="H341" s="153" t="str">
        <v/>
      </c>
      <c r="I341" s="153" t="str">
        <v/>
      </c>
      <c r="J341" s="153" t="str">
        <v/>
      </c>
      <c r="K341" s="153" t="str">
        <v/>
      </c>
      <c r="L341" s="153" t="str">
        <v/>
      </c>
      <c r="M341" s="153" t="str">
        <v/>
      </c>
      <c r="N341" s="153" t="str">
        <v/>
      </c>
      <c r="O341" s="153" t="str">
        <v/>
      </c>
      <c r="P341" s="153" t="str">
        <v/>
      </c>
    </row>
    <row r="342" spans="1:16" x14ac:dyDescent="0.2">
      <c r="A342" s="58" t="str">
        <v/>
      </c>
      <c r="B342" s="131" t="str">
        <f>IFERROR(TIMEVALUE(DaqBook_RAW_Data!Q332),IFERROR(TIMEVALUE(DaqBook_RAW_Data!A332),""))</f>
        <v/>
      </c>
      <c r="C342" s="153" t="str">
        <v/>
      </c>
      <c r="D342" s="153" t="str">
        <v/>
      </c>
      <c r="E342" s="153" t="str">
        <v/>
      </c>
      <c r="F342" s="153" t="str">
        <v/>
      </c>
      <c r="G342" s="153" t="str">
        <v/>
      </c>
      <c r="H342" s="153" t="str">
        <v/>
      </c>
      <c r="I342" s="153" t="str">
        <v/>
      </c>
      <c r="J342" s="153" t="str">
        <v/>
      </c>
      <c r="K342" s="153" t="str">
        <v/>
      </c>
      <c r="L342" s="153" t="str">
        <v/>
      </c>
      <c r="M342" s="153" t="str">
        <v/>
      </c>
      <c r="N342" s="153" t="str">
        <v/>
      </c>
      <c r="O342" s="153" t="str">
        <v/>
      </c>
      <c r="P342" s="153" t="str">
        <v/>
      </c>
    </row>
    <row r="343" spans="1:16" x14ac:dyDescent="0.2">
      <c r="A343" s="58" t="str">
        <v/>
      </c>
      <c r="B343" s="131" t="str">
        <f>IFERROR(TIMEVALUE(DaqBook_RAW_Data!Q333),IFERROR(TIMEVALUE(DaqBook_RAW_Data!A333),""))</f>
        <v/>
      </c>
      <c r="C343" s="153" t="str">
        <v/>
      </c>
      <c r="D343" s="153" t="str">
        <v/>
      </c>
      <c r="E343" s="153" t="str">
        <v/>
      </c>
      <c r="F343" s="153" t="str">
        <v/>
      </c>
      <c r="G343" s="153" t="str">
        <v/>
      </c>
      <c r="H343" s="153" t="str">
        <v/>
      </c>
      <c r="I343" s="153" t="str">
        <v/>
      </c>
      <c r="J343" s="153" t="str">
        <v/>
      </c>
      <c r="K343" s="153" t="str">
        <v/>
      </c>
      <c r="L343" s="153" t="str">
        <v/>
      </c>
      <c r="M343" s="153" t="str">
        <v/>
      </c>
      <c r="N343" s="153" t="str">
        <v/>
      </c>
      <c r="O343" s="153" t="str">
        <v/>
      </c>
      <c r="P343" s="153" t="str">
        <v/>
      </c>
    </row>
    <row r="344" spans="1:16" x14ac:dyDescent="0.2">
      <c r="A344" s="58" t="str">
        <v/>
      </c>
      <c r="B344" s="131" t="str">
        <f>IFERROR(TIMEVALUE(DaqBook_RAW_Data!Q334),IFERROR(TIMEVALUE(DaqBook_RAW_Data!A334),""))</f>
        <v/>
      </c>
      <c r="C344" s="153" t="str">
        <v/>
      </c>
      <c r="D344" s="153" t="str">
        <v/>
      </c>
      <c r="E344" s="153" t="str">
        <v/>
      </c>
      <c r="F344" s="153" t="str">
        <v/>
      </c>
      <c r="G344" s="153" t="str">
        <v/>
      </c>
      <c r="H344" s="153" t="str">
        <v/>
      </c>
      <c r="I344" s="153" t="str">
        <v/>
      </c>
      <c r="J344" s="153" t="str">
        <v/>
      </c>
      <c r="K344" s="153" t="str">
        <v/>
      </c>
      <c r="L344" s="153" t="str">
        <v/>
      </c>
      <c r="M344" s="153" t="str">
        <v/>
      </c>
      <c r="N344" s="153" t="str">
        <v/>
      </c>
      <c r="O344" s="153" t="str">
        <v/>
      </c>
      <c r="P344" s="153" t="str">
        <v/>
      </c>
    </row>
    <row r="345" spans="1:16" x14ac:dyDescent="0.2">
      <c r="A345" s="58" t="str">
        <v/>
      </c>
      <c r="B345" s="131" t="str">
        <f>IFERROR(TIMEVALUE(DaqBook_RAW_Data!Q335),IFERROR(TIMEVALUE(DaqBook_RAW_Data!A335),""))</f>
        <v/>
      </c>
      <c r="C345" s="153" t="str">
        <v/>
      </c>
      <c r="D345" s="153" t="str">
        <v/>
      </c>
      <c r="E345" s="153" t="str">
        <v/>
      </c>
      <c r="F345" s="153" t="str">
        <v/>
      </c>
      <c r="G345" s="153" t="str">
        <v/>
      </c>
      <c r="H345" s="153" t="str">
        <v/>
      </c>
      <c r="I345" s="153" t="str">
        <v/>
      </c>
      <c r="J345" s="153" t="str">
        <v/>
      </c>
      <c r="K345" s="153" t="str">
        <v/>
      </c>
      <c r="L345" s="153" t="str">
        <v/>
      </c>
      <c r="M345" s="153" t="str">
        <v/>
      </c>
      <c r="N345" s="153" t="str">
        <v/>
      </c>
      <c r="O345" s="153" t="str">
        <v/>
      </c>
      <c r="P345" s="153" t="str">
        <v/>
      </c>
    </row>
    <row r="346" spans="1:16" x14ac:dyDescent="0.2">
      <c r="A346" s="58" t="str">
        <v/>
      </c>
      <c r="B346" s="131" t="str">
        <f>IFERROR(TIMEVALUE(DaqBook_RAW_Data!Q336),IFERROR(TIMEVALUE(DaqBook_RAW_Data!A336),""))</f>
        <v/>
      </c>
      <c r="C346" s="153" t="str">
        <v/>
      </c>
      <c r="D346" s="153" t="str">
        <v/>
      </c>
      <c r="E346" s="153" t="str">
        <v/>
      </c>
      <c r="F346" s="153" t="str">
        <v/>
      </c>
      <c r="G346" s="153" t="str">
        <v/>
      </c>
      <c r="H346" s="153" t="str">
        <v/>
      </c>
      <c r="I346" s="153" t="str">
        <v/>
      </c>
      <c r="J346" s="153" t="str">
        <v/>
      </c>
      <c r="K346" s="153" t="str">
        <v/>
      </c>
      <c r="L346" s="153" t="str">
        <v/>
      </c>
      <c r="M346" s="153" t="str">
        <v/>
      </c>
      <c r="N346" s="153" t="str">
        <v/>
      </c>
      <c r="O346" s="153" t="str">
        <v/>
      </c>
      <c r="P346" s="153" t="str">
        <v/>
      </c>
    </row>
    <row r="347" spans="1:16" x14ac:dyDescent="0.2">
      <c r="A347" s="58" t="str">
        <v/>
      </c>
      <c r="B347" s="131" t="str">
        <f>IFERROR(TIMEVALUE(DaqBook_RAW_Data!Q337),IFERROR(TIMEVALUE(DaqBook_RAW_Data!A337),""))</f>
        <v/>
      </c>
      <c r="C347" s="153" t="str">
        <v/>
      </c>
      <c r="D347" s="153" t="str">
        <v/>
      </c>
      <c r="E347" s="153" t="str">
        <v/>
      </c>
      <c r="F347" s="153" t="str">
        <v/>
      </c>
      <c r="G347" s="153" t="str">
        <v/>
      </c>
      <c r="H347" s="153" t="str">
        <v/>
      </c>
      <c r="I347" s="153" t="str">
        <v/>
      </c>
      <c r="J347" s="153" t="str">
        <v/>
      </c>
      <c r="K347" s="153" t="str">
        <v/>
      </c>
      <c r="L347" s="153" t="str">
        <v/>
      </c>
      <c r="M347" s="153" t="str">
        <v/>
      </c>
      <c r="N347" s="153" t="str">
        <v/>
      </c>
      <c r="O347" s="153" t="str">
        <v/>
      </c>
      <c r="P347" s="153" t="str">
        <v/>
      </c>
    </row>
    <row r="348" spans="1:16" x14ac:dyDescent="0.2">
      <c r="A348" s="58" t="str">
        <v/>
      </c>
      <c r="B348" s="131" t="str">
        <f>IFERROR(TIMEVALUE(DaqBook_RAW_Data!Q338),IFERROR(TIMEVALUE(DaqBook_RAW_Data!A338),""))</f>
        <v/>
      </c>
      <c r="C348" s="153" t="str">
        <v/>
      </c>
      <c r="D348" s="153" t="str">
        <v/>
      </c>
      <c r="E348" s="153" t="str">
        <v/>
      </c>
      <c r="F348" s="153" t="str">
        <v/>
      </c>
      <c r="G348" s="153" t="str">
        <v/>
      </c>
      <c r="H348" s="153" t="str">
        <v/>
      </c>
      <c r="I348" s="153" t="str">
        <v/>
      </c>
      <c r="J348" s="153" t="str">
        <v/>
      </c>
      <c r="K348" s="153" t="str">
        <v/>
      </c>
      <c r="L348" s="153" t="str">
        <v/>
      </c>
      <c r="M348" s="153" t="str">
        <v/>
      </c>
      <c r="N348" s="153" t="str">
        <v/>
      </c>
      <c r="O348" s="153" t="str">
        <v/>
      </c>
      <c r="P348" s="153" t="str">
        <v/>
      </c>
    </row>
    <row r="349" spans="1:16" x14ac:dyDescent="0.2">
      <c r="A349" s="58" t="str">
        <v/>
      </c>
      <c r="B349" s="131" t="str">
        <f>IFERROR(TIMEVALUE(DaqBook_RAW_Data!Q339),IFERROR(TIMEVALUE(DaqBook_RAW_Data!A339),""))</f>
        <v/>
      </c>
      <c r="C349" s="153" t="str">
        <v/>
      </c>
      <c r="D349" s="153" t="str">
        <v/>
      </c>
      <c r="E349" s="153" t="str">
        <v/>
      </c>
      <c r="F349" s="153" t="str">
        <v/>
      </c>
      <c r="G349" s="153" t="str">
        <v/>
      </c>
      <c r="H349" s="153" t="str">
        <v/>
      </c>
      <c r="I349" s="153" t="str">
        <v/>
      </c>
      <c r="J349" s="153" t="str">
        <v/>
      </c>
      <c r="K349" s="153" t="str">
        <v/>
      </c>
      <c r="L349" s="153" t="str">
        <v/>
      </c>
      <c r="M349" s="153" t="str">
        <v/>
      </c>
      <c r="N349" s="153" t="str">
        <v/>
      </c>
      <c r="O349" s="153" t="str">
        <v/>
      </c>
      <c r="P349" s="153" t="str">
        <v/>
      </c>
    </row>
    <row r="350" spans="1:16" x14ac:dyDescent="0.2">
      <c r="A350" s="58" t="str">
        <v/>
      </c>
      <c r="B350" s="131" t="str">
        <f>IFERROR(TIMEVALUE(DaqBook_RAW_Data!Q340),IFERROR(TIMEVALUE(DaqBook_RAW_Data!A340),""))</f>
        <v/>
      </c>
      <c r="C350" s="153" t="str">
        <v/>
      </c>
      <c r="D350" s="153" t="str">
        <v/>
      </c>
      <c r="E350" s="153" t="str">
        <v/>
      </c>
      <c r="F350" s="153" t="str">
        <v/>
      </c>
      <c r="G350" s="153" t="str">
        <v/>
      </c>
      <c r="H350" s="153" t="str">
        <v/>
      </c>
      <c r="I350" s="153" t="str">
        <v/>
      </c>
      <c r="J350" s="153" t="str">
        <v/>
      </c>
      <c r="K350" s="153" t="str">
        <v/>
      </c>
      <c r="L350" s="153" t="str">
        <v/>
      </c>
      <c r="M350" s="153" t="str">
        <v/>
      </c>
      <c r="N350" s="153" t="str">
        <v/>
      </c>
      <c r="O350" s="153" t="str">
        <v/>
      </c>
      <c r="P350" s="153" t="str">
        <v/>
      </c>
    </row>
    <row r="351" spans="1:16" x14ac:dyDescent="0.2">
      <c r="A351" s="58" t="str">
        <v/>
      </c>
      <c r="B351" s="131" t="str">
        <f>IFERROR(TIMEVALUE(DaqBook_RAW_Data!Q341),IFERROR(TIMEVALUE(DaqBook_RAW_Data!A341),""))</f>
        <v/>
      </c>
      <c r="C351" s="153" t="str">
        <v/>
      </c>
      <c r="D351" s="153" t="str">
        <v/>
      </c>
      <c r="E351" s="153" t="str">
        <v/>
      </c>
      <c r="F351" s="153" t="str">
        <v/>
      </c>
      <c r="G351" s="153" t="str">
        <v/>
      </c>
      <c r="H351" s="153" t="str">
        <v/>
      </c>
      <c r="I351" s="153" t="str">
        <v/>
      </c>
      <c r="J351" s="153" t="str">
        <v/>
      </c>
      <c r="K351" s="153" t="str">
        <v/>
      </c>
      <c r="L351" s="153" t="str">
        <v/>
      </c>
      <c r="M351" s="153" t="str">
        <v/>
      </c>
      <c r="N351" s="153" t="str">
        <v/>
      </c>
      <c r="O351" s="153" t="str">
        <v/>
      </c>
      <c r="P351" s="153" t="str">
        <v/>
      </c>
    </row>
    <row r="352" spans="1:16" x14ac:dyDescent="0.2">
      <c r="A352" s="58" t="str">
        <v/>
      </c>
      <c r="B352" s="131" t="str">
        <f>IFERROR(TIMEVALUE(DaqBook_RAW_Data!Q342),IFERROR(TIMEVALUE(DaqBook_RAW_Data!A342),""))</f>
        <v/>
      </c>
      <c r="C352" s="153" t="str">
        <v/>
      </c>
      <c r="D352" s="153" t="str">
        <v/>
      </c>
      <c r="E352" s="153" t="str">
        <v/>
      </c>
      <c r="F352" s="153" t="str">
        <v/>
      </c>
      <c r="G352" s="153" t="str">
        <v/>
      </c>
      <c r="H352" s="153" t="str">
        <v/>
      </c>
      <c r="I352" s="153" t="str">
        <v/>
      </c>
      <c r="J352" s="153" t="str">
        <v/>
      </c>
      <c r="K352" s="153" t="str">
        <v/>
      </c>
      <c r="L352" s="153" t="str">
        <v/>
      </c>
      <c r="M352" s="153" t="str">
        <v/>
      </c>
      <c r="N352" s="153" t="str">
        <v/>
      </c>
      <c r="O352" s="153" t="str">
        <v/>
      </c>
      <c r="P352" s="153" t="str">
        <v/>
      </c>
    </row>
    <row r="353" spans="1:16" x14ac:dyDescent="0.2">
      <c r="A353" s="58" t="str">
        <v/>
      </c>
      <c r="B353" s="131" t="str">
        <f>IFERROR(TIMEVALUE(DaqBook_RAW_Data!Q343),IFERROR(TIMEVALUE(DaqBook_RAW_Data!A343),""))</f>
        <v/>
      </c>
      <c r="C353" s="153" t="str">
        <v/>
      </c>
      <c r="D353" s="153" t="str">
        <v/>
      </c>
      <c r="E353" s="153" t="str">
        <v/>
      </c>
      <c r="F353" s="153" t="str">
        <v/>
      </c>
      <c r="G353" s="153" t="str">
        <v/>
      </c>
      <c r="H353" s="153" t="str">
        <v/>
      </c>
      <c r="I353" s="153" t="str">
        <v/>
      </c>
      <c r="J353" s="153" t="str">
        <v/>
      </c>
      <c r="K353" s="153" t="str">
        <v/>
      </c>
      <c r="L353" s="153" t="str">
        <v/>
      </c>
      <c r="M353" s="153" t="str">
        <v/>
      </c>
      <c r="N353" s="153" t="str">
        <v/>
      </c>
      <c r="O353" s="153" t="str">
        <v/>
      </c>
      <c r="P353" s="153" t="str">
        <v/>
      </c>
    </row>
    <row r="354" spans="1:16" x14ac:dyDescent="0.2">
      <c r="A354" s="58" t="str">
        <v/>
      </c>
      <c r="B354" s="131" t="str">
        <f>IFERROR(TIMEVALUE(DaqBook_RAW_Data!Q344),IFERROR(TIMEVALUE(DaqBook_RAW_Data!A344),""))</f>
        <v/>
      </c>
      <c r="C354" s="153" t="str">
        <v/>
      </c>
      <c r="D354" s="153" t="str">
        <v/>
      </c>
      <c r="E354" s="153" t="str">
        <v/>
      </c>
      <c r="F354" s="153" t="str">
        <v/>
      </c>
      <c r="G354" s="153" t="str">
        <v/>
      </c>
      <c r="H354" s="153" t="str">
        <v/>
      </c>
      <c r="I354" s="153" t="str">
        <v/>
      </c>
      <c r="J354" s="153" t="str">
        <v/>
      </c>
      <c r="K354" s="153" t="str">
        <v/>
      </c>
      <c r="L354" s="153" t="str">
        <v/>
      </c>
      <c r="M354" s="153" t="str">
        <v/>
      </c>
      <c r="N354" s="153" t="str">
        <v/>
      </c>
      <c r="O354" s="153" t="str">
        <v/>
      </c>
      <c r="P354" s="153" t="str">
        <v/>
      </c>
    </row>
    <row r="355" spans="1:16" x14ac:dyDescent="0.2">
      <c r="A355" s="58" t="str">
        <v/>
      </c>
      <c r="B355" s="131" t="str">
        <f>IFERROR(TIMEVALUE(DaqBook_RAW_Data!Q345),IFERROR(TIMEVALUE(DaqBook_RAW_Data!A345),""))</f>
        <v/>
      </c>
      <c r="C355" s="153" t="str">
        <v/>
      </c>
      <c r="D355" s="153" t="str">
        <v/>
      </c>
      <c r="E355" s="153" t="str">
        <v/>
      </c>
      <c r="F355" s="153" t="str">
        <v/>
      </c>
      <c r="G355" s="153" t="str">
        <v/>
      </c>
      <c r="H355" s="153" t="str">
        <v/>
      </c>
      <c r="I355" s="153" t="str">
        <v/>
      </c>
      <c r="J355" s="153" t="str">
        <v/>
      </c>
      <c r="K355" s="153" t="str">
        <v/>
      </c>
      <c r="L355" s="153" t="str">
        <v/>
      </c>
      <c r="M355" s="153" t="str">
        <v/>
      </c>
      <c r="N355" s="153" t="str">
        <v/>
      </c>
      <c r="O355" s="153" t="str">
        <v/>
      </c>
      <c r="P355" s="153" t="str">
        <v/>
      </c>
    </row>
    <row r="356" spans="1:16" x14ac:dyDescent="0.2">
      <c r="A356" s="58" t="str">
        <v/>
      </c>
      <c r="B356" s="131" t="str">
        <f>IFERROR(TIMEVALUE(DaqBook_RAW_Data!Q346),IFERROR(TIMEVALUE(DaqBook_RAW_Data!A346),""))</f>
        <v/>
      </c>
      <c r="C356" s="153" t="str">
        <v/>
      </c>
      <c r="D356" s="153" t="str">
        <v/>
      </c>
      <c r="E356" s="153" t="str">
        <v/>
      </c>
      <c r="F356" s="153" t="str">
        <v/>
      </c>
      <c r="G356" s="153" t="str">
        <v/>
      </c>
      <c r="H356" s="153" t="str">
        <v/>
      </c>
      <c r="I356" s="153" t="str">
        <v/>
      </c>
      <c r="J356" s="153" t="str">
        <v/>
      </c>
      <c r="K356" s="153" t="str">
        <v/>
      </c>
      <c r="L356" s="153" t="str">
        <v/>
      </c>
      <c r="M356" s="153" t="str">
        <v/>
      </c>
      <c r="N356" s="153" t="str">
        <v/>
      </c>
      <c r="O356" s="153" t="str">
        <v/>
      </c>
      <c r="P356" s="153" t="str">
        <v/>
      </c>
    </row>
    <row r="357" spans="1:16" x14ac:dyDescent="0.2">
      <c r="A357" s="58" t="str">
        <v/>
      </c>
      <c r="B357" s="131" t="str">
        <f>IFERROR(TIMEVALUE(DaqBook_RAW_Data!Q347),IFERROR(TIMEVALUE(DaqBook_RAW_Data!A347),""))</f>
        <v/>
      </c>
      <c r="C357" s="153" t="str">
        <v/>
      </c>
      <c r="D357" s="153" t="str">
        <v/>
      </c>
      <c r="E357" s="153" t="str">
        <v/>
      </c>
      <c r="F357" s="153" t="str">
        <v/>
      </c>
      <c r="G357" s="153" t="str">
        <v/>
      </c>
      <c r="H357" s="153" t="str">
        <v/>
      </c>
      <c r="I357" s="153" t="str">
        <v/>
      </c>
      <c r="J357" s="153" t="str">
        <v/>
      </c>
      <c r="K357" s="153" t="str">
        <v/>
      </c>
      <c r="L357" s="153" t="str">
        <v/>
      </c>
      <c r="M357" s="153" t="str">
        <v/>
      </c>
      <c r="N357" s="153" t="str">
        <v/>
      </c>
      <c r="O357" s="153" t="str">
        <v/>
      </c>
      <c r="P357" s="153" t="str">
        <v/>
      </c>
    </row>
    <row r="358" spans="1:16" x14ac:dyDescent="0.2">
      <c r="A358" s="58" t="str">
        <v/>
      </c>
      <c r="B358" s="131" t="str">
        <f>IFERROR(TIMEVALUE(DaqBook_RAW_Data!Q348),IFERROR(TIMEVALUE(DaqBook_RAW_Data!A348),""))</f>
        <v/>
      </c>
      <c r="C358" s="153" t="str">
        <v/>
      </c>
      <c r="D358" s="153" t="str">
        <v/>
      </c>
      <c r="E358" s="153" t="str">
        <v/>
      </c>
      <c r="F358" s="153" t="str">
        <v/>
      </c>
      <c r="G358" s="153" t="str">
        <v/>
      </c>
      <c r="H358" s="153" t="str">
        <v/>
      </c>
      <c r="I358" s="153" t="str">
        <v/>
      </c>
      <c r="J358" s="153" t="str">
        <v/>
      </c>
      <c r="K358" s="153" t="str">
        <v/>
      </c>
      <c r="L358" s="153" t="str">
        <v/>
      </c>
      <c r="M358" s="153" t="str">
        <v/>
      </c>
      <c r="N358" s="153" t="str">
        <v/>
      </c>
      <c r="O358" s="153" t="str">
        <v/>
      </c>
      <c r="P358" s="153" t="str">
        <v/>
      </c>
    </row>
    <row r="359" spans="1:16" x14ac:dyDescent="0.2">
      <c r="A359" s="58" t="str">
        <v/>
      </c>
      <c r="B359" s="131" t="str">
        <f>IFERROR(TIMEVALUE(DaqBook_RAW_Data!Q349),IFERROR(TIMEVALUE(DaqBook_RAW_Data!A349),""))</f>
        <v/>
      </c>
      <c r="C359" s="153" t="str">
        <v/>
      </c>
      <c r="D359" s="153" t="str">
        <v/>
      </c>
      <c r="E359" s="153" t="str">
        <v/>
      </c>
      <c r="F359" s="153" t="str">
        <v/>
      </c>
      <c r="G359" s="153" t="str">
        <v/>
      </c>
      <c r="H359" s="153" t="str">
        <v/>
      </c>
      <c r="I359" s="153" t="str">
        <v/>
      </c>
      <c r="J359" s="153" t="str">
        <v/>
      </c>
      <c r="K359" s="153" t="str">
        <v/>
      </c>
      <c r="L359" s="153" t="str">
        <v/>
      </c>
      <c r="M359" s="153" t="str">
        <v/>
      </c>
      <c r="N359" s="153" t="str">
        <v/>
      </c>
      <c r="O359" s="153" t="str">
        <v/>
      </c>
      <c r="P359" s="153" t="str">
        <v/>
      </c>
    </row>
    <row r="360" spans="1:16" x14ac:dyDescent="0.2">
      <c r="A360" s="58" t="str">
        <v/>
      </c>
      <c r="B360" s="131" t="str">
        <f>IFERROR(TIMEVALUE(DaqBook_RAW_Data!Q350),IFERROR(TIMEVALUE(DaqBook_RAW_Data!A350),""))</f>
        <v/>
      </c>
      <c r="C360" s="153" t="str">
        <v/>
      </c>
      <c r="D360" s="153" t="str">
        <v/>
      </c>
      <c r="E360" s="153" t="str">
        <v/>
      </c>
      <c r="F360" s="153" t="str">
        <v/>
      </c>
      <c r="G360" s="153" t="str">
        <v/>
      </c>
      <c r="H360" s="153" t="str">
        <v/>
      </c>
      <c r="I360" s="153" t="str">
        <v/>
      </c>
      <c r="J360" s="153" t="str">
        <v/>
      </c>
      <c r="K360" s="153" t="str">
        <v/>
      </c>
      <c r="L360" s="153" t="str">
        <v/>
      </c>
      <c r="M360" s="153" t="str">
        <v/>
      </c>
      <c r="N360" s="153" t="str">
        <v/>
      </c>
      <c r="O360" s="153" t="str">
        <v/>
      </c>
      <c r="P360" s="153" t="str">
        <v/>
      </c>
    </row>
    <row r="361" spans="1:16" x14ac:dyDescent="0.2">
      <c r="A361" s="58" t="str">
        <v/>
      </c>
      <c r="B361" s="131" t="str">
        <f>IFERROR(TIMEVALUE(DaqBook_RAW_Data!Q351),IFERROR(TIMEVALUE(DaqBook_RAW_Data!A351),""))</f>
        <v/>
      </c>
      <c r="C361" s="153" t="str">
        <v/>
      </c>
      <c r="D361" s="153" t="str">
        <v/>
      </c>
      <c r="E361" s="153" t="str">
        <v/>
      </c>
      <c r="F361" s="153" t="str">
        <v/>
      </c>
      <c r="G361" s="153" t="str">
        <v/>
      </c>
      <c r="H361" s="153" t="str">
        <v/>
      </c>
      <c r="I361" s="153" t="str">
        <v/>
      </c>
      <c r="J361" s="153" t="str">
        <v/>
      </c>
      <c r="K361" s="153" t="str">
        <v/>
      </c>
      <c r="L361" s="153" t="str">
        <v/>
      </c>
      <c r="M361" s="153" t="str">
        <v/>
      </c>
      <c r="N361" s="153" t="str">
        <v/>
      </c>
      <c r="O361" s="153" t="str">
        <v/>
      </c>
      <c r="P361" s="153" t="str">
        <v/>
      </c>
    </row>
    <row r="362" spans="1:16" x14ac:dyDescent="0.2">
      <c r="A362" s="58" t="str">
        <v/>
      </c>
      <c r="B362" s="131" t="str">
        <f>IFERROR(TIMEVALUE(DaqBook_RAW_Data!Q352),IFERROR(TIMEVALUE(DaqBook_RAW_Data!A352),""))</f>
        <v/>
      </c>
      <c r="C362" s="153" t="str">
        <v/>
      </c>
      <c r="D362" s="153" t="str">
        <v/>
      </c>
      <c r="E362" s="153" t="str">
        <v/>
      </c>
      <c r="F362" s="153" t="str">
        <v/>
      </c>
      <c r="G362" s="153" t="str">
        <v/>
      </c>
      <c r="H362" s="153" t="str">
        <v/>
      </c>
      <c r="I362" s="153" t="str">
        <v/>
      </c>
      <c r="J362" s="153" t="str">
        <v/>
      </c>
      <c r="K362" s="153" t="str">
        <v/>
      </c>
      <c r="L362" s="153" t="str">
        <v/>
      </c>
      <c r="M362" s="153" t="str">
        <v/>
      </c>
      <c r="N362" s="153" t="str">
        <v/>
      </c>
      <c r="O362" s="153" t="str">
        <v/>
      </c>
      <c r="P362" s="153" t="str">
        <v/>
      </c>
    </row>
    <row r="363" spans="1:16" x14ac:dyDescent="0.2">
      <c r="A363" s="58" t="str">
        <v/>
      </c>
      <c r="B363" s="131" t="str">
        <f>IFERROR(TIMEVALUE(DaqBook_RAW_Data!Q353),IFERROR(TIMEVALUE(DaqBook_RAW_Data!A353),""))</f>
        <v/>
      </c>
      <c r="C363" s="153" t="str">
        <v/>
      </c>
      <c r="D363" s="153" t="str">
        <v/>
      </c>
      <c r="E363" s="153" t="str">
        <v/>
      </c>
      <c r="F363" s="153" t="str">
        <v/>
      </c>
      <c r="G363" s="153" t="str">
        <v/>
      </c>
      <c r="H363" s="153" t="str">
        <v/>
      </c>
      <c r="I363" s="153" t="str">
        <v/>
      </c>
      <c r="J363" s="153" t="str">
        <v/>
      </c>
      <c r="K363" s="153" t="str">
        <v/>
      </c>
      <c r="L363" s="153" t="str">
        <v/>
      </c>
      <c r="M363" s="153" t="str">
        <v/>
      </c>
      <c r="N363" s="153" t="str">
        <v/>
      </c>
      <c r="O363" s="153" t="str">
        <v/>
      </c>
      <c r="P363" s="153" t="str">
        <v/>
      </c>
    </row>
    <row r="364" spans="1:16" x14ac:dyDescent="0.2">
      <c r="A364" s="58" t="str">
        <v/>
      </c>
      <c r="B364" s="131" t="str">
        <f>IFERROR(TIMEVALUE(DaqBook_RAW_Data!Q354),IFERROR(TIMEVALUE(DaqBook_RAW_Data!A354),""))</f>
        <v/>
      </c>
      <c r="C364" s="153" t="str">
        <v/>
      </c>
      <c r="D364" s="153" t="str">
        <v/>
      </c>
      <c r="E364" s="153" t="str">
        <v/>
      </c>
      <c r="F364" s="153" t="str">
        <v/>
      </c>
      <c r="G364" s="153" t="str">
        <v/>
      </c>
      <c r="H364" s="153" t="str">
        <v/>
      </c>
      <c r="I364" s="153" t="str">
        <v/>
      </c>
      <c r="J364" s="153" t="str">
        <v/>
      </c>
      <c r="K364" s="153" t="str">
        <v/>
      </c>
      <c r="L364" s="153" t="str">
        <v/>
      </c>
      <c r="M364" s="153" t="str">
        <v/>
      </c>
      <c r="N364" s="153" t="str">
        <v/>
      </c>
      <c r="O364" s="153" t="str">
        <v/>
      </c>
      <c r="P364" s="153" t="str">
        <v/>
      </c>
    </row>
    <row r="365" spans="1:16" x14ac:dyDescent="0.2">
      <c r="A365" s="58" t="str">
        <v/>
      </c>
      <c r="B365" s="131" t="str">
        <f>IFERROR(TIMEVALUE(DaqBook_RAW_Data!Q355),IFERROR(TIMEVALUE(DaqBook_RAW_Data!A355),""))</f>
        <v/>
      </c>
      <c r="C365" s="153" t="str">
        <v/>
      </c>
      <c r="D365" s="153" t="str">
        <v/>
      </c>
      <c r="E365" s="153" t="str">
        <v/>
      </c>
      <c r="F365" s="153" t="str">
        <v/>
      </c>
      <c r="G365" s="153" t="str">
        <v/>
      </c>
      <c r="H365" s="153" t="str">
        <v/>
      </c>
      <c r="I365" s="153" t="str">
        <v/>
      </c>
      <c r="J365" s="153" t="str">
        <v/>
      </c>
      <c r="K365" s="153" t="str">
        <v/>
      </c>
      <c r="L365" s="153" t="str">
        <v/>
      </c>
      <c r="M365" s="153" t="str">
        <v/>
      </c>
      <c r="N365" s="153" t="str">
        <v/>
      </c>
      <c r="O365" s="153" t="str">
        <v/>
      </c>
      <c r="P365" s="153" t="str">
        <v/>
      </c>
    </row>
    <row r="366" spans="1:16" x14ac:dyDescent="0.2">
      <c r="A366" s="58" t="str">
        <v/>
      </c>
      <c r="B366" s="131" t="str">
        <f>IFERROR(TIMEVALUE(DaqBook_RAW_Data!Q356),IFERROR(TIMEVALUE(DaqBook_RAW_Data!A356),""))</f>
        <v/>
      </c>
      <c r="C366" s="153" t="str">
        <v/>
      </c>
      <c r="D366" s="153" t="str">
        <v/>
      </c>
      <c r="E366" s="153" t="str">
        <v/>
      </c>
      <c r="F366" s="153" t="str">
        <v/>
      </c>
      <c r="G366" s="153" t="str">
        <v/>
      </c>
      <c r="H366" s="153" t="str">
        <v/>
      </c>
      <c r="I366" s="153" t="str">
        <v/>
      </c>
      <c r="J366" s="153" t="str">
        <v/>
      </c>
      <c r="K366" s="153" t="str">
        <v/>
      </c>
      <c r="L366" s="153" t="str">
        <v/>
      </c>
      <c r="M366" s="153" t="str">
        <v/>
      </c>
      <c r="N366" s="153" t="str">
        <v/>
      </c>
      <c r="O366" s="153" t="str">
        <v/>
      </c>
      <c r="P366" s="153" t="str">
        <v/>
      </c>
    </row>
    <row r="367" spans="1:16" x14ac:dyDescent="0.2">
      <c r="A367" s="58" t="str">
        <v/>
      </c>
      <c r="B367" s="131" t="str">
        <f>IFERROR(TIMEVALUE(DaqBook_RAW_Data!Q357),IFERROR(TIMEVALUE(DaqBook_RAW_Data!A357),""))</f>
        <v/>
      </c>
      <c r="C367" s="153" t="str">
        <v/>
      </c>
      <c r="D367" s="153" t="str">
        <v/>
      </c>
      <c r="E367" s="153" t="str">
        <v/>
      </c>
      <c r="F367" s="153" t="str">
        <v/>
      </c>
      <c r="G367" s="153" t="str">
        <v/>
      </c>
      <c r="H367" s="153" t="str">
        <v/>
      </c>
      <c r="I367" s="153" t="str">
        <v/>
      </c>
      <c r="J367" s="153" t="str">
        <v/>
      </c>
      <c r="K367" s="153" t="str">
        <v/>
      </c>
      <c r="L367" s="153" t="str">
        <v/>
      </c>
      <c r="M367" s="153" t="str">
        <v/>
      </c>
      <c r="N367" s="153" t="str">
        <v/>
      </c>
      <c r="O367" s="153" t="str">
        <v/>
      </c>
      <c r="P367" s="153" t="str">
        <v/>
      </c>
    </row>
    <row r="368" spans="1:16" x14ac:dyDescent="0.2">
      <c r="A368" s="58" t="str">
        <v/>
      </c>
      <c r="B368" s="131" t="str">
        <f>IFERROR(TIMEVALUE(DaqBook_RAW_Data!Q358),IFERROR(TIMEVALUE(DaqBook_RAW_Data!A358),""))</f>
        <v/>
      </c>
      <c r="C368" s="153" t="str">
        <v/>
      </c>
      <c r="D368" s="153" t="str">
        <v/>
      </c>
      <c r="E368" s="153" t="str">
        <v/>
      </c>
      <c r="F368" s="153" t="str">
        <v/>
      </c>
      <c r="G368" s="153" t="str">
        <v/>
      </c>
      <c r="H368" s="153" t="str">
        <v/>
      </c>
      <c r="I368" s="153" t="str">
        <v/>
      </c>
      <c r="J368" s="153" t="str">
        <v/>
      </c>
      <c r="K368" s="153" t="str">
        <v/>
      </c>
      <c r="L368" s="153" t="str">
        <v/>
      </c>
      <c r="M368" s="153" t="str">
        <v/>
      </c>
      <c r="N368" s="153" t="str">
        <v/>
      </c>
      <c r="O368" s="153" t="str">
        <v/>
      </c>
      <c r="P368" s="153" t="str">
        <v/>
      </c>
    </row>
    <row r="369" spans="1:16" x14ac:dyDescent="0.2">
      <c r="A369" s="58" t="str">
        <v/>
      </c>
      <c r="B369" s="131" t="str">
        <f>IFERROR(TIMEVALUE(DaqBook_RAW_Data!Q359),IFERROR(TIMEVALUE(DaqBook_RAW_Data!A359),""))</f>
        <v/>
      </c>
      <c r="C369" s="153" t="str">
        <v/>
      </c>
      <c r="D369" s="153" t="str">
        <v/>
      </c>
      <c r="E369" s="153" t="str">
        <v/>
      </c>
      <c r="F369" s="153" t="str">
        <v/>
      </c>
      <c r="G369" s="153" t="str">
        <v/>
      </c>
      <c r="H369" s="153" t="str">
        <v/>
      </c>
      <c r="I369" s="153" t="str">
        <v/>
      </c>
      <c r="J369" s="153" t="str">
        <v/>
      </c>
      <c r="K369" s="153" t="str">
        <v/>
      </c>
      <c r="L369" s="153" t="str">
        <v/>
      </c>
      <c r="M369" s="153" t="str">
        <v/>
      </c>
      <c r="N369" s="153" t="str">
        <v/>
      </c>
      <c r="O369" s="153" t="str">
        <v/>
      </c>
      <c r="P369" s="153" t="str">
        <v/>
      </c>
    </row>
    <row r="370" spans="1:16" x14ac:dyDescent="0.2">
      <c r="A370" s="58" t="str">
        <v/>
      </c>
      <c r="B370" s="131" t="str">
        <f>IFERROR(TIMEVALUE(DaqBook_RAW_Data!Q360),IFERROR(TIMEVALUE(DaqBook_RAW_Data!A360),""))</f>
        <v/>
      </c>
      <c r="C370" s="153" t="str">
        <v/>
      </c>
      <c r="D370" s="153" t="str">
        <v/>
      </c>
      <c r="E370" s="153" t="str">
        <v/>
      </c>
      <c r="F370" s="153" t="str">
        <v/>
      </c>
      <c r="G370" s="153" t="str">
        <v/>
      </c>
      <c r="H370" s="153" t="str">
        <v/>
      </c>
      <c r="I370" s="153" t="str">
        <v/>
      </c>
      <c r="J370" s="153" t="str">
        <v/>
      </c>
      <c r="K370" s="153" t="str">
        <v/>
      </c>
      <c r="L370" s="153" t="str">
        <v/>
      </c>
      <c r="M370" s="153" t="str">
        <v/>
      </c>
      <c r="N370" s="153" t="str">
        <v/>
      </c>
      <c r="O370" s="153" t="str">
        <v/>
      </c>
      <c r="P370" s="153" t="str">
        <v/>
      </c>
    </row>
    <row r="371" spans="1:16" x14ac:dyDescent="0.2">
      <c r="A371" s="58" t="str">
        <v/>
      </c>
      <c r="B371" s="131" t="str">
        <f>IFERROR(TIMEVALUE(DaqBook_RAW_Data!Q361),IFERROR(TIMEVALUE(DaqBook_RAW_Data!A361),""))</f>
        <v/>
      </c>
      <c r="C371" s="153" t="str">
        <v/>
      </c>
      <c r="D371" s="153" t="str">
        <v/>
      </c>
      <c r="E371" s="153" t="str">
        <v/>
      </c>
      <c r="F371" s="153" t="str">
        <v/>
      </c>
      <c r="G371" s="153" t="str">
        <v/>
      </c>
      <c r="H371" s="153" t="str">
        <v/>
      </c>
      <c r="I371" s="153" t="str">
        <v/>
      </c>
      <c r="J371" s="153" t="str">
        <v/>
      </c>
      <c r="K371" s="153" t="str">
        <v/>
      </c>
      <c r="L371" s="153" t="str">
        <v/>
      </c>
      <c r="M371" s="153" t="str">
        <v/>
      </c>
      <c r="N371" s="153" t="str">
        <v/>
      </c>
      <c r="O371" s="153" t="str">
        <v/>
      </c>
      <c r="P371" s="153" t="str">
        <v/>
      </c>
    </row>
    <row r="372" spans="1:16" x14ac:dyDescent="0.2">
      <c r="A372" s="58" t="str">
        <v/>
      </c>
      <c r="B372" s="131" t="str">
        <f>IFERROR(TIMEVALUE(DaqBook_RAW_Data!Q362),IFERROR(TIMEVALUE(DaqBook_RAW_Data!A362),""))</f>
        <v/>
      </c>
      <c r="C372" s="153" t="str">
        <v/>
      </c>
      <c r="D372" s="153" t="str">
        <v/>
      </c>
      <c r="E372" s="153" t="str">
        <v/>
      </c>
      <c r="F372" s="153" t="str">
        <v/>
      </c>
      <c r="G372" s="153" t="str">
        <v/>
      </c>
      <c r="H372" s="153" t="str">
        <v/>
      </c>
      <c r="I372" s="153" t="str">
        <v/>
      </c>
      <c r="J372" s="153" t="str">
        <v/>
      </c>
      <c r="K372" s="153" t="str">
        <v/>
      </c>
      <c r="L372" s="153" t="str">
        <v/>
      </c>
      <c r="M372" s="153" t="str">
        <v/>
      </c>
      <c r="N372" s="153" t="str">
        <v/>
      </c>
      <c r="O372" s="153" t="str">
        <v/>
      </c>
      <c r="P372" s="153" t="str">
        <v/>
      </c>
    </row>
    <row r="373" spans="1:16" x14ac:dyDescent="0.2">
      <c r="A373" s="58" t="str">
        <v/>
      </c>
      <c r="B373" s="131" t="str">
        <f>IFERROR(TIMEVALUE(DaqBook_RAW_Data!Q363),IFERROR(TIMEVALUE(DaqBook_RAW_Data!A363),""))</f>
        <v/>
      </c>
      <c r="C373" s="153" t="str">
        <v/>
      </c>
      <c r="D373" s="153" t="str">
        <v/>
      </c>
      <c r="E373" s="153" t="str">
        <v/>
      </c>
      <c r="F373" s="153" t="str">
        <v/>
      </c>
      <c r="G373" s="153" t="str">
        <v/>
      </c>
      <c r="H373" s="153" t="str">
        <v/>
      </c>
      <c r="I373" s="153" t="str">
        <v/>
      </c>
      <c r="J373" s="153" t="str">
        <v/>
      </c>
      <c r="K373" s="153" t="str">
        <v/>
      </c>
      <c r="L373" s="153" t="str">
        <v/>
      </c>
      <c r="M373" s="153" t="str">
        <v/>
      </c>
      <c r="N373" s="153" t="str">
        <v/>
      </c>
      <c r="O373" s="153" t="str">
        <v/>
      </c>
      <c r="P373" s="153" t="str">
        <v/>
      </c>
    </row>
    <row r="374" spans="1:16" x14ac:dyDescent="0.2">
      <c r="A374" s="58" t="str">
        <v/>
      </c>
      <c r="B374" s="131" t="str">
        <f>IFERROR(TIMEVALUE(DaqBook_RAW_Data!Q364),IFERROR(TIMEVALUE(DaqBook_RAW_Data!A364),""))</f>
        <v/>
      </c>
      <c r="C374" s="153" t="str">
        <v/>
      </c>
      <c r="D374" s="153" t="str">
        <v/>
      </c>
      <c r="E374" s="153" t="str">
        <v/>
      </c>
      <c r="F374" s="153" t="str">
        <v/>
      </c>
      <c r="G374" s="153" t="str">
        <v/>
      </c>
      <c r="H374" s="153" t="str">
        <v/>
      </c>
      <c r="I374" s="153" t="str">
        <v/>
      </c>
      <c r="J374" s="153" t="str">
        <v/>
      </c>
      <c r="K374" s="153" t="str">
        <v/>
      </c>
      <c r="L374" s="153" t="str">
        <v/>
      </c>
      <c r="M374" s="153" t="str">
        <v/>
      </c>
      <c r="N374" s="153" t="str">
        <v/>
      </c>
      <c r="O374" s="153" t="str">
        <v/>
      </c>
      <c r="P374" s="153" t="str">
        <v/>
      </c>
    </row>
    <row r="375" spans="1:16" x14ac:dyDescent="0.2">
      <c r="A375" s="58" t="str">
        <v/>
      </c>
      <c r="B375" s="131" t="str">
        <f>IFERROR(TIMEVALUE(DaqBook_RAW_Data!Q365),IFERROR(TIMEVALUE(DaqBook_RAW_Data!A365),""))</f>
        <v/>
      </c>
      <c r="C375" s="153" t="str">
        <v/>
      </c>
      <c r="D375" s="153" t="str">
        <v/>
      </c>
      <c r="E375" s="153" t="str">
        <v/>
      </c>
      <c r="F375" s="153" t="str">
        <v/>
      </c>
      <c r="G375" s="153" t="str">
        <v/>
      </c>
      <c r="H375" s="153" t="str">
        <v/>
      </c>
      <c r="I375" s="153" t="str">
        <v/>
      </c>
      <c r="J375" s="153" t="str">
        <v/>
      </c>
      <c r="K375" s="153" t="str">
        <v/>
      </c>
      <c r="L375" s="153" t="str">
        <v/>
      </c>
      <c r="M375" s="153" t="str">
        <v/>
      </c>
      <c r="N375" s="153" t="str">
        <v/>
      </c>
      <c r="O375" s="153" t="str">
        <v/>
      </c>
      <c r="P375" s="153" t="str">
        <v/>
      </c>
    </row>
    <row r="376" spans="1:16" x14ac:dyDescent="0.2">
      <c r="A376" s="58" t="str">
        <v/>
      </c>
      <c r="B376" s="131" t="str">
        <f>IFERROR(TIMEVALUE(DaqBook_RAW_Data!Q366),IFERROR(TIMEVALUE(DaqBook_RAW_Data!A366),""))</f>
        <v/>
      </c>
      <c r="C376" s="153" t="str">
        <v/>
      </c>
      <c r="D376" s="153" t="str">
        <v/>
      </c>
      <c r="E376" s="153" t="str">
        <v/>
      </c>
      <c r="F376" s="153" t="str">
        <v/>
      </c>
      <c r="G376" s="153" t="str">
        <v/>
      </c>
      <c r="H376" s="153" t="str">
        <v/>
      </c>
      <c r="I376" s="153" t="str">
        <v/>
      </c>
      <c r="J376" s="153" t="str">
        <v/>
      </c>
      <c r="K376" s="153" t="str">
        <v/>
      </c>
      <c r="L376" s="153" t="str">
        <v/>
      </c>
      <c r="M376" s="153" t="str">
        <v/>
      </c>
      <c r="N376" s="153" t="str">
        <v/>
      </c>
      <c r="O376" s="153" t="str">
        <v/>
      </c>
      <c r="P376" s="153" t="str">
        <v/>
      </c>
    </row>
    <row r="377" spans="1:16" x14ac:dyDescent="0.2">
      <c r="A377" s="58" t="str">
        <v/>
      </c>
      <c r="B377" s="131" t="str">
        <f>IFERROR(TIMEVALUE(DaqBook_RAW_Data!Q367),IFERROR(TIMEVALUE(DaqBook_RAW_Data!A367),""))</f>
        <v/>
      </c>
      <c r="C377" s="153" t="str">
        <v/>
      </c>
      <c r="D377" s="153" t="str">
        <v/>
      </c>
      <c r="E377" s="153" t="str">
        <v/>
      </c>
      <c r="F377" s="153" t="str">
        <v/>
      </c>
      <c r="G377" s="153" t="str">
        <v/>
      </c>
      <c r="H377" s="153" t="str">
        <v/>
      </c>
      <c r="I377" s="153" t="str">
        <v/>
      </c>
      <c r="J377" s="153" t="str">
        <v/>
      </c>
      <c r="K377" s="153" t="str">
        <v/>
      </c>
      <c r="L377" s="153" t="str">
        <v/>
      </c>
      <c r="M377" s="153" t="str">
        <v/>
      </c>
      <c r="N377" s="153" t="str">
        <v/>
      </c>
      <c r="O377" s="153" t="str">
        <v/>
      </c>
      <c r="P377" s="153" t="str">
        <v/>
      </c>
    </row>
    <row r="378" spans="1:16" x14ac:dyDescent="0.2">
      <c r="A378" s="58" t="str">
        <v/>
      </c>
      <c r="B378" s="131" t="str">
        <f>IFERROR(TIMEVALUE(DaqBook_RAW_Data!Q368),IFERROR(TIMEVALUE(DaqBook_RAW_Data!A368),""))</f>
        <v/>
      </c>
      <c r="C378" s="153" t="str">
        <v/>
      </c>
      <c r="D378" s="153" t="str">
        <v/>
      </c>
      <c r="E378" s="153" t="str">
        <v/>
      </c>
      <c r="F378" s="153" t="str">
        <v/>
      </c>
      <c r="G378" s="153" t="str">
        <v/>
      </c>
      <c r="H378" s="153" t="str">
        <v/>
      </c>
      <c r="I378" s="153" t="str">
        <v/>
      </c>
      <c r="J378" s="153" t="str">
        <v/>
      </c>
      <c r="K378" s="153" t="str">
        <v/>
      </c>
      <c r="L378" s="153" t="str">
        <v/>
      </c>
      <c r="M378" s="153" t="str">
        <v/>
      </c>
      <c r="N378" s="153" t="str">
        <v/>
      </c>
      <c r="O378" s="153" t="str">
        <v/>
      </c>
      <c r="P378" s="153" t="str">
        <v/>
      </c>
    </row>
    <row r="379" spans="1:16" x14ac:dyDescent="0.2">
      <c r="A379" s="58" t="str">
        <v/>
      </c>
      <c r="B379" s="131" t="str">
        <f>IFERROR(TIMEVALUE(DaqBook_RAW_Data!Q369),IFERROR(TIMEVALUE(DaqBook_RAW_Data!A369),""))</f>
        <v/>
      </c>
      <c r="C379" s="153" t="str">
        <v/>
      </c>
      <c r="D379" s="153" t="str">
        <v/>
      </c>
      <c r="E379" s="153" t="str">
        <v/>
      </c>
      <c r="F379" s="153" t="str">
        <v/>
      </c>
      <c r="G379" s="153" t="str">
        <v/>
      </c>
      <c r="H379" s="153" t="str">
        <v/>
      </c>
      <c r="I379" s="153" t="str">
        <v/>
      </c>
      <c r="J379" s="153" t="str">
        <v/>
      </c>
      <c r="K379" s="153" t="str">
        <v/>
      </c>
      <c r="L379" s="153" t="str">
        <v/>
      </c>
      <c r="M379" s="153" t="str">
        <v/>
      </c>
      <c r="N379" s="153" t="str">
        <v/>
      </c>
      <c r="O379" s="153" t="str">
        <v/>
      </c>
      <c r="P379" s="153" t="str">
        <v/>
      </c>
    </row>
    <row r="380" spans="1:16" x14ac:dyDescent="0.2">
      <c r="A380" s="58" t="str">
        <v/>
      </c>
      <c r="B380" s="131" t="str">
        <f>IFERROR(TIMEVALUE(DaqBook_RAW_Data!Q370),IFERROR(TIMEVALUE(DaqBook_RAW_Data!A370),""))</f>
        <v/>
      </c>
      <c r="C380" s="153" t="str">
        <v/>
      </c>
      <c r="D380" s="153" t="str">
        <v/>
      </c>
      <c r="E380" s="153" t="str">
        <v/>
      </c>
      <c r="F380" s="153" t="str">
        <v/>
      </c>
      <c r="G380" s="153" t="str">
        <v/>
      </c>
      <c r="H380" s="153" t="str">
        <v/>
      </c>
      <c r="I380" s="153" t="str">
        <v/>
      </c>
      <c r="J380" s="153" t="str">
        <v/>
      </c>
      <c r="K380" s="153" t="str">
        <v/>
      </c>
      <c r="L380" s="153" t="str">
        <v/>
      </c>
      <c r="M380" s="153" t="str">
        <v/>
      </c>
      <c r="N380" s="153" t="str">
        <v/>
      </c>
      <c r="O380" s="153" t="str">
        <v/>
      </c>
      <c r="P380" s="153" t="str">
        <v/>
      </c>
    </row>
    <row r="381" spans="1:16" x14ac:dyDescent="0.2">
      <c r="A381" s="58" t="str">
        <v/>
      </c>
      <c r="B381" s="131" t="str">
        <f>IFERROR(TIMEVALUE(DaqBook_RAW_Data!Q371),IFERROR(TIMEVALUE(DaqBook_RAW_Data!A371),""))</f>
        <v/>
      </c>
      <c r="C381" s="153" t="str">
        <v/>
      </c>
      <c r="D381" s="153" t="str">
        <v/>
      </c>
      <c r="E381" s="153" t="str">
        <v/>
      </c>
      <c r="F381" s="153" t="str">
        <v/>
      </c>
      <c r="G381" s="153" t="str">
        <v/>
      </c>
      <c r="H381" s="153" t="str">
        <v/>
      </c>
      <c r="I381" s="153" t="str">
        <v/>
      </c>
      <c r="J381" s="153" t="str">
        <v/>
      </c>
      <c r="K381" s="153" t="str">
        <v/>
      </c>
      <c r="L381" s="153" t="str">
        <v/>
      </c>
      <c r="M381" s="153" t="str">
        <v/>
      </c>
      <c r="N381" s="153" t="str">
        <v/>
      </c>
      <c r="O381" s="153" t="str">
        <v/>
      </c>
      <c r="P381" s="153" t="str">
        <v/>
      </c>
    </row>
    <row r="382" spans="1:16" x14ac:dyDescent="0.2">
      <c r="A382" s="58" t="str">
        <v/>
      </c>
      <c r="B382" s="131" t="str">
        <f>IFERROR(TIMEVALUE(DaqBook_RAW_Data!Q372),IFERROR(TIMEVALUE(DaqBook_RAW_Data!A372),""))</f>
        <v/>
      </c>
      <c r="C382" s="153" t="str">
        <v/>
      </c>
      <c r="D382" s="153" t="str">
        <v/>
      </c>
      <c r="E382" s="153" t="str">
        <v/>
      </c>
      <c r="F382" s="153" t="str">
        <v/>
      </c>
      <c r="G382" s="153" t="str">
        <v/>
      </c>
      <c r="H382" s="153" t="str">
        <v/>
      </c>
      <c r="I382" s="153" t="str">
        <v/>
      </c>
      <c r="J382" s="153" t="str">
        <v/>
      </c>
      <c r="K382" s="153" t="str">
        <v/>
      </c>
      <c r="L382" s="153" t="str">
        <v/>
      </c>
      <c r="M382" s="153" t="str">
        <v/>
      </c>
      <c r="N382" s="153" t="str">
        <v/>
      </c>
      <c r="O382" s="153" t="str">
        <v/>
      </c>
      <c r="P382" s="153" t="str">
        <v/>
      </c>
    </row>
    <row r="383" spans="1:16" x14ac:dyDescent="0.2">
      <c r="A383" s="58" t="str">
        <v/>
      </c>
      <c r="B383" s="131" t="str">
        <f>IFERROR(TIMEVALUE(DaqBook_RAW_Data!Q373),IFERROR(TIMEVALUE(DaqBook_RAW_Data!A373),""))</f>
        <v/>
      </c>
      <c r="C383" s="153" t="str">
        <v/>
      </c>
      <c r="D383" s="153" t="str">
        <v/>
      </c>
      <c r="E383" s="153" t="str">
        <v/>
      </c>
      <c r="F383" s="153" t="str">
        <v/>
      </c>
      <c r="G383" s="153" t="str">
        <v/>
      </c>
      <c r="H383" s="153" t="str">
        <v/>
      </c>
      <c r="I383" s="153" t="str">
        <v/>
      </c>
      <c r="J383" s="153" t="str">
        <v/>
      </c>
      <c r="K383" s="153" t="str">
        <v/>
      </c>
      <c r="L383" s="153" t="str">
        <v/>
      </c>
      <c r="M383" s="153" t="str">
        <v/>
      </c>
      <c r="N383" s="153" t="str">
        <v/>
      </c>
      <c r="O383" s="153" t="str">
        <v/>
      </c>
      <c r="P383" s="153" t="str">
        <v/>
      </c>
    </row>
    <row r="384" spans="1:16" x14ac:dyDescent="0.2">
      <c r="A384" s="58" t="str">
        <v/>
      </c>
      <c r="B384" s="131" t="str">
        <f>IFERROR(TIMEVALUE(DaqBook_RAW_Data!Q374),IFERROR(TIMEVALUE(DaqBook_RAW_Data!A374),""))</f>
        <v/>
      </c>
      <c r="C384" s="153" t="str">
        <v/>
      </c>
      <c r="D384" s="153" t="str">
        <v/>
      </c>
      <c r="E384" s="153" t="str">
        <v/>
      </c>
      <c r="F384" s="153" t="str">
        <v/>
      </c>
      <c r="G384" s="153" t="str">
        <v/>
      </c>
      <c r="H384" s="153" t="str">
        <v/>
      </c>
      <c r="I384" s="153" t="str">
        <v/>
      </c>
      <c r="J384" s="153" t="str">
        <v/>
      </c>
      <c r="K384" s="153" t="str">
        <v/>
      </c>
      <c r="L384" s="153" t="str">
        <v/>
      </c>
      <c r="M384" s="153" t="str">
        <v/>
      </c>
      <c r="N384" s="153" t="str">
        <v/>
      </c>
      <c r="O384" s="153" t="str">
        <v/>
      </c>
      <c r="P384" s="153" t="str">
        <v/>
      </c>
    </row>
    <row r="385" spans="1:16" x14ac:dyDescent="0.2">
      <c r="A385" s="58" t="str">
        <v/>
      </c>
      <c r="B385" s="131" t="str">
        <f>IFERROR(TIMEVALUE(DaqBook_RAW_Data!Q375),IFERROR(TIMEVALUE(DaqBook_RAW_Data!A375),""))</f>
        <v/>
      </c>
      <c r="C385" s="153" t="str">
        <v/>
      </c>
      <c r="D385" s="153" t="str">
        <v/>
      </c>
      <c r="E385" s="153" t="str">
        <v/>
      </c>
      <c r="F385" s="153" t="str">
        <v/>
      </c>
      <c r="G385" s="153" t="str">
        <v/>
      </c>
      <c r="H385" s="153" t="str">
        <v/>
      </c>
      <c r="I385" s="153" t="str">
        <v/>
      </c>
      <c r="J385" s="153" t="str">
        <v/>
      </c>
      <c r="K385" s="153" t="str">
        <v/>
      </c>
      <c r="L385" s="153" t="str">
        <v/>
      </c>
      <c r="M385" s="153" t="str">
        <v/>
      </c>
      <c r="N385" s="153" t="str">
        <v/>
      </c>
      <c r="O385" s="153" t="str">
        <v/>
      </c>
      <c r="P385" s="153" t="str">
        <v/>
      </c>
    </row>
    <row r="386" spans="1:16" x14ac:dyDescent="0.2">
      <c r="A386" s="58" t="str">
        <v/>
      </c>
      <c r="B386" s="131" t="str">
        <f>IFERROR(TIMEVALUE(DaqBook_RAW_Data!Q376),IFERROR(TIMEVALUE(DaqBook_RAW_Data!A376),""))</f>
        <v/>
      </c>
      <c r="C386" s="153" t="str">
        <v/>
      </c>
      <c r="D386" s="153" t="str">
        <v/>
      </c>
      <c r="E386" s="153" t="str">
        <v/>
      </c>
      <c r="F386" s="153" t="str">
        <v/>
      </c>
      <c r="G386" s="153" t="str">
        <v/>
      </c>
      <c r="H386" s="153" t="str">
        <v/>
      </c>
      <c r="I386" s="153" t="str">
        <v/>
      </c>
      <c r="J386" s="153" t="str">
        <v/>
      </c>
      <c r="K386" s="153" t="str">
        <v/>
      </c>
      <c r="L386" s="153" t="str">
        <v/>
      </c>
      <c r="M386" s="153" t="str">
        <v/>
      </c>
      <c r="N386" s="153" t="str">
        <v/>
      </c>
      <c r="O386" s="153" t="str">
        <v/>
      </c>
      <c r="P386" s="153" t="str">
        <v/>
      </c>
    </row>
    <row r="387" spans="1:16" x14ac:dyDescent="0.2">
      <c r="A387" s="58" t="str">
        <v/>
      </c>
      <c r="B387" s="131" t="str">
        <f>IFERROR(TIMEVALUE(DaqBook_RAW_Data!Q377),IFERROR(TIMEVALUE(DaqBook_RAW_Data!A377),""))</f>
        <v/>
      </c>
      <c r="C387" s="153" t="str">
        <v/>
      </c>
      <c r="D387" s="153" t="str">
        <v/>
      </c>
      <c r="E387" s="153" t="str">
        <v/>
      </c>
      <c r="F387" s="153" t="str">
        <v/>
      </c>
      <c r="G387" s="153" t="str">
        <v/>
      </c>
      <c r="H387" s="153" t="str">
        <v/>
      </c>
      <c r="I387" s="153" t="str">
        <v/>
      </c>
      <c r="J387" s="153" t="str">
        <v/>
      </c>
      <c r="K387" s="153" t="str">
        <v/>
      </c>
      <c r="L387" s="153" t="str">
        <v/>
      </c>
      <c r="M387" s="153" t="str">
        <v/>
      </c>
      <c r="N387" s="153" t="str">
        <v/>
      </c>
      <c r="O387" s="153" t="str">
        <v/>
      </c>
      <c r="P387" s="153" t="str">
        <v/>
      </c>
    </row>
    <row r="388" spans="1:16" x14ac:dyDescent="0.2">
      <c r="A388" s="58" t="str">
        <v/>
      </c>
      <c r="B388" s="131" t="str">
        <f>IFERROR(TIMEVALUE(DaqBook_RAW_Data!Q378),IFERROR(TIMEVALUE(DaqBook_RAW_Data!A378),""))</f>
        <v/>
      </c>
      <c r="C388" s="153" t="str">
        <v/>
      </c>
      <c r="D388" s="153" t="str">
        <v/>
      </c>
      <c r="E388" s="153" t="str">
        <v/>
      </c>
      <c r="F388" s="153" t="str">
        <v/>
      </c>
      <c r="G388" s="153" t="str">
        <v/>
      </c>
      <c r="H388" s="153" t="str">
        <v/>
      </c>
      <c r="I388" s="153" t="str">
        <v/>
      </c>
      <c r="J388" s="153" t="str">
        <v/>
      </c>
      <c r="K388" s="153" t="str">
        <v/>
      </c>
      <c r="L388" s="153" t="str">
        <v/>
      </c>
      <c r="M388" s="153" t="str">
        <v/>
      </c>
      <c r="N388" s="153" t="str">
        <v/>
      </c>
      <c r="O388" s="153" t="str">
        <v/>
      </c>
      <c r="P388" s="153" t="str">
        <v/>
      </c>
    </row>
    <row r="389" spans="1:16" x14ac:dyDescent="0.2">
      <c r="A389" s="58" t="str">
        <v/>
      </c>
      <c r="B389" s="131" t="str">
        <f>IFERROR(TIMEVALUE(DaqBook_RAW_Data!Q379),IFERROR(TIMEVALUE(DaqBook_RAW_Data!A379),""))</f>
        <v/>
      </c>
      <c r="C389" s="153" t="str">
        <v/>
      </c>
      <c r="D389" s="153" t="str">
        <v/>
      </c>
      <c r="E389" s="153" t="str">
        <v/>
      </c>
      <c r="F389" s="153" t="str">
        <v/>
      </c>
      <c r="G389" s="153" t="str">
        <v/>
      </c>
      <c r="H389" s="153" t="str">
        <v/>
      </c>
      <c r="I389" s="153" t="str">
        <v/>
      </c>
      <c r="J389" s="153" t="str">
        <v/>
      </c>
      <c r="K389" s="153" t="str">
        <v/>
      </c>
      <c r="L389" s="153" t="str">
        <v/>
      </c>
      <c r="M389" s="153" t="str">
        <v/>
      </c>
      <c r="N389" s="153" t="str">
        <v/>
      </c>
      <c r="O389" s="153" t="str">
        <v/>
      </c>
      <c r="P389" s="153" t="str">
        <v/>
      </c>
    </row>
    <row r="390" spans="1:16" x14ac:dyDescent="0.2">
      <c r="A390" s="58" t="str">
        <v/>
      </c>
      <c r="B390" s="131" t="str">
        <f>IFERROR(TIMEVALUE(DaqBook_RAW_Data!Q380),IFERROR(TIMEVALUE(DaqBook_RAW_Data!A380),""))</f>
        <v/>
      </c>
      <c r="C390" s="153" t="str">
        <v/>
      </c>
      <c r="D390" s="153" t="str">
        <v/>
      </c>
      <c r="E390" s="153" t="str">
        <v/>
      </c>
      <c r="F390" s="153" t="str">
        <v/>
      </c>
      <c r="G390" s="153" t="str">
        <v/>
      </c>
      <c r="H390" s="153" t="str">
        <v/>
      </c>
      <c r="I390" s="153" t="str">
        <v/>
      </c>
      <c r="J390" s="153" t="str">
        <v/>
      </c>
      <c r="K390" s="153" t="str">
        <v/>
      </c>
      <c r="L390" s="153" t="str">
        <v/>
      </c>
      <c r="M390" s="153" t="str">
        <v/>
      </c>
      <c r="N390" s="153" t="str">
        <v/>
      </c>
      <c r="O390" s="153" t="str">
        <v/>
      </c>
      <c r="P390" s="153" t="str">
        <v/>
      </c>
    </row>
    <row r="391" spans="1:16" x14ac:dyDescent="0.2">
      <c r="A391" s="58" t="str">
        <v/>
      </c>
      <c r="B391" s="131" t="str">
        <f>IFERROR(TIMEVALUE(DaqBook_RAW_Data!Q381),IFERROR(TIMEVALUE(DaqBook_RAW_Data!A381),""))</f>
        <v/>
      </c>
      <c r="C391" s="153" t="str">
        <v/>
      </c>
      <c r="D391" s="153" t="str">
        <v/>
      </c>
      <c r="E391" s="153" t="str">
        <v/>
      </c>
      <c r="F391" s="153" t="str">
        <v/>
      </c>
      <c r="G391" s="153" t="str">
        <v/>
      </c>
      <c r="H391" s="153" t="str">
        <v/>
      </c>
      <c r="I391" s="153" t="str">
        <v/>
      </c>
      <c r="J391" s="153" t="str">
        <v/>
      </c>
      <c r="K391" s="153" t="str">
        <v/>
      </c>
      <c r="L391" s="153" t="str">
        <v/>
      </c>
      <c r="M391" s="153" t="str">
        <v/>
      </c>
      <c r="N391" s="153" t="str">
        <v/>
      </c>
      <c r="O391" s="153" t="str">
        <v/>
      </c>
      <c r="P391" s="153" t="str">
        <v/>
      </c>
    </row>
    <row r="392" spans="1:16" x14ac:dyDescent="0.2">
      <c r="A392" s="58" t="str">
        <v/>
      </c>
      <c r="B392" s="131" t="str">
        <f>IFERROR(TIMEVALUE(DaqBook_RAW_Data!Q382),IFERROR(TIMEVALUE(DaqBook_RAW_Data!A382),""))</f>
        <v/>
      </c>
      <c r="C392" s="153" t="str">
        <v/>
      </c>
      <c r="D392" s="153" t="str">
        <v/>
      </c>
      <c r="E392" s="153" t="str">
        <v/>
      </c>
      <c r="F392" s="153" t="str">
        <v/>
      </c>
      <c r="G392" s="153" t="str">
        <v/>
      </c>
      <c r="H392" s="153" t="str">
        <v/>
      </c>
      <c r="I392" s="153" t="str">
        <v/>
      </c>
      <c r="J392" s="153" t="str">
        <v/>
      </c>
      <c r="K392" s="153" t="str">
        <v/>
      </c>
      <c r="L392" s="153" t="str">
        <v/>
      </c>
      <c r="M392" s="153" t="str">
        <v/>
      </c>
      <c r="N392" s="153" t="str">
        <v/>
      </c>
      <c r="O392" s="153" t="str">
        <v/>
      </c>
      <c r="P392" s="153" t="str">
        <v/>
      </c>
    </row>
    <row r="393" spans="1:16" x14ac:dyDescent="0.2">
      <c r="A393" s="58" t="str">
        <v/>
      </c>
      <c r="B393" s="131" t="str">
        <f>IFERROR(TIMEVALUE(DaqBook_RAW_Data!Q383),IFERROR(TIMEVALUE(DaqBook_RAW_Data!A383),""))</f>
        <v/>
      </c>
      <c r="C393" s="153" t="str">
        <v/>
      </c>
      <c r="D393" s="153" t="str">
        <v/>
      </c>
      <c r="E393" s="153" t="str">
        <v/>
      </c>
      <c r="F393" s="153" t="str">
        <v/>
      </c>
      <c r="G393" s="153" t="str">
        <v/>
      </c>
      <c r="H393" s="153" t="str">
        <v/>
      </c>
      <c r="I393" s="153" t="str">
        <v/>
      </c>
      <c r="J393" s="153" t="str">
        <v/>
      </c>
      <c r="K393" s="153" t="str">
        <v/>
      </c>
      <c r="L393" s="153" t="str">
        <v/>
      </c>
      <c r="M393" s="153" t="str">
        <v/>
      </c>
      <c r="N393" s="153" t="str">
        <v/>
      </c>
      <c r="O393" s="153" t="str">
        <v/>
      </c>
      <c r="P393" s="153" t="str">
        <v/>
      </c>
    </row>
    <row r="394" spans="1:16" x14ac:dyDescent="0.2">
      <c r="A394" s="58" t="str">
        <v/>
      </c>
      <c r="B394" s="131" t="str">
        <f>IFERROR(TIMEVALUE(DaqBook_RAW_Data!Q384),IFERROR(TIMEVALUE(DaqBook_RAW_Data!A384),""))</f>
        <v/>
      </c>
      <c r="C394" s="153" t="str">
        <v/>
      </c>
      <c r="D394" s="153" t="str">
        <v/>
      </c>
      <c r="E394" s="153" t="str">
        <v/>
      </c>
      <c r="F394" s="153" t="str">
        <v/>
      </c>
      <c r="G394" s="153" t="str">
        <v/>
      </c>
      <c r="H394" s="153" t="str">
        <v/>
      </c>
      <c r="I394" s="153" t="str">
        <v/>
      </c>
      <c r="J394" s="153" t="str">
        <v/>
      </c>
      <c r="K394" s="153" t="str">
        <v/>
      </c>
      <c r="L394" s="153" t="str">
        <v/>
      </c>
      <c r="M394" s="153" t="str">
        <v/>
      </c>
      <c r="N394" s="153" t="str">
        <v/>
      </c>
      <c r="O394" s="153" t="str">
        <v/>
      </c>
      <c r="P394" s="153" t="str">
        <v/>
      </c>
    </row>
    <row r="395" spans="1:16" x14ac:dyDescent="0.2">
      <c r="A395" s="58" t="str">
        <v/>
      </c>
      <c r="B395" s="131" t="str">
        <f>IFERROR(TIMEVALUE(DaqBook_RAW_Data!Q385),IFERROR(TIMEVALUE(DaqBook_RAW_Data!A385),""))</f>
        <v/>
      </c>
      <c r="C395" s="153" t="str">
        <v/>
      </c>
      <c r="D395" s="153" t="str">
        <v/>
      </c>
      <c r="E395" s="153" t="str">
        <v/>
      </c>
      <c r="F395" s="153" t="str">
        <v/>
      </c>
      <c r="G395" s="153" t="str">
        <v/>
      </c>
      <c r="H395" s="153" t="str">
        <v/>
      </c>
      <c r="I395" s="153" t="str">
        <v/>
      </c>
      <c r="J395" s="153" t="str">
        <v/>
      </c>
      <c r="K395" s="153" t="str">
        <v/>
      </c>
      <c r="L395" s="153" t="str">
        <v/>
      </c>
      <c r="M395" s="153" t="str">
        <v/>
      </c>
      <c r="N395" s="153" t="str">
        <v/>
      </c>
      <c r="O395" s="153" t="str">
        <v/>
      </c>
      <c r="P395" s="153" t="str">
        <v/>
      </c>
    </row>
    <row r="396" spans="1:16" x14ac:dyDescent="0.2">
      <c r="A396" s="58" t="str">
        <v/>
      </c>
      <c r="B396" s="131" t="str">
        <f>IFERROR(TIMEVALUE(DaqBook_RAW_Data!Q386),IFERROR(TIMEVALUE(DaqBook_RAW_Data!A386),""))</f>
        <v/>
      </c>
      <c r="C396" s="153" t="str">
        <v/>
      </c>
      <c r="D396" s="153" t="str">
        <v/>
      </c>
      <c r="E396" s="153" t="str">
        <v/>
      </c>
      <c r="F396" s="153" t="str">
        <v/>
      </c>
      <c r="G396" s="153" t="str">
        <v/>
      </c>
      <c r="H396" s="153" t="str">
        <v/>
      </c>
      <c r="I396" s="153" t="str">
        <v/>
      </c>
      <c r="J396" s="153" t="str">
        <v/>
      </c>
      <c r="K396" s="153" t="str">
        <v/>
      </c>
      <c r="L396" s="153" t="str">
        <v/>
      </c>
      <c r="M396" s="153" t="str">
        <v/>
      </c>
      <c r="N396" s="153" t="str">
        <v/>
      </c>
      <c r="O396" s="153" t="str">
        <v/>
      </c>
      <c r="P396" s="153" t="str">
        <v/>
      </c>
    </row>
    <row r="397" spans="1:16" x14ac:dyDescent="0.2">
      <c r="A397" s="58" t="str">
        <v/>
      </c>
      <c r="B397" s="131" t="str">
        <f>IFERROR(TIMEVALUE(DaqBook_RAW_Data!Q387),IFERROR(TIMEVALUE(DaqBook_RAW_Data!A387),""))</f>
        <v/>
      </c>
      <c r="C397" s="153" t="str">
        <v/>
      </c>
      <c r="D397" s="153" t="str">
        <v/>
      </c>
      <c r="E397" s="153" t="str">
        <v/>
      </c>
      <c r="F397" s="153" t="str">
        <v/>
      </c>
      <c r="G397" s="153" t="str">
        <v/>
      </c>
      <c r="H397" s="153" t="str">
        <v/>
      </c>
      <c r="I397" s="153" t="str">
        <v/>
      </c>
      <c r="J397" s="153" t="str">
        <v/>
      </c>
      <c r="K397" s="153" t="str">
        <v/>
      </c>
      <c r="L397" s="153" t="str">
        <v/>
      </c>
      <c r="M397" s="153" t="str">
        <v/>
      </c>
      <c r="N397" s="153" t="str">
        <v/>
      </c>
      <c r="O397" s="153" t="str">
        <v/>
      </c>
      <c r="P397" s="153" t="str">
        <v/>
      </c>
    </row>
    <row r="398" spans="1:16" x14ac:dyDescent="0.2">
      <c r="A398" s="58" t="str">
        <v/>
      </c>
      <c r="B398" s="131" t="str">
        <f>IFERROR(TIMEVALUE(DaqBook_RAW_Data!Q388),IFERROR(TIMEVALUE(DaqBook_RAW_Data!A388),""))</f>
        <v/>
      </c>
      <c r="C398" s="153" t="str">
        <v/>
      </c>
      <c r="D398" s="153" t="str">
        <v/>
      </c>
      <c r="E398" s="153" t="str">
        <v/>
      </c>
      <c r="F398" s="153" t="str">
        <v/>
      </c>
      <c r="G398" s="153" t="str">
        <v/>
      </c>
      <c r="H398" s="153" t="str">
        <v/>
      </c>
      <c r="I398" s="153" t="str">
        <v/>
      </c>
      <c r="J398" s="153" t="str">
        <v/>
      </c>
      <c r="K398" s="153" t="str">
        <v/>
      </c>
      <c r="L398" s="153" t="str">
        <v/>
      </c>
      <c r="M398" s="153" t="str">
        <v/>
      </c>
      <c r="N398" s="153" t="str">
        <v/>
      </c>
      <c r="O398" s="153" t="str">
        <v/>
      </c>
      <c r="P398" s="153" t="str">
        <v/>
      </c>
    </row>
    <row r="399" spans="1:16" x14ac:dyDescent="0.2">
      <c r="A399" s="58" t="str">
        <v/>
      </c>
      <c r="B399" s="131" t="str">
        <f>IFERROR(TIMEVALUE(DaqBook_RAW_Data!Q389),IFERROR(TIMEVALUE(DaqBook_RAW_Data!A389),""))</f>
        <v/>
      </c>
      <c r="C399" s="153" t="str">
        <v/>
      </c>
      <c r="D399" s="153" t="str">
        <v/>
      </c>
      <c r="E399" s="153" t="str">
        <v/>
      </c>
      <c r="F399" s="153" t="str">
        <v/>
      </c>
      <c r="G399" s="153" t="str">
        <v/>
      </c>
      <c r="H399" s="153" t="str">
        <v/>
      </c>
      <c r="I399" s="153" t="str">
        <v/>
      </c>
      <c r="J399" s="153" t="str">
        <v/>
      </c>
      <c r="K399" s="153" t="str">
        <v/>
      </c>
      <c r="L399" s="153" t="str">
        <v/>
      </c>
      <c r="M399" s="153" t="str">
        <v/>
      </c>
      <c r="N399" s="153" t="str">
        <v/>
      </c>
      <c r="O399" s="153" t="str">
        <v/>
      </c>
      <c r="P399" s="153" t="str">
        <v/>
      </c>
    </row>
    <row r="400" spans="1:16" x14ac:dyDescent="0.2">
      <c r="A400" s="58" t="str">
        <v/>
      </c>
      <c r="B400" s="131" t="str">
        <f>IFERROR(TIMEVALUE(DaqBook_RAW_Data!Q390),IFERROR(TIMEVALUE(DaqBook_RAW_Data!A390),""))</f>
        <v/>
      </c>
      <c r="C400" s="153" t="str">
        <v/>
      </c>
      <c r="D400" s="153" t="str">
        <v/>
      </c>
      <c r="E400" s="153" t="str">
        <v/>
      </c>
      <c r="F400" s="153" t="str">
        <v/>
      </c>
      <c r="G400" s="153" t="str">
        <v/>
      </c>
      <c r="H400" s="153" t="str">
        <v/>
      </c>
      <c r="I400" s="153" t="str">
        <v/>
      </c>
      <c r="J400" s="153" t="str">
        <v/>
      </c>
      <c r="K400" s="153" t="str">
        <v/>
      </c>
      <c r="L400" s="153" t="str">
        <v/>
      </c>
      <c r="M400" s="153" t="str">
        <v/>
      </c>
      <c r="N400" s="153" t="str">
        <v/>
      </c>
      <c r="O400" s="153" t="str">
        <v/>
      </c>
      <c r="P400" s="153" t="str">
        <v/>
      </c>
    </row>
    <row r="401" spans="1:16" x14ac:dyDescent="0.2">
      <c r="A401" s="58" t="str">
        <v/>
      </c>
      <c r="B401" s="131" t="str">
        <f>IFERROR(TIMEVALUE(DaqBook_RAW_Data!Q391),IFERROR(TIMEVALUE(DaqBook_RAW_Data!A391),""))</f>
        <v/>
      </c>
      <c r="C401" s="153" t="str">
        <v/>
      </c>
      <c r="D401" s="153" t="str">
        <v/>
      </c>
      <c r="E401" s="153" t="str">
        <v/>
      </c>
      <c r="F401" s="153" t="str">
        <v/>
      </c>
      <c r="G401" s="153" t="str">
        <v/>
      </c>
      <c r="H401" s="153" t="str">
        <v/>
      </c>
      <c r="I401" s="153" t="str">
        <v/>
      </c>
      <c r="J401" s="153" t="str">
        <v/>
      </c>
      <c r="K401" s="153" t="str">
        <v/>
      </c>
      <c r="L401" s="153" t="str">
        <v/>
      </c>
      <c r="M401" s="153" t="str">
        <v/>
      </c>
      <c r="N401" s="153" t="str">
        <v/>
      </c>
      <c r="O401" s="153" t="str">
        <v/>
      </c>
      <c r="P401" s="153" t="str">
        <v/>
      </c>
    </row>
    <row r="402" spans="1:16" x14ac:dyDescent="0.2">
      <c r="A402" s="58" t="str">
        <v/>
      </c>
      <c r="B402" s="131" t="str">
        <f>IFERROR(TIMEVALUE(DaqBook_RAW_Data!Q392),IFERROR(TIMEVALUE(DaqBook_RAW_Data!A392),""))</f>
        <v/>
      </c>
      <c r="C402" s="153" t="str">
        <v/>
      </c>
      <c r="D402" s="153" t="str">
        <v/>
      </c>
      <c r="E402" s="153" t="str">
        <v/>
      </c>
      <c r="F402" s="153" t="str">
        <v/>
      </c>
      <c r="G402" s="153" t="str">
        <v/>
      </c>
      <c r="H402" s="153" t="str">
        <v/>
      </c>
      <c r="I402" s="153" t="str">
        <v/>
      </c>
      <c r="J402" s="153" t="str">
        <v/>
      </c>
      <c r="K402" s="153" t="str">
        <v/>
      </c>
      <c r="L402" s="153" t="str">
        <v/>
      </c>
      <c r="M402" s="153" t="str">
        <v/>
      </c>
      <c r="N402" s="153" t="str">
        <v/>
      </c>
      <c r="O402" s="153" t="str">
        <v/>
      </c>
      <c r="P402" s="153" t="str">
        <v/>
      </c>
    </row>
    <row r="403" spans="1:16" x14ac:dyDescent="0.2">
      <c r="A403" s="58" t="str">
        <v/>
      </c>
      <c r="B403" s="131" t="str">
        <f>IFERROR(TIMEVALUE(DaqBook_RAW_Data!Q393),IFERROR(TIMEVALUE(DaqBook_RAW_Data!A393),""))</f>
        <v/>
      </c>
      <c r="C403" s="153" t="str">
        <v/>
      </c>
      <c r="D403" s="153" t="str">
        <v/>
      </c>
      <c r="E403" s="153" t="str">
        <v/>
      </c>
      <c r="F403" s="153" t="str">
        <v/>
      </c>
      <c r="G403" s="153" t="str">
        <v/>
      </c>
      <c r="H403" s="153" t="str">
        <v/>
      </c>
      <c r="I403" s="153" t="str">
        <v/>
      </c>
      <c r="J403" s="153" t="str">
        <v/>
      </c>
      <c r="K403" s="153" t="str">
        <v/>
      </c>
      <c r="L403" s="153" t="str">
        <v/>
      </c>
      <c r="M403" s="153" t="str">
        <v/>
      </c>
      <c r="N403" s="153" t="str">
        <v/>
      </c>
      <c r="O403" s="153" t="str">
        <v/>
      </c>
      <c r="P403" s="153" t="str">
        <v/>
      </c>
    </row>
    <row r="404" spans="1:16" x14ac:dyDescent="0.2">
      <c r="A404" s="58" t="str">
        <v/>
      </c>
      <c r="B404" s="131" t="str">
        <f>IFERROR(TIMEVALUE(DaqBook_RAW_Data!Q394),IFERROR(TIMEVALUE(DaqBook_RAW_Data!A394),""))</f>
        <v/>
      </c>
      <c r="C404" s="153" t="str">
        <v/>
      </c>
      <c r="D404" s="153" t="str">
        <v/>
      </c>
      <c r="E404" s="153" t="str">
        <v/>
      </c>
      <c r="F404" s="153" t="str">
        <v/>
      </c>
      <c r="G404" s="153" t="str">
        <v/>
      </c>
      <c r="H404" s="153" t="str">
        <v/>
      </c>
      <c r="I404" s="153" t="str">
        <v/>
      </c>
      <c r="J404" s="153" t="str">
        <v/>
      </c>
      <c r="K404" s="153" t="str">
        <v/>
      </c>
      <c r="L404" s="153" t="str">
        <v/>
      </c>
      <c r="M404" s="153" t="str">
        <v/>
      </c>
      <c r="N404" s="153" t="str">
        <v/>
      </c>
      <c r="O404" s="153" t="str">
        <v/>
      </c>
      <c r="P404" s="153" t="str">
        <v/>
      </c>
    </row>
    <row r="405" spans="1:16" x14ac:dyDescent="0.2">
      <c r="A405" s="58" t="str">
        <v/>
      </c>
      <c r="B405" s="131" t="str">
        <f>IFERROR(TIMEVALUE(DaqBook_RAW_Data!Q395),IFERROR(TIMEVALUE(DaqBook_RAW_Data!A395),""))</f>
        <v/>
      </c>
      <c r="C405" s="153" t="str">
        <v/>
      </c>
      <c r="D405" s="153" t="str">
        <v/>
      </c>
      <c r="E405" s="153" t="str">
        <v/>
      </c>
      <c r="F405" s="153" t="str">
        <v/>
      </c>
      <c r="G405" s="153" t="str">
        <v/>
      </c>
      <c r="H405" s="153" t="str">
        <v/>
      </c>
      <c r="I405" s="153" t="str">
        <v/>
      </c>
      <c r="J405" s="153" t="str">
        <v/>
      </c>
      <c r="K405" s="153" t="str">
        <v/>
      </c>
      <c r="L405" s="153" t="str">
        <v/>
      </c>
      <c r="M405" s="153" t="str">
        <v/>
      </c>
      <c r="N405" s="153" t="str">
        <v/>
      </c>
      <c r="O405" s="153" t="str">
        <v/>
      </c>
      <c r="P405" s="153" t="str">
        <v/>
      </c>
    </row>
    <row r="406" spans="1:16" x14ac:dyDescent="0.2">
      <c r="A406" s="58" t="str">
        <v/>
      </c>
      <c r="B406" s="131" t="str">
        <f>IFERROR(TIMEVALUE(DaqBook_RAW_Data!Q396),IFERROR(TIMEVALUE(DaqBook_RAW_Data!A396),""))</f>
        <v/>
      </c>
      <c r="C406" s="153" t="str">
        <v/>
      </c>
      <c r="D406" s="153" t="str">
        <v/>
      </c>
      <c r="E406" s="153" t="str">
        <v/>
      </c>
      <c r="F406" s="153" t="str">
        <v/>
      </c>
      <c r="G406" s="153" t="str">
        <v/>
      </c>
      <c r="H406" s="153" t="str">
        <v/>
      </c>
      <c r="I406" s="153" t="str">
        <v/>
      </c>
      <c r="J406" s="153" t="str">
        <v/>
      </c>
      <c r="K406" s="153" t="str">
        <v/>
      </c>
      <c r="L406" s="153" t="str">
        <v/>
      </c>
      <c r="M406" s="153" t="str">
        <v/>
      </c>
      <c r="N406" s="153" t="str">
        <v/>
      </c>
      <c r="O406" s="153" t="str">
        <v/>
      </c>
      <c r="P406" s="153" t="str">
        <v/>
      </c>
    </row>
    <row r="407" spans="1:16" x14ac:dyDescent="0.2">
      <c r="A407" s="58" t="str">
        <v/>
      </c>
      <c r="B407" s="131" t="str">
        <f>IFERROR(TIMEVALUE(DaqBook_RAW_Data!Q397),IFERROR(TIMEVALUE(DaqBook_RAW_Data!A397),""))</f>
        <v/>
      </c>
      <c r="C407" s="153" t="str">
        <v/>
      </c>
      <c r="D407" s="153" t="str">
        <v/>
      </c>
      <c r="E407" s="153" t="str">
        <v/>
      </c>
      <c r="F407" s="153" t="str">
        <v/>
      </c>
      <c r="G407" s="153" t="str">
        <v/>
      </c>
      <c r="H407" s="153" t="str">
        <v/>
      </c>
      <c r="I407" s="153" t="str">
        <v/>
      </c>
      <c r="J407" s="153" t="str">
        <v/>
      </c>
      <c r="K407" s="153" t="str">
        <v/>
      </c>
      <c r="L407" s="153" t="str">
        <v/>
      </c>
      <c r="M407" s="153" t="str">
        <v/>
      </c>
      <c r="N407" s="153" t="str">
        <v/>
      </c>
      <c r="O407" s="153" t="str">
        <v/>
      </c>
      <c r="P407" s="153" t="str">
        <v/>
      </c>
    </row>
    <row r="408" spans="1:16" x14ac:dyDescent="0.2">
      <c r="A408" s="58" t="str">
        <v/>
      </c>
      <c r="B408" s="131" t="str">
        <f>IFERROR(TIMEVALUE(DaqBook_RAW_Data!Q398),IFERROR(TIMEVALUE(DaqBook_RAW_Data!A398),""))</f>
        <v/>
      </c>
      <c r="C408" s="153" t="str">
        <v/>
      </c>
      <c r="D408" s="153" t="str">
        <v/>
      </c>
      <c r="E408" s="153" t="str">
        <v/>
      </c>
      <c r="F408" s="153" t="str">
        <v/>
      </c>
      <c r="G408" s="153" t="str">
        <v/>
      </c>
      <c r="H408" s="153" t="str">
        <v/>
      </c>
      <c r="I408" s="153" t="str">
        <v/>
      </c>
      <c r="J408" s="153" t="str">
        <v/>
      </c>
      <c r="K408" s="153" t="str">
        <v/>
      </c>
      <c r="L408" s="153" t="str">
        <v/>
      </c>
      <c r="M408" s="153" t="str">
        <v/>
      </c>
      <c r="N408" s="153" t="str">
        <v/>
      </c>
      <c r="O408" s="153" t="str">
        <v/>
      </c>
      <c r="P408" s="153" t="str">
        <v/>
      </c>
    </row>
    <row r="409" spans="1:16" x14ac:dyDescent="0.2">
      <c r="A409" s="58" t="str">
        <v/>
      </c>
      <c r="B409" s="131" t="str">
        <f>IFERROR(TIMEVALUE(DaqBook_RAW_Data!Q399),IFERROR(TIMEVALUE(DaqBook_RAW_Data!A399),""))</f>
        <v/>
      </c>
      <c r="C409" s="153" t="str">
        <v/>
      </c>
      <c r="D409" s="153" t="str">
        <v/>
      </c>
      <c r="E409" s="153" t="str">
        <v/>
      </c>
      <c r="F409" s="153" t="str">
        <v/>
      </c>
      <c r="G409" s="153" t="str">
        <v/>
      </c>
      <c r="H409" s="153" t="str">
        <v/>
      </c>
      <c r="I409" s="153" t="str">
        <v/>
      </c>
      <c r="J409" s="153" t="str">
        <v/>
      </c>
      <c r="K409" s="153" t="str">
        <v/>
      </c>
      <c r="L409" s="153" t="str">
        <v/>
      </c>
      <c r="M409" s="153" t="str">
        <v/>
      </c>
      <c r="N409" s="153" t="str">
        <v/>
      </c>
      <c r="O409" s="153" t="str">
        <v/>
      </c>
      <c r="P409" s="153" t="str">
        <v/>
      </c>
    </row>
    <row r="410" spans="1:16" x14ac:dyDescent="0.2">
      <c r="A410" s="58" t="str">
        <v/>
      </c>
      <c r="B410" s="131" t="str">
        <f>IFERROR(TIMEVALUE(DaqBook_RAW_Data!Q400),IFERROR(TIMEVALUE(DaqBook_RAW_Data!A400),""))</f>
        <v/>
      </c>
      <c r="C410" s="153" t="str">
        <v/>
      </c>
      <c r="D410" s="153" t="str">
        <v/>
      </c>
      <c r="E410" s="153" t="str">
        <v/>
      </c>
      <c r="F410" s="153" t="str">
        <v/>
      </c>
      <c r="G410" s="153" t="str">
        <v/>
      </c>
      <c r="H410" s="153" t="str">
        <v/>
      </c>
      <c r="I410" s="153" t="str">
        <v/>
      </c>
      <c r="J410" s="153" t="str">
        <v/>
      </c>
      <c r="K410" s="153" t="str">
        <v/>
      </c>
      <c r="L410" s="153" t="str">
        <v/>
      </c>
      <c r="M410" s="153" t="str">
        <v/>
      </c>
      <c r="N410" s="153" t="str">
        <v/>
      </c>
      <c r="O410" s="153" t="str">
        <v/>
      </c>
      <c r="P410" s="153" t="str">
        <v/>
      </c>
    </row>
    <row r="411" spans="1:16" x14ac:dyDescent="0.2">
      <c r="A411" s="58" t="str">
        <v/>
      </c>
      <c r="B411" s="131" t="str">
        <f>IFERROR(TIMEVALUE(DaqBook_RAW_Data!Q401),IFERROR(TIMEVALUE(DaqBook_RAW_Data!A401),""))</f>
        <v/>
      </c>
      <c r="C411" s="153" t="str">
        <v/>
      </c>
      <c r="D411" s="153" t="str">
        <v/>
      </c>
      <c r="E411" s="153" t="str">
        <v/>
      </c>
      <c r="F411" s="153" t="str">
        <v/>
      </c>
      <c r="G411" s="153" t="str">
        <v/>
      </c>
      <c r="H411" s="153" t="str">
        <v/>
      </c>
      <c r="I411" s="153" t="str">
        <v/>
      </c>
      <c r="J411" s="153" t="str">
        <v/>
      </c>
      <c r="K411" s="153" t="str">
        <v/>
      </c>
      <c r="L411" s="153" t="str">
        <v/>
      </c>
      <c r="M411" s="153" t="str">
        <v/>
      </c>
      <c r="N411" s="153" t="str">
        <v/>
      </c>
      <c r="O411" s="153" t="str">
        <v/>
      </c>
      <c r="P411" s="153" t="str">
        <v/>
      </c>
    </row>
    <row r="412" spans="1:16" x14ac:dyDescent="0.2">
      <c r="A412" s="58" t="str">
        <v/>
      </c>
      <c r="B412" s="131" t="str">
        <f>IFERROR(TIMEVALUE(DaqBook_RAW_Data!Q402),IFERROR(TIMEVALUE(DaqBook_RAW_Data!A402),""))</f>
        <v/>
      </c>
      <c r="C412" s="153" t="str">
        <v/>
      </c>
      <c r="D412" s="153" t="str">
        <v/>
      </c>
      <c r="E412" s="153" t="str">
        <v/>
      </c>
      <c r="F412" s="153" t="str">
        <v/>
      </c>
      <c r="G412" s="153" t="str">
        <v/>
      </c>
      <c r="H412" s="153" t="str">
        <v/>
      </c>
      <c r="I412" s="153" t="str">
        <v/>
      </c>
      <c r="J412" s="153" t="str">
        <v/>
      </c>
      <c r="K412" s="153" t="str">
        <v/>
      </c>
      <c r="L412" s="153" t="str">
        <v/>
      </c>
      <c r="M412" s="153" t="str">
        <v/>
      </c>
      <c r="N412" s="153" t="str">
        <v/>
      </c>
      <c r="O412" s="153" t="str">
        <v/>
      </c>
      <c r="P412" s="153" t="str">
        <v/>
      </c>
    </row>
    <row r="413" spans="1:16" x14ac:dyDescent="0.2">
      <c r="A413" s="58" t="str">
        <v/>
      </c>
      <c r="B413" s="131" t="str">
        <f>IFERROR(TIMEVALUE(DaqBook_RAW_Data!Q403),IFERROR(TIMEVALUE(DaqBook_RAW_Data!A403),""))</f>
        <v/>
      </c>
      <c r="C413" s="153" t="str">
        <v/>
      </c>
      <c r="D413" s="153" t="str">
        <v/>
      </c>
      <c r="E413" s="153" t="str">
        <v/>
      </c>
      <c r="F413" s="153" t="str">
        <v/>
      </c>
      <c r="G413" s="153" t="str">
        <v/>
      </c>
      <c r="H413" s="153" t="str">
        <v/>
      </c>
      <c r="I413" s="153" t="str">
        <v/>
      </c>
      <c r="J413" s="153" t="str">
        <v/>
      </c>
      <c r="K413" s="153" t="str">
        <v/>
      </c>
      <c r="L413" s="153" t="str">
        <v/>
      </c>
      <c r="M413" s="153" t="str">
        <v/>
      </c>
      <c r="N413" s="153" t="str">
        <v/>
      </c>
      <c r="O413" s="153" t="str">
        <v/>
      </c>
      <c r="P413" s="153" t="str">
        <v/>
      </c>
    </row>
    <row r="414" spans="1:16" x14ac:dyDescent="0.2">
      <c r="A414" s="58" t="str">
        <v/>
      </c>
      <c r="B414" s="131" t="str">
        <f>IFERROR(TIMEVALUE(DaqBook_RAW_Data!Q404),IFERROR(TIMEVALUE(DaqBook_RAW_Data!A404),""))</f>
        <v/>
      </c>
      <c r="C414" s="153" t="str">
        <v/>
      </c>
      <c r="D414" s="153" t="str">
        <v/>
      </c>
      <c r="E414" s="153" t="str">
        <v/>
      </c>
      <c r="F414" s="153" t="str">
        <v/>
      </c>
      <c r="G414" s="153" t="str">
        <v/>
      </c>
      <c r="H414" s="153" t="str">
        <v/>
      </c>
      <c r="I414" s="153" t="str">
        <v/>
      </c>
      <c r="J414" s="153" t="str">
        <v/>
      </c>
      <c r="K414" s="153" t="str">
        <v/>
      </c>
      <c r="L414" s="153" t="str">
        <v/>
      </c>
      <c r="M414" s="153" t="str">
        <v/>
      </c>
      <c r="N414" s="153" t="str">
        <v/>
      </c>
      <c r="O414" s="153" t="str">
        <v/>
      </c>
      <c r="P414" s="153" t="str">
        <v/>
      </c>
    </row>
    <row r="415" spans="1:16" x14ac:dyDescent="0.2">
      <c r="A415" s="58" t="str">
        <v/>
      </c>
      <c r="B415" s="131" t="str">
        <f>IFERROR(TIMEVALUE(DaqBook_RAW_Data!Q405),IFERROR(TIMEVALUE(DaqBook_RAW_Data!A405),""))</f>
        <v/>
      </c>
      <c r="C415" s="153" t="str">
        <v/>
      </c>
      <c r="D415" s="153" t="str">
        <v/>
      </c>
      <c r="E415" s="153" t="str">
        <v/>
      </c>
      <c r="F415" s="153" t="str">
        <v/>
      </c>
      <c r="G415" s="153" t="str">
        <v/>
      </c>
      <c r="H415" s="153" t="str">
        <v/>
      </c>
      <c r="I415" s="153" t="str">
        <v/>
      </c>
      <c r="J415" s="153" t="str">
        <v/>
      </c>
      <c r="K415" s="153" t="str">
        <v/>
      </c>
      <c r="L415" s="153" t="str">
        <v/>
      </c>
      <c r="M415" s="153" t="str">
        <v/>
      </c>
      <c r="N415" s="153" t="str">
        <v/>
      </c>
      <c r="O415" s="153" t="str">
        <v/>
      </c>
      <c r="P415" s="153" t="str">
        <v/>
      </c>
    </row>
    <row r="416" spans="1:16" x14ac:dyDescent="0.2">
      <c r="A416" s="58" t="str">
        <v/>
      </c>
      <c r="B416" s="131" t="str">
        <f>IFERROR(TIMEVALUE(DaqBook_RAW_Data!Q406),IFERROR(TIMEVALUE(DaqBook_RAW_Data!A406),""))</f>
        <v/>
      </c>
      <c r="C416" s="153" t="str">
        <v/>
      </c>
      <c r="D416" s="153" t="str">
        <v/>
      </c>
      <c r="E416" s="153" t="str">
        <v/>
      </c>
      <c r="F416" s="153" t="str">
        <v/>
      </c>
      <c r="G416" s="153" t="str">
        <v/>
      </c>
      <c r="H416" s="153" t="str">
        <v/>
      </c>
      <c r="I416" s="153" t="str">
        <v/>
      </c>
      <c r="J416" s="153" t="str">
        <v/>
      </c>
      <c r="K416" s="153" t="str">
        <v/>
      </c>
      <c r="L416" s="153" t="str">
        <v/>
      </c>
      <c r="M416" s="153" t="str">
        <v/>
      </c>
      <c r="N416" s="153" t="str">
        <v/>
      </c>
      <c r="O416" s="153" t="str">
        <v/>
      </c>
      <c r="P416" s="153" t="str">
        <v/>
      </c>
    </row>
    <row r="417" spans="1:16" x14ac:dyDescent="0.2">
      <c r="A417" s="58" t="str">
        <v/>
      </c>
      <c r="B417" s="131" t="str">
        <f>IFERROR(TIMEVALUE(DaqBook_RAW_Data!Q407),IFERROR(TIMEVALUE(DaqBook_RAW_Data!A407),""))</f>
        <v/>
      </c>
      <c r="C417" s="153" t="str">
        <v/>
      </c>
      <c r="D417" s="153" t="str">
        <v/>
      </c>
      <c r="E417" s="153" t="str">
        <v/>
      </c>
      <c r="F417" s="153" t="str">
        <v/>
      </c>
      <c r="G417" s="153" t="str">
        <v/>
      </c>
      <c r="H417" s="153" t="str">
        <v/>
      </c>
      <c r="I417" s="153" t="str">
        <v/>
      </c>
      <c r="J417" s="153" t="str">
        <v/>
      </c>
      <c r="K417" s="153" t="str">
        <v/>
      </c>
      <c r="L417" s="153" t="str">
        <v/>
      </c>
      <c r="M417" s="153" t="str">
        <v/>
      </c>
      <c r="N417" s="153" t="str">
        <v/>
      </c>
      <c r="O417" s="153" t="str">
        <v/>
      </c>
      <c r="P417" s="153" t="str">
        <v/>
      </c>
    </row>
    <row r="418" spans="1:16" x14ac:dyDescent="0.2">
      <c r="A418" s="58" t="str">
        <v/>
      </c>
      <c r="B418" s="131" t="str">
        <f>IFERROR(TIMEVALUE(DaqBook_RAW_Data!Q408),IFERROR(TIMEVALUE(DaqBook_RAW_Data!A408),""))</f>
        <v/>
      </c>
      <c r="C418" s="153" t="str">
        <v/>
      </c>
      <c r="D418" s="153" t="str">
        <v/>
      </c>
      <c r="E418" s="153" t="str">
        <v/>
      </c>
      <c r="F418" s="153" t="str">
        <v/>
      </c>
      <c r="G418" s="153" t="str">
        <v/>
      </c>
      <c r="H418" s="153" t="str">
        <v/>
      </c>
      <c r="I418" s="153" t="str">
        <v/>
      </c>
      <c r="J418" s="153" t="str">
        <v/>
      </c>
      <c r="K418" s="153" t="str">
        <v/>
      </c>
      <c r="L418" s="153" t="str">
        <v/>
      </c>
      <c r="M418" s="153" t="str">
        <v/>
      </c>
      <c r="N418" s="153" t="str">
        <v/>
      </c>
      <c r="O418" s="153" t="str">
        <v/>
      </c>
      <c r="P418" s="153" t="str">
        <v/>
      </c>
    </row>
    <row r="419" spans="1:16" x14ac:dyDescent="0.2">
      <c r="A419" s="58" t="str">
        <v/>
      </c>
      <c r="B419" s="131" t="str">
        <f>IFERROR(TIMEVALUE(DaqBook_RAW_Data!Q409),IFERROR(TIMEVALUE(DaqBook_RAW_Data!A409),""))</f>
        <v/>
      </c>
      <c r="C419" s="153" t="str">
        <v/>
      </c>
      <c r="D419" s="153" t="str">
        <v/>
      </c>
      <c r="E419" s="153" t="str">
        <v/>
      </c>
      <c r="F419" s="153" t="str">
        <v/>
      </c>
      <c r="G419" s="153" t="str">
        <v/>
      </c>
      <c r="H419" s="153" t="str">
        <v/>
      </c>
      <c r="I419" s="153" t="str">
        <v/>
      </c>
      <c r="J419" s="153" t="str">
        <v/>
      </c>
      <c r="K419" s="153" t="str">
        <v/>
      </c>
      <c r="L419" s="153" t="str">
        <v/>
      </c>
      <c r="M419" s="153" t="str">
        <v/>
      </c>
      <c r="N419" s="153" t="str">
        <v/>
      </c>
      <c r="O419" s="153" t="str">
        <v/>
      </c>
      <c r="P419" s="153" t="str">
        <v/>
      </c>
    </row>
    <row r="420" spans="1:16" x14ac:dyDescent="0.2">
      <c r="A420" s="58" t="str">
        <v/>
      </c>
      <c r="B420" s="131" t="str">
        <f>IFERROR(TIMEVALUE(DaqBook_RAW_Data!Q410),IFERROR(TIMEVALUE(DaqBook_RAW_Data!A410),""))</f>
        <v/>
      </c>
      <c r="C420" s="153" t="str">
        <v/>
      </c>
      <c r="D420" s="153" t="str">
        <v/>
      </c>
      <c r="E420" s="153" t="str">
        <v/>
      </c>
      <c r="F420" s="153" t="str">
        <v/>
      </c>
      <c r="G420" s="153" t="str">
        <v/>
      </c>
      <c r="H420" s="153" t="str">
        <v/>
      </c>
      <c r="I420" s="153" t="str">
        <v/>
      </c>
      <c r="J420" s="153" t="str">
        <v/>
      </c>
      <c r="K420" s="153" t="str">
        <v/>
      </c>
      <c r="L420" s="153" t="str">
        <v/>
      </c>
      <c r="M420" s="153" t="str">
        <v/>
      </c>
      <c r="N420" s="153" t="str">
        <v/>
      </c>
      <c r="O420" s="153" t="str">
        <v/>
      </c>
      <c r="P420" s="153" t="str">
        <v/>
      </c>
    </row>
    <row r="421" spans="1:16" x14ac:dyDescent="0.2">
      <c r="A421" s="58" t="str">
        <v/>
      </c>
      <c r="B421" s="131" t="str">
        <f>IFERROR(TIMEVALUE(DaqBook_RAW_Data!Q411),IFERROR(TIMEVALUE(DaqBook_RAW_Data!A411),""))</f>
        <v/>
      </c>
      <c r="C421" s="153" t="str">
        <v/>
      </c>
      <c r="D421" s="153" t="str">
        <v/>
      </c>
      <c r="E421" s="153" t="str">
        <v/>
      </c>
      <c r="F421" s="153" t="str">
        <v/>
      </c>
      <c r="G421" s="153" t="str">
        <v/>
      </c>
      <c r="H421" s="153" t="str">
        <v/>
      </c>
      <c r="I421" s="153" t="str">
        <v/>
      </c>
      <c r="J421" s="153" t="str">
        <v/>
      </c>
      <c r="K421" s="153" t="str">
        <v/>
      </c>
      <c r="L421" s="153" t="str">
        <v/>
      </c>
      <c r="M421" s="153" t="str">
        <v/>
      </c>
      <c r="N421" s="153" t="str">
        <v/>
      </c>
      <c r="O421" s="153" t="str">
        <v/>
      </c>
      <c r="P421" s="153" t="str">
        <v/>
      </c>
    </row>
    <row r="422" spans="1:16" x14ac:dyDescent="0.2">
      <c r="A422" s="58" t="str">
        <v/>
      </c>
      <c r="B422" s="131" t="str">
        <f>IFERROR(TIMEVALUE(DaqBook_RAW_Data!Q412),IFERROR(TIMEVALUE(DaqBook_RAW_Data!A412),""))</f>
        <v/>
      </c>
      <c r="C422" s="153" t="str">
        <v/>
      </c>
      <c r="D422" s="153" t="str">
        <v/>
      </c>
      <c r="E422" s="153" t="str">
        <v/>
      </c>
      <c r="F422" s="153" t="str">
        <v/>
      </c>
      <c r="G422" s="153" t="str">
        <v/>
      </c>
      <c r="H422" s="153" t="str">
        <v/>
      </c>
      <c r="I422" s="153" t="str">
        <v/>
      </c>
      <c r="J422" s="153" t="str">
        <v/>
      </c>
      <c r="K422" s="153" t="str">
        <v/>
      </c>
      <c r="L422" s="153" t="str">
        <v/>
      </c>
      <c r="M422" s="153" t="str">
        <v/>
      </c>
      <c r="N422" s="153" t="str">
        <v/>
      </c>
      <c r="O422" s="153" t="str">
        <v/>
      </c>
      <c r="P422" s="153" t="str">
        <v/>
      </c>
    </row>
    <row r="423" spans="1:16" x14ac:dyDescent="0.2">
      <c r="A423" s="58" t="str">
        <v/>
      </c>
      <c r="B423" s="131" t="str">
        <f>IFERROR(TIMEVALUE(DaqBook_RAW_Data!Q413),IFERROR(TIMEVALUE(DaqBook_RAW_Data!A413),""))</f>
        <v/>
      </c>
      <c r="C423" s="153" t="str">
        <v/>
      </c>
      <c r="D423" s="153" t="str">
        <v/>
      </c>
      <c r="E423" s="153" t="str">
        <v/>
      </c>
      <c r="F423" s="153" t="str">
        <v/>
      </c>
      <c r="G423" s="153" t="str">
        <v/>
      </c>
      <c r="H423" s="153" t="str">
        <v/>
      </c>
      <c r="I423" s="153" t="str">
        <v/>
      </c>
      <c r="J423" s="153" t="str">
        <v/>
      </c>
      <c r="K423" s="153" t="str">
        <v/>
      </c>
      <c r="L423" s="153" t="str">
        <v/>
      </c>
      <c r="M423" s="153" t="str">
        <v/>
      </c>
      <c r="N423" s="153" t="str">
        <v/>
      </c>
      <c r="O423" s="153" t="str">
        <v/>
      </c>
      <c r="P423" s="153" t="str">
        <v/>
      </c>
    </row>
    <row r="424" spans="1:16" x14ac:dyDescent="0.2">
      <c r="A424" s="58" t="str">
        <v/>
      </c>
      <c r="B424" s="131" t="str">
        <f>IFERROR(TIMEVALUE(DaqBook_RAW_Data!Q414),IFERROR(TIMEVALUE(DaqBook_RAW_Data!A414),""))</f>
        <v/>
      </c>
      <c r="C424" s="153" t="str">
        <v/>
      </c>
      <c r="D424" s="153" t="str">
        <v/>
      </c>
      <c r="E424" s="153" t="str">
        <v/>
      </c>
      <c r="F424" s="153" t="str">
        <v/>
      </c>
      <c r="G424" s="153" t="str">
        <v/>
      </c>
      <c r="H424" s="153" t="str">
        <v/>
      </c>
      <c r="I424" s="153" t="str">
        <v/>
      </c>
      <c r="J424" s="153" t="str">
        <v/>
      </c>
      <c r="K424" s="153" t="str">
        <v/>
      </c>
      <c r="L424" s="153" t="str">
        <v/>
      </c>
      <c r="M424" s="153" t="str">
        <v/>
      </c>
      <c r="N424" s="153" t="str">
        <v/>
      </c>
      <c r="O424" s="153" t="str">
        <v/>
      </c>
      <c r="P424" s="153" t="str">
        <v/>
      </c>
    </row>
    <row r="425" spans="1:16" x14ac:dyDescent="0.2">
      <c r="A425" s="58" t="str">
        <v/>
      </c>
      <c r="B425" s="131" t="str">
        <f>IFERROR(TIMEVALUE(DaqBook_RAW_Data!Q415),IFERROR(TIMEVALUE(DaqBook_RAW_Data!A415),""))</f>
        <v/>
      </c>
      <c r="C425" s="153" t="str">
        <v/>
      </c>
      <c r="D425" s="153" t="str">
        <v/>
      </c>
      <c r="E425" s="153" t="str">
        <v/>
      </c>
      <c r="F425" s="153" t="str">
        <v/>
      </c>
      <c r="G425" s="153" t="str">
        <v/>
      </c>
      <c r="H425" s="153" t="str">
        <v/>
      </c>
      <c r="I425" s="153" t="str">
        <v/>
      </c>
      <c r="J425" s="153" t="str">
        <v/>
      </c>
      <c r="K425" s="153" t="str">
        <v/>
      </c>
      <c r="L425" s="153" t="str">
        <v/>
      </c>
      <c r="M425" s="153" t="str">
        <v/>
      </c>
      <c r="N425" s="153" t="str">
        <v/>
      </c>
      <c r="O425" s="153" t="str">
        <v/>
      </c>
      <c r="P425" s="153" t="str">
        <v/>
      </c>
    </row>
    <row r="426" spans="1:16" x14ac:dyDescent="0.2">
      <c r="A426" s="58" t="str">
        <v/>
      </c>
      <c r="B426" s="131" t="str">
        <f>IFERROR(TIMEVALUE(DaqBook_RAW_Data!Q416),IFERROR(TIMEVALUE(DaqBook_RAW_Data!A416),""))</f>
        <v/>
      </c>
      <c r="C426" s="153" t="str">
        <v/>
      </c>
      <c r="D426" s="153" t="str">
        <v/>
      </c>
      <c r="E426" s="153" t="str">
        <v/>
      </c>
      <c r="F426" s="153" t="str">
        <v/>
      </c>
      <c r="G426" s="153" t="str">
        <v/>
      </c>
      <c r="H426" s="153" t="str">
        <v/>
      </c>
      <c r="I426" s="153" t="str">
        <v/>
      </c>
      <c r="J426" s="153" t="str">
        <v/>
      </c>
      <c r="K426" s="153" t="str">
        <v/>
      </c>
      <c r="L426" s="153" t="str">
        <v/>
      </c>
      <c r="M426" s="153" t="str">
        <v/>
      </c>
      <c r="N426" s="153" t="str">
        <v/>
      </c>
      <c r="O426" s="153" t="str">
        <v/>
      </c>
      <c r="P426" s="153" t="str">
        <v/>
      </c>
    </row>
    <row r="427" spans="1:16" x14ac:dyDescent="0.2">
      <c r="A427" s="58" t="str">
        <v/>
      </c>
      <c r="B427" s="131" t="str">
        <f>IFERROR(TIMEVALUE(DaqBook_RAW_Data!Q417),IFERROR(TIMEVALUE(DaqBook_RAW_Data!A417),""))</f>
        <v/>
      </c>
      <c r="C427" s="153" t="str">
        <v/>
      </c>
      <c r="D427" s="153" t="str">
        <v/>
      </c>
      <c r="E427" s="153" t="str">
        <v/>
      </c>
      <c r="F427" s="153" t="str">
        <v/>
      </c>
      <c r="G427" s="153" t="str">
        <v/>
      </c>
      <c r="H427" s="153" t="str">
        <v/>
      </c>
      <c r="I427" s="153" t="str">
        <v/>
      </c>
      <c r="J427" s="153" t="str">
        <v/>
      </c>
      <c r="K427" s="153" t="str">
        <v/>
      </c>
      <c r="L427" s="153" t="str">
        <v/>
      </c>
      <c r="M427" s="153" t="str">
        <v/>
      </c>
      <c r="N427" s="153" t="str">
        <v/>
      </c>
      <c r="O427" s="153" t="str">
        <v/>
      </c>
      <c r="P427" s="153" t="str">
        <v/>
      </c>
    </row>
    <row r="428" spans="1:16" x14ac:dyDescent="0.2">
      <c r="A428" s="58" t="str">
        <v/>
      </c>
      <c r="B428" s="131" t="str">
        <f>IFERROR(TIMEVALUE(DaqBook_RAW_Data!Q418),IFERROR(TIMEVALUE(DaqBook_RAW_Data!A418),""))</f>
        <v/>
      </c>
      <c r="C428" s="153" t="str">
        <v/>
      </c>
      <c r="D428" s="153" t="str">
        <v/>
      </c>
      <c r="E428" s="153" t="str">
        <v/>
      </c>
      <c r="F428" s="153" t="str">
        <v/>
      </c>
      <c r="G428" s="153" t="str">
        <v/>
      </c>
      <c r="H428" s="153" t="str">
        <v/>
      </c>
      <c r="I428" s="153" t="str">
        <v/>
      </c>
      <c r="J428" s="153" t="str">
        <v/>
      </c>
      <c r="K428" s="153" t="str">
        <v/>
      </c>
      <c r="L428" s="153" t="str">
        <v/>
      </c>
      <c r="M428" s="153" t="str">
        <v/>
      </c>
      <c r="N428" s="153" t="str">
        <v/>
      </c>
      <c r="O428" s="153" t="str">
        <v/>
      </c>
      <c r="P428" s="153" t="str">
        <v/>
      </c>
    </row>
    <row r="429" spans="1:16" x14ac:dyDescent="0.2">
      <c r="A429" s="58" t="str">
        <v/>
      </c>
      <c r="B429" s="131" t="str">
        <f>IFERROR(TIMEVALUE(DaqBook_RAW_Data!Q419),IFERROR(TIMEVALUE(DaqBook_RAW_Data!A419),""))</f>
        <v/>
      </c>
      <c r="C429" s="153" t="str">
        <v/>
      </c>
      <c r="D429" s="153" t="str">
        <v/>
      </c>
      <c r="E429" s="153" t="str">
        <v/>
      </c>
      <c r="F429" s="153" t="str">
        <v/>
      </c>
      <c r="G429" s="153" t="str">
        <v/>
      </c>
      <c r="H429" s="153" t="str">
        <v/>
      </c>
      <c r="I429" s="153" t="str">
        <v/>
      </c>
      <c r="J429" s="153" t="str">
        <v/>
      </c>
      <c r="K429" s="153" t="str">
        <v/>
      </c>
      <c r="L429" s="153" t="str">
        <v/>
      </c>
      <c r="M429" s="153" t="str">
        <v/>
      </c>
      <c r="N429" s="153" t="str">
        <v/>
      </c>
      <c r="O429" s="153" t="str">
        <v/>
      </c>
      <c r="P429" s="153" t="str">
        <v/>
      </c>
    </row>
    <row r="430" spans="1:16" x14ac:dyDescent="0.2">
      <c r="A430" s="58" t="str">
        <v/>
      </c>
      <c r="B430" s="131" t="str">
        <f>IFERROR(TIMEVALUE(DaqBook_RAW_Data!Q420),IFERROR(TIMEVALUE(DaqBook_RAW_Data!A420),""))</f>
        <v/>
      </c>
      <c r="C430" s="153" t="str">
        <v/>
      </c>
      <c r="D430" s="153" t="str">
        <v/>
      </c>
      <c r="E430" s="153" t="str">
        <v/>
      </c>
      <c r="F430" s="153" t="str">
        <v/>
      </c>
      <c r="G430" s="153" t="str">
        <v/>
      </c>
      <c r="H430" s="153" t="str">
        <v/>
      </c>
      <c r="I430" s="153" t="str">
        <v/>
      </c>
      <c r="J430" s="153" t="str">
        <v/>
      </c>
      <c r="K430" s="153" t="str">
        <v/>
      </c>
      <c r="L430" s="153" t="str">
        <v/>
      </c>
      <c r="M430" s="153" t="str">
        <v/>
      </c>
      <c r="N430" s="153" t="str">
        <v/>
      </c>
      <c r="O430" s="153" t="str">
        <v/>
      </c>
      <c r="P430" s="153" t="str">
        <v/>
      </c>
    </row>
    <row r="431" spans="1:16" x14ac:dyDescent="0.2">
      <c r="A431" s="58" t="str">
        <v/>
      </c>
      <c r="B431" s="131" t="str">
        <f>IFERROR(TIMEVALUE(DaqBook_RAW_Data!Q421),IFERROR(TIMEVALUE(DaqBook_RAW_Data!A421),""))</f>
        <v/>
      </c>
      <c r="C431" s="153" t="str">
        <v/>
      </c>
      <c r="D431" s="153" t="str">
        <v/>
      </c>
      <c r="E431" s="153" t="str">
        <v/>
      </c>
      <c r="F431" s="153" t="str">
        <v/>
      </c>
      <c r="G431" s="153" t="str">
        <v/>
      </c>
      <c r="H431" s="153" t="str">
        <v/>
      </c>
      <c r="I431" s="153" t="str">
        <v/>
      </c>
      <c r="J431" s="153" t="str">
        <v/>
      </c>
      <c r="K431" s="153" t="str">
        <v/>
      </c>
      <c r="L431" s="153" t="str">
        <v/>
      </c>
      <c r="M431" s="153" t="str">
        <v/>
      </c>
      <c r="N431" s="153" t="str">
        <v/>
      </c>
      <c r="O431" s="153" t="str">
        <v/>
      </c>
      <c r="P431" s="153" t="str">
        <v/>
      </c>
    </row>
    <row r="432" spans="1:16" x14ac:dyDescent="0.2">
      <c r="A432" s="58" t="str">
        <v/>
      </c>
      <c r="B432" s="131" t="str">
        <f>IFERROR(TIMEVALUE(DaqBook_RAW_Data!Q422),IFERROR(TIMEVALUE(DaqBook_RAW_Data!A422),""))</f>
        <v/>
      </c>
      <c r="C432" s="153" t="str">
        <v/>
      </c>
      <c r="D432" s="153" t="str">
        <v/>
      </c>
      <c r="E432" s="153" t="str">
        <v/>
      </c>
      <c r="F432" s="153" t="str">
        <v/>
      </c>
      <c r="G432" s="153" t="str">
        <v/>
      </c>
      <c r="H432" s="153" t="str">
        <v/>
      </c>
      <c r="I432" s="153" t="str">
        <v/>
      </c>
      <c r="J432" s="153" t="str">
        <v/>
      </c>
      <c r="K432" s="153" t="str">
        <v/>
      </c>
      <c r="L432" s="153" t="str">
        <v/>
      </c>
      <c r="M432" s="153" t="str">
        <v/>
      </c>
      <c r="N432" s="153" t="str">
        <v/>
      </c>
      <c r="O432" s="153" t="str">
        <v/>
      </c>
      <c r="P432" s="153" t="str">
        <v/>
      </c>
    </row>
    <row r="433" spans="1:16" x14ac:dyDescent="0.2">
      <c r="A433" s="58" t="str">
        <v/>
      </c>
      <c r="B433" s="131" t="str">
        <f>IFERROR(TIMEVALUE(DaqBook_RAW_Data!Q423),IFERROR(TIMEVALUE(DaqBook_RAW_Data!A423),""))</f>
        <v/>
      </c>
      <c r="C433" s="153" t="str">
        <v/>
      </c>
      <c r="D433" s="153" t="str">
        <v/>
      </c>
      <c r="E433" s="153" t="str">
        <v/>
      </c>
      <c r="F433" s="153" t="str">
        <v/>
      </c>
      <c r="G433" s="153" t="str">
        <v/>
      </c>
      <c r="H433" s="153" t="str">
        <v/>
      </c>
      <c r="I433" s="153" t="str">
        <v/>
      </c>
      <c r="J433" s="153" t="str">
        <v/>
      </c>
      <c r="K433" s="153" t="str">
        <v/>
      </c>
      <c r="L433" s="153" t="str">
        <v/>
      </c>
      <c r="M433" s="153" t="str">
        <v/>
      </c>
      <c r="N433" s="153" t="str">
        <v/>
      </c>
      <c r="O433" s="153" t="str">
        <v/>
      </c>
      <c r="P433" s="153" t="str">
        <v/>
      </c>
    </row>
    <row r="434" spans="1:16" x14ac:dyDescent="0.2">
      <c r="A434" s="58" t="str">
        <v/>
      </c>
      <c r="B434" s="131" t="str">
        <f>IFERROR(TIMEVALUE(DaqBook_RAW_Data!Q424),IFERROR(TIMEVALUE(DaqBook_RAW_Data!A424),""))</f>
        <v/>
      </c>
      <c r="C434" s="153" t="str">
        <v/>
      </c>
      <c r="D434" s="153" t="str">
        <v/>
      </c>
      <c r="E434" s="153" t="str">
        <v/>
      </c>
      <c r="F434" s="153" t="str">
        <v/>
      </c>
      <c r="G434" s="153" t="str">
        <v/>
      </c>
      <c r="H434" s="153" t="str">
        <v/>
      </c>
      <c r="I434" s="153" t="str">
        <v/>
      </c>
      <c r="J434" s="153" t="str">
        <v/>
      </c>
      <c r="K434" s="153" t="str">
        <v/>
      </c>
      <c r="L434" s="153" t="str">
        <v/>
      </c>
      <c r="M434" s="153" t="str">
        <v/>
      </c>
      <c r="N434" s="153" t="str">
        <v/>
      </c>
      <c r="O434" s="153" t="str">
        <v/>
      </c>
      <c r="P434" s="153" t="str">
        <v/>
      </c>
    </row>
    <row r="435" spans="1:16" x14ac:dyDescent="0.2">
      <c r="A435" s="58" t="str">
        <v/>
      </c>
      <c r="B435" s="131" t="str">
        <f>IFERROR(TIMEVALUE(DaqBook_RAW_Data!Q425),IFERROR(TIMEVALUE(DaqBook_RAW_Data!A425),""))</f>
        <v/>
      </c>
      <c r="C435" s="153" t="str">
        <v/>
      </c>
      <c r="D435" s="153" t="str">
        <v/>
      </c>
      <c r="E435" s="153" t="str">
        <v/>
      </c>
      <c r="F435" s="153" t="str">
        <v/>
      </c>
      <c r="G435" s="153" t="str">
        <v/>
      </c>
      <c r="H435" s="153" t="str">
        <v/>
      </c>
      <c r="I435" s="153" t="str">
        <v/>
      </c>
      <c r="J435" s="153" t="str">
        <v/>
      </c>
      <c r="K435" s="153" t="str">
        <v/>
      </c>
      <c r="L435" s="153" t="str">
        <v/>
      </c>
      <c r="M435" s="153" t="str">
        <v/>
      </c>
      <c r="N435" s="153" t="str">
        <v/>
      </c>
      <c r="O435" s="153" t="str">
        <v/>
      </c>
      <c r="P435" s="153" t="str">
        <v/>
      </c>
    </row>
    <row r="436" spans="1:16" x14ac:dyDescent="0.2">
      <c r="A436" s="58" t="str">
        <v/>
      </c>
      <c r="B436" s="131" t="str">
        <f>IFERROR(TIMEVALUE(DaqBook_RAW_Data!Q426),IFERROR(TIMEVALUE(DaqBook_RAW_Data!A426),""))</f>
        <v/>
      </c>
      <c r="C436" s="153" t="str">
        <v/>
      </c>
      <c r="D436" s="153" t="str">
        <v/>
      </c>
      <c r="E436" s="153" t="str">
        <v/>
      </c>
      <c r="F436" s="153" t="str">
        <v/>
      </c>
      <c r="G436" s="153" t="str">
        <v/>
      </c>
      <c r="H436" s="153" t="str">
        <v/>
      </c>
      <c r="I436" s="153" t="str">
        <v/>
      </c>
      <c r="J436" s="153" t="str">
        <v/>
      </c>
      <c r="K436" s="153" t="str">
        <v/>
      </c>
      <c r="L436" s="153" t="str">
        <v/>
      </c>
      <c r="M436" s="153" t="str">
        <v/>
      </c>
      <c r="N436" s="153" t="str">
        <v/>
      </c>
      <c r="O436" s="153" t="str">
        <v/>
      </c>
      <c r="P436" s="153" t="str">
        <v/>
      </c>
    </row>
    <row r="437" spans="1:16" x14ac:dyDescent="0.2">
      <c r="A437" s="58" t="str">
        <v/>
      </c>
      <c r="B437" s="131" t="str">
        <f>IFERROR(TIMEVALUE(DaqBook_RAW_Data!Q427),IFERROR(TIMEVALUE(DaqBook_RAW_Data!A427),""))</f>
        <v/>
      </c>
      <c r="C437" s="153" t="str">
        <v/>
      </c>
      <c r="D437" s="153" t="str">
        <v/>
      </c>
      <c r="E437" s="153" t="str">
        <v/>
      </c>
      <c r="F437" s="153" t="str">
        <v/>
      </c>
      <c r="G437" s="153" t="str">
        <v/>
      </c>
      <c r="H437" s="153" t="str">
        <v/>
      </c>
      <c r="I437" s="153" t="str">
        <v/>
      </c>
      <c r="J437" s="153" t="str">
        <v/>
      </c>
      <c r="K437" s="153" t="str">
        <v/>
      </c>
      <c r="L437" s="153" t="str">
        <v/>
      </c>
      <c r="M437" s="153" t="str">
        <v/>
      </c>
      <c r="N437" s="153" t="str">
        <v/>
      </c>
      <c r="O437" s="153" t="str">
        <v/>
      </c>
      <c r="P437" s="153" t="str">
        <v/>
      </c>
    </row>
    <row r="438" spans="1:16" x14ac:dyDescent="0.2">
      <c r="A438" s="58" t="str">
        <v/>
      </c>
      <c r="B438" s="131" t="str">
        <f>IFERROR(TIMEVALUE(DaqBook_RAW_Data!Q428),IFERROR(TIMEVALUE(DaqBook_RAW_Data!A428),""))</f>
        <v/>
      </c>
      <c r="C438" s="153" t="str">
        <v/>
      </c>
      <c r="D438" s="153" t="str">
        <v/>
      </c>
      <c r="E438" s="153" t="str">
        <v/>
      </c>
      <c r="F438" s="153" t="str">
        <v/>
      </c>
      <c r="G438" s="153" t="str">
        <v/>
      </c>
      <c r="H438" s="153" t="str">
        <v/>
      </c>
      <c r="I438" s="153" t="str">
        <v/>
      </c>
      <c r="J438" s="153" t="str">
        <v/>
      </c>
      <c r="K438" s="153" t="str">
        <v/>
      </c>
      <c r="L438" s="153" t="str">
        <v/>
      </c>
      <c r="M438" s="153" t="str">
        <v/>
      </c>
      <c r="N438" s="153" t="str">
        <v/>
      </c>
      <c r="O438" s="153" t="str">
        <v/>
      </c>
      <c r="P438" s="153" t="str">
        <v/>
      </c>
    </row>
    <row r="439" spans="1:16" x14ac:dyDescent="0.2">
      <c r="A439" s="58" t="str">
        <v/>
      </c>
      <c r="B439" s="131" t="str">
        <f>IFERROR(TIMEVALUE(DaqBook_RAW_Data!Q429),IFERROR(TIMEVALUE(DaqBook_RAW_Data!A429),""))</f>
        <v/>
      </c>
      <c r="C439" s="153" t="str">
        <v/>
      </c>
      <c r="D439" s="153" t="str">
        <v/>
      </c>
      <c r="E439" s="153" t="str">
        <v/>
      </c>
      <c r="F439" s="153" t="str">
        <v/>
      </c>
      <c r="G439" s="153" t="str">
        <v/>
      </c>
      <c r="H439" s="153" t="str">
        <v/>
      </c>
      <c r="I439" s="153" t="str">
        <v/>
      </c>
      <c r="J439" s="153" t="str">
        <v/>
      </c>
      <c r="K439" s="153" t="str">
        <v/>
      </c>
      <c r="L439" s="153" t="str">
        <v/>
      </c>
      <c r="M439" s="153" t="str">
        <v/>
      </c>
      <c r="N439" s="153" t="str">
        <v/>
      </c>
      <c r="O439" s="153" t="str">
        <v/>
      </c>
      <c r="P439" s="153" t="str">
        <v/>
      </c>
    </row>
    <row r="440" spans="1:16" x14ac:dyDescent="0.2">
      <c r="A440" s="58" t="str">
        <v/>
      </c>
      <c r="B440" s="131" t="str">
        <f>IFERROR(TIMEVALUE(DaqBook_RAW_Data!Q430),IFERROR(TIMEVALUE(DaqBook_RAW_Data!A430),""))</f>
        <v/>
      </c>
      <c r="C440" s="153" t="str">
        <v/>
      </c>
      <c r="D440" s="153" t="str">
        <v/>
      </c>
      <c r="E440" s="153" t="str">
        <v/>
      </c>
      <c r="F440" s="153" t="str">
        <v/>
      </c>
      <c r="G440" s="153" t="str">
        <v/>
      </c>
      <c r="H440" s="153" t="str">
        <v/>
      </c>
      <c r="I440" s="153" t="str">
        <v/>
      </c>
      <c r="J440" s="153" t="str">
        <v/>
      </c>
      <c r="K440" s="153" t="str">
        <v/>
      </c>
      <c r="L440" s="153" t="str">
        <v/>
      </c>
      <c r="M440" s="153" t="str">
        <v/>
      </c>
      <c r="N440" s="153" t="str">
        <v/>
      </c>
      <c r="O440" s="153" t="str">
        <v/>
      </c>
      <c r="P440" s="153" t="str">
        <v/>
      </c>
    </row>
    <row r="441" spans="1:16" x14ac:dyDescent="0.2">
      <c r="A441" s="58" t="str">
        <v/>
      </c>
      <c r="B441" s="131" t="str">
        <f>IFERROR(TIMEVALUE(DaqBook_RAW_Data!Q431),IFERROR(TIMEVALUE(DaqBook_RAW_Data!A431),""))</f>
        <v/>
      </c>
      <c r="C441" s="153" t="str">
        <v/>
      </c>
      <c r="D441" s="153" t="str">
        <v/>
      </c>
      <c r="E441" s="153" t="str">
        <v/>
      </c>
      <c r="F441" s="153" t="str">
        <v/>
      </c>
      <c r="G441" s="153" t="str">
        <v/>
      </c>
      <c r="H441" s="153" t="str">
        <v/>
      </c>
      <c r="I441" s="153" t="str">
        <v/>
      </c>
      <c r="J441" s="153" t="str">
        <v/>
      </c>
      <c r="K441" s="153" t="str">
        <v/>
      </c>
      <c r="L441" s="153" t="str">
        <v/>
      </c>
      <c r="M441" s="153" t="str">
        <v/>
      </c>
      <c r="N441" s="153" t="str">
        <v/>
      </c>
      <c r="O441" s="153" t="str">
        <v/>
      </c>
      <c r="P441" s="153" t="str">
        <v/>
      </c>
    </row>
    <row r="442" spans="1:16" x14ac:dyDescent="0.2">
      <c r="A442" s="58" t="str">
        <v/>
      </c>
      <c r="B442" s="131" t="str">
        <f>IFERROR(TIMEVALUE(DaqBook_RAW_Data!Q432),IFERROR(TIMEVALUE(DaqBook_RAW_Data!A432),""))</f>
        <v/>
      </c>
      <c r="C442" s="153" t="str">
        <v/>
      </c>
      <c r="D442" s="153" t="str">
        <v/>
      </c>
      <c r="E442" s="153" t="str">
        <v/>
      </c>
      <c r="F442" s="153" t="str">
        <v/>
      </c>
      <c r="G442" s="153" t="str">
        <v/>
      </c>
      <c r="H442" s="153" t="str">
        <v/>
      </c>
      <c r="I442" s="153" t="str">
        <v/>
      </c>
      <c r="J442" s="153" t="str">
        <v/>
      </c>
      <c r="K442" s="153" t="str">
        <v/>
      </c>
      <c r="L442" s="153" t="str">
        <v/>
      </c>
      <c r="M442" s="153" t="str">
        <v/>
      </c>
      <c r="N442" s="153" t="str">
        <v/>
      </c>
      <c r="O442" s="153" t="str">
        <v/>
      </c>
      <c r="P442" s="153" t="str">
        <v/>
      </c>
    </row>
    <row r="443" spans="1:16" x14ac:dyDescent="0.2">
      <c r="A443" s="58" t="str">
        <v/>
      </c>
      <c r="B443" s="131" t="str">
        <f>IFERROR(TIMEVALUE(DaqBook_RAW_Data!Q433),IFERROR(TIMEVALUE(DaqBook_RAW_Data!A433),""))</f>
        <v/>
      </c>
      <c r="C443" s="153" t="str">
        <v/>
      </c>
      <c r="D443" s="153" t="str">
        <v/>
      </c>
      <c r="E443" s="153" t="str">
        <v/>
      </c>
      <c r="F443" s="153" t="str">
        <v/>
      </c>
      <c r="G443" s="153" t="str">
        <v/>
      </c>
      <c r="H443" s="153" t="str">
        <v/>
      </c>
      <c r="I443" s="153" t="str">
        <v/>
      </c>
      <c r="J443" s="153" t="str">
        <v/>
      </c>
      <c r="K443" s="153" t="str">
        <v/>
      </c>
      <c r="L443" s="153" t="str">
        <v/>
      </c>
      <c r="M443" s="153" t="str">
        <v/>
      </c>
      <c r="N443" s="153" t="str">
        <v/>
      </c>
      <c r="O443" s="153" t="str">
        <v/>
      </c>
      <c r="P443" s="153" t="str">
        <v/>
      </c>
    </row>
    <row r="444" spans="1:16" x14ac:dyDescent="0.2">
      <c r="A444" s="58" t="str">
        <v/>
      </c>
      <c r="B444" s="131" t="str">
        <f>IFERROR(TIMEVALUE(DaqBook_RAW_Data!Q434),IFERROR(TIMEVALUE(DaqBook_RAW_Data!A434),""))</f>
        <v/>
      </c>
      <c r="C444" s="153" t="str">
        <v/>
      </c>
      <c r="D444" s="153" t="str">
        <v/>
      </c>
      <c r="E444" s="153" t="str">
        <v/>
      </c>
      <c r="F444" s="153" t="str">
        <v/>
      </c>
      <c r="G444" s="153" t="str">
        <v/>
      </c>
      <c r="H444" s="153" t="str">
        <v/>
      </c>
      <c r="I444" s="153" t="str">
        <v/>
      </c>
      <c r="J444" s="153" t="str">
        <v/>
      </c>
      <c r="K444" s="153" t="str">
        <v/>
      </c>
      <c r="L444" s="153" t="str">
        <v/>
      </c>
      <c r="M444" s="153" t="str">
        <v/>
      </c>
      <c r="N444" s="153" t="str">
        <v/>
      </c>
      <c r="O444" s="153" t="str">
        <v/>
      </c>
      <c r="P444" s="153" t="str">
        <v/>
      </c>
    </row>
    <row r="445" spans="1:16" x14ac:dyDescent="0.2">
      <c r="A445" s="58" t="str">
        <v/>
      </c>
      <c r="B445" s="131" t="str">
        <f>IFERROR(TIMEVALUE(DaqBook_RAW_Data!Q435),IFERROR(TIMEVALUE(DaqBook_RAW_Data!A435),""))</f>
        <v/>
      </c>
      <c r="C445" s="153" t="str">
        <v/>
      </c>
      <c r="D445" s="153" t="str">
        <v/>
      </c>
      <c r="E445" s="153" t="str">
        <v/>
      </c>
      <c r="F445" s="153" t="str">
        <v/>
      </c>
      <c r="G445" s="153" t="str">
        <v/>
      </c>
      <c r="H445" s="153" t="str">
        <v/>
      </c>
      <c r="I445" s="153" t="str">
        <v/>
      </c>
      <c r="J445" s="153" t="str">
        <v/>
      </c>
      <c r="K445" s="153" t="str">
        <v/>
      </c>
      <c r="L445" s="153" t="str">
        <v/>
      </c>
      <c r="M445" s="153" t="str">
        <v/>
      </c>
      <c r="N445" s="153" t="str">
        <v/>
      </c>
      <c r="O445" s="153" t="str">
        <v/>
      </c>
      <c r="P445" s="153" t="str">
        <v/>
      </c>
    </row>
    <row r="446" spans="1:16" x14ac:dyDescent="0.2">
      <c r="A446" s="58" t="str">
        <v/>
      </c>
      <c r="B446" s="131" t="str">
        <f>IFERROR(TIMEVALUE(DaqBook_RAW_Data!Q436),IFERROR(TIMEVALUE(DaqBook_RAW_Data!A436),""))</f>
        <v/>
      </c>
      <c r="C446" s="153" t="str">
        <v/>
      </c>
      <c r="D446" s="153" t="str">
        <v/>
      </c>
      <c r="E446" s="153" t="str">
        <v/>
      </c>
      <c r="F446" s="153" t="str">
        <v/>
      </c>
      <c r="G446" s="153" t="str">
        <v/>
      </c>
      <c r="H446" s="153" t="str">
        <v/>
      </c>
      <c r="I446" s="153" t="str">
        <v/>
      </c>
      <c r="J446" s="153" t="str">
        <v/>
      </c>
      <c r="K446" s="153" t="str">
        <v/>
      </c>
      <c r="L446" s="153" t="str">
        <v/>
      </c>
      <c r="M446" s="153" t="str">
        <v/>
      </c>
      <c r="N446" s="153" t="str">
        <v/>
      </c>
      <c r="O446" s="153" t="str">
        <v/>
      </c>
      <c r="P446" s="153" t="str">
        <v/>
      </c>
    </row>
    <row r="447" spans="1:16" x14ac:dyDescent="0.2">
      <c r="A447" s="58" t="str">
        <v/>
      </c>
      <c r="B447" s="131" t="str">
        <f>IFERROR(TIMEVALUE(DaqBook_RAW_Data!Q437),IFERROR(TIMEVALUE(DaqBook_RAW_Data!A437),""))</f>
        <v/>
      </c>
      <c r="C447" s="153" t="str">
        <v/>
      </c>
      <c r="D447" s="153" t="str">
        <v/>
      </c>
      <c r="E447" s="153" t="str">
        <v/>
      </c>
      <c r="F447" s="153" t="str">
        <v/>
      </c>
      <c r="G447" s="153" t="str">
        <v/>
      </c>
      <c r="H447" s="153" t="str">
        <v/>
      </c>
      <c r="I447" s="153" t="str">
        <v/>
      </c>
      <c r="J447" s="153" t="str">
        <v/>
      </c>
      <c r="K447" s="153" t="str">
        <v/>
      </c>
      <c r="L447" s="153" t="str">
        <v/>
      </c>
      <c r="M447" s="153" t="str">
        <v/>
      </c>
      <c r="N447" s="153" t="str">
        <v/>
      </c>
      <c r="O447" s="153" t="str">
        <v/>
      </c>
      <c r="P447" s="153" t="str">
        <v/>
      </c>
    </row>
    <row r="448" spans="1:16" x14ac:dyDescent="0.2">
      <c r="A448" s="58" t="str">
        <v/>
      </c>
      <c r="B448" s="131" t="str">
        <f>IFERROR(TIMEVALUE(DaqBook_RAW_Data!Q438),IFERROR(TIMEVALUE(DaqBook_RAW_Data!A438),""))</f>
        <v/>
      </c>
      <c r="C448" s="153" t="str">
        <v/>
      </c>
      <c r="D448" s="153" t="str">
        <v/>
      </c>
      <c r="E448" s="153" t="str">
        <v/>
      </c>
      <c r="F448" s="153" t="str">
        <v/>
      </c>
      <c r="G448" s="153" t="str">
        <v/>
      </c>
      <c r="H448" s="153" t="str">
        <v/>
      </c>
      <c r="I448" s="153" t="str">
        <v/>
      </c>
      <c r="J448" s="153" t="str">
        <v/>
      </c>
      <c r="K448" s="153" t="str">
        <v/>
      </c>
      <c r="L448" s="153" t="str">
        <v/>
      </c>
      <c r="M448" s="153" t="str">
        <v/>
      </c>
      <c r="N448" s="153" t="str">
        <v/>
      </c>
      <c r="O448" s="153" t="str">
        <v/>
      </c>
      <c r="P448" s="153" t="str">
        <v/>
      </c>
    </row>
    <row r="449" spans="1:16" x14ac:dyDescent="0.2">
      <c r="A449" s="58" t="str">
        <v/>
      </c>
      <c r="B449" s="131" t="str">
        <f>IFERROR(TIMEVALUE(DaqBook_RAW_Data!Q439),IFERROR(TIMEVALUE(DaqBook_RAW_Data!A439),""))</f>
        <v/>
      </c>
      <c r="C449" s="153" t="str">
        <v/>
      </c>
      <c r="D449" s="153" t="str">
        <v/>
      </c>
      <c r="E449" s="153" t="str">
        <v/>
      </c>
      <c r="F449" s="153" t="str">
        <v/>
      </c>
      <c r="G449" s="153" t="str">
        <v/>
      </c>
      <c r="H449" s="153" t="str">
        <v/>
      </c>
      <c r="I449" s="153" t="str">
        <v/>
      </c>
      <c r="J449" s="153" t="str">
        <v/>
      </c>
      <c r="K449" s="153" t="str">
        <v/>
      </c>
      <c r="L449" s="153" t="str">
        <v/>
      </c>
      <c r="M449" s="153" t="str">
        <v/>
      </c>
      <c r="N449" s="153" t="str">
        <v/>
      </c>
      <c r="O449" s="153" t="str">
        <v/>
      </c>
      <c r="P449" s="153" t="str">
        <v/>
      </c>
    </row>
    <row r="450" spans="1:16" x14ac:dyDescent="0.2">
      <c r="A450" s="58" t="str">
        <v/>
      </c>
      <c r="B450" s="131" t="str">
        <f>IFERROR(TIMEVALUE(DaqBook_RAW_Data!Q440),IFERROR(TIMEVALUE(DaqBook_RAW_Data!A440),""))</f>
        <v/>
      </c>
      <c r="C450" s="153" t="str">
        <v/>
      </c>
      <c r="D450" s="153" t="str">
        <v/>
      </c>
      <c r="E450" s="153" t="str">
        <v/>
      </c>
      <c r="F450" s="153" t="str">
        <v/>
      </c>
      <c r="G450" s="153" t="str">
        <v/>
      </c>
      <c r="H450" s="153" t="str">
        <v/>
      </c>
      <c r="I450" s="153" t="str">
        <v/>
      </c>
      <c r="J450" s="153" t="str">
        <v/>
      </c>
      <c r="K450" s="153" t="str">
        <v/>
      </c>
      <c r="L450" s="153" t="str">
        <v/>
      </c>
      <c r="M450" s="153" t="str">
        <v/>
      </c>
      <c r="N450" s="153" t="str">
        <v/>
      </c>
      <c r="O450" s="153" t="str">
        <v/>
      </c>
      <c r="P450" s="153" t="str">
        <v/>
      </c>
    </row>
    <row r="451" spans="1:16" x14ac:dyDescent="0.2">
      <c r="A451" s="58" t="str">
        <v/>
      </c>
      <c r="B451" s="131" t="str">
        <f>IFERROR(TIMEVALUE(DaqBook_RAW_Data!Q441),IFERROR(TIMEVALUE(DaqBook_RAW_Data!A441),""))</f>
        <v/>
      </c>
      <c r="C451" s="153" t="str">
        <v/>
      </c>
      <c r="D451" s="153" t="str">
        <v/>
      </c>
      <c r="E451" s="153" t="str">
        <v/>
      </c>
      <c r="F451" s="153" t="str">
        <v/>
      </c>
      <c r="G451" s="153" t="str">
        <v/>
      </c>
      <c r="H451" s="153" t="str">
        <v/>
      </c>
      <c r="I451" s="153" t="str">
        <v/>
      </c>
      <c r="J451" s="153" t="str">
        <v/>
      </c>
      <c r="K451" s="153" t="str">
        <v/>
      </c>
      <c r="L451" s="153" t="str">
        <v/>
      </c>
      <c r="M451" s="153" t="str">
        <v/>
      </c>
      <c r="N451" s="153" t="str">
        <v/>
      </c>
      <c r="O451" s="153" t="str">
        <v/>
      </c>
      <c r="P451" s="153" t="str">
        <v/>
      </c>
    </row>
    <row r="452" spans="1:16" x14ac:dyDescent="0.2">
      <c r="A452" s="58" t="str">
        <v/>
      </c>
      <c r="B452" s="131" t="str">
        <f>IFERROR(TIMEVALUE(DaqBook_RAW_Data!Q442),IFERROR(TIMEVALUE(DaqBook_RAW_Data!A442),""))</f>
        <v/>
      </c>
      <c r="C452" s="153" t="str">
        <v/>
      </c>
      <c r="D452" s="153" t="str">
        <v/>
      </c>
      <c r="E452" s="153" t="str">
        <v/>
      </c>
      <c r="F452" s="153" t="str">
        <v/>
      </c>
      <c r="G452" s="153" t="str">
        <v/>
      </c>
      <c r="H452" s="153" t="str">
        <v/>
      </c>
      <c r="I452" s="153" t="str">
        <v/>
      </c>
      <c r="J452" s="153" t="str">
        <v/>
      </c>
      <c r="K452" s="153" t="str">
        <v/>
      </c>
      <c r="L452" s="153" t="str">
        <v/>
      </c>
      <c r="M452" s="153" t="str">
        <v/>
      </c>
      <c r="N452" s="153" t="str">
        <v/>
      </c>
      <c r="O452" s="153" t="str">
        <v/>
      </c>
      <c r="P452" s="153" t="str">
        <v/>
      </c>
    </row>
    <row r="453" spans="1:16" x14ac:dyDescent="0.2">
      <c r="A453" s="58" t="str">
        <v/>
      </c>
      <c r="B453" s="131" t="str">
        <f>IFERROR(TIMEVALUE(DaqBook_RAW_Data!Q443),IFERROR(TIMEVALUE(DaqBook_RAW_Data!A443),""))</f>
        <v/>
      </c>
      <c r="C453" s="153" t="str">
        <v/>
      </c>
      <c r="D453" s="153" t="str">
        <v/>
      </c>
      <c r="E453" s="153" t="str">
        <v/>
      </c>
      <c r="F453" s="153" t="str">
        <v/>
      </c>
      <c r="G453" s="153" t="str">
        <v/>
      </c>
      <c r="H453" s="153" t="str">
        <v/>
      </c>
      <c r="I453" s="153" t="str">
        <v/>
      </c>
      <c r="J453" s="153" t="str">
        <v/>
      </c>
      <c r="K453" s="153" t="str">
        <v/>
      </c>
      <c r="L453" s="153" t="str">
        <v/>
      </c>
      <c r="M453" s="153" t="str">
        <v/>
      </c>
      <c r="N453" s="153" t="str">
        <v/>
      </c>
      <c r="O453" s="153" t="str">
        <v/>
      </c>
      <c r="P453" s="153" t="str">
        <v/>
      </c>
    </row>
    <row r="454" spans="1:16" x14ac:dyDescent="0.2">
      <c r="A454" s="58" t="str">
        <v/>
      </c>
      <c r="B454" s="131" t="str">
        <f>IFERROR(TIMEVALUE(DaqBook_RAW_Data!Q444),IFERROR(TIMEVALUE(DaqBook_RAW_Data!A444),""))</f>
        <v/>
      </c>
      <c r="C454" s="153" t="str">
        <v/>
      </c>
      <c r="D454" s="153" t="str">
        <v/>
      </c>
      <c r="E454" s="153" t="str">
        <v/>
      </c>
      <c r="F454" s="153" t="str">
        <v/>
      </c>
      <c r="G454" s="153" t="str">
        <v/>
      </c>
      <c r="H454" s="153" t="str">
        <v/>
      </c>
      <c r="I454" s="153" t="str">
        <v/>
      </c>
      <c r="J454" s="153" t="str">
        <v/>
      </c>
      <c r="K454" s="153" t="str">
        <v/>
      </c>
      <c r="L454" s="153" t="str">
        <v/>
      </c>
      <c r="M454" s="153" t="str">
        <v/>
      </c>
      <c r="N454" s="153" t="str">
        <v/>
      </c>
      <c r="O454" s="153" t="str">
        <v/>
      </c>
      <c r="P454" s="153" t="str">
        <v/>
      </c>
    </row>
    <row r="455" spans="1:16" x14ac:dyDescent="0.2">
      <c r="A455" s="58" t="str">
        <v/>
      </c>
      <c r="B455" s="131" t="str">
        <f>IFERROR(TIMEVALUE(DaqBook_RAW_Data!Q445),IFERROR(TIMEVALUE(DaqBook_RAW_Data!A445),""))</f>
        <v/>
      </c>
      <c r="C455" s="153" t="str">
        <v/>
      </c>
      <c r="D455" s="153" t="str">
        <v/>
      </c>
      <c r="E455" s="153" t="str">
        <v/>
      </c>
      <c r="F455" s="153" t="str">
        <v/>
      </c>
      <c r="G455" s="153" t="str">
        <v/>
      </c>
      <c r="H455" s="153" t="str">
        <v/>
      </c>
      <c r="I455" s="153" t="str">
        <v/>
      </c>
      <c r="J455" s="153" t="str">
        <v/>
      </c>
      <c r="K455" s="153" t="str">
        <v/>
      </c>
      <c r="L455" s="153" t="str">
        <v/>
      </c>
      <c r="M455" s="153" t="str">
        <v/>
      </c>
      <c r="N455" s="153" t="str">
        <v/>
      </c>
      <c r="O455" s="153" t="str">
        <v/>
      </c>
      <c r="P455" s="153" t="str">
        <v/>
      </c>
    </row>
    <row r="456" spans="1:16" x14ac:dyDescent="0.2">
      <c r="A456" s="58" t="str">
        <v/>
      </c>
      <c r="B456" s="131" t="str">
        <f>IFERROR(TIMEVALUE(DaqBook_RAW_Data!Q446),IFERROR(TIMEVALUE(DaqBook_RAW_Data!A446),""))</f>
        <v/>
      </c>
      <c r="C456" s="153" t="str">
        <v/>
      </c>
      <c r="D456" s="153" t="str">
        <v/>
      </c>
      <c r="E456" s="153" t="str">
        <v/>
      </c>
      <c r="F456" s="153" t="str">
        <v/>
      </c>
      <c r="G456" s="153" t="str">
        <v/>
      </c>
      <c r="H456" s="153" t="str">
        <v/>
      </c>
      <c r="I456" s="153" t="str">
        <v/>
      </c>
      <c r="J456" s="153" t="str">
        <v/>
      </c>
      <c r="K456" s="153" t="str">
        <v/>
      </c>
      <c r="L456" s="153" t="str">
        <v/>
      </c>
      <c r="M456" s="153" t="str">
        <v/>
      </c>
      <c r="N456" s="153" t="str">
        <v/>
      </c>
      <c r="O456" s="153" t="str">
        <v/>
      </c>
      <c r="P456" s="153" t="str">
        <v/>
      </c>
    </row>
    <row r="457" spans="1:16" x14ac:dyDescent="0.2">
      <c r="A457" s="58" t="str">
        <v/>
      </c>
      <c r="B457" s="131" t="str">
        <f>IFERROR(TIMEVALUE(DaqBook_RAW_Data!Q447),IFERROR(TIMEVALUE(DaqBook_RAW_Data!A447),""))</f>
        <v/>
      </c>
      <c r="C457" s="153" t="str">
        <v/>
      </c>
      <c r="D457" s="153" t="str">
        <v/>
      </c>
      <c r="E457" s="153" t="str">
        <v/>
      </c>
      <c r="F457" s="153" t="str">
        <v/>
      </c>
      <c r="G457" s="153" t="str">
        <v/>
      </c>
      <c r="H457" s="153" t="str">
        <v/>
      </c>
      <c r="I457" s="153" t="str">
        <v/>
      </c>
      <c r="J457" s="153" t="str">
        <v/>
      </c>
      <c r="K457" s="153" t="str">
        <v/>
      </c>
      <c r="L457" s="153" t="str">
        <v/>
      </c>
      <c r="M457" s="153" t="str">
        <v/>
      </c>
      <c r="N457" s="153" t="str">
        <v/>
      </c>
      <c r="O457" s="153" t="str">
        <v/>
      </c>
      <c r="P457" s="153" t="str">
        <v/>
      </c>
    </row>
    <row r="458" spans="1:16" x14ac:dyDescent="0.2">
      <c r="A458" s="58" t="str">
        <v/>
      </c>
      <c r="B458" s="131" t="str">
        <f>IFERROR(TIMEVALUE(DaqBook_RAW_Data!Q448),IFERROR(TIMEVALUE(DaqBook_RAW_Data!A448),""))</f>
        <v/>
      </c>
      <c r="C458" s="153" t="str">
        <v/>
      </c>
      <c r="D458" s="153" t="str">
        <v/>
      </c>
      <c r="E458" s="153" t="str">
        <v/>
      </c>
      <c r="F458" s="153" t="str">
        <v/>
      </c>
      <c r="G458" s="153" t="str">
        <v/>
      </c>
      <c r="H458" s="153" t="str">
        <v/>
      </c>
      <c r="I458" s="153" t="str">
        <v/>
      </c>
      <c r="J458" s="153" t="str">
        <v/>
      </c>
      <c r="K458" s="153" t="str">
        <v/>
      </c>
      <c r="L458" s="153" t="str">
        <v/>
      </c>
      <c r="M458" s="153" t="str">
        <v/>
      </c>
      <c r="N458" s="153" t="str">
        <v/>
      </c>
      <c r="O458" s="153" t="str">
        <v/>
      </c>
      <c r="P458" s="153" t="str">
        <v/>
      </c>
    </row>
    <row r="459" spans="1:16" x14ac:dyDescent="0.2">
      <c r="A459" s="58" t="str">
        <v/>
      </c>
      <c r="B459" s="131" t="str">
        <f>IFERROR(TIMEVALUE(DaqBook_RAW_Data!Q449),IFERROR(TIMEVALUE(DaqBook_RAW_Data!A449),""))</f>
        <v/>
      </c>
      <c r="C459" s="153" t="str">
        <v/>
      </c>
      <c r="D459" s="153" t="str">
        <v/>
      </c>
      <c r="E459" s="153" t="str">
        <v/>
      </c>
      <c r="F459" s="153" t="str">
        <v/>
      </c>
      <c r="G459" s="153" t="str">
        <v/>
      </c>
      <c r="H459" s="153" t="str">
        <v/>
      </c>
      <c r="I459" s="153" t="str">
        <v/>
      </c>
      <c r="J459" s="153" t="str">
        <v/>
      </c>
      <c r="K459" s="153" t="str">
        <v/>
      </c>
      <c r="L459" s="153" t="str">
        <v/>
      </c>
      <c r="M459" s="153" t="str">
        <v/>
      </c>
      <c r="N459" s="153" t="str">
        <v/>
      </c>
      <c r="O459" s="153" t="str">
        <v/>
      </c>
      <c r="P459" s="153" t="str">
        <v/>
      </c>
    </row>
    <row r="460" spans="1:16" x14ac:dyDescent="0.2">
      <c r="A460" s="58" t="str">
        <v/>
      </c>
      <c r="B460" s="131" t="str">
        <f>IFERROR(TIMEVALUE(DaqBook_RAW_Data!Q450),IFERROR(TIMEVALUE(DaqBook_RAW_Data!A450),""))</f>
        <v/>
      </c>
      <c r="C460" s="153" t="str">
        <v/>
      </c>
      <c r="D460" s="153" t="str">
        <v/>
      </c>
      <c r="E460" s="153" t="str">
        <v/>
      </c>
      <c r="F460" s="153" t="str">
        <v/>
      </c>
      <c r="G460" s="153" t="str">
        <v/>
      </c>
      <c r="H460" s="153" t="str">
        <v/>
      </c>
      <c r="I460" s="153" t="str">
        <v/>
      </c>
      <c r="J460" s="153" t="str">
        <v/>
      </c>
      <c r="K460" s="153" t="str">
        <v/>
      </c>
      <c r="L460" s="153" t="str">
        <v/>
      </c>
      <c r="M460" s="153" t="str">
        <v/>
      </c>
      <c r="N460" s="153" t="str">
        <v/>
      </c>
      <c r="O460" s="153" t="str">
        <v/>
      </c>
      <c r="P460" s="153" t="str">
        <v/>
      </c>
    </row>
    <row r="461" spans="1:16" x14ac:dyDescent="0.2">
      <c r="A461" s="58" t="str">
        <v/>
      </c>
      <c r="B461" s="131" t="str">
        <f>IFERROR(TIMEVALUE(DaqBook_RAW_Data!Q451),IFERROR(TIMEVALUE(DaqBook_RAW_Data!A451),""))</f>
        <v/>
      </c>
      <c r="C461" s="153" t="str">
        <v/>
      </c>
      <c r="D461" s="153" t="str">
        <v/>
      </c>
      <c r="E461" s="153" t="str">
        <v/>
      </c>
      <c r="F461" s="153" t="str">
        <v/>
      </c>
      <c r="G461" s="153" t="str">
        <v/>
      </c>
      <c r="H461" s="153" t="str">
        <v/>
      </c>
      <c r="I461" s="153" t="str">
        <v/>
      </c>
      <c r="J461" s="153" t="str">
        <v/>
      </c>
      <c r="K461" s="153" t="str">
        <v/>
      </c>
      <c r="L461" s="153" t="str">
        <v/>
      </c>
      <c r="M461" s="153" t="str">
        <v/>
      </c>
      <c r="N461" s="153" t="str">
        <v/>
      </c>
      <c r="O461" s="153" t="str">
        <v/>
      </c>
      <c r="P461" s="153" t="str">
        <v/>
      </c>
    </row>
    <row r="462" spans="1:16" x14ac:dyDescent="0.2">
      <c r="A462" s="58" t="str">
        <v/>
      </c>
      <c r="B462" s="131" t="str">
        <f>IFERROR(TIMEVALUE(DaqBook_RAW_Data!Q452),IFERROR(TIMEVALUE(DaqBook_RAW_Data!A452),""))</f>
        <v/>
      </c>
      <c r="C462" s="153" t="str">
        <v/>
      </c>
      <c r="D462" s="153" t="str">
        <v/>
      </c>
      <c r="E462" s="153" t="str">
        <v/>
      </c>
      <c r="F462" s="153" t="str">
        <v/>
      </c>
      <c r="G462" s="153" t="str">
        <v/>
      </c>
      <c r="H462" s="153" t="str">
        <v/>
      </c>
      <c r="I462" s="153" t="str">
        <v/>
      </c>
      <c r="J462" s="153" t="str">
        <v/>
      </c>
      <c r="K462" s="153" t="str">
        <v/>
      </c>
      <c r="L462" s="153" t="str">
        <v/>
      </c>
      <c r="M462" s="153" t="str">
        <v/>
      </c>
      <c r="N462" s="153" t="str">
        <v/>
      </c>
      <c r="O462" s="153" t="str">
        <v/>
      </c>
      <c r="P462" s="153" t="str">
        <v/>
      </c>
    </row>
    <row r="463" spans="1:16" x14ac:dyDescent="0.2">
      <c r="A463" s="58" t="str">
        <v/>
      </c>
      <c r="B463" s="131" t="str">
        <f>IFERROR(TIMEVALUE(DaqBook_RAW_Data!Q453),IFERROR(TIMEVALUE(DaqBook_RAW_Data!A453),""))</f>
        <v/>
      </c>
      <c r="C463" s="153" t="str">
        <v/>
      </c>
      <c r="D463" s="153" t="str">
        <v/>
      </c>
      <c r="E463" s="153" t="str">
        <v/>
      </c>
      <c r="F463" s="153" t="str">
        <v/>
      </c>
      <c r="G463" s="153" t="str">
        <v/>
      </c>
      <c r="H463" s="153" t="str">
        <v/>
      </c>
      <c r="I463" s="153" t="str">
        <v/>
      </c>
      <c r="J463" s="153" t="str">
        <v/>
      </c>
      <c r="K463" s="153" t="str">
        <v/>
      </c>
      <c r="L463" s="153" t="str">
        <v/>
      </c>
      <c r="M463" s="153" t="str">
        <v/>
      </c>
      <c r="N463" s="153" t="str">
        <v/>
      </c>
      <c r="O463" s="153" t="str">
        <v/>
      </c>
      <c r="P463" s="153" t="str">
        <v/>
      </c>
    </row>
    <row r="464" spans="1:16" x14ac:dyDescent="0.2">
      <c r="A464" s="58" t="str">
        <v/>
      </c>
      <c r="B464" s="131" t="str">
        <f>IFERROR(TIMEVALUE(DaqBook_RAW_Data!Q454),IFERROR(TIMEVALUE(DaqBook_RAW_Data!A454),""))</f>
        <v/>
      </c>
      <c r="C464" s="153" t="str">
        <v/>
      </c>
      <c r="D464" s="153" t="str">
        <v/>
      </c>
      <c r="E464" s="153" t="str">
        <v/>
      </c>
      <c r="F464" s="153" t="str">
        <v/>
      </c>
      <c r="G464" s="153" t="str">
        <v/>
      </c>
      <c r="H464" s="153" t="str">
        <v/>
      </c>
      <c r="I464" s="153" t="str">
        <v/>
      </c>
      <c r="J464" s="153" t="str">
        <v/>
      </c>
      <c r="K464" s="153" t="str">
        <v/>
      </c>
      <c r="L464" s="153" t="str">
        <v/>
      </c>
      <c r="M464" s="153" t="str">
        <v/>
      </c>
      <c r="N464" s="153" t="str">
        <v/>
      </c>
      <c r="O464" s="153" t="str">
        <v/>
      </c>
      <c r="P464" s="153" t="str">
        <v/>
      </c>
    </row>
    <row r="465" spans="1:16" x14ac:dyDescent="0.2">
      <c r="A465" s="58" t="str">
        <v/>
      </c>
      <c r="B465" s="131" t="str">
        <f>IFERROR(TIMEVALUE(DaqBook_RAW_Data!Q455),IFERROR(TIMEVALUE(DaqBook_RAW_Data!A455),""))</f>
        <v/>
      </c>
      <c r="C465" s="153" t="str">
        <v/>
      </c>
      <c r="D465" s="153" t="str">
        <v/>
      </c>
      <c r="E465" s="153" t="str">
        <v/>
      </c>
      <c r="F465" s="153" t="str">
        <v/>
      </c>
      <c r="G465" s="153" t="str">
        <v/>
      </c>
      <c r="H465" s="153" t="str">
        <v/>
      </c>
      <c r="I465" s="153" t="str">
        <v/>
      </c>
      <c r="J465" s="153" t="str">
        <v/>
      </c>
      <c r="K465" s="153" t="str">
        <v/>
      </c>
      <c r="L465" s="153" t="str">
        <v/>
      </c>
      <c r="M465" s="153" t="str">
        <v/>
      </c>
      <c r="N465" s="153" t="str">
        <v/>
      </c>
      <c r="O465" s="153" t="str">
        <v/>
      </c>
      <c r="P465" s="153" t="str">
        <v/>
      </c>
    </row>
    <row r="466" spans="1:16" x14ac:dyDescent="0.2">
      <c r="A466" s="58" t="str">
        <v/>
      </c>
      <c r="B466" s="131" t="str">
        <f>IFERROR(TIMEVALUE(DaqBook_RAW_Data!Q456),IFERROR(TIMEVALUE(DaqBook_RAW_Data!A456),""))</f>
        <v/>
      </c>
      <c r="C466" s="153" t="str">
        <v/>
      </c>
      <c r="D466" s="153" t="str">
        <v/>
      </c>
      <c r="E466" s="153" t="str">
        <v/>
      </c>
      <c r="F466" s="153" t="str">
        <v/>
      </c>
      <c r="G466" s="153" t="str">
        <v/>
      </c>
      <c r="H466" s="153" t="str">
        <v/>
      </c>
      <c r="I466" s="153" t="str">
        <v/>
      </c>
      <c r="J466" s="153" t="str">
        <v/>
      </c>
      <c r="K466" s="153" t="str">
        <v/>
      </c>
      <c r="L466" s="153" t="str">
        <v/>
      </c>
      <c r="M466" s="153" t="str">
        <v/>
      </c>
      <c r="N466" s="153" t="str">
        <v/>
      </c>
      <c r="O466" s="153" t="str">
        <v/>
      </c>
      <c r="P466" s="153" t="str">
        <v/>
      </c>
    </row>
    <row r="467" spans="1:16" x14ac:dyDescent="0.2">
      <c r="A467" s="58" t="str">
        <v/>
      </c>
      <c r="B467" s="131" t="str">
        <f>IFERROR(TIMEVALUE(DaqBook_RAW_Data!Q457),IFERROR(TIMEVALUE(DaqBook_RAW_Data!A457),""))</f>
        <v/>
      </c>
      <c r="C467" s="153" t="str">
        <v/>
      </c>
      <c r="D467" s="153" t="str">
        <v/>
      </c>
      <c r="E467" s="153" t="str">
        <v/>
      </c>
      <c r="F467" s="153" t="str">
        <v/>
      </c>
      <c r="G467" s="153" t="str">
        <v/>
      </c>
      <c r="H467" s="153" t="str">
        <v/>
      </c>
      <c r="I467" s="153" t="str">
        <v/>
      </c>
      <c r="J467" s="153" t="str">
        <v/>
      </c>
      <c r="K467" s="153" t="str">
        <v/>
      </c>
      <c r="L467" s="153" t="str">
        <v/>
      </c>
      <c r="M467" s="153" t="str">
        <v/>
      </c>
      <c r="N467" s="153" t="str">
        <v/>
      </c>
      <c r="O467" s="153" t="str">
        <v/>
      </c>
      <c r="P467" s="153" t="str">
        <v/>
      </c>
    </row>
    <row r="468" spans="1:16" x14ac:dyDescent="0.2">
      <c r="A468" s="58" t="str">
        <v/>
      </c>
      <c r="B468" s="131" t="str">
        <f>IFERROR(TIMEVALUE(DaqBook_RAW_Data!Q458),IFERROR(TIMEVALUE(DaqBook_RAW_Data!A458),""))</f>
        <v/>
      </c>
      <c r="C468" s="153" t="str">
        <v/>
      </c>
      <c r="D468" s="153" t="str">
        <v/>
      </c>
      <c r="E468" s="153" t="str">
        <v/>
      </c>
      <c r="F468" s="153" t="str">
        <v/>
      </c>
      <c r="G468" s="153" t="str">
        <v/>
      </c>
      <c r="H468" s="153" t="str">
        <v/>
      </c>
      <c r="I468" s="153" t="str">
        <v/>
      </c>
      <c r="J468" s="153" t="str">
        <v/>
      </c>
      <c r="K468" s="153" t="str">
        <v/>
      </c>
      <c r="L468" s="153" t="str">
        <v/>
      </c>
      <c r="M468" s="153" t="str">
        <v/>
      </c>
      <c r="N468" s="153" t="str">
        <v/>
      </c>
      <c r="O468" s="153" t="str">
        <v/>
      </c>
      <c r="P468" s="153" t="str">
        <v/>
      </c>
    </row>
    <row r="469" spans="1:16" x14ac:dyDescent="0.2">
      <c r="A469" s="58" t="str">
        <v/>
      </c>
      <c r="B469" s="131" t="str">
        <f>IFERROR(TIMEVALUE(DaqBook_RAW_Data!Q459),IFERROR(TIMEVALUE(DaqBook_RAW_Data!A459),""))</f>
        <v/>
      </c>
      <c r="C469" s="153" t="str">
        <v/>
      </c>
      <c r="D469" s="153" t="str">
        <v/>
      </c>
      <c r="E469" s="153" t="str">
        <v/>
      </c>
      <c r="F469" s="153" t="str">
        <v/>
      </c>
      <c r="G469" s="153" t="str">
        <v/>
      </c>
      <c r="H469" s="153" t="str">
        <v/>
      </c>
      <c r="I469" s="153" t="str">
        <v/>
      </c>
      <c r="J469" s="153" t="str">
        <v/>
      </c>
      <c r="K469" s="153" t="str">
        <v/>
      </c>
      <c r="L469" s="153" t="str">
        <v/>
      </c>
      <c r="M469" s="153" t="str">
        <v/>
      </c>
      <c r="N469" s="153" t="str">
        <v/>
      </c>
      <c r="O469" s="153" t="str">
        <v/>
      </c>
      <c r="P469" s="153" t="str">
        <v/>
      </c>
    </row>
    <row r="470" spans="1:16" x14ac:dyDescent="0.2">
      <c r="A470" s="58" t="str">
        <v/>
      </c>
      <c r="B470" s="131" t="str">
        <f>IFERROR(TIMEVALUE(DaqBook_RAW_Data!Q460),IFERROR(TIMEVALUE(DaqBook_RAW_Data!A460),""))</f>
        <v/>
      </c>
      <c r="C470" s="153" t="str">
        <v/>
      </c>
      <c r="D470" s="153" t="str">
        <v/>
      </c>
      <c r="E470" s="153" t="str">
        <v/>
      </c>
      <c r="F470" s="153" t="str">
        <v/>
      </c>
      <c r="G470" s="153" t="str">
        <v/>
      </c>
      <c r="H470" s="153" t="str">
        <v/>
      </c>
      <c r="I470" s="153" t="str">
        <v/>
      </c>
      <c r="J470" s="153" t="str">
        <v/>
      </c>
      <c r="K470" s="153" t="str">
        <v/>
      </c>
      <c r="L470" s="153" t="str">
        <v/>
      </c>
      <c r="M470" s="153" t="str">
        <v/>
      </c>
      <c r="N470" s="153" t="str">
        <v/>
      </c>
      <c r="O470" s="153" t="str">
        <v/>
      </c>
      <c r="P470" s="153" t="str">
        <v/>
      </c>
    </row>
    <row r="471" spans="1:16" x14ac:dyDescent="0.2">
      <c r="A471" s="58" t="str">
        <v/>
      </c>
      <c r="B471" s="131" t="str">
        <f>IFERROR(TIMEVALUE(DaqBook_RAW_Data!Q461),IFERROR(TIMEVALUE(DaqBook_RAW_Data!A461),""))</f>
        <v/>
      </c>
      <c r="C471" s="153" t="str">
        <v/>
      </c>
      <c r="D471" s="153" t="str">
        <v/>
      </c>
      <c r="E471" s="153" t="str">
        <v/>
      </c>
      <c r="F471" s="153" t="str">
        <v/>
      </c>
      <c r="G471" s="153" t="str">
        <v/>
      </c>
      <c r="H471" s="153" t="str">
        <v/>
      </c>
      <c r="I471" s="153" t="str">
        <v/>
      </c>
      <c r="J471" s="153" t="str">
        <v/>
      </c>
      <c r="K471" s="153" t="str">
        <v/>
      </c>
      <c r="L471" s="153" t="str">
        <v/>
      </c>
      <c r="M471" s="153" t="str">
        <v/>
      </c>
      <c r="N471" s="153" t="str">
        <v/>
      </c>
      <c r="O471" s="153" t="str">
        <v/>
      </c>
      <c r="P471" s="153" t="str">
        <v/>
      </c>
    </row>
    <row r="472" spans="1:16" x14ac:dyDescent="0.2">
      <c r="A472" s="58" t="str">
        <v/>
      </c>
      <c r="B472" s="131" t="str">
        <f>IFERROR(TIMEVALUE(DaqBook_RAW_Data!Q462),IFERROR(TIMEVALUE(DaqBook_RAW_Data!A462),""))</f>
        <v/>
      </c>
      <c r="C472" s="153" t="str">
        <v/>
      </c>
      <c r="D472" s="153" t="str">
        <v/>
      </c>
      <c r="E472" s="153" t="str">
        <v/>
      </c>
      <c r="F472" s="153" t="str">
        <v/>
      </c>
      <c r="G472" s="153" t="str">
        <v/>
      </c>
      <c r="H472" s="153" t="str">
        <v/>
      </c>
      <c r="I472" s="153" t="str">
        <v/>
      </c>
      <c r="J472" s="153" t="str">
        <v/>
      </c>
      <c r="K472" s="153" t="str">
        <v/>
      </c>
      <c r="L472" s="153" t="str">
        <v/>
      </c>
      <c r="M472" s="153" t="str">
        <v/>
      </c>
      <c r="N472" s="153" t="str">
        <v/>
      </c>
      <c r="O472" s="153" t="str">
        <v/>
      </c>
      <c r="P472" s="153" t="str">
        <v/>
      </c>
    </row>
    <row r="473" spans="1:16" x14ac:dyDescent="0.2">
      <c r="A473" s="58" t="str">
        <v/>
      </c>
      <c r="B473" s="131" t="str">
        <f>IFERROR(TIMEVALUE(DaqBook_RAW_Data!Q463),IFERROR(TIMEVALUE(DaqBook_RAW_Data!A463),""))</f>
        <v/>
      </c>
      <c r="C473" s="153" t="str">
        <v/>
      </c>
      <c r="D473" s="153" t="str">
        <v/>
      </c>
      <c r="E473" s="153" t="str">
        <v/>
      </c>
      <c r="F473" s="153" t="str">
        <v/>
      </c>
      <c r="G473" s="153" t="str">
        <v/>
      </c>
      <c r="H473" s="153" t="str">
        <v/>
      </c>
      <c r="I473" s="153" t="str">
        <v/>
      </c>
      <c r="J473" s="153" t="str">
        <v/>
      </c>
      <c r="K473" s="153" t="str">
        <v/>
      </c>
      <c r="L473" s="153" t="str">
        <v/>
      </c>
      <c r="M473" s="153" t="str">
        <v/>
      </c>
      <c r="N473" s="153" t="str">
        <v/>
      </c>
      <c r="O473" s="153" t="str">
        <v/>
      </c>
      <c r="P473" s="153" t="str">
        <v/>
      </c>
    </row>
    <row r="474" spans="1:16" x14ac:dyDescent="0.2">
      <c r="A474" s="58" t="str">
        <v/>
      </c>
      <c r="B474" s="131" t="str">
        <f>IFERROR(TIMEVALUE(DaqBook_RAW_Data!Q464),IFERROR(TIMEVALUE(DaqBook_RAW_Data!A464),""))</f>
        <v/>
      </c>
      <c r="C474" s="153" t="str">
        <v/>
      </c>
      <c r="D474" s="153" t="str">
        <v/>
      </c>
      <c r="E474" s="153" t="str">
        <v/>
      </c>
      <c r="F474" s="153" t="str">
        <v/>
      </c>
      <c r="G474" s="153" t="str">
        <v/>
      </c>
      <c r="H474" s="153" t="str">
        <v/>
      </c>
      <c r="I474" s="153" t="str">
        <v/>
      </c>
      <c r="J474" s="153" t="str">
        <v/>
      </c>
      <c r="K474" s="153" t="str">
        <v/>
      </c>
      <c r="L474" s="153" t="str">
        <v/>
      </c>
      <c r="M474" s="153" t="str">
        <v/>
      </c>
      <c r="N474" s="153" t="str">
        <v/>
      </c>
      <c r="O474" s="153" t="str">
        <v/>
      </c>
      <c r="P474" s="153" t="str">
        <v/>
      </c>
    </row>
    <row r="475" spans="1:16" x14ac:dyDescent="0.2">
      <c r="A475" s="58" t="str">
        <v/>
      </c>
      <c r="B475" s="131" t="str">
        <f>IFERROR(TIMEVALUE(DaqBook_RAW_Data!Q465),IFERROR(TIMEVALUE(DaqBook_RAW_Data!A465),""))</f>
        <v/>
      </c>
      <c r="C475" s="153" t="str">
        <v/>
      </c>
      <c r="D475" s="153" t="str">
        <v/>
      </c>
      <c r="E475" s="153" t="str">
        <v/>
      </c>
      <c r="F475" s="153" t="str">
        <v/>
      </c>
      <c r="G475" s="153" t="str">
        <v/>
      </c>
      <c r="H475" s="153" t="str">
        <v/>
      </c>
      <c r="I475" s="153" t="str">
        <v/>
      </c>
      <c r="J475" s="153" t="str">
        <v/>
      </c>
      <c r="K475" s="153" t="str">
        <v/>
      </c>
      <c r="L475" s="153" t="str">
        <v/>
      </c>
      <c r="M475" s="153" t="str">
        <v/>
      </c>
      <c r="N475" s="153" t="str">
        <v/>
      </c>
      <c r="O475" s="153" t="str">
        <v/>
      </c>
      <c r="P475" s="153" t="str">
        <v/>
      </c>
    </row>
    <row r="476" spans="1:16" x14ac:dyDescent="0.2">
      <c r="A476" s="58" t="str">
        <v/>
      </c>
      <c r="B476" s="131" t="str">
        <f>IFERROR(TIMEVALUE(DaqBook_RAW_Data!Q466),IFERROR(TIMEVALUE(DaqBook_RAW_Data!A466),""))</f>
        <v/>
      </c>
      <c r="C476" s="153" t="str">
        <v/>
      </c>
      <c r="D476" s="153" t="str">
        <v/>
      </c>
      <c r="E476" s="153" t="str">
        <v/>
      </c>
      <c r="F476" s="153" t="str">
        <v/>
      </c>
      <c r="G476" s="153" t="str">
        <v/>
      </c>
      <c r="H476" s="153" t="str">
        <v/>
      </c>
      <c r="I476" s="153" t="str">
        <v/>
      </c>
      <c r="J476" s="153" t="str">
        <v/>
      </c>
      <c r="K476" s="153" t="str">
        <v/>
      </c>
      <c r="L476" s="153" t="str">
        <v/>
      </c>
      <c r="M476" s="153" t="str">
        <v/>
      </c>
      <c r="N476" s="153" t="str">
        <v/>
      </c>
      <c r="O476" s="153" t="str">
        <v/>
      </c>
      <c r="P476" s="153" t="str">
        <v/>
      </c>
    </row>
    <row r="477" spans="1:16" x14ac:dyDescent="0.2">
      <c r="A477" s="58" t="str">
        <v/>
      </c>
      <c r="B477" s="131" t="str">
        <f>IFERROR(TIMEVALUE(DaqBook_RAW_Data!Q467),IFERROR(TIMEVALUE(DaqBook_RAW_Data!A467),""))</f>
        <v/>
      </c>
      <c r="C477" s="153" t="str">
        <v/>
      </c>
      <c r="D477" s="153" t="str">
        <v/>
      </c>
      <c r="E477" s="153" t="str">
        <v/>
      </c>
      <c r="F477" s="153" t="str">
        <v/>
      </c>
      <c r="G477" s="153" t="str">
        <v/>
      </c>
      <c r="H477" s="153" t="str">
        <v/>
      </c>
      <c r="I477" s="153" t="str">
        <v/>
      </c>
      <c r="J477" s="153" t="str">
        <v/>
      </c>
      <c r="K477" s="153" t="str">
        <v/>
      </c>
      <c r="L477" s="153" t="str">
        <v/>
      </c>
      <c r="M477" s="153" t="str">
        <v/>
      </c>
      <c r="N477" s="153" t="str">
        <v/>
      </c>
      <c r="O477" s="153" t="str">
        <v/>
      </c>
      <c r="P477" s="153" t="str">
        <v/>
      </c>
    </row>
    <row r="478" spans="1:16" x14ac:dyDescent="0.2">
      <c r="A478" s="58" t="str">
        <v/>
      </c>
      <c r="B478" s="131" t="str">
        <f>IFERROR(TIMEVALUE(DaqBook_RAW_Data!Q468),IFERROR(TIMEVALUE(DaqBook_RAW_Data!A468),""))</f>
        <v/>
      </c>
      <c r="C478" s="153" t="str">
        <v/>
      </c>
      <c r="D478" s="153" t="str">
        <v/>
      </c>
      <c r="E478" s="153" t="str">
        <v/>
      </c>
      <c r="F478" s="153" t="str">
        <v/>
      </c>
      <c r="G478" s="153" t="str">
        <v/>
      </c>
      <c r="H478" s="153" t="str">
        <v/>
      </c>
      <c r="I478" s="153" t="str">
        <v/>
      </c>
      <c r="J478" s="153" t="str">
        <v/>
      </c>
      <c r="K478" s="153" t="str">
        <v/>
      </c>
      <c r="L478" s="153" t="str">
        <v/>
      </c>
      <c r="M478" s="153" t="str">
        <v/>
      </c>
      <c r="N478" s="153" t="str">
        <v/>
      </c>
      <c r="O478" s="153" t="str">
        <v/>
      </c>
      <c r="P478" s="153" t="str">
        <v/>
      </c>
    </row>
    <row r="479" spans="1:16" x14ac:dyDescent="0.2">
      <c r="A479" s="58" t="str">
        <v/>
      </c>
      <c r="B479" s="131" t="str">
        <f>IFERROR(TIMEVALUE(DaqBook_RAW_Data!Q469),IFERROR(TIMEVALUE(DaqBook_RAW_Data!A469),""))</f>
        <v/>
      </c>
      <c r="C479" s="153" t="str">
        <v/>
      </c>
      <c r="D479" s="153" t="str">
        <v/>
      </c>
      <c r="E479" s="153" t="str">
        <v/>
      </c>
      <c r="F479" s="153" t="str">
        <v/>
      </c>
      <c r="G479" s="153" t="str">
        <v/>
      </c>
      <c r="H479" s="153" t="str">
        <v/>
      </c>
      <c r="I479" s="153" t="str">
        <v/>
      </c>
      <c r="J479" s="153" t="str">
        <v/>
      </c>
      <c r="K479" s="153" t="str">
        <v/>
      </c>
      <c r="L479" s="153" t="str">
        <v/>
      </c>
      <c r="M479" s="153" t="str">
        <v/>
      </c>
      <c r="N479" s="153" t="str">
        <v/>
      </c>
      <c r="O479" s="153" t="str">
        <v/>
      </c>
      <c r="P479" s="153" t="str">
        <v/>
      </c>
    </row>
    <row r="480" spans="1:16" x14ac:dyDescent="0.2">
      <c r="A480" s="58" t="str">
        <v/>
      </c>
      <c r="B480" s="131" t="str">
        <f>IFERROR(TIMEVALUE(DaqBook_RAW_Data!Q470),IFERROR(TIMEVALUE(DaqBook_RAW_Data!A470),""))</f>
        <v/>
      </c>
      <c r="C480" s="153" t="str">
        <v/>
      </c>
      <c r="D480" s="153" t="str">
        <v/>
      </c>
      <c r="E480" s="153" t="str">
        <v/>
      </c>
      <c r="F480" s="153" t="str">
        <v/>
      </c>
      <c r="G480" s="153" t="str">
        <v/>
      </c>
      <c r="H480" s="153" t="str">
        <v/>
      </c>
      <c r="I480" s="153" t="str">
        <v/>
      </c>
      <c r="J480" s="153" t="str">
        <v/>
      </c>
      <c r="K480" s="153" t="str">
        <v/>
      </c>
      <c r="L480" s="153" t="str">
        <v/>
      </c>
      <c r="M480" s="153" t="str">
        <v/>
      </c>
      <c r="N480" s="153" t="str">
        <v/>
      </c>
      <c r="O480" s="153" t="str">
        <v/>
      </c>
      <c r="P480" s="153" t="str">
        <v/>
      </c>
    </row>
    <row r="481" spans="1:16" x14ac:dyDescent="0.2">
      <c r="A481" s="58" t="str">
        <v/>
      </c>
      <c r="B481" s="131" t="str">
        <f>IFERROR(TIMEVALUE(DaqBook_RAW_Data!Q471),IFERROR(TIMEVALUE(DaqBook_RAW_Data!A471),""))</f>
        <v/>
      </c>
      <c r="C481" s="153" t="str">
        <v/>
      </c>
      <c r="D481" s="153" t="str">
        <v/>
      </c>
      <c r="E481" s="153" t="str">
        <v/>
      </c>
      <c r="F481" s="153" t="str">
        <v/>
      </c>
      <c r="G481" s="153" t="str">
        <v/>
      </c>
      <c r="H481" s="153" t="str">
        <v/>
      </c>
      <c r="I481" s="153" t="str">
        <v/>
      </c>
      <c r="J481" s="153" t="str">
        <v/>
      </c>
      <c r="K481" s="153" t="str">
        <v/>
      </c>
      <c r="L481" s="153" t="str">
        <v/>
      </c>
      <c r="M481" s="153" t="str">
        <v/>
      </c>
      <c r="N481" s="153" t="str">
        <v/>
      </c>
      <c r="O481" s="153" t="str">
        <v/>
      </c>
      <c r="P481" s="153" t="str">
        <v/>
      </c>
    </row>
    <row r="482" spans="1:16" x14ac:dyDescent="0.2">
      <c r="A482" s="58" t="str">
        <v/>
      </c>
      <c r="B482" s="131" t="str">
        <f>IFERROR(TIMEVALUE(DaqBook_RAW_Data!Q472),IFERROR(TIMEVALUE(DaqBook_RAW_Data!A472),""))</f>
        <v/>
      </c>
      <c r="C482" s="153" t="str">
        <v/>
      </c>
      <c r="D482" s="153" t="str">
        <v/>
      </c>
      <c r="E482" s="153" t="str">
        <v/>
      </c>
      <c r="F482" s="153" t="str">
        <v/>
      </c>
      <c r="G482" s="153" t="str">
        <v/>
      </c>
      <c r="H482" s="153" t="str">
        <v/>
      </c>
      <c r="I482" s="153" t="str">
        <v/>
      </c>
      <c r="J482" s="153" t="str">
        <v/>
      </c>
      <c r="K482" s="153" t="str">
        <v/>
      </c>
      <c r="L482" s="153" t="str">
        <v/>
      </c>
      <c r="M482" s="153" t="str">
        <v/>
      </c>
      <c r="N482" s="153" t="str">
        <v/>
      </c>
      <c r="O482" s="153" t="str">
        <v/>
      </c>
      <c r="P482" s="153" t="str">
        <v/>
      </c>
    </row>
    <row r="483" spans="1:16" x14ac:dyDescent="0.2">
      <c r="A483" s="58" t="str">
        <v/>
      </c>
      <c r="B483" s="131" t="str">
        <f>IFERROR(TIMEVALUE(DaqBook_RAW_Data!Q473),IFERROR(TIMEVALUE(DaqBook_RAW_Data!A473),""))</f>
        <v/>
      </c>
      <c r="C483" s="153" t="str">
        <v/>
      </c>
      <c r="D483" s="153" t="str">
        <v/>
      </c>
      <c r="E483" s="153" t="str">
        <v/>
      </c>
      <c r="F483" s="153" t="str">
        <v/>
      </c>
      <c r="G483" s="153" t="str">
        <v/>
      </c>
      <c r="H483" s="153" t="str">
        <v/>
      </c>
      <c r="I483" s="153" t="str">
        <v/>
      </c>
      <c r="J483" s="153" t="str">
        <v/>
      </c>
      <c r="K483" s="153" t="str">
        <v/>
      </c>
      <c r="L483" s="153" t="str">
        <v/>
      </c>
      <c r="M483" s="153" t="str">
        <v/>
      </c>
      <c r="N483" s="153" t="str">
        <v/>
      </c>
      <c r="O483" s="153" t="str">
        <v/>
      </c>
      <c r="P483" s="153" t="str">
        <v/>
      </c>
    </row>
    <row r="484" spans="1:16" x14ac:dyDescent="0.2">
      <c r="A484" s="58" t="str">
        <v/>
      </c>
      <c r="B484" s="131" t="str">
        <f>IFERROR(TIMEVALUE(DaqBook_RAW_Data!Q474),IFERROR(TIMEVALUE(DaqBook_RAW_Data!A474),""))</f>
        <v/>
      </c>
      <c r="C484" s="153" t="str">
        <v/>
      </c>
      <c r="D484" s="153" t="str">
        <v/>
      </c>
      <c r="E484" s="153" t="str">
        <v/>
      </c>
      <c r="F484" s="153" t="str">
        <v/>
      </c>
      <c r="G484" s="153" t="str">
        <v/>
      </c>
      <c r="H484" s="153" t="str">
        <v/>
      </c>
      <c r="I484" s="153" t="str">
        <v/>
      </c>
      <c r="J484" s="153" t="str">
        <v/>
      </c>
      <c r="K484" s="153" t="str">
        <v/>
      </c>
      <c r="L484" s="153" t="str">
        <v/>
      </c>
      <c r="M484" s="153" t="str">
        <v/>
      </c>
      <c r="N484" s="153" t="str">
        <v/>
      </c>
      <c r="O484" s="153" t="str">
        <v/>
      </c>
      <c r="P484" s="153" t="str">
        <v/>
      </c>
    </row>
    <row r="485" spans="1:16" x14ac:dyDescent="0.2">
      <c r="A485" s="58" t="str">
        <v/>
      </c>
      <c r="B485" s="131" t="str">
        <f>IFERROR(TIMEVALUE(DaqBook_RAW_Data!Q475),IFERROR(TIMEVALUE(DaqBook_RAW_Data!A475),""))</f>
        <v/>
      </c>
      <c r="C485" s="153" t="str">
        <v/>
      </c>
      <c r="D485" s="153" t="str">
        <v/>
      </c>
      <c r="E485" s="153" t="str">
        <v/>
      </c>
      <c r="F485" s="153" t="str">
        <v/>
      </c>
      <c r="G485" s="153" t="str">
        <v/>
      </c>
      <c r="H485" s="153" t="str">
        <v/>
      </c>
      <c r="I485" s="153" t="str">
        <v/>
      </c>
      <c r="J485" s="153" t="str">
        <v/>
      </c>
      <c r="K485" s="153" t="str">
        <v/>
      </c>
      <c r="L485" s="153" t="str">
        <v/>
      </c>
      <c r="M485" s="153" t="str">
        <v/>
      </c>
      <c r="N485" s="153" t="str">
        <v/>
      </c>
      <c r="O485" s="153" t="str">
        <v/>
      </c>
      <c r="P485" s="153" t="str">
        <v/>
      </c>
    </row>
    <row r="486" spans="1:16" x14ac:dyDescent="0.2">
      <c r="A486" s="58" t="str">
        <v/>
      </c>
      <c r="B486" s="131" t="str">
        <f>IFERROR(TIMEVALUE(DaqBook_RAW_Data!Q476),IFERROR(TIMEVALUE(DaqBook_RAW_Data!A476),""))</f>
        <v/>
      </c>
      <c r="C486" s="153" t="str">
        <v/>
      </c>
      <c r="D486" s="153" t="str">
        <v/>
      </c>
      <c r="E486" s="153" t="str">
        <v/>
      </c>
      <c r="F486" s="153" t="str">
        <v/>
      </c>
      <c r="G486" s="153" t="str">
        <v/>
      </c>
      <c r="H486" s="153" t="str">
        <v/>
      </c>
      <c r="I486" s="153" t="str">
        <v/>
      </c>
      <c r="J486" s="153" t="str">
        <v/>
      </c>
      <c r="K486" s="153" t="str">
        <v/>
      </c>
      <c r="L486" s="153" t="str">
        <v/>
      </c>
      <c r="M486" s="153" t="str">
        <v/>
      </c>
      <c r="N486" s="153" t="str">
        <v/>
      </c>
      <c r="O486" s="153" t="str">
        <v/>
      </c>
      <c r="P486" s="153" t="str">
        <v/>
      </c>
    </row>
    <row r="487" spans="1:16" x14ac:dyDescent="0.2">
      <c r="A487" s="58" t="str">
        <v/>
      </c>
      <c r="B487" s="131" t="str">
        <f>IFERROR(TIMEVALUE(DaqBook_RAW_Data!Q477),IFERROR(TIMEVALUE(DaqBook_RAW_Data!A477),""))</f>
        <v/>
      </c>
      <c r="C487" s="153" t="str">
        <v/>
      </c>
      <c r="D487" s="153" t="str">
        <v/>
      </c>
      <c r="E487" s="153" t="str">
        <v/>
      </c>
      <c r="F487" s="153" t="str">
        <v/>
      </c>
      <c r="G487" s="153" t="str">
        <v/>
      </c>
      <c r="H487" s="153" t="str">
        <v/>
      </c>
      <c r="I487" s="153" t="str">
        <v/>
      </c>
      <c r="J487" s="153" t="str">
        <v/>
      </c>
      <c r="K487" s="153" t="str">
        <v/>
      </c>
      <c r="L487" s="153" t="str">
        <v/>
      </c>
      <c r="M487" s="153" t="str">
        <v/>
      </c>
      <c r="N487" s="153" t="str">
        <v/>
      </c>
      <c r="O487" s="153" t="str">
        <v/>
      </c>
      <c r="P487" s="153" t="str">
        <v/>
      </c>
    </row>
    <row r="488" spans="1:16" x14ac:dyDescent="0.2">
      <c r="A488" s="58" t="str">
        <v/>
      </c>
      <c r="B488" s="131" t="str">
        <f>IFERROR(TIMEVALUE(DaqBook_RAW_Data!Q478),IFERROR(TIMEVALUE(DaqBook_RAW_Data!A478),""))</f>
        <v/>
      </c>
      <c r="C488" s="153" t="str">
        <v/>
      </c>
      <c r="D488" s="153" t="str">
        <v/>
      </c>
      <c r="E488" s="153" t="str">
        <v/>
      </c>
      <c r="F488" s="153" t="str">
        <v/>
      </c>
      <c r="G488" s="153" t="str">
        <v/>
      </c>
      <c r="H488" s="153" t="str">
        <v/>
      </c>
      <c r="I488" s="153" t="str">
        <v/>
      </c>
      <c r="J488" s="153" t="str">
        <v/>
      </c>
      <c r="K488" s="153" t="str">
        <v/>
      </c>
      <c r="L488" s="153" t="str">
        <v/>
      </c>
      <c r="M488" s="153" t="str">
        <v/>
      </c>
      <c r="N488" s="153" t="str">
        <v/>
      </c>
      <c r="O488" s="153" t="str">
        <v/>
      </c>
      <c r="P488" s="153" t="str">
        <v/>
      </c>
    </row>
    <row r="489" spans="1:16" x14ac:dyDescent="0.2">
      <c r="A489" s="58" t="str">
        <v/>
      </c>
      <c r="B489" s="131" t="str">
        <f>IFERROR(TIMEVALUE(DaqBook_RAW_Data!Q479),IFERROR(TIMEVALUE(DaqBook_RAW_Data!A479),""))</f>
        <v/>
      </c>
      <c r="C489" s="153" t="str">
        <v/>
      </c>
      <c r="D489" s="153" t="str">
        <v/>
      </c>
      <c r="E489" s="153" t="str">
        <v/>
      </c>
      <c r="F489" s="153" t="str">
        <v/>
      </c>
      <c r="G489" s="153" t="str">
        <v/>
      </c>
      <c r="H489" s="153" t="str">
        <v/>
      </c>
      <c r="I489" s="153" t="str">
        <v/>
      </c>
      <c r="J489" s="153" t="str">
        <v/>
      </c>
      <c r="K489" s="153" t="str">
        <v/>
      </c>
      <c r="L489" s="153" t="str">
        <v/>
      </c>
      <c r="M489" s="153" t="str">
        <v/>
      </c>
      <c r="N489" s="153" t="str">
        <v/>
      </c>
      <c r="O489" s="153" t="str">
        <v/>
      </c>
      <c r="P489" s="153" t="str">
        <v/>
      </c>
    </row>
    <row r="490" spans="1:16" x14ac:dyDescent="0.2">
      <c r="A490" s="58" t="str">
        <v/>
      </c>
      <c r="B490" s="131" t="str">
        <f>IFERROR(TIMEVALUE(DaqBook_RAW_Data!Q480),IFERROR(TIMEVALUE(DaqBook_RAW_Data!A480),""))</f>
        <v/>
      </c>
      <c r="C490" s="153" t="str">
        <v/>
      </c>
      <c r="D490" s="153" t="str">
        <v/>
      </c>
      <c r="E490" s="153" t="str">
        <v/>
      </c>
      <c r="F490" s="153" t="str">
        <v/>
      </c>
      <c r="G490" s="153" t="str">
        <v/>
      </c>
      <c r="H490" s="153" t="str">
        <v/>
      </c>
      <c r="I490" s="153" t="str">
        <v/>
      </c>
      <c r="J490" s="153" t="str">
        <v/>
      </c>
      <c r="K490" s="153" t="str">
        <v/>
      </c>
      <c r="L490" s="153" t="str">
        <v/>
      </c>
      <c r="M490" s="153" t="str">
        <v/>
      </c>
      <c r="N490" s="153" t="str">
        <v/>
      </c>
      <c r="O490" s="153" t="str">
        <v/>
      </c>
      <c r="P490" s="153" t="str">
        <v/>
      </c>
    </row>
    <row r="491" spans="1:16" x14ac:dyDescent="0.2">
      <c r="A491" s="58" t="str">
        <v/>
      </c>
      <c r="B491" s="131" t="str">
        <f>IFERROR(TIMEVALUE(DaqBook_RAW_Data!Q481),IFERROR(TIMEVALUE(DaqBook_RAW_Data!A481),""))</f>
        <v/>
      </c>
      <c r="C491" s="153" t="str">
        <v/>
      </c>
      <c r="D491" s="153" t="str">
        <v/>
      </c>
      <c r="E491" s="153" t="str">
        <v/>
      </c>
      <c r="F491" s="153" t="str">
        <v/>
      </c>
      <c r="G491" s="153" t="str">
        <v/>
      </c>
      <c r="H491" s="153" t="str">
        <v/>
      </c>
      <c r="I491" s="153" t="str">
        <v/>
      </c>
      <c r="J491" s="153" t="str">
        <v/>
      </c>
      <c r="K491" s="153" t="str">
        <v/>
      </c>
      <c r="L491" s="153" t="str">
        <v/>
      </c>
      <c r="M491" s="153" t="str">
        <v/>
      </c>
      <c r="N491" s="153" t="str">
        <v/>
      </c>
      <c r="O491" s="153" t="str">
        <v/>
      </c>
      <c r="P491" s="153" t="str">
        <v/>
      </c>
    </row>
    <row r="492" spans="1:16" x14ac:dyDescent="0.2">
      <c r="A492" s="58" t="str">
        <v/>
      </c>
      <c r="B492" s="131" t="str">
        <f>IFERROR(TIMEVALUE(DaqBook_RAW_Data!Q482),IFERROR(TIMEVALUE(DaqBook_RAW_Data!A482),""))</f>
        <v/>
      </c>
      <c r="C492" s="153" t="str">
        <v/>
      </c>
      <c r="D492" s="153" t="str">
        <v/>
      </c>
      <c r="E492" s="153" t="str">
        <v/>
      </c>
      <c r="F492" s="153" t="str">
        <v/>
      </c>
      <c r="G492" s="153" t="str">
        <v/>
      </c>
      <c r="H492" s="153" t="str">
        <v/>
      </c>
      <c r="I492" s="153" t="str">
        <v/>
      </c>
      <c r="J492" s="153" t="str">
        <v/>
      </c>
      <c r="K492" s="153" t="str">
        <v/>
      </c>
      <c r="L492" s="153" t="str">
        <v/>
      </c>
      <c r="M492" s="153" t="str">
        <v/>
      </c>
      <c r="N492" s="153" t="str">
        <v/>
      </c>
      <c r="O492" s="153" t="str">
        <v/>
      </c>
      <c r="P492" s="153" t="str">
        <v/>
      </c>
    </row>
    <row r="493" spans="1:16" x14ac:dyDescent="0.2">
      <c r="A493" s="58" t="str">
        <v/>
      </c>
      <c r="B493" s="131" t="str">
        <f>IFERROR(TIMEVALUE(DaqBook_RAW_Data!Q483),IFERROR(TIMEVALUE(DaqBook_RAW_Data!A483),""))</f>
        <v/>
      </c>
      <c r="C493" s="153" t="str">
        <v/>
      </c>
      <c r="D493" s="153" t="str">
        <v/>
      </c>
      <c r="E493" s="153" t="str">
        <v/>
      </c>
      <c r="F493" s="153" t="str">
        <v/>
      </c>
      <c r="G493" s="153" t="str">
        <v/>
      </c>
      <c r="H493" s="153" t="str">
        <v/>
      </c>
      <c r="I493" s="153" t="str">
        <v/>
      </c>
      <c r="J493" s="153" t="str">
        <v/>
      </c>
      <c r="K493" s="153" t="str">
        <v/>
      </c>
      <c r="L493" s="153" t="str">
        <v/>
      </c>
      <c r="M493" s="153" t="str">
        <v/>
      </c>
      <c r="N493" s="153" t="str">
        <v/>
      </c>
      <c r="O493" s="153" t="str">
        <v/>
      </c>
      <c r="P493" s="153" t="str">
        <v/>
      </c>
    </row>
    <row r="494" spans="1:16" x14ac:dyDescent="0.2">
      <c r="A494" s="58" t="str">
        <v/>
      </c>
      <c r="B494" s="131" t="str">
        <f>IFERROR(TIMEVALUE(DaqBook_RAW_Data!Q484),IFERROR(TIMEVALUE(DaqBook_RAW_Data!A484),""))</f>
        <v/>
      </c>
      <c r="C494" s="153" t="str">
        <v/>
      </c>
      <c r="D494" s="153" t="str">
        <v/>
      </c>
      <c r="E494" s="153" t="str">
        <v/>
      </c>
      <c r="F494" s="153" t="str">
        <v/>
      </c>
      <c r="G494" s="153" t="str">
        <v/>
      </c>
      <c r="H494" s="153" t="str">
        <v/>
      </c>
      <c r="I494" s="153" t="str">
        <v/>
      </c>
      <c r="J494" s="153" t="str">
        <v/>
      </c>
      <c r="K494" s="153" t="str">
        <v/>
      </c>
      <c r="L494" s="153" t="str">
        <v/>
      </c>
      <c r="M494" s="153" t="str">
        <v/>
      </c>
      <c r="N494" s="153" t="str">
        <v/>
      </c>
      <c r="O494" s="153" t="str">
        <v/>
      </c>
      <c r="P494" s="153" t="str">
        <v/>
      </c>
    </row>
    <row r="495" spans="1:16" x14ac:dyDescent="0.2">
      <c r="A495" s="58" t="str">
        <v/>
      </c>
      <c r="B495" s="131" t="str">
        <f>IFERROR(TIMEVALUE(DaqBook_RAW_Data!Q485),IFERROR(TIMEVALUE(DaqBook_RAW_Data!A485),""))</f>
        <v/>
      </c>
      <c r="C495" s="153" t="str">
        <v/>
      </c>
      <c r="D495" s="153" t="str">
        <v/>
      </c>
      <c r="E495" s="153" t="str">
        <v/>
      </c>
      <c r="F495" s="153" t="str">
        <v/>
      </c>
      <c r="G495" s="153" t="str">
        <v/>
      </c>
      <c r="H495" s="153" t="str">
        <v/>
      </c>
      <c r="I495" s="153" t="str">
        <v/>
      </c>
      <c r="J495" s="153" t="str">
        <v/>
      </c>
      <c r="K495" s="153" t="str">
        <v/>
      </c>
      <c r="L495" s="153" t="str">
        <v/>
      </c>
      <c r="M495" s="153" t="str">
        <v/>
      </c>
      <c r="N495" s="153" t="str">
        <v/>
      </c>
      <c r="O495" s="153" t="str">
        <v/>
      </c>
      <c r="P495" s="153" t="str">
        <v/>
      </c>
    </row>
    <row r="496" spans="1:16" x14ac:dyDescent="0.2">
      <c r="A496" s="58" t="str">
        <v/>
      </c>
      <c r="B496" s="131" t="str">
        <f>IFERROR(TIMEVALUE(DaqBook_RAW_Data!Q486),IFERROR(TIMEVALUE(DaqBook_RAW_Data!A486),""))</f>
        <v/>
      </c>
      <c r="C496" s="153" t="str">
        <v/>
      </c>
      <c r="D496" s="153" t="str">
        <v/>
      </c>
      <c r="E496" s="153" t="str">
        <v/>
      </c>
      <c r="F496" s="153" t="str">
        <v/>
      </c>
      <c r="G496" s="153" t="str">
        <v/>
      </c>
      <c r="H496" s="153" t="str">
        <v/>
      </c>
      <c r="I496" s="153" t="str">
        <v/>
      </c>
      <c r="J496" s="153" t="str">
        <v/>
      </c>
      <c r="K496" s="153" t="str">
        <v/>
      </c>
      <c r="L496" s="153" t="str">
        <v/>
      </c>
      <c r="M496" s="153" t="str">
        <v/>
      </c>
      <c r="N496" s="153" t="str">
        <v/>
      </c>
      <c r="O496" s="153" t="str">
        <v/>
      </c>
      <c r="P496" s="153" t="str">
        <v/>
      </c>
    </row>
    <row r="497" spans="1:16" x14ac:dyDescent="0.2">
      <c r="A497" s="58" t="str">
        <v/>
      </c>
      <c r="B497" s="131" t="str">
        <f>IFERROR(TIMEVALUE(DaqBook_RAW_Data!Q487),IFERROR(TIMEVALUE(DaqBook_RAW_Data!A487),""))</f>
        <v/>
      </c>
      <c r="C497" s="153" t="str">
        <v/>
      </c>
      <c r="D497" s="153" t="str">
        <v/>
      </c>
      <c r="E497" s="153" t="str">
        <v/>
      </c>
      <c r="F497" s="153" t="str">
        <v/>
      </c>
      <c r="G497" s="153" t="str">
        <v/>
      </c>
      <c r="H497" s="153" t="str">
        <v/>
      </c>
      <c r="I497" s="153" t="str">
        <v/>
      </c>
      <c r="J497" s="153" t="str">
        <v/>
      </c>
      <c r="K497" s="153" t="str">
        <v/>
      </c>
      <c r="L497" s="153" t="str">
        <v/>
      </c>
      <c r="M497" s="153" t="str">
        <v/>
      </c>
      <c r="N497" s="153" t="str">
        <v/>
      </c>
      <c r="O497" s="153" t="str">
        <v/>
      </c>
      <c r="P497" s="153" t="str">
        <v/>
      </c>
    </row>
    <row r="498" spans="1:16" x14ac:dyDescent="0.2">
      <c r="A498" s="58" t="str">
        <v/>
      </c>
      <c r="B498" s="131" t="str">
        <f>IFERROR(TIMEVALUE(DaqBook_RAW_Data!Q488),IFERROR(TIMEVALUE(DaqBook_RAW_Data!A488),""))</f>
        <v/>
      </c>
      <c r="C498" s="153" t="str">
        <v/>
      </c>
      <c r="D498" s="153" t="str">
        <v/>
      </c>
      <c r="E498" s="153" t="str">
        <v/>
      </c>
      <c r="F498" s="153" t="str">
        <v/>
      </c>
      <c r="G498" s="153" t="str">
        <v/>
      </c>
      <c r="H498" s="153" t="str">
        <v/>
      </c>
      <c r="I498" s="153" t="str">
        <v/>
      </c>
      <c r="J498" s="153" t="str">
        <v/>
      </c>
      <c r="K498" s="153" t="str">
        <v/>
      </c>
      <c r="L498" s="153" t="str">
        <v/>
      </c>
      <c r="M498" s="153" t="str">
        <v/>
      </c>
      <c r="N498" s="153" t="str">
        <v/>
      </c>
      <c r="O498" s="153" t="str">
        <v/>
      </c>
      <c r="P498" s="153" t="str">
        <v/>
      </c>
    </row>
    <row r="499" spans="1:16" x14ac:dyDescent="0.2">
      <c r="A499" s="58" t="str">
        <v/>
      </c>
      <c r="B499" s="131" t="str">
        <f>IFERROR(TIMEVALUE(DaqBook_RAW_Data!Q489),IFERROR(TIMEVALUE(DaqBook_RAW_Data!A489),""))</f>
        <v/>
      </c>
      <c r="C499" s="153" t="str">
        <v/>
      </c>
      <c r="D499" s="153" t="str">
        <v/>
      </c>
      <c r="E499" s="153" t="str">
        <v/>
      </c>
      <c r="F499" s="153" t="str">
        <v/>
      </c>
      <c r="G499" s="153" t="str">
        <v/>
      </c>
      <c r="H499" s="153" t="str">
        <v/>
      </c>
      <c r="I499" s="153" t="str">
        <v/>
      </c>
      <c r="J499" s="153" t="str">
        <v/>
      </c>
      <c r="K499" s="153" t="str">
        <v/>
      </c>
      <c r="L499" s="153" t="str">
        <v/>
      </c>
      <c r="M499" s="153" t="str">
        <v/>
      </c>
      <c r="N499" s="153" t="str">
        <v/>
      </c>
      <c r="O499" s="153" t="str">
        <v/>
      </c>
      <c r="P499" s="153" t="str">
        <v/>
      </c>
    </row>
    <row r="500" spans="1:16" x14ac:dyDescent="0.2">
      <c r="A500" s="58" t="str">
        <v/>
      </c>
      <c r="B500" s="131" t="str">
        <f>IFERROR(TIMEVALUE(DaqBook_RAW_Data!Q490),IFERROR(TIMEVALUE(DaqBook_RAW_Data!A490),""))</f>
        <v/>
      </c>
      <c r="C500" s="153" t="str">
        <v/>
      </c>
      <c r="D500" s="153" t="str">
        <v/>
      </c>
      <c r="E500" s="153" t="str">
        <v/>
      </c>
      <c r="F500" s="153" t="str">
        <v/>
      </c>
      <c r="G500" s="153" t="str">
        <v/>
      </c>
      <c r="H500" s="153" t="str">
        <v/>
      </c>
      <c r="I500" s="153" t="str">
        <v/>
      </c>
      <c r="J500" s="153" t="str">
        <v/>
      </c>
      <c r="K500" s="153" t="str">
        <v/>
      </c>
      <c r="L500" s="153" t="str">
        <v/>
      </c>
      <c r="M500" s="153" t="str">
        <v/>
      </c>
      <c r="N500" s="153" t="str">
        <v/>
      </c>
      <c r="O500" s="153" t="str">
        <v/>
      </c>
      <c r="P500" s="153" t="str">
        <v/>
      </c>
    </row>
    <row r="501" spans="1:16" x14ac:dyDescent="0.2">
      <c r="A501" s="58" t="str">
        <v/>
      </c>
      <c r="B501" s="131" t="str">
        <f>IFERROR(TIMEVALUE(DaqBook_RAW_Data!Q491),IFERROR(TIMEVALUE(DaqBook_RAW_Data!A491),""))</f>
        <v/>
      </c>
      <c r="C501" s="153" t="str">
        <v/>
      </c>
      <c r="D501" s="153" t="str">
        <v/>
      </c>
      <c r="E501" s="153" t="str">
        <v/>
      </c>
      <c r="F501" s="153" t="str">
        <v/>
      </c>
      <c r="G501" s="153" t="str">
        <v/>
      </c>
      <c r="H501" s="153" t="str">
        <v/>
      </c>
      <c r="I501" s="153" t="str">
        <v/>
      </c>
      <c r="J501" s="153" t="str">
        <v/>
      </c>
      <c r="K501" s="153" t="str">
        <v/>
      </c>
      <c r="L501" s="153" t="str">
        <v/>
      </c>
      <c r="M501" s="153" t="str">
        <v/>
      </c>
      <c r="N501" s="153" t="str">
        <v/>
      </c>
      <c r="O501" s="153" t="str">
        <v/>
      </c>
      <c r="P501" s="153" t="str">
        <v/>
      </c>
    </row>
    <row r="502" spans="1:16" x14ac:dyDescent="0.2">
      <c r="A502" s="58" t="str">
        <v/>
      </c>
      <c r="B502" s="131" t="str">
        <f>IFERROR(TIMEVALUE(DaqBook_RAW_Data!Q492),IFERROR(TIMEVALUE(DaqBook_RAW_Data!A492),""))</f>
        <v/>
      </c>
      <c r="C502" s="153" t="str">
        <v/>
      </c>
      <c r="D502" s="153" t="str">
        <v/>
      </c>
      <c r="E502" s="153" t="str">
        <v/>
      </c>
      <c r="F502" s="153" t="str">
        <v/>
      </c>
      <c r="G502" s="153" t="str">
        <v/>
      </c>
      <c r="H502" s="153" t="str">
        <v/>
      </c>
      <c r="I502" s="153" t="str">
        <v/>
      </c>
      <c r="J502" s="153" t="str">
        <v/>
      </c>
      <c r="K502" s="153" t="str">
        <v/>
      </c>
      <c r="L502" s="153" t="str">
        <v/>
      </c>
      <c r="M502" s="153" t="str">
        <v/>
      </c>
      <c r="N502" s="153" t="str">
        <v/>
      </c>
      <c r="O502" s="153" t="str">
        <v/>
      </c>
      <c r="P502" s="153" t="str">
        <v/>
      </c>
    </row>
    <row r="503" spans="1:16" x14ac:dyDescent="0.2">
      <c r="A503" s="58" t="str">
        <v/>
      </c>
      <c r="B503" s="131" t="str">
        <f>IFERROR(TIMEVALUE(DaqBook_RAW_Data!Q493),IFERROR(TIMEVALUE(DaqBook_RAW_Data!A493),""))</f>
        <v/>
      </c>
      <c r="C503" s="153" t="str">
        <v/>
      </c>
      <c r="D503" s="153" t="str">
        <v/>
      </c>
      <c r="E503" s="153" t="str">
        <v/>
      </c>
      <c r="F503" s="153" t="str">
        <v/>
      </c>
      <c r="G503" s="153" t="str">
        <v/>
      </c>
      <c r="H503" s="153" t="str">
        <v/>
      </c>
      <c r="I503" s="153" t="str">
        <v/>
      </c>
      <c r="J503" s="153" t="str">
        <v/>
      </c>
      <c r="K503" s="153" t="str">
        <v/>
      </c>
      <c r="L503" s="153" t="str">
        <v/>
      </c>
      <c r="M503" s="153" t="str">
        <v/>
      </c>
      <c r="N503" s="153" t="str">
        <v/>
      </c>
      <c r="O503" s="153" t="str">
        <v/>
      </c>
      <c r="P503" s="153" t="str">
        <v/>
      </c>
    </row>
    <row r="504" spans="1:16" x14ac:dyDescent="0.2">
      <c r="A504" s="58" t="str">
        <v/>
      </c>
      <c r="B504" s="131" t="str">
        <f>IFERROR(TIMEVALUE(DaqBook_RAW_Data!Q494),IFERROR(TIMEVALUE(DaqBook_RAW_Data!A494),""))</f>
        <v/>
      </c>
      <c r="C504" s="153" t="str">
        <v/>
      </c>
      <c r="D504" s="153" t="str">
        <v/>
      </c>
      <c r="E504" s="153" t="str">
        <v/>
      </c>
      <c r="F504" s="153" t="str">
        <v/>
      </c>
      <c r="G504" s="153" t="str">
        <v/>
      </c>
      <c r="H504" s="153" t="str">
        <v/>
      </c>
      <c r="I504" s="153" t="str">
        <v/>
      </c>
      <c r="J504" s="153" t="str">
        <v/>
      </c>
      <c r="K504" s="153" t="str">
        <v/>
      </c>
      <c r="L504" s="153" t="str">
        <v/>
      </c>
      <c r="M504" s="153" t="str">
        <v/>
      </c>
      <c r="N504" s="153" t="str">
        <v/>
      </c>
      <c r="O504" s="153" t="str">
        <v/>
      </c>
      <c r="P504" s="153" t="str">
        <v/>
      </c>
    </row>
    <row r="505" spans="1:16" x14ac:dyDescent="0.2">
      <c r="A505" s="58" t="str">
        <v/>
      </c>
      <c r="B505" s="131" t="str">
        <f>IFERROR(TIMEVALUE(DaqBook_RAW_Data!Q495),IFERROR(TIMEVALUE(DaqBook_RAW_Data!A495),""))</f>
        <v/>
      </c>
      <c r="C505" s="153" t="str">
        <v/>
      </c>
      <c r="D505" s="153" t="str">
        <v/>
      </c>
      <c r="E505" s="153" t="str">
        <v/>
      </c>
      <c r="F505" s="153" t="str">
        <v/>
      </c>
      <c r="G505" s="153" t="str">
        <v/>
      </c>
      <c r="H505" s="153" t="str">
        <v/>
      </c>
      <c r="I505" s="153" t="str">
        <v/>
      </c>
      <c r="J505" s="153" t="str">
        <v/>
      </c>
      <c r="K505" s="153" t="str">
        <v/>
      </c>
      <c r="L505" s="153" t="str">
        <v/>
      </c>
      <c r="M505" s="153" t="str">
        <v/>
      </c>
      <c r="N505" s="153" t="str">
        <v/>
      </c>
      <c r="O505" s="153" t="str">
        <v/>
      </c>
      <c r="P505" s="153" t="str">
        <v/>
      </c>
    </row>
    <row r="506" spans="1:16" x14ac:dyDescent="0.2">
      <c r="A506" s="58" t="str">
        <v/>
      </c>
      <c r="B506" s="131" t="str">
        <f>IFERROR(TIMEVALUE(DaqBook_RAW_Data!Q496),IFERROR(TIMEVALUE(DaqBook_RAW_Data!A496),""))</f>
        <v/>
      </c>
      <c r="C506" s="153" t="str">
        <v/>
      </c>
      <c r="D506" s="153" t="str">
        <v/>
      </c>
      <c r="E506" s="153" t="str">
        <v/>
      </c>
      <c r="F506" s="153" t="str">
        <v/>
      </c>
      <c r="G506" s="153" t="str">
        <v/>
      </c>
      <c r="H506" s="153" t="str">
        <v/>
      </c>
      <c r="I506" s="153" t="str">
        <v/>
      </c>
      <c r="J506" s="153" t="str">
        <v/>
      </c>
      <c r="K506" s="153" t="str">
        <v/>
      </c>
      <c r="L506" s="153" t="str">
        <v/>
      </c>
      <c r="M506" s="153" t="str">
        <v/>
      </c>
      <c r="N506" s="153" t="str">
        <v/>
      </c>
      <c r="O506" s="153" t="str">
        <v/>
      </c>
      <c r="P506" s="153" t="str">
        <v/>
      </c>
    </row>
    <row r="507" spans="1:16" x14ac:dyDescent="0.2">
      <c r="A507" s="58" t="str">
        <v/>
      </c>
      <c r="B507" s="131" t="str">
        <f>IFERROR(TIMEVALUE(DaqBook_RAW_Data!Q497),IFERROR(TIMEVALUE(DaqBook_RAW_Data!A497),""))</f>
        <v/>
      </c>
      <c r="C507" s="153" t="str">
        <v/>
      </c>
      <c r="D507" s="153" t="str">
        <v/>
      </c>
      <c r="E507" s="153" t="str">
        <v/>
      </c>
      <c r="F507" s="153" t="str">
        <v/>
      </c>
      <c r="G507" s="153" t="str">
        <v/>
      </c>
      <c r="H507" s="153" t="str">
        <v/>
      </c>
      <c r="I507" s="153" t="str">
        <v/>
      </c>
      <c r="J507" s="153" t="str">
        <v/>
      </c>
      <c r="K507" s="153" t="str">
        <v/>
      </c>
      <c r="L507" s="153" t="str">
        <v/>
      </c>
      <c r="M507" s="153" t="str">
        <v/>
      </c>
      <c r="N507" s="153" t="str">
        <v/>
      </c>
      <c r="O507" s="153" t="str">
        <v/>
      </c>
      <c r="P507" s="153" t="str">
        <v/>
      </c>
    </row>
    <row r="508" spans="1:16" x14ac:dyDescent="0.2">
      <c r="A508" s="58" t="str">
        <v/>
      </c>
      <c r="B508" s="131" t="str">
        <f>IFERROR(TIMEVALUE(DaqBook_RAW_Data!Q498),IFERROR(TIMEVALUE(DaqBook_RAW_Data!A498),""))</f>
        <v/>
      </c>
      <c r="C508" s="153" t="str">
        <v/>
      </c>
      <c r="D508" s="153" t="str">
        <v/>
      </c>
      <c r="E508" s="153" t="str">
        <v/>
      </c>
      <c r="F508" s="153" t="str">
        <v/>
      </c>
      <c r="G508" s="153" t="str">
        <v/>
      </c>
      <c r="H508" s="153" t="str">
        <v/>
      </c>
      <c r="I508" s="153" t="str">
        <v/>
      </c>
      <c r="J508" s="153" t="str">
        <v/>
      </c>
      <c r="K508" s="153" t="str">
        <v/>
      </c>
      <c r="L508" s="153" t="str">
        <v/>
      </c>
      <c r="M508" s="153" t="str">
        <v/>
      </c>
      <c r="N508" s="153" t="str">
        <v/>
      </c>
      <c r="O508" s="153" t="str">
        <v/>
      </c>
      <c r="P508" s="153" t="str">
        <v/>
      </c>
    </row>
    <row r="509" spans="1:16" x14ac:dyDescent="0.2">
      <c r="A509" s="58" t="str">
        <v/>
      </c>
      <c r="B509" s="131" t="str">
        <f>IFERROR(TIMEVALUE(DaqBook_RAW_Data!Q499),IFERROR(TIMEVALUE(DaqBook_RAW_Data!A499),""))</f>
        <v/>
      </c>
      <c r="C509" s="153" t="str">
        <v/>
      </c>
      <c r="D509" s="153" t="str">
        <v/>
      </c>
      <c r="E509" s="153" t="str">
        <v/>
      </c>
      <c r="F509" s="153" t="str">
        <v/>
      </c>
      <c r="G509" s="153" t="str">
        <v/>
      </c>
      <c r="H509" s="153" t="str">
        <v/>
      </c>
      <c r="I509" s="153" t="str">
        <v/>
      </c>
      <c r="J509" s="153" t="str">
        <v/>
      </c>
      <c r="K509" s="153" t="str">
        <v/>
      </c>
      <c r="L509" s="153" t="str">
        <v/>
      </c>
      <c r="M509" s="153" t="str">
        <v/>
      </c>
      <c r="N509" s="153" t="str">
        <v/>
      </c>
      <c r="O509" s="153" t="str">
        <v/>
      </c>
      <c r="P509" s="153" t="str">
        <v/>
      </c>
    </row>
    <row r="510" spans="1:16" x14ac:dyDescent="0.2">
      <c r="A510" s="58" t="str">
        <v/>
      </c>
      <c r="B510" s="131" t="str">
        <f>IFERROR(TIMEVALUE(DaqBook_RAW_Data!Q500),IFERROR(TIMEVALUE(DaqBook_RAW_Data!A500),""))</f>
        <v/>
      </c>
      <c r="C510" s="153" t="str">
        <v/>
      </c>
      <c r="D510" s="153" t="str">
        <v/>
      </c>
      <c r="E510" s="153" t="str">
        <v/>
      </c>
      <c r="F510" s="153" t="str">
        <v/>
      </c>
      <c r="G510" s="153" t="str">
        <v/>
      </c>
      <c r="H510" s="153" t="str">
        <v/>
      </c>
      <c r="I510" s="153" t="str">
        <v/>
      </c>
      <c r="J510" s="153" t="str">
        <v/>
      </c>
      <c r="K510" s="153" t="str">
        <v/>
      </c>
      <c r="L510" s="153" t="str">
        <v/>
      </c>
      <c r="M510" s="153" t="str">
        <v/>
      </c>
      <c r="N510" s="153" t="str">
        <v/>
      </c>
      <c r="O510" s="153" t="str">
        <v/>
      </c>
      <c r="P510" s="153" t="str">
        <v/>
      </c>
    </row>
    <row r="511" spans="1:16" x14ac:dyDescent="0.2">
      <c r="A511" s="58" t="str">
        <v/>
      </c>
      <c r="B511" s="131" t="str">
        <f>IFERROR(TIMEVALUE(DaqBook_RAW_Data!Q501),IFERROR(TIMEVALUE(DaqBook_RAW_Data!A501),""))</f>
        <v/>
      </c>
      <c r="C511" s="153" t="str">
        <v/>
      </c>
      <c r="D511" s="153" t="str">
        <v/>
      </c>
      <c r="E511" s="153" t="str">
        <v/>
      </c>
      <c r="F511" s="153" t="str">
        <v/>
      </c>
      <c r="G511" s="153" t="str">
        <v/>
      </c>
      <c r="H511" s="153" t="str">
        <v/>
      </c>
      <c r="I511" s="153" t="str">
        <v/>
      </c>
      <c r="J511" s="153" t="str">
        <v/>
      </c>
      <c r="K511" s="153" t="str">
        <v/>
      </c>
      <c r="L511" s="153" t="str">
        <v/>
      </c>
      <c r="M511" s="153" t="str">
        <v/>
      </c>
      <c r="N511" s="153" t="str">
        <v/>
      </c>
      <c r="O511" s="153" t="str">
        <v/>
      </c>
      <c r="P511" s="153" t="str">
        <v/>
      </c>
    </row>
    <row r="512" spans="1:16" x14ac:dyDescent="0.2">
      <c r="A512" s="58" t="str">
        <v/>
      </c>
      <c r="B512" s="131" t="str">
        <f>IFERROR(TIMEVALUE(DaqBook_RAW_Data!Q502),IFERROR(TIMEVALUE(DaqBook_RAW_Data!A502),""))</f>
        <v/>
      </c>
      <c r="C512" s="153" t="str">
        <v/>
      </c>
      <c r="D512" s="153" t="str">
        <v/>
      </c>
      <c r="E512" s="153" t="str">
        <v/>
      </c>
      <c r="F512" s="153" t="str">
        <v/>
      </c>
      <c r="G512" s="153" t="str">
        <v/>
      </c>
      <c r="H512" s="153" t="str">
        <v/>
      </c>
      <c r="I512" s="153" t="str">
        <v/>
      </c>
      <c r="J512" s="153" t="str">
        <v/>
      </c>
      <c r="K512" s="153" t="str">
        <v/>
      </c>
      <c r="L512" s="153" t="str">
        <v/>
      </c>
      <c r="M512" s="153" t="str">
        <v/>
      </c>
      <c r="N512" s="153" t="str">
        <v/>
      </c>
      <c r="O512" s="153" t="str">
        <v/>
      </c>
      <c r="P512" s="153" t="str">
        <v/>
      </c>
    </row>
    <row r="513" spans="1:16" x14ac:dyDescent="0.2">
      <c r="A513" s="58" t="str">
        <v/>
      </c>
      <c r="B513" s="131" t="str">
        <f>IFERROR(TIMEVALUE(DaqBook_RAW_Data!Q503),IFERROR(TIMEVALUE(DaqBook_RAW_Data!A503),""))</f>
        <v/>
      </c>
      <c r="C513" s="153" t="str">
        <v/>
      </c>
      <c r="D513" s="153" t="str">
        <v/>
      </c>
      <c r="E513" s="153" t="str">
        <v/>
      </c>
      <c r="F513" s="153" t="str">
        <v/>
      </c>
      <c r="G513" s="153" t="str">
        <v/>
      </c>
      <c r="H513" s="153" t="str">
        <v/>
      </c>
      <c r="I513" s="153" t="str">
        <v/>
      </c>
      <c r="J513" s="153" t="str">
        <v/>
      </c>
      <c r="K513" s="153" t="str">
        <v/>
      </c>
      <c r="L513" s="153" t="str">
        <v/>
      </c>
      <c r="M513" s="153" t="str">
        <v/>
      </c>
      <c r="N513" s="153" t="str">
        <v/>
      </c>
      <c r="O513" s="153" t="str">
        <v/>
      </c>
      <c r="P513" s="153" t="str">
        <v/>
      </c>
    </row>
    <row r="514" spans="1:16" x14ac:dyDescent="0.2">
      <c r="A514" s="58" t="str">
        <v/>
      </c>
      <c r="B514" s="131" t="str">
        <f>IFERROR(TIMEVALUE(DaqBook_RAW_Data!Q504),IFERROR(TIMEVALUE(DaqBook_RAW_Data!A504),""))</f>
        <v/>
      </c>
      <c r="C514" s="153" t="str">
        <v/>
      </c>
      <c r="D514" s="153" t="str">
        <v/>
      </c>
      <c r="E514" s="153" t="str">
        <v/>
      </c>
      <c r="F514" s="153" t="str">
        <v/>
      </c>
      <c r="G514" s="153" t="str">
        <v/>
      </c>
      <c r="H514" s="153" t="str">
        <v/>
      </c>
      <c r="I514" s="153" t="str">
        <v/>
      </c>
      <c r="J514" s="153" t="str">
        <v/>
      </c>
      <c r="K514" s="153" t="str">
        <v/>
      </c>
      <c r="L514" s="153" t="str">
        <v/>
      </c>
      <c r="M514" s="153" t="str">
        <v/>
      </c>
      <c r="N514" s="153" t="str">
        <v/>
      </c>
      <c r="O514" s="153" t="str">
        <v/>
      </c>
      <c r="P514" s="153" t="str">
        <v/>
      </c>
    </row>
    <row r="515" spans="1:16" x14ac:dyDescent="0.2">
      <c r="A515" s="58" t="str">
        <v/>
      </c>
      <c r="B515" s="131" t="str">
        <f>IFERROR(TIMEVALUE(DaqBook_RAW_Data!Q505),IFERROR(TIMEVALUE(DaqBook_RAW_Data!A505),""))</f>
        <v/>
      </c>
      <c r="C515" s="153" t="str">
        <v/>
      </c>
      <c r="D515" s="153" t="str">
        <v/>
      </c>
      <c r="E515" s="153" t="str">
        <v/>
      </c>
      <c r="F515" s="153" t="str">
        <v/>
      </c>
      <c r="G515" s="153" t="str">
        <v/>
      </c>
      <c r="H515" s="153" t="str">
        <v/>
      </c>
      <c r="I515" s="153" t="str">
        <v/>
      </c>
      <c r="J515" s="153" t="str">
        <v/>
      </c>
      <c r="K515" s="153" t="str">
        <v/>
      </c>
      <c r="L515" s="153" t="str">
        <v/>
      </c>
      <c r="M515" s="153" t="str">
        <v/>
      </c>
      <c r="N515" s="153" t="str">
        <v/>
      </c>
      <c r="O515" s="153" t="str">
        <v/>
      </c>
      <c r="P515" s="153" t="str">
        <v/>
      </c>
    </row>
    <row r="516" spans="1:16" x14ac:dyDescent="0.2">
      <c r="A516" s="58" t="str">
        <v/>
      </c>
      <c r="B516" s="131" t="str">
        <f>IFERROR(TIMEVALUE(DaqBook_RAW_Data!Q506),IFERROR(TIMEVALUE(DaqBook_RAW_Data!A506),""))</f>
        <v/>
      </c>
      <c r="C516" s="153" t="str">
        <v/>
      </c>
      <c r="D516" s="153" t="str">
        <v/>
      </c>
      <c r="E516" s="153" t="str">
        <v/>
      </c>
      <c r="F516" s="153" t="str">
        <v/>
      </c>
      <c r="G516" s="153" t="str">
        <v/>
      </c>
      <c r="H516" s="153" t="str">
        <v/>
      </c>
      <c r="I516" s="153" t="str">
        <v/>
      </c>
      <c r="J516" s="153" t="str">
        <v/>
      </c>
      <c r="K516" s="153" t="str">
        <v/>
      </c>
      <c r="L516" s="153" t="str">
        <v/>
      </c>
      <c r="M516" s="153" t="str">
        <v/>
      </c>
      <c r="N516" s="153" t="str">
        <v/>
      </c>
      <c r="O516" s="153" t="str">
        <v/>
      </c>
      <c r="P516" s="153" t="str">
        <v/>
      </c>
    </row>
    <row r="517" spans="1:16" x14ac:dyDescent="0.2">
      <c r="A517" s="58" t="str">
        <v/>
      </c>
      <c r="B517" s="131" t="str">
        <f>IFERROR(TIMEVALUE(DaqBook_RAW_Data!Q507),IFERROR(TIMEVALUE(DaqBook_RAW_Data!A507),""))</f>
        <v/>
      </c>
      <c r="C517" s="153" t="str">
        <v/>
      </c>
      <c r="D517" s="153" t="str">
        <v/>
      </c>
      <c r="E517" s="153" t="str">
        <v/>
      </c>
      <c r="F517" s="153" t="str">
        <v/>
      </c>
      <c r="G517" s="153" t="str">
        <v/>
      </c>
      <c r="H517" s="153" t="str">
        <v/>
      </c>
      <c r="I517" s="153" t="str">
        <v/>
      </c>
      <c r="J517" s="153" t="str">
        <v/>
      </c>
      <c r="K517" s="153" t="str">
        <v/>
      </c>
      <c r="L517" s="153" t="str">
        <v/>
      </c>
      <c r="M517" s="153" t="str">
        <v/>
      </c>
      <c r="N517" s="153" t="str">
        <v/>
      </c>
      <c r="O517" s="153" t="str">
        <v/>
      </c>
      <c r="P517" s="153" t="str">
        <v/>
      </c>
    </row>
    <row r="518" spans="1:16" x14ac:dyDescent="0.2">
      <c r="A518" s="58" t="str">
        <v/>
      </c>
      <c r="B518" s="131" t="str">
        <f>IFERROR(TIMEVALUE(DaqBook_RAW_Data!Q508),IFERROR(TIMEVALUE(DaqBook_RAW_Data!A508),""))</f>
        <v/>
      </c>
      <c r="C518" s="153" t="str">
        <v/>
      </c>
      <c r="D518" s="153" t="str">
        <v/>
      </c>
      <c r="E518" s="153" t="str">
        <v/>
      </c>
      <c r="F518" s="153" t="str">
        <v/>
      </c>
      <c r="G518" s="153" t="str">
        <v/>
      </c>
      <c r="H518" s="153" t="str">
        <v/>
      </c>
      <c r="I518" s="153" t="str">
        <v/>
      </c>
      <c r="J518" s="153" t="str">
        <v/>
      </c>
      <c r="K518" s="153" t="str">
        <v/>
      </c>
      <c r="L518" s="153" t="str">
        <v/>
      </c>
      <c r="M518" s="153" t="str">
        <v/>
      </c>
      <c r="N518" s="153" t="str">
        <v/>
      </c>
      <c r="O518" s="153" t="str">
        <v/>
      </c>
      <c r="P518" s="153" t="str">
        <v/>
      </c>
    </row>
    <row r="519" spans="1:16" x14ac:dyDescent="0.2">
      <c r="A519" s="58" t="str">
        <v/>
      </c>
      <c r="B519" s="131" t="str">
        <f>IFERROR(TIMEVALUE(DaqBook_RAW_Data!Q509),IFERROR(TIMEVALUE(DaqBook_RAW_Data!A509),""))</f>
        <v/>
      </c>
      <c r="C519" s="153" t="str">
        <v/>
      </c>
      <c r="D519" s="153" t="str">
        <v/>
      </c>
      <c r="E519" s="153" t="str">
        <v/>
      </c>
      <c r="F519" s="153" t="str">
        <v/>
      </c>
      <c r="G519" s="153" t="str">
        <v/>
      </c>
      <c r="H519" s="153" t="str">
        <v/>
      </c>
      <c r="I519" s="153" t="str">
        <v/>
      </c>
      <c r="J519" s="153" t="str">
        <v/>
      </c>
      <c r="K519" s="153" t="str">
        <v/>
      </c>
      <c r="L519" s="153" t="str">
        <v/>
      </c>
      <c r="M519" s="153" t="str">
        <v/>
      </c>
      <c r="N519" s="153" t="str">
        <v/>
      </c>
      <c r="O519" s="153" t="str">
        <v/>
      </c>
      <c r="P519" s="153" t="str">
        <v/>
      </c>
    </row>
    <row r="520" spans="1:16" x14ac:dyDescent="0.2">
      <c r="A520" s="58" t="str">
        <v/>
      </c>
      <c r="B520" s="131" t="str">
        <f>IFERROR(TIMEVALUE(DaqBook_RAW_Data!Q510),IFERROR(TIMEVALUE(DaqBook_RAW_Data!A510),""))</f>
        <v/>
      </c>
      <c r="C520" s="153" t="str">
        <v/>
      </c>
      <c r="D520" s="153" t="str">
        <v/>
      </c>
      <c r="E520" s="153" t="str">
        <v/>
      </c>
      <c r="F520" s="153" t="str">
        <v/>
      </c>
      <c r="G520" s="153" t="str">
        <v/>
      </c>
      <c r="H520" s="153" t="str">
        <v/>
      </c>
      <c r="I520" s="153" t="str">
        <v/>
      </c>
      <c r="J520" s="153" t="str">
        <v/>
      </c>
      <c r="K520" s="153" t="str">
        <v/>
      </c>
      <c r="L520" s="153" t="str">
        <v/>
      </c>
      <c r="M520" s="153" t="str">
        <v/>
      </c>
      <c r="N520" s="153" t="str">
        <v/>
      </c>
      <c r="O520" s="153" t="str">
        <v/>
      </c>
      <c r="P520" s="153" t="str">
        <v/>
      </c>
    </row>
    <row r="521" spans="1:16" x14ac:dyDescent="0.2">
      <c r="A521" s="58" t="str">
        <v/>
      </c>
      <c r="B521" s="131" t="str">
        <f>IFERROR(TIMEVALUE(DaqBook_RAW_Data!Q511),IFERROR(TIMEVALUE(DaqBook_RAW_Data!A511),""))</f>
        <v/>
      </c>
      <c r="C521" s="153" t="str">
        <v/>
      </c>
      <c r="D521" s="153" t="str">
        <v/>
      </c>
      <c r="E521" s="153" t="str">
        <v/>
      </c>
      <c r="F521" s="153" t="str">
        <v/>
      </c>
      <c r="G521" s="153" t="str">
        <v/>
      </c>
      <c r="H521" s="153" t="str">
        <v/>
      </c>
      <c r="I521" s="153" t="str">
        <v/>
      </c>
      <c r="J521" s="153" t="str">
        <v/>
      </c>
      <c r="K521" s="153" t="str">
        <v/>
      </c>
      <c r="L521" s="153" t="str">
        <v/>
      </c>
      <c r="M521" s="153" t="str">
        <v/>
      </c>
      <c r="N521" s="153" t="str">
        <v/>
      </c>
      <c r="O521" s="153" t="str">
        <v/>
      </c>
      <c r="P521" s="153" t="str">
        <v/>
      </c>
    </row>
    <row r="522" spans="1:16" x14ac:dyDescent="0.2">
      <c r="A522" s="58" t="str">
        <v/>
      </c>
      <c r="B522" s="131" t="str">
        <f>IFERROR(TIMEVALUE(DaqBook_RAW_Data!Q512),IFERROR(TIMEVALUE(DaqBook_RAW_Data!A512),""))</f>
        <v/>
      </c>
      <c r="C522" s="153" t="str">
        <v/>
      </c>
      <c r="D522" s="153" t="str">
        <v/>
      </c>
      <c r="E522" s="153" t="str">
        <v/>
      </c>
      <c r="F522" s="153" t="str">
        <v/>
      </c>
      <c r="G522" s="153" t="str">
        <v/>
      </c>
      <c r="H522" s="153" t="str">
        <v/>
      </c>
      <c r="I522" s="153" t="str">
        <v/>
      </c>
      <c r="J522" s="153" t="str">
        <v/>
      </c>
      <c r="K522" s="153" t="str">
        <v/>
      </c>
      <c r="L522" s="153" t="str">
        <v/>
      </c>
      <c r="M522" s="153" t="str">
        <v/>
      </c>
      <c r="N522" s="153" t="str">
        <v/>
      </c>
      <c r="O522" s="153" t="str">
        <v/>
      </c>
      <c r="P522" s="153" t="str">
        <v/>
      </c>
    </row>
    <row r="523" spans="1:16" x14ac:dyDescent="0.2">
      <c r="A523" s="58" t="str">
        <v/>
      </c>
      <c r="B523" s="131" t="str">
        <f>IFERROR(TIMEVALUE(DaqBook_RAW_Data!Q513),IFERROR(TIMEVALUE(DaqBook_RAW_Data!A513),""))</f>
        <v/>
      </c>
      <c r="C523" s="153" t="str">
        <v/>
      </c>
      <c r="D523" s="153" t="str">
        <v/>
      </c>
      <c r="E523" s="153" t="str">
        <v/>
      </c>
      <c r="F523" s="153" t="str">
        <v/>
      </c>
      <c r="G523" s="153" t="str">
        <v/>
      </c>
      <c r="H523" s="153" t="str">
        <v/>
      </c>
      <c r="I523" s="153" t="str">
        <v/>
      </c>
      <c r="J523" s="153" t="str">
        <v/>
      </c>
      <c r="K523" s="153" t="str">
        <v/>
      </c>
      <c r="L523" s="153" t="str">
        <v/>
      </c>
      <c r="M523" s="153" t="str">
        <v/>
      </c>
      <c r="N523" s="153" t="str">
        <v/>
      </c>
      <c r="O523" s="153" t="str">
        <v/>
      </c>
      <c r="P523" s="153" t="str">
        <v/>
      </c>
    </row>
    <row r="524" spans="1:16" x14ac:dyDescent="0.2">
      <c r="A524" s="58" t="str">
        <v/>
      </c>
      <c r="B524" s="131" t="str">
        <f>IFERROR(TIMEVALUE(DaqBook_RAW_Data!Q514),IFERROR(TIMEVALUE(DaqBook_RAW_Data!A514),""))</f>
        <v/>
      </c>
      <c r="C524" s="153" t="str">
        <v/>
      </c>
      <c r="D524" s="153" t="str">
        <v/>
      </c>
      <c r="E524" s="153" t="str">
        <v/>
      </c>
      <c r="F524" s="153" t="str">
        <v/>
      </c>
      <c r="G524" s="153" t="str">
        <v/>
      </c>
      <c r="H524" s="153" t="str">
        <v/>
      </c>
      <c r="I524" s="153" t="str">
        <v/>
      </c>
      <c r="J524" s="153" t="str">
        <v/>
      </c>
      <c r="K524" s="153" t="str">
        <v/>
      </c>
      <c r="L524" s="153" t="str">
        <v/>
      </c>
      <c r="M524" s="153" t="str">
        <v/>
      </c>
      <c r="N524" s="153" t="str">
        <v/>
      </c>
      <c r="O524" s="153" t="str">
        <v/>
      </c>
      <c r="P524" s="153" t="str">
        <v/>
      </c>
    </row>
    <row r="525" spans="1:16" x14ac:dyDescent="0.2">
      <c r="A525" s="58" t="str">
        <v/>
      </c>
      <c r="B525" s="131" t="str">
        <f>IFERROR(TIMEVALUE(DaqBook_RAW_Data!Q515),IFERROR(TIMEVALUE(DaqBook_RAW_Data!A515),""))</f>
        <v/>
      </c>
      <c r="C525" s="153" t="str">
        <v/>
      </c>
      <c r="D525" s="153" t="str">
        <v/>
      </c>
      <c r="E525" s="153" t="str">
        <v/>
      </c>
      <c r="F525" s="153" t="str">
        <v/>
      </c>
      <c r="G525" s="153" t="str">
        <v/>
      </c>
      <c r="H525" s="153" t="str">
        <v/>
      </c>
      <c r="I525" s="153" t="str">
        <v/>
      </c>
      <c r="J525" s="153" t="str">
        <v/>
      </c>
      <c r="K525" s="153" t="str">
        <v/>
      </c>
      <c r="L525" s="153" t="str">
        <v/>
      </c>
      <c r="M525" s="153" t="str">
        <v/>
      </c>
      <c r="N525" s="153" t="str">
        <v/>
      </c>
      <c r="O525" s="153" t="str">
        <v/>
      </c>
      <c r="P525" s="153" t="str">
        <v/>
      </c>
    </row>
    <row r="526" spans="1:16" x14ac:dyDescent="0.2">
      <c r="A526" s="58" t="str">
        <v/>
      </c>
      <c r="B526" s="131" t="str">
        <f>IFERROR(TIMEVALUE(DaqBook_RAW_Data!Q516),IFERROR(TIMEVALUE(DaqBook_RAW_Data!A516),""))</f>
        <v/>
      </c>
      <c r="C526" s="153" t="str">
        <v/>
      </c>
      <c r="D526" s="153" t="str">
        <v/>
      </c>
      <c r="E526" s="153" t="str">
        <v/>
      </c>
      <c r="F526" s="153" t="str">
        <v/>
      </c>
      <c r="G526" s="153" t="str">
        <v/>
      </c>
      <c r="H526" s="153" t="str">
        <v/>
      </c>
      <c r="I526" s="153" t="str">
        <v/>
      </c>
      <c r="J526" s="153" t="str">
        <v/>
      </c>
      <c r="K526" s="153" t="str">
        <v/>
      </c>
      <c r="L526" s="153" t="str">
        <v/>
      </c>
      <c r="M526" s="153" t="str">
        <v/>
      </c>
      <c r="N526" s="153" t="str">
        <v/>
      </c>
      <c r="O526" s="153" t="str">
        <v/>
      </c>
      <c r="P526" s="153" t="str">
        <v/>
      </c>
    </row>
    <row r="527" spans="1:16" x14ac:dyDescent="0.2">
      <c r="A527" s="58" t="str">
        <v/>
      </c>
      <c r="B527" s="131" t="str">
        <f>IFERROR(TIMEVALUE(DaqBook_RAW_Data!Q517),IFERROR(TIMEVALUE(DaqBook_RAW_Data!A517),""))</f>
        <v/>
      </c>
      <c r="C527" s="153" t="str">
        <v/>
      </c>
      <c r="D527" s="153" t="str">
        <v/>
      </c>
      <c r="E527" s="153" t="str">
        <v/>
      </c>
      <c r="F527" s="153" t="str">
        <v/>
      </c>
      <c r="G527" s="153" t="str">
        <v/>
      </c>
      <c r="H527" s="153" t="str">
        <v/>
      </c>
      <c r="I527" s="153" t="str">
        <v/>
      </c>
      <c r="J527" s="153" t="str">
        <v/>
      </c>
      <c r="K527" s="153" t="str">
        <v/>
      </c>
      <c r="L527" s="153" t="str">
        <v/>
      </c>
      <c r="M527" s="153" t="str">
        <v/>
      </c>
      <c r="N527" s="153" t="str">
        <v/>
      </c>
      <c r="O527" s="153" t="str">
        <v/>
      </c>
      <c r="P527" s="153" t="str">
        <v/>
      </c>
    </row>
    <row r="528" spans="1:16" x14ac:dyDescent="0.2">
      <c r="A528" s="58" t="str">
        <v/>
      </c>
      <c r="B528" s="131" t="str">
        <f>IFERROR(TIMEVALUE(DaqBook_RAW_Data!Q518),IFERROR(TIMEVALUE(DaqBook_RAW_Data!A518),""))</f>
        <v/>
      </c>
      <c r="C528" s="153" t="str">
        <v/>
      </c>
      <c r="D528" s="153" t="str">
        <v/>
      </c>
      <c r="E528" s="153" t="str">
        <v/>
      </c>
      <c r="F528" s="153" t="str">
        <v/>
      </c>
      <c r="G528" s="153" t="str">
        <v/>
      </c>
      <c r="H528" s="153" t="str">
        <v/>
      </c>
      <c r="I528" s="153" t="str">
        <v/>
      </c>
      <c r="J528" s="153" t="str">
        <v/>
      </c>
      <c r="K528" s="153" t="str">
        <v/>
      </c>
      <c r="L528" s="153" t="str">
        <v/>
      </c>
      <c r="M528" s="153" t="str">
        <v/>
      </c>
      <c r="N528" s="153" t="str">
        <v/>
      </c>
      <c r="O528" s="153" t="str">
        <v/>
      </c>
      <c r="P528" s="153" t="str">
        <v/>
      </c>
    </row>
    <row r="529" spans="1:16" x14ac:dyDescent="0.2">
      <c r="A529" s="58" t="str">
        <v/>
      </c>
      <c r="B529" s="131" t="str">
        <f>IFERROR(TIMEVALUE(DaqBook_RAW_Data!Q519),IFERROR(TIMEVALUE(DaqBook_RAW_Data!A519),""))</f>
        <v/>
      </c>
      <c r="C529" s="153" t="str">
        <v/>
      </c>
      <c r="D529" s="153" t="str">
        <v/>
      </c>
      <c r="E529" s="153" t="str">
        <v/>
      </c>
      <c r="F529" s="153" t="str">
        <v/>
      </c>
      <c r="G529" s="153" t="str">
        <v/>
      </c>
      <c r="H529" s="153" t="str">
        <v/>
      </c>
      <c r="I529" s="153" t="str">
        <v/>
      </c>
      <c r="J529" s="153" t="str">
        <v/>
      </c>
      <c r="K529" s="153" t="str">
        <v/>
      </c>
      <c r="L529" s="153" t="str">
        <v/>
      </c>
      <c r="M529" s="153" t="str">
        <v/>
      </c>
      <c r="N529" s="153" t="str">
        <v/>
      </c>
      <c r="O529" s="153" t="str">
        <v/>
      </c>
      <c r="P529" s="153" t="str">
        <v/>
      </c>
    </row>
    <row r="530" spans="1:16" x14ac:dyDescent="0.2">
      <c r="A530" s="58" t="str">
        <v/>
      </c>
      <c r="B530" s="131" t="str">
        <f>IFERROR(TIMEVALUE(DaqBook_RAW_Data!Q520),IFERROR(TIMEVALUE(DaqBook_RAW_Data!A520),""))</f>
        <v/>
      </c>
      <c r="C530" s="153" t="str">
        <v/>
      </c>
      <c r="D530" s="153" t="str">
        <v/>
      </c>
      <c r="E530" s="153" t="str">
        <v/>
      </c>
      <c r="F530" s="153" t="str">
        <v/>
      </c>
      <c r="G530" s="153" t="str">
        <v/>
      </c>
      <c r="H530" s="153" t="str">
        <v/>
      </c>
      <c r="I530" s="153" t="str">
        <v/>
      </c>
      <c r="J530" s="153" t="str">
        <v/>
      </c>
      <c r="K530" s="153" t="str">
        <v/>
      </c>
      <c r="L530" s="153" t="str">
        <v/>
      </c>
      <c r="M530" s="153" t="str">
        <v/>
      </c>
      <c r="N530" s="153" t="str">
        <v/>
      </c>
      <c r="O530" s="153" t="str">
        <v/>
      </c>
      <c r="P530" s="153" t="str">
        <v/>
      </c>
    </row>
    <row r="531" spans="1:16" x14ac:dyDescent="0.2">
      <c r="A531" s="58" t="str">
        <v/>
      </c>
      <c r="B531" s="131" t="str">
        <f>IFERROR(TIMEVALUE(DaqBook_RAW_Data!Q521),IFERROR(TIMEVALUE(DaqBook_RAW_Data!A521),""))</f>
        <v/>
      </c>
      <c r="C531" s="153" t="str">
        <v/>
      </c>
      <c r="D531" s="153" t="str">
        <v/>
      </c>
      <c r="E531" s="153" t="str">
        <v/>
      </c>
      <c r="F531" s="153" t="str">
        <v/>
      </c>
      <c r="G531" s="153" t="str">
        <v/>
      </c>
      <c r="H531" s="153" t="str">
        <v/>
      </c>
      <c r="I531" s="153" t="str">
        <v/>
      </c>
      <c r="J531" s="153" t="str">
        <v/>
      </c>
      <c r="K531" s="153" t="str">
        <v/>
      </c>
      <c r="L531" s="153" t="str">
        <v/>
      </c>
      <c r="M531" s="153" t="str">
        <v/>
      </c>
      <c r="N531" s="153" t="str">
        <v/>
      </c>
      <c r="O531" s="153" t="str">
        <v/>
      </c>
      <c r="P531" s="153" t="str">
        <v/>
      </c>
    </row>
    <row r="532" spans="1:16" x14ac:dyDescent="0.2">
      <c r="A532" s="58" t="str">
        <v/>
      </c>
      <c r="B532" s="131" t="str">
        <f>IFERROR(TIMEVALUE(DaqBook_RAW_Data!Q522),IFERROR(TIMEVALUE(DaqBook_RAW_Data!A522),""))</f>
        <v/>
      </c>
      <c r="C532" s="153" t="str">
        <v/>
      </c>
      <c r="D532" s="153" t="str">
        <v/>
      </c>
      <c r="E532" s="153" t="str">
        <v/>
      </c>
      <c r="F532" s="153" t="str">
        <v/>
      </c>
      <c r="G532" s="153" t="str">
        <v/>
      </c>
      <c r="H532" s="153" t="str">
        <v/>
      </c>
      <c r="I532" s="153" t="str">
        <v/>
      </c>
      <c r="J532" s="153" t="str">
        <v/>
      </c>
      <c r="K532" s="153" t="str">
        <v/>
      </c>
      <c r="L532" s="153" t="str">
        <v/>
      </c>
      <c r="M532" s="153" t="str">
        <v/>
      </c>
      <c r="N532" s="153" t="str">
        <v/>
      </c>
      <c r="O532" s="153" t="str">
        <v/>
      </c>
      <c r="P532" s="153" t="str">
        <v/>
      </c>
    </row>
    <row r="533" spans="1:16" x14ac:dyDescent="0.2">
      <c r="A533" s="58" t="str">
        <v/>
      </c>
      <c r="B533" s="131" t="str">
        <f>IFERROR(TIMEVALUE(DaqBook_RAW_Data!Q523),IFERROR(TIMEVALUE(DaqBook_RAW_Data!A523),""))</f>
        <v/>
      </c>
      <c r="C533" s="153" t="str">
        <v/>
      </c>
      <c r="D533" s="153" t="str">
        <v/>
      </c>
      <c r="E533" s="153" t="str">
        <v/>
      </c>
      <c r="F533" s="153" t="str">
        <v/>
      </c>
      <c r="G533" s="153" t="str">
        <v/>
      </c>
      <c r="H533" s="153" t="str">
        <v/>
      </c>
      <c r="I533" s="153" t="str">
        <v/>
      </c>
      <c r="J533" s="153" t="str">
        <v/>
      </c>
      <c r="K533" s="153" t="str">
        <v/>
      </c>
      <c r="L533" s="153" t="str">
        <v/>
      </c>
      <c r="M533" s="153" t="str">
        <v/>
      </c>
      <c r="N533" s="153" t="str">
        <v/>
      </c>
      <c r="O533" s="153" t="str">
        <v/>
      </c>
      <c r="P533" s="153" t="str">
        <v/>
      </c>
    </row>
    <row r="534" spans="1:16" x14ac:dyDescent="0.2">
      <c r="A534" s="58" t="str">
        <v/>
      </c>
      <c r="B534" s="131" t="str">
        <f>IFERROR(TIMEVALUE(DaqBook_RAW_Data!Q524),IFERROR(TIMEVALUE(DaqBook_RAW_Data!A524),""))</f>
        <v/>
      </c>
      <c r="C534" s="153" t="str">
        <v/>
      </c>
      <c r="D534" s="153" t="str">
        <v/>
      </c>
      <c r="E534" s="153" t="str">
        <v/>
      </c>
      <c r="F534" s="153" t="str">
        <v/>
      </c>
      <c r="G534" s="153" t="str">
        <v/>
      </c>
      <c r="H534" s="153" t="str">
        <v/>
      </c>
      <c r="I534" s="153" t="str">
        <v/>
      </c>
      <c r="J534" s="153" t="str">
        <v/>
      </c>
      <c r="K534" s="153" t="str">
        <v/>
      </c>
      <c r="L534" s="153" t="str">
        <v/>
      </c>
      <c r="M534" s="153" t="str">
        <v/>
      </c>
      <c r="N534" s="153" t="str">
        <v/>
      </c>
      <c r="O534" s="153" t="str">
        <v/>
      </c>
      <c r="P534" s="153" t="str">
        <v/>
      </c>
    </row>
    <row r="535" spans="1:16" x14ac:dyDescent="0.2">
      <c r="A535" s="58" t="str">
        <v/>
      </c>
      <c r="B535" s="131" t="str">
        <f>IFERROR(TIMEVALUE(DaqBook_RAW_Data!Q525),IFERROR(TIMEVALUE(DaqBook_RAW_Data!A525),""))</f>
        <v/>
      </c>
      <c r="C535" s="153" t="str">
        <v/>
      </c>
      <c r="D535" s="153" t="str">
        <v/>
      </c>
      <c r="E535" s="153" t="str">
        <v/>
      </c>
      <c r="F535" s="153" t="str">
        <v/>
      </c>
      <c r="G535" s="153" t="str">
        <v/>
      </c>
      <c r="H535" s="153" t="str">
        <v/>
      </c>
      <c r="I535" s="153" t="str">
        <v/>
      </c>
      <c r="J535" s="153" t="str">
        <v/>
      </c>
      <c r="K535" s="153" t="str">
        <v/>
      </c>
      <c r="L535" s="153" t="str">
        <v/>
      </c>
      <c r="M535" s="153" t="str">
        <v/>
      </c>
      <c r="N535" s="153" t="str">
        <v/>
      </c>
      <c r="O535" s="153" t="str">
        <v/>
      </c>
      <c r="P535" s="153" t="str">
        <v/>
      </c>
    </row>
    <row r="536" spans="1:16" x14ac:dyDescent="0.2">
      <c r="A536" s="58" t="str">
        <v/>
      </c>
      <c r="B536" s="131" t="str">
        <f>IFERROR(TIMEVALUE(DaqBook_RAW_Data!Q526),IFERROR(TIMEVALUE(DaqBook_RAW_Data!A526),""))</f>
        <v/>
      </c>
      <c r="C536" s="153" t="str">
        <v/>
      </c>
      <c r="D536" s="153" t="str">
        <v/>
      </c>
      <c r="E536" s="153" t="str">
        <v/>
      </c>
      <c r="F536" s="153" t="str">
        <v/>
      </c>
      <c r="G536" s="153" t="str">
        <v/>
      </c>
      <c r="H536" s="153" t="str">
        <v/>
      </c>
      <c r="I536" s="153" t="str">
        <v/>
      </c>
      <c r="J536" s="153" t="str">
        <v/>
      </c>
      <c r="K536" s="153" t="str">
        <v/>
      </c>
      <c r="L536" s="153" t="str">
        <v/>
      </c>
      <c r="M536" s="153" t="str">
        <v/>
      </c>
      <c r="N536" s="153" t="str">
        <v/>
      </c>
      <c r="O536" s="153" t="str">
        <v/>
      </c>
      <c r="P536" s="153" t="str">
        <v/>
      </c>
    </row>
    <row r="537" spans="1:16" x14ac:dyDescent="0.2">
      <c r="A537" s="58" t="str">
        <v/>
      </c>
      <c r="B537" s="131" t="str">
        <f>IFERROR(TIMEVALUE(DaqBook_RAW_Data!Q527),IFERROR(TIMEVALUE(DaqBook_RAW_Data!A527),""))</f>
        <v/>
      </c>
      <c r="C537" s="153" t="str">
        <v/>
      </c>
      <c r="D537" s="153" t="str">
        <v/>
      </c>
      <c r="E537" s="153" t="str">
        <v/>
      </c>
      <c r="F537" s="153" t="str">
        <v/>
      </c>
      <c r="G537" s="153" t="str">
        <v/>
      </c>
      <c r="H537" s="153" t="str">
        <v/>
      </c>
      <c r="I537" s="153" t="str">
        <v/>
      </c>
      <c r="J537" s="153" t="str">
        <v/>
      </c>
      <c r="K537" s="153" t="str">
        <v/>
      </c>
      <c r="L537" s="153" t="str">
        <v/>
      </c>
      <c r="M537" s="153" t="str">
        <v/>
      </c>
      <c r="N537" s="153" t="str">
        <v/>
      </c>
      <c r="O537" s="153" t="str">
        <v/>
      </c>
      <c r="P537" s="153" t="str">
        <v/>
      </c>
    </row>
    <row r="538" spans="1:16" x14ac:dyDescent="0.2">
      <c r="A538" s="58" t="str">
        <v/>
      </c>
      <c r="B538" s="131" t="str">
        <f>IFERROR(TIMEVALUE(DaqBook_RAW_Data!Q528),IFERROR(TIMEVALUE(DaqBook_RAW_Data!A528),""))</f>
        <v/>
      </c>
      <c r="C538" s="153" t="str">
        <v/>
      </c>
      <c r="D538" s="153" t="str">
        <v/>
      </c>
      <c r="E538" s="153" t="str">
        <v/>
      </c>
      <c r="F538" s="153" t="str">
        <v/>
      </c>
      <c r="G538" s="153" t="str">
        <v/>
      </c>
      <c r="H538" s="153" t="str">
        <v/>
      </c>
      <c r="I538" s="153" t="str">
        <v/>
      </c>
      <c r="J538" s="153" t="str">
        <v/>
      </c>
      <c r="K538" s="153" t="str">
        <v/>
      </c>
      <c r="L538" s="153" t="str">
        <v/>
      </c>
      <c r="M538" s="153" t="str">
        <v/>
      </c>
      <c r="N538" s="153" t="str">
        <v/>
      </c>
      <c r="O538" s="153" t="str">
        <v/>
      </c>
      <c r="P538" s="153" t="str">
        <v/>
      </c>
    </row>
    <row r="539" spans="1:16" x14ac:dyDescent="0.2">
      <c r="A539" s="58" t="str">
        <v/>
      </c>
      <c r="B539" s="131" t="str">
        <f>IFERROR(TIMEVALUE(DaqBook_RAW_Data!Q529),IFERROR(TIMEVALUE(DaqBook_RAW_Data!A529),""))</f>
        <v/>
      </c>
      <c r="C539" s="153" t="str">
        <v/>
      </c>
      <c r="D539" s="153" t="str">
        <v/>
      </c>
      <c r="E539" s="153" t="str">
        <v/>
      </c>
      <c r="F539" s="153" t="str">
        <v/>
      </c>
      <c r="G539" s="153" t="str">
        <v/>
      </c>
      <c r="H539" s="153" t="str">
        <v/>
      </c>
      <c r="I539" s="153" t="str">
        <v/>
      </c>
      <c r="J539" s="153" t="str">
        <v/>
      </c>
      <c r="K539" s="153" t="str">
        <v/>
      </c>
      <c r="L539" s="153" t="str">
        <v/>
      </c>
      <c r="M539" s="153" t="str">
        <v/>
      </c>
      <c r="N539" s="153" t="str">
        <v/>
      </c>
      <c r="O539" s="153" t="str">
        <v/>
      </c>
      <c r="P539" s="153" t="str">
        <v/>
      </c>
    </row>
    <row r="540" spans="1:16" x14ac:dyDescent="0.2">
      <c r="A540" s="58" t="str">
        <v/>
      </c>
      <c r="B540" s="131" t="str">
        <f>IFERROR(TIMEVALUE(DaqBook_RAW_Data!Q530),IFERROR(TIMEVALUE(DaqBook_RAW_Data!A530),""))</f>
        <v/>
      </c>
      <c r="C540" s="153" t="str">
        <v/>
      </c>
      <c r="D540" s="153" t="str">
        <v/>
      </c>
      <c r="E540" s="153" t="str">
        <v/>
      </c>
      <c r="F540" s="153" t="str">
        <v/>
      </c>
      <c r="G540" s="153" t="str">
        <v/>
      </c>
      <c r="H540" s="153" t="str">
        <v/>
      </c>
      <c r="I540" s="153" t="str">
        <v/>
      </c>
      <c r="J540" s="153" t="str">
        <v/>
      </c>
      <c r="K540" s="153" t="str">
        <v/>
      </c>
      <c r="L540" s="153" t="str">
        <v/>
      </c>
      <c r="M540" s="153" t="str">
        <v/>
      </c>
      <c r="N540" s="153" t="str">
        <v/>
      </c>
      <c r="O540" s="153" t="str">
        <v/>
      </c>
      <c r="P540" s="153" t="str">
        <v/>
      </c>
    </row>
    <row r="541" spans="1:16" x14ac:dyDescent="0.2">
      <c r="A541" s="58" t="str">
        <v/>
      </c>
      <c r="B541" s="131" t="str">
        <f>IFERROR(TIMEVALUE(DaqBook_RAW_Data!Q531),IFERROR(TIMEVALUE(DaqBook_RAW_Data!A531),""))</f>
        <v/>
      </c>
      <c r="C541" s="153" t="str">
        <v/>
      </c>
      <c r="D541" s="153" t="str">
        <v/>
      </c>
      <c r="E541" s="153" t="str">
        <v/>
      </c>
      <c r="F541" s="153" t="str">
        <v/>
      </c>
      <c r="G541" s="153" t="str">
        <v/>
      </c>
      <c r="H541" s="153" t="str">
        <v/>
      </c>
      <c r="I541" s="153" t="str">
        <v/>
      </c>
      <c r="J541" s="153" t="str">
        <v/>
      </c>
      <c r="K541" s="153" t="str">
        <v/>
      </c>
      <c r="L541" s="153" t="str">
        <v/>
      </c>
      <c r="M541" s="153" t="str">
        <v/>
      </c>
      <c r="N541" s="153" t="str">
        <v/>
      </c>
      <c r="O541" s="153" t="str">
        <v/>
      </c>
      <c r="P541" s="153" t="str">
        <v/>
      </c>
    </row>
    <row r="542" spans="1:16" x14ac:dyDescent="0.2">
      <c r="A542" s="58" t="str">
        <v/>
      </c>
      <c r="B542" s="131" t="str">
        <f>IFERROR(TIMEVALUE(DaqBook_RAW_Data!Q532),IFERROR(TIMEVALUE(DaqBook_RAW_Data!A532),""))</f>
        <v/>
      </c>
      <c r="C542" s="153" t="str">
        <v/>
      </c>
      <c r="D542" s="153" t="str">
        <v/>
      </c>
      <c r="E542" s="153" t="str">
        <v/>
      </c>
      <c r="F542" s="153" t="str">
        <v/>
      </c>
      <c r="G542" s="153" t="str">
        <v/>
      </c>
      <c r="H542" s="153" t="str">
        <v/>
      </c>
      <c r="I542" s="153" t="str">
        <v/>
      </c>
      <c r="J542" s="153" t="str">
        <v/>
      </c>
      <c r="K542" s="153" t="str">
        <v/>
      </c>
      <c r="L542" s="153" t="str">
        <v/>
      </c>
      <c r="M542" s="153" t="str">
        <v/>
      </c>
      <c r="N542" s="153" t="str">
        <v/>
      </c>
      <c r="O542" s="153" t="str">
        <v/>
      </c>
      <c r="P542" s="153" t="str">
        <v/>
      </c>
    </row>
    <row r="543" spans="1:16" x14ac:dyDescent="0.2">
      <c r="A543" s="58" t="str">
        <v/>
      </c>
      <c r="B543" s="131" t="str">
        <f>IFERROR(TIMEVALUE(DaqBook_RAW_Data!Q533),IFERROR(TIMEVALUE(DaqBook_RAW_Data!A533),""))</f>
        <v/>
      </c>
      <c r="C543" s="153" t="str">
        <v/>
      </c>
      <c r="D543" s="153" t="str">
        <v/>
      </c>
      <c r="E543" s="153" t="str">
        <v/>
      </c>
      <c r="F543" s="153" t="str">
        <v/>
      </c>
      <c r="G543" s="153" t="str">
        <v/>
      </c>
      <c r="H543" s="153" t="str">
        <v/>
      </c>
      <c r="I543" s="153" t="str">
        <v/>
      </c>
      <c r="J543" s="153" t="str">
        <v/>
      </c>
      <c r="K543" s="153" t="str">
        <v/>
      </c>
      <c r="L543" s="153" t="str">
        <v/>
      </c>
      <c r="M543" s="153" t="str">
        <v/>
      </c>
      <c r="N543" s="153" t="str">
        <v/>
      </c>
      <c r="O543" s="153" t="str">
        <v/>
      </c>
      <c r="P543" s="153" t="str">
        <v/>
      </c>
    </row>
    <row r="544" spans="1:16" x14ac:dyDescent="0.2">
      <c r="A544" s="58" t="str">
        <v/>
      </c>
      <c r="B544" s="131" t="str">
        <f>IFERROR(TIMEVALUE(DaqBook_RAW_Data!Q534),IFERROR(TIMEVALUE(DaqBook_RAW_Data!A534),""))</f>
        <v/>
      </c>
      <c r="C544" s="153" t="str">
        <v/>
      </c>
      <c r="D544" s="153" t="str">
        <v/>
      </c>
      <c r="E544" s="153" t="str">
        <v/>
      </c>
      <c r="F544" s="153" t="str">
        <v/>
      </c>
      <c r="G544" s="153" t="str">
        <v/>
      </c>
      <c r="H544" s="153" t="str">
        <v/>
      </c>
      <c r="I544" s="153" t="str">
        <v/>
      </c>
      <c r="J544" s="153" t="str">
        <v/>
      </c>
      <c r="K544" s="153" t="str">
        <v/>
      </c>
      <c r="L544" s="153" t="str">
        <v/>
      </c>
      <c r="M544" s="153" t="str">
        <v/>
      </c>
      <c r="N544" s="153" t="str">
        <v/>
      </c>
      <c r="O544" s="153" t="str">
        <v/>
      </c>
      <c r="P544" s="153" t="str">
        <v/>
      </c>
    </row>
    <row r="545" spans="1:16" x14ac:dyDescent="0.2">
      <c r="A545" s="58" t="str">
        <v/>
      </c>
      <c r="B545" s="131" t="str">
        <f>IFERROR(TIMEVALUE(DaqBook_RAW_Data!Q535),IFERROR(TIMEVALUE(DaqBook_RAW_Data!A535),""))</f>
        <v/>
      </c>
      <c r="C545" s="153" t="str">
        <v/>
      </c>
      <c r="D545" s="153" t="str">
        <v/>
      </c>
      <c r="E545" s="153" t="str">
        <v/>
      </c>
      <c r="F545" s="153" t="str">
        <v/>
      </c>
      <c r="G545" s="153" t="str">
        <v/>
      </c>
      <c r="H545" s="153" t="str">
        <v/>
      </c>
      <c r="I545" s="153" t="str">
        <v/>
      </c>
      <c r="J545" s="153" t="str">
        <v/>
      </c>
      <c r="K545" s="153" t="str">
        <v/>
      </c>
      <c r="L545" s="153" t="str">
        <v/>
      </c>
      <c r="M545" s="153" t="str">
        <v/>
      </c>
      <c r="N545" s="153" t="str">
        <v/>
      </c>
      <c r="O545" s="153" t="str">
        <v/>
      </c>
      <c r="P545" s="153" t="str">
        <v/>
      </c>
    </row>
    <row r="546" spans="1:16" x14ac:dyDescent="0.2">
      <c r="A546" s="58" t="str">
        <v/>
      </c>
      <c r="B546" s="131" t="str">
        <f>IFERROR(TIMEVALUE(DaqBook_RAW_Data!Q536),IFERROR(TIMEVALUE(DaqBook_RAW_Data!A536),""))</f>
        <v/>
      </c>
      <c r="C546" s="153" t="str">
        <v/>
      </c>
      <c r="D546" s="153" t="str">
        <v/>
      </c>
      <c r="E546" s="153" t="str">
        <v/>
      </c>
      <c r="F546" s="153" t="str">
        <v/>
      </c>
      <c r="G546" s="153" t="str">
        <v/>
      </c>
      <c r="H546" s="153" t="str">
        <v/>
      </c>
      <c r="I546" s="153" t="str">
        <v/>
      </c>
      <c r="J546" s="153" t="str">
        <v/>
      </c>
      <c r="K546" s="153" t="str">
        <v/>
      </c>
      <c r="L546" s="153" t="str">
        <v/>
      </c>
      <c r="M546" s="153" t="str">
        <v/>
      </c>
      <c r="N546" s="153" t="str">
        <v/>
      </c>
      <c r="O546" s="153" t="str">
        <v/>
      </c>
      <c r="P546" s="153" t="str">
        <v/>
      </c>
    </row>
    <row r="547" spans="1:16" x14ac:dyDescent="0.2">
      <c r="A547" s="58" t="str">
        <v/>
      </c>
      <c r="B547" s="131" t="str">
        <f>IFERROR(TIMEVALUE(DaqBook_RAW_Data!Q537),IFERROR(TIMEVALUE(DaqBook_RAW_Data!A537),""))</f>
        <v/>
      </c>
      <c r="C547" s="153" t="str">
        <v/>
      </c>
      <c r="D547" s="153" t="str">
        <v/>
      </c>
      <c r="E547" s="153" t="str">
        <v/>
      </c>
      <c r="F547" s="153" t="str">
        <v/>
      </c>
      <c r="G547" s="153" t="str">
        <v/>
      </c>
      <c r="H547" s="153" t="str">
        <v/>
      </c>
      <c r="I547" s="153" t="str">
        <v/>
      </c>
      <c r="J547" s="153" t="str">
        <v/>
      </c>
      <c r="K547" s="153" t="str">
        <v/>
      </c>
      <c r="L547" s="153" t="str">
        <v/>
      </c>
      <c r="M547" s="153" t="str">
        <v/>
      </c>
      <c r="N547" s="153" t="str">
        <v/>
      </c>
      <c r="O547" s="153" t="str">
        <v/>
      </c>
      <c r="P547" s="153" t="str">
        <v/>
      </c>
    </row>
    <row r="548" spans="1:16" x14ac:dyDescent="0.2">
      <c r="A548" s="58" t="str">
        <v/>
      </c>
      <c r="B548" s="131" t="str">
        <f>IFERROR(TIMEVALUE(DaqBook_RAW_Data!Q538),IFERROR(TIMEVALUE(DaqBook_RAW_Data!A538),""))</f>
        <v/>
      </c>
      <c r="C548" s="153" t="str">
        <v/>
      </c>
      <c r="D548" s="153" t="str">
        <v/>
      </c>
      <c r="E548" s="153" t="str">
        <v/>
      </c>
      <c r="F548" s="153" t="str">
        <v/>
      </c>
      <c r="G548" s="153" t="str">
        <v/>
      </c>
      <c r="H548" s="153" t="str">
        <v/>
      </c>
      <c r="I548" s="153" t="str">
        <v/>
      </c>
      <c r="J548" s="153" t="str">
        <v/>
      </c>
      <c r="K548" s="153" t="str">
        <v/>
      </c>
      <c r="L548" s="153" t="str">
        <v/>
      </c>
      <c r="M548" s="153" t="str">
        <v/>
      </c>
      <c r="N548" s="153" t="str">
        <v/>
      </c>
      <c r="O548" s="153" t="str">
        <v/>
      </c>
      <c r="P548" s="153" t="str">
        <v/>
      </c>
    </row>
    <row r="549" spans="1:16" x14ac:dyDescent="0.2">
      <c r="A549" s="58" t="str">
        <v/>
      </c>
      <c r="B549" s="131" t="str">
        <f>IFERROR(TIMEVALUE(DaqBook_RAW_Data!Q539),IFERROR(TIMEVALUE(DaqBook_RAW_Data!A539),""))</f>
        <v/>
      </c>
      <c r="C549" s="153" t="str">
        <v/>
      </c>
      <c r="D549" s="153" t="str">
        <v/>
      </c>
      <c r="E549" s="153" t="str">
        <v/>
      </c>
      <c r="F549" s="153" t="str">
        <v/>
      </c>
      <c r="G549" s="153" t="str">
        <v/>
      </c>
      <c r="H549" s="153" t="str">
        <v/>
      </c>
      <c r="I549" s="153" t="str">
        <v/>
      </c>
      <c r="J549" s="153" t="str">
        <v/>
      </c>
      <c r="K549" s="153" t="str">
        <v/>
      </c>
      <c r="L549" s="153" t="str">
        <v/>
      </c>
      <c r="M549" s="153" t="str">
        <v/>
      </c>
      <c r="N549" s="153" t="str">
        <v/>
      </c>
      <c r="O549" s="153" t="str">
        <v/>
      </c>
      <c r="P549" s="153" t="str">
        <v/>
      </c>
    </row>
    <row r="550" spans="1:16" x14ac:dyDescent="0.2">
      <c r="A550" s="58" t="str">
        <v/>
      </c>
      <c r="B550" s="131" t="str">
        <f>IFERROR(TIMEVALUE(DaqBook_RAW_Data!Q540),IFERROR(TIMEVALUE(DaqBook_RAW_Data!A540),""))</f>
        <v/>
      </c>
      <c r="C550" s="153" t="str">
        <v/>
      </c>
      <c r="D550" s="153" t="str">
        <v/>
      </c>
      <c r="E550" s="153" t="str">
        <v/>
      </c>
      <c r="F550" s="153" t="str">
        <v/>
      </c>
      <c r="G550" s="153" t="str">
        <v/>
      </c>
      <c r="H550" s="153" t="str">
        <v/>
      </c>
      <c r="I550" s="153" t="str">
        <v/>
      </c>
      <c r="J550" s="153" t="str">
        <v/>
      </c>
      <c r="K550" s="153" t="str">
        <v/>
      </c>
      <c r="L550" s="153" t="str">
        <v/>
      </c>
      <c r="M550" s="153" t="str">
        <v/>
      </c>
      <c r="N550" s="153" t="str">
        <v/>
      </c>
      <c r="O550" s="153" t="str">
        <v/>
      </c>
      <c r="P550" s="153" t="str">
        <v/>
      </c>
    </row>
    <row r="551" spans="1:16" x14ac:dyDescent="0.2">
      <c r="A551" s="58" t="str">
        <v/>
      </c>
      <c r="B551" s="131" t="str">
        <f>IFERROR(TIMEVALUE(DaqBook_RAW_Data!Q541),IFERROR(TIMEVALUE(DaqBook_RAW_Data!A541),""))</f>
        <v/>
      </c>
      <c r="C551" s="153" t="str">
        <v/>
      </c>
      <c r="D551" s="153" t="str">
        <v/>
      </c>
      <c r="E551" s="153" t="str">
        <v/>
      </c>
      <c r="F551" s="153" t="str">
        <v/>
      </c>
      <c r="G551" s="153" t="str">
        <v/>
      </c>
      <c r="H551" s="153" t="str">
        <v/>
      </c>
      <c r="I551" s="153" t="str">
        <v/>
      </c>
      <c r="J551" s="153" t="str">
        <v/>
      </c>
      <c r="K551" s="153" t="str">
        <v/>
      </c>
      <c r="L551" s="153" t="str">
        <v/>
      </c>
      <c r="M551" s="153" t="str">
        <v/>
      </c>
      <c r="N551" s="153" t="str">
        <v/>
      </c>
      <c r="O551" s="153" t="str">
        <v/>
      </c>
      <c r="P551" s="153" t="str">
        <v/>
      </c>
    </row>
    <row r="552" spans="1:16" x14ac:dyDescent="0.2">
      <c r="A552" s="58" t="str">
        <v/>
      </c>
      <c r="B552" s="131" t="str">
        <f>IFERROR(TIMEVALUE(DaqBook_RAW_Data!Q542),IFERROR(TIMEVALUE(DaqBook_RAW_Data!A542),""))</f>
        <v/>
      </c>
      <c r="C552" s="153" t="str">
        <v/>
      </c>
      <c r="D552" s="153" t="str">
        <v/>
      </c>
      <c r="E552" s="153" t="str">
        <v/>
      </c>
      <c r="F552" s="153" t="str">
        <v/>
      </c>
      <c r="G552" s="153" t="str">
        <v/>
      </c>
      <c r="H552" s="153" t="str">
        <v/>
      </c>
      <c r="I552" s="153" t="str">
        <v/>
      </c>
      <c r="J552" s="153" t="str">
        <v/>
      </c>
      <c r="K552" s="153" t="str">
        <v/>
      </c>
      <c r="L552" s="153" t="str">
        <v/>
      </c>
      <c r="M552" s="153" t="str">
        <v/>
      </c>
      <c r="N552" s="153" t="str">
        <v/>
      </c>
      <c r="O552" s="153" t="str">
        <v/>
      </c>
      <c r="P552" s="153" t="str">
        <v/>
      </c>
    </row>
    <row r="553" spans="1:16" x14ac:dyDescent="0.2">
      <c r="A553" s="58" t="str">
        <v/>
      </c>
      <c r="B553" s="131" t="str">
        <f>IFERROR(TIMEVALUE(DaqBook_RAW_Data!Q543),IFERROR(TIMEVALUE(DaqBook_RAW_Data!A543),""))</f>
        <v/>
      </c>
      <c r="C553" s="153" t="str">
        <v/>
      </c>
      <c r="D553" s="153" t="str">
        <v/>
      </c>
      <c r="E553" s="153" t="str">
        <v/>
      </c>
      <c r="F553" s="153" t="str">
        <v/>
      </c>
      <c r="G553" s="153" t="str">
        <v/>
      </c>
      <c r="H553" s="153" t="str">
        <v/>
      </c>
      <c r="I553" s="153" t="str">
        <v/>
      </c>
      <c r="J553" s="153" t="str">
        <v/>
      </c>
      <c r="K553" s="153" t="str">
        <v/>
      </c>
      <c r="L553" s="153" t="str">
        <v/>
      </c>
      <c r="M553" s="153" t="str">
        <v/>
      </c>
      <c r="N553" s="153" t="str">
        <v/>
      </c>
      <c r="O553" s="153" t="str">
        <v/>
      </c>
      <c r="P553" s="153" t="str">
        <v/>
      </c>
    </row>
    <row r="554" spans="1:16" x14ac:dyDescent="0.2">
      <c r="A554" s="58" t="str">
        <v/>
      </c>
      <c r="B554" s="131" t="str">
        <f>IFERROR(TIMEVALUE(DaqBook_RAW_Data!Q544),IFERROR(TIMEVALUE(DaqBook_RAW_Data!A544),""))</f>
        <v/>
      </c>
      <c r="C554" s="153" t="str">
        <v/>
      </c>
      <c r="D554" s="153" t="str">
        <v/>
      </c>
      <c r="E554" s="153" t="str">
        <v/>
      </c>
      <c r="F554" s="153" t="str">
        <v/>
      </c>
      <c r="G554" s="153" t="str">
        <v/>
      </c>
      <c r="H554" s="153" t="str">
        <v/>
      </c>
      <c r="I554" s="153" t="str">
        <v/>
      </c>
      <c r="J554" s="153" t="str">
        <v/>
      </c>
      <c r="K554" s="153" t="str">
        <v/>
      </c>
      <c r="L554" s="153" t="str">
        <v/>
      </c>
      <c r="M554" s="153" t="str">
        <v/>
      </c>
      <c r="N554" s="153" t="str">
        <v/>
      </c>
      <c r="O554" s="153" t="str">
        <v/>
      </c>
      <c r="P554" s="153" t="str">
        <v/>
      </c>
    </row>
    <row r="555" spans="1:16" x14ac:dyDescent="0.2">
      <c r="A555" s="58" t="str">
        <v/>
      </c>
      <c r="B555" s="131" t="str">
        <f>IFERROR(TIMEVALUE(DaqBook_RAW_Data!Q545),IFERROR(TIMEVALUE(DaqBook_RAW_Data!A545),""))</f>
        <v/>
      </c>
      <c r="C555" s="153" t="str">
        <v/>
      </c>
      <c r="D555" s="153" t="str">
        <v/>
      </c>
      <c r="E555" s="153" t="str">
        <v/>
      </c>
      <c r="F555" s="153" t="str">
        <v/>
      </c>
      <c r="G555" s="153" t="str">
        <v/>
      </c>
      <c r="H555" s="153" t="str">
        <v/>
      </c>
      <c r="I555" s="153" t="str">
        <v/>
      </c>
      <c r="J555" s="153" t="str">
        <v/>
      </c>
      <c r="K555" s="153" t="str">
        <v/>
      </c>
      <c r="L555" s="153" t="str">
        <v/>
      </c>
      <c r="M555" s="153" t="str">
        <v/>
      </c>
      <c r="N555" s="153" t="str">
        <v/>
      </c>
      <c r="O555" s="153" t="str">
        <v/>
      </c>
      <c r="P555" s="153" t="str">
        <v/>
      </c>
    </row>
    <row r="556" spans="1:16" x14ac:dyDescent="0.2">
      <c r="A556" s="58" t="str">
        <v/>
      </c>
      <c r="B556" s="131" t="str">
        <f>IFERROR(TIMEVALUE(DaqBook_RAW_Data!Q546),IFERROR(TIMEVALUE(DaqBook_RAW_Data!A546),""))</f>
        <v/>
      </c>
      <c r="C556" s="153" t="str">
        <v/>
      </c>
      <c r="D556" s="153" t="str">
        <v/>
      </c>
      <c r="E556" s="153" t="str">
        <v/>
      </c>
      <c r="F556" s="153" t="str">
        <v/>
      </c>
      <c r="G556" s="153" t="str">
        <v/>
      </c>
      <c r="H556" s="153" t="str">
        <v/>
      </c>
      <c r="I556" s="153" t="str">
        <v/>
      </c>
      <c r="J556" s="153" t="str">
        <v/>
      </c>
      <c r="K556" s="153" t="str">
        <v/>
      </c>
      <c r="L556" s="153" t="str">
        <v/>
      </c>
      <c r="M556" s="153" t="str">
        <v/>
      </c>
      <c r="N556" s="153" t="str">
        <v/>
      </c>
      <c r="O556" s="153" t="str">
        <v/>
      </c>
      <c r="P556" s="153" t="str">
        <v/>
      </c>
    </row>
    <row r="557" spans="1:16" x14ac:dyDescent="0.2">
      <c r="A557" s="58" t="str">
        <v/>
      </c>
      <c r="B557" s="131" t="str">
        <f>IFERROR(TIMEVALUE(DaqBook_RAW_Data!Q547),IFERROR(TIMEVALUE(DaqBook_RAW_Data!A547),""))</f>
        <v/>
      </c>
      <c r="C557" s="153" t="str">
        <v/>
      </c>
      <c r="D557" s="153" t="str">
        <v/>
      </c>
      <c r="E557" s="153" t="str">
        <v/>
      </c>
      <c r="F557" s="153" t="str">
        <v/>
      </c>
      <c r="G557" s="153" t="str">
        <v/>
      </c>
      <c r="H557" s="153" t="str">
        <v/>
      </c>
      <c r="I557" s="153" t="str">
        <v/>
      </c>
      <c r="J557" s="153" t="str">
        <v/>
      </c>
      <c r="K557" s="153" t="str">
        <v/>
      </c>
      <c r="L557" s="153" t="str">
        <v/>
      </c>
      <c r="M557" s="153" t="str">
        <v/>
      </c>
      <c r="N557" s="153" t="str">
        <v/>
      </c>
      <c r="O557" s="153" t="str">
        <v/>
      </c>
      <c r="P557" s="153" t="str">
        <v/>
      </c>
    </row>
    <row r="558" spans="1:16" x14ac:dyDescent="0.2">
      <c r="A558" s="58" t="str">
        <v/>
      </c>
      <c r="B558" s="131" t="str">
        <f>IFERROR(TIMEVALUE(DaqBook_RAW_Data!Q548),IFERROR(TIMEVALUE(DaqBook_RAW_Data!A548),""))</f>
        <v/>
      </c>
      <c r="C558" s="153" t="str">
        <v/>
      </c>
      <c r="D558" s="153" t="str">
        <v/>
      </c>
      <c r="E558" s="153" t="str">
        <v/>
      </c>
      <c r="F558" s="153" t="str">
        <v/>
      </c>
      <c r="G558" s="153" t="str">
        <v/>
      </c>
      <c r="H558" s="153" t="str">
        <v/>
      </c>
      <c r="I558" s="153" t="str">
        <v/>
      </c>
      <c r="J558" s="153" t="str">
        <v/>
      </c>
      <c r="K558" s="153" t="str">
        <v/>
      </c>
      <c r="L558" s="153" t="str">
        <v/>
      </c>
      <c r="M558" s="153" t="str">
        <v/>
      </c>
      <c r="N558" s="153" t="str">
        <v/>
      </c>
      <c r="O558" s="153" t="str">
        <v/>
      </c>
      <c r="P558" s="153" t="str">
        <v/>
      </c>
    </row>
    <row r="559" spans="1:16" x14ac:dyDescent="0.2">
      <c r="A559" s="58" t="str">
        <v/>
      </c>
      <c r="B559" s="131" t="str">
        <f>IFERROR(TIMEVALUE(DaqBook_RAW_Data!Q549),IFERROR(TIMEVALUE(DaqBook_RAW_Data!A549),""))</f>
        <v/>
      </c>
      <c r="C559" s="153" t="str">
        <v/>
      </c>
      <c r="D559" s="153" t="str">
        <v/>
      </c>
      <c r="E559" s="153" t="str">
        <v/>
      </c>
      <c r="F559" s="153" t="str">
        <v/>
      </c>
      <c r="G559" s="153" t="str">
        <v/>
      </c>
      <c r="H559" s="153" t="str">
        <v/>
      </c>
      <c r="I559" s="153" t="str">
        <v/>
      </c>
      <c r="J559" s="153" t="str">
        <v/>
      </c>
      <c r="K559" s="153" t="str">
        <v/>
      </c>
      <c r="L559" s="153" t="str">
        <v/>
      </c>
      <c r="M559" s="153" t="str">
        <v/>
      </c>
      <c r="N559" s="153" t="str">
        <v/>
      </c>
      <c r="O559" s="153" t="str">
        <v/>
      </c>
      <c r="P559" s="153" t="str">
        <v/>
      </c>
    </row>
    <row r="560" spans="1:16" x14ac:dyDescent="0.2">
      <c r="A560" s="58" t="str">
        <v/>
      </c>
      <c r="B560" s="131" t="str">
        <f>IFERROR(TIMEVALUE(DaqBook_RAW_Data!Q550),IFERROR(TIMEVALUE(DaqBook_RAW_Data!A550),""))</f>
        <v/>
      </c>
      <c r="C560" s="153" t="str">
        <v/>
      </c>
      <c r="D560" s="153" t="str">
        <v/>
      </c>
      <c r="E560" s="153" t="str">
        <v/>
      </c>
      <c r="F560" s="153" t="str">
        <v/>
      </c>
      <c r="G560" s="153" t="str">
        <v/>
      </c>
      <c r="H560" s="153" t="str">
        <v/>
      </c>
      <c r="I560" s="153" t="str">
        <v/>
      </c>
      <c r="J560" s="153" t="str">
        <v/>
      </c>
      <c r="K560" s="153" t="str">
        <v/>
      </c>
      <c r="L560" s="153" t="str">
        <v/>
      </c>
      <c r="M560" s="153" t="str">
        <v/>
      </c>
      <c r="N560" s="153" t="str">
        <v/>
      </c>
      <c r="O560" s="153" t="str">
        <v/>
      </c>
      <c r="P560" s="153" t="str">
        <v/>
      </c>
    </row>
    <row r="561" spans="1:16" x14ac:dyDescent="0.2">
      <c r="A561" s="58" t="str">
        <v/>
      </c>
      <c r="B561" s="131" t="str">
        <f>IFERROR(TIMEVALUE(DaqBook_RAW_Data!Q551),IFERROR(TIMEVALUE(DaqBook_RAW_Data!A551),""))</f>
        <v/>
      </c>
      <c r="C561" s="153" t="str">
        <v/>
      </c>
      <c r="D561" s="153" t="str">
        <v/>
      </c>
      <c r="E561" s="153" t="str">
        <v/>
      </c>
      <c r="F561" s="153" t="str">
        <v/>
      </c>
      <c r="G561" s="153" t="str">
        <v/>
      </c>
      <c r="H561" s="153" t="str">
        <v/>
      </c>
      <c r="I561" s="153" t="str">
        <v/>
      </c>
      <c r="J561" s="153" t="str">
        <v/>
      </c>
      <c r="K561" s="153" t="str">
        <v/>
      </c>
      <c r="L561" s="153" t="str">
        <v/>
      </c>
      <c r="M561" s="153" t="str">
        <v/>
      </c>
      <c r="N561" s="153" t="str">
        <v/>
      </c>
      <c r="O561" s="153" t="str">
        <v/>
      </c>
      <c r="P561" s="153" t="str">
        <v/>
      </c>
    </row>
    <row r="562" spans="1:16" x14ac:dyDescent="0.2">
      <c r="A562" s="58" t="str">
        <v/>
      </c>
      <c r="B562" s="131" t="str">
        <f>IFERROR(TIMEVALUE(DaqBook_RAW_Data!Q552),IFERROR(TIMEVALUE(DaqBook_RAW_Data!A552),""))</f>
        <v/>
      </c>
      <c r="C562" s="153" t="str">
        <v/>
      </c>
      <c r="D562" s="153" t="str">
        <v/>
      </c>
      <c r="E562" s="153" t="str">
        <v/>
      </c>
      <c r="F562" s="153" t="str">
        <v/>
      </c>
      <c r="G562" s="153" t="str">
        <v/>
      </c>
      <c r="H562" s="153" t="str">
        <v/>
      </c>
      <c r="I562" s="153" t="str">
        <v/>
      </c>
      <c r="J562" s="153" t="str">
        <v/>
      </c>
      <c r="K562" s="153" t="str">
        <v/>
      </c>
      <c r="L562" s="153" t="str">
        <v/>
      </c>
      <c r="M562" s="153" t="str">
        <v/>
      </c>
      <c r="N562" s="153" t="str">
        <v/>
      </c>
      <c r="O562" s="153" t="str">
        <v/>
      </c>
      <c r="P562" s="153" t="str">
        <v/>
      </c>
    </row>
    <row r="563" spans="1:16" x14ac:dyDescent="0.2">
      <c r="A563" s="58" t="str">
        <v/>
      </c>
      <c r="B563" s="131" t="str">
        <f>IFERROR(TIMEVALUE(DaqBook_RAW_Data!Q553),IFERROR(TIMEVALUE(DaqBook_RAW_Data!A553),""))</f>
        <v/>
      </c>
      <c r="C563" s="153" t="str">
        <v/>
      </c>
      <c r="D563" s="153" t="str">
        <v/>
      </c>
      <c r="E563" s="153" t="str">
        <v/>
      </c>
      <c r="F563" s="153" t="str">
        <v/>
      </c>
      <c r="G563" s="153" t="str">
        <v/>
      </c>
      <c r="H563" s="153" t="str">
        <v/>
      </c>
      <c r="I563" s="153" t="str">
        <v/>
      </c>
      <c r="J563" s="153" t="str">
        <v/>
      </c>
      <c r="K563" s="153" t="str">
        <v/>
      </c>
      <c r="L563" s="153" t="str">
        <v/>
      </c>
      <c r="M563" s="153" t="str">
        <v/>
      </c>
      <c r="N563" s="153" t="str">
        <v/>
      </c>
      <c r="O563" s="153" t="str">
        <v/>
      </c>
      <c r="P563" s="153" t="str">
        <v/>
      </c>
    </row>
    <row r="564" spans="1:16" x14ac:dyDescent="0.2">
      <c r="A564" s="58" t="str">
        <v/>
      </c>
      <c r="B564" s="131" t="str">
        <f>IFERROR(TIMEVALUE(DaqBook_RAW_Data!Q554),IFERROR(TIMEVALUE(DaqBook_RAW_Data!A554),""))</f>
        <v/>
      </c>
      <c r="C564" s="153" t="str">
        <v/>
      </c>
      <c r="D564" s="153" t="str">
        <v/>
      </c>
      <c r="E564" s="153" t="str">
        <v/>
      </c>
      <c r="F564" s="153" t="str">
        <v/>
      </c>
      <c r="G564" s="153" t="str">
        <v/>
      </c>
      <c r="H564" s="153" t="str">
        <v/>
      </c>
      <c r="I564" s="153" t="str">
        <v/>
      </c>
      <c r="J564" s="153" t="str">
        <v/>
      </c>
      <c r="K564" s="153" t="str">
        <v/>
      </c>
      <c r="L564" s="153" t="str">
        <v/>
      </c>
      <c r="M564" s="153" t="str">
        <v/>
      </c>
      <c r="N564" s="153" t="str">
        <v/>
      </c>
      <c r="O564" s="153" t="str">
        <v/>
      </c>
      <c r="P564" s="153" t="str">
        <v/>
      </c>
    </row>
    <row r="565" spans="1:16" x14ac:dyDescent="0.2">
      <c r="A565" s="58" t="str">
        <v/>
      </c>
      <c r="B565" s="131" t="str">
        <f>IFERROR(TIMEVALUE(DaqBook_RAW_Data!Q555),IFERROR(TIMEVALUE(DaqBook_RAW_Data!A555),""))</f>
        <v/>
      </c>
      <c r="C565" s="153" t="str">
        <v/>
      </c>
      <c r="D565" s="153" t="str">
        <v/>
      </c>
      <c r="E565" s="153" t="str">
        <v/>
      </c>
      <c r="F565" s="153" t="str">
        <v/>
      </c>
      <c r="G565" s="153" t="str">
        <v/>
      </c>
      <c r="H565" s="153" t="str">
        <v/>
      </c>
      <c r="I565" s="153" t="str">
        <v/>
      </c>
      <c r="J565" s="153" t="str">
        <v/>
      </c>
      <c r="K565" s="153" t="str">
        <v/>
      </c>
      <c r="L565" s="153" t="str">
        <v/>
      </c>
      <c r="M565" s="153" t="str">
        <v/>
      </c>
      <c r="N565" s="153" t="str">
        <v/>
      </c>
      <c r="O565" s="153" t="str">
        <v/>
      </c>
      <c r="P565" s="153" t="str">
        <v/>
      </c>
    </row>
    <row r="566" spans="1:16" x14ac:dyDescent="0.2">
      <c r="A566" s="58" t="str">
        <v/>
      </c>
      <c r="B566" s="131" t="str">
        <f>IFERROR(TIMEVALUE(DaqBook_RAW_Data!Q556),IFERROR(TIMEVALUE(DaqBook_RAW_Data!A556),""))</f>
        <v/>
      </c>
      <c r="C566" s="153" t="str">
        <v/>
      </c>
      <c r="D566" s="153" t="str">
        <v/>
      </c>
      <c r="E566" s="153" t="str">
        <v/>
      </c>
      <c r="F566" s="153" t="str">
        <v/>
      </c>
      <c r="G566" s="153" t="str">
        <v/>
      </c>
      <c r="H566" s="153" t="str">
        <v/>
      </c>
      <c r="I566" s="153" t="str">
        <v/>
      </c>
      <c r="J566" s="153" t="str">
        <v/>
      </c>
      <c r="K566" s="153" t="str">
        <v/>
      </c>
      <c r="L566" s="153" t="str">
        <v/>
      </c>
      <c r="M566" s="153" t="str">
        <v/>
      </c>
      <c r="N566" s="153" t="str">
        <v/>
      </c>
      <c r="O566" s="153" t="str">
        <v/>
      </c>
      <c r="P566" s="153" t="str">
        <v/>
      </c>
    </row>
    <row r="567" spans="1:16" x14ac:dyDescent="0.2">
      <c r="A567" s="58" t="str">
        <v/>
      </c>
      <c r="B567" s="131" t="str">
        <f>IFERROR(TIMEVALUE(DaqBook_RAW_Data!Q557),IFERROR(TIMEVALUE(DaqBook_RAW_Data!A557),""))</f>
        <v/>
      </c>
      <c r="C567" s="153" t="str">
        <v/>
      </c>
      <c r="D567" s="153" t="str">
        <v/>
      </c>
      <c r="E567" s="153" t="str">
        <v/>
      </c>
      <c r="F567" s="153" t="str">
        <v/>
      </c>
      <c r="G567" s="153" t="str">
        <v/>
      </c>
      <c r="H567" s="153" t="str">
        <v/>
      </c>
      <c r="I567" s="153" t="str">
        <v/>
      </c>
      <c r="J567" s="153" t="str">
        <v/>
      </c>
      <c r="K567" s="153" t="str">
        <v/>
      </c>
      <c r="L567" s="153" t="str">
        <v/>
      </c>
      <c r="M567" s="153" t="str">
        <v/>
      </c>
      <c r="N567" s="153" t="str">
        <v/>
      </c>
      <c r="O567" s="153" t="str">
        <v/>
      </c>
      <c r="P567" s="153" t="str">
        <v/>
      </c>
    </row>
    <row r="568" spans="1:16" x14ac:dyDescent="0.2">
      <c r="A568" s="58" t="str">
        <v/>
      </c>
      <c r="B568" s="131" t="str">
        <f>IFERROR(TIMEVALUE(DaqBook_RAW_Data!Q558),IFERROR(TIMEVALUE(DaqBook_RAW_Data!A558),""))</f>
        <v/>
      </c>
      <c r="C568" s="153" t="str">
        <v/>
      </c>
      <c r="D568" s="153" t="str">
        <v/>
      </c>
      <c r="E568" s="153" t="str">
        <v/>
      </c>
      <c r="F568" s="153" t="str">
        <v/>
      </c>
      <c r="G568" s="153" t="str">
        <v/>
      </c>
      <c r="H568" s="153" t="str">
        <v/>
      </c>
      <c r="I568" s="153" t="str">
        <v/>
      </c>
      <c r="J568" s="153" t="str">
        <v/>
      </c>
      <c r="K568" s="153" t="str">
        <v/>
      </c>
      <c r="L568" s="153" t="str">
        <v/>
      </c>
      <c r="M568" s="153" t="str">
        <v/>
      </c>
      <c r="N568" s="153" t="str">
        <v/>
      </c>
      <c r="O568" s="153" t="str">
        <v/>
      </c>
      <c r="P568" s="153" t="str">
        <v/>
      </c>
    </row>
    <row r="569" spans="1:16" x14ac:dyDescent="0.2">
      <c r="A569" s="58" t="str">
        <v/>
      </c>
      <c r="B569" s="131" t="str">
        <f>IFERROR(TIMEVALUE(DaqBook_RAW_Data!Q559),IFERROR(TIMEVALUE(DaqBook_RAW_Data!A559),""))</f>
        <v/>
      </c>
      <c r="C569" s="153" t="str">
        <v/>
      </c>
      <c r="D569" s="153" t="str">
        <v/>
      </c>
      <c r="E569" s="153" t="str">
        <v/>
      </c>
      <c r="F569" s="153" t="str">
        <v/>
      </c>
      <c r="G569" s="153" t="str">
        <v/>
      </c>
      <c r="H569" s="153" t="str">
        <v/>
      </c>
      <c r="I569" s="153" t="str">
        <v/>
      </c>
      <c r="J569" s="153" t="str">
        <v/>
      </c>
      <c r="K569" s="153" t="str">
        <v/>
      </c>
      <c r="L569" s="153" t="str">
        <v/>
      </c>
      <c r="M569" s="153" t="str">
        <v/>
      </c>
      <c r="N569" s="153" t="str">
        <v/>
      </c>
      <c r="O569" s="153" t="str">
        <v/>
      </c>
      <c r="P569" s="153" t="str">
        <v/>
      </c>
    </row>
    <row r="570" spans="1:16" x14ac:dyDescent="0.2">
      <c r="A570" s="58" t="str">
        <v/>
      </c>
      <c r="B570" s="131" t="str">
        <f>IFERROR(TIMEVALUE(DaqBook_RAW_Data!Q560),IFERROR(TIMEVALUE(DaqBook_RAW_Data!A560),""))</f>
        <v/>
      </c>
      <c r="C570" s="153" t="str">
        <v/>
      </c>
      <c r="D570" s="153" t="str">
        <v/>
      </c>
      <c r="E570" s="153" t="str">
        <v/>
      </c>
      <c r="F570" s="153" t="str">
        <v/>
      </c>
      <c r="G570" s="153" t="str">
        <v/>
      </c>
      <c r="H570" s="153" t="str">
        <v/>
      </c>
      <c r="I570" s="153" t="str">
        <v/>
      </c>
      <c r="J570" s="153" t="str">
        <v/>
      </c>
      <c r="K570" s="153" t="str">
        <v/>
      </c>
      <c r="L570" s="153" t="str">
        <v/>
      </c>
      <c r="M570" s="153" t="str">
        <v/>
      </c>
      <c r="N570" s="153" t="str">
        <v/>
      </c>
      <c r="O570" s="153" t="str">
        <v/>
      </c>
      <c r="P570" s="153" t="str">
        <v/>
      </c>
    </row>
    <row r="571" spans="1:16" x14ac:dyDescent="0.2">
      <c r="A571" s="58" t="str">
        <v/>
      </c>
      <c r="B571" s="131" t="str">
        <f>IFERROR(TIMEVALUE(DaqBook_RAW_Data!Q561),IFERROR(TIMEVALUE(DaqBook_RAW_Data!A561),""))</f>
        <v/>
      </c>
      <c r="C571" s="153" t="str">
        <v/>
      </c>
      <c r="D571" s="153" t="str">
        <v/>
      </c>
      <c r="E571" s="153" t="str">
        <v/>
      </c>
      <c r="F571" s="153" t="str">
        <v/>
      </c>
      <c r="G571" s="153" t="str">
        <v/>
      </c>
      <c r="H571" s="153" t="str">
        <v/>
      </c>
      <c r="I571" s="153" t="str">
        <v/>
      </c>
      <c r="J571" s="153" t="str">
        <v/>
      </c>
      <c r="K571" s="153" t="str">
        <v/>
      </c>
      <c r="L571" s="153" t="str">
        <v/>
      </c>
      <c r="M571" s="153" t="str">
        <v/>
      </c>
      <c r="N571" s="153" t="str">
        <v/>
      </c>
      <c r="O571" s="153" t="str">
        <v/>
      </c>
      <c r="P571" s="153" t="str">
        <v/>
      </c>
    </row>
    <row r="572" spans="1:16" x14ac:dyDescent="0.2">
      <c r="A572" s="58" t="str">
        <v/>
      </c>
      <c r="B572" s="131" t="str">
        <f>IFERROR(TIMEVALUE(DaqBook_RAW_Data!Q562),IFERROR(TIMEVALUE(DaqBook_RAW_Data!A562),""))</f>
        <v/>
      </c>
      <c r="C572" s="153" t="str">
        <v/>
      </c>
      <c r="D572" s="153" t="str">
        <v/>
      </c>
      <c r="E572" s="153" t="str">
        <v/>
      </c>
      <c r="F572" s="153" t="str">
        <v/>
      </c>
      <c r="G572" s="153" t="str">
        <v/>
      </c>
      <c r="H572" s="153" t="str">
        <v/>
      </c>
      <c r="I572" s="153" t="str">
        <v/>
      </c>
      <c r="J572" s="153" t="str">
        <v/>
      </c>
      <c r="K572" s="153" t="str">
        <v/>
      </c>
      <c r="L572" s="153" t="str">
        <v/>
      </c>
      <c r="M572" s="153" t="str">
        <v/>
      </c>
      <c r="N572" s="153" t="str">
        <v/>
      </c>
      <c r="O572" s="153" t="str">
        <v/>
      </c>
      <c r="P572" s="153" t="str">
        <v/>
      </c>
    </row>
    <row r="573" spans="1:16" x14ac:dyDescent="0.2">
      <c r="A573" s="58" t="str">
        <v/>
      </c>
      <c r="B573" s="131" t="str">
        <f>IFERROR(TIMEVALUE(DaqBook_RAW_Data!Q563),IFERROR(TIMEVALUE(DaqBook_RAW_Data!A563),""))</f>
        <v/>
      </c>
      <c r="C573" s="153" t="str">
        <v/>
      </c>
      <c r="D573" s="153" t="str">
        <v/>
      </c>
      <c r="E573" s="153" t="str">
        <v/>
      </c>
      <c r="F573" s="153" t="str">
        <v/>
      </c>
      <c r="G573" s="153" t="str">
        <v/>
      </c>
      <c r="H573" s="153" t="str">
        <v/>
      </c>
      <c r="I573" s="153" t="str">
        <v/>
      </c>
      <c r="J573" s="153" t="str">
        <v/>
      </c>
      <c r="K573" s="153" t="str">
        <v/>
      </c>
      <c r="L573" s="153" t="str">
        <v/>
      </c>
      <c r="M573" s="153" t="str">
        <v/>
      </c>
      <c r="N573" s="153" t="str">
        <v/>
      </c>
      <c r="O573" s="153" t="str">
        <v/>
      </c>
      <c r="P573" s="153" t="str">
        <v/>
      </c>
    </row>
    <row r="574" spans="1:16" x14ac:dyDescent="0.2">
      <c r="A574" s="58" t="str">
        <v/>
      </c>
      <c r="B574" s="131" t="str">
        <f>IFERROR(TIMEVALUE(DaqBook_RAW_Data!Q564),IFERROR(TIMEVALUE(DaqBook_RAW_Data!A564),""))</f>
        <v/>
      </c>
      <c r="C574" s="153" t="str">
        <v/>
      </c>
      <c r="D574" s="153" t="str">
        <v/>
      </c>
      <c r="E574" s="153" t="str">
        <v/>
      </c>
      <c r="F574" s="153" t="str">
        <v/>
      </c>
      <c r="G574" s="153" t="str">
        <v/>
      </c>
      <c r="H574" s="153" t="str">
        <v/>
      </c>
      <c r="I574" s="153" t="str">
        <v/>
      </c>
      <c r="J574" s="153" t="str">
        <v/>
      </c>
      <c r="K574" s="153" t="str">
        <v/>
      </c>
      <c r="L574" s="153" t="str">
        <v/>
      </c>
      <c r="M574" s="153" t="str">
        <v/>
      </c>
      <c r="N574" s="153" t="str">
        <v/>
      </c>
      <c r="O574" s="153" t="str">
        <v/>
      </c>
      <c r="P574" s="153" t="str">
        <v/>
      </c>
    </row>
    <row r="575" spans="1:16" x14ac:dyDescent="0.2">
      <c r="A575" s="58" t="str">
        <v/>
      </c>
      <c r="B575" s="131" t="str">
        <f>IFERROR(TIMEVALUE(DaqBook_RAW_Data!Q565),IFERROR(TIMEVALUE(DaqBook_RAW_Data!A565),""))</f>
        <v/>
      </c>
      <c r="C575" s="153" t="str">
        <v/>
      </c>
      <c r="D575" s="153" t="str">
        <v/>
      </c>
      <c r="E575" s="153" t="str">
        <v/>
      </c>
      <c r="F575" s="153" t="str">
        <v/>
      </c>
      <c r="G575" s="153" t="str">
        <v/>
      </c>
      <c r="H575" s="153" t="str">
        <v/>
      </c>
      <c r="I575" s="153" t="str">
        <v/>
      </c>
      <c r="J575" s="153" t="str">
        <v/>
      </c>
      <c r="K575" s="153" t="str">
        <v/>
      </c>
      <c r="L575" s="153" t="str">
        <v/>
      </c>
      <c r="M575" s="153" t="str">
        <v/>
      </c>
      <c r="N575" s="153" t="str">
        <v/>
      </c>
      <c r="O575" s="153" t="str">
        <v/>
      </c>
      <c r="P575" s="153" t="str">
        <v/>
      </c>
    </row>
    <row r="576" spans="1:16" x14ac:dyDescent="0.2">
      <c r="A576" s="58" t="str">
        <v/>
      </c>
      <c r="B576" s="131" t="str">
        <f>IFERROR(TIMEVALUE(DaqBook_RAW_Data!Q566),IFERROR(TIMEVALUE(DaqBook_RAW_Data!A566),""))</f>
        <v/>
      </c>
      <c r="C576" s="153" t="str">
        <v/>
      </c>
      <c r="D576" s="153" t="str">
        <v/>
      </c>
      <c r="E576" s="153" t="str">
        <v/>
      </c>
      <c r="F576" s="153" t="str">
        <v/>
      </c>
      <c r="G576" s="153" t="str">
        <v/>
      </c>
      <c r="H576" s="153" t="str">
        <v/>
      </c>
      <c r="I576" s="153" t="str">
        <v/>
      </c>
      <c r="J576" s="153" t="str">
        <v/>
      </c>
      <c r="K576" s="153" t="str">
        <v/>
      </c>
      <c r="L576" s="153" t="str">
        <v/>
      </c>
      <c r="M576" s="153" t="str">
        <v/>
      </c>
      <c r="N576" s="153" t="str">
        <v/>
      </c>
      <c r="O576" s="153" t="str">
        <v/>
      </c>
      <c r="P576" s="153" t="str">
        <v/>
      </c>
    </row>
    <row r="577" spans="1:16" x14ac:dyDescent="0.2">
      <c r="A577" s="58" t="str">
        <v/>
      </c>
      <c r="B577" s="131" t="str">
        <f>IFERROR(TIMEVALUE(DaqBook_RAW_Data!Q567),IFERROR(TIMEVALUE(DaqBook_RAW_Data!A567),""))</f>
        <v/>
      </c>
      <c r="C577" s="153" t="str">
        <v/>
      </c>
      <c r="D577" s="153" t="str">
        <v/>
      </c>
      <c r="E577" s="153" t="str">
        <v/>
      </c>
      <c r="F577" s="153" t="str">
        <v/>
      </c>
      <c r="G577" s="153" t="str">
        <v/>
      </c>
      <c r="H577" s="153" t="str">
        <v/>
      </c>
      <c r="I577" s="153" t="str">
        <v/>
      </c>
      <c r="J577" s="153" t="str">
        <v/>
      </c>
      <c r="K577" s="153" t="str">
        <v/>
      </c>
      <c r="L577" s="153" t="str">
        <v/>
      </c>
      <c r="M577" s="153" t="str">
        <v/>
      </c>
      <c r="N577" s="153" t="str">
        <v/>
      </c>
      <c r="O577" s="153" t="str">
        <v/>
      </c>
      <c r="P577" s="153" t="str">
        <v/>
      </c>
    </row>
    <row r="578" spans="1:16" x14ac:dyDescent="0.2">
      <c r="A578" s="58" t="str">
        <v/>
      </c>
      <c r="B578" s="131" t="str">
        <f>IFERROR(TIMEVALUE(DaqBook_RAW_Data!Q568),IFERROR(TIMEVALUE(DaqBook_RAW_Data!A568),""))</f>
        <v/>
      </c>
      <c r="C578" s="153" t="str">
        <v/>
      </c>
      <c r="D578" s="153" t="str">
        <v/>
      </c>
      <c r="E578" s="153" t="str">
        <v/>
      </c>
      <c r="F578" s="153" t="str">
        <v/>
      </c>
      <c r="G578" s="153" t="str">
        <v/>
      </c>
      <c r="H578" s="153" t="str">
        <v/>
      </c>
      <c r="I578" s="153" t="str">
        <v/>
      </c>
      <c r="J578" s="153" t="str">
        <v/>
      </c>
      <c r="K578" s="153" t="str">
        <v/>
      </c>
      <c r="L578" s="153" t="str">
        <v/>
      </c>
      <c r="M578" s="153" t="str">
        <v/>
      </c>
      <c r="N578" s="153" t="str">
        <v/>
      </c>
      <c r="O578" s="153" t="str">
        <v/>
      </c>
      <c r="P578" s="153" t="str">
        <v/>
      </c>
    </row>
    <row r="579" spans="1:16" x14ac:dyDescent="0.2">
      <c r="A579" s="58" t="str">
        <v/>
      </c>
      <c r="B579" s="131" t="str">
        <f>IFERROR(TIMEVALUE(DaqBook_RAW_Data!Q569),IFERROR(TIMEVALUE(DaqBook_RAW_Data!A569),""))</f>
        <v/>
      </c>
      <c r="C579" s="153" t="str">
        <v/>
      </c>
      <c r="D579" s="153" t="str">
        <v/>
      </c>
      <c r="E579" s="153" t="str">
        <v/>
      </c>
      <c r="F579" s="153" t="str">
        <v/>
      </c>
      <c r="G579" s="153" t="str">
        <v/>
      </c>
      <c r="H579" s="153" t="str">
        <v/>
      </c>
      <c r="I579" s="153" t="str">
        <v/>
      </c>
      <c r="J579" s="153" t="str">
        <v/>
      </c>
      <c r="K579" s="153" t="str">
        <v/>
      </c>
      <c r="L579" s="153" t="str">
        <v/>
      </c>
      <c r="M579" s="153" t="str">
        <v/>
      </c>
      <c r="N579" s="153" t="str">
        <v/>
      </c>
      <c r="O579" s="153" t="str">
        <v/>
      </c>
      <c r="P579" s="153" t="str">
        <v/>
      </c>
    </row>
    <row r="580" spans="1:16" x14ac:dyDescent="0.2">
      <c r="A580" s="58" t="str">
        <v/>
      </c>
      <c r="B580" s="131" t="str">
        <f>IFERROR(TIMEVALUE(DaqBook_RAW_Data!Q570),IFERROR(TIMEVALUE(DaqBook_RAW_Data!A570),""))</f>
        <v/>
      </c>
      <c r="C580" s="153" t="str">
        <v/>
      </c>
      <c r="D580" s="153" t="str">
        <v/>
      </c>
      <c r="E580" s="153" t="str">
        <v/>
      </c>
      <c r="F580" s="153" t="str">
        <v/>
      </c>
      <c r="G580" s="153" t="str">
        <v/>
      </c>
      <c r="H580" s="153" t="str">
        <v/>
      </c>
      <c r="I580" s="153" t="str">
        <v/>
      </c>
      <c r="J580" s="153" t="str">
        <v/>
      </c>
      <c r="K580" s="153" t="str">
        <v/>
      </c>
      <c r="L580" s="153" t="str">
        <v/>
      </c>
      <c r="M580" s="153" t="str">
        <v/>
      </c>
      <c r="N580" s="153" t="str">
        <v/>
      </c>
      <c r="O580" s="153" t="str">
        <v/>
      </c>
      <c r="P580" s="153" t="str">
        <v/>
      </c>
    </row>
    <row r="581" spans="1:16" x14ac:dyDescent="0.2">
      <c r="A581" s="58" t="str">
        <v/>
      </c>
      <c r="B581" s="131" t="str">
        <f>IFERROR(TIMEVALUE(DaqBook_RAW_Data!Q571),IFERROR(TIMEVALUE(DaqBook_RAW_Data!A571),""))</f>
        <v/>
      </c>
      <c r="C581" s="153" t="str">
        <v/>
      </c>
      <c r="D581" s="153" t="str">
        <v/>
      </c>
      <c r="E581" s="153" t="str">
        <v/>
      </c>
      <c r="F581" s="153" t="str">
        <v/>
      </c>
      <c r="G581" s="153" t="str">
        <v/>
      </c>
      <c r="H581" s="153" t="str">
        <v/>
      </c>
      <c r="I581" s="153" t="str">
        <v/>
      </c>
      <c r="J581" s="153" t="str">
        <v/>
      </c>
      <c r="K581" s="153" t="str">
        <v/>
      </c>
      <c r="L581" s="153" t="str">
        <v/>
      </c>
      <c r="M581" s="153" t="str">
        <v/>
      </c>
      <c r="N581" s="153" t="str">
        <v/>
      </c>
      <c r="O581" s="153" t="str">
        <v/>
      </c>
      <c r="P581" s="153" t="str">
        <v/>
      </c>
    </row>
    <row r="582" spans="1:16" x14ac:dyDescent="0.2">
      <c r="A582" s="58" t="str">
        <v/>
      </c>
      <c r="B582" s="131" t="str">
        <f>IFERROR(TIMEVALUE(DaqBook_RAW_Data!Q572),IFERROR(TIMEVALUE(DaqBook_RAW_Data!A572),""))</f>
        <v/>
      </c>
      <c r="C582" s="153" t="str">
        <v/>
      </c>
      <c r="D582" s="153" t="str">
        <v/>
      </c>
      <c r="E582" s="153" t="str">
        <v/>
      </c>
      <c r="F582" s="153" t="str">
        <v/>
      </c>
      <c r="G582" s="153" t="str">
        <v/>
      </c>
      <c r="H582" s="153" t="str">
        <v/>
      </c>
      <c r="I582" s="153" t="str">
        <v/>
      </c>
      <c r="J582" s="153" t="str">
        <v/>
      </c>
      <c r="K582" s="153" t="str">
        <v/>
      </c>
      <c r="L582" s="153" t="str">
        <v/>
      </c>
      <c r="M582" s="153" t="str">
        <v/>
      </c>
      <c r="N582" s="153" t="str">
        <v/>
      </c>
      <c r="O582" s="153" t="str">
        <v/>
      </c>
      <c r="P582" s="153" t="str">
        <v/>
      </c>
    </row>
    <row r="583" spans="1:16" x14ac:dyDescent="0.2">
      <c r="A583" s="58" t="str">
        <v/>
      </c>
      <c r="B583" s="131" t="str">
        <f>IFERROR(TIMEVALUE(DaqBook_RAW_Data!Q573),IFERROR(TIMEVALUE(DaqBook_RAW_Data!A573),""))</f>
        <v/>
      </c>
      <c r="C583" s="153" t="str">
        <v/>
      </c>
      <c r="D583" s="153" t="str">
        <v/>
      </c>
      <c r="E583" s="153" t="str">
        <v/>
      </c>
      <c r="F583" s="153" t="str">
        <v/>
      </c>
      <c r="G583" s="153" t="str">
        <v/>
      </c>
      <c r="H583" s="153" t="str">
        <v/>
      </c>
      <c r="I583" s="153" t="str">
        <v/>
      </c>
      <c r="J583" s="153" t="str">
        <v/>
      </c>
      <c r="K583" s="153" t="str">
        <v/>
      </c>
      <c r="L583" s="153" t="str">
        <v/>
      </c>
      <c r="M583" s="153" t="str">
        <v/>
      </c>
      <c r="N583" s="153" t="str">
        <v/>
      </c>
      <c r="O583" s="153" t="str">
        <v/>
      </c>
      <c r="P583" s="153" t="str">
        <v/>
      </c>
    </row>
    <row r="584" spans="1:16" x14ac:dyDescent="0.2">
      <c r="A584" s="58" t="str">
        <v/>
      </c>
      <c r="B584" s="131" t="str">
        <f>IFERROR(TIMEVALUE(DaqBook_RAW_Data!Q574),IFERROR(TIMEVALUE(DaqBook_RAW_Data!A574),""))</f>
        <v/>
      </c>
      <c r="C584" s="153" t="str">
        <v/>
      </c>
      <c r="D584" s="153" t="str">
        <v/>
      </c>
      <c r="E584" s="153" t="str">
        <v/>
      </c>
      <c r="F584" s="153" t="str">
        <v/>
      </c>
      <c r="G584" s="153" t="str">
        <v/>
      </c>
      <c r="H584" s="153" t="str">
        <v/>
      </c>
      <c r="I584" s="153" t="str">
        <v/>
      </c>
      <c r="J584" s="153" t="str">
        <v/>
      </c>
      <c r="K584" s="153" t="str">
        <v/>
      </c>
      <c r="L584" s="153" t="str">
        <v/>
      </c>
      <c r="M584" s="153" t="str">
        <v/>
      </c>
      <c r="N584" s="153" t="str">
        <v/>
      </c>
      <c r="O584" s="153" t="str">
        <v/>
      </c>
      <c r="P584" s="153" t="str">
        <v/>
      </c>
    </row>
    <row r="585" spans="1:16" x14ac:dyDescent="0.2">
      <c r="A585" s="58" t="str">
        <v/>
      </c>
      <c r="B585" s="131" t="str">
        <f>IFERROR(TIMEVALUE(DaqBook_RAW_Data!Q575),IFERROR(TIMEVALUE(DaqBook_RAW_Data!A575),""))</f>
        <v/>
      </c>
      <c r="C585" s="153" t="str">
        <v/>
      </c>
      <c r="D585" s="153" t="str">
        <v/>
      </c>
      <c r="E585" s="153" t="str">
        <v/>
      </c>
      <c r="F585" s="153" t="str">
        <v/>
      </c>
      <c r="G585" s="153" t="str">
        <v/>
      </c>
      <c r="H585" s="153" t="str">
        <v/>
      </c>
      <c r="I585" s="153" t="str">
        <v/>
      </c>
      <c r="J585" s="153" t="str">
        <v/>
      </c>
      <c r="K585" s="153" t="str">
        <v/>
      </c>
      <c r="L585" s="153" t="str">
        <v/>
      </c>
      <c r="M585" s="153" t="str">
        <v/>
      </c>
      <c r="N585" s="153" t="str">
        <v/>
      </c>
      <c r="O585" s="153" t="str">
        <v/>
      </c>
      <c r="P585" s="153" t="str">
        <v/>
      </c>
    </row>
    <row r="586" spans="1:16" x14ac:dyDescent="0.2">
      <c r="A586" s="58" t="str">
        <v/>
      </c>
      <c r="B586" s="131" t="str">
        <f>IFERROR(TIMEVALUE(DaqBook_RAW_Data!Q576),IFERROR(TIMEVALUE(DaqBook_RAW_Data!A576),""))</f>
        <v/>
      </c>
      <c r="C586" s="153" t="str">
        <v/>
      </c>
      <c r="D586" s="153" t="str">
        <v/>
      </c>
      <c r="E586" s="153" t="str">
        <v/>
      </c>
      <c r="F586" s="153" t="str">
        <v/>
      </c>
      <c r="G586" s="153" t="str">
        <v/>
      </c>
      <c r="H586" s="153" t="str">
        <v/>
      </c>
      <c r="I586" s="153" t="str">
        <v/>
      </c>
      <c r="J586" s="153" t="str">
        <v/>
      </c>
      <c r="K586" s="153" t="str">
        <v/>
      </c>
      <c r="L586" s="153" t="str">
        <v/>
      </c>
      <c r="M586" s="153" t="str">
        <v/>
      </c>
      <c r="N586" s="153" t="str">
        <v/>
      </c>
      <c r="O586" s="153" t="str">
        <v/>
      </c>
      <c r="P586" s="153" t="str">
        <v/>
      </c>
    </row>
    <row r="587" spans="1:16" x14ac:dyDescent="0.2">
      <c r="A587" s="58" t="str">
        <v/>
      </c>
      <c r="B587" s="131" t="str">
        <f>IFERROR(TIMEVALUE(DaqBook_RAW_Data!Q577),IFERROR(TIMEVALUE(DaqBook_RAW_Data!A577),""))</f>
        <v/>
      </c>
      <c r="C587" s="153" t="str">
        <v/>
      </c>
      <c r="D587" s="153" t="str">
        <v/>
      </c>
      <c r="E587" s="153" t="str">
        <v/>
      </c>
      <c r="F587" s="153" t="str">
        <v/>
      </c>
      <c r="G587" s="153" t="str">
        <v/>
      </c>
      <c r="H587" s="153" t="str">
        <v/>
      </c>
      <c r="I587" s="153" t="str">
        <v/>
      </c>
      <c r="J587" s="153" t="str">
        <v/>
      </c>
      <c r="K587" s="153" t="str">
        <v/>
      </c>
      <c r="L587" s="153" t="str">
        <v/>
      </c>
      <c r="M587" s="153" t="str">
        <v/>
      </c>
      <c r="N587" s="153" t="str">
        <v/>
      </c>
      <c r="O587" s="153" t="str">
        <v/>
      </c>
      <c r="P587" s="153" t="str">
        <v/>
      </c>
    </row>
    <row r="588" spans="1:16" x14ac:dyDescent="0.2">
      <c r="A588" s="58" t="str">
        <v/>
      </c>
      <c r="B588" s="131" t="str">
        <f>IFERROR(TIMEVALUE(DaqBook_RAW_Data!Q578),IFERROR(TIMEVALUE(DaqBook_RAW_Data!A578),""))</f>
        <v/>
      </c>
      <c r="C588" s="153" t="str">
        <v/>
      </c>
      <c r="D588" s="153" t="str">
        <v/>
      </c>
      <c r="E588" s="153" t="str">
        <v/>
      </c>
      <c r="F588" s="153" t="str">
        <v/>
      </c>
      <c r="G588" s="153" t="str">
        <v/>
      </c>
      <c r="H588" s="153" t="str">
        <v/>
      </c>
      <c r="I588" s="153" t="str">
        <v/>
      </c>
      <c r="J588" s="153" t="str">
        <v/>
      </c>
      <c r="K588" s="153" t="str">
        <v/>
      </c>
      <c r="L588" s="153" t="str">
        <v/>
      </c>
      <c r="M588" s="153" t="str">
        <v/>
      </c>
      <c r="N588" s="153" t="str">
        <v/>
      </c>
      <c r="O588" s="153" t="str">
        <v/>
      </c>
      <c r="P588" s="153" t="str">
        <v/>
      </c>
    </row>
    <row r="589" spans="1:16" x14ac:dyDescent="0.2">
      <c r="A589" s="58" t="str">
        <v/>
      </c>
      <c r="B589" s="131" t="str">
        <f>IFERROR(TIMEVALUE(DaqBook_RAW_Data!Q579),IFERROR(TIMEVALUE(DaqBook_RAW_Data!A579),""))</f>
        <v/>
      </c>
      <c r="C589" s="153" t="str">
        <v/>
      </c>
      <c r="D589" s="153" t="str">
        <v/>
      </c>
      <c r="E589" s="153" t="str">
        <v/>
      </c>
      <c r="F589" s="153" t="str">
        <v/>
      </c>
      <c r="G589" s="153" t="str">
        <v/>
      </c>
      <c r="H589" s="153" t="str">
        <v/>
      </c>
      <c r="I589" s="153" t="str">
        <v/>
      </c>
      <c r="J589" s="153" t="str">
        <v/>
      </c>
      <c r="K589" s="153" t="str">
        <v/>
      </c>
      <c r="L589" s="153" t="str">
        <v/>
      </c>
      <c r="M589" s="153" t="str">
        <v/>
      </c>
      <c r="N589" s="153" t="str">
        <v/>
      </c>
      <c r="O589" s="153" t="str">
        <v/>
      </c>
      <c r="P589" s="153" t="str">
        <v/>
      </c>
    </row>
    <row r="590" spans="1:16" x14ac:dyDescent="0.2">
      <c r="A590" s="58" t="str">
        <v/>
      </c>
      <c r="B590" s="131" t="str">
        <f>IFERROR(TIMEVALUE(DaqBook_RAW_Data!Q580),IFERROR(TIMEVALUE(DaqBook_RAW_Data!A580),""))</f>
        <v/>
      </c>
      <c r="C590" s="153" t="str">
        <v/>
      </c>
      <c r="D590" s="153" t="str">
        <v/>
      </c>
      <c r="E590" s="153" t="str">
        <v/>
      </c>
      <c r="F590" s="153" t="str">
        <v/>
      </c>
      <c r="G590" s="153" t="str">
        <v/>
      </c>
      <c r="H590" s="153" t="str">
        <v/>
      </c>
      <c r="I590" s="153" t="str">
        <v/>
      </c>
      <c r="J590" s="153" t="str">
        <v/>
      </c>
      <c r="K590" s="153" t="str">
        <v/>
      </c>
      <c r="L590" s="153" t="str">
        <v/>
      </c>
      <c r="M590" s="153" t="str">
        <v/>
      </c>
      <c r="N590" s="153" t="str">
        <v/>
      </c>
      <c r="O590" s="153" t="str">
        <v/>
      </c>
      <c r="P590" s="153" t="str">
        <v/>
      </c>
    </row>
    <row r="591" spans="1:16" x14ac:dyDescent="0.2">
      <c r="A591" s="58" t="str">
        <v/>
      </c>
      <c r="B591" s="131" t="str">
        <f>IFERROR(TIMEVALUE(DaqBook_RAW_Data!Q581),IFERROR(TIMEVALUE(DaqBook_RAW_Data!A581),""))</f>
        <v/>
      </c>
      <c r="C591" s="153" t="str">
        <v/>
      </c>
      <c r="D591" s="153" t="str">
        <v/>
      </c>
      <c r="E591" s="153" t="str">
        <v/>
      </c>
      <c r="F591" s="153" t="str">
        <v/>
      </c>
      <c r="G591" s="153" t="str">
        <v/>
      </c>
      <c r="H591" s="153" t="str">
        <v/>
      </c>
      <c r="I591" s="153" t="str">
        <v/>
      </c>
      <c r="J591" s="153" t="str">
        <v/>
      </c>
      <c r="K591" s="153" t="str">
        <v/>
      </c>
      <c r="L591" s="153" t="str">
        <v/>
      </c>
      <c r="M591" s="153" t="str">
        <v/>
      </c>
      <c r="N591" s="153" t="str">
        <v/>
      </c>
      <c r="O591" s="153" t="str">
        <v/>
      </c>
      <c r="P591" s="153" t="str">
        <v/>
      </c>
    </row>
    <row r="592" spans="1:16" x14ac:dyDescent="0.2">
      <c r="A592" s="58" t="str">
        <v/>
      </c>
      <c r="B592" s="131" t="str">
        <f>IFERROR(TIMEVALUE(DaqBook_RAW_Data!Q582),IFERROR(TIMEVALUE(DaqBook_RAW_Data!A582),""))</f>
        <v/>
      </c>
      <c r="C592" s="153" t="str">
        <v/>
      </c>
      <c r="D592" s="153" t="str">
        <v/>
      </c>
      <c r="E592" s="153" t="str">
        <v/>
      </c>
      <c r="F592" s="153" t="str">
        <v/>
      </c>
      <c r="G592" s="153" t="str">
        <v/>
      </c>
      <c r="H592" s="153" t="str">
        <v/>
      </c>
      <c r="I592" s="153" t="str">
        <v/>
      </c>
      <c r="J592" s="153" t="str">
        <v/>
      </c>
      <c r="K592" s="153" t="str">
        <v/>
      </c>
      <c r="L592" s="153" t="str">
        <v/>
      </c>
      <c r="M592" s="153" t="str">
        <v/>
      </c>
      <c r="N592" s="153" t="str">
        <v/>
      </c>
      <c r="O592" s="153" t="str">
        <v/>
      </c>
      <c r="P592" s="153" t="str">
        <v/>
      </c>
    </row>
    <row r="593" spans="1:16" x14ac:dyDescent="0.2">
      <c r="A593" s="58" t="str">
        <v/>
      </c>
      <c r="B593" s="131" t="str">
        <f>IFERROR(TIMEVALUE(DaqBook_RAW_Data!Q583),IFERROR(TIMEVALUE(DaqBook_RAW_Data!A583),""))</f>
        <v/>
      </c>
      <c r="C593" s="153" t="str">
        <v/>
      </c>
      <c r="D593" s="153" t="str">
        <v/>
      </c>
      <c r="E593" s="153" t="str">
        <v/>
      </c>
      <c r="F593" s="153" t="str">
        <v/>
      </c>
      <c r="G593" s="153" t="str">
        <v/>
      </c>
      <c r="H593" s="153" t="str">
        <v/>
      </c>
      <c r="I593" s="153" t="str">
        <v/>
      </c>
      <c r="J593" s="153" t="str">
        <v/>
      </c>
      <c r="K593" s="153" t="str">
        <v/>
      </c>
      <c r="L593" s="153" t="str">
        <v/>
      </c>
      <c r="M593" s="153" t="str">
        <v/>
      </c>
      <c r="N593" s="153" t="str">
        <v/>
      </c>
      <c r="O593" s="153" t="str">
        <v/>
      </c>
      <c r="P593" s="153" t="str">
        <v/>
      </c>
    </row>
    <row r="594" spans="1:16" x14ac:dyDescent="0.2">
      <c r="A594" s="58" t="str">
        <v/>
      </c>
      <c r="B594" s="131" t="str">
        <f>IFERROR(TIMEVALUE(DaqBook_RAW_Data!Q584),IFERROR(TIMEVALUE(DaqBook_RAW_Data!A584),""))</f>
        <v/>
      </c>
      <c r="C594" s="153" t="str">
        <v/>
      </c>
      <c r="D594" s="153" t="str">
        <v/>
      </c>
      <c r="E594" s="153" t="str">
        <v/>
      </c>
      <c r="F594" s="153" t="str">
        <v/>
      </c>
      <c r="G594" s="153" t="str">
        <v/>
      </c>
      <c r="H594" s="153" t="str">
        <v/>
      </c>
      <c r="I594" s="153" t="str">
        <v/>
      </c>
      <c r="J594" s="153" t="str">
        <v/>
      </c>
      <c r="K594" s="153" t="str">
        <v/>
      </c>
      <c r="L594" s="153" t="str">
        <v/>
      </c>
      <c r="M594" s="153" t="str">
        <v/>
      </c>
      <c r="N594" s="153" t="str">
        <v/>
      </c>
      <c r="O594" s="153" t="str">
        <v/>
      </c>
      <c r="P594" s="153" t="str">
        <v/>
      </c>
    </row>
    <row r="595" spans="1:16" x14ac:dyDescent="0.2">
      <c r="A595" s="58" t="str">
        <v/>
      </c>
      <c r="B595" s="131" t="str">
        <f>IFERROR(TIMEVALUE(DaqBook_RAW_Data!Q585),IFERROR(TIMEVALUE(DaqBook_RAW_Data!A585),""))</f>
        <v/>
      </c>
      <c r="C595" s="153" t="str">
        <v/>
      </c>
      <c r="D595" s="153" t="str">
        <v/>
      </c>
      <c r="E595" s="153" t="str">
        <v/>
      </c>
      <c r="F595" s="153" t="str">
        <v/>
      </c>
      <c r="G595" s="153" t="str">
        <v/>
      </c>
      <c r="H595" s="153" t="str">
        <v/>
      </c>
      <c r="I595" s="153" t="str">
        <v/>
      </c>
      <c r="J595" s="153" t="str">
        <v/>
      </c>
      <c r="K595" s="153" t="str">
        <v/>
      </c>
      <c r="L595" s="153" t="str">
        <v/>
      </c>
      <c r="M595" s="153" t="str">
        <v/>
      </c>
      <c r="N595" s="153" t="str">
        <v/>
      </c>
      <c r="O595" s="153" t="str">
        <v/>
      </c>
      <c r="P595" s="153" t="str">
        <v/>
      </c>
    </row>
    <row r="596" spans="1:16" x14ac:dyDescent="0.2">
      <c r="A596" s="58" t="str">
        <v/>
      </c>
      <c r="B596" s="131" t="str">
        <f>IFERROR(TIMEVALUE(DaqBook_RAW_Data!Q586),IFERROR(TIMEVALUE(DaqBook_RAW_Data!A586),""))</f>
        <v/>
      </c>
      <c r="C596" s="153" t="str">
        <v/>
      </c>
      <c r="D596" s="153" t="str">
        <v/>
      </c>
      <c r="E596" s="153" t="str">
        <v/>
      </c>
      <c r="F596" s="153" t="str">
        <v/>
      </c>
      <c r="G596" s="153" t="str">
        <v/>
      </c>
      <c r="H596" s="153" t="str">
        <v/>
      </c>
      <c r="I596" s="153" t="str">
        <v/>
      </c>
      <c r="J596" s="153" t="str">
        <v/>
      </c>
      <c r="K596" s="153" t="str">
        <v/>
      </c>
      <c r="L596" s="153" t="str">
        <v/>
      </c>
      <c r="M596" s="153" t="str">
        <v/>
      </c>
      <c r="N596" s="153" t="str">
        <v/>
      </c>
      <c r="O596" s="153" t="str">
        <v/>
      </c>
      <c r="P596" s="153" t="str">
        <v/>
      </c>
    </row>
    <row r="597" spans="1:16" x14ac:dyDescent="0.2">
      <c r="A597" s="58" t="str">
        <v/>
      </c>
      <c r="B597" s="131" t="str">
        <f>IFERROR(TIMEVALUE(DaqBook_RAW_Data!Q587),IFERROR(TIMEVALUE(DaqBook_RAW_Data!A587),""))</f>
        <v/>
      </c>
      <c r="C597" s="153" t="str">
        <v/>
      </c>
      <c r="D597" s="153" t="str">
        <v/>
      </c>
      <c r="E597" s="153" t="str">
        <v/>
      </c>
      <c r="F597" s="153" t="str">
        <v/>
      </c>
      <c r="G597" s="153" t="str">
        <v/>
      </c>
      <c r="H597" s="153" t="str">
        <v/>
      </c>
      <c r="I597" s="153" t="str">
        <v/>
      </c>
      <c r="J597" s="153" t="str">
        <v/>
      </c>
      <c r="K597" s="153" t="str">
        <v/>
      </c>
      <c r="L597" s="153" t="str">
        <v/>
      </c>
      <c r="M597" s="153" t="str">
        <v/>
      </c>
      <c r="N597" s="153" t="str">
        <v/>
      </c>
      <c r="O597" s="153" t="str">
        <v/>
      </c>
      <c r="P597" s="153" t="str">
        <v/>
      </c>
    </row>
    <row r="598" spans="1:16" x14ac:dyDescent="0.2">
      <c r="A598" s="58" t="str">
        <v/>
      </c>
      <c r="B598" s="131" t="str">
        <f>IFERROR(TIMEVALUE(DaqBook_RAW_Data!Q588),IFERROR(TIMEVALUE(DaqBook_RAW_Data!A588),""))</f>
        <v/>
      </c>
      <c r="C598" s="153" t="str">
        <v/>
      </c>
      <c r="D598" s="153" t="str">
        <v/>
      </c>
      <c r="E598" s="153" t="str">
        <v/>
      </c>
      <c r="F598" s="153" t="str">
        <v/>
      </c>
      <c r="G598" s="153" t="str">
        <v/>
      </c>
      <c r="H598" s="153" t="str">
        <v/>
      </c>
      <c r="I598" s="153" t="str">
        <v/>
      </c>
      <c r="J598" s="153" t="str">
        <v/>
      </c>
      <c r="K598" s="153" t="str">
        <v/>
      </c>
      <c r="L598" s="153" t="str">
        <v/>
      </c>
      <c r="M598" s="153" t="str">
        <v/>
      </c>
      <c r="N598" s="153" t="str">
        <v/>
      </c>
      <c r="O598" s="153" t="str">
        <v/>
      </c>
      <c r="P598" s="153" t="str">
        <v/>
      </c>
    </row>
    <row r="599" spans="1:16" x14ac:dyDescent="0.2">
      <c r="A599" s="58" t="str">
        <v/>
      </c>
      <c r="B599" s="131" t="str">
        <f>IFERROR(TIMEVALUE(DaqBook_RAW_Data!Q589),IFERROR(TIMEVALUE(DaqBook_RAW_Data!A589),""))</f>
        <v/>
      </c>
      <c r="C599" s="153" t="str">
        <v/>
      </c>
      <c r="D599" s="153" t="str">
        <v/>
      </c>
      <c r="E599" s="153" t="str">
        <v/>
      </c>
      <c r="F599" s="153" t="str">
        <v/>
      </c>
      <c r="G599" s="153" t="str">
        <v/>
      </c>
      <c r="H599" s="153" t="str">
        <v/>
      </c>
      <c r="I599" s="153" t="str">
        <v/>
      </c>
      <c r="J599" s="153" t="str">
        <v/>
      </c>
      <c r="K599" s="153" t="str">
        <v/>
      </c>
      <c r="L599" s="153" t="str">
        <v/>
      </c>
      <c r="M599" s="153" t="str">
        <v/>
      </c>
      <c r="N599" s="153" t="str">
        <v/>
      </c>
      <c r="O599" s="153" t="str">
        <v/>
      </c>
      <c r="P599" s="153" t="str">
        <v/>
      </c>
    </row>
    <row r="600" spans="1:16" x14ac:dyDescent="0.2">
      <c r="A600" s="58" t="str">
        <v/>
      </c>
      <c r="B600" s="131" t="str">
        <f>IFERROR(TIMEVALUE(DaqBook_RAW_Data!Q590),IFERROR(TIMEVALUE(DaqBook_RAW_Data!A590),""))</f>
        <v/>
      </c>
      <c r="C600" s="153" t="str">
        <v/>
      </c>
      <c r="D600" s="153" t="str">
        <v/>
      </c>
      <c r="E600" s="153" t="str">
        <v/>
      </c>
      <c r="F600" s="153" t="str">
        <v/>
      </c>
      <c r="G600" s="153" t="str">
        <v/>
      </c>
      <c r="H600" s="153" t="str">
        <v/>
      </c>
      <c r="I600" s="153" t="str">
        <v/>
      </c>
      <c r="J600" s="153" t="str">
        <v/>
      </c>
      <c r="K600" s="153" t="str">
        <v/>
      </c>
      <c r="L600" s="153" t="str">
        <v/>
      </c>
      <c r="M600" s="153" t="str">
        <v/>
      </c>
      <c r="N600" s="153" t="str">
        <v/>
      </c>
      <c r="O600" s="153" t="str">
        <v/>
      </c>
      <c r="P600" s="153" t="str">
        <v/>
      </c>
    </row>
    <row r="601" spans="1:16" x14ac:dyDescent="0.2">
      <c r="A601" s="58" t="str">
        <v/>
      </c>
      <c r="B601" s="131" t="str">
        <f>IFERROR(TIMEVALUE(DaqBook_RAW_Data!Q591),IFERROR(TIMEVALUE(DaqBook_RAW_Data!A591),""))</f>
        <v/>
      </c>
      <c r="C601" s="153" t="str">
        <v/>
      </c>
      <c r="D601" s="153" t="str">
        <v/>
      </c>
      <c r="E601" s="153" t="str">
        <v/>
      </c>
      <c r="F601" s="153" t="str">
        <v/>
      </c>
      <c r="G601" s="153" t="str">
        <v/>
      </c>
      <c r="H601" s="153" t="str">
        <v/>
      </c>
      <c r="I601" s="153" t="str">
        <v/>
      </c>
      <c r="J601" s="153" t="str">
        <v/>
      </c>
      <c r="K601" s="153" t="str">
        <v/>
      </c>
      <c r="L601" s="153" t="str">
        <v/>
      </c>
      <c r="M601" s="153" t="str">
        <v/>
      </c>
      <c r="N601" s="153" t="str">
        <v/>
      </c>
      <c r="O601" s="153" t="str">
        <v/>
      </c>
      <c r="P601" s="153" t="str">
        <v/>
      </c>
    </row>
    <row r="602" spans="1:16" x14ac:dyDescent="0.2">
      <c r="A602" s="58" t="str">
        <v/>
      </c>
      <c r="B602" s="131" t="str">
        <f>IFERROR(TIMEVALUE(DaqBook_RAW_Data!Q592),IFERROR(TIMEVALUE(DaqBook_RAW_Data!A592),""))</f>
        <v/>
      </c>
      <c r="C602" s="153" t="str">
        <v/>
      </c>
      <c r="D602" s="153" t="str">
        <v/>
      </c>
      <c r="E602" s="153" t="str">
        <v/>
      </c>
      <c r="F602" s="153" t="str">
        <v/>
      </c>
      <c r="G602" s="153" t="str">
        <v/>
      </c>
      <c r="H602" s="153" t="str">
        <v/>
      </c>
      <c r="I602" s="153" t="str">
        <v/>
      </c>
      <c r="J602" s="153" t="str">
        <v/>
      </c>
      <c r="K602" s="153" t="str">
        <v/>
      </c>
      <c r="L602" s="153" t="str">
        <v/>
      </c>
      <c r="M602" s="153" t="str">
        <v/>
      </c>
      <c r="N602" s="153" t="str">
        <v/>
      </c>
      <c r="O602" s="153" t="str">
        <v/>
      </c>
      <c r="P602" s="153" t="str">
        <v/>
      </c>
    </row>
    <row r="603" spans="1:16" x14ac:dyDescent="0.2">
      <c r="A603" s="58" t="str">
        <v/>
      </c>
      <c r="B603" s="131" t="str">
        <f>IFERROR(TIMEVALUE(DaqBook_RAW_Data!Q593),IFERROR(TIMEVALUE(DaqBook_RAW_Data!A593),""))</f>
        <v/>
      </c>
      <c r="C603" s="153" t="str">
        <v/>
      </c>
      <c r="D603" s="153" t="str">
        <v/>
      </c>
      <c r="E603" s="153" t="str">
        <v/>
      </c>
      <c r="F603" s="153" t="str">
        <v/>
      </c>
      <c r="G603" s="153" t="str">
        <v/>
      </c>
      <c r="H603" s="153" t="str">
        <v/>
      </c>
      <c r="I603" s="153" t="str">
        <v/>
      </c>
      <c r="J603" s="153" t="str">
        <v/>
      </c>
      <c r="K603" s="153" t="str">
        <v/>
      </c>
      <c r="L603" s="153" t="str">
        <v/>
      </c>
      <c r="M603" s="153" t="str">
        <v/>
      </c>
      <c r="N603" s="153" t="str">
        <v/>
      </c>
      <c r="O603" s="153" t="str">
        <v/>
      </c>
      <c r="P603" s="153" t="str">
        <v/>
      </c>
    </row>
    <row r="604" spans="1:16" x14ac:dyDescent="0.2">
      <c r="A604" s="58" t="str">
        <v/>
      </c>
      <c r="B604" s="131" t="str">
        <f>IFERROR(TIMEVALUE(DaqBook_RAW_Data!Q594),IFERROR(TIMEVALUE(DaqBook_RAW_Data!A594),""))</f>
        <v/>
      </c>
      <c r="C604" s="153" t="str">
        <v/>
      </c>
      <c r="D604" s="153" t="str">
        <v/>
      </c>
      <c r="E604" s="153" t="str">
        <v/>
      </c>
      <c r="F604" s="153" t="str">
        <v/>
      </c>
      <c r="G604" s="153" t="str">
        <v/>
      </c>
      <c r="H604" s="153" t="str">
        <v/>
      </c>
      <c r="I604" s="153" t="str">
        <v/>
      </c>
      <c r="J604" s="153" t="str">
        <v/>
      </c>
      <c r="K604" s="153" t="str">
        <v/>
      </c>
      <c r="L604" s="153" t="str">
        <v/>
      </c>
      <c r="M604" s="153" t="str">
        <v/>
      </c>
      <c r="N604" s="153" t="str">
        <v/>
      </c>
      <c r="O604" s="153" t="str">
        <v/>
      </c>
      <c r="P604" s="153" t="str">
        <v/>
      </c>
    </row>
    <row r="605" spans="1:16" x14ac:dyDescent="0.2">
      <c r="A605" s="58" t="str">
        <v/>
      </c>
      <c r="B605" s="131" t="str">
        <f>IFERROR(TIMEVALUE(DaqBook_RAW_Data!Q595),IFERROR(TIMEVALUE(DaqBook_RAW_Data!A595),""))</f>
        <v/>
      </c>
      <c r="C605" s="153" t="str">
        <v/>
      </c>
      <c r="D605" s="153" t="str">
        <v/>
      </c>
      <c r="E605" s="153" t="str">
        <v/>
      </c>
      <c r="F605" s="153" t="str">
        <v/>
      </c>
      <c r="G605" s="153" t="str">
        <v/>
      </c>
      <c r="H605" s="153" t="str">
        <v/>
      </c>
      <c r="I605" s="153" t="str">
        <v/>
      </c>
      <c r="J605" s="153" t="str">
        <v/>
      </c>
      <c r="K605" s="153" t="str">
        <v/>
      </c>
      <c r="L605" s="153" t="str">
        <v/>
      </c>
      <c r="M605" s="153" t="str">
        <v/>
      </c>
      <c r="N605" s="153" t="str">
        <v/>
      </c>
      <c r="O605" s="153" t="str">
        <v/>
      </c>
      <c r="P605" s="153" t="str">
        <v/>
      </c>
    </row>
    <row r="606" spans="1:16" x14ac:dyDescent="0.2">
      <c r="A606" s="58" t="str">
        <v/>
      </c>
      <c r="B606" s="131" t="str">
        <f>IFERROR(TIMEVALUE(DaqBook_RAW_Data!Q596),IFERROR(TIMEVALUE(DaqBook_RAW_Data!A596),""))</f>
        <v/>
      </c>
      <c r="C606" s="153" t="str">
        <v/>
      </c>
      <c r="D606" s="153" t="str">
        <v/>
      </c>
      <c r="E606" s="153" t="str">
        <v/>
      </c>
      <c r="F606" s="153" t="str">
        <v/>
      </c>
      <c r="G606" s="153" t="str">
        <v/>
      </c>
      <c r="H606" s="153" t="str">
        <v/>
      </c>
      <c r="I606" s="153" t="str">
        <v/>
      </c>
      <c r="J606" s="153" t="str">
        <v/>
      </c>
      <c r="K606" s="153" t="str">
        <v/>
      </c>
      <c r="L606" s="153" t="str">
        <v/>
      </c>
      <c r="M606" s="153" t="str">
        <v/>
      </c>
      <c r="N606" s="153" t="str">
        <v/>
      </c>
      <c r="O606" s="153" t="str">
        <v/>
      </c>
      <c r="P606" s="153" t="str">
        <v/>
      </c>
    </row>
    <row r="607" spans="1:16" x14ac:dyDescent="0.2">
      <c r="A607" s="58" t="str">
        <v/>
      </c>
      <c r="B607" s="131" t="str">
        <f>IFERROR(TIMEVALUE(DaqBook_RAW_Data!Q597),IFERROR(TIMEVALUE(DaqBook_RAW_Data!A597),""))</f>
        <v/>
      </c>
      <c r="C607" s="153" t="str">
        <v/>
      </c>
      <c r="D607" s="153" t="str">
        <v/>
      </c>
      <c r="E607" s="153" t="str">
        <v/>
      </c>
      <c r="F607" s="153" t="str">
        <v/>
      </c>
      <c r="G607" s="153" t="str">
        <v/>
      </c>
      <c r="H607" s="153" t="str">
        <v/>
      </c>
      <c r="I607" s="153" t="str">
        <v/>
      </c>
      <c r="J607" s="153" t="str">
        <v/>
      </c>
      <c r="K607" s="153" t="str">
        <v/>
      </c>
      <c r="L607" s="153" t="str">
        <v/>
      </c>
      <c r="M607" s="153" t="str">
        <v/>
      </c>
      <c r="N607" s="153" t="str">
        <v/>
      </c>
      <c r="O607" s="153" t="str">
        <v/>
      </c>
      <c r="P607" s="153" t="str">
        <v/>
      </c>
    </row>
    <row r="608" spans="1:16" x14ac:dyDescent="0.2">
      <c r="A608" s="58" t="str">
        <v/>
      </c>
      <c r="B608" s="131" t="str">
        <f>IFERROR(TIMEVALUE(DaqBook_RAW_Data!Q598),IFERROR(TIMEVALUE(DaqBook_RAW_Data!A598),""))</f>
        <v/>
      </c>
      <c r="C608" s="153" t="str">
        <v/>
      </c>
      <c r="D608" s="153" t="str">
        <v/>
      </c>
      <c r="E608" s="153" t="str">
        <v/>
      </c>
      <c r="F608" s="153" t="str">
        <v/>
      </c>
      <c r="G608" s="153" t="str">
        <v/>
      </c>
      <c r="H608" s="153" t="str">
        <v/>
      </c>
      <c r="I608" s="153" t="str">
        <v/>
      </c>
      <c r="J608" s="153" t="str">
        <v/>
      </c>
      <c r="K608" s="153" t="str">
        <v/>
      </c>
      <c r="L608" s="153" t="str">
        <v/>
      </c>
      <c r="M608" s="153" t="str">
        <v/>
      </c>
      <c r="N608" s="153" t="str">
        <v/>
      </c>
      <c r="O608" s="153" t="str">
        <v/>
      </c>
      <c r="P608" s="153" t="str">
        <v/>
      </c>
    </row>
    <row r="609" spans="1:16" x14ac:dyDescent="0.2">
      <c r="A609" s="58" t="str">
        <v/>
      </c>
      <c r="B609" s="131" t="str">
        <f>IFERROR(TIMEVALUE(DaqBook_RAW_Data!Q599),IFERROR(TIMEVALUE(DaqBook_RAW_Data!A599),""))</f>
        <v/>
      </c>
      <c r="C609" s="153" t="str">
        <v/>
      </c>
      <c r="D609" s="153" t="str">
        <v/>
      </c>
      <c r="E609" s="153" t="str">
        <v/>
      </c>
      <c r="F609" s="153" t="str">
        <v/>
      </c>
      <c r="G609" s="153" t="str">
        <v/>
      </c>
      <c r="H609" s="153" t="str">
        <v/>
      </c>
      <c r="I609" s="153" t="str">
        <v/>
      </c>
      <c r="J609" s="153" t="str">
        <v/>
      </c>
      <c r="K609" s="153" t="str">
        <v/>
      </c>
      <c r="L609" s="153" t="str">
        <v/>
      </c>
      <c r="M609" s="153" t="str">
        <v/>
      </c>
      <c r="N609" s="153" t="str">
        <v/>
      </c>
      <c r="O609" s="153" t="str">
        <v/>
      </c>
      <c r="P609" s="153" t="str">
        <v/>
      </c>
    </row>
    <row r="610" spans="1:16" x14ac:dyDescent="0.2">
      <c r="A610" s="58" t="str">
        <v/>
      </c>
      <c r="B610" s="131" t="str">
        <f>IFERROR(TIMEVALUE(DaqBook_RAW_Data!Q600),IFERROR(TIMEVALUE(DaqBook_RAW_Data!A600),""))</f>
        <v/>
      </c>
      <c r="C610" s="153" t="str">
        <v/>
      </c>
      <c r="D610" s="153" t="str">
        <v/>
      </c>
      <c r="E610" s="153" t="str">
        <v/>
      </c>
      <c r="F610" s="153" t="str">
        <v/>
      </c>
      <c r="G610" s="153" t="str">
        <v/>
      </c>
      <c r="H610" s="153" t="str">
        <v/>
      </c>
      <c r="I610" s="153" t="str">
        <v/>
      </c>
      <c r="J610" s="153" t="str">
        <v/>
      </c>
      <c r="K610" s="153" t="str">
        <v/>
      </c>
      <c r="L610" s="153" t="str">
        <v/>
      </c>
      <c r="M610" s="153" t="str">
        <v/>
      </c>
      <c r="N610" s="153" t="str">
        <v/>
      </c>
      <c r="O610" s="153" t="str">
        <v/>
      </c>
      <c r="P610" s="153" t="str">
        <v/>
      </c>
    </row>
    <row r="611" spans="1:16" x14ac:dyDescent="0.2">
      <c r="A611" s="58" t="str">
        <v/>
      </c>
      <c r="B611" s="131" t="str">
        <f>IFERROR(TIMEVALUE(DaqBook_RAW_Data!Q601),IFERROR(TIMEVALUE(DaqBook_RAW_Data!A601),""))</f>
        <v/>
      </c>
      <c r="C611" s="153" t="str">
        <v/>
      </c>
      <c r="D611" s="153" t="str">
        <v/>
      </c>
      <c r="E611" s="153" t="str">
        <v/>
      </c>
      <c r="F611" s="153" t="str">
        <v/>
      </c>
      <c r="G611" s="153" t="str">
        <v/>
      </c>
      <c r="H611" s="153" t="str">
        <v/>
      </c>
      <c r="I611" s="153" t="str">
        <v/>
      </c>
      <c r="J611" s="153" t="str">
        <v/>
      </c>
      <c r="K611" s="153" t="str">
        <v/>
      </c>
      <c r="L611" s="153" t="str">
        <v/>
      </c>
      <c r="M611" s="153" t="str">
        <v/>
      </c>
      <c r="N611" s="153" t="str">
        <v/>
      </c>
      <c r="O611" s="153" t="str">
        <v/>
      </c>
      <c r="P611" s="153" t="str">
        <v/>
      </c>
    </row>
    <row r="612" spans="1:16" x14ac:dyDescent="0.2">
      <c r="A612" s="58" t="str">
        <v/>
      </c>
      <c r="B612" s="131" t="str">
        <f>IFERROR(TIMEVALUE(DaqBook_RAW_Data!Q602),IFERROR(TIMEVALUE(DaqBook_RAW_Data!A602),""))</f>
        <v/>
      </c>
      <c r="C612" s="153" t="str">
        <v/>
      </c>
      <c r="D612" s="153" t="str">
        <v/>
      </c>
      <c r="E612" s="153" t="str">
        <v/>
      </c>
      <c r="F612" s="153" t="str">
        <v/>
      </c>
      <c r="G612" s="153" t="str">
        <v/>
      </c>
      <c r="H612" s="153" t="str">
        <v/>
      </c>
      <c r="I612" s="153" t="str">
        <v/>
      </c>
      <c r="J612" s="153" t="str">
        <v/>
      </c>
      <c r="K612" s="153" t="str">
        <v/>
      </c>
      <c r="L612" s="153" t="str">
        <v/>
      </c>
      <c r="M612" s="153" t="str">
        <v/>
      </c>
      <c r="N612" s="153" t="str">
        <v/>
      </c>
      <c r="O612" s="153" t="str">
        <v/>
      </c>
      <c r="P612" s="153" t="str">
        <v/>
      </c>
    </row>
    <row r="613" spans="1:16" x14ac:dyDescent="0.2">
      <c r="A613" s="58" t="str">
        <v/>
      </c>
      <c r="B613" s="131" t="str">
        <f>IFERROR(TIMEVALUE(DaqBook_RAW_Data!Q603),IFERROR(TIMEVALUE(DaqBook_RAW_Data!A603),""))</f>
        <v/>
      </c>
      <c r="C613" s="153" t="str">
        <v/>
      </c>
      <c r="D613" s="153" t="str">
        <v/>
      </c>
      <c r="E613" s="153" t="str">
        <v/>
      </c>
      <c r="F613" s="153" t="str">
        <v/>
      </c>
      <c r="G613" s="153" t="str">
        <v/>
      </c>
      <c r="H613" s="153" t="str">
        <v/>
      </c>
      <c r="I613" s="153" t="str">
        <v/>
      </c>
      <c r="J613" s="153" t="str">
        <v/>
      </c>
      <c r="K613" s="153" t="str">
        <v/>
      </c>
      <c r="L613" s="153" t="str">
        <v/>
      </c>
      <c r="M613" s="153" t="str">
        <v/>
      </c>
      <c r="N613" s="153" t="str">
        <v/>
      </c>
      <c r="O613" s="153" t="str">
        <v/>
      </c>
      <c r="P613" s="153" t="str">
        <v/>
      </c>
    </row>
    <row r="614" spans="1:16" x14ac:dyDescent="0.2">
      <c r="A614" s="58" t="str">
        <v/>
      </c>
      <c r="B614" s="131" t="str">
        <f>IFERROR(TIMEVALUE(DaqBook_RAW_Data!Q604),IFERROR(TIMEVALUE(DaqBook_RAW_Data!A604),""))</f>
        <v/>
      </c>
      <c r="C614" s="153" t="str">
        <v/>
      </c>
      <c r="D614" s="153" t="str">
        <v/>
      </c>
      <c r="E614" s="153" t="str">
        <v/>
      </c>
      <c r="F614" s="153" t="str">
        <v/>
      </c>
      <c r="G614" s="153" t="str">
        <v/>
      </c>
      <c r="H614" s="153" t="str">
        <v/>
      </c>
      <c r="I614" s="153" t="str">
        <v/>
      </c>
      <c r="J614" s="153" t="str">
        <v/>
      </c>
      <c r="K614" s="153" t="str">
        <v/>
      </c>
      <c r="L614" s="153" t="str">
        <v/>
      </c>
      <c r="M614" s="153" t="str">
        <v/>
      </c>
      <c r="N614" s="153" t="str">
        <v/>
      </c>
      <c r="O614" s="153" t="str">
        <v/>
      </c>
      <c r="P614" s="153" t="str">
        <v/>
      </c>
    </row>
    <row r="615" spans="1:16" x14ac:dyDescent="0.2">
      <c r="A615" s="58" t="str">
        <v/>
      </c>
      <c r="B615" s="131" t="str">
        <f>IFERROR(TIMEVALUE(DaqBook_RAW_Data!Q605),IFERROR(TIMEVALUE(DaqBook_RAW_Data!A605),""))</f>
        <v/>
      </c>
      <c r="C615" s="153" t="str">
        <v/>
      </c>
      <c r="D615" s="153" t="str">
        <v/>
      </c>
      <c r="E615" s="153" t="str">
        <v/>
      </c>
      <c r="F615" s="153" t="str">
        <v/>
      </c>
      <c r="G615" s="153" t="str">
        <v/>
      </c>
      <c r="H615" s="153" t="str">
        <v/>
      </c>
      <c r="I615" s="153" t="str">
        <v/>
      </c>
      <c r="J615" s="153" t="str">
        <v/>
      </c>
      <c r="K615" s="153" t="str">
        <v/>
      </c>
      <c r="L615" s="153" t="str">
        <v/>
      </c>
      <c r="M615" s="153" t="str">
        <v/>
      </c>
      <c r="N615" s="153" t="str">
        <v/>
      </c>
      <c r="O615" s="153" t="str">
        <v/>
      </c>
      <c r="P615" s="153" t="str">
        <v/>
      </c>
    </row>
    <row r="616" spans="1:16" x14ac:dyDescent="0.2">
      <c r="A616" s="58" t="str">
        <v/>
      </c>
      <c r="B616" s="131" t="str">
        <f>IFERROR(TIMEVALUE(DaqBook_RAW_Data!Q606),IFERROR(TIMEVALUE(DaqBook_RAW_Data!A606),""))</f>
        <v/>
      </c>
      <c r="C616" s="153" t="str">
        <v/>
      </c>
      <c r="D616" s="153" t="str">
        <v/>
      </c>
      <c r="E616" s="153" t="str">
        <v/>
      </c>
      <c r="F616" s="153" t="str">
        <v/>
      </c>
      <c r="G616" s="153" t="str">
        <v/>
      </c>
      <c r="H616" s="153" t="str">
        <v/>
      </c>
      <c r="I616" s="153" t="str">
        <v/>
      </c>
      <c r="J616" s="153" t="str">
        <v/>
      </c>
      <c r="K616" s="153" t="str">
        <v/>
      </c>
      <c r="L616" s="153" t="str">
        <v/>
      </c>
      <c r="M616" s="153" t="str">
        <v/>
      </c>
      <c r="N616" s="153" t="str">
        <v/>
      </c>
      <c r="O616" s="153" t="str">
        <v/>
      </c>
      <c r="P616" s="153" t="str">
        <v/>
      </c>
    </row>
    <row r="617" spans="1:16" x14ac:dyDescent="0.2">
      <c r="A617" s="58" t="str">
        <v/>
      </c>
      <c r="B617" s="131" t="str">
        <f>IFERROR(TIMEVALUE(DaqBook_RAW_Data!Q607),IFERROR(TIMEVALUE(DaqBook_RAW_Data!A607),""))</f>
        <v/>
      </c>
      <c r="C617" s="153" t="str">
        <v/>
      </c>
      <c r="D617" s="153" t="str">
        <v/>
      </c>
      <c r="E617" s="153" t="str">
        <v/>
      </c>
      <c r="F617" s="153" t="str">
        <v/>
      </c>
      <c r="G617" s="153" t="str">
        <v/>
      </c>
      <c r="H617" s="153" t="str">
        <v/>
      </c>
      <c r="I617" s="153" t="str">
        <v/>
      </c>
      <c r="J617" s="153" t="str">
        <v/>
      </c>
      <c r="K617" s="153" t="str">
        <v/>
      </c>
      <c r="L617" s="153" t="str">
        <v/>
      </c>
      <c r="M617" s="153" t="str">
        <v/>
      </c>
      <c r="N617" s="153" t="str">
        <v/>
      </c>
      <c r="O617" s="153" t="str">
        <v/>
      </c>
      <c r="P617" s="153" t="str">
        <v/>
      </c>
    </row>
    <row r="618" spans="1:16" x14ac:dyDescent="0.2">
      <c r="A618" s="58" t="str">
        <v/>
      </c>
      <c r="B618" s="131" t="str">
        <f>IFERROR(TIMEVALUE(DaqBook_RAW_Data!Q608),IFERROR(TIMEVALUE(DaqBook_RAW_Data!A608),""))</f>
        <v/>
      </c>
      <c r="C618" s="153" t="str">
        <v/>
      </c>
      <c r="D618" s="153" t="str">
        <v/>
      </c>
      <c r="E618" s="153" t="str">
        <v/>
      </c>
      <c r="F618" s="153" t="str">
        <v/>
      </c>
      <c r="G618" s="153" t="str">
        <v/>
      </c>
      <c r="H618" s="153" t="str">
        <v/>
      </c>
      <c r="I618" s="153" t="str">
        <v/>
      </c>
      <c r="J618" s="153" t="str">
        <v/>
      </c>
      <c r="K618" s="153" t="str">
        <v/>
      </c>
      <c r="L618" s="153" t="str">
        <v/>
      </c>
      <c r="M618" s="153" t="str">
        <v/>
      </c>
      <c r="N618" s="153" t="str">
        <v/>
      </c>
      <c r="O618" s="153" t="str">
        <v/>
      </c>
      <c r="P618" s="153" t="str">
        <v/>
      </c>
    </row>
    <row r="619" spans="1:16" x14ac:dyDescent="0.2">
      <c r="A619" s="58" t="str">
        <v/>
      </c>
      <c r="B619" s="131" t="str">
        <f>IFERROR(TIMEVALUE(DaqBook_RAW_Data!Q609),IFERROR(TIMEVALUE(DaqBook_RAW_Data!A609),""))</f>
        <v/>
      </c>
      <c r="C619" s="153" t="str">
        <v/>
      </c>
      <c r="D619" s="153" t="str">
        <v/>
      </c>
      <c r="E619" s="153" t="str">
        <v/>
      </c>
      <c r="F619" s="153" t="str">
        <v/>
      </c>
      <c r="G619" s="153" t="str">
        <v/>
      </c>
      <c r="H619" s="153" t="str">
        <v/>
      </c>
      <c r="I619" s="153" t="str">
        <v/>
      </c>
      <c r="J619" s="153" t="str">
        <v/>
      </c>
      <c r="K619" s="153" t="str">
        <v/>
      </c>
      <c r="L619" s="153" t="str">
        <v/>
      </c>
      <c r="M619" s="153" t="str">
        <v/>
      </c>
      <c r="N619" s="153" t="str">
        <v/>
      </c>
      <c r="O619" s="153" t="str">
        <v/>
      </c>
      <c r="P619" s="153" t="str">
        <v/>
      </c>
    </row>
    <row r="620" spans="1:16" x14ac:dyDescent="0.2">
      <c r="A620" s="58" t="str">
        <v/>
      </c>
      <c r="B620" s="131" t="str">
        <f>IFERROR(TIMEVALUE(DaqBook_RAW_Data!Q610),IFERROR(TIMEVALUE(DaqBook_RAW_Data!A610),""))</f>
        <v/>
      </c>
      <c r="C620" s="153" t="str">
        <v/>
      </c>
      <c r="D620" s="153" t="str">
        <v/>
      </c>
      <c r="E620" s="153" t="str">
        <v/>
      </c>
      <c r="F620" s="153" t="str">
        <v/>
      </c>
      <c r="G620" s="153" t="str">
        <v/>
      </c>
      <c r="H620" s="153" t="str">
        <v/>
      </c>
      <c r="I620" s="153" t="str">
        <v/>
      </c>
      <c r="J620" s="153" t="str">
        <v/>
      </c>
      <c r="K620" s="153" t="str">
        <v/>
      </c>
      <c r="L620" s="153" t="str">
        <v/>
      </c>
      <c r="M620" s="153" t="str">
        <v/>
      </c>
      <c r="N620" s="153" t="str">
        <v/>
      </c>
      <c r="O620" s="153" t="str">
        <v/>
      </c>
      <c r="P620" s="153" t="str">
        <v/>
      </c>
    </row>
    <row r="621" spans="1:16" x14ac:dyDescent="0.2">
      <c r="A621" s="58" t="str">
        <v/>
      </c>
      <c r="B621" s="131" t="str">
        <f>IFERROR(TIMEVALUE(DaqBook_RAW_Data!Q611),IFERROR(TIMEVALUE(DaqBook_RAW_Data!A611),""))</f>
        <v/>
      </c>
      <c r="C621" s="153" t="str">
        <v/>
      </c>
      <c r="D621" s="153" t="str">
        <v/>
      </c>
      <c r="E621" s="153" t="str">
        <v/>
      </c>
      <c r="F621" s="153" t="str">
        <v/>
      </c>
      <c r="G621" s="153" t="str">
        <v/>
      </c>
      <c r="H621" s="153" t="str">
        <v/>
      </c>
      <c r="I621" s="153" t="str">
        <v/>
      </c>
      <c r="J621" s="153" t="str">
        <v/>
      </c>
      <c r="K621" s="153" t="str">
        <v/>
      </c>
      <c r="L621" s="153" t="str">
        <v/>
      </c>
      <c r="M621" s="153" t="str">
        <v/>
      </c>
      <c r="N621" s="153" t="str">
        <v/>
      </c>
      <c r="O621" s="153" t="str">
        <v/>
      </c>
      <c r="P621" s="153" t="str">
        <v/>
      </c>
    </row>
    <row r="622" spans="1:16" x14ac:dyDescent="0.2">
      <c r="A622" s="58" t="str">
        <v/>
      </c>
      <c r="B622" s="131" t="str">
        <f>IFERROR(TIMEVALUE(DaqBook_RAW_Data!Q612),IFERROR(TIMEVALUE(DaqBook_RAW_Data!A612),""))</f>
        <v/>
      </c>
      <c r="C622" s="153" t="str">
        <v/>
      </c>
      <c r="D622" s="153" t="str">
        <v/>
      </c>
      <c r="E622" s="153" t="str">
        <v/>
      </c>
      <c r="F622" s="153" t="str">
        <v/>
      </c>
      <c r="G622" s="153" t="str">
        <v/>
      </c>
      <c r="H622" s="153" t="str">
        <v/>
      </c>
      <c r="I622" s="153" t="str">
        <v/>
      </c>
      <c r="J622" s="153" t="str">
        <v/>
      </c>
      <c r="K622" s="153" t="str">
        <v/>
      </c>
      <c r="L622" s="153" t="str">
        <v/>
      </c>
      <c r="M622" s="153" t="str">
        <v/>
      </c>
      <c r="N622" s="153" t="str">
        <v/>
      </c>
      <c r="O622" s="153" t="str">
        <v/>
      </c>
      <c r="P622" s="153" t="str">
        <v/>
      </c>
    </row>
    <row r="623" spans="1:16" x14ac:dyDescent="0.2">
      <c r="A623" s="58" t="str">
        <v/>
      </c>
      <c r="B623" s="131" t="str">
        <f>IFERROR(TIMEVALUE(DaqBook_RAW_Data!Q613),IFERROR(TIMEVALUE(DaqBook_RAW_Data!A613),""))</f>
        <v/>
      </c>
      <c r="C623" s="153" t="str">
        <v/>
      </c>
      <c r="D623" s="153" t="str">
        <v/>
      </c>
      <c r="E623" s="153" t="str">
        <v/>
      </c>
      <c r="F623" s="153" t="str">
        <v/>
      </c>
      <c r="G623" s="153" t="str">
        <v/>
      </c>
      <c r="H623" s="153" t="str">
        <v/>
      </c>
      <c r="I623" s="153" t="str">
        <v/>
      </c>
      <c r="J623" s="153" t="str">
        <v/>
      </c>
      <c r="K623" s="153" t="str">
        <v/>
      </c>
      <c r="L623" s="153" t="str">
        <v/>
      </c>
      <c r="M623" s="153" t="str">
        <v/>
      </c>
      <c r="N623" s="153" t="str">
        <v/>
      </c>
      <c r="O623" s="153" t="str">
        <v/>
      </c>
      <c r="P623" s="153" t="str">
        <v/>
      </c>
    </row>
    <row r="624" spans="1:16" x14ac:dyDescent="0.2">
      <c r="A624" s="58" t="str">
        <v/>
      </c>
      <c r="B624" s="131" t="str">
        <f>IFERROR(TIMEVALUE(DaqBook_RAW_Data!Q614),IFERROR(TIMEVALUE(DaqBook_RAW_Data!A614),""))</f>
        <v/>
      </c>
      <c r="C624" s="153" t="str">
        <v/>
      </c>
      <c r="D624" s="153" t="str">
        <v/>
      </c>
      <c r="E624" s="153" t="str">
        <v/>
      </c>
      <c r="F624" s="153" t="str">
        <v/>
      </c>
      <c r="G624" s="153" t="str">
        <v/>
      </c>
      <c r="H624" s="153" t="str">
        <v/>
      </c>
      <c r="I624" s="153" t="str">
        <v/>
      </c>
      <c r="J624" s="153" t="str">
        <v/>
      </c>
      <c r="K624" s="153" t="str">
        <v/>
      </c>
      <c r="L624" s="153" t="str">
        <v/>
      </c>
      <c r="M624" s="153" t="str">
        <v/>
      </c>
      <c r="N624" s="153" t="str">
        <v/>
      </c>
      <c r="O624" s="153" t="str">
        <v/>
      </c>
      <c r="P624" s="153" t="str">
        <v/>
      </c>
    </row>
    <row r="625" spans="1:16" x14ac:dyDescent="0.2">
      <c r="A625" s="58" t="str">
        <v/>
      </c>
      <c r="B625" s="131" t="str">
        <f>IFERROR(TIMEVALUE(DaqBook_RAW_Data!Q615),IFERROR(TIMEVALUE(DaqBook_RAW_Data!A615),""))</f>
        <v/>
      </c>
      <c r="C625" s="153" t="str">
        <v/>
      </c>
      <c r="D625" s="153" t="str">
        <v/>
      </c>
      <c r="E625" s="153" t="str">
        <v/>
      </c>
      <c r="F625" s="153" t="str">
        <v/>
      </c>
      <c r="G625" s="153" t="str">
        <v/>
      </c>
      <c r="H625" s="153" t="str">
        <v/>
      </c>
      <c r="I625" s="153" t="str">
        <v/>
      </c>
      <c r="J625" s="153" t="str">
        <v/>
      </c>
      <c r="K625" s="153" t="str">
        <v/>
      </c>
      <c r="L625" s="153" t="str">
        <v/>
      </c>
      <c r="M625" s="153" t="str">
        <v/>
      </c>
      <c r="N625" s="153" t="str">
        <v/>
      </c>
      <c r="O625" s="153" t="str">
        <v/>
      </c>
      <c r="P625" s="153" t="str">
        <v/>
      </c>
    </row>
    <row r="626" spans="1:16" x14ac:dyDescent="0.2">
      <c r="A626" s="58" t="str">
        <v/>
      </c>
      <c r="B626" s="131" t="str">
        <f>IFERROR(TIMEVALUE(DaqBook_RAW_Data!Q616),IFERROR(TIMEVALUE(DaqBook_RAW_Data!A616),""))</f>
        <v/>
      </c>
      <c r="C626" s="153" t="str">
        <v/>
      </c>
      <c r="D626" s="153" t="str">
        <v/>
      </c>
      <c r="E626" s="153" t="str">
        <v/>
      </c>
      <c r="F626" s="153" t="str">
        <v/>
      </c>
      <c r="G626" s="153" t="str">
        <v/>
      </c>
      <c r="H626" s="153" t="str">
        <v/>
      </c>
      <c r="I626" s="153" t="str">
        <v/>
      </c>
      <c r="J626" s="153" t="str">
        <v/>
      </c>
      <c r="K626" s="153" t="str">
        <v/>
      </c>
      <c r="L626" s="153" t="str">
        <v/>
      </c>
      <c r="M626" s="153" t="str">
        <v/>
      </c>
      <c r="N626" s="153" t="str">
        <v/>
      </c>
      <c r="O626" s="153" t="str">
        <v/>
      </c>
      <c r="P626" s="153" t="str">
        <v/>
      </c>
    </row>
    <row r="627" spans="1:16" x14ac:dyDescent="0.2">
      <c r="A627" s="58" t="str">
        <v/>
      </c>
      <c r="B627" s="131" t="str">
        <f>IFERROR(TIMEVALUE(DaqBook_RAW_Data!Q617),IFERROR(TIMEVALUE(DaqBook_RAW_Data!A617),""))</f>
        <v/>
      </c>
      <c r="C627" s="153" t="str">
        <v/>
      </c>
      <c r="D627" s="153" t="str">
        <v/>
      </c>
      <c r="E627" s="153" t="str">
        <v/>
      </c>
      <c r="F627" s="153" t="str">
        <v/>
      </c>
      <c r="G627" s="153" t="str">
        <v/>
      </c>
      <c r="H627" s="153" t="str">
        <v/>
      </c>
      <c r="I627" s="153" t="str">
        <v/>
      </c>
      <c r="J627" s="153" t="str">
        <v/>
      </c>
      <c r="K627" s="153" t="str">
        <v/>
      </c>
      <c r="L627" s="153" t="str">
        <v/>
      </c>
      <c r="M627" s="153" t="str">
        <v/>
      </c>
      <c r="N627" s="153" t="str">
        <v/>
      </c>
      <c r="O627" s="153" t="str">
        <v/>
      </c>
      <c r="P627" s="153" t="str">
        <v/>
      </c>
    </row>
    <row r="628" spans="1:16" x14ac:dyDescent="0.2">
      <c r="A628" s="58" t="str">
        <v/>
      </c>
      <c r="B628" s="131" t="str">
        <f>IFERROR(TIMEVALUE(DaqBook_RAW_Data!Q618),IFERROR(TIMEVALUE(DaqBook_RAW_Data!A618),""))</f>
        <v/>
      </c>
      <c r="C628" s="153" t="str">
        <v/>
      </c>
      <c r="D628" s="153" t="str">
        <v/>
      </c>
      <c r="E628" s="153" t="str">
        <v/>
      </c>
      <c r="F628" s="153" t="str">
        <v/>
      </c>
      <c r="G628" s="153" t="str">
        <v/>
      </c>
      <c r="H628" s="153" t="str">
        <v/>
      </c>
      <c r="I628" s="153" t="str">
        <v/>
      </c>
      <c r="J628" s="153" t="str">
        <v/>
      </c>
      <c r="K628" s="153" t="str">
        <v/>
      </c>
      <c r="L628" s="153" t="str">
        <v/>
      </c>
      <c r="M628" s="153" t="str">
        <v/>
      </c>
      <c r="N628" s="153" t="str">
        <v/>
      </c>
      <c r="O628" s="153" t="str">
        <v/>
      </c>
      <c r="P628" s="153" t="str">
        <v/>
      </c>
    </row>
    <row r="629" spans="1:16" x14ac:dyDescent="0.2">
      <c r="A629" s="58" t="str">
        <v/>
      </c>
      <c r="B629" s="131" t="str">
        <f>IFERROR(TIMEVALUE(DaqBook_RAW_Data!Q619),IFERROR(TIMEVALUE(DaqBook_RAW_Data!A619),""))</f>
        <v/>
      </c>
      <c r="C629" s="153" t="str">
        <v/>
      </c>
      <c r="D629" s="153" t="str">
        <v/>
      </c>
      <c r="E629" s="153" t="str">
        <v/>
      </c>
      <c r="F629" s="153" t="str">
        <v/>
      </c>
      <c r="G629" s="153" t="str">
        <v/>
      </c>
      <c r="H629" s="153" t="str">
        <v/>
      </c>
      <c r="I629" s="153" t="str">
        <v/>
      </c>
      <c r="J629" s="153" t="str">
        <v/>
      </c>
      <c r="K629" s="153" t="str">
        <v/>
      </c>
      <c r="L629" s="153" t="str">
        <v/>
      </c>
      <c r="M629" s="153" t="str">
        <v/>
      </c>
      <c r="N629" s="153" t="str">
        <v/>
      </c>
      <c r="O629" s="153" t="str">
        <v/>
      </c>
      <c r="P629" s="153" t="str">
        <v/>
      </c>
    </row>
    <row r="630" spans="1:16" x14ac:dyDescent="0.2">
      <c r="A630" s="58" t="str">
        <v/>
      </c>
      <c r="B630" s="131" t="str">
        <f>IFERROR(TIMEVALUE(DaqBook_RAW_Data!Q620),IFERROR(TIMEVALUE(DaqBook_RAW_Data!A620),""))</f>
        <v/>
      </c>
      <c r="C630" s="153" t="str">
        <v/>
      </c>
      <c r="D630" s="153" t="str">
        <v/>
      </c>
      <c r="E630" s="153" t="str">
        <v/>
      </c>
      <c r="F630" s="153" t="str">
        <v/>
      </c>
      <c r="G630" s="153" t="str">
        <v/>
      </c>
      <c r="H630" s="153" t="str">
        <v/>
      </c>
      <c r="I630" s="153" t="str">
        <v/>
      </c>
      <c r="J630" s="153" t="str">
        <v/>
      </c>
      <c r="K630" s="153" t="str">
        <v/>
      </c>
      <c r="L630" s="153" t="str">
        <v/>
      </c>
      <c r="M630" s="153" t="str">
        <v/>
      </c>
      <c r="N630" s="153" t="str">
        <v/>
      </c>
      <c r="O630" s="153" t="str">
        <v/>
      </c>
      <c r="P630" s="153" t="str">
        <v/>
      </c>
    </row>
    <row r="631" spans="1:16" x14ac:dyDescent="0.2">
      <c r="A631" s="58" t="str">
        <v/>
      </c>
      <c r="B631" s="131" t="str">
        <f>IFERROR(TIMEVALUE(DaqBook_RAW_Data!Q621),IFERROR(TIMEVALUE(DaqBook_RAW_Data!A621),""))</f>
        <v/>
      </c>
      <c r="C631" s="153" t="str">
        <v/>
      </c>
      <c r="D631" s="153" t="str">
        <v/>
      </c>
      <c r="E631" s="153" t="str">
        <v/>
      </c>
      <c r="F631" s="153" t="str">
        <v/>
      </c>
      <c r="G631" s="153" t="str">
        <v/>
      </c>
      <c r="H631" s="153" t="str">
        <v/>
      </c>
      <c r="I631" s="153" t="str">
        <v/>
      </c>
      <c r="J631" s="153" t="str">
        <v/>
      </c>
      <c r="K631" s="153" t="str">
        <v/>
      </c>
      <c r="L631" s="153" t="str">
        <v/>
      </c>
      <c r="M631" s="153" t="str">
        <v/>
      </c>
      <c r="N631" s="153" t="str">
        <v/>
      </c>
      <c r="O631" s="153" t="str">
        <v/>
      </c>
      <c r="P631" s="153" t="str">
        <v/>
      </c>
    </row>
    <row r="632" spans="1:16" x14ac:dyDescent="0.2">
      <c r="A632" s="58" t="str">
        <v/>
      </c>
      <c r="B632" s="131" t="str">
        <f>IFERROR(TIMEVALUE(DaqBook_RAW_Data!Q622),IFERROR(TIMEVALUE(DaqBook_RAW_Data!A622),""))</f>
        <v/>
      </c>
      <c r="C632" s="153" t="str">
        <v/>
      </c>
      <c r="D632" s="153" t="str">
        <v/>
      </c>
      <c r="E632" s="153" t="str">
        <v/>
      </c>
      <c r="F632" s="153" t="str">
        <v/>
      </c>
      <c r="G632" s="153" t="str">
        <v/>
      </c>
      <c r="H632" s="153" t="str">
        <v/>
      </c>
      <c r="I632" s="153" t="str">
        <v/>
      </c>
      <c r="J632" s="153" t="str">
        <v/>
      </c>
      <c r="K632" s="153" t="str">
        <v/>
      </c>
      <c r="L632" s="153" t="str">
        <v/>
      </c>
      <c r="M632" s="153" t="str">
        <v/>
      </c>
      <c r="N632" s="153" t="str">
        <v/>
      </c>
      <c r="O632" s="153" t="str">
        <v/>
      </c>
      <c r="P632" s="153" t="str">
        <v/>
      </c>
    </row>
    <row r="633" spans="1:16" x14ac:dyDescent="0.2">
      <c r="A633" s="58" t="str">
        <v/>
      </c>
      <c r="B633" s="131" t="str">
        <f>IFERROR(TIMEVALUE(DaqBook_RAW_Data!Q623),IFERROR(TIMEVALUE(DaqBook_RAW_Data!A623),""))</f>
        <v/>
      </c>
      <c r="C633" s="153" t="str">
        <v/>
      </c>
      <c r="D633" s="153" t="str">
        <v/>
      </c>
      <c r="E633" s="153" t="str">
        <v/>
      </c>
      <c r="F633" s="153" t="str">
        <v/>
      </c>
      <c r="G633" s="153" t="str">
        <v/>
      </c>
      <c r="H633" s="153" t="str">
        <v/>
      </c>
      <c r="I633" s="153" t="str">
        <v/>
      </c>
      <c r="J633" s="153" t="str">
        <v/>
      </c>
      <c r="K633" s="153" t="str">
        <v/>
      </c>
      <c r="L633" s="153" t="str">
        <v/>
      </c>
      <c r="M633" s="153" t="str">
        <v/>
      </c>
      <c r="N633" s="153" t="str">
        <v/>
      </c>
      <c r="O633" s="153" t="str">
        <v/>
      </c>
      <c r="P633" s="153" t="str">
        <v/>
      </c>
    </row>
    <row r="634" spans="1:16" x14ac:dyDescent="0.2">
      <c r="A634" s="58" t="str">
        <v/>
      </c>
      <c r="B634" s="131" t="str">
        <f>IFERROR(TIMEVALUE(DaqBook_RAW_Data!Q624),IFERROR(TIMEVALUE(DaqBook_RAW_Data!A624),""))</f>
        <v/>
      </c>
      <c r="C634" s="153" t="str">
        <v/>
      </c>
      <c r="D634" s="153" t="str">
        <v/>
      </c>
      <c r="E634" s="153" t="str">
        <v/>
      </c>
      <c r="F634" s="153" t="str">
        <v/>
      </c>
      <c r="G634" s="153" t="str">
        <v/>
      </c>
      <c r="H634" s="153" t="str">
        <v/>
      </c>
      <c r="I634" s="153" t="str">
        <v/>
      </c>
      <c r="J634" s="153" t="str">
        <v/>
      </c>
      <c r="K634" s="153" t="str">
        <v/>
      </c>
      <c r="L634" s="153" t="str">
        <v/>
      </c>
      <c r="M634" s="153" t="str">
        <v/>
      </c>
      <c r="N634" s="153" t="str">
        <v/>
      </c>
      <c r="O634" s="153" t="str">
        <v/>
      </c>
      <c r="P634" s="153" t="str">
        <v/>
      </c>
    </row>
    <row r="635" spans="1:16" x14ac:dyDescent="0.2">
      <c r="A635" s="58" t="str">
        <v/>
      </c>
      <c r="B635" s="131" t="str">
        <f>IFERROR(TIMEVALUE(DaqBook_RAW_Data!Q625),IFERROR(TIMEVALUE(DaqBook_RAW_Data!A625),""))</f>
        <v/>
      </c>
      <c r="C635" s="153" t="str">
        <v/>
      </c>
      <c r="D635" s="153" t="str">
        <v/>
      </c>
      <c r="E635" s="153" t="str">
        <v/>
      </c>
      <c r="F635" s="153" t="str">
        <v/>
      </c>
      <c r="G635" s="153" t="str">
        <v/>
      </c>
      <c r="H635" s="153" t="str">
        <v/>
      </c>
      <c r="I635" s="153" t="str">
        <v/>
      </c>
      <c r="J635" s="153" t="str">
        <v/>
      </c>
      <c r="K635" s="153" t="str">
        <v/>
      </c>
      <c r="L635" s="153" t="str">
        <v/>
      </c>
      <c r="M635" s="153" t="str">
        <v/>
      </c>
      <c r="N635" s="153" t="str">
        <v/>
      </c>
      <c r="O635" s="153" t="str">
        <v/>
      </c>
      <c r="P635" s="153" t="str">
        <v/>
      </c>
    </row>
    <row r="636" spans="1:16" x14ac:dyDescent="0.2">
      <c r="A636" s="58" t="str">
        <v/>
      </c>
      <c r="B636" s="131" t="str">
        <f>IFERROR(TIMEVALUE(DaqBook_RAW_Data!Q626),IFERROR(TIMEVALUE(DaqBook_RAW_Data!A626),""))</f>
        <v/>
      </c>
      <c r="C636" s="153" t="str">
        <v/>
      </c>
      <c r="D636" s="153" t="str">
        <v/>
      </c>
      <c r="E636" s="153" t="str">
        <v/>
      </c>
      <c r="F636" s="153" t="str">
        <v/>
      </c>
      <c r="G636" s="153" t="str">
        <v/>
      </c>
      <c r="H636" s="153" t="str">
        <v/>
      </c>
      <c r="I636" s="153" t="str">
        <v/>
      </c>
      <c r="J636" s="153" t="str">
        <v/>
      </c>
      <c r="K636" s="153" t="str">
        <v/>
      </c>
      <c r="L636" s="153" t="str">
        <v/>
      </c>
      <c r="M636" s="153" t="str">
        <v/>
      </c>
      <c r="N636" s="153" t="str">
        <v/>
      </c>
      <c r="O636" s="153" t="str">
        <v/>
      </c>
      <c r="P636" s="153" t="str">
        <v/>
      </c>
    </row>
    <row r="637" spans="1:16" x14ac:dyDescent="0.2">
      <c r="A637" s="58" t="str">
        <v/>
      </c>
      <c r="B637" s="131" t="str">
        <f>IFERROR(TIMEVALUE(DaqBook_RAW_Data!Q627),IFERROR(TIMEVALUE(DaqBook_RAW_Data!A627),""))</f>
        <v/>
      </c>
      <c r="C637" s="153" t="str">
        <v/>
      </c>
      <c r="D637" s="153" t="str">
        <v/>
      </c>
      <c r="E637" s="153" t="str">
        <v/>
      </c>
      <c r="F637" s="153" t="str">
        <v/>
      </c>
      <c r="G637" s="153" t="str">
        <v/>
      </c>
      <c r="H637" s="153" t="str">
        <v/>
      </c>
      <c r="I637" s="153" t="str">
        <v/>
      </c>
      <c r="J637" s="153" t="str">
        <v/>
      </c>
      <c r="K637" s="153" t="str">
        <v/>
      </c>
      <c r="L637" s="153" t="str">
        <v/>
      </c>
      <c r="M637" s="153" t="str">
        <v/>
      </c>
      <c r="N637" s="153" t="str">
        <v/>
      </c>
      <c r="O637" s="153" t="str">
        <v/>
      </c>
      <c r="P637" s="153" t="str">
        <v/>
      </c>
    </row>
    <row r="638" spans="1:16" x14ac:dyDescent="0.2">
      <c r="A638" s="58" t="str">
        <v/>
      </c>
      <c r="B638" s="131" t="str">
        <f>IFERROR(TIMEVALUE(DaqBook_RAW_Data!Q628),IFERROR(TIMEVALUE(DaqBook_RAW_Data!A628),""))</f>
        <v/>
      </c>
      <c r="C638" s="153" t="str">
        <v/>
      </c>
      <c r="D638" s="153" t="str">
        <v/>
      </c>
      <c r="E638" s="153" t="str">
        <v/>
      </c>
      <c r="F638" s="153" t="str">
        <v/>
      </c>
      <c r="G638" s="153" t="str">
        <v/>
      </c>
      <c r="H638" s="153" t="str">
        <v/>
      </c>
      <c r="I638" s="153" t="str">
        <v/>
      </c>
      <c r="J638" s="153" t="str">
        <v/>
      </c>
      <c r="K638" s="153" t="str">
        <v/>
      </c>
      <c r="L638" s="153" t="str">
        <v/>
      </c>
      <c r="M638" s="153" t="str">
        <v/>
      </c>
      <c r="N638" s="153" t="str">
        <v/>
      </c>
      <c r="O638" s="153" t="str">
        <v/>
      </c>
      <c r="P638" s="153" t="str">
        <v/>
      </c>
    </row>
    <row r="639" spans="1:16" x14ac:dyDescent="0.2">
      <c r="A639" s="58" t="str">
        <v/>
      </c>
      <c r="B639" s="131" t="str">
        <f>IFERROR(TIMEVALUE(DaqBook_RAW_Data!Q629),IFERROR(TIMEVALUE(DaqBook_RAW_Data!A629),""))</f>
        <v/>
      </c>
      <c r="C639" s="153" t="str">
        <v/>
      </c>
      <c r="D639" s="153" t="str">
        <v/>
      </c>
      <c r="E639" s="153" t="str">
        <v/>
      </c>
      <c r="F639" s="153" t="str">
        <v/>
      </c>
      <c r="G639" s="153" t="str">
        <v/>
      </c>
      <c r="H639" s="153" t="str">
        <v/>
      </c>
      <c r="I639" s="153" t="str">
        <v/>
      </c>
      <c r="J639" s="153" t="str">
        <v/>
      </c>
      <c r="K639" s="153" t="str">
        <v/>
      </c>
      <c r="L639" s="153" t="str">
        <v/>
      </c>
      <c r="M639" s="153" t="str">
        <v/>
      </c>
      <c r="N639" s="153" t="str">
        <v/>
      </c>
      <c r="O639" s="153" t="str">
        <v/>
      </c>
      <c r="P639" s="153" t="str">
        <v/>
      </c>
    </row>
    <row r="640" spans="1:16" x14ac:dyDescent="0.2">
      <c r="A640" s="58" t="str">
        <v/>
      </c>
      <c r="B640" s="131" t="str">
        <f>IFERROR(TIMEVALUE(DaqBook_RAW_Data!Q630),IFERROR(TIMEVALUE(DaqBook_RAW_Data!A630),""))</f>
        <v/>
      </c>
      <c r="C640" s="153" t="str">
        <v/>
      </c>
      <c r="D640" s="153" t="str">
        <v/>
      </c>
      <c r="E640" s="153" t="str">
        <v/>
      </c>
      <c r="F640" s="153" t="str">
        <v/>
      </c>
      <c r="G640" s="153" t="str">
        <v/>
      </c>
      <c r="H640" s="153" t="str">
        <v/>
      </c>
      <c r="I640" s="153" t="str">
        <v/>
      </c>
      <c r="J640" s="153" t="str">
        <v/>
      </c>
      <c r="K640" s="153" t="str">
        <v/>
      </c>
      <c r="L640" s="153" t="str">
        <v/>
      </c>
      <c r="M640" s="153" t="str">
        <v/>
      </c>
      <c r="N640" s="153" t="str">
        <v/>
      </c>
      <c r="O640" s="153" t="str">
        <v/>
      </c>
      <c r="P640" s="153" t="str">
        <v/>
      </c>
    </row>
    <row r="641" spans="1:16" x14ac:dyDescent="0.2">
      <c r="A641" s="58" t="str">
        <v/>
      </c>
      <c r="B641" s="131" t="str">
        <f>IFERROR(TIMEVALUE(DaqBook_RAW_Data!Q631),IFERROR(TIMEVALUE(DaqBook_RAW_Data!A631),""))</f>
        <v/>
      </c>
      <c r="C641" s="153" t="str">
        <v/>
      </c>
      <c r="D641" s="153" t="str">
        <v/>
      </c>
      <c r="E641" s="153" t="str">
        <v/>
      </c>
      <c r="F641" s="153" t="str">
        <v/>
      </c>
      <c r="G641" s="153" t="str">
        <v/>
      </c>
      <c r="H641" s="153" t="str">
        <v/>
      </c>
      <c r="I641" s="153" t="str">
        <v/>
      </c>
      <c r="J641" s="153" t="str">
        <v/>
      </c>
      <c r="K641" s="153" t="str">
        <v/>
      </c>
      <c r="L641" s="153" t="str">
        <v/>
      </c>
      <c r="M641" s="153" t="str">
        <v/>
      </c>
      <c r="N641" s="153" t="str">
        <v/>
      </c>
      <c r="O641" s="153" t="str">
        <v/>
      </c>
      <c r="P641" s="153" t="str">
        <v/>
      </c>
    </row>
    <row r="642" spans="1:16" x14ac:dyDescent="0.2">
      <c r="A642" s="58" t="str">
        <v/>
      </c>
      <c r="B642" s="131" t="str">
        <f>IFERROR(TIMEVALUE(DaqBook_RAW_Data!Q632),IFERROR(TIMEVALUE(DaqBook_RAW_Data!A632),""))</f>
        <v/>
      </c>
      <c r="C642" s="153" t="str">
        <v/>
      </c>
      <c r="D642" s="153" t="str">
        <v/>
      </c>
      <c r="E642" s="153" t="str">
        <v/>
      </c>
      <c r="F642" s="153" t="str">
        <v/>
      </c>
      <c r="G642" s="153" t="str">
        <v/>
      </c>
      <c r="H642" s="153" t="str">
        <v/>
      </c>
      <c r="I642" s="153" t="str">
        <v/>
      </c>
      <c r="J642" s="153" t="str">
        <v/>
      </c>
      <c r="K642" s="153" t="str">
        <v/>
      </c>
      <c r="L642" s="153" t="str">
        <v/>
      </c>
      <c r="M642" s="153" t="str">
        <v/>
      </c>
      <c r="N642" s="153" t="str">
        <v/>
      </c>
      <c r="O642" s="153" t="str">
        <v/>
      </c>
      <c r="P642" s="153" t="str">
        <v/>
      </c>
    </row>
    <row r="643" spans="1:16" x14ac:dyDescent="0.2">
      <c r="A643" s="58" t="str">
        <v/>
      </c>
      <c r="B643" s="131" t="str">
        <f>IFERROR(TIMEVALUE(DaqBook_RAW_Data!Q633),IFERROR(TIMEVALUE(DaqBook_RAW_Data!A633),""))</f>
        <v/>
      </c>
      <c r="C643" s="153" t="str">
        <v/>
      </c>
      <c r="D643" s="153" t="str">
        <v/>
      </c>
      <c r="E643" s="153" t="str">
        <v/>
      </c>
      <c r="F643" s="153" t="str">
        <v/>
      </c>
      <c r="G643" s="153" t="str">
        <v/>
      </c>
      <c r="H643" s="153" t="str">
        <v/>
      </c>
      <c r="I643" s="153" t="str">
        <v/>
      </c>
      <c r="J643" s="153" t="str">
        <v/>
      </c>
      <c r="K643" s="153" t="str">
        <v/>
      </c>
      <c r="L643" s="153" t="str">
        <v/>
      </c>
      <c r="M643" s="153" t="str">
        <v/>
      </c>
      <c r="N643" s="153" t="str">
        <v/>
      </c>
      <c r="O643" s="153" t="str">
        <v/>
      </c>
      <c r="P643" s="153" t="str">
        <v/>
      </c>
    </row>
    <row r="644" spans="1:16" x14ac:dyDescent="0.2">
      <c r="A644" s="58" t="str">
        <v/>
      </c>
      <c r="B644" s="131" t="str">
        <f>IFERROR(TIMEVALUE(DaqBook_RAW_Data!Q634),IFERROR(TIMEVALUE(DaqBook_RAW_Data!A634),""))</f>
        <v/>
      </c>
      <c r="C644" s="153" t="str">
        <v/>
      </c>
      <c r="D644" s="153" t="str">
        <v/>
      </c>
      <c r="E644" s="153" t="str">
        <v/>
      </c>
      <c r="F644" s="153" t="str">
        <v/>
      </c>
      <c r="G644" s="153" t="str">
        <v/>
      </c>
      <c r="H644" s="153" t="str">
        <v/>
      </c>
      <c r="I644" s="153" t="str">
        <v/>
      </c>
      <c r="J644" s="153" t="str">
        <v/>
      </c>
      <c r="K644" s="153" t="str">
        <v/>
      </c>
      <c r="L644" s="153" t="str">
        <v/>
      </c>
      <c r="M644" s="153" t="str">
        <v/>
      </c>
      <c r="N644" s="153" t="str">
        <v/>
      </c>
      <c r="O644" s="153" t="str">
        <v/>
      </c>
      <c r="P644" s="153" t="str">
        <v/>
      </c>
    </row>
    <row r="645" spans="1:16" x14ac:dyDescent="0.2">
      <c r="A645" s="58" t="str">
        <v/>
      </c>
      <c r="B645" s="131" t="str">
        <f>IFERROR(TIMEVALUE(DaqBook_RAW_Data!Q635),IFERROR(TIMEVALUE(DaqBook_RAW_Data!A635),""))</f>
        <v/>
      </c>
      <c r="C645" s="153" t="str">
        <v/>
      </c>
      <c r="D645" s="153" t="str">
        <v/>
      </c>
      <c r="E645" s="153" t="str">
        <v/>
      </c>
      <c r="F645" s="153" t="str">
        <v/>
      </c>
      <c r="G645" s="153" t="str">
        <v/>
      </c>
      <c r="H645" s="153" t="str">
        <v/>
      </c>
      <c r="I645" s="153" t="str">
        <v/>
      </c>
      <c r="J645" s="153" t="str">
        <v/>
      </c>
      <c r="K645" s="153" t="str">
        <v/>
      </c>
      <c r="L645" s="153" t="str">
        <v/>
      </c>
      <c r="M645" s="153" t="str">
        <v/>
      </c>
      <c r="N645" s="153" t="str">
        <v/>
      </c>
      <c r="O645" s="153" t="str">
        <v/>
      </c>
      <c r="P645" s="153" t="str">
        <v/>
      </c>
    </row>
    <row r="646" spans="1:16" x14ac:dyDescent="0.2">
      <c r="A646" s="58" t="str">
        <v/>
      </c>
      <c r="B646" s="131" t="str">
        <f>IFERROR(TIMEVALUE(DaqBook_RAW_Data!Q636),IFERROR(TIMEVALUE(DaqBook_RAW_Data!A636),""))</f>
        <v/>
      </c>
      <c r="C646" s="153" t="str">
        <v/>
      </c>
      <c r="D646" s="153" t="str">
        <v/>
      </c>
      <c r="E646" s="153" t="str">
        <v/>
      </c>
      <c r="F646" s="153" t="str">
        <v/>
      </c>
      <c r="G646" s="153" t="str">
        <v/>
      </c>
      <c r="H646" s="153" t="str">
        <v/>
      </c>
      <c r="I646" s="153" t="str">
        <v/>
      </c>
      <c r="J646" s="153" t="str">
        <v/>
      </c>
      <c r="K646" s="153" t="str">
        <v/>
      </c>
      <c r="L646" s="153" t="str">
        <v/>
      </c>
      <c r="M646" s="153" t="str">
        <v/>
      </c>
      <c r="N646" s="153" t="str">
        <v/>
      </c>
      <c r="O646" s="153" t="str">
        <v/>
      </c>
      <c r="P646" s="153" t="str">
        <v/>
      </c>
    </row>
    <row r="647" spans="1:16" x14ac:dyDescent="0.2">
      <c r="A647" s="58" t="str">
        <v/>
      </c>
      <c r="B647" s="131" t="str">
        <f>IFERROR(TIMEVALUE(DaqBook_RAW_Data!Q637),IFERROR(TIMEVALUE(DaqBook_RAW_Data!A637),""))</f>
        <v/>
      </c>
      <c r="C647" s="153" t="str">
        <v/>
      </c>
      <c r="D647" s="153" t="str">
        <v/>
      </c>
      <c r="E647" s="153" t="str">
        <v/>
      </c>
      <c r="F647" s="153" t="str">
        <v/>
      </c>
      <c r="G647" s="153" t="str">
        <v/>
      </c>
      <c r="H647" s="153" t="str">
        <v/>
      </c>
      <c r="I647" s="153" t="str">
        <v/>
      </c>
      <c r="J647" s="153" t="str">
        <v/>
      </c>
      <c r="K647" s="153" t="str">
        <v/>
      </c>
      <c r="L647" s="153" t="str">
        <v/>
      </c>
      <c r="M647" s="153" t="str">
        <v/>
      </c>
      <c r="N647" s="153" t="str">
        <v/>
      </c>
      <c r="O647" s="153" t="str">
        <v/>
      </c>
      <c r="P647" s="153" t="str">
        <v/>
      </c>
    </row>
    <row r="648" spans="1:16" x14ac:dyDescent="0.2">
      <c r="A648" s="58" t="str">
        <v/>
      </c>
      <c r="B648" s="131" t="str">
        <f>IFERROR(TIMEVALUE(DaqBook_RAW_Data!Q638),IFERROR(TIMEVALUE(DaqBook_RAW_Data!A638),""))</f>
        <v/>
      </c>
      <c r="C648" s="153" t="str">
        <v/>
      </c>
      <c r="D648" s="153" t="str">
        <v/>
      </c>
      <c r="E648" s="153" t="str">
        <v/>
      </c>
      <c r="F648" s="153" t="str">
        <v/>
      </c>
      <c r="G648" s="153" t="str">
        <v/>
      </c>
      <c r="H648" s="153" t="str">
        <v/>
      </c>
      <c r="I648" s="153" t="str">
        <v/>
      </c>
      <c r="J648" s="153" t="str">
        <v/>
      </c>
      <c r="K648" s="153" t="str">
        <v/>
      </c>
      <c r="L648" s="153" t="str">
        <v/>
      </c>
      <c r="M648" s="153" t="str">
        <v/>
      </c>
      <c r="N648" s="153" t="str">
        <v/>
      </c>
      <c r="O648" s="153" t="str">
        <v/>
      </c>
      <c r="P648" s="153" t="str">
        <v/>
      </c>
    </row>
    <row r="649" spans="1:16" x14ac:dyDescent="0.2">
      <c r="A649" s="58" t="str">
        <v/>
      </c>
      <c r="B649" s="131" t="str">
        <f>IFERROR(TIMEVALUE(DaqBook_RAW_Data!Q639),IFERROR(TIMEVALUE(DaqBook_RAW_Data!A639),""))</f>
        <v/>
      </c>
      <c r="C649" s="153" t="str">
        <v/>
      </c>
      <c r="D649" s="153" t="str">
        <v/>
      </c>
      <c r="E649" s="153" t="str">
        <v/>
      </c>
      <c r="F649" s="153" t="str">
        <v/>
      </c>
      <c r="G649" s="153" t="str">
        <v/>
      </c>
      <c r="H649" s="153" t="str">
        <v/>
      </c>
      <c r="I649" s="153" t="str">
        <v/>
      </c>
      <c r="J649" s="153" t="str">
        <v/>
      </c>
      <c r="K649" s="153" t="str">
        <v/>
      </c>
      <c r="L649" s="153" t="str">
        <v/>
      </c>
      <c r="M649" s="153" t="str">
        <v/>
      </c>
      <c r="N649" s="153" t="str">
        <v/>
      </c>
      <c r="O649" s="153" t="str">
        <v/>
      </c>
      <c r="P649" s="153" t="str">
        <v/>
      </c>
    </row>
    <row r="650" spans="1:16" x14ac:dyDescent="0.2">
      <c r="A650" s="58" t="str">
        <v/>
      </c>
      <c r="B650" s="131" t="str">
        <f>IFERROR(TIMEVALUE(DaqBook_RAW_Data!Q640),IFERROR(TIMEVALUE(DaqBook_RAW_Data!A640),""))</f>
        <v/>
      </c>
      <c r="C650" s="153" t="str">
        <v/>
      </c>
      <c r="D650" s="153" t="str">
        <v/>
      </c>
      <c r="E650" s="153" t="str">
        <v/>
      </c>
      <c r="F650" s="153" t="str">
        <v/>
      </c>
      <c r="G650" s="153" t="str">
        <v/>
      </c>
      <c r="H650" s="153" t="str">
        <v/>
      </c>
      <c r="I650" s="153" t="str">
        <v/>
      </c>
      <c r="J650" s="153" t="str">
        <v/>
      </c>
      <c r="K650" s="153" t="str">
        <v/>
      </c>
      <c r="L650" s="153" t="str">
        <v/>
      </c>
      <c r="M650" s="153" t="str">
        <v/>
      </c>
      <c r="N650" s="153" t="str">
        <v/>
      </c>
      <c r="O650" s="153" t="str">
        <v/>
      </c>
      <c r="P650" s="153" t="str">
        <v/>
      </c>
    </row>
    <row r="651" spans="1:16" x14ac:dyDescent="0.2">
      <c r="A651" s="58" t="str">
        <v/>
      </c>
      <c r="B651" s="131" t="str">
        <f>IFERROR(TIMEVALUE(DaqBook_RAW_Data!Q641),IFERROR(TIMEVALUE(DaqBook_RAW_Data!A641),""))</f>
        <v/>
      </c>
      <c r="C651" s="153" t="str">
        <v/>
      </c>
      <c r="D651" s="153" t="str">
        <v/>
      </c>
      <c r="E651" s="153" t="str">
        <v/>
      </c>
      <c r="F651" s="153" t="str">
        <v/>
      </c>
      <c r="G651" s="153" t="str">
        <v/>
      </c>
      <c r="H651" s="153" t="str">
        <v/>
      </c>
      <c r="I651" s="153" t="str">
        <v/>
      </c>
      <c r="J651" s="153" t="str">
        <v/>
      </c>
      <c r="K651" s="153" t="str">
        <v/>
      </c>
      <c r="L651" s="153" t="str">
        <v/>
      </c>
      <c r="M651" s="153" t="str">
        <v/>
      </c>
      <c r="N651" s="153" t="str">
        <v/>
      </c>
      <c r="O651" s="153" t="str">
        <v/>
      </c>
      <c r="P651" s="153" t="str">
        <v/>
      </c>
    </row>
    <row r="652" spans="1:16" x14ac:dyDescent="0.2">
      <c r="A652" s="58" t="str">
        <v/>
      </c>
      <c r="B652" s="131" t="str">
        <f>IFERROR(TIMEVALUE(DaqBook_RAW_Data!Q642),IFERROR(TIMEVALUE(DaqBook_RAW_Data!A642),""))</f>
        <v/>
      </c>
      <c r="C652" s="153" t="str">
        <v/>
      </c>
      <c r="D652" s="153" t="str">
        <v/>
      </c>
      <c r="E652" s="153" t="str">
        <v/>
      </c>
      <c r="F652" s="153" t="str">
        <v/>
      </c>
      <c r="G652" s="153" t="str">
        <v/>
      </c>
      <c r="H652" s="153" t="str">
        <v/>
      </c>
      <c r="I652" s="153" t="str">
        <v/>
      </c>
      <c r="J652" s="153" t="str">
        <v/>
      </c>
      <c r="K652" s="153" t="str">
        <v/>
      </c>
      <c r="L652" s="153" t="str">
        <v/>
      </c>
      <c r="M652" s="153" t="str">
        <v/>
      </c>
      <c r="N652" s="153" t="str">
        <v/>
      </c>
      <c r="O652" s="153" t="str">
        <v/>
      </c>
      <c r="P652" s="153" t="str">
        <v/>
      </c>
    </row>
    <row r="653" spans="1:16" x14ac:dyDescent="0.2">
      <c r="A653" s="58" t="str">
        <v/>
      </c>
      <c r="B653" s="131" t="str">
        <f>IFERROR(TIMEVALUE(DaqBook_RAW_Data!Q643),IFERROR(TIMEVALUE(DaqBook_RAW_Data!A643),""))</f>
        <v/>
      </c>
      <c r="C653" s="153" t="str">
        <v/>
      </c>
      <c r="D653" s="153" t="str">
        <v/>
      </c>
      <c r="E653" s="153" t="str">
        <v/>
      </c>
      <c r="F653" s="153" t="str">
        <v/>
      </c>
      <c r="G653" s="153" t="str">
        <v/>
      </c>
      <c r="H653" s="153" t="str">
        <v/>
      </c>
      <c r="I653" s="153" t="str">
        <v/>
      </c>
      <c r="J653" s="153" t="str">
        <v/>
      </c>
      <c r="K653" s="153" t="str">
        <v/>
      </c>
      <c r="L653" s="153" t="str">
        <v/>
      </c>
      <c r="M653" s="153" t="str">
        <v/>
      </c>
      <c r="N653" s="153" t="str">
        <v/>
      </c>
      <c r="O653" s="153" t="str">
        <v/>
      </c>
      <c r="P653" s="153" t="str">
        <v/>
      </c>
    </row>
    <row r="654" spans="1:16" x14ac:dyDescent="0.2">
      <c r="A654" s="58" t="str">
        <v/>
      </c>
      <c r="B654" s="131" t="str">
        <f>IFERROR(TIMEVALUE(DaqBook_RAW_Data!Q644),IFERROR(TIMEVALUE(DaqBook_RAW_Data!A644),""))</f>
        <v/>
      </c>
      <c r="C654" s="153" t="str">
        <v/>
      </c>
      <c r="D654" s="153" t="str">
        <v/>
      </c>
      <c r="E654" s="153" t="str">
        <v/>
      </c>
      <c r="F654" s="153" t="str">
        <v/>
      </c>
      <c r="G654" s="153" t="str">
        <v/>
      </c>
      <c r="H654" s="153" t="str">
        <v/>
      </c>
      <c r="I654" s="153" t="str">
        <v/>
      </c>
      <c r="J654" s="153" t="str">
        <v/>
      </c>
      <c r="K654" s="153" t="str">
        <v/>
      </c>
      <c r="L654" s="153" t="str">
        <v/>
      </c>
      <c r="M654" s="153" t="str">
        <v/>
      </c>
      <c r="N654" s="153" t="str">
        <v/>
      </c>
      <c r="O654" s="153" t="str">
        <v/>
      </c>
      <c r="P654" s="153" t="str">
        <v/>
      </c>
    </row>
    <row r="655" spans="1:16" x14ac:dyDescent="0.2">
      <c r="A655" s="58" t="str">
        <v/>
      </c>
      <c r="B655" s="131" t="str">
        <f>IFERROR(TIMEVALUE(DaqBook_RAW_Data!Q645),IFERROR(TIMEVALUE(DaqBook_RAW_Data!A645),""))</f>
        <v/>
      </c>
      <c r="C655" s="153" t="str">
        <v/>
      </c>
      <c r="D655" s="153" t="str">
        <v/>
      </c>
      <c r="E655" s="153" t="str">
        <v/>
      </c>
      <c r="F655" s="153" t="str">
        <v/>
      </c>
      <c r="G655" s="153" t="str">
        <v/>
      </c>
      <c r="H655" s="153" t="str">
        <v/>
      </c>
      <c r="I655" s="153" t="str">
        <v/>
      </c>
      <c r="J655" s="153" t="str">
        <v/>
      </c>
      <c r="K655" s="153" t="str">
        <v/>
      </c>
      <c r="L655" s="153" t="str">
        <v/>
      </c>
      <c r="M655" s="153" t="str">
        <v/>
      </c>
      <c r="N655" s="153" t="str">
        <v/>
      </c>
      <c r="O655" s="153" t="str">
        <v/>
      </c>
      <c r="P655" s="153" t="str">
        <v/>
      </c>
    </row>
    <row r="656" spans="1:16" x14ac:dyDescent="0.2">
      <c r="A656" s="58" t="str">
        <v/>
      </c>
      <c r="B656" s="131" t="str">
        <f>IFERROR(TIMEVALUE(DaqBook_RAW_Data!Q646),IFERROR(TIMEVALUE(DaqBook_RAW_Data!A646),""))</f>
        <v/>
      </c>
      <c r="C656" s="153" t="str">
        <v/>
      </c>
      <c r="D656" s="153" t="str">
        <v/>
      </c>
      <c r="E656" s="153" t="str">
        <v/>
      </c>
      <c r="F656" s="153" t="str">
        <v/>
      </c>
      <c r="G656" s="153" t="str">
        <v/>
      </c>
      <c r="H656" s="153" t="str">
        <v/>
      </c>
      <c r="I656" s="153" t="str">
        <v/>
      </c>
      <c r="J656" s="153" t="str">
        <v/>
      </c>
      <c r="K656" s="153" t="str">
        <v/>
      </c>
      <c r="L656" s="153" t="str">
        <v/>
      </c>
      <c r="M656" s="153" t="str">
        <v/>
      </c>
      <c r="N656" s="153" t="str">
        <v/>
      </c>
      <c r="O656" s="153" t="str">
        <v/>
      </c>
      <c r="P656" s="153" t="str">
        <v/>
      </c>
    </row>
    <row r="657" spans="1:16" x14ac:dyDescent="0.2">
      <c r="A657" s="58" t="str">
        <v/>
      </c>
      <c r="B657" s="131" t="str">
        <f>IFERROR(TIMEVALUE(DaqBook_RAW_Data!Q647),IFERROR(TIMEVALUE(DaqBook_RAW_Data!A647),""))</f>
        <v/>
      </c>
      <c r="C657" s="153" t="str">
        <v/>
      </c>
      <c r="D657" s="153" t="str">
        <v/>
      </c>
      <c r="E657" s="153" t="str">
        <v/>
      </c>
      <c r="F657" s="153" t="str">
        <v/>
      </c>
      <c r="G657" s="153" t="str">
        <v/>
      </c>
      <c r="H657" s="153" t="str">
        <v/>
      </c>
      <c r="I657" s="153" t="str">
        <v/>
      </c>
      <c r="J657" s="153" t="str">
        <v/>
      </c>
      <c r="K657" s="153" t="str">
        <v/>
      </c>
      <c r="L657" s="153" t="str">
        <v/>
      </c>
      <c r="M657" s="153" t="str">
        <v/>
      </c>
      <c r="N657" s="153" t="str">
        <v/>
      </c>
      <c r="O657" s="153" t="str">
        <v/>
      </c>
      <c r="P657" s="153" t="str">
        <v/>
      </c>
    </row>
    <row r="658" spans="1:16" x14ac:dyDescent="0.2">
      <c r="A658" s="58" t="str">
        <v/>
      </c>
      <c r="B658" s="131" t="str">
        <f>IFERROR(TIMEVALUE(DaqBook_RAW_Data!Q648),IFERROR(TIMEVALUE(DaqBook_RAW_Data!A648),""))</f>
        <v/>
      </c>
      <c r="C658" s="153" t="str">
        <v/>
      </c>
      <c r="D658" s="153" t="str">
        <v/>
      </c>
      <c r="E658" s="153" t="str">
        <v/>
      </c>
      <c r="F658" s="153" t="str">
        <v/>
      </c>
      <c r="G658" s="153" t="str">
        <v/>
      </c>
      <c r="H658" s="153" t="str">
        <v/>
      </c>
      <c r="I658" s="153" t="str">
        <v/>
      </c>
      <c r="J658" s="153" t="str">
        <v/>
      </c>
      <c r="K658" s="153" t="str">
        <v/>
      </c>
      <c r="L658" s="153" t="str">
        <v/>
      </c>
      <c r="M658" s="153" t="str">
        <v/>
      </c>
      <c r="N658" s="153" t="str">
        <v/>
      </c>
      <c r="O658" s="153" t="str">
        <v/>
      </c>
      <c r="P658" s="153" t="str">
        <v/>
      </c>
    </row>
    <row r="659" spans="1:16" x14ac:dyDescent="0.2">
      <c r="A659" s="58" t="str">
        <v/>
      </c>
      <c r="B659" s="131" t="str">
        <f>IFERROR(TIMEVALUE(DaqBook_RAW_Data!Q649),IFERROR(TIMEVALUE(DaqBook_RAW_Data!A649),""))</f>
        <v/>
      </c>
      <c r="C659" s="153" t="str">
        <v/>
      </c>
      <c r="D659" s="153" t="str">
        <v/>
      </c>
      <c r="E659" s="153" t="str">
        <v/>
      </c>
      <c r="F659" s="153" t="str">
        <v/>
      </c>
      <c r="G659" s="153" t="str">
        <v/>
      </c>
      <c r="H659" s="153" t="str">
        <v/>
      </c>
      <c r="I659" s="153" t="str">
        <v/>
      </c>
      <c r="J659" s="153" t="str">
        <v/>
      </c>
      <c r="K659" s="153" t="str">
        <v/>
      </c>
      <c r="L659" s="153" t="str">
        <v/>
      </c>
      <c r="M659" s="153" t="str">
        <v/>
      </c>
      <c r="N659" s="153" t="str">
        <v/>
      </c>
      <c r="O659" s="153" t="str">
        <v/>
      </c>
      <c r="P659" s="153" t="str">
        <v/>
      </c>
    </row>
    <row r="660" spans="1:16" x14ac:dyDescent="0.2">
      <c r="A660" s="58" t="str">
        <v/>
      </c>
      <c r="B660" s="131" t="str">
        <f>IFERROR(TIMEVALUE(DaqBook_RAW_Data!Q650),IFERROR(TIMEVALUE(DaqBook_RAW_Data!A650),""))</f>
        <v/>
      </c>
      <c r="C660" s="153" t="str">
        <v/>
      </c>
      <c r="D660" s="153" t="str">
        <v/>
      </c>
      <c r="E660" s="153" t="str">
        <v/>
      </c>
      <c r="F660" s="153" t="str">
        <v/>
      </c>
      <c r="G660" s="153" t="str">
        <v/>
      </c>
      <c r="H660" s="153" t="str">
        <v/>
      </c>
      <c r="I660" s="153" t="str">
        <v/>
      </c>
      <c r="J660" s="153" t="str">
        <v/>
      </c>
      <c r="K660" s="153" t="str">
        <v/>
      </c>
      <c r="L660" s="153" t="str">
        <v/>
      </c>
      <c r="M660" s="153" t="str">
        <v/>
      </c>
      <c r="N660" s="153" t="str">
        <v/>
      </c>
      <c r="O660" s="153" t="str">
        <v/>
      </c>
      <c r="P660" s="153" t="str">
        <v/>
      </c>
    </row>
    <row r="661" spans="1:16" x14ac:dyDescent="0.2">
      <c r="A661" s="58" t="str">
        <v/>
      </c>
      <c r="B661" s="131" t="str">
        <f>IFERROR(TIMEVALUE(DaqBook_RAW_Data!Q651),IFERROR(TIMEVALUE(DaqBook_RAW_Data!A651),""))</f>
        <v/>
      </c>
      <c r="C661" s="153" t="str">
        <v/>
      </c>
      <c r="D661" s="153" t="str">
        <v/>
      </c>
      <c r="E661" s="153" t="str">
        <v/>
      </c>
      <c r="F661" s="153" t="str">
        <v/>
      </c>
      <c r="G661" s="153" t="str">
        <v/>
      </c>
      <c r="H661" s="153" t="str">
        <v/>
      </c>
      <c r="I661" s="153" t="str">
        <v/>
      </c>
      <c r="J661" s="153" t="str">
        <v/>
      </c>
      <c r="K661" s="153" t="str">
        <v/>
      </c>
      <c r="L661" s="153" t="str">
        <v/>
      </c>
      <c r="M661" s="153" t="str">
        <v/>
      </c>
      <c r="N661" s="153" t="str">
        <v/>
      </c>
      <c r="O661" s="153" t="str">
        <v/>
      </c>
      <c r="P661" s="153" t="str">
        <v/>
      </c>
    </row>
    <row r="662" spans="1:16" x14ac:dyDescent="0.2">
      <c r="A662" s="58" t="str">
        <v/>
      </c>
      <c r="B662" s="131" t="str">
        <f>IFERROR(TIMEVALUE(DaqBook_RAW_Data!Q652),IFERROR(TIMEVALUE(DaqBook_RAW_Data!A652),""))</f>
        <v/>
      </c>
      <c r="C662" s="153" t="str">
        <v/>
      </c>
      <c r="D662" s="153" t="str">
        <v/>
      </c>
      <c r="E662" s="153" t="str">
        <v/>
      </c>
      <c r="F662" s="153" t="str">
        <v/>
      </c>
      <c r="G662" s="153" t="str">
        <v/>
      </c>
      <c r="H662" s="153" t="str">
        <v/>
      </c>
      <c r="I662" s="153" t="str">
        <v/>
      </c>
      <c r="J662" s="153" t="str">
        <v/>
      </c>
      <c r="K662" s="153" t="str">
        <v/>
      </c>
      <c r="L662" s="153" t="str">
        <v/>
      </c>
      <c r="M662" s="153" t="str">
        <v/>
      </c>
      <c r="N662" s="153" t="str">
        <v/>
      </c>
      <c r="O662" s="153" t="str">
        <v/>
      </c>
      <c r="P662" s="153" t="str">
        <v/>
      </c>
    </row>
    <row r="663" spans="1:16" x14ac:dyDescent="0.2">
      <c r="A663" s="58" t="str">
        <v/>
      </c>
      <c r="B663" s="131" t="str">
        <f>IFERROR(TIMEVALUE(DaqBook_RAW_Data!Q653),IFERROR(TIMEVALUE(DaqBook_RAW_Data!A653),""))</f>
        <v/>
      </c>
      <c r="C663" s="153" t="str">
        <v/>
      </c>
      <c r="D663" s="153" t="str">
        <v/>
      </c>
      <c r="E663" s="153" t="str">
        <v/>
      </c>
      <c r="F663" s="153" t="str">
        <v/>
      </c>
      <c r="G663" s="153" t="str">
        <v/>
      </c>
      <c r="H663" s="153" t="str">
        <v/>
      </c>
      <c r="I663" s="153" t="str">
        <v/>
      </c>
      <c r="J663" s="153" t="str">
        <v/>
      </c>
      <c r="K663" s="153" t="str">
        <v/>
      </c>
      <c r="L663" s="153" t="str">
        <v/>
      </c>
      <c r="M663" s="153" t="str">
        <v/>
      </c>
      <c r="N663" s="153" t="str">
        <v/>
      </c>
      <c r="O663" s="153" t="str">
        <v/>
      </c>
      <c r="P663" s="153" t="str">
        <v/>
      </c>
    </row>
    <row r="664" spans="1:16" x14ac:dyDescent="0.2">
      <c r="A664" s="58" t="str">
        <v/>
      </c>
      <c r="B664" s="131" t="str">
        <f>IFERROR(TIMEVALUE(DaqBook_RAW_Data!Q654),IFERROR(TIMEVALUE(DaqBook_RAW_Data!A654),""))</f>
        <v/>
      </c>
      <c r="C664" s="153" t="str">
        <v/>
      </c>
      <c r="D664" s="153" t="str">
        <v/>
      </c>
      <c r="E664" s="153" t="str">
        <v/>
      </c>
      <c r="F664" s="153" t="str">
        <v/>
      </c>
      <c r="G664" s="153" t="str">
        <v/>
      </c>
      <c r="H664" s="153" t="str">
        <v/>
      </c>
      <c r="I664" s="153" t="str">
        <v/>
      </c>
      <c r="J664" s="153" t="str">
        <v/>
      </c>
      <c r="K664" s="153" t="str">
        <v/>
      </c>
      <c r="L664" s="153" t="str">
        <v/>
      </c>
      <c r="M664" s="153" t="str">
        <v/>
      </c>
      <c r="N664" s="153" t="str">
        <v/>
      </c>
      <c r="O664" s="153" t="str">
        <v/>
      </c>
      <c r="P664" s="153" t="str">
        <v/>
      </c>
    </row>
    <row r="665" spans="1:16" x14ac:dyDescent="0.2">
      <c r="A665" s="58" t="str">
        <v/>
      </c>
      <c r="B665" s="131" t="str">
        <f>IFERROR(TIMEVALUE(DaqBook_RAW_Data!Q655),IFERROR(TIMEVALUE(DaqBook_RAW_Data!A655),""))</f>
        <v/>
      </c>
      <c r="C665" s="153" t="str">
        <v/>
      </c>
      <c r="D665" s="153" t="str">
        <v/>
      </c>
      <c r="E665" s="153" t="str">
        <v/>
      </c>
      <c r="F665" s="153" t="str">
        <v/>
      </c>
      <c r="G665" s="153" t="str">
        <v/>
      </c>
      <c r="H665" s="153" t="str">
        <v/>
      </c>
      <c r="I665" s="153" t="str">
        <v/>
      </c>
      <c r="J665" s="153" t="str">
        <v/>
      </c>
      <c r="K665" s="153" t="str">
        <v/>
      </c>
      <c r="L665" s="153" t="str">
        <v/>
      </c>
      <c r="M665" s="153" t="str">
        <v/>
      </c>
      <c r="N665" s="153" t="str">
        <v/>
      </c>
      <c r="O665" s="153" t="str">
        <v/>
      </c>
      <c r="P665" s="153" t="str">
        <v/>
      </c>
    </row>
    <row r="666" spans="1:16" x14ac:dyDescent="0.2">
      <c r="A666" s="58" t="str">
        <v/>
      </c>
      <c r="B666" s="131" t="str">
        <f>IFERROR(TIMEVALUE(DaqBook_RAW_Data!Q656),IFERROR(TIMEVALUE(DaqBook_RAW_Data!A656),""))</f>
        <v/>
      </c>
      <c r="C666" s="153" t="str">
        <v/>
      </c>
      <c r="D666" s="153" t="str">
        <v/>
      </c>
      <c r="E666" s="153" t="str">
        <v/>
      </c>
      <c r="F666" s="153" t="str">
        <v/>
      </c>
      <c r="G666" s="153" t="str">
        <v/>
      </c>
      <c r="H666" s="153" t="str">
        <v/>
      </c>
      <c r="I666" s="153" t="str">
        <v/>
      </c>
      <c r="J666" s="153" t="str">
        <v/>
      </c>
      <c r="K666" s="153" t="str">
        <v/>
      </c>
      <c r="L666" s="153" t="str">
        <v/>
      </c>
      <c r="M666" s="153" t="str">
        <v/>
      </c>
      <c r="N666" s="153" t="str">
        <v/>
      </c>
      <c r="O666" s="153" t="str">
        <v/>
      </c>
      <c r="P666" s="153" t="str">
        <v/>
      </c>
    </row>
    <row r="667" spans="1:16" x14ac:dyDescent="0.2">
      <c r="A667" s="58" t="str">
        <v/>
      </c>
      <c r="B667" s="131" t="str">
        <f>IFERROR(TIMEVALUE(DaqBook_RAW_Data!Q657),IFERROR(TIMEVALUE(DaqBook_RAW_Data!A657),""))</f>
        <v/>
      </c>
      <c r="C667" s="153" t="str">
        <v/>
      </c>
      <c r="D667" s="153" t="str">
        <v/>
      </c>
      <c r="E667" s="153" t="str">
        <v/>
      </c>
      <c r="F667" s="153" t="str">
        <v/>
      </c>
      <c r="G667" s="153" t="str">
        <v/>
      </c>
      <c r="H667" s="153" t="str">
        <v/>
      </c>
      <c r="I667" s="153" t="str">
        <v/>
      </c>
      <c r="J667" s="153" t="str">
        <v/>
      </c>
      <c r="K667" s="153" t="str">
        <v/>
      </c>
      <c r="L667" s="153" t="str">
        <v/>
      </c>
      <c r="M667" s="153" t="str">
        <v/>
      </c>
      <c r="N667" s="153" t="str">
        <v/>
      </c>
      <c r="O667" s="153" t="str">
        <v/>
      </c>
      <c r="P667" s="153" t="str">
        <v/>
      </c>
    </row>
    <row r="668" spans="1:16" x14ac:dyDescent="0.2">
      <c r="A668" s="58" t="str">
        <v/>
      </c>
      <c r="B668" s="131" t="str">
        <f>IFERROR(TIMEVALUE(DaqBook_RAW_Data!Q658),IFERROR(TIMEVALUE(DaqBook_RAW_Data!A658),""))</f>
        <v/>
      </c>
      <c r="C668" s="153" t="str">
        <v/>
      </c>
      <c r="D668" s="153" t="str">
        <v/>
      </c>
      <c r="E668" s="153" t="str">
        <v/>
      </c>
      <c r="F668" s="153" t="str">
        <v/>
      </c>
      <c r="G668" s="153" t="str">
        <v/>
      </c>
      <c r="H668" s="153" t="str">
        <v/>
      </c>
      <c r="I668" s="153" t="str">
        <v/>
      </c>
      <c r="J668" s="153" t="str">
        <v/>
      </c>
      <c r="K668" s="153" t="str">
        <v/>
      </c>
      <c r="L668" s="153" t="str">
        <v/>
      </c>
      <c r="M668" s="153" t="str">
        <v/>
      </c>
      <c r="N668" s="153" t="str">
        <v/>
      </c>
      <c r="O668" s="153" t="str">
        <v/>
      </c>
      <c r="P668" s="153" t="str">
        <v/>
      </c>
    </row>
    <row r="669" spans="1:16" x14ac:dyDescent="0.2">
      <c r="A669" s="58" t="str">
        <v/>
      </c>
      <c r="B669" s="131" t="str">
        <f>IFERROR(TIMEVALUE(DaqBook_RAW_Data!Q659),IFERROR(TIMEVALUE(DaqBook_RAW_Data!A659),""))</f>
        <v/>
      </c>
      <c r="C669" s="153" t="str">
        <v/>
      </c>
      <c r="D669" s="153" t="str">
        <v/>
      </c>
      <c r="E669" s="153" t="str">
        <v/>
      </c>
      <c r="F669" s="153" t="str">
        <v/>
      </c>
      <c r="G669" s="153" t="str">
        <v/>
      </c>
      <c r="H669" s="153" t="str">
        <v/>
      </c>
      <c r="I669" s="153" t="str">
        <v/>
      </c>
      <c r="J669" s="153" t="str">
        <v/>
      </c>
      <c r="K669" s="153" t="str">
        <v/>
      </c>
      <c r="L669" s="153" t="str">
        <v/>
      </c>
      <c r="M669" s="153" t="str">
        <v/>
      </c>
      <c r="N669" s="153" t="str">
        <v/>
      </c>
      <c r="O669" s="153" t="str">
        <v/>
      </c>
      <c r="P669" s="153" t="str">
        <v/>
      </c>
    </row>
    <row r="670" spans="1:16" x14ac:dyDescent="0.2">
      <c r="A670" s="58" t="str">
        <v/>
      </c>
      <c r="B670" s="131" t="str">
        <f>IFERROR(TIMEVALUE(DaqBook_RAW_Data!Q660),IFERROR(TIMEVALUE(DaqBook_RAW_Data!A660),""))</f>
        <v/>
      </c>
      <c r="C670" s="153" t="str">
        <v/>
      </c>
      <c r="D670" s="153" t="str">
        <v/>
      </c>
      <c r="E670" s="153" t="str">
        <v/>
      </c>
      <c r="F670" s="153" t="str">
        <v/>
      </c>
      <c r="G670" s="153" t="str">
        <v/>
      </c>
      <c r="H670" s="153" t="str">
        <v/>
      </c>
      <c r="I670" s="153" t="str">
        <v/>
      </c>
      <c r="J670" s="153" t="str">
        <v/>
      </c>
      <c r="K670" s="153" t="str">
        <v/>
      </c>
      <c r="L670" s="153" t="str">
        <v/>
      </c>
      <c r="M670" s="153" t="str">
        <v/>
      </c>
      <c r="N670" s="153" t="str">
        <v/>
      </c>
      <c r="O670" s="153" t="str">
        <v/>
      </c>
      <c r="P670" s="153" t="str">
        <v/>
      </c>
    </row>
    <row r="671" spans="1:16" x14ac:dyDescent="0.2">
      <c r="A671" s="58" t="str">
        <v/>
      </c>
      <c r="B671" s="131" t="str">
        <f>IFERROR(TIMEVALUE(DaqBook_RAW_Data!Q661),IFERROR(TIMEVALUE(DaqBook_RAW_Data!A661),""))</f>
        <v/>
      </c>
      <c r="C671" s="153" t="str">
        <v/>
      </c>
      <c r="D671" s="153" t="str">
        <v/>
      </c>
      <c r="E671" s="153" t="str">
        <v/>
      </c>
      <c r="F671" s="153" t="str">
        <v/>
      </c>
      <c r="G671" s="153" t="str">
        <v/>
      </c>
      <c r="H671" s="153" t="str">
        <v/>
      </c>
      <c r="I671" s="153" t="str">
        <v/>
      </c>
      <c r="J671" s="153" t="str">
        <v/>
      </c>
      <c r="K671" s="153" t="str">
        <v/>
      </c>
      <c r="L671" s="153" t="str">
        <v/>
      </c>
      <c r="M671" s="153" t="str">
        <v/>
      </c>
      <c r="N671" s="153" t="str">
        <v/>
      </c>
      <c r="O671" s="153" t="str">
        <v/>
      </c>
      <c r="P671" s="153" t="str">
        <v/>
      </c>
    </row>
    <row r="672" spans="1:16" x14ac:dyDescent="0.2">
      <c r="A672" s="58" t="str">
        <v/>
      </c>
      <c r="B672" s="131" t="str">
        <f>IFERROR(TIMEVALUE(DaqBook_RAW_Data!Q662),IFERROR(TIMEVALUE(DaqBook_RAW_Data!A662),""))</f>
        <v/>
      </c>
      <c r="C672" s="153" t="str">
        <v/>
      </c>
      <c r="D672" s="153" t="str">
        <v/>
      </c>
      <c r="E672" s="153" t="str">
        <v/>
      </c>
      <c r="F672" s="153" t="str">
        <v/>
      </c>
      <c r="G672" s="153" t="str">
        <v/>
      </c>
      <c r="H672" s="153" t="str">
        <v/>
      </c>
      <c r="I672" s="153" t="str">
        <v/>
      </c>
      <c r="J672" s="153" t="str">
        <v/>
      </c>
      <c r="K672" s="153" t="str">
        <v/>
      </c>
      <c r="L672" s="153" t="str">
        <v/>
      </c>
      <c r="M672" s="153" t="str">
        <v/>
      </c>
      <c r="N672" s="153" t="str">
        <v/>
      </c>
      <c r="O672" s="153" t="str">
        <v/>
      </c>
      <c r="P672" s="153" t="str">
        <v/>
      </c>
    </row>
    <row r="673" spans="1:16" x14ac:dyDescent="0.2">
      <c r="A673" s="58" t="str">
        <v/>
      </c>
      <c r="B673" s="131" t="str">
        <f>IFERROR(TIMEVALUE(DaqBook_RAW_Data!Q663),IFERROR(TIMEVALUE(DaqBook_RAW_Data!A663),""))</f>
        <v/>
      </c>
      <c r="C673" s="153" t="str">
        <v/>
      </c>
      <c r="D673" s="153" t="str">
        <v/>
      </c>
      <c r="E673" s="153" t="str">
        <v/>
      </c>
      <c r="F673" s="153" t="str">
        <v/>
      </c>
      <c r="G673" s="153" t="str">
        <v/>
      </c>
      <c r="H673" s="153" t="str">
        <v/>
      </c>
      <c r="I673" s="153" t="str">
        <v/>
      </c>
      <c r="J673" s="153" t="str">
        <v/>
      </c>
      <c r="K673" s="153" t="str">
        <v/>
      </c>
      <c r="L673" s="153" t="str">
        <v/>
      </c>
      <c r="M673" s="153" t="str">
        <v/>
      </c>
      <c r="N673" s="153" t="str">
        <v/>
      </c>
      <c r="O673" s="153" t="str">
        <v/>
      </c>
      <c r="P673" s="153" t="str">
        <v/>
      </c>
    </row>
    <row r="674" spans="1:16" x14ac:dyDescent="0.2">
      <c r="A674" s="58" t="str">
        <v/>
      </c>
      <c r="B674" s="131" t="str">
        <f>IFERROR(TIMEVALUE(DaqBook_RAW_Data!Q664),IFERROR(TIMEVALUE(DaqBook_RAW_Data!A664),""))</f>
        <v/>
      </c>
      <c r="C674" s="153" t="str">
        <v/>
      </c>
      <c r="D674" s="153" t="str">
        <v/>
      </c>
      <c r="E674" s="153" t="str">
        <v/>
      </c>
      <c r="F674" s="153" t="str">
        <v/>
      </c>
      <c r="G674" s="153" t="str">
        <v/>
      </c>
      <c r="H674" s="153" t="str">
        <v/>
      </c>
      <c r="I674" s="153" t="str">
        <v/>
      </c>
      <c r="J674" s="153" t="str">
        <v/>
      </c>
      <c r="K674" s="153" t="str">
        <v/>
      </c>
      <c r="L674" s="153" t="str">
        <v/>
      </c>
      <c r="M674" s="153" t="str">
        <v/>
      </c>
      <c r="N674" s="153" t="str">
        <v/>
      </c>
      <c r="O674" s="153" t="str">
        <v/>
      </c>
      <c r="P674" s="153" t="str">
        <v/>
      </c>
    </row>
    <row r="675" spans="1:16" x14ac:dyDescent="0.2">
      <c r="A675" s="58" t="str">
        <v/>
      </c>
      <c r="B675" s="131" t="str">
        <f>IFERROR(TIMEVALUE(DaqBook_RAW_Data!Q665),IFERROR(TIMEVALUE(DaqBook_RAW_Data!A665),""))</f>
        <v/>
      </c>
      <c r="C675" s="153" t="str">
        <v/>
      </c>
      <c r="D675" s="153" t="str">
        <v/>
      </c>
      <c r="E675" s="153" t="str">
        <v/>
      </c>
      <c r="F675" s="153" t="str">
        <v/>
      </c>
      <c r="G675" s="153" t="str">
        <v/>
      </c>
      <c r="H675" s="153" t="str">
        <v/>
      </c>
      <c r="I675" s="153" t="str">
        <v/>
      </c>
      <c r="J675" s="153" t="str">
        <v/>
      </c>
      <c r="K675" s="153" t="str">
        <v/>
      </c>
      <c r="L675" s="153" t="str">
        <v/>
      </c>
      <c r="M675" s="153" t="str">
        <v/>
      </c>
      <c r="N675" s="153" t="str">
        <v/>
      </c>
      <c r="O675" s="153" t="str">
        <v/>
      </c>
      <c r="P675" s="153" t="str">
        <v/>
      </c>
    </row>
    <row r="676" spans="1:16" x14ac:dyDescent="0.2">
      <c r="A676" s="58" t="str">
        <v/>
      </c>
      <c r="B676" s="131" t="str">
        <f>IFERROR(TIMEVALUE(DaqBook_RAW_Data!Q666),IFERROR(TIMEVALUE(DaqBook_RAW_Data!A666),""))</f>
        <v/>
      </c>
      <c r="C676" s="153" t="str">
        <v/>
      </c>
      <c r="D676" s="153" t="str">
        <v/>
      </c>
      <c r="E676" s="153" t="str">
        <v/>
      </c>
      <c r="F676" s="153" t="str">
        <v/>
      </c>
      <c r="G676" s="153" t="str">
        <v/>
      </c>
      <c r="H676" s="153" t="str">
        <v/>
      </c>
      <c r="I676" s="153" t="str">
        <v/>
      </c>
      <c r="J676" s="153" t="str">
        <v/>
      </c>
      <c r="K676" s="153" t="str">
        <v/>
      </c>
      <c r="L676" s="153" t="str">
        <v/>
      </c>
      <c r="M676" s="153" t="str">
        <v/>
      </c>
      <c r="N676" s="153" t="str">
        <v/>
      </c>
      <c r="O676" s="153" t="str">
        <v/>
      </c>
      <c r="P676" s="153" t="str">
        <v/>
      </c>
    </row>
    <row r="677" spans="1:16" x14ac:dyDescent="0.2">
      <c r="A677" s="58" t="str">
        <v/>
      </c>
      <c r="B677" s="131" t="str">
        <f>IFERROR(TIMEVALUE(DaqBook_RAW_Data!Q667),IFERROR(TIMEVALUE(DaqBook_RAW_Data!A667),""))</f>
        <v/>
      </c>
      <c r="C677" s="153" t="str">
        <v/>
      </c>
      <c r="D677" s="153" t="str">
        <v/>
      </c>
      <c r="E677" s="153" t="str">
        <v/>
      </c>
      <c r="F677" s="153" t="str">
        <v/>
      </c>
      <c r="G677" s="153" t="str">
        <v/>
      </c>
      <c r="H677" s="153" t="str">
        <v/>
      </c>
      <c r="I677" s="153" t="str">
        <v/>
      </c>
      <c r="J677" s="153" t="str">
        <v/>
      </c>
      <c r="K677" s="153" t="str">
        <v/>
      </c>
      <c r="L677" s="153" t="str">
        <v/>
      </c>
      <c r="M677" s="153" t="str">
        <v/>
      </c>
      <c r="N677" s="153" t="str">
        <v/>
      </c>
      <c r="O677" s="153" t="str">
        <v/>
      </c>
      <c r="P677" s="153" t="str">
        <v/>
      </c>
    </row>
    <row r="678" spans="1:16" x14ac:dyDescent="0.2">
      <c r="A678" s="58" t="str">
        <v/>
      </c>
      <c r="B678" s="131" t="str">
        <f>IFERROR(TIMEVALUE(DaqBook_RAW_Data!Q668),IFERROR(TIMEVALUE(DaqBook_RAW_Data!A668),""))</f>
        <v/>
      </c>
      <c r="C678" s="153" t="str">
        <v/>
      </c>
      <c r="D678" s="153" t="str">
        <v/>
      </c>
      <c r="E678" s="153" t="str">
        <v/>
      </c>
      <c r="F678" s="153" t="str">
        <v/>
      </c>
      <c r="G678" s="153" t="str">
        <v/>
      </c>
      <c r="H678" s="153" t="str">
        <v/>
      </c>
      <c r="I678" s="153" t="str">
        <v/>
      </c>
      <c r="J678" s="153" t="str">
        <v/>
      </c>
      <c r="K678" s="153" t="str">
        <v/>
      </c>
      <c r="L678" s="153" t="str">
        <v/>
      </c>
      <c r="M678" s="153" t="str">
        <v/>
      </c>
      <c r="N678" s="153" t="str">
        <v/>
      </c>
      <c r="O678" s="153" t="str">
        <v/>
      </c>
      <c r="P678" s="153" t="str">
        <v/>
      </c>
    </row>
    <row r="679" spans="1:16" x14ac:dyDescent="0.2">
      <c r="A679" s="58" t="str">
        <v/>
      </c>
      <c r="B679" s="131" t="str">
        <f>IFERROR(TIMEVALUE(DaqBook_RAW_Data!Q669),IFERROR(TIMEVALUE(DaqBook_RAW_Data!A669),""))</f>
        <v/>
      </c>
      <c r="C679" s="153" t="str">
        <v/>
      </c>
      <c r="D679" s="153" t="str">
        <v/>
      </c>
      <c r="E679" s="153" t="str">
        <v/>
      </c>
      <c r="F679" s="153" t="str">
        <v/>
      </c>
      <c r="G679" s="153" t="str">
        <v/>
      </c>
      <c r="H679" s="153" t="str">
        <v/>
      </c>
      <c r="I679" s="153" t="str">
        <v/>
      </c>
      <c r="J679" s="153" t="str">
        <v/>
      </c>
      <c r="K679" s="153" t="str">
        <v/>
      </c>
      <c r="L679" s="153" t="str">
        <v/>
      </c>
      <c r="M679" s="153" t="str">
        <v/>
      </c>
      <c r="N679" s="153" t="str">
        <v/>
      </c>
      <c r="O679" s="153" t="str">
        <v/>
      </c>
      <c r="P679" s="153" t="str">
        <v/>
      </c>
    </row>
    <row r="680" spans="1:16" x14ac:dyDescent="0.2">
      <c r="A680" s="58" t="str">
        <v/>
      </c>
      <c r="B680" s="131" t="str">
        <f>IFERROR(TIMEVALUE(DaqBook_RAW_Data!Q670),IFERROR(TIMEVALUE(DaqBook_RAW_Data!A670),""))</f>
        <v/>
      </c>
      <c r="C680" s="153" t="str">
        <v/>
      </c>
      <c r="D680" s="153" t="str">
        <v/>
      </c>
      <c r="E680" s="153" t="str">
        <v/>
      </c>
      <c r="F680" s="153" t="str">
        <v/>
      </c>
      <c r="G680" s="153" t="str">
        <v/>
      </c>
      <c r="H680" s="153" t="str">
        <v/>
      </c>
      <c r="I680" s="153" t="str">
        <v/>
      </c>
      <c r="J680" s="153" t="str">
        <v/>
      </c>
      <c r="K680" s="153" t="str">
        <v/>
      </c>
      <c r="L680" s="153" t="str">
        <v/>
      </c>
      <c r="M680" s="153" t="str">
        <v/>
      </c>
      <c r="N680" s="153" t="str">
        <v/>
      </c>
      <c r="O680" s="153" t="str">
        <v/>
      </c>
      <c r="P680" s="153" t="str">
        <v/>
      </c>
    </row>
    <row r="681" spans="1:16" x14ac:dyDescent="0.2">
      <c r="A681" s="58" t="str">
        <v/>
      </c>
      <c r="B681" s="131" t="str">
        <f>IFERROR(TIMEVALUE(DaqBook_RAW_Data!Q671),IFERROR(TIMEVALUE(DaqBook_RAW_Data!A671),""))</f>
        <v/>
      </c>
      <c r="C681" s="153" t="str">
        <v/>
      </c>
      <c r="D681" s="153" t="str">
        <v/>
      </c>
      <c r="E681" s="153" t="str">
        <v/>
      </c>
      <c r="F681" s="153" t="str">
        <v/>
      </c>
      <c r="G681" s="153" t="str">
        <v/>
      </c>
      <c r="H681" s="153" t="str">
        <v/>
      </c>
      <c r="I681" s="153" t="str">
        <v/>
      </c>
      <c r="J681" s="153" t="str">
        <v/>
      </c>
      <c r="K681" s="153" t="str">
        <v/>
      </c>
      <c r="L681" s="153" t="str">
        <v/>
      </c>
      <c r="M681" s="153" t="str">
        <v/>
      </c>
      <c r="N681" s="153" t="str">
        <v/>
      </c>
      <c r="O681" s="153" t="str">
        <v/>
      </c>
      <c r="P681" s="153" t="str">
        <v/>
      </c>
    </row>
    <row r="682" spans="1:16" x14ac:dyDescent="0.2">
      <c r="A682" s="58" t="str">
        <v/>
      </c>
      <c r="B682" s="131" t="str">
        <f>IFERROR(TIMEVALUE(DaqBook_RAW_Data!Q672),IFERROR(TIMEVALUE(DaqBook_RAW_Data!A672),""))</f>
        <v/>
      </c>
      <c r="C682" s="153" t="str">
        <v/>
      </c>
      <c r="D682" s="153" t="str">
        <v/>
      </c>
      <c r="E682" s="153" t="str">
        <v/>
      </c>
      <c r="F682" s="153" t="str">
        <v/>
      </c>
      <c r="G682" s="153" t="str">
        <v/>
      </c>
      <c r="H682" s="153" t="str">
        <v/>
      </c>
      <c r="I682" s="153" t="str">
        <v/>
      </c>
      <c r="J682" s="153" t="str">
        <v/>
      </c>
      <c r="K682" s="153" t="str">
        <v/>
      </c>
      <c r="L682" s="153" t="str">
        <v/>
      </c>
      <c r="M682" s="153" t="str">
        <v/>
      </c>
      <c r="N682" s="153" t="str">
        <v/>
      </c>
      <c r="O682" s="153" t="str">
        <v/>
      </c>
      <c r="P682" s="153" t="str">
        <v/>
      </c>
    </row>
    <row r="683" spans="1:16" x14ac:dyDescent="0.2">
      <c r="A683" s="58" t="str">
        <v/>
      </c>
      <c r="B683" s="131" t="str">
        <f>IFERROR(TIMEVALUE(DaqBook_RAW_Data!Q673),IFERROR(TIMEVALUE(DaqBook_RAW_Data!A673),""))</f>
        <v/>
      </c>
      <c r="C683" s="153" t="str">
        <v/>
      </c>
      <c r="D683" s="153" t="str">
        <v/>
      </c>
      <c r="E683" s="153" t="str">
        <v/>
      </c>
      <c r="F683" s="153" t="str">
        <v/>
      </c>
      <c r="G683" s="153" t="str">
        <v/>
      </c>
      <c r="H683" s="153" t="str">
        <v/>
      </c>
      <c r="I683" s="153" t="str">
        <v/>
      </c>
      <c r="J683" s="153" t="str">
        <v/>
      </c>
      <c r="K683" s="153" t="str">
        <v/>
      </c>
      <c r="L683" s="153" t="str">
        <v/>
      </c>
      <c r="M683" s="153" t="str">
        <v/>
      </c>
      <c r="N683" s="153" t="str">
        <v/>
      </c>
      <c r="O683" s="153" t="str">
        <v/>
      </c>
      <c r="P683" s="153" t="str">
        <v/>
      </c>
    </row>
    <row r="684" spans="1:16" x14ac:dyDescent="0.2">
      <c r="A684" s="58" t="str">
        <v/>
      </c>
      <c r="B684" s="131" t="str">
        <f>IFERROR(TIMEVALUE(DaqBook_RAW_Data!Q674),IFERROR(TIMEVALUE(DaqBook_RAW_Data!A674),""))</f>
        <v/>
      </c>
      <c r="C684" s="153" t="str">
        <v/>
      </c>
      <c r="D684" s="153" t="str">
        <v/>
      </c>
      <c r="E684" s="153" t="str">
        <v/>
      </c>
      <c r="F684" s="153" t="str">
        <v/>
      </c>
      <c r="G684" s="153" t="str">
        <v/>
      </c>
      <c r="H684" s="153" t="str">
        <v/>
      </c>
      <c r="I684" s="153" t="str">
        <v/>
      </c>
      <c r="J684" s="153" t="str">
        <v/>
      </c>
      <c r="K684" s="153" t="str">
        <v/>
      </c>
      <c r="L684" s="153" t="str">
        <v/>
      </c>
      <c r="M684" s="153" t="str">
        <v/>
      </c>
      <c r="N684" s="153" t="str">
        <v/>
      </c>
      <c r="O684" s="153" t="str">
        <v/>
      </c>
      <c r="P684" s="153" t="str">
        <v/>
      </c>
    </row>
    <row r="685" spans="1:16" x14ac:dyDescent="0.2">
      <c r="A685" s="58" t="str">
        <v/>
      </c>
      <c r="B685" s="131" t="str">
        <f>IFERROR(TIMEVALUE(DaqBook_RAW_Data!Q675),IFERROR(TIMEVALUE(DaqBook_RAW_Data!A675),""))</f>
        <v/>
      </c>
      <c r="C685" s="153" t="str">
        <v/>
      </c>
      <c r="D685" s="153" t="str">
        <v/>
      </c>
      <c r="E685" s="153" t="str">
        <v/>
      </c>
      <c r="F685" s="153" t="str">
        <v/>
      </c>
      <c r="G685" s="153" t="str">
        <v/>
      </c>
      <c r="H685" s="153" t="str">
        <v/>
      </c>
      <c r="I685" s="153" t="str">
        <v/>
      </c>
      <c r="J685" s="153" t="str">
        <v/>
      </c>
      <c r="K685" s="153" t="str">
        <v/>
      </c>
      <c r="L685" s="153" t="str">
        <v/>
      </c>
      <c r="M685" s="153" t="str">
        <v/>
      </c>
      <c r="N685" s="153" t="str">
        <v/>
      </c>
      <c r="O685" s="153" t="str">
        <v/>
      </c>
      <c r="P685" s="153" t="str">
        <v/>
      </c>
    </row>
    <row r="686" spans="1:16" x14ac:dyDescent="0.2">
      <c r="A686" s="58" t="str">
        <v/>
      </c>
      <c r="B686" s="131" t="str">
        <f>IFERROR(TIMEVALUE(DaqBook_RAW_Data!Q676),IFERROR(TIMEVALUE(DaqBook_RAW_Data!A676),""))</f>
        <v/>
      </c>
      <c r="C686" s="153" t="str">
        <v/>
      </c>
      <c r="D686" s="153" t="str">
        <v/>
      </c>
      <c r="E686" s="153" t="str">
        <v/>
      </c>
      <c r="F686" s="153" t="str">
        <v/>
      </c>
      <c r="G686" s="153" t="str">
        <v/>
      </c>
      <c r="H686" s="153" t="str">
        <v/>
      </c>
      <c r="I686" s="153" t="str">
        <v/>
      </c>
      <c r="J686" s="153" t="str">
        <v/>
      </c>
      <c r="K686" s="153" t="str">
        <v/>
      </c>
      <c r="L686" s="153" t="str">
        <v/>
      </c>
      <c r="M686" s="153" t="str">
        <v/>
      </c>
      <c r="N686" s="153" t="str">
        <v/>
      </c>
      <c r="O686" s="153" t="str">
        <v/>
      </c>
      <c r="P686" s="153" t="str">
        <v/>
      </c>
    </row>
    <row r="687" spans="1:16" x14ac:dyDescent="0.2">
      <c r="A687" s="58" t="str">
        <v/>
      </c>
      <c r="B687" s="131" t="str">
        <f>IFERROR(TIMEVALUE(DaqBook_RAW_Data!Q677),IFERROR(TIMEVALUE(DaqBook_RAW_Data!A677),""))</f>
        <v/>
      </c>
      <c r="C687" s="153" t="str">
        <v/>
      </c>
      <c r="D687" s="153" t="str">
        <v/>
      </c>
      <c r="E687" s="153" t="str">
        <v/>
      </c>
      <c r="F687" s="153" t="str">
        <v/>
      </c>
      <c r="G687" s="153" t="str">
        <v/>
      </c>
      <c r="H687" s="153" t="str">
        <v/>
      </c>
      <c r="I687" s="153" t="str">
        <v/>
      </c>
      <c r="J687" s="153" t="str">
        <v/>
      </c>
      <c r="K687" s="153" t="str">
        <v/>
      </c>
      <c r="L687" s="153" t="str">
        <v/>
      </c>
      <c r="M687" s="153" t="str">
        <v/>
      </c>
      <c r="N687" s="153" t="str">
        <v/>
      </c>
      <c r="O687" s="153" t="str">
        <v/>
      </c>
      <c r="P687" s="153" t="str">
        <v/>
      </c>
    </row>
    <row r="688" spans="1:16" x14ac:dyDescent="0.2">
      <c r="A688" s="58" t="str">
        <v/>
      </c>
      <c r="B688" s="131" t="str">
        <f>IFERROR(TIMEVALUE(DaqBook_RAW_Data!Q678),IFERROR(TIMEVALUE(DaqBook_RAW_Data!A678),""))</f>
        <v/>
      </c>
      <c r="C688" s="153" t="str">
        <v/>
      </c>
      <c r="D688" s="153" t="str">
        <v/>
      </c>
      <c r="E688" s="153" t="str">
        <v/>
      </c>
      <c r="F688" s="153" t="str">
        <v/>
      </c>
      <c r="G688" s="153" t="str">
        <v/>
      </c>
      <c r="H688" s="153" t="str">
        <v/>
      </c>
      <c r="I688" s="153" t="str">
        <v/>
      </c>
      <c r="J688" s="153" t="str">
        <v/>
      </c>
      <c r="K688" s="153" t="str">
        <v/>
      </c>
      <c r="L688" s="153" t="str">
        <v/>
      </c>
      <c r="M688" s="153" t="str">
        <v/>
      </c>
      <c r="N688" s="153" t="str">
        <v/>
      </c>
      <c r="O688" s="153" t="str">
        <v/>
      </c>
      <c r="P688" s="153" t="str">
        <v/>
      </c>
    </row>
    <row r="689" spans="1:16" x14ac:dyDescent="0.2">
      <c r="A689" s="58" t="str">
        <v/>
      </c>
      <c r="B689" s="131" t="str">
        <f>IFERROR(TIMEVALUE(DaqBook_RAW_Data!Q679),IFERROR(TIMEVALUE(DaqBook_RAW_Data!A679),""))</f>
        <v/>
      </c>
      <c r="C689" s="153" t="str">
        <v/>
      </c>
      <c r="D689" s="153" t="str">
        <v/>
      </c>
      <c r="E689" s="153" t="str">
        <v/>
      </c>
      <c r="F689" s="153" t="str">
        <v/>
      </c>
      <c r="G689" s="153" t="str">
        <v/>
      </c>
      <c r="H689" s="153" t="str">
        <v/>
      </c>
      <c r="I689" s="153" t="str">
        <v/>
      </c>
      <c r="J689" s="153" t="str">
        <v/>
      </c>
      <c r="K689" s="153" t="str">
        <v/>
      </c>
      <c r="L689" s="153" t="str">
        <v/>
      </c>
      <c r="M689" s="153" t="str">
        <v/>
      </c>
      <c r="N689" s="153" t="str">
        <v/>
      </c>
      <c r="O689" s="153" t="str">
        <v/>
      </c>
      <c r="P689" s="153" t="str">
        <v/>
      </c>
    </row>
    <row r="690" spans="1:16" x14ac:dyDescent="0.2">
      <c r="A690" s="58" t="str">
        <v/>
      </c>
      <c r="B690" s="131" t="str">
        <f>IFERROR(TIMEVALUE(DaqBook_RAW_Data!Q680),IFERROR(TIMEVALUE(DaqBook_RAW_Data!A680),""))</f>
        <v/>
      </c>
      <c r="C690" s="153" t="str">
        <v/>
      </c>
      <c r="D690" s="153" t="str">
        <v/>
      </c>
      <c r="E690" s="153" t="str">
        <v/>
      </c>
      <c r="F690" s="153" t="str">
        <v/>
      </c>
      <c r="G690" s="153" t="str">
        <v/>
      </c>
      <c r="H690" s="153" t="str">
        <v/>
      </c>
      <c r="I690" s="153" t="str">
        <v/>
      </c>
      <c r="J690" s="153" t="str">
        <v/>
      </c>
      <c r="K690" s="153" t="str">
        <v/>
      </c>
      <c r="L690" s="153" t="str">
        <v/>
      </c>
      <c r="M690" s="153" t="str">
        <v/>
      </c>
      <c r="N690" s="153" t="str">
        <v/>
      </c>
      <c r="O690" s="153" t="str">
        <v/>
      </c>
      <c r="P690" s="153" t="str">
        <v/>
      </c>
    </row>
    <row r="691" spans="1:16" x14ac:dyDescent="0.2">
      <c r="A691" s="58" t="str">
        <v/>
      </c>
      <c r="B691" s="131" t="str">
        <f>IFERROR(TIMEVALUE(DaqBook_RAW_Data!Q681),IFERROR(TIMEVALUE(DaqBook_RAW_Data!A681),""))</f>
        <v/>
      </c>
      <c r="C691" s="153" t="str">
        <v/>
      </c>
      <c r="D691" s="153" t="str">
        <v/>
      </c>
      <c r="E691" s="153" t="str">
        <v/>
      </c>
      <c r="F691" s="153" t="str">
        <v/>
      </c>
      <c r="G691" s="153" t="str">
        <v/>
      </c>
      <c r="H691" s="153" t="str">
        <v/>
      </c>
      <c r="I691" s="153" t="str">
        <v/>
      </c>
      <c r="J691" s="153" t="str">
        <v/>
      </c>
      <c r="K691" s="153" t="str">
        <v/>
      </c>
      <c r="L691" s="153" t="str">
        <v/>
      </c>
      <c r="M691" s="153" t="str">
        <v/>
      </c>
      <c r="N691" s="153" t="str">
        <v/>
      </c>
      <c r="O691" s="153" t="str">
        <v/>
      </c>
      <c r="P691" s="153" t="str">
        <v/>
      </c>
    </row>
    <row r="692" spans="1:16" x14ac:dyDescent="0.2">
      <c r="A692" s="58" t="str">
        <v/>
      </c>
      <c r="B692" s="131" t="str">
        <f>IFERROR(TIMEVALUE(DaqBook_RAW_Data!Q682),IFERROR(TIMEVALUE(DaqBook_RAW_Data!A682),""))</f>
        <v/>
      </c>
      <c r="C692" s="153" t="str">
        <v/>
      </c>
      <c r="D692" s="153" t="str">
        <v/>
      </c>
      <c r="E692" s="153" t="str">
        <v/>
      </c>
      <c r="F692" s="153" t="str">
        <v/>
      </c>
      <c r="G692" s="153" t="str">
        <v/>
      </c>
      <c r="H692" s="153" t="str">
        <v/>
      </c>
      <c r="I692" s="153" t="str">
        <v/>
      </c>
      <c r="J692" s="153" t="str">
        <v/>
      </c>
      <c r="K692" s="153" t="str">
        <v/>
      </c>
      <c r="L692" s="153" t="str">
        <v/>
      </c>
      <c r="M692" s="153" t="str">
        <v/>
      </c>
      <c r="N692" s="153" t="str">
        <v/>
      </c>
      <c r="O692" s="153" t="str">
        <v/>
      </c>
      <c r="P692" s="153" t="str">
        <v/>
      </c>
    </row>
    <row r="693" spans="1:16" x14ac:dyDescent="0.2">
      <c r="A693" s="58" t="str">
        <v/>
      </c>
      <c r="B693" s="131" t="str">
        <f>IFERROR(TIMEVALUE(DaqBook_RAW_Data!Q683),IFERROR(TIMEVALUE(DaqBook_RAW_Data!A683),""))</f>
        <v/>
      </c>
      <c r="C693" s="153" t="str">
        <v/>
      </c>
      <c r="D693" s="153" t="str">
        <v/>
      </c>
      <c r="E693" s="153" t="str">
        <v/>
      </c>
      <c r="F693" s="153" t="str">
        <v/>
      </c>
      <c r="G693" s="153" t="str">
        <v/>
      </c>
      <c r="H693" s="153" t="str">
        <v/>
      </c>
      <c r="I693" s="153" t="str">
        <v/>
      </c>
      <c r="J693" s="153" t="str">
        <v/>
      </c>
      <c r="K693" s="153" t="str">
        <v/>
      </c>
      <c r="L693" s="153" t="str">
        <v/>
      </c>
      <c r="M693" s="153" t="str">
        <v/>
      </c>
      <c r="N693" s="153" t="str">
        <v/>
      </c>
      <c r="O693" s="153" t="str">
        <v/>
      </c>
      <c r="P693" s="153" t="str">
        <v/>
      </c>
    </row>
    <row r="694" spans="1:16" x14ac:dyDescent="0.2">
      <c r="A694" s="58" t="str">
        <v/>
      </c>
      <c r="B694" s="131" t="str">
        <f>IFERROR(TIMEVALUE(DaqBook_RAW_Data!Q684),IFERROR(TIMEVALUE(DaqBook_RAW_Data!A684),""))</f>
        <v/>
      </c>
      <c r="C694" s="153" t="str">
        <v/>
      </c>
      <c r="D694" s="153" t="str">
        <v/>
      </c>
      <c r="E694" s="153" t="str">
        <v/>
      </c>
      <c r="F694" s="153" t="str">
        <v/>
      </c>
      <c r="G694" s="153" t="str">
        <v/>
      </c>
      <c r="H694" s="153" t="str">
        <v/>
      </c>
      <c r="I694" s="153" t="str">
        <v/>
      </c>
      <c r="J694" s="153" t="str">
        <v/>
      </c>
      <c r="K694" s="153" t="str">
        <v/>
      </c>
      <c r="L694" s="153" t="str">
        <v/>
      </c>
      <c r="M694" s="153" t="str">
        <v/>
      </c>
      <c r="N694" s="153" t="str">
        <v/>
      </c>
      <c r="O694" s="153" t="str">
        <v/>
      </c>
      <c r="P694" s="153" t="str">
        <v/>
      </c>
    </row>
    <row r="695" spans="1:16" x14ac:dyDescent="0.2">
      <c r="A695" s="58" t="str">
        <v/>
      </c>
      <c r="B695" s="131" t="str">
        <f>IFERROR(TIMEVALUE(DaqBook_RAW_Data!Q685),IFERROR(TIMEVALUE(DaqBook_RAW_Data!A685),""))</f>
        <v/>
      </c>
      <c r="C695" s="153" t="str">
        <v/>
      </c>
      <c r="D695" s="153" t="str">
        <v/>
      </c>
      <c r="E695" s="153" t="str">
        <v/>
      </c>
      <c r="F695" s="153" t="str">
        <v/>
      </c>
      <c r="G695" s="153" t="str">
        <v/>
      </c>
      <c r="H695" s="153" t="str">
        <v/>
      </c>
      <c r="I695" s="153" t="str">
        <v/>
      </c>
      <c r="J695" s="153" t="str">
        <v/>
      </c>
      <c r="K695" s="153" t="str">
        <v/>
      </c>
      <c r="L695" s="153" t="str">
        <v/>
      </c>
      <c r="M695" s="153" t="str">
        <v/>
      </c>
      <c r="N695" s="153" t="str">
        <v/>
      </c>
      <c r="O695" s="153" t="str">
        <v/>
      </c>
      <c r="P695" s="153" t="str">
        <v/>
      </c>
    </row>
    <row r="696" spans="1:16" x14ac:dyDescent="0.2">
      <c r="A696" s="58" t="str">
        <v/>
      </c>
      <c r="B696" s="131" t="str">
        <f>IFERROR(TIMEVALUE(DaqBook_RAW_Data!Q686),IFERROR(TIMEVALUE(DaqBook_RAW_Data!A686),""))</f>
        <v/>
      </c>
      <c r="C696" s="153" t="str">
        <v/>
      </c>
      <c r="D696" s="153" t="str">
        <v/>
      </c>
      <c r="E696" s="153" t="str">
        <v/>
      </c>
      <c r="F696" s="153" t="str">
        <v/>
      </c>
      <c r="G696" s="153" t="str">
        <v/>
      </c>
      <c r="H696" s="153" t="str">
        <v/>
      </c>
      <c r="I696" s="153" t="str">
        <v/>
      </c>
      <c r="J696" s="153" t="str">
        <v/>
      </c>
      <c r="K696" s="153" t="str">
        <v/>
      </c>
      <c r="L696" s="153" t="str">
        <v/>
      </c>
      <c r="M696" s="153" t="str">
        <v/>
      </c>
      <c r="N696" s="153" t="str">
        <v/>
      </c>
      <c r="O696" s="153" t="str">
        <v/>
      </c>
      <c r="P696" s="153" t="str">
        <v/>
      </c>
    </row>
    <row r="697" spans="1:16" x14ac:dyDescent="0.2">
      <c r="A697" s="58" t="str">
        <v/>
      </c>
      <c r="B697" s="131" t="str">
        <f>IFERROR(TIMEVALUE(DaqBook_RAW_Data!Q687),IFERROR(TIMEVALUE(DaqBook_RAW_Data!A687),""))</f>
        <v/>
      </c>
      <c r="C697" s="153" t="str">
        <v/>
      </c>
      <c r="D697" s="153" t="str">
        <v/>
      </c>
      <c r="E697" s="153" t="str">
        <v/>
      </c>
      <c r="F697" s="153" t="str">
        <v/>
      </c>
      <c r="G697" s="153" t="str">
        <v/>
      </c>
      <c r="H697" s="153" t="str">
        <v/>
      </c>
      <c r="I697" s="153" t="str">
        <v/>
      </c>
      <c r="J697" s="153" t="str">
        <v/>
      </c>
      <c r="K697" s="153" t="str">
        <v/>
      </c>
      <c r="L697" s="153" t="str">
        <v/>
      </c>
      <c r="M697" s="153" t="str">
        <v/>
      </c>
      <c r="N697" s="153" t="str">
        <v/>
      </c>
      <c r="O697" s="153" t="str">
        <v/>
      </c>
      <c r="P697" s="153" t="str">
        <v/>
      </c>
    </row>
    <row r="698" spans="1:16" x14ac:dyDescent="0.2">
      <c r="A698" s="58" t="str">
        <v/>
      </c>
      <c r="B698" s="131" t="str">
        <f>IFERROR(TIMEVALUE(DaqBook_RAW_Data!Q688),IFERROR(TIMEVALUE(DaqBook_RAW_Data!A688),""))</f>
        <v/>
      </c>
      <c r="C698" s="153" t="str">
        <v/>
      </c>
      <c r="D698" s="153" t="str">
        <v/>
      </c>
      <c r="E698" s="153" t="str">
        <v/>
      </c>
      <c r="F698" s="153" t="str">
        <v/>
      </c>
      <c r="G698" s="153" t="str">
        <v/>
      </c>
      <c r="H698" s="153" t="str">
        <v/>
      </c>
      <c r="I698" s="153" t="str">
        <v/>
      </c>
      <c r="J698" s="153" t="str">
        <v/>
      </c>
      <c r="K698" s="153" t="str">
        <v/>
      </c>
      <c r="L698" s="153" t="str">
        <v/>
      </c>
      <c r="M698" s="153" t="str">
        <v/>
      </c>
      <c r="N698" s="153" t="str">
        <v/>
      </c>
      <c r="O698" s="153" t="str">
        <v/>
      </c>
      <c r="P698" s="153" t="str">
        <v/>
      </c>
    </row>
    <row r="699" spans="1:16" x14ac:dyDescent="0.2">
      <c r="A699" s="58" t="str">
        <v/>
      </c>
      <c r="B699" s="131" t="str">
        <f>IFERROR(TIMEVALUE(DaqBook_RAW_Data!Q689),IFERROR(TIMEVALUE(DaqBook_RAW_Data!A689),""))</f>
        <v/>
      </c>
      <c r="C699" s="153" t="str">
        <v/>
      </c>
      <c r="D699" s="153" t="str">
        <v/>
      </c>
      <c r="E699" s="153" t="str">
        <v/>
      </c>
      <c r="F699" s="153" t="str">
        <v/>
      </c>
      <c r="G699" s="153" t="str">
        <v/>
      </c>
      <c r="H699" s="153" t="str">
        <v/>
      </c>
      <c r="I699" s="153" t="str">
        <v/>
      </c>
      <c r="J699" s="153" t="str">
        <v/>
      </c>
      <c r="K699" s="153" t="str">
        <v/>
      </c>
      <c r="L699" s="153" t="str">
        <v/>
      </c>
      <c r="M699" s="153" t="str">
        <v/>
      </c>
      <c r="N699" s="153" t="str">
        <v/>
      </c>
      <c r="O699" s="153" t="str">
        <v/>
      </c>
      <c r="P699" s="153" t="str">
        <v/>
      </c>
    </row>
    <row r="700" spans="1:16" x14ac:dyDescent="0.2">
      <c r="A700" s="58" t="str">
        <v/>
      </c>
      <c r="B700" s="131" t="str">
        <f>IFERROR(TIMEVALUE(DaqBook_RAW_Data!Q690),IFERROR(TIMEVALUE(DaqBook_RAW_Data!A690),""))</f>
        <v/>
      </c>
      <c r="C700" s="153" t="str">
        <v/>
      </c>
      <c r="D700" s="153" t="str">
        <v/>
      </c>
      <c r="E700" s="153" t="str">
        <v/>
      </c>
      <c r="F700" s="153" t="str">
        <v/>
      </c>
      <c r="G700" s="153" t="str">
        <v/>
      </c>
      <c r="H700" s="153" t="str">
        <v/>
      </c>
      <c r="I700" s="153" t="str">
        <v/>
      </c>
      <c r="J700" s="153" t="str">
        <v/>
      </c>
      <c r="K700" s="153" t="str">
        <v/>
      </c>
      <c r="L700" s="153" t="str">
        <v/>
      </c>
      <c r="M700" s="153" t="str">
        <v/>
      </c>
      <c r="N700" s="153" t="str">
        <v/>
      </c>
      <c r="O700" s="153" t="str">
        <v/>
      </c>
      <c r="P700" s="153" t="str">
        <v/>
      </c>
    </row>
    <row r="701" spans="1:16" x14ac:dyDescent="0.2">
      <c r="A701" s="58" t="str">
        <v/>
      </c>
      <c r="B701" s="131" t="str">
        <f>IFERROR(TIMEVALUE(DaqBook_RAW_Data!Q691),IFERROR(TIMEVALUE(DaqBook_RAW_Data!A691),""))</f>
        <v/>
      </c>
      <c r="C701" s="153" t="str">
        <v/>
      </c>
      <c r="D701" s="153" t="str">
        <v/>
      </c>
      <c r="E701" s="153" t="str">
        <v/>
      </c>
      <c r="F701" s="153" t="str">
        <v/>
      </c>
      <c r="G701" s="153" t="str">
        <v/>
      </c>
      <c r="H701" s="153" t="str">
        <v/>
      </c>
      <c r="I701" s="153" t="str">
        <v/>
      </c>
      <c r="J701" s="153" t="str">
        <v/>
      </c>
      <c r="K701" s="153" t="str">
        <v/>
      </c>
      <c r="L701" s="153" t="str">
        <v/>
      </c>
      <c r="M701" s="153" t="str">
        <v/>
      </c>
      <c r="N701" s="153" t="str">
        <v/>
      </c>
      <c r="O701" s="153" t="str">
        <v/>
      </c>
      <c r="P701" s="153" t="str">
        <v/>
      </c>
    </row>
    <row r="702" spans="1:16" x14ac:dyDescent="0.2">
      <c r="A702" s="58" t="str">
        <v/>
      </c>
      <c r="B702" s="131" t="str">
        <f>IFERROR(TIMEVALUE(DaqBook_RAW_Data!Q692),IFERROR(TIMEVALUE(DaqBook_RAW_Data!A692),""))</f>
        <v/>
      </c>
      <c r="C702" s="153" t="str">
        <v/>
      </c>
      <c r="D702" s="153" t="str">
        <v/>
      </c>
      <c r="E702" s="153" t="str">
        <v/>
      </c>
      <c r="F702" s="153" t="str">
        <v/>
      </c>
      <c r="G702" s="153" t="str">
        <v/>
      </c>
      <c r="H702" s="153" t="str">
        <v/>
      </c>
      <c r="I702" s="153" t="str">
        <v/>
      </c>
      <c r="J702" s="153" t="str">
        <v/>
      </c>
      <c r="K702" s="153" t="str">
        <v/>
      </c>
      <c r="L702" s="153" t="str">
        <v/>
      </c>
      <c r="M702" s="153" t="str">
        <v/>
      </c>
      <c r="N702" s="153" t="str">
        <v/>
      </c>
      <c r="O702" s="153" t="str">
        <v/>
      </c>
      <c r="P702" s="153" t="str">
        <v/>
      </c>
    </row>
    <row r="703" spans="1:16" x14ac:dyDescent="0.2">
      <c r="A703" s="58" t="str">
        <v/>
      </c>
      <c r="B703" s="131" t="str">
        <f>IFERROR(TIMEVALUE(DaqBook_RAW_Data!Q693),IFERROR(TIMEVALUE(DaqBook_RAW_Data!A693),""))</f>
        <v/>
      </c>
      <c r="C703" s="153" t="str">
        <v/>
      </c>
      <c r="D703" s="153" t="str">
        <v/>
      </c>
      <c r="E703" s="153" t="str">
        <v/>
      </c>
      <c r="F703" s="153" t="str">
        <v/>
      </c>
      <c r="G703" s="153" t="str">
        <v/>
      </c>
      <c r="H703" s="153" t="str">
        <v/>
      </c>
      <c r="I703" s="153" t="str">
        <v/>
      </c>
      <c r="J703" s="153" t="str">
        <v/>
      </c>
      <c r="K703" s="153" t="str">
        <v/>
      </c>
      <c r="L703" s="153" t="str">
        <v/>
      </c>
      <c r="M703" s="153" t="str">
        <v/>
      </c>
      <c r="N703" s="153" t="str">
        <v/>
      </c>
      <c r="O703" s="153" t="str">
        <v/>
      </c>
      <c r="P703" s="153" t="str">
        <v/>
      </c>
    </row>
    <row r="704" spans="1:16" x14ac:dyDescent="0.2">
      <c r="A704" s="58" t="str">
        <v/>
      </c>
      <c r="B704" s="131" t="str">
        <f>IFERROR(TIMEVALUE(DaqBook_RAW_Data!Q694),IFERROR(TIMEVALUE(DaqBook_RAW_Data!A694),""))</f>
        <v/>
      </c>
      <c r="C704" s="153" t="str">
        <v/>
      </c>
      <c r="D704" s="153" t="str">
        <v/>
      </c>
      <c r="E704" s="153" t="str">
        <v/>
      </c>
      <c r="F704" s="153" t="str">
        <v/>
      </c>
      <c r="G704" s="153" t="str">
        <v/>
      </c>
      <c r="H704" s="153" t="str">
        <v/>
      </c>
      <c r="I704" s="153" t="str">
        <v/>
      </c>
      <c r="J704" s="153" t="str">
        <v/>
      </c>
      <c r="K704" s="153" t="str">
        <v/>
      </c>
      <c r="L704" s="153" t="str">
        <v/>
      </c>
      <c r="M704" s="153" t="str">
        <v/>
      </c>
      <c r="N704" s="153" t="str">
        <v/>
      </c>
      <c r="O704" s="153" t="str">
        <v/>
      </c>
      <c r="P704" s="153" t="str">
        <v/>
      </c>
    </row>
    <row r="705" spans="1:16" x14ac:dyDescent="0.2">
      <c r="A705" s="58" t="str">
        <v/>
      </c>
      <c r="B705" s="131" t="str">
        <f>IFERROR(TIMEVALUE(DaqBook_RAW_Data!Q695),IFERROR(TIMEVALUE(DaqBook_RAW_Data!A695),""))</f>
        <v/>
      </c>
      <c r="C705" s="153" t="str">
        <v/>
      </c>
      <c r="D705" s="153" t="str">
        <v/>
      </c>
      <c r="E705" s="153" t="str">
        <v/>
      </c>
      <c r="F705" s="153" t="str">
        <v/>
      </c>
      <c r="G705" s="153" t="str">
        <v/>
      </c>
      <c r="H705" s="153" t="str">
        <v/>
      </c>
      <c r="I705" s="153" t="str">
        <v/>
      </c>
      <c r="J705" s="153" t="str">
        <v/>
      </c>
      <c r="K705" s="153" t="str">
        <v/>
      </c>
      <c r="L705" s="153" t="str">
        <v/>
      </c>
      <c r="M705" s="153" t="str">
        <v/>
      </c>
      <c r="N705" s="153" t="str">
        <v/>
      </c>
      <c r="O705" s="153" t="str">
        <v/>
      </c>
      <c r="P705" s="153" t="str">
        <v/>
      </c>
    </row>
    <row r="706" spans="1:16" x14ac:dyDescent="0.2">
      <c r="A706" s="58" t="str">
        <v/>
      </c>
      <c r="B706" s="131" t="str">
        <f>IFERROR(TIMEVALUE(DaqBook_RAW_Data!Q696),IFERROR(TIMEVALUE(DaqBook_RAW_Data!A696),""))</f>
        <v/>
      </c>
      <c r="C706" s="153" t="str">
        <v/>
      </c>
      <c r="D706" s="153" t="str">
        <v/>
      </c>
      <c r="E706" s="153" t="str">
        <v/>
      </c>
      <c r="F706" s="153" t="str">
        <v/>
      </c>
      <c r="G706" s="153" t="str">
        <v/>
      </c>
      <c r="H706" s="153" t="str">
        <v/>
      </c>
      <c r="I706" s="153" t="str">
        <v/>
      </c>
      <c r="J706" s="153" t="str">
        <v/>
      </c>
      <c r="K706" s="153" t="str">
        <v/>
      </c>
      <c r="L706" s="153" t="str">
        <v/>
      </c>
      <c r="M706" s="153" t="str">
        <v/>
      </c>
      <c r="N706" s="153" t="str">
        <v/>
      </c>
      <c r="O706" s="153" t="str">
        <v/>
      </c>
      <c r="P706" s="153" t="str">
        <v/>
      </c>
    </row>
    <row r="707" spans="1:16" x14ac:dyDescent="0.2">
      <c r="A707" s="58" t="str">
        <v/>
      </c>
      <c r="B707" s="131" t="str">
        <f>IFERROR(TIMEVALUE(DaqBook_RAW_Data!Q697),IFERROR(TIMEVALUE(DaqBook_RAW_Data!A697),""))</f>
        <v/>
      </c>
      <c r="C707" s="153" t="str">
        <v/>
      </c>
      <c r="D707" s="153" t="str">
        <v/>
      </c>
      <c r="E707" s="153" t="str">
        <v/>
      </c>
      <c r="F707" s="153" t="str">
        <v/>
      </c>
      <c r="G707" s="153" t="str">
        <v/>
      </c>
      <c r="H707" s="153" t="str">
        <v/>
      </c>
      <c r="I707" s="153" t="str">
        <v/>
      </c>
      <c r="J707" s="153" t="str">
        <v/>
      </c>
      <c r="K707" s="153" t="str">
        <v/>
      </c>
      <c r="L707" s="153" t="str">
        <v/>
      </c>
      <c r="M707" s="153" t="str">
        <v/>
      </c>
      <c r="N707" s="153" t="str">
        <v/>
      </c>
      <c r="O707" s="153" t="str">
        <v/>
      </c>
      <c r="P707" s="153" t="str">
        <v/>
      </c>
    </row>
    <row r="708" spans="1:16" x14ac:dyDescent="0.2">
      <c r="A708" s="58" t="str">
        <v/>
      </c>
      <c r="B708" s="131" t="str">
        <f>IFERROR(TIMEVALUE(DaqBook_RAW_Data!Q698),IFERROR(TIMEVALUE(DaqBook_RAW_Data!A698),""))</f>
        <v/>
      </c>
      <c r="C708" s="153" t="str">
        <v/>
      </c>
      <c r="D708" s="153" t="str">
        <v/>
      </c>
      <c r="E708" s="153" t="str">
        <v/>
      </c>
      <c r="F708" s="153" t="str">
        <v/>
      </c>
      <c r="G708" s="153" t="str">
        <v/>
      </c>
      <c r="H708" s="153" t="str">
        <v/>
      </c>
      <c r="I708" s="153" t="str">
        <v/>
      </c>
      <c r="J708" s="153" t="str">
        <v/>
      </c>
      <c r="K708" s="153" t="str">
        <v/>
      </c>
      <c r="L708" s="153" t="str">
        <v/>
      </c>
      <c r="M708" s="153" t="str">
        <v/>
      </c>
      <c r="N708" s="153" t="str">
        <v/>
      </c>
      <c r="O708" s="153" t="str">
        <v/>
      </c>
      <c r="P708" s="153" t="str">
        <v/>
      </c>
    </row>
    <row r="709" spans="1:16" x14ac:dyDescent="0.2">
      <c r="A709" s="58" t="str">
        <v/>
      </c>
      <c r="B709" s="131" t="str">
        <f>IFERROR(TIMEVALUE(DaqBook_RAW_Data!Q699),IFERROR(TIMEVALUE(DaqBook_RAW_Data!A699),""))</f>
        <v/>
      </c>
      <c r="C709" s="153" t="str">
        <v/>
      </c>
      <c r="D709" s="153" t="str">
        <v/>
      </c>
      <c r="E709" s="153" t="str">
        <v/>
      </c>
      <c r="F709" s="153" t="str">
        <v/>
      </c>
      <c r="G709" s="153" t="str">
        <v/>
      </c>
      <c r="H709" s="153" t="str">
        <v/>
      </c>
      <c r="I709" s="153" t="str">
        <v/>
      </c>
      <c r="J709" s="153" t="str">
        <v/>
      </c>
      <c r="K709" s="153" t="str">
        <v/>
      </c>
      <c r="L709" s="153" t="str">
        <v/>
      </c>
      <c r="M709" s="153" t="str">
        <v/>
      </c>
      <c r="N709" s="153" t="str">
        <v/>
      </c>
      <c r="O709" s="153" t="str">
        <v/>
      </c>
      <c r="P709" s="153" t="str">
        <v/>
      </c>
    </row>
    <row r="710" spans="1:16" x14ac:dyDescent="0.2">
      <c r="A710" s="58" t="str">
        <v/>
      </c>
      <c r="B710" s="131" t="str">
        <f>IFERROR(TIMEVALUE(DaqBook_RAW_Data!Q700),IFERROR(TIMEVALUE(DaqBook_RAW_Data!A700),""))</f>
        <v/>
      </c>
      <c r="C710" s="153" t="str">
        <v/>
      </c>
      <c r="D710" s="153" t="str">
        <v/>
      </c>
      <c r="E710" s="153" t="str">
        <v/>
      </c>
      <c r="F710" s="153" t="str">
        <v/>
      </c>
      <c r="G710" s="153" t="str">
        <v/>
      </c>
      <c r="H710" s="153" t="str">
        <v/>
      </c>
      <c r="I710" s="153" t="str">
        <v/>
      </c>
      <c r="J710" s="153" t="str">
        <v/>
      </c>
      <c r="K710" s="153" t="str">
        <v/>
      </c>
      <c r="L710" s="153" t="str">
        <v/>
      </c>
      <c r="M710" s="153" t="str">
        <v/>
      </c>
      <c r="N710" s="153" t="str">
        <v/>
      </c>
      <c r="O710" s="153" t="str">
        <v/>
      </c>
      <c r="P710" s="153" t="str">
        <v/>
      </c>
    </row>
    <row r="711" spans="1:16" x14ac:dyDescent="0.2">
      <c r="A711" s="58" t="str">
        <v/>
      </c>
      <c r="B711" s="131" t="str">
        <f>IFERROR(TIMEVALUE(DaqBook_RAW_Data!Q701),IFERROR(TIMEVALUE(DaqBook_RAW_Data!A701),""))</f>
        <v/>
      </c>
      <c r="C711" s="153" t="str">
        <v/>
      </c>
      <c r="D711" s="153" t="str">
        <v/>
      </c>
      <c r="E711" s="153" t="str">
        <v/>
      </c>
      <c r="F711" s="153" t="str">
        <v/>
      </c>
      <c r="G711" s="153" t="str">
        <v/>
      </c>
      <c r="H711" s="153" t="str">
        <v/>
      </c>
      <c r="I711" s="153" t="str">
        <v/>
      </c>
      <c r="J711" s="153" t="str">
        <v/>
      </c>
      <c r="K711" s="153" t="str">
        <v/>
      </c>
      <c r="L711" s="153" t="str">
        <v/>
      </c>
      <c r="M711" s="153" t="str">
        <v/>
      </c>
      <c r="N711" s="153" t="str">
        <v/>
      </c>
      <c r="O711" s="153" t="str">
        <v/>
      </c>
      <c r="P711" s="153" t="str">
        <v/>
      </c>
    </row>
    <row r="712" spans="1:16" x14ac:dyDescent="0.2">
      <c r="A712" s="58" t="str">
        <v/>
      </c>
      <c r="B712" s="131" t="str">
        <f>IFERROR(TIMEVALUE(DaqBook_RAW_Data!Q702),IFERROR(TIMEVALUE(DaqBook_RAW_Data!A702),""))</f>
        <v/>
      </c>
      <c r="C712" s="153" t="str">
        <v/>
      </c>
      <c r="D712" s="153" t="str">
        <v/>
      </c>
      <c r="E712" s="153" t="str">
        <v/>
      </c>
      <c r="F712" s="153" t="str">
        <v/>
      </c>
      <c r="G712" s="153" t="str">
        <v/>
      </c>
      <c r="H712" s="153" t="str">
        <v/>
      </c>
      <c r="I712" s="153" t="str">
        <v/>
      </c>
      <c r="J712" s="153" t="str">
        <v/>
      </c>
      <c r="K712" s="153" t="str">
        <v/>
      </c>
      <c r="L712" s="153" t="str">
        <v/>
      </c>
      <c r="M712" s="153" t="str">
        <v/>
      </c>
      <c r="N712" s="153" t="str">
        <v/>
      </c>
      <c r="O712" s="153" t="str">
        <v/>
      </c>
      <c r="P712" s="153" t="str">
        <v/>
      </c>
    </row>
    <row r="713" spans="1:16" x14ac:dyDescent="0.2">
      <c r="A713" s="58" t="str">
        <v/>
      </c>
      <c r="B713" s="131" t="str">
        <f>IFERROR(TIMEVALUE(DaqBook_RAW_Data!Q703),IFERROR(TIMEVALUE(DaqBook_RAW_Data!A703),""))</f>
        <v/>
      </c>
      <c r="C713" s="153" t="str">
        <v/>
      </c>
      <c r="D713" s="153" t="str">
        <v/>
      </c>
      <c r="E713" s="153" t="str">
        <v/>
      </c>
      <c r="F713" s="153" t="str">
        <v/>
      </c>
      <c r="G713" s="153" t="str">
        <v/>
      </c>
      <c r="H713" s="153" t="str">
        <v/>
      </c>
      <c r="I713" s="153" t="str">
        <v/>
      </c>
      <c r="J713" s="153" t="str">
        <v/>
      </c>
      <c r="K713" s="153" t="str">
        <v/>
      </c>
      <c r="L713" s="153" t="str">
        <v/>
      </c>
      <c r="M713" s="153" t="str">
        <v/>
      </c>
      <c r="N713" s="153" t="str">
        <v/>
      </c>
      <c r="O713" s="153" t="str">
        <v/>
      </c>
      <c r="P713" s="153" t="str">
        <v/>
      </c>
    </row>
    <row r="714" spans="1:16" x14ac:dyDescent="0.2">
      <c r="A714" s="58" t="str">
        <v/>
      </c>
      <c r="B714" s="131" t="str">
        <f>IFERROR(TIMEVALUE(DaqBook_RAW_Data!Q704),IFERROR(TIMEVALUE(DaqBook_RAW_Data!A704),""))</f>
        <v/>
      </c>
      <c r="C714" s="153" t="str">
        <v/>
      </c>
      <c r="D714" s="153" t="str">
        <v/>
      </c>
      <c r="E714" s="153" t="str">
        <v/>
      </c>
      <c r="F714" s="153" t="str">
        <v/>
      </c>
      <c r="G714" s="153" t="str">
        <v/>
      </c>
      <c r="H714" s="153" t="str">
        <v/>
      </c>
      <c r="I714" s="153" t="str">
        <v/>
      </c>
      <c r="J714" s="153" t="str">
        <v/>
      </c>
      <c r="K714" s="153" t="str">
        <v/>
      </c>
      <c r="L714" s="153" t="str">
        <v/>
      </c>
      <c r="M714" s="153" t="str">
        <v/>
      </c>
      <c r="N714" s="153" t="str">
        <v/>
      </c>
      <c r="O714" s="153" t="str">
        <v/>
      </c>
      <c r="P714" s="153" t="str">
        <v/>
      </c>
    </row>
    <row r="715" spans="1:16" x14ac:dyDescent="0.2">
      <c r="A715" s="58" t="str">
        <v/>
      </c>
      <c r="B715" s="131" t="str">
        <f>IFERROR(TIMEVALUE(DaqBook_RAW_Data!Q705),IFERROR(TIMEVALUE(DaqBook_RAW_Data!A705),""))</f>
        <v/>
      </c>
      <c r="C715" s="153" t="str">
        <v/>
      </c>
      <c r="D715" s="153" t="str">
        <v/>
      </c>
      <c r="E715" s="153" t="str">
        <v/>
      </c>
      <c r="F715" s="153" t="str">
        <v/>
      </c>
      <c r="G715" s="153" t="str">
        <v/>
      </c>
      <c r="H715" s="153" t="str">
        <v/>
      </c>
      <c r="I715" s="153" t="str">
        <v/>
      </c>
      <c r="J715" s="153" t="str">
        <v/>
      </c>
      <c r="K715" s="153" t="str">
        <v/>
      </c>
      <c r="L715" s="153" t="str">
        <v/>
      </c>
      <c r="M715" s="153" t="str">
        <v/>
      </c>
      <c r="N715" s="153" t="str">
        <v/>
      </c>
      <c r="O715" s="153" t="str">
        <v/>
      </c>
      <c r="P715" s="153" t="str">
        <v/>
      </c>
    </row>
    <row r="716" spans="1:16" x14ac:dyDescent="0.2">
      <c r="A716" s="58" t="str">
        <v/>
      </c>
      <c r="B716" s="131" t="str">
        <f>IFERROR(TIMEVALUE(DaqBook_RAW_Data!Q706),IFERROR(TIMEVALUE(DaqBook_RAW_Data!A706),""))</f>
        <v/>
      </c>
      <c r="C716" s="153" t="str">
        <v/>
      </c>
      <c r="D716" s="153" t="str">
        <v/>
      </c>
      <c r="E716" s="153" t="str">
        <v/>
      </c>
      <c r="F716" s="153" t="str">
        <v/>
      </c>
      <c r="G716" s="153" t="str">
        <v/>
      </c>
      <c r="H716" s="153" t="str">
        <v/>
      </c>
      <c r="I716" s="153" t="str">
        <v/>
      </c>
      <c r="J716" s="153" t="str">
        <v/>
      </c>
      <c r="K716" s="153" t="str">
        <v/>
      </c>
      <c r="L716" s="153" t="str">
        <v/>
      </c>
      <c r="M716" s="153" t="str">
        <v/>
      </c>
      <c r="N716" s="153" t="str">
        <v/>
      </c>
      <c r="O716" s="153" t="str">
        <v/>
      </c>
      <c r="P716" s="153" t="str">
        <v/>
      </c>
    </row>
    <row r="717" spans="1:16" x14ac:dyDescent="0.2">
      <c r="A717" s="58" t="str">
        <v/>
      </c>
      <c r="B717" s="131" t="str">
        <f>IFERROR(TIMEVALUE(DaqBook_RAW_Data!Q707),IFERROR(TIMEVALUE(DaqBook_RAW_Data!A707),""))</f>
        <v/>
      </c>
      <c r="C717" s="153" t="str">
        <v/>
      </c>
      <c r="D717" s="153" t="str">
        <v/>
      </c>
      <c r="E717" s="153" t="str">
        <v/>
      </c>
      <c r="F717" s="153" t="str">
        <v/>
      </c>
      <c r="G717" s="153" t="str">
        <v/>
      </c>
      <c r="H717" s="153" t="str">
        <v/>
      </c>
      <c r="I717" s="153" t="str">
        <v/>
      </c>
      <c r="J717" s="153" t="str">
        <v/>
      </c>
      <c r="K717" s="153" t="str">
        <v/>
      </c>
      <c r="L717" s="153" t="str">
        <v/>
      </c>
      <c r="M717" s="153" t="str">
        <v/>
      </c>
      <c r="N717" s="153" t="str">
        <v/>
      </c>
      <c r="O717" s="153" t="str">
        <v/>
      </c>
      <c r="P717" s="153" t="str">
        <v/>
      </c>
    </row>
    <row r="718" spans="1:16" x14ac:dyDescent="0.2">
      <c r="A718" s="58" t="str">
        <v/>
      </c>
      <c r="B718" s="131" t="str">
        <f>IFERROR(TIMEVALUE(DaqBook_RAW_Data!Q708),IFERROR(TIMEVALUE(DaqBook_RAW_Data!A708),""))</f>
        <v/>
      </c>
      <c r="C718" s="153" t="str">
        <v/>
      </c>
      <c r="D718" s="153" t="str">
        <v/>
      </c>
      <c r="E718" s="153" t="str">
        <v/>
      </c>
      <c r="F718" s="153" t="str">
        <v/>
      </c>
      <c r="G718" s="153" t="str">
        <v/>
      </c>
      <c r="H718" s="153" t="str">
        <v/>
      </c>
      <c r="I718" s="153" t="str">
        <v/>
      </c>
      <c r="J718" s="153" t="str">
        <v/>
      </c>
      <c r="K718" s="153" t="str">
        <v/>
      </c>
      <c r="L718" s="153" t="str">
        <v/>
      </c>
      <c r="M718" s="153" t="str">
        <v/>
      </c>
      <c r="N718" s="153" t="str">
        <v/>
      </c>
      <c r="O718" s="153" t="str">
        <v/>
      </c>
      <c r="P718" s="153" t="str">
        <v/>
      </c>
    </row>
    <row r="719" spans="1:16" x14ac:dyDescent="0.2">
      <c r="A719" s="58" t="str">
        <v/>
      </c>
      <c r="B719" s="131" t="str">
        <f>IFERROR(TIMEVALUE(DaqBook_RAW_Data!Q709),IFERROR(TIMEVALUE(DaqBook_RAW_Data!A709),""))</f>
        <v/>
      </c>
      <c r="C719" s="153" t="str">
        <v/>
      </c>
      <c r="D719" s="153" t="str">
        <v/>
      </c>
      <c r="E719" s="153" t="str">
        <v/>
      </c>
      <c r="F719" s="153" t="str">
        <v/>
      </c>
      <c r="G719" s="153" t="str">
        <v/>
      </c>
      <c r="H719" s="153" t="str">
        <v/>
      </c>
      <c r="I719" s="153" t="str">
        <v/>
      </c>
      <c r="J719" s="153" t="str">
        <v/>
      </c>
      <c r="K719" s="153" t="str">
        <v/>
      </c>
      <c r="L719" s="153" t="str">
        <v/>
      </c>
      <c r="M719" s="153" t="str">
        <v/>
      </c>
      <c r="N719" s="153" t="str">
        <v/>
      </c>
      <c r="O719" s="153" t="str">
        <v/>
      </c>
      <c r="P719" s="153" t="str">
        <v/>
      </c>
    </row>
    <row r="720" spans="1:16" x14ac:dyDescent="0.2">
      <c r="A720" s="58" t="str">
        <v/>
      </c>
      <c r="B720" s="131" t="str">
        <f>IFERROR(TIMEVALUE(DaqBook_RAW_Data!Q710),IFERROR(TIMEVALUE(DaqBook_RAW_Data!A710),""))</f>
        <v/>
      </c>
      <c r="C720" s="153" t="str">
        <v/>
      </c>
      <c r="D720" s="153" t="str">
        <v/>
      </c>
      <c r="E720" s="153" t="str">
        <v/>
      </c>
      <c r="F720" s="153" t="str">
        <v/>
      </c>
      <c r="G720" s="153" t="str">
        <v/>
      </c>
      <c r="H720" s="153" t="str">
        <v/>
      </c>
      <c r="I720" s="153" t="str">
        <v/>
      </c>
      <c r="J720" s="153" t="str">
        <v/>
      </c>
      <c r="K720" s="153" t="str">
        <v/>
      </c>
      <c r="L720" s="153" t="str">
        <v/>
      </c>
      <c r="M720" s="153" t="str">
        <v/>
      </c>
      <c r="N720" s="153" t="str">
        <v/>
      </c>
      <c r="O720" s="153" t="str">
        <v/>
      </c>
      <c r="P720" s="153" t="str">
        <v/>
      </c>
    </row>
    <row r="721" spans="1:16" x14ac:dyDescent="0.2">
      <c r="A721" s="58" t="str">
        <v/>
      </c>
      <c r="B721" s="131" t="str">
        <f>IFERROR(TIMEVALUE(DaqBook_RAW_Data!Q711),IFERROR(TIMEVALUE(DaqBook_RAW_Data!A711),""))</f>
        <v/>
      </c>
      <c r="C721" s="153" t="str">
        <v/>
      </c>
      <c r="D721" s="153" t="str">
        <v/>
      </c>
      <c r="E721" s="153" t="str">
        <v/>
      </c>
      <c r="F721" s="153" t="str">
        <v/>
      </c>
      <c r="G721" s="153" t="str">
        <v/>
      </c>
      <c r="H721" s="153" t="str">
        <v/>
      </c>
      <c r="I721" s="153" t="str">
        <v/>
      </c>
      <c r="J721" s="153" t="str">
        <v/>
      </c>
      <c r="K721" s="153" t="str">
        <v/>
      </c>
      <c r="L721" s="153" t="str">
        <v/>
      </c>
      <c r="M721" s="153" t="str">
        <v/>
      </c>
      <c r="N721" s="153" t="str">
        <v/>
      </c>
      <c r="O721" s="153" t="str">
        <v/>
      </c>
      <c r="P721" s="153" t="str">
        <v/>
      </c>
    </row>
    <row r="722" spans="1:16" x14ac:dyDescent="0.2">
      <c r="A722" s="58" t="str">
        <v/>
      </c>
      <c r="B722" s="131" t="str">
        <f>IFERROR(TIMEVALUE(DaqBook_RAW_Data!Q712),IFERROR(TIMEVALUE(DaqBook_RAW_Data!A712),""))</f>
        <v/>
      </c>
      <c r="C722" s="153" t="str">
        <v/>
      </c>
      <c r="D722" s="153" t="str">
        <v/>
      </c>
      <c r="E722" s="153" t="str">
        <v/>
      </c>
      <c r="F722" s="153" t="str">
        <v/>
      </c>
      <c r="G722" s="153" t="str">
        <v/>
      </c>
      <c r="H722" s="153" t="str">
        <v/>
      </c>
      <c r="I722" s="153" t="str">
        <v/>
      </c>
      <c r="J722" s="153" t="str">
        <v/>
      </c>
      <c r="K722" s="153" t="str">
        <v/>
      </c>
      <c r="L722" s="153" t="str">
        <v/>
      </c>
      <c r="M722" s="153" t="str">
        <v/>
      </c>
      <c r="N722" s="153" t="str">
        <v/>
      </c>
      <c r="O722" s="153" t="str">
        <v/>
      </c>
      <c r="P722" s="153" t="str">
        <v/>
      </c>
    </row>
    <row r="723" spans="1:16" x14ac:dyDescent="0.2">
      <c r="A723" s="58" t="str">
        <v/>
      </c>
      <c r="B723" s="131" t="str">
        <f>IFERROR(TIMEVALUE(DaqBook_RAW_Data!Q713),IFERROR(TIMEVALUE(DaqBook_RAW_Data!A713),""))</f>
        <v/>
      </c>
      <c r="C723" s="153" t="str">
        <v/>
      </c>
      <c r="D723" s="153" t="str">
        <v/>
      </c>
      <c r="E723" s="153" t="str">
        <v/>
      </c>
      <c r="F723" s="153" t="str">
        <v/>
      </c>
      <c r="G723" s="153" t="str">
        <v/>
      </c>
      <c r="H723" s="153" t="str">
        <v/>
      </c>
      <c r="I723" s="153" t="str">
        <v/>
      </c>
      <c r="J723" s="153" t="str">
        <v/>
      </c>
      <c r="K723" s="153" t="str">
        <v/>
      </c>
      <c r="L723" s="153" t="str">
        <v/>
      </c>
      <c r="M723" s="153" t="str">
        <v/>
      </c>
      <c r="N723" s="153" t="str">
        <v/>
      </c>
      <c r="O723" s="153" t="str">
        <v/>
      </c>
      <c r="P723" s="153" t="str">
        <v/>
      </c>
    </row>
    <row r="724" spans="1:16" x14ac:dyDescent="0.2">
      <c r="A724" s="58" t="str">
        <v/>
      </c>
      <c r="B724" s="131" t="str">
        <f>IFERROR(TIMEVALUE(DaqBook_RAW_Data!Q714),IFERROR(TIMEVALUE(DaqBook_RAW_Data!A714),""))</f>
        <v/>
      </c>
      <c r="C724" s="153" t="str">
        <v/>
      </c>
      <c r="D724" s="153" t="str">
        <v/>
      </c>
      <c r="E724" s="153" t="str">
        <v/>
      </c>
      <c r="F724" s="153" t="str">
        <v/>
      </c>
      <c r="G724" s="153" t="str">
        <v/>
      </c>
      <c r="H724" s="153" t="str">
        <v/>
      </c>
      <c r="I724" s="153" t="str">
        <v/>
      </c>
      <c r="J724" s="153" t="str">
        <v/>
      </c>
      <c r="K724" s="153" t="str">
        <v/>
      </c>
      <c r="L724" s="153" t="str">
        <v/>
      </c>
      <c r="M724" s="153" t="str">
        <v/>
      </c>
      <c r="N724" s="153" t="str">
        <v/>
      </c>
      <c r="O724" s="153" t="str">
        <v/>
      </c>
      <c r="P724" s="153" t="str">
        <v/>
      </c>
    </row>
    <row r="725" spans="1:16" x14ac:dyDescent="0.2">
      <c r="A725" s="58" t="str">
        <v/>
      </c>
      <c r="B725" s="131" t="str">
        <f>IFERROR(TIMEVALUE(DaqBook_RAW_Data!Q715),IFERROR(TIMEVALUE(DaqBook_RAW_Data!A715),""))</f>
        <v/>
      </c>
      <c r="C725" s="153" t="str">
        <v/>
      </c>
      <c r="D725" s="153" t="str">
        <v/>
      </c>
      <c r="E725" s="153" t="str">
        <v/>
      </c>
      <c r="F725" s="153" t="str">
        <v/>
      </c>
      <c r="G725" s="153" t="str">
        <v/>
      </c>
      <c r="H725" s="153" t="str">
        <v/>
      </c>
      <c r="I725" s="153" t="str">
        <v/>
      </c>
      <c r="J725" s="153" t="str">
        <v/>
      </c>
      <c r="K725" s="153" t="str">
        <v/>
      </c>
      <c r="L725" s="153" t="str">
        <v/>
      </c>
      <c r="M725" s="153" t="str">
        <v/>
      </c>
      <c r="N725" s="153" t="str">
        <v/>
      </c>
      <c r="O725" s="153" t="str">
        <v/>
      </c>
      <c r="P725" s="153" t="str">
        <v/>
      </c>
    </row>
    <row r="726" spans="1:16" x14ac:dyDescent="0.2">
      <c r="A726" s="58" t="str">
        <v/>
      </c>
      <c r="B726" s="131" t="str">
        <f>IFERROR(TIMEVALUE(DaqBook_RAW_Data!Q716),IFERROR(TIMEVALUE(DaqBook_RAW_Data!A716),""))</f>
        <v/>
      </c>
      <c r="C726" s="153" t="str">
        <v/>
      </c>
      <c r="D726" s="153" t="str">
        <v/>
      </c>
      <c r="E726" s="153" t="str">
        <v/>
      </c>
      <c r="F726" s="153" t="str">
        <v/>
      </c>
      <c r="G726" s="153" t="str">
        <v/>
      </c>
      <c r="H726" s="153" t="str">
        <v/>
      </c>
      <c r="I726" s="153" t="str">
        <v/>
      </c>
      <c r="J726" s="153" t="str">
        <v/>
      </c>
      <c r="K726" s="153" t="str">
        <v/>
      </c>
      <c r="L726" s="153" t="str">
        <v/>
      </c>
      <c r="M726" s="153" t="str">
        <v/>
      </c>
      <c r="N726" s="153" t="str">
        <v/>
      </c>
      <c r="O726" s="153" t="str">
        <v/>
      </c>
      <c r="P726" s="153" t="str">
        <v/>
      </c>
    </row>
    <row r="727" spans="1:16" x14ac:dyDescent="0.2">
      <c r="A727" s="58" t="str">
        <v/>
      </c>
      <c r="B727" s="131" t="str">
        <f>IFERROR(TIMEVALUE(DaqBook_RAW_Data!Q717),IFERROR(TIMEVALUE(DaqBook_RAW_Data!A717),""))</f>
        <v/>
      </c>
      <c r="C727" s="153" t="str">
        <v/>
      </c>
      <c r="D727" s="153" t="str">
        <v/>
      </c>
      <c r="E727" s="153" t="str">
        <v/>
      </c>
      <c r="F727" s="153" t="str">
        <v/>
      </c>
      <c r="G727" s="153" t="str">
        <v/>
      </c>
      <c r="H727" s="153" t="str">
        <v/>
      </c>
      <c r="I727" s="153" t="str">
        <v/>
      </c>
      <c r="J727" s="153" t="str">
        <v/>
      </c>
      <c r="K727" s="153" t="str">
        <v/>
      </c>
      <c r="L727" s="153" t="str">
        <v/>
      </c>
      <c r="M727" s="153" t="str">
        <v/>
      </c>
      <c r="N727" s="153" t="str">
        <v/>
      </c>
      <c r="O727" s="153" t="str">
        <v/>
      </c>
      <c r="P727" s="153" t="str">
        <v/>
      </c>
    </row>
    <row r="728" spans="1:16" x14ac:dyDescent="0.2">
      <c r="A728" s="58" t="str">
        <v/>
      </c>
      <c r="B728" s="131" t="str">
        <f>IFERROR(TIMEVALUE(DaqBook_RAW_Data!Q718),IFERROR(TIMEVALUE(DaqBook_RAW_Data!A718),""))</f>
        <v/>
      </c>
      <c r="C728" s="153" t="str">
        <v/>
      </c>
      <c r="D728" s="153" t="str">
        <v/>
      </c>
      <c r="E728" s="153" t="str">
        <v/>
      </c>
      <c r="F728" s="153" t="str">
        <v/>
      </c>
      <c r="G728" s="153" t="str">
        <v/>
      </c>
      <c r="H728" s="153" t="str">
        <v/>
      </c>
      <c r="I728" s="153" t="str">
        <v/>
      </c>
      <c r="J728" s="153" t="str">
        <v/>
      </c>
      <c r="K728" s="153" t="str">
        <v/>
      </c>
      <c r="L728" s="153" t="str">
        <v/>
      </c>
      <c r="M728" s="153" t="str">
        <v/>
      </c>
      <c r="N728" s="153" t="str">
        <v/>
      </c>
      <c r="O728" s="153" t="str">
        <v/>
      </c>
      <c r="P728" s="153" t="str">
        <v/>
      </c>
    </row>
    <row r="729" spans="1:16" x14ac:dyDescent="0.2">
      <c r="A729" s="58" t="str">
        <v/>
      </c>
      <c r="B729" s="131" t="str">
        <f>IFERROR(TIMEVALUE(DaqBook_RAW_Data!Q719),IFERROR(TIMEVALUE(DaqBook_RAW_Data!A719),""))</f>
        <v/>
      </c>
      <c r="C729" s="153" t="str">
        <v/>
      </c>
      <c r="D729" s="153" t="str">
        <v/>
      </c>
      <c r="E729" s="153" t="str">
        <v/>
      </c>
      <c r="F729" s="153" t="str">
        <v/>
      </c>
      <c r="G729" s="153" t="str">
        <v/>
      </c>
      <c r="H729" s="153" t="str">
        <v/>
      </c>
      <c r="I729" s="153" t="str">
        <v/>
      </c>
      <c r="J729" s="153" t="str">
        <v/>
      </c>
      <c r="K729" s="153" t="str">
        <v/>
      </c>
      <c r="L729" s="153" t="str">
        <v/>
      </c>
      <c r="M729" s="153" t="str">
        <v/>
      </c>
      <c r="N729" s="153" t="str">
        <v/>
      </c>
      <c r="O729" s="153" t="str">
        <v/>
      </c>
      <c r="P729" s="153" t="str">
        <v/>
      </c>
    </row>
    <row r="730" spans="1:16" x14ac:dyDescent="0.2">
      <c r="A730" s="58" t="str">
        <v/>
      </c>
      <c r="B730" s="131" t="str">
        <f>IFERROR(TIMEVALUE(DaqBook_RAW_Data!Q720),IFERROR(TIMEVALUE(DaqBook_RAW_Data!A720),""))</f>
        <v/>
      </c>
      <c r="C730" s="153" t="str">
        <v/>
      </c>
      <c r="D730" s="153" t="str">
        <v/>
      </c>
      <c r="E730" s="153" t="str">
        <v/>
      </c>
      <c r="F730" s="153" t="str">
        <v/>
      </c>
      <c r="G730" s="153" t="str">
        <v/>
      </c>
      <c r="H730" s="153" t="str">
        <v/>
      </c>
      <c r="I730" s="153" t="str">
        <v/>
      </c>
      <c r="J730" s="153" t="str">
        <v/>
      </c>
      <c r="K730" s="153" t="str">
        <v/>
      </c>
      <c r="L730" s="153" t="str">
        <v/>
      </c>
      <c r="M730" s="153" t="str">
        <v/>
      </c>
      <c r="N730" s="153" t="str">
        <v/>
      </c>
      <c r="O730" s="153" t="str">
        <v/>
      </c>
      <c r="P730" s="153" t="str">
        <v/>
      </c>
    </row>
    <row r="731" spans="1:16" x14ac:dyDescent="0.2">
      <c r="A731" s="58" t="str">
        <v/>
      </c>
      <c r="B731" s="131" t="str">
        <f>IFERROR(TIMEVALUE(DaqBook_RAW_Data!Q721),IFERROR(TIMEVALUE(DaqBook_RAW_Data!A721),""))</f>
        <v/>
      </c>
      <c r="C731" s="153" t="str">
        <v/>
      </c>
      <c r="D731" s="153" t="str">
        <v/>
      </c>
      <c r="E731" s="153" t="str">
        <v/>
      </c>
      <c r="F731" s="153" t="str">
        <v/>
      </c>
      <c r="G731" s="153" t="str">
        <v/>
      </c>
      <c r="H731" s="153" t="str">
        <v/>
      </c>
      <c r="I731" s="153" t="str">
        <v/>
      </c>
      <c r="J731" s="153" t="str">
        <v/>
      </c>
      <c r="K731" s="153" t="str">
        <v/>
      </c>
      <c r="L731" s="153" t="str">
        <v/>
      </c>
      <c r="M731" s="153" t="str">
        <v/>
      </c>
      <c r="N731" s="153" t="str">
        <v/>
      </c>
      <c r="O731" s="153" t="str">
        <v/>
      </c>
      <c r="P731" s="153" t="str">
        <v/>
      </c>
    </row>
    <row r="732" spans="1:16" x14ac:dyDescent="0.2">
      <c r="A732" s="58" t="str">
        <v/>
      </c>
      <c r="B732" s="131" t="str">
        <f>IFERROR(TIMEVALUE(DaqBook_RAW_Data!Q722),IFERROR(TIMEVALUE(DaqBook_RAW_Data!A722),""))</f>
        <v/>
      </c>
      <c r="C732" s="153" t="str">
        <v/>
      </c>
      <c r="D732" s="153" t="str">
        <v/>
      </c>
      <c r="E732" s="153" t="str">
        <v/>
      </c>
      <c r="F732" s="153" t="str">
        <v/>
      </c>
      <c r="G732" s="153" t="str">
        <v/>
      </c>
      <c r="H732" s="153" t="str">
        <v/>
      </c>
      <c r="I732" s="153" t="str">
        <v/>
      </c>
      <c r="J732" s="153" t="str">
        <v/>
      </c>
      <c r="K732" s="153" t="str">
        <v/>
      </c>
      <c r="L732" s="153" t="str">
        <v/>
      </c>
      <c r="M732" s="153" t="str">
        <v/>
      </c>
      <c r="N732" s="153" t="str">
        <v/>
      </c>
      <c r="O732" s="153" t="str">
        <v/>
      </c>
      <c r="P732" s="153" t="str">
        <v/>
      </c>
    </row>
    <row r="733" spans="1:16" x14ac:dyDescent="0.2">
      <c r="A733" s="58" t="str">
        <v/>
      </c>
      <c r="B733" s="131" t="str">
        <f>IFERROR(TIMEVALUE(DaqBook_RAW_Data!Q723),IFERROR(TIMEVALUE(DaqBook_RAW_Data!A723),""))</f>
        <v/>
      </c>
      <c r="C733" s="153" t="str">
        <v/>
      </c>
      <c r="D733" s="153" t="str">
        <v/>
      </c>
      <c r="E733" s="153" t="str">
        <v/>
      </c>
      <c r="F733" s="153" t="str">
        <v/>
      </c>
      <c r="G733" s="153" t="str">
        <v/>
      </c>
      <c r="H733" s="153" t="str">
        <v/>
      </c>
      <c r="I733" s="153" t="str">
        <v/>
      </c>
      <c r="J733" s="153" t="str">
        <v/>
      </c>
      <c r="K733" s="153" t="str">
        <v/>
      </c>
      <c r="L733" s="153" t="str">
        <v/>
      </c>
      <c r="M733" s="153" t="str">
        <v/>
      </c>
      <c r="N733" s="153" t="str">
        <v/>
      </c>
      <c r="O733" s="153" t="str">
        <v/>
      </c>
      <c r="P733" s="153" t="str">
        <v/>
      </c>
    </row>
    <row r="734" spans="1:16" x14ac:dyDescent="0.2">
      <c r="A734" s="58" t="str">
        <v/>
      </c>
      <c r="B734" s="131" t="str">
        <f>IFERROR(TIMEVALUE(DaqBook_RAW_Data!Q724),IFERROR(TIMEVALUE(DaqBook_RAW_Data!A724),""))</f>
        <v/>
      </c>
      <c r="C734" s="153" t="str">
        <v/>
      </c>
      <c r="D734" s="153" t="str">
        <v/>
      </c>
      <c r="E734" s="153" t="str">
        <v/>
      </c>
      <c r="F734" s="153" t="str">
        <v/>
      </c>
      <c r="G734" s="153" t="str">
        <v/>
      </c>
      <c r="H734" s="153" t="str">
        <v/>
      </c>
      <c r="I734" s="153" t="str">
        <v/>
      </c>
      <c r="J734" s="153" t="str">
        <v/>
      </c>
      <c r="K734" s="153" t="str">
        <v/>
      </c>
      <c r="L734" s="153" t="str">
        <v/>
      </c>
      <c r="M734" s="153" t="str">
        <v/>
      </c>
      <c r="N734" s="153" t="str">
        <v/>
      </c>
      <c r="O734" s="153" t="str">
        <v/>
      </c>
      <c r="P734" s="153" t="str">
        <v/>
      </c>
    </row>
    <row r="735" spans="1:16" x14ac:dyDescent="0.2">
      <c r="A735" s="58" t="str">
        <v/>
      </c>
      <c r="B735" s="131" t="str">
        <f>IFERROR(TIMEVALUE(DaqBook_RAW_Data!Q725),IFERROR(TIMEVALUE(DaqBook_RAW_Data!A725),""))</f>
        <v/>
      </c>
      <c r="C735" s="153" t="str">
        <v/>
      </c>
      <c r="D735" s="153" t="str">
        <v/>
      </c>
      <c r="E735" s="153" t="str">
        <v/>
      </c>
      <c r="F735" s="153" t="str">
        <v/>
      </c>
      <c r="G735" s="153" t="str">
        <v/>
      </c>
      <c r="H735" s="153" t="str">
        <v/>
      </c>
      <c r="I735" s="153" t="str">
        <v/>
      </c>
      <c r="J735" s="153" t="str">
        <v/>
      </c>
      <c r="K735" s="153" t="str">
        <v/>
      </c>
      <c r="L735" s="153" t="str">
        <v/>
      </c>
      <c r="M735" s="153" t="str">
        <v/>
      </c>
      <c r="N735" s="153" t="str">
        <v/>
      </c>
      <c r="O735" s="153" t="str">
        <v/>
      </c>
      <c r="P735" s="153" t="str">
        <v/>
      </c>
    </row>
    <row r="736" spans="1:16" x14ac:dyDescent="0.2">
      <c r="A736" s="58" t="str">
        <v/>
      </c>
      <c r="B736" s="131" t="str">
        <f>IFERROR(TIMEVALUE(DaqBook_RAW_Data!Q726),IFERROR(TIMEVALUE(DaqBook_RAW_Data!A726),""))</f>
        <v/>
      </c>
      <c r="C736" s="153" t="str">
        <v/>
      </c>
      <c r="D736" s="153" t="str">
        <v/>
      </c>
      <c r="E736" s="153" t="str">
        <v/>
      </c>
      <c r="F736" s="153" t="str">
        <v/>
      </c>
      <c r="G736" s="153" t="str">
        <v/>
      </c>
      <c r="H736" s="153" t="str">
        <v/>
      </c>
      <c r="I736" s="153" t="str">
        <v/>
      </c>
      <c r="J736" s="153" t="str">
        <v/>
      </c>
      <c r="K736" s="153" t="str">
        <v/>
      </c>
      <c r="L736" s="153" t="str">
        <v/>
      </c>
      <c r="M736" s="153" t="str">
        <v/>
      </c>
      <c r="N736" s="153" t="str">
        <v/>
      </c>
      <c r="O736" s="153" t="str">
        <v/>
      </c>
      <c r="P736" s="153" t="str">
        <v/>
      </c>
    </row>
    <row r="737" spans="1:16" x14ac:dyDescent="0.2">
      <c r="A737" s="58" t="str">
        <v/>
      </c>
      <c r="B737" s="131" t="str">
        <f>IFERROR(TIMEVALUE(DaqBook_RAW_Data!Q727),IFERROR(TIMEVALUE(DaqBook_RAW_Data!A727),""))</f>
        <v/>
      </c>
      <c r="C737" s="153" t="str">
        <v/>
      </c>
      <c r="D737" s="153" t="str">
        <v/>
      </c>
      <c r="E737" s="153" t="str">
        <v/>
      </c>
      <c r="F737" s="153" t="str">
        <v/>
      </c>
      <c r="G737" s="153" t="str">
        <v/>
      </c>
      <c r="H737" s="153" t="str">
        <v/>
      </c>
      <c r="I737" s="153" t="str">
        <v/>
      </c>
      <c r="J737" s="153" t="str">
        <v/>
      </c>
      <c r="K737" s="153" t="str">
        <v/>
      </c>
      <c r="L737" s="153" t="str">
        <v/>
      </c>
      <c r="M737" s="153" t="str">
        <v/>
      </c>
      <c r="N737" s="153" t="str">
        <v/>
      </c>
      <c r="O737" s="153" t="str">
        <v/>
      </c>
      <c r="P737" s="153" t="str">
        <v/>
      </c>
    </row>
    <row r="738" spans="1:16" x14ac:dyDescent="0.2">
      <c r="A738" s="58" t="str">
        <v/>
      </c>
      <c r="B738" s="131" t="str">
        <f>IFERROR(TIMEVALUE(DaqBook_RAW_Data!Q728),IFERROR(TIMEVALUE(DaqBook_RAW_Data!A728),""))</f>
        <v/>
      </c>
      <c r="C738" s="153" t="str">
        <v/>
      </c>
      <c r="D738" s="153" t="str">
        <v/>
      </c>
      <c r="E738" s="153" t="str">
        <v/>
      </c>
      <c r="F738" s="153" t="str">
        <v/>
      </c>
      <c r="G738" s="153" t="str">
        <v/>
      </c>
      <c r="H738" s="153" t="str">
        <v/>
      </c>
      <c r="I738" s="153" t="str">
        <v/>
      </c>
      <c r="J738" s="153" t="str">
        <v/>
      </c>
      <c r="K738" s="153" t="str">
        <v/>
      </c>
      <c r="L738" s="153" t="str">
        <v/>
      </c>
      <c r="M738" s="153" t="str">
        <v/>
      </c>
      <c r="N738" s="153" t="str">
        <v/>
      </c>
      <c r="O738" s="153" t="str">
        <v/>
      </c>
      <c r="P738" s="153" t="str">
        <v/>
      </c>
    </row>
    <row r="739" spans="1:16" x14ac:dyDescent="0.2">
      <c r="A739" s="58" t="str">
        <v/>
      </c>
      <c r="B739" s="131" t="str">
        <f>IFERROR(TIMEVALUE(DaqBook_RAW_Data!Q729),IFERROR(TIMEVALUE(DaqBook_RAW_Data!A729),""))</f>
        <v/>
      </c>
      <c r="C739" s="153" t="str">
        <v/>
      </c>
      <c r="D739" s="153" t="str">
        <v/>
      </c>
      <c r="E739" s="153" t="str">
        <v/>
      </c>
      <c r="F739" s="153" t="str">
        <v/>
      </c>
      <c r="G739" s="153" t="str">
        <v/>
      </c>
      <c r="H739" s="153" t="str">
        <v/>
      </c>
      <c r="I739" s="153" t="str">
        <v/>
      </c>
      <c r="J739" s="153" t="str">
        <v/>
      </c>
      <c r="K739" s="153" t="str">
        <v/>
      </c>
      <c r="L739" s="153" t="str">
        <v/>
      </c>
      <c r="M739" s="153" t="str">
        <v/>
      </c>
      <c r="N739" s="153" t="str">
        <v/>
      </c>
      <c r="O739" s="153" t="str">
        <v/>
      </c>
      <c r="P739" s="153" t="str">
        <v/>
      </c>
    </row>
    <row r="740" spans="1:16" x14ac:dyDescent="0.2">
      <c r="A740" s="58" t="str">
        <v/>
      </c>
      <c r="B740" s="131" t="str">
        <f>IFERROR(TIMEVALUE(DaqBook_RAW_Data!Q730),IFERROR(TIMEVALUE(DaqBook_RAW_Data!A730),""))</f>
        <v/>
      </c>
      <c r="C740" s="153" t="str">
        <v/>
      </c>
      <c r="D740" s="153" t="str">
        <v/>
      </c>
      <c r="E740" s="153" t="str">
        <v/>
      </c>
      <c r="F740" s="153" t="str">
        <v/>
      </c>
      <c r="G740" s="153" t="str">
        <v/>
      </c>
      <c r="H740" s="153" t="str">
        <v/>
      </c>
      <c r="I740" s="153" t="str">
        <v/>
      </c>
      <c r="J740" s="153" t="str">
        <v/>
      </c>
      <c r="K740" s="153" t="str">
        <v/>
      </c>
      <c r="L740" s="153" t="str">
        <v/>
      </c>
      <c r="M740" s="153" t="str">
        <v/>
      </c>
      <c r="N740" s="153" t="str">
        <v/>
      </c>
      <c r="O740" s="153" t="str">
        <v/>
      </c>
      <c r="P740" s="153" t="str">
        <v/>
      </c>
    </row>
    <row r="741" spans="1:16" x14ac:dyDescent="0.2">
      <c r="A741" s="58" t="str">
        <v/>
      </c>
      <c r="B741" s="131" t="str">
        <f>IFERROR(TIMEVALUE(DaqBook_RAW_Data!Q731),IFERROR(TIMEVALUE(DaqBook_RAW_Data!A731),""))</f>
        <v/>
      </c>
      <c r="C741" s="153" t="str">
        <v/>
      </c>
      <c r="D741" s="153" t="str">
        <v/>
      </c>
      <c r="E741" s="153" t="str">
        <v/>
      </c>
      <c r="F741" s="153" t="str">
        <v/>
      </c>
      <c r="G741" s="153" t="str">
        <v/>
      </c>
      <c r="H741" s="153" t="str">
        <v/>
      </c>
      <c r="I741" s="153" t="str">
        <v/>
      </c>
      <c r="J741" s="153" t="str">
        <v/>
      </c>
      <c r="K741" s="153" t="str">
        <v/>
      </c>
      <c r="L741" s="153" t="str">
        <v/>
      </c>
      <c r="M741" s="153" t="str">
        <v/>
      </c>
      <c r="N741" s="153" t="str">
        <v/>
      </c>
      <c r="O741" s="153" t="str">
        <v/>
      </c>
      <c r="P741" s="153" t="str">
        <v/>
      </c>
    </row>
    <row r="742" spans="1:16" x14ac:dyDescent="0.2">
      <c r="A742" s="58" t="str">
        <v/>
      </c>
      <c r="B742" s="131" t="str">
        <f>IFERROR(TIMEVALUE(DaqBook_RAW_Data!Q732),IFERROR(TIMEVALUE(DaqBook_RAW_Data!A732),""))</f>
        <v/>
      </c>
      <c r="C742" s="153" t="str">
        <v/>
      </c>
      <c r="D742" s="153" t="str">
        <v/>
      </c>
      <c r="E742" s="153" t="str">
        <v/>
      </c>
      <c r="F742" s="153" t="str">
        <v/>
      </c>
      <c r="G742" s="153" t="str">
        <v/>
      </c>
      <c r="H742" s="153" t="str">
        <v/>
      </c>
      <c r="I742" s="153" t="str">
        <v/>
      </c>
      <c r="J742" s="153" t="str">
        <v/>
      </c>
      <c r="K742" s="153" t="str">
        <v/>
      </c>
      <c r="L742" s="153" t="str">
        <v/>
      </c>
      <c r="M742" s="153" t="str">
        <v/>
      </c>
      <c r="N742" s="153" t="str">
        <v/>
      </c>
      <c r="O742" s="153" t="str">
        <v/>
      </c>
      <c r="P742" s="153" t="str">
        <v/>
      </c>
    </row>
    <row r="743" spans="1:16" x14ac:dyDescent="0.2">
      <c r="A743" s="58" t="str">
        <v/>
      </c>
      <c r="B743" s="131" t="str">
        <f>IFERROR(TIMEVALUE(DaqBook_RAW_Data!Q733),IFERROR(TIMEVALUE(DaqBook_RAW_Data!A733),""))</f>
        <v/>
      </c>
      <c r="C743" s="153" t="str">
        <v/>
      </c>
      <c r="D743" s="153" t="str">
        <v/>
      </c>
      <c r="E743" s="153" t="str">
        <v/>
      </c>
      <c r="F743" s="153" t="str">
        <v/>
      </c>
      <c r="G743" s="153" t="str">
        <v/>
      </c>
      <c r="H743" s="153" t="str">
        <v/>
      </c>
      <c r="I743" s="153" t="str">
        <v/>
      </c>
      <c r="J743" s="153" t="str">
        <v/>
      </c>
      <c r="K743" s="153" t="str">
        <v/>
      </c>
      <c r="L743" s="153" t="str">
        <v/>
      </c>
      <c r="M743" s="153" t="str">
        <v/>
      </c>
      <c r="N743" s="153" t="str">
        <v/>
      </c>
      <c r="O743" s="153" t="str">
        <v/>
      </c>
      <c r="P743" s="153" t="str">
        <v/>
      </c>
    </row>
    <row r="744" spans="1:16" x14ac:dyDescent="0.2">
      <c r="A744" s="58" t="str">
        <v/>
      </c>
      <c r="B744" s="131" t="str">
        <f>IFERROR(TIMEVALUE(DaqBook_RAW_Data!Q734),IFERROR(TIMEVALUE(DaqBook_RAW_Data!A734),""))</f>
        <v/>
      </c>
      <c r="C744" s="153" t="str">
        <v/>
      </c>
      <c r="D744" s="153" t="str">
        <v/>
      </c>
      <c r="E744" s="153" t="str">
        <v/>
      </c>
      <c r="F744" s="153" t="str">
        <v/>
      </c>
      <c r="G744" s="153" t="str">
        <v/>
      </c>
      <c r="H744" s="153" t="str">
        <v/>
      </c>
      <c r="I744" s="153" t="str">
        <v/>
      </c>
      <c r="J744" s="153" t="str">
        <v/>
      </c>
      <c r="K744" s="153" t="str">
        <v/>
      </c>
      <c r="L744" s="153" t="str">
        <v/>
      </c>
      <c r="M744" s="153" t="str">
        <v/>
      </c>
      <c r="N744" s="153" t="str">
        <v/>
      </c>
      <c r="O744" s="153" t="str">
        <v/>
      </c>
      <c r="P744" s="153" t="str">
        <v/>
      </c>
    </row>
    <row r="745" spans="1:16" x14ac:dyDescent="0.2">
      <c r="A745" s="58" t="str">
        <v/>
      </c>
      <c r="B745" s="131" t="str">
        <f>IFERROR(TIMEVALUE(DaqBook_RAW_Data!Q735),IFERROR(TIMEVALUE(DaqBook_RAW_Data!A735),""))</f>
        <v/>
      </c>
      <c r="C745" s="153" t="str">
        <v/>
      </c>
      <c r="D745" s="153" t="str">
        <v/>
      </c>
      <c r="E745" s="153" t="str">
        <v/>
      </c>
      <c r="F745" s="153" t="str">
        <v/>
      </c>
      <c r="G745" s="153" t="str">
        <v/>
      </c>
      <c r="H745" s="153" t="str">
        <v/>
      </c>
      <c r="I745" s="153" t="str">
        <v/>
      </c>
      <c r="J745" s="153" t="str">
        <v/>
      </c>
      <c r="K745" s="153" t="str">
        <v/>
      </c>
      <c r="L745" s="153" t="str">
        <v/>
      </c>
      <c r="M745" s="153" t="str">
        <v/>
      </c>
      <c r="N745" s="153" t="str">
        <v/>
      </c>
      <c r="O745" s="153" t="str">
        <v/>
      </c>
      <c r="P745" s="153" t="str">
        <v/>
      </c>
    </row>
    <row r="746" spans="1:16" x14ac:dyDescent="0.2">
      <c r="A746" s="58" t="str">
        <v/>
      </c>
      <c r="B746" s="131" t="str">
        <f>IFERROR(TIMEVALUE(DaqBook_RAW_Data!Q736),IFERROR(TIMEVALUE(DaqBook_RAW_Data!A736),""))</f>
        <v/>
      </c>
      <c r="C746" s="153" t="str">
        <v/>
      </c>
      <c r="D746" s="153" t="str">
        <v/>
      </c>
      <c r="E746" s="153" t="str">
        <v/>
      </c>
      <c r="F746" s="153" t="str">
        <v/>
      </c>
      <c r="G746" s="153" t="str">
        <v/>
      </c>
      <c r="H746" s="153" t="str">
        <v/>
      </c>
      <c r="I746" s="153" t="str">
        <v/>
      </c>
      <c r="J746" s="153" t="str">
        <v/>
      </c>
      <c r="K746" s="153" t="str">
        <v/>
      </c>
      <c r="L746" s="153" t="str">
        <v/>
      </c>
      <c r="M746" s="153" t="str">
        <v/>
      </c>
      <c r="N746" s="153" t="str">
        <v/>
      </c>
      <c r="O746" s="153" t="str">
        <v/>
      </c>
      <c r="P746" s="153" t="str">
        <v/>
      </c>
    </row>
    <row r="747" spans="1:16" x14ac:dyDescent="0.2">
      <c r="A747" s="58" t="str">
        <v/>
      </c>
      <c r="B747" s="131" t="str">
        <f>IFERROR(TIMEVALUE(DaqBook_RAW_Data!Q737),IFERROR(TIMEVALUE(DaqBook_RAW_Data!A737),""))</f>
        <v/>
      </c>
      <c r="C747" s="153" t="str">
        <v/>
      </c>
      <c r="D747" s="153" t="str">
        <v/>
      </c>
      <c r="E747" s="153" t="str">
        <v/>
      </c>
      <c r="F747" s="153" t="str">
        <v/>
      </c>
      <c r="G747" s="153" t="str">
        <v/>
      </c>
      <c r="H747" s="153" t="str">
        <v/>
      </c>
      <c r="I747" s="153" t="str">
        <v/>
      </c>
      <c r="J747" s="153" t="str">
        <v/>
      </c>
      <c r="K747" s="153" t="str">
        <v/>
      </c>
      <c r="L747" s="153" t="str">
        <v/>
      </c>
      <c r="M747" s="153" t="str">
        <v/>
      </c>
      <c r="N747" s="153" t="str">
        <v/>
      </c>
      <c r="O747" s="153" t="str">
        <v/>
      </c>
      <c r="P747" s="153" t="str">
        <v/>
      </c>
    </row>
    <row r="748" spans="1:16" x14ac:dyDescent="0.2">
      <c r="A748" s="58" t="str">
        <v/>
      </c>
      <c r="B748" s="131" t="str">
        <f>IFERROR(TIMEVALUE(DaqBook_RAW_Data!Q738),IFERROR(TIMEVALUE(DaqBook_RAW_Data!A738),""))</f>
        <v/>
      </c>
      <c r="C748" s="153" t="str">
        <v/>
      </c>
      <c r="D748" s="153" t="str">
        <v/>
      </c>
      <c r="E748" s="153" t="str">
        <v/>
      </c>
      <c r="F748" s="153" t="str">
        <v/>
      </c>
      <c r="G748" s="153" t="str">
        <v/>
      </c>
      <c r="H748" s="153" t="str">
        <v/>
      </c>
      <c r="I748" s="153" t="str">
        <v/>
      </c>
      <c r="J748" s="153" t="str">
        <v/>
      </c>
      <c r="K748" s="153" t="str">
        <v/>
      </c>
      <c r="L748" s="153" t="str">
        <v/>
      </c>
      <c r="M748" s="153" t="str">
        <v/>
      </c>
      <c r="N748" s="153" t="str">
        <v/>
      </c>
      <c r="O748" s="153" t="str">
        <v/>
      </c>
      <c r="P748" s="153" t="str">
        <v/>
      </c>
    </row>
    <row r="749" spans="1:16" x14ac:dyDescent="0.2">
      <c r="A749" s="58" t="str">
        <v/>
      </c>
      <c r="B749" s="131" t="str">
        <f>IFERROR(TIMEVALUE(DaqBook_RAW_Data!Q739),IFERROR(TIMEVALUE(DaqBook_RAW_Data!A739),""))</f>
        <v/>
      </c>
      <c r="C749" s="153" t="str">
        <v/>
      </c>
      <c r="D749" s="153" t="str">
        <v/>
      </c>
      <c r="E749" s="153" t="str">
        <v/>
      </c>
      <c r="F749" s="153" t="str">
        <v/>
      </c>
      <c r="G749" s="153" t="str">
        <v/>
      </c>
      <c r="H749" s="153" t="str">
        <v/>
      </c>
      <c r="I749" s="153" t="str">
        <v/>
      </c>
      <c r="J749" s="153" t="str">
        <v/>
      </c>
      <c r="K749" s="153" t="str">
        <v/>
      </c>
      <c r="L749" s="153" t="str">
        <v/>
      </c>
      <c r="M749" s="153" t="str">
        <v/>
      </c>
      <c r="N749" s="153" t="str">
        <v/>
      </c>
      <c r="O749" s="153" t="str">
        <v/>
      </c>
      <c r="P749" s="153" t="str">
        <v/>
      </c>
    </row>
    <row r="750" spans="1:16" x14ac:dyDescent="0.2">
      <c r="A750" s="58" t="str">
        <v/>
      </c>
      <c r="B750" s="131" t="str">
        <f>IFERROR(TIMEVALUE(DaqBook_RAW_Data!Q740),IFERROR(TIMEVALUE(DaqBook_RAW_Data!A740),""))</f>
        <v/>
      </c>
      <c r="C750" s="153" t="str">
        <v/>
      </c>
      <c r="D750" s="153" t="str">
        <v/>
      </c>
      <c r="E750" s="153" t="str">
        <v/>
      </c>
      <c r="F750" s="153" t="str">
        <v/>
      </c>
      <c r="G750" s="153" t="str">
        <v/>
      </c>
      <c r="H750" s="153" t="str">
        <v/>
      </c>
      <c r="I750" s="153" t="str">
        <v/>
      </c>
      <c r="J750" s="153" t="str">
        <v/>
      </c>
      <c r="K750" s="153" t="str">
        <v/>
      </c>
      <c r="L750" s="153" t="str">
        <v/>
      </c>
      <c r="M750" s="153" t="str">
        <v/>
      </c>
      <c r="N750" s="153" t="str">
        <v/>
      </c>
      <c r="O750" s="153" t="str">
        <v/>
      </c>
      <c r="P750" s="153" t="str">
        <v/>
      </c>
    </row>
    <row r="751" spans="1:16" x14ac:dyDescent="0.2">
      <c r="A751" s="58" t="str">
        <v/>
      </c>
      <c r="B751" s="131" t="str">
        <f>IFERROR(TIMEVALUE(DaqBook_RAW_Data!Q741),IFERROR(TIMEVALUE(DaqBook_RAW_Data!A741),""))</f>
        <v/>
      </c>
      <c r="C751" s="153" t="str">
        <v/>
      </c>
      <c r="D751" s="153" t="str">
        <v/>
      </c>
      <c r="E751" s="153" t="str">
        <v/>
      </c>
      <c r="F751" s="153" t="str">
        <v/>
      </c>
      <c r="G751" s="153" t="str">
        <v/>
      </c>
      <c r="H751" s="153" t="str">
        <v/>
      </c>
      <c r="I751" s="153" t="str">
        <v/>
      </c>
      <c r="J751" s="153" t="str">
        <v/>
      </c>
      <c r="K751" s="153" t="str">
        <v/>
      </c>
      <c r="L751" s="153" t="str">
        <v/>
      </c>
      <c r="M751" s="153" t="str">
        <v/>
      </c>
      <c r="N751" s="153" t="str">
        <v/>
      </c>
      <c r="O751" s="153" t="str">
        <v/>
      </c>
      <c r="P751" s="153" t="str">
        <v/>
      </c>
    </row>
    <row r="752" spans="1:16" x14ac:dyDescent="0.2">
      <c r="A752" s="58" t="str">
        <v/>
      </c>
      <c r="B752" s="131" t="str">
        <f>IFERROR(TIMEVALUE(DaqBook_RAW_Data!Q742),IFERROR(TIMEVALUE(DaqBook_RAW_Data!A742),""))</f>
        <v/>
      </c>
      <c r="C752" s="153" t="str">
        <v/>
      </c>
      <c r="D752" s="153" t="str">
        <v/>
      </c>
      <c r="E752" s="153" t="str">
        <v/>
      </c>
      <c r="F752" s="153" t="str">
        <v/>
      </c>
      <c r="G752" s="153" t="str">
        <v/>
      </c>
      <c r="H752" s="153" t="str">
        <v/>
      </c>
      <c r="I752" s="153" t="str">
        <v/>
      </c>
      <c r="J752" s="153" t="str">
        <v/>
      </c>
      <c r="K752" s="153" t="str">
        <v/>
      </c>
      <c r="L752" s="153" t="str">
        <v/>
      </c>
      <c r="M752" s="153" t="str">
        <v/>
      </c>
      <c r="N752" s="153" t="str">
        <v/>
      </c>
      <c r="O752" s="153" t="str">
        <v/>
      </c>
      <c r="P752" s="153" t="str">
        <v/>
      </c>
    </row>
    <row r="753" spans="1:16" x14ac:dyDescent="0.2">
      <c r="A753" s="58" t="str">
        <v/>
      </c>
      <c r="B753" s="131" t="str">
        <f>IFERROR(TIMEVALUE(DaqBook_RAW_Data!Q743),IFERROR(TIMEVALUE(DaqBook_RAW_Data!A743),""))</f>
        <v/>
      </c>
      <c r="C753" s="153" t="str">
        <v/>
      </c>
      <c r="D753" s="153" t="str">
        <v/>
      </c>
      <c r="E753" s="153" t="str">
        <v/>
      </c>
      <c r="F753" s="153" t="str">
        <v/>
      </c>
      <c r="G753" s="153" t="str">
        <v/>
      </c>
      <c r="H753" s="153" t="str">
        <v/>
      </c>
      <c r="I753" s="153" t="str">
        <v/>
      </c>
      <c r="J753" s="153" t="str">
        <v/>
      </c>
      <c r="K753" s="153" t="str">
        <v/>
      </c>
      <c r="L753" s="153" t="str">
        <v/>
      </c>
      <c r="M753" s="153" t="str">
        <v/>
      </c>
      <c r="N753" s="153" t="str">
        <v/>
      </c>
      <c r="O753" s="153" t="str">
        <v/>
      </c>
      <c r="P753" s="153" t="str">
        <v/>
      </c>
    </row>
    <row r="754" spans="1:16" x14ac:dyDescent="0.2">
      <c r="A754" s="58" t="str">
        <v/>
      </c>
      <c r="B754" s="131" t="str">
        <f>IFERROR(TIMEVALUE(DaqBook_RAW_Data!Q744),IFERROR(TIMEVALUE(DaqBook_RAW_Data!A744),""))</f>
        <v/>
      </c>
      <c r="C754" s="153" t="str">
        <v/>
      </c>
      <c r="D754" s="153" t="str">
        <v/>
      </c>
      <c r="E754" s="153" t="str">
        <v/>
      </c>
      <c r="F754" s="153" t="str">
        <v/>
      </c>
      <c r="G754" s="153" t="str">
        <v/>
      </c>
      <c r="H754" s="153" t="str">
        <v/>
      </c>
      <c r="I754" s="153" t="str">
        <v/>
      </c>
      <c r="J754" s="153" t="str">
        <v/>
      </c>
      <c r="K754" s="153" t="str">
        <v/>
      </c>
      <c r="L754" s="153" t="str">
        <v/>
      </c>
      <c r="M754" s="153" t="str">
        <v/>
      </c>
      <c r="N754" s="153" t="str">
        <v/>
      </c>
      <c r="O754" s="153" t="str">
        <v/>
      </c>
      <c r="P754" s="153" t="str">
        <v/>
      </c>
    </row>
    <row r="755" spans="1:16" x14ac:dyDescent="0.2">
      <c r="A755" s="58" t="str">
        <v/>
      </c>
      <c r="B755" s="131" t="str">
        <f>IFERROR(TIMEVALUE(DaqBook_RAW_Data!Q745),IFERROR(TIMEVALUE(DaqBook_RAW_Data!A745),""))</f>
        <v/>
      </c>
      <c r="C755" s="153" t="str">
        <v/>
      </c>
      <c r="D755" s="153" t="str">
        <v/>
      </c>
      <c r="E755" s="153" t="str">
        <v/>
      </c>
      <c r="F755" s="153" t="str">
        <v/>
      </c>
      <c r="G755" s="153" t="str">
        <v/>
      </c>
      <c r="H755" s="153" t="str">
        <v/>
      </c>
      <c r="I755" s="153" t="str">
        <v/>
      </c>
      <c r="J755" s="153" t="str">
        <v/>
      </c>
      <c r="K755" s="153" t="str">
        <v/>
      </c>
      <c r="L755" s="153" t="str">
        <v/>
      </c>
      <c r="M755" s="153" t="str">
        <v/>
      </c>
      <c r="N755" s="153" t="str">
        <v/>
      </c>
      <c r="O755" s="153" t="str">
        <v/>
      </c>
      <c r="P755" s="153" t="str">
        <v/>
      </c>
    </row>
    <row r="756" spans="1:16" x14ac:dyDescent="0.2">
      <c r="A756" s="58" t="str">
        <v/>
      </c>
      <c r="B756" s="131" t="str">
        <f>IFERROR(TIMEVALUE(DaqBook_RAW_Data!Q746),IFERROR(TIMEVALUE(DaqBook_RAW_Data!A746),""))</f>
        <v/>
      </c>
      <c r="C756" s="153" t="str">
        <v/>
      </c>
      <c r="D756" s="153" t="str">
        <v/>
      </c>
      <c r="E756" s="153" t="str">
        <v/>
      </c>
      <c r="F756" s="153" t="str">
        <v/>
      </c>
      <c r="G756" s="153" t="str">
        <v/>
      </c>
      <c r="H756" s="153" t="str">
        <v/>
      </c>
      <c r="I756" s="153" t="str">
        <v/>
      </c>
      <c r="J756" s="153" t="str">
        <v/>
      </c>
      <c r="K756" s="153" t="str">
        <v/>
      </c>
      <c r="L756" s="153" t="str">
        <v/>
      </c>
      <c r="M756" s="153" t="str">
        <v/>
      </c>
      <c r="N756" s="153" t="str">
        <v/>
      </c>
      <c r="O756" s="153" t="str">
        <v/>
      </c>
      <c r="P756" s="153" t="str">
        <v/>
      </c>
    </row>
    <row r="757" spans="1:16" x14ac:dyDescent="0.2">
      <c r="A757" s="58" t="str">
        <v/>
      </c>
      <c r="B757" s="131" t="str">
        <f>IFERROR(TIMEVALUE(DaqBook_RAW_Data!Q747),IFERROR(TIMEVALUE(DaqBook_RAW_Data!A747),""))</f>
        <v/>
      </c>
      <c r="C757" s="153" t="str">
        <v/>
      </c>
      <c r="D757" s="153" t="str">
        <v/>
      </c>
      <c r="E757" s="153" t="str">
        <v/>
      </c>
      <c r="F757" s="153" t="str">
        <v/>
      </c>
      <c r="G757" s="153" t="str">
        <v/>
      </c>
      <c r="H757" s="153" t="str">
        <v/>
      </c>
      <c r="I757" s="153" t="str">
        <v/>
      </c>
      <c r="J757" s="153" t="str">
        <v/>
      </c>
      <c r="K757" s="153" t="str">
        <v/>
      </c>
      <c r="L757" s="153" t="str">
        <v/>
      </c>
      <c r="M757" s="153" t="str">
        <v/>
      </c>
      <c r="N757" s="153" t="str">
        <v/>
      </c>
      <c r="O757" s="153" t="str">
        <v/>
      </c>
      <c r="P757" s="153" t="str">
        <v/>
      </c>
    </row>
    <row r="758" spans="1:16" x14ac:dyDescent="0.2">
      <c r="A758" s="58" t="str">
        <v/>
      </c>
      <c r="B758" s="131" t="str">
        <f>IFERROR(TIMEVALUE(DaqBook_RAW_Data!Q748),IFERROR(TIMEVALUE(DaqBook_RAW_Data!A748),""))</f>
        <v/>
      </c>
      <c r="C758" s="153" t="str">
        <v/>
      </c>
      <c r="D758" s="153" t="str">
        <v/>
      </c>
      <c r="E758" s="153" t="str">
        <v/>
      </c>
      <c r="F758" s="153" t="str">
        <v/>
      </c>
      <c r="G758" s="153" t="str">
        <v/>
      </c>
      <c r="H758" s="153" t="str">
        <v/>
      </c>
      <c r="I758" s="153" t="str">
        <v/>
      </c>
      <c r="J758" s="153" t="str">
        <v/>
      </c>
      <c r="K758" s="153" t="str">
        <v/>
      </c>
      <c r="L758" s="153" t="str">
        <v/>
      </c>
      <c r="M758" s="153" t="str">
        <v/>
      </c>
      <c r="N758" s="153" t="str">
        <v/>
      </c>
      <c r="O758" s="153" t="str">
        <v/>
      </c>
      <c r="P758" s="153" t="str">
        <v/>
      </c>
    </row>
    <row r="759" spans="1:16" x14ac:dyDescent="0.2">
      <c r="A759" s="58" t="str">
        <v/>
      </c>
      <c r="B759" s="131" t="str">
        <f>IFERROR(TIMEVALUE(DaqBook_RAW_Data!Q749),IFERROR(TIMEVALUE(DaqBook_RAW_Data!A749),""))</f>
        <v/>
      </c>
      <c r="C759" s="153" t="str">
        <v/>
      </c>
      <c r="D759" s="153" t="str">
        <v/>
      </c>
      <c r="E759" s="153" t="str">
        <v/>
      </c>
      <c r="F759" s="153" t="str">
        <v/>
      </c>
      <c r="G759" s="153" t="str">
        <v/>
      </c>
      <c r="H759" s="153" t="str">
        <v/>
      </c>
      <c r="I759" s="153" t="str">
        <v/>
      </c>
      <c r="J759" s="153" t="str">
        <v/>
      </c>
      <c r="K759" s="153" t="str">
        <v/>
      </c>
      <c r="L759" s="153" t="str">
        <v/>
      </c>
      <c r="M759" s="153" t="str">
        <v/>
      </c>
      <c r="N759" s="153" t="str">
        <v/>
      </c>
      <c r="O759" s="153" t="str">
        <v/>
      </c>
      <c r="P759" s="153" t="str">
        <v/>
      </c>
    </row>
    <row r="760" spans="1:16" x14ac:dyDescent="0.2">
      <c r="A760" s="58" t="str">
        <v/>
      </c>
      <c r="B760" s="131" t="str">
        <f>IFERROR(TIMEVALUE(DaqBook_RAW_Data!Q750),IFERROR(TIMEVALUE(DaqBook_RAW_Data!A750),""))</f>
        <v/>
      </c>
      <c r="C760" s="153" t="str">
        <v/>
      </c>
      <c r="D760" s="153" t="str">
        <v/>
      </c>
      <c r="E760" s="153" t="str">
        <v/>
      </c>
      <c r="F760" s="153" t="str">
        <v/>
      </c>
      <c r="G760" s="153" t="str">
        <v/>
      </c>
      <c r="H760" s="153" t="str">
        <v/>
      </c>
      <c r="I760" s="153" t="str">
        <v/>
      </c>
      <c r="J760" s="153" t="str">
        <v/>
      </c>
      <c r="K760" s="153" t="str">
        <v/>
      </c>
      <c r="L760" s="153" t="str">
        <v/>
      </c>
      <c r="M760" s="153" t="str">
        <v/>
      </c>
      <c r="N760" s="153" t="str">
        <v/>
      </c>
      <c r="O760" s="153" t="str">
        <v/>
      </c>
      <c r="P760" s="153" t="str">
        <v/>
      </c>
    </row>
    <row r="761" spans="1:16" x14ac:dyDescent="0.2">
      <c r="A761" s="58" t="str">
        <v/>
      </c>
      <c r="B761" s="131" t="str">
        <f>IFERROR(TIMEVALUE(DaqBook_RAW_Data!Q751),IFERROR(TIMEVALUE(DaqBook_RAW_Data!A751),""))</f>
        <v/>
      </c>
      <c r="C761" s="153" t="str">
        <v/>
      </c>
      <c r="D761" s="153" t="str">
        <v/>
      </c>
      <c r="E761" s="153" t="str">
        <v/>
      </c>
      <c r="F761" s="153" t="str">
        <v/>
      </c>
      <c r="G761" s="153" t="str">
        <v/>
      </c>
      <c r="H761" s="153" t="str">
        <v/>
      </c>
      <c r="I761" s="153" t="str">
        <v/>
      </c>
      <c r="J761" s="153" t="str">
        <v/>
      </c>
      <c r="K761" s="153" t="str">
        <v/>
      </c>
      <c r="L761" s="153" t="str">
        <v/>
      </c>
      <c r="M761" s="153" t="str">
        <v/>
      </c>
      <c r="N761" s="153" t="str">
        <v/>
      </c>
      <c r="O761" s="153" t="str">
        <v/>
      </c>
      <c r="P761" s="153" t="str">
        <v/>
      </c>
    </row>
    <row r="762" spans="1:16" x14ac:dyDescent="0.2">
      <c r="A762" s="58" t="str">
        <v/>
      </c>
      <c r="B762" s="131" t="str">
        <f>IFERROR(TIMEVALUE(DaqBook_RAW_Data!Q752),IFERROR(TIMEVALUE(DaqBook_RAW_Data!A752),""))</f>
        <v/>
      </c>
      <c r="C762" s="153" t="str">
        <v/>
      </c>
      <c r="D762" s="153" t="str">
        <v/>
      </c>
      <c r="E762" s="153" t="str">
        <v/>
      </c>
      <c r="F762" s="153" t="str">
        <v/>
      </c>
      <c r="G762" s="153" t="str">
        <v/>
      </c>
      <c r="H762" s="153" t="str">
        <v/>
      </c>
      <c r="I762" s="153" t="str">
        <v/>
      </c>
      <c r="J762" s="153" t="str">
        <v/>
      </c>
      <c r="K762" s="153" t="str">
        <v/>
      </c>
      <c r="L762" s="153" t="str">
        <v/>
      </c>
      <c r="M762" s="153" t="str">
        <v/>
      </c>
      <c r="N762" s="153" t="str">
        <v/>
      </c>
      <c r="O762" s="153" t="str">
        <v/>
      </c>
      <c r="P762" s="153" t="str">
        <v/>
      </c>
    </row>
    <row r="763" spans="1:16" x14ac:dyDescent="0.2">
      <c r="A763" s="58" t="str">
        <v/>
      </c>
      <c r="B763" s="131" t="str">
        <f>IFERROR(TIMEVALUE(DaqBook_RAW_Data!Q753),IFERROR(TIMEVALUE(DaqBook_RAW_Data!A753),""))</f>
        <v/>
      </c>
      <c r="C763" s="153" t="str">
        <v/>
      </c>
      <c r="D763" s="153" t="str">
        <v/>
      </c>
      <c r="E763" s="153" t="str">
        <v/>
      </c>
      <c r="F763" s="153" t="str">
        <v/>
      </c>
      <c r="G763" s="153" t="str">
        <v/>
      </c>
      <c r="H763" s="153" t="str">
        <v/>
      </c>
      <c r="I763" s="153" t="str">
        <v/>
      </c>
      <c r="J763" s="153" t="str">
        <v/>
      </c>
      <c r="K763" s="153" t="str">
        <v/>
      </c>
      <c r="L763" s="153" t="str">
        <v/>
      </c>
      <c r="M763" s="153" t="str">
        <v/>
      </c>
      <c r="N763" s="153" t="str">
        <v/>
      </c>
      <c r="O763" s="153" t="str">
        <v/>
      </c>
      <c r="P763" s="153" t="str">
        <v/>
      </c>
    </row>
    <row r="764" spans="1:16" x14ac:dyDescent="0.2">
      <c r="A764" s="58" t="str">
        <v/>
      </c>
      <c r="B764" s="131" t="str">
        <f>IFERROR(TIMEVALUE(DaqBook_RAW_Data!Q754),IFERROR(TIMEVALUE(DaqBook_RAW_Data!A754),""))</f>
        <v/>
      </c>
      <c r="C764" s="153" t="str">
        <v/>
      </c>
      <c r="D764" s="153" t="str">
        <v/>
      </c>
      <c r="E764" s="153" t="str">
        <v/>
      </c>
      <c r="F764" s="153" t="str">
        <v/>
      </c>
      <c r="G764" s="153" t="str">
        <v/>
      </c>
      <c r="H764" s="153" t="str">
        <v/>
      </c>
      <c r="I764" s="153" t="str">
        <v/>
      </c>
      <c r="J764" s="153" t="str">
        <v/>
      </c>
      <c r="K764" s="153" t="str">
        <v/>
      </c>
      <c r="L764" s="153" t="str">
        <v/>
      </c>
      <c r="M764" s="153" t="str">
        <v/>
      </c>
      <c r="N764" s="153" t="str">
        <v/>
      </c>
      <c r="O764" s="153" t="str">
        <v/>
      </c>
      <c r="P764" s="153" t="str">
        <v/>
      </c>
    </row>
    <row r="765" spans="1:16" x14ac:dyDescent="0.2">
      <c r="A765" s="58" t="str">
        <v/>
      </c>
      <c r="B765" s="131" t="str">
        <f>IFERROR(TIMEVALUE(DaqBook_RAW_Data!Q755),IFERROR(TIMEVALUE(DaqBook_RAW_Data!A755),""))</f>
        <v/>
      </c>
      <c r="C765" s="153" t="str">
        <v/>
      </c>
      <c r="D765" s="153" t="str">
        <v/>
      </c>
      <c r="E765" s="153" t="str">
        <v/>
      </c>
      <c r="F765" s="153" t="str">
        <v/>
      </c>
      <c r="G765" s="153" t="str">
        <v/>
      </c>
      <c r="H765" s="153" t="str">
        <v/>
      </c>
      <c r="I765" s="153" t="str">
        <v/>
      </c>
      <c r="J765" s="153" t="str">
        <v/>
      </c>
      <c r="K765" s="153" t="str">
        <v/>
      </c>
      <c r="L765" s="153" t="str">
        <v/>
      </c>
      <c r="M765" s="153" t="str">
        <v/>
      </c>
      <c r="N765" s="153" t="str">
        <v/>
      </c>
      <c r="O765" s="153" t="str">
        <v/>
      </c>
      <c r="P765" s="153" t="str">
        <v/>
      </c>
    </row>
    <row r="766" spans="1:16" x14ac:dyDescent="0.2">
      <c r="A766" s="58" t="str">
        <v/>
      </c>
      <c r="B766" s="131" t="str">
        <f>IFERROR(TIMEVALUE(DaqBook_RAW_Data!Q756),IFERROR(TIMEVALUE(DaqBook_RAW_Data!A756),""))</f>
        <v/>
      </c>
      <c r="C766" s="153" t="str">
        <v/>
      </c>
      <c r="D766" s="153" t="str">
        <v/>
      </c>
      <c r="E766" s="153" t="str">
        <v/>
      </c>
      <c r="F766" s="153" t="str">
        <v/>
      </c>
      <c r="G766" s="153" t="str">
        <v/>
      </c>
      <c r="H766" s="153" t="str">
        <v/>
      </c>
      <c r="I766" s="153" t="str">
        <v/>
      </c>
      <c r="J766" s="153" t="str">
        <v/>
      </c>
      <c r="K766" s="153" t="str">
        <v/>
      </c>
      <c r="L766" s="153" t="str">
        <v/>
      </c>
      <c r="M766" s="153" t="str">
        <v/>
      </c>
      <c r="N766" s="153" t="str">
        <v/>
      </c>
      <c r="O766" s="153" t="str">
        <v/>
      </c>
      <c r="P766" s="153" t="str">
        <v/>
      </c>
    </row>
    <row r="767" spans="1:16" x14ac:dyDescent="0.2">
      <c r="A767" s="58" t="str">
        <v/>
      </c>
      <c r="B767" s="131" t="str">
        <f>IFERROR(TIMEVALUE(DaqBook_RAW_Data!Q757),IFERROR(TIMEVALUE(DaqBook_RAW_Data!A757),""))</f>
        <v/>
      </c>
      <c r="C767" s="153" t="str">
        <v/>
      </c>
      <c r="D767" s="153" t="str">
        <v/>
      </c>
      <c r="E767" s="153" t="str">
        <v/>
      </c>
      <c r="F767" s="153" t="str">
        <v/>
      </c>
      <c r="G767" s="153" t="str">
        <v/>
      </c>
      <c r="H767" s="153" t="str">
        <v/>
      </c>
      <c r="I767" s="153" t="str">
        <v/>
      </c>
      <c r="J767" s="153" t="str">
        <v/>
      </c>
      <c r="K767" s="153" t="str">
        <v/>
      </c>
      <c r="L767" s="153" t="str">
        <v/>
      </c>
      <c r="M767" s="153" t="str">
        <v/>
      </c>
      <c r="N767" s="153" t="str">
        <v/>
      </c>
      <c r="O767" s="153" t="str">
        <v/>
      </c>
      <c r="P767" s="153" t="str">
        <v/>
      </c>
    </row>
    <row r="768" spans="1:16" x14ac:dyDescent="0.2">
      <c r="A768" s="58" t="str">
        <v/>
      </c>
      <c r="B768" s="131" t="str">
        <f>IFERROR(TIMEVALUE(DaqBook_RAW_Data!Q758),IFERROR(TIMEVALUE(DaqBook_RAW_Data!A758),""))</f>
        <v/>
      </c>
      <c r="C768" s="153" t="str">
        <v/>
      </c>
      <c r="D768" s="153" t="str">
        <v/>
      </c>
      <c r="E768" s="153" t="str">
        <v/>
      </c>
      <c r="F768" s="153" t="str">
        <v/>
      </c>
      <c r="G768" s="153" t="str">
        <v/>
      </c>
      <c r="H768" s="153" t="str">
        <v/>
      </c>
      <c r="I768" s="153" t="str">
        <v/>
      </c>
      <c r="J768" s="153" t="str">
        <v/>
      </c>
      <c r="K768" s="153" t="str">
        <v/>
      </c>
      <c r="L768" s="153" t="str">
        <v/>
      </c>
      <c r="M768" s="153" t="str">
        <v/>
      </c>
      <c r="N768" s="153" t="str">
        <v/>
      </c>
      <c r="O768" s="153" t="str">
        <v/>
      </c>
      <c r="P768" s="153" t="str">
        <v/>
      </c>
    </row>
    <row r="769" spans="1:16" x14ac:dyDescent="0.2">
      <c r="A769" s="58" t="str">
        <v/>
      </c>
      <c r="B769" s="131" t="str">
        <f>IFERROR(TIMEVALUE(DaqBook_RAW_Data!Q759),IFERROR(TIMEVALUE(DaqBook_RAW_Data!A759),""))</f>
        <v/>
      </c>
      <c r="C769" s="153" t="str">
        <v/>
      </c>
      <c r="D769" s="153" t="str">
        <v/>
      </c>
      <c r="E769" s="153" t="str">
        <v/>
      </c>
      <c r="F769" s="153" t="str">
        <v/>
      </c>
      <c r="G769" s="153" t="str">
        <v/>
      </c>
      <c r="H769" s="153" t="str">
        <v/>
      </c>
      <c r="I769" s="153" t="str">
        <v/>
      </c>
      <c r="J769" s="153" t="str">
        <v/>
      </c>
      <c r="K769" s="153" t="str">
        <v/>
      </c>
      <c r="L769" s="153" t="str">
        <v/>
      </c>
      <c r="M769" s="153" t="str">
        <v/>
      </c>
      <c r="N769" s="153" t="str">
        <v/>
      </c>
      <c r="O769" s="153" t="str">
        <v/>
      </c>
      <c r="P769" s="153" t="str">
        <v/>
      </c>
    </row>
    <row r="770" spans="1:16" x14ac:dyDescent="0.2">
      <c r="A770" s="58" t="str">
        <v/>
      </c>
      <c r="B770" s="131" t="str">
        <f>IFERROR(TIMEVALUE(DaqBook_RAW_Data!Q760),IFERROR(TIMEVALUE(DaqBook_RAW_Data!A760),""))</f>
        <v/>
      </c>
      <c r="C770" s="153" t="str">
        <v/>
      </c>
      <c r="D770" s="153" t="str">
        <v/>
      </c>
      <c r="E770" s="153" t="str">
        <v/>
      </c>
      <c r="F770" s="153" t="str">
        <v/>
      </c>
      <c r="G770" s="153" t="str">
        <v/>
      </c>
      <c r="H770" s="153" t="str">
        <v/>
      </c>
      <c r="I770" s="153" t="str">
        <v/>
      </c>
      <c r="J770" s="153" t="str">
        <v/>
      </c>
      <c r="K770" s="153" t="str">
        <v/>
      </c>
      <c r="L770" s="153" t="str">
        <v/>
      </c>
      <c r="M770" s="153" t="str">
        <v/>
      </c>
      <c r="N770" s="153" t="str">
        <v/>
      </c>
      <c r="O770" s="153" t="str">
        <v/>
      </c>
      <c r="P770" s="153" t="str">
        <v/>
      </c>
    </row>
    <row r="771" spans="1:16" x14ac:dyDescent="0.2">
      <c r="A771" s="58" t="str">
        <v/>
      </c>
      <c r="B771" s="131" t="str">
        <f>IFERROR(TIMEVALUE(DaqBook_RAW_Data!Q761),IFERROR(TIMEVALUE(DaqBook_RAW_Data!A761),""))</f>
        <v/>
      </c>
      <c r="C771" s="153" t="str">
        <v/>
      </c>
      <c r="D771" s="153" t="str">
        <v/>
      </c>
      <c r="E771" s="153" t="str">
        <v/>
      </c>
      <c r="F771" s="153" t="str">
        <v/>
      </c>
      <c r="G771" s="153" t="str">
        <v/>
      </c>
      <c r="H771" s="153" t="str">
        <v/>
      </c>
      <c r="I771" s="153" t="str">
        <v/>
      </c>
      <c r="J771" s="153" t="str">
        <v/>
      </c>
      <c r="K771" s="153" t="str">
        <v/>
      </c>
      <c r="L771" s="153" t="str">
        <v/>
      </c>
      <c r="M771" s="153" t="str">
        <v/>
      </c>
      <c r="N771" s="153" t="str">
        <v/>
      </c>
      <c r="O771" s="153" t="str">
        <v/>
      </c>
      <c r="P771" s="153" t="str">
        <v/>
      </c>
    </row>
    <row r="772" spans="1:16" x14ac:dyDescent="0.2">
      <c r="A772" s="58" t="str">
        <v/>
      </c>
      <c r="B772" s="131" t="str">
        <f>IFERROR(TIMEVALUE(DaqBook_RAW_Data!Q762),IFERROR(TIMEVALUE(DaqBook_RAW_Data!A762),""))</f>
        <v/>
      </c>
      <c r="C772" s="153" t="str">
        <v/>
      </c>
      <c r="D772" s="153" t="str">
        <v/>
      </c>
      <c r="E772" s="153" t="str">
        <v/>
      </c>
      <c r="F772" s="153" t="str">
        <v/>
      </c>
      <c r="G772" s="153" t="str">
        <v/>
      </c>
      <c r="H772" s="153" t="str">
        <v/>
      </c>
      <c r="I772" s="153" t="str">
        <v/>
      </c>
      <c r="J772" s="153" t="str">
        <v/>
      </c>
      <c r="K772" s="153" t="str">
        <v/>
      </c>
      <c r="L772" s="153" t="str">
        <v/>
      </c>
      <c r="M772" s="153" t="str">
        <v/>
      </c>
      <c r="N772" s="153" t="str">
        <v/>
      </c>
      <c r="O772" s="153" t="str">
        <v/>
      </c>
      <c r="P772" s="153" t="str">
        <v/>
      </c>
    </row>
    <row r="773" spans="1:16" x14ac:dyDescent="0.2">
      <c r="A773" s="58" t="str">
        <v/>
      </c>
      <c r="B773" s="131" t="str">
        <f>IFERROR(TIMEVALUE(DaqBook_RAW_Data!Q763),IFERROR(TIMEVALUE(DaqBook_RAW_Data!A763),""))</f>
        <v/>
      </c>
      <c r="C773" s="153" t="str">
        <v/>
      </c>
      <c r="D773" s="153" t="str">
        <v/>
      </c>
      <c r="E773" s="153" t="str">
        <v/>
      </c>
      <c r="F773" s="153" t="str">
        <v/>
      </c>
      <c r="G773" s="153" t="str">
        <v/>
      </c>
      <c r="H773" s="153" t="str">
        <v/>
      </c>
      <c r="I773" s="153" t="str">
        <v/>
      </c>
      <c r="J773" s="153" t="str">
        <v/>
      </c>
      <c r="K773" s="153" t="str">
        <v/>
      </c>
      <c r="L773" s="153" t="str">
        <v/>
      </c>
      <c r="M773" s="153" t="str">
        <v/>
      </c>
      <c r="N773" s="153" t="str">
        <v/>
      </c>
      <c r="O773" s="153" t="str">
        <v/>
      </c>
      <c r="P773" s="153" t="str">
        <v/>
      </c>
    </row>
    <row r="774" spans="1:16" x14ac:dyDescent="0.2">
      <c r="A774" s="58" t="str">
        <v/>
      </c>
      <c r="B774" s="131" t="str">
        <f>IFERROR(TIMEVALUE(DaqBook_RAW_Data!Q764),IFERROR(TIMEVALUE(DaqBook_RAW_Data!A764),""))</f>
        <v/>
      </c>
      <c r="C774" s="153" t="str">
        <v/>
      </c>
      <c r="D774" s="153" t="str">
        <v/>
      </c>
      <c r="E774" s="153" t="str">
        <v/>
      </c>
      <c r="F774" s="153" t="str">
        <v/>
      </c>
      <c r="G774" s="153" t="str">
        <v/>
      </c>
      <c r="H774" s="153" t="str">
        <v/>
      </c>
      <c r="I774" s="153" t="str">
        <v/>
      </c>
      <c r="J774" s="153" t="str">
        <v/>
      </c>
      <c r="K774" s="153" t="str">
        <v/>
      </c>
      <c r="L774" s="153" t="str">
        <v/>
      </c>
      <c r="M774" s="153" t="str">
        <v/>
      </c>
      <c r="N774" s="153" t="str">
        <v/>
      </c>
      <c r="O774" s="153" t="str">
        <v/>
      </c>
      <c r="P774" s="153" t="str">
        <v/>
      </c>
    </row>
    <row r="775" spans="1:16" x14ac:dyDescent="0.2">
      <c r="A775" s="58" t="str">
        <v/>
      </c>
      <c r="B775" s="131" t="str">
        <f>IFERROR(TIMEVALUE(DaqBook_RAW_Data!Q765),IFERROR(TIMEVALUE(DaqBook_RAW_Data!A765),""))</f>
        <v/>
      </c>
      <c r="C775" s="153" t="str">
        <v/>
      </c>
      <c r="D775" s="153" t="str">
        <v/>
      </c>
      <c r="E775" s="153" t="str">
        <v/>
      </c>
      <c r="F775" s="153" t="str">
        <v/>
      </c>
      <c r="G775" s="153" t="str">
        <v/>
      </c>
      <c r="H775" s="153" t="str">
        <v/>
      </c>
      <c r="I775" s="153" t="str">
        <v/>
      </c>
      <c r="J775" s="153" t="str">
        <v/>
      </c>
      <c r="K775" s="153" t="str">
        <v/>
      </c>
      <c r="L775" s="153" t="str">
        <v/>
      </c>
      <c r="M775" s="153" t="str">
        <v/>
      </c>
      <c r="N775" s="153" t="str">
        <v/>
      </c>
      <c r="O775" s="153" t="str">
        <v/>
      </c>
      <c r="P775" s="153" t="str">
        <v/>
      </c>
    </row>
    <row r="776" spans="1:16" x14ac:dyDescent="0.2">
      <c r="A776" s="58" t="str">
        <v/>
      </c>
      <c r="B776" s="131" t="str">
        <f>IFERROR(TIMEVALUE(DaqBook_RAW_Data!Q766),IFERROR(TIMEVALUE(DaqBook_RAW_Data!A766),""))</f>
        <v/>
      </c>
      <c r="C776" s="153" t="str">
        <v/>
      </c>
      <c r="D776" s="153" t="str">
        <v/>
      </c>
      <c r="E776" s="153" t="str">
        <v/>
      </c>
      <c r="F776" s="153" t="str">
        <v/>
      </c>
      <c r="G776" s="153" t="str">
        <v/>
      </c>
      <c r="H776" s="153" t="str">
        <v/>
      </c>
      <c r="I776" s="153" t="str">
        <v/>
      </c>
      <c r="J776" s="153" t="str">
        <v/>
      </c>
      <c r="K776" s="153" t="str">
        <v/>
      </c>
      <c r="L776" s="153" t="str">
        <v/>
      </c>
      <c r="M776" s="153" t="str">
        <v/>
      </c>
      <c r="N776" s="153" t="str">
        <v/>
      </c>
      <c r="O776" s="153" t="str">
        <v/>
      </c>
      <c r="P776" s="153" t="str">
        <v/>
      </c>
    </row>
    <row r="777" spans="1:16" x14ac:dyDescent="0.2">
      <c r="A777" s="58" t="str">
        <v/>
      </c>
      <c r="B777" s="131" t="str">
        <f>IFERROR(TIMEVALUE(DaqBook_RAW_Data!Q767),IFERROR(TIMEVALUE(DaqBook_RAW_Data!A767),""))</f>
        <v/>
      </c>
      <c r="C777" s="153" t="str">
        <v/>
      </c>
      <c r="D777" s="153" t="str">
        <v/>
      </c>
      <c r="E777" s="153" t="str">
        <v/>
      </c>
      <c r="F777" s="153" t="str">
        <v/>
      </c>
      <c r="G777" s="153" t="str">
        <v/>
      </c>
      <c r="H777" s="153" t="str">
        <v/>
      </c>
      <c r="I777" s="153" t="str">
        <v/>
      </c>
      <c r="J777" s="153" t="str">
        <v/>
      </c>
      <c r="K777" s="153" t="str">
        <v/>
      </c>
      <c r="L777" s="153" t="str">
        <v/>
      </c>
      <c r="M777" s="153" t="str">
        <v/>
      </c>
      <c r="N777" s="153" t="str">
        <v/>
      </c>
      <c r="O777" s="153" t="str">
        <v/>
      </c>
      <c r="P777" s="153" t="str">
        <v/>
      </c>
    </row>
    <row r="778" spans="1:16" x14ac:dyDescent="0.2">
      <c r="A778" s="58" t="str">
        <v/>
      </c>
      <c r="B778" s="131" t="str">
        <f>IFERROR(TIMEVALUE(DaqBook_RAW_Data!Q768),IFERROR(TIMEVALUE(DaqBook_RAW_Data!A768),""))</f>
        <v/>
      </c>
      <c r="C778" s="153" t="str">
        <v/>
      </c>
      <c r="D778" s="153" t="str">
        <v/>
      </c>
      <c r="E778" s="153" t="str">
        <v/>
      </c>
      <c r="F778" s="153" t="str">
        <v/>
      </c>
      <c r="G778" s="153" t="str">
        <v/>
      </c>
      <c r="H778" s="153" t="str">
        <v/>
      </c>
      <c r="I778" s="153" t="str">
        <v/>
      </c>
      <c r="J778" s="153" t="str">
        <v/>
      </c>
      <c r="K778" s="153" t="str">
        <v/>
      </c>
      <c r="L778" s="153" t="str">
        <v/>
      </c>
      <c r="M778" s="153" t="str">
        <v/>
      </c>
      <c r="N778" s="153" t="str">
        <v/>
      </c>
      <c r="O778" s="153" t="str">
        <v/>
      </c>
      <c r="P778" s="153" t="str">
        <v/>
      </c>
    </row>
    <row r="779" spans="1:16" x14ac:dyDescent="0.2">
      <c r="A779" s="58" t="str">
        <v/>
      </c>
      <c r="B779" s="131" t="str">
        <f>IFERROR(TIMEVALUE(DaqBook_RAW_Data!Q769),IFERROR(TIMEVALUE(DaqBook_RAW_Data!A769),""))</f>
        <v/>
      </c>
      <c r="C779" s="153" t="str">
        <v/>
      </c>
      <c r="D779" s="153" t="str">
        <v/>
      </c>
      <c r="E779" s="153" t="str">
        <v/>
      </c>
      <c r="F779" s="153" t="str">
        <v/>
      </c>
      <c r="G779" s="153" t="str">
        <v/>
      </c>
      <c r="H779" s="153" t="str">
        <v/>
      </c>
      <c r="I779" s="153" t="str">
        <v/>
      </c>
      <c r="J779" s="153" t="str">
        <v/>
      </c>
      <c r="K779" s="153" t="str">
        <v/>
      </c>
      <c r="L779" s="153" t="str">
        <v/>
      </c>
      <c r="M779" s="153" t="str">
        <v/>
      </c>
      <c r="N779" s="153" t="str">
        <v/>
      </c>
      <c r="O779" s="153" t="str">
        <v/>
      </c>
      <c r="P779" s="153" t="str">
        <v/>
      </c>
    </row>
    <row r="780" spans="1:16" x14ac:dyDescent="0.2">
      <c r="A780" s="58" t="str">
        <v/>
      </c>
      <c r="B780" s="131" t="str">
        <f>IFERROR(TIMEVALUE(DaqBook_RAW_Data!Q770),IFERROR(TIMEVALUE(DaqBook_RAW_Data!A770),""))</f>
        <v/>
      </c>
      <c r="C780" s="153" t="str">
        <v/>
      </c>
      <c r="D780" s="153" t="str">
        <v/>
      </c>
      <c r="E780" s="153" t="str">
        <v/>
      </c>
      <c r="F780" s="153" t="str">
        <v/>
      </c>
      <c r="G780" s="153" t="str">
        <v/>
      </c>
      <c r="H780" s="153" t="str">
        <v/>
      </c>
      <c r="I780" s="153" t="str">
        <v/>
      </c>
      <c r="J780" s="153" t="str">
        <v/>
      </c>
      <c r="K780" s="153" t="str">
        <v/>
      </c>
      <c r="L780" s="153" t="str">
        <v/>
      </c>
      <c r="M780" s="153" t="str">
        <v/>
      </c>
      <c r="N780" s="153" t="str">
        <v/>
      </c>
      <c r="O780" s="153" t="str">
        <v/>
      </c>
      <c r="P780" s="153" t="str">
        <v/>
      </c>
    </row>
    <row r="781" spans="1:16" x14ac:dyDescent="0.2">
      <c r="A781" s="58" t="str">
        <v/>
      </c>
      <c r="B781" s="131" t="str">
        <f>IFERROR(TIMEVALUE(DaqBook_RAW_Data!Q771),IFERROR(TIMEVALUE(DaqBook_RAW_Data!A771),""))</f>
        <v/>
      </c>
      <c r="C781" s="153" t="str">
        <v/>
      </c>
      <c r="D781" s="153" t="str">
        <v/>
      </c>
      <c r="E781" s="153" t="str">
        <v/>
      </c>
      <c r="F781" s="153" t="str">
        <v/>
      </c>
      <c r="G781" s="153" t="str">
        <v/>
      </c>
      <c r="H781" s="153" t="str">
        <v/>
      </c>
      <c r="I781" s="153" t="str">
        <v/>
      </c>
      <c r="J781" s="153" t="str">
        <v/>
      </c>
      <c r="K781" s="153" t="str">
        <v/>
      </c>
      <c r="L781" s="153" t="str">
        <v/>
      </c>
      <c r="M781" s="153" t="str">
        <v/>
      </c>
      <c r="N781" s="153" t="str">
        <v/>
      </c>
      <c r="O781" s="153" t="str">
        <v/>
      </c>
      <c r="P781" s="153" t="str">
        <v/>
      </c>
    </row>
    <row r="782" spans="1:16" x14ac:dyDescent="0.2">
      <c r="A782" s="58" t="str">
        <v/>
      </c>
      <c r="B782" s="131" t="str">
        <f>IFERROR(TIMEVALUE(DaqBook_RAW_Data!Q772),IFERROR(TIMEVALUE(DaqBook_RAW_Data!A772),""))</f>
        <v/>
      </c>
      <c r="C782" s="153" t="str">
        <v/>
      </c>
      <c r="D782" s="153" t="str">
        <v/>
      </c>
      <c r="E782" s="153" t="str">
        <v/>
      </c>
      <c r="F782" s="153" t="str">
        <v/>
      </c>
      <c r="G782" s="153" t="str">
        <v/>
      </c>
      <c r="H782" s="153" t="str">
        <v/>
      </c>
      <c r="I782" s="153" t="str">
        <v/>
      </c>
      <c r="J782" s="153" t="str">
        <v/>
      </c>
      <c r="K782" s="153" t="str">
        <v/>
      </c>
      <c r="L782" s="153" t="str">
        <v/>
      </c>
      <c r="M782" s="153" t="str">
        <v/>
      </c>
      <c r="N782" s="153" t="str">
        <v/>
      </c>
      <c r="O782" s="153" t="str">
        <v/>
      </c>
      <c r="P782" s="153" t="str">
        <v/>
      </c>
    </row>
    <row r="783" spans="1:16" x14ac:dyDescent="0.2">
      <c r="A783" s="58" t="str">
        <v/>
      </c>
      <c r="B783" s="131" t="str">
        <f>IFERROR(TIMEVALUE(DaqBook_RAW_Data!Q773),IFERROR(TIMEVALUE(DaqBook_RAW_Data!A773),""))</f>
        <v/>
      </c>
      <c r="C783" s="153" t="str">
        <v/>
      </c>
      <c r="D783" s="153" t="str">
        <v/>
      </c>
      <c r="E783" s="153" t="str">
        <v/>
      </c>
      <c r="F783" s="153" t="str">
        <v/>
      </c>
      <c r="G783" s="153" t="str">
        <v/>
      </c>
      <c r="H783" s="153" t="str">
        <v/>
      </c>
      <c r="I783" s="153" t="str">
        <v/>
      </c>
      <c r="J783" s="153" t="str">
        <v/>
      </c>
      <c r="K783" s="153" t="str">
        <v/>
      </c>
      <c r="L783" s="153" t="str">
        <v/>
      </c>
      <c r="M783" s="153" t="str">
        <v/>
      </c>
      <c r="N783" s="153" t="str">
        <v/>
      </c>
      <c r="O783" s="153" t="str">
        <v/>
      </c>
      <c r="P783" s="153" t="str">
        <v/>
      </c>
    </row>
    <row r="784" spans="1:16" x14ac:dyDescent="0.2">
      <c r="A784" s="58" t="str">
        <v/>
      </c>
      <c r="B784" s="131" t="str">
        <f>IFERROR(TIMEVALUE(DaqBook_RAW_Data!Q774),IFERROR(TIMEVALUE(DaqBook_RAW_Data!A774),""))</f>
        <v/>
      </c>
      <c r="C784" s="153" t="str">
        <v/>
      </c>
      <c r="D784" s="153" t="str">
        <v/>
      </c>
      <c r="E784" s="153" t="str">
        <v/>
      </c>
      <c r="F784" s="153" t="str">
        <v/>
      </c>
      <c r="G784" s="153" t="str">
        <v/>
      </c>
      <c r="H784" s="153" t="str">
        <v/>
      </c>
      <c r="I784" s="153" t="str">
        <v/>
      </c>
      <c r="J784" s="153" t="str">
        <v/>
      </c>
      <c r="K784" s="153" t="str">
        <v/>
      </c>
      <c r="L784" s="153" t="str">
        <v/>
      </c>
      <c r="M784" s="153" t="str">
        <v/>
      </c>
      <c r="N784" s="153" t="str">
        <v/>
      </c>
      <c r="O784" s="153" t="str">
        <v/>
      </c>
      <c r="P784" s="153" t="str">
        <v/>
      </c>
    </row>
    <row r="785" spans="1:16" x14ac:dyDescent="0.2">
      <c r="A785" s="58" t="str">
        <v/>
      </c>
      <c r="B785" s="131" t="str">
        <f>IFERROR(TIMEVALUE(DaqBook_RAW_Data!Q775),IFERROR(TIMEVALUE(DaqBook_RAW_Data!A775),""))</f>
        <v/>
      </c>
      <c r="C785" s="153" t="str">
        <v/>
      </c>
      <c r="D785" s="153" t="str">
        <v/>
      </c>
      <c r="E785" s="153" t="str">
        <v/>
      </c>
      <c r="F785" s="153" t="str">
        <v/>
      </c>
      <c r="G785" s="153" t="str">
        <v/>
      </c>
      <c r="H785" s="153" t="str">
        <v/>
      </c>
      <c r="I785" s="153" t="str">
        <v/>
      </c>
      <c r="J785" s="153" t="str">
        <v/>
      </c>
      <c r="K785" s="153" t="str">
        <v/>
      </c>
      <c r="L785" s="153" t="str">
        <v/>
      </c>
      <c r="M785" s="153" t="str">
        <v/>
      </c>
      <c r="N785" s="153" t="str">
        <v/>
      </c>
      <c r="O785" s="153" t="str">
        <v/>
      </c>
      <c r="P785" s="153" t="str">
        <v/>
      </c>
    </row>
    <row r="786" spans="1:16" x14ac:dyDescent="0.2">
      <c r="A786" s="58" t="str">
        <v/>
      </c>
      <c r="B786" s="131" t="str">
        <f>IFERROR(TIMEVALUE(DaqBook_RAW_Data!Q776),IFERROR(TIMEVALUE(DaqBook_RAW_Data!A776),""))</f>
        <v/>
      </c>
      <c r="C786" s="153" t="str">
        <v/>
      </c>
      <c r="D786" s="153" t="str">
        <v/>
      </c>
      <c r="E786" s="153" t="str">
        <v/>
      </c>
      <c r="F786" s="153" t="str">
        <v/>
      </c>
      <c r="G786" s="153" t="str">
        <v/>
      </c>
      <c r="H786" s="153" t="str">
        <v/>
      </c>
      <c r="I786" s="153" t="str">
        <v/>
      </c>
      <c r="J786" s="153" t="str">
        <v/>
      </c>
      <c r="K786" s="153" t="str">
        <v/>
      </c>
      <c r="L786" s="153" t="str">
        <v/>
      </c>
      <c r="M786" s="153" t="str">
        <v/>
      </c>
      <c r="N786" s="153" t="str">
        <v/>
      </c>
      <c r="O786" s="153" t="str">
        <v/>
      </c>
      <c r="P786" s="153" t="str">
        <v/>
      </c>
    </row>
    <row r="787" spans="1:16" x14ac:dyDescent="0.2">
      <c r="A787" s="58" t="str">
        <v/>
      </c>
      <c r="B787" s="131" t="str">
        <f>IFERROR(TIMEVALUE(DaqBook_RAW_Data!Q777),IFERROR(TIMEVALUE(DaqBook_RAW_Data!A777),""))</f>
        <v/>
      </c>
      <c r="C787" s="153" t="str">
        <v/>
      </c>
      <c r="D787" s="153" t="str">
        <v/>
      </c>
      <c r="E787" s="153" t="str">
        <v/>
      </c>
      <c r="F787" s="153" t="str">
        <v/>
      </c>
      <c r="G787" s="153" t="str">
        <v/>
      </c>
      <c r="H787" s="153" t="str">
        <v/>
      </c>
      <c r="I787" s="153" t="str">
        <v/>
      </c>
      <c r="J787" s="153" t="str">
        <v/>
      </c>
      <c r="K787" s="153" t="str">
        <v/>
      </c>
      <c r="L787" s="153" t="str">
        <v/>
      </c>
      <c r="M787" s="153" t="str">
        <v/>
      </c>
      <c r="N787" s="153" t="str">
        <v/>
      </c>
      <c r="O787" s="153" t="str">
        <v/>
      </c>
      <c r="P787" s="153" t="str">
        <v/>
      </c>
    </row>
    <row r="788" spans="1:16" x14ac:dyDescent="0.2">
      <c r="A788" s="58" t="str">
        <v/>
      </c>
      <c r="B788" s="131" t="str">
        <f>IFERROR(TIMEVALUE(DaqBook_RAW_Data!Q778),IFERROR(TIMEVALUE(DaqBook_RAW_Data!A778),""))</f>
        <v/>
      </c>
      <c r="C788" s="153" t="str">
        <v/>
      </c>
      <c r="D788" s="153" t="str">
        <v/>
      </c>
      <c r="E788" s="153" t="str">
        <v/>
      </c>
      <c r="F788" s="153" t="str">
        <v/>
      </c>
      <c r="G788" s="153" t="str">
        <v/>
      </c>
      <c r="H788" s="153" t="str">
        <v/>
      </c>
      <c r="I788" s="153" t="str">
        <v/>
      </c>
      <c r="J788" s="153" t="str">
        <v/>
      </c>
      <c r="K788" s="153" t="str">
        <v/>
      </c>
      <c r="L788" s="153" t="str">
        <v/>
      </c>
      <c r="M788" s="153" t="str">
        <v/>
      </c>
      <c r="N788" s="153" t="str">
        <v/>
      </c>
      <c r="O788" s="153" t="str">
        <v/>
      </c>
      <c r="P788" s="153" t="str">
        <v/>
      </c>
    </row>
    <row r="789" spans="1:16" x14ac:dyDescent="0.2">
      <c r="A789" s="58" t="str">
        <v/>
      </c>
      <c r="B789" s="131" t="str">
        <f>IFERROR(TIMEVALUE(DaqBook_RAW_Data!Q779),IFERROR(TIMEVALUE(DaqBook_RAW_Data!A779),""))</f>
        <v/>
      </c>
      <c r="C789" s="153" t="str">
        <v/>
      </c>
      <c r="D789" s="153" t="str">
        <v/>
      </c>
      <c r="E789" s="153" t="str">
        <v/>
      </c>
      <c r="F789" s="153" t="str">
        <v/>
      </c>
      <c r="G789" s="153" t="str">
        <v/>
      </c>
      <c r="H789" s="153" t="str">
        <v/>
      </c>
      <c r="I789" s="153" t="str">
        <v/>
      </c>
      <c r="J789" s="153" t="str">
        <v/>
      </c>
      <c r="K789" s="153" t="str">
        <v/>
      </c>
      <c r="L789" s="153" t="str">
        <v/>
      </c>
      <c r="M789" s="153" t="str">
        <v/>
      </c>
      <c r="N789" s="153" t="str">
        <v/>
      </c>
      <c r="O789" s="153" t="str">
        <v/>
      </c>
      <c r="P789" s="153" t="str">
        <v/>
      </c>
    </row>
    <row r="790" spans="1:16" x14ac:dyDescent="0.2">
      <c r="A790" s="58" t="str">
        <v/>
      </c>
      <c r="B790" s="131" t="str">
        <f>IFERROR(TIMEVALUE(DaqBook_RAW_Data!Q780),IFERROR(TIMEVALUE(DaqBook_RAW_Data!A780),""))</f>
        <v/>
      </c>
      <c r="C790" s="153" t="str">
        <v/>
      </c>
      <c r="D790" s="153" t="str">
        <v/>
      </c>
      <c r="E790" s="153" t="str">
        <v/>
      </c>
      <c r="F790" s="153" t="str">
        <v/>
      </c>
      <c r="G790" s="153" t="str">
        <v/>
      </c>
      <c r="H790" s="153" t="str">
        <v/>
      </c>
      <c r="I790" s="153" t="str">
        <v/>
      </c>
      <c r="J790" s="153" t="str">
        <v/>
      </c>
      <c r="K790" s="153" t="str">
        <v/>
      </c>
      <c r="L790" s="153" t="str">
        <v/>
      </c>
      <c r="M790" s="153" t="str">
        <v/>
      </c>
      <c r="N790" s="153" t="str">
        <v/>
      </c>
      <c r="O790" s="153" t="str">
        <v/>
      </c>
      <c r="P790" s="153" t="str">
        <v/>
      </c>
    </row>
    <row r="791" spans="1:16" x14ac:dyDescent="0.2">
      <c r="A791" s="58" t="str">
        <v/>
      </c>
      <c r="B791" s="131" t="str">
        <f>IFERROR(TIMEVALUE(DaqBook_RAW_Data!Q781),IFERROR(TIMEVALUE(DaqBook_RAW_Data!A781),""))</f>
        <v/>
      </c>
      <c r="C791" s="153" t="str">
        <v/>
      </c>
      <c r="D791" s="153" t="str">
        <v/>
      </c>
      <c r="E791" s="153" t="str">
        <v/>
      </c>
      <c r="F791" s="153" t="str">
        <v/>
      </c>
      <c r="G791" s="153" t="str">
        <v/>
      </c>
      <c r="H791" s="153" t="str">
        <v/>
      </c>
      <c r="I791" s="153" t="str">
        <v/>
      </c>
      <c r="J791" s="153" t="str">
        <v/>
      </c>
      <c r="K791" s="153" t="str">
        <v/>
      </c>
      <c r="L791" s="153" t="str">
        <v/>
      </c>
      <c r="M791" s="153" t="str">
        <v/>
      </c>
      <c r="N791" s="153" t="str">
        <v/>
      </c>
      <c r="O791" s="153" t="str">
        <v/>
      </c>
      <c r="P791" s="153" t="str">
        <v/>
      </c>
    </row>
    <row r="792" spans="1:16" x14ac:dyDescent="0.2">
      <c r="A792" s="58" t="str">
        <v/>
      </c>
      <c r="B792" s="131" t="str">
        <f>IFERROR(TIMEVALUE(DaqBook_RAW_Data!Q782),IFERROR(TIMEVALUE(DaqBook_RAW_Data!A782),""))</f>
        <v/>
      </c>
      <c r="C792" s="153" t="str">
        <v/>
      </c>
      <c r="D792" s="153" t="str">
        <v/>
      </c>
      <c r="E792" s="153" t="str">
        <v/>
      </c>
      <c r="F792" s="153" t="str">
        <v/>
      </c>
      <c r="G792" s="153" t="str">
        <v/>
      </c>
      <c r="H792" s="153" t="str">
        <v/>
      </c>
      <c r="I792" s="153" t="str">
        <v/>
      </c>
      <c r="J792" s="153" t="str">
        <v/>
      </c>
      <c r="K792" s="153" t="str">
        <v/>
      </c>
      <c r="L792" s="153" t="str">
        <v/>
      </c>
      <c r="M792" s="153" t="str">
        <v/>
      </c>
      <c r="N792" s="153" t="str">
        <v/>
      </c>
      <c r="O792" s="153" t="str">
        <v/>
      </c>
      <c r="P792" s="153" t="str">
        <v/>
      </c>
    </row>
    <row r="793" spans="1:16" x14ac:dyDescent="0.2">
      <c r="A793" s="58" t="str">
        <v/>
      </c>
      <c r="B793" s="131" t="str">
        <f>IFERROR(TIMEVALUE(DaqBook_RAW_Data!Q783),IFERROR(TIMEVALUE(DaqBook_RAW_Data!A783),""))</f>
        <v/>
      </c>
      <c r="C793" s="153" t="str">
        <v/>
      </c>
      <c r="D793" s="153" t="str">
        <v/>
      </c>
      <c r="E793" s="153" t="str">
        <v/>
      </c>
      <c r="F793" s="153" t="str">
        <v/>
      </c>
      <c r="G793" s="153" t="str">
        <v/>
      </c>
      <c r="H793" s="153" t="str">
        <v/>
      </c>
      <c r="I793" s="153" t="str">
        <v/>
      </c>
      <c r="J793" s="153" t="str">
        <v/>
      </c>
      <c r="K793" s="153" t="str">
        <v/>
      </c>
      <c r="L793" s="153" t="str">
        <v/>
      </c>
      <c r="M793" s="153" t="str">
        <v/>
      </c>
      <c r="N793" s="153" t="str">
        <v/>
      </c>
      <c r="O793" s="153" t="str">
        <v/>
      </c>
      <c r="P793" s="153" t="str">
        <v/>
      </c>
    </row>
    <row r="794" spans="1:16" x14ac:dyDescent="0.2">
      <c r="A794" s="58" t="str">
        <v/>
      </c>
      <c r="B794" s="131" t="str">
        <f>IFERROR(TIMEVALUE(DaqBook_RAW_Data!Q784),IFERROR(TIMEVALUE(DaqBook_RAW_Data!A784),""))</f>
        <v/>
      </c>
      <c r="C794" s="153" t="str">
        <v/>
      </c>
      <c r="D794" s="153" t="str">
        <v/>
      </c>
      <c r="E794" s="153" t="str">
        <v/>
      </c>
      <c r="F794" s="153" t="str">
        <v/>
      </c>
      <c r="G794" s="153" t="str">
        <v/>
      </c>
      <c r="H794" s="153" t="str">
        <v/>
      </c>
      <c r="I794" s="153" t="str">
        <v/>
      </c>
      <c r="J794" s="153" t="str">
        <v/>
      </c>
      <c r="K794" s="153" t="str">
        <v/>
      </c>
      <c r="L794" s="153" t="str">
        <v/>
      </c>
      <c r="M794" s="153" t="str">
        <v/>
      </c>
      <c r="N794" s="153" t="str">
        <v/>
      </c>
      <c r="O794" s="153" t="str">
        <v/>
      </c>
      <c r="P794" s="153" t="str">
        <v/>
      </c>
    </row>
    <row r="795" spans="1:16" x14ac:dyDescent="0.2">
      <c r="A795" s="58" t="str">
        <v/>
      </c>
      <c r="B795" s="131" t="str">
        <f>IFERROR(TIMEVALUE(DaqBook_RAW_Data!Q785),IFERROR(TIMEVALUE(DaqBook_RAW_Data!A785),""))</f>
        <v/>
      </c>
      <c r="C795" s="153" t="str">
        <v/>
      </c>
      <c r="D795" s="153" t="str">
        <v/>
      </c>
      <c r="E795" s="153" t="str">
        <v/>
      </c>
      <c r="F795" s="153" t="str">
        <v/>
      </c>
      <c r="G795" s="153" t="str">
        <v/>
      </c>
      <c r="H795" s="153" t="str">
        <v/>
      </c>
      <c r="I795" s="153" t="str">
        <v/>
      </c>
      <c r="J795" s="153" t="str">
        <v/>
      </c>
      <c r="K795" s="153" t="str">
        <v/>
      </c>
      <c r="L795" s="153" t="str">
        <v/>
      </c>
      <c r="M795" s="153" t="str">
        <v/>
      </c>
      <c r="N795" s="153" t="str">
        <v/>
      </c>
      <c r="O795" s="153" t="str">
        <v/>
      </c>
      <c r="P795" s="153" t="str">
        <v/>
      </c>
    </row>
    <row r="796" spans="1:16" x14ac:dyDescent="0.2">
      <c r="A796" s="58" t="str">
        <v/>
      </c>
      <c r="B796" s="131" t="str">
        <f>IFERROR(TIMEVALUE(DaqBook_RAW_Data!Q786),IFERROR(TIMEVALUE(DaqBook_RAW_Data!A786),""))</f>
        <v/>
      </c>
      <c r="C796" s="153" t="str">
        <v/>
      </c>
      <c r="D796" s="153" t="str">
        <v/>
      </c>
      <c r="E796" s="153" t="str">
        <v/>
      </c>
      <c r="F796" s="153" t="str">
        <v/>
      </c>
      <c r="G796" s="153" t="str">
        <v/>
      </c>
      <c r="H796" s="153" t="str">
        <v/>
      </c>
      <c r="I796" s="153" t="str">
        <v/>
      </c>
      <c r="J796" s="153" t="str">
        <v/>
      </c>
      <c r="K796" s="153" t="str">
        <v/>
      </c>
      <c r="L796" s="153" t="str">
        <v/>
      </c>
      <c r="M796" s="153" t="str">
        <v/>
      </c>
      <c r="N796" s="153" t="str">
        <v/>
      </c>
      <c r="O796" s="153" t="str">
        <v/>
      </c>
      <c r="P796" s="153" t="str">
        <v/>
      </c>
    </row>
    <row r="797" spans="1:16" x14ac:dyDescent="0.2">
      <c r="A797" s="58" t="str">
        <v/>
      </c>
      <c r="B797" s="131" t="str">
        <f>IFERROR(TIMEVALUE(DaqBook_RAW_Data!Q787),IFERROR(TIMEVALUE(DaqBook_RAW_Data!A787),""))</f>
        <v/>
      </c>
      <c r="C797" s="153" t="str">
        <v/>
      </c>
      <c r="D797" s="153" t="str">
        <v/>
      </c>
      <c r="E797" s="153" t="str">
        <v/>
      </c>
      <c r="F797" s="153" t="str">
        <v/>
      </c>
      <c r="G797" s="153" t="str">
        <v/>
      </c>
      <c r="H797" s="153" t="str">
        <v/>
      </c>
      <c r="I797" s="153" t="str">
        <v/>
      </c>
      <c r="J797" s="153" t="str">
        <v/>
      </c>
      <c r="K797" s="153" t="str">
        <v/>
      </c>
      <c r="L797" s="153" t="str">
        <v/>
      </c>
      <c r="M797" s="153" t="str">
        <v/>
      </c>
      <c r="N797" s="153" t="str">
        <v/>
      </c>
      <c r="O797" s="153" t="str">
        <v/>
      </c>
      <c r="P797" s="153" t="str">
        <v/>
      </c>
    </row>
    <row r="798" spans="1:16" x14ac:dyDescent="0.2">
      <c r="A798" s="58" t="str">
        <v/>
      </c>
      <c r="B798" s="131" t="str">
        <f>IFERROR(TIMEVALUE(DaqBook_RAW_Data!Q788),IFERROR(TIMEVALUE(DaqBook_RAW_Data!A788),""))</f>
        <v/>
      </c>
      <c r="C798" s="153" t="str">
        <v/>
      </c>
      <c r="D798" s="153" t="str">
        <v/>
      </c>
      <c r="E798" s="153" t="str">
        <v/>
      </c>
      <c r="F798" s="153" t="str">
        <v/>
      </c>
      <c r="G798" s="153" t="str">
        <v/>
      </c>
      <c r="H798" s="153" t="str">
        <v/>
      </c>
      <c r="I798" s="153" t="str">
        <v/>
      </c>
      <c r="J798" s="153" t="str">
        <v/>
      </c>
      <c r="K798" s="153" t="str">
        <v/>
      </c>
      <c r="L798" s="153" t="str">
        <v/>
      </c>
      <c r="M798" s="153" t="str">
        <v/>
      </c>
      <c r="N798" s="153" t="str">
        <v/>
      </c>
      <c r="O798" s="153" t="str">
        <v/>
      </c>
      <c r="P798" s="153" t="str">
        <v/>
      </c>
    </row>
    <row r="799" spans="1:16" x14ac:dyDescent="0.2">
      <c r="A799" s="58" t="str">
        <v/>
      </c>
      <c r="B799" s="131" t="str">
        <f>IFERROR(TIMEVALUE(DaqBook_RAW_Data!Q789),IFERROR(TIMEVALUE(DaqBook_RAW_Data!A789),""))</f>
        <v/>
      </c>
      <c r="C799" s="153" t="str">
        <v/>
      </c>
      <c r="D799" s="153" t="str">
        <v/>
      </c>
      <c r="E799" s="153" t="str">
        <v/>
      </c>
      <c r="F799" s="153" t="str">
        <v/>
      </c>
      <c r="G799" s="153" t="str">
        <v/>
      </c>
      <c r="H799" s="153" t="str">
        <v/>
      </c>
      <c r="I799" s="153" t="str">
        <v/>
      </c>
      <c r="J799" s="153" t="str">
        <v/>
      </c>
      <c r="K799" s="153" t="str">
        <v/>
      </c>
      <c r="L799" s="153" t="str">
        <v/>
      </c>
      <c r="M799" s="153" t="str">
        <v/>
      </c>
      <c r="N799" s="153" t="str">
        <v/>
      </c>
      <c r="O799" s="153" t="str">
        <v/>
      </c>
      <c r="P799" s="153" t="str">
        <v/>
      </c>
    </row>
    <row r="800" spans="1:16" x14ac:dyDescent="0.2">
      <c r="A800" s="58" t="str">
        <v/>
      </c>
      <c r="B800" s="131" t="str">
        <f>IFERROR(TIMEVALUE(DaqBook_RAW_Data!Q790),IFERROR(TIMEVALUE(DaqBook_RAW_Data!A790),""))</f>
        <v/>
      </c>
      <c r="C800" s="153" t="str">
        <v/>
      </c>
      <c r="D800" s="153" t="str">
        <v/>
      </c>
      <c r="E800" s="153" t="str">
        <v/>
      </c>
      <c r="F800" s="153" t="str">
        <v/>
      </c>
      <c r="G800" s="153" t="str">
        <v/>
      </c>
      <c r="H800" s="153" t="str">
        <v/>
      </c>
      <c r="I800" s="153" t="str">
        <v/>
      </c>
      <c r="J800" s="153" t="str">
        <v/>
      </c>
      <c r="K800" s="153" t="str">
        <v/>
      </c>
      <c r="L800" s="153" t="str">
        <v/>
      </c>
      <c r="M800" s="153" t="str">
        <v/>
      </c>
      <c r="N800" s="153" t="str">
        <v/>
      </c>
      <c r="O800" s="153" t="str">
        <v/>
      </c>
      <c r="P800" s="153" t="str">
        <v/>
      </c>
    </row>
    <row r="801" spans="1:16" x14ac:dyDescent="0.2">
      <c r="A801" s="58" t="str">
        <v/>
      </c>
      <c r="B801" s="131" t="str">
        <f>IFERROR(TIMEVALUE(DaqBook_RAW_Data!Q791),IFERROR(TIMEVALUE(DaqBook_RAW_Data!A791),""))</f>
        <v/>
      </c>
      <c r="C801" s="153" t="str">
        <v/>
      </c>
      <c r="D801" s="153" t="str">
        <v/>
      </c>
      <c r="E801" s="153" t="str">
        <v/>
      </c>
      <c r="F801" s="153" t="str">
        <v/>
      </c>
      <c r="G801" s="153" t="str">
        <v/>
      </c>
      <c r="H801" s="153" t="str">
        <v/>
      </c>
      <c r="I801" s="153" t="str">
        <v/>
      </c>
      <c r="J801" s="153" t="str">
        <v/>
      </c>
      <c r="K801" s="153" t="str">
        <v/>
      </c>
      <c r="L801" s="153" t="str">
        <v/>
      </c>
      <c r="M801" s="153" t="str">
        <v/>
      </c>
      <c r="N801" s="153" t="str">
        <v/>
      </c>
      <c r="O801" s="153" t="str">
        <v/>
      </c>
      <c r="P801" s="153" t="str">
        <v/>
      </c>
    </row>
    <row r="802" spans="1:16" x14ac:dyDescent="0.2">
      <c r="A802" s="58" t="str">
        <v/>
      </c>
      <c r="B802" s="131" t="str">
        <f>IFERROR(TIMEVALUE(DaqBook_RAW_Data!Q792),IFERROR(TIMEVALUE(DaqBook_RAW_Data!A792),""))</f>
        <v/>
      </c>
      <c r="C802" s="153" t="str">
        <v/>
      </c>
      <c r="D802" s="153" t="str">
        <v/>
      </c>
      <c r="E802" s="153" t="str">
        <v/>
      </c>
      <c r="F802" s="153" t="str">
        <v/>
      </c>
      <c r="G802" s="153" t="str">
        <v/>
      </c>
      <c r="H802" s="153" t="str">
        <v/>
      </c>
      <c r="I802" s="153" t="str">
        <v/>
      </c>
      <c r="J802" s="153" t="str">
        <v/>
      </c>
      <c r="K802" s="153" t="str">
        <v/>
      </c>
      <c r="L802" s="153" t="str">
        <v/>
      </c>
      <c r="M802" s="153" t="str">
        <v/>
      </c>
      <c r="N802" s="153" t="str">
        <v/>
      </c>
      <c r="O802" s="153" t="str">
        <v/>
      </c>
      <c r="P802" s="153" t="str">
        <v/>
      </c>
    </row>
    <row r="803" spans="1:16" x14ac:dyDescent="0.2">
      <c r="A803" s="58" t="str">
        <v/>
      </c>
      <c r="B803" s="131" t="str">
        <f>IFERROR(TIMEVALUE(DaqBook_RAW_Data!Q793),IFERROR(TIMEVALUE(DaqBook_RAW_Data!A793),""))</f>
        <v/>
      </c>
      <c r="C803" s="153" t="str">
        <v/>
      </c>
      <c r="D803" s="153" t="str">
        <v/>
      </c>
      <c r="E803" s="153" t="str">
        <v/>
      </c>
      <c r="F803" s="153" t="str">
        <v/>
      </c>
      <c r="G803" s="153" t="str">
        <v/>
      </c>
      <c r="H803" s="153" t="str">
        <v/>
      </c>
      <c r="I803" s="153" t="str">
        <v/>
      </c>
      <c r="J803" s="153" t="str">
        <v/>
      </c>
      <c r="K803" s="153" t="str">
        <v/>
      </c>
      <c r="L803" s="153" t="str">
        <v/>
      </c>
      <c r="M803" s="153" t="str">
        <v/>
      </c>
      <c r="N803" s="153" t="str">
        <v/>
      </c>
      <c r="O803" s="153" t="str">
        <v/>
      </c>
      <c r="P803" s="153" t="str">
        <v/>
      </c>
    </row>
    <row r="804" spans="1:16" x14ac:dyDescent="0.2">
      <c r="A804" s="58" t="str">
        <v/>
      </c>
      <c r="B804" s="131" t="str">
        <f>IFERROR(TIMEVALUE(DaqBook_RAW_Data!Q794),IFERROR(TIMEVALUE(DaqBook_RAW_Data!A794),""))</f>
        <v/>
      </c>
      <c r="C804" s="153" t="str">
        <v/>
      </c>
      <c r="D804" s="153" t="str">
        <v/>
      </c>
      <c r="E804" s="153" t="str">
        <v/>
      </c>
      <c r="F804" s="153" t="str">
        <v/>
      </c>
      <c r="G804" s="153" t="str">
        <v/>
      </c>
      <c r="H804" s="153" t="str">
        <v/>
      </c>
      <c r="I804" s="153" t="str">
        <v/>
      </c>
      <c r="J804" s="153" t="str">
        <v/>
      </c>
      <c r="K804" s="153" t="str">
        <v/>
      </c>
      <c r="L804" s="153" t="str">
        <v/>
      </c>
      <c r="M804" s="153" t="str">
        <v/>
      </c>
      <c r="N804" s="153" t="str">
        <v/>
      </c>
      <c r="O804" s="153" t="str">
        <v/>
      </c>
      <c r="P804" s="153" t="str">
        <v/>
      </c>
    </row>
    <row r="805" spans="1:16" x14ac:dyDescent="0.2">
      <c r="A805" s="58" t="str">
        <v/>
      </c>
      <c r="B805" s="131" t="str">
        <f>IFERROR(TIMEVALUE(DaqBook_RAW_Data!Q795),IFERROR(TIMEVALUE(DaqBook_RAW_Data!A795),""))</f>
        <v/>
      </c>
      <c r="C805" s="153" t="str">
        <v/>
      </c>
      <c r="D805" s="153" t="str">
        <v/>
      </c>
      <c r="E805" s="153" t="str">
        <v/>
      </c>
      <c r="F805" s="153" t="str">
        <v/>
      </c>
      <c r="G805" s="153" t="str">
        <v/>
      </c>
      <c r="H805" s="153" t="str">
        <v/>
      </c>
      <c r="I805" s="153" t="str">
        <v/>
      </c>
      <c r="J805" s="153" t="str">
        <v/>
      </c>
      <c r="K805" s="153" t="str">
        <v/>
      </c>
      <c r="L805" s="153" t="str">
        <v/>
      </c>
      <c r="M805" s="153" t="str">
        <v/>
      </c>
      <c r="N805" s="153" t="str">
        <v/>
      </c>
      <c r="O805" s="153" t="str">
        <v/>
      </c>
      <c r="P805" s="153" t="str">
        <v/>
      </c>
    </row>
    <row r="806" spans="1:16" x14ac:dyDescent="0.2">
      <c r="A806" s="58" t="str">
        <v/>
      </c>
      <c r="B806" s="131" t="str">
        <f>IFERROR(TIMEVALUE(DaqBook_RAW_Data!Q796),IFERROR(TIMEVALUE(DaqBook_RAW_Data!A796),""))</f>
        <v/>
      </c>
      <c r="C806" s="153" t="str">
        <v/>
      </c>
      <c r="D806" s="153" t="str">
        <v/>
      </c>
      <c r="E806" s="153" t="str">
        <v/>
      </c>
      <c r="F806" s="153" t="str">
        <v/>
      </c>
      <c r="G806" s="153" t="str">
        <v/>
      </c>
      <c r="H806" s="153" t="str">
        <v/>
      </c>
      <c r="I806" s="153" t="str">
        <v/>
      </c>
      <c r="J806" s="153" t="str">
        <v/>
      </c>
      <c r="K806" s="153" t="str">
        <v/>
      </c>
      <c r="L806" s="153" t="str">
        <v/>
      </c>
      <c r="M806" s="153" t="str">
        <v/>
      </c>
      <c r="N806" s="153" t="str">
        <v/>
      </c>
      <c r="O806" s="153" t="str">
        <v/>
      </c>
      <c r="P806" s="153" t="str">
        <v/>
      </c>
    </row>
    <row r="807" spans="1:16" x14ac:dyDescent="0.2">
      <c r="A807" s="58" t="str">
        <v/>
      </c>
      <c r="B807" s="131" t="str">
        <f>IFERROR(TIMEVALUE(DaqBook_RAW_Data!Q797),IFERROR(TIMEVALUE(DaqBook_RAW_Data!A797),""))</f>
        <v/>
      </c>
      <c r="C807" s="153" t="str">
        <v/>
      </c>
      <c r="D807" s="153" t="str">
        <v/>
      </c>
      <c r="E807" s="153" t="str">
        <v/>
      </c>
      <c r="F807" s="153" t="str">
        <v/>
      </c>
      <c r="G807" s="153" t="str">
        <v/>
      </c>
      <c r="H807" s="153" t="str">
        <v/>
      </c>
      <c r="I807" s="153" t="str">
        <v/>
      </c>
      <c r="J807" s="153" t="str">
        <v/>
      </c>
      <c r="K807" s="153" t="str">
        <v/>
      </c>
      <c r="L807" s="153" t="str">
        <v/>
      </c>
      <c r="M807" s="153" t="str">
        <v/>
      </c>
      <c r="N807" s="153" t="str">
        <v/>
      </c>
      <c r="O807" s="153" t="str">
        <v/>
      </c>
      <c r="P807" s="153" t="str">
        <v/>
      </c>
    </row>
    <row r="808" spans="1:16" x14ac:dyDescent="0.2">
      <c r="A808" s="58" t="str">
        <v/>
      </c>
      <c r="B808" s="131" t="str">
        <f>IFERROR(TIMEVALUE(DaqBook_RAW_Data!Q798),IFERROR(TIMEVALUE(DaqBook_RAW_Data!A798),""))</f>
        <v/>
      </c>
      <c r="C808" s="153" t="str">
        <v/>
      </c>
      <c r="D808" s="153" t="str">
        <v/>
      </c>
      <c r="E808" s="153" t="str">
        <v/>
      </c>
      <c r="F808" s="153" t="str">
        <v/>
      </c>
      <c r="G808" s="153" t="str">
        <v/>
      </c>
      <c r="H808" s="153" t="str">
        <v/>
      </c>
      <c r="I808" s="153" t="str">
        <v/>
      </c>
      <c r="J808" s="153" t="str">
        <v/>
      </c>
      <c r="K808" s="153" t="str">
        <v/>
      </c>
      <c r="L808" s="153" t="str">
        <v/>
      </c>
      <c r="M808" s="153" t="str">
        <v/>
      </c>
      <c r="N808" s="153" t="str">
        <v/>
      </c>
      <c r="O808" s="153" t="str">
        <v/>
      </c>
      <c r="P808" s="153" t="str">
        <v/>
      </c>
    </row>
    <row r="809" spans="1:16" x14ac:dyDescent="0.2">
      <c r="A809" s="58" t="str">
        <v/>
      </c>
      <c r="B809" s="131" t="str">
        <f>IFERROR(TIMEVALUE(DaqBook_RAW_Data!Q799),IFERROR(TIMEVALUE(DaqBook_RAW_Data!A799),""))</f>
        <v/>
      </c>
      <c r="C809" s="153" t="str">
        <v/>
      </c>
      <c r="D809" s="153" t="str">
        <v/>
      </c>
      <c r="E809" s="153" t="str">
        <v/>
      </c>
      <c r="F809" s="153" t="str">
        <v/>
      </c>
      <c r="G809" s="153" t="str">
        <v/>
      </c>
      <c r="H809" s="153" t="str">
        <v/>
      </c>
      <c r="I809" s="153" t="str">
        <v/>
      </c>
      <c r="J809" s="153" t="str">
        <v/>
      </c>
      <c r="K809" s="153" t="str">
        <v/>
      </c>
      <c r="L809" s="153" t="str">
        <v/>
      </c>
      <c r="M809" s="153" t="str">
        <v/>
      </c>
      <c r="N809" s="153" t="str">
        <v/>
      </c>
      <c r="O809" s="153" t="str">
        <v/>
      </c>
      <c r="P809" s="153" t="str">
        <v/>
      </c>
    </row>
    <row r="810" spans="1:16" x14ac:dyDescent="0.2">
      <c r="A810" s="58" t="str">
        <v/>
      </c>
      <c r="B810" s="131" t="str">
        <f>IFERROR(TIMEVALUE(DaqBook_RAW_Data!Q800),IFERROR(TIMEVALUE(DaqBook_RAW_Data!A800),""))</f>
        <v/>
      </c>
      <c r="C810" s="153" t="str">
        <v/>
      </c>
      <c r="D810" s="153" t="str">
        <v/>
      </c>
      <c r="E810" s="153" t="str">
        <v/>
      </c>
      <c r="F810" s="153" t="str">
        <v/>
      </c>
      <c r="G810" s="153" t="str">
        <v/>
      </c>
      <c r="H810" s="153" t="str">
        <v/>
      </c>
      <c r="I810" s="153" t="str">
        <v/>
      </c>
      <c r="J810" s="153" t="str">
        <v/>
      </c>
      <c r="K810" s="153" t="str">
        <v/>
      </c>
      <c r="L810" s="153" t="str">
        <v/>
      </c>
      <c r="M810" s="153" t="str">
        <v/>
      </c>
      <c r="N810" s="153" t="str">
        <v/>
      </c>
      <c r="O810" s="153" t="str">
        <v/>
      </c>
      <c r="P810" s="153" t="str">
        <v/>
      </c>
    </row>
    <row r="811" spans="1:16" x14ac:dyDescent="0.2">
      <c r="A811" s="58" t="str">
        <v/>
      </c>
      <c r="B811" s="131" t="str">
        <f>IFERROR(TIMEVALUE(DaqBook_RAW_Data!Q801),IFERROR(TIMEVALUE(DaqBook_RAW_Data!A801),""))</f>
        <v/>
      </c>
      <c r="C811" s="153" t="str">
        <v/>
      </c>
      <c r="D811" s="153" t="str">
        <v/>
      </c>
      <c r="E811" s="153" t="str">
        <v/>
      </c>
      <c r="F811" s="153" t="str">
        <v/>
      </c>
      <c r="G811" s="153" t="str">
        <v/>
      </c>
      <c r="H811" s="153" t="str">
        <v/>
      </c>
      <c r="I811" s="153" t="str">
        <v/>
      </c>
      <c r="J811" s="153" t="str">
        <v/>
      </c>
      <c r="K811" s="153" t="str">
        <v/>
      </c>
      <c r="L811" s="153" t="str">
        <v/>
      </c>
      <c r="M811" s="153" t="str">
        <v/>
      </c>
      <c r="N811" s="153" t="str">
        <v/>
      </c>
      <c r="O811" s="153" t="str">
        <v/>
      </c>
      <c r="P811" s="153" t="str">
        <v/>
      </c>
    </row>
    <row r="812" spans="1:16" x14ac:dyDescent="0.2">
      <c r="A812" s="58" t="str">
        <v/>
      </c>
      <c r="B812" s="131" t="str">
        <f>IFERROR(TIMEVALUE(DaqBook_RAW_Data!Q802),IFERROR(TIMEVALUE(DaqBook_RAW_Data!A802),""))</f>
        <v/>
      </c>
      <c r="C812" s="153" t="str">
        <v/>
      </c>
      <c r="D812" s="153" t="str">
        <v/>
      </c>
      <c r="E812" s="153" t="str">
        <v/>
      </c>
      <c r="F812" s="153" t="str">
        <v/>
      </c>
      <c r="G812" s="153" t="str">
        <v/>
      </c>
      <c r="H812" s="153" t="str">
        <v/>
      </c>
      <c r="I812" s="153" t="str">
        <v/>
      </c>
      <c r="J812" s="153" t="str">
        <v/>
      </c>
      <c r="K812" s="153" t="str">
        <v/>
      </c>
      <c r="L812" s="153" t="str">
        <v/>
      </c>
      <c r="M812" s="153" t="str">
        <v/>
      </c>
      <c r="N812" s="153" t="str">
        <v/>
      </c>
      <c r="O812" s="153" t="str">
        <v/>
      </c>
      <c r="P812" s="153" t="str">
        <v/>
      </c>
    </row>
    <row r="813" spans="1:16" x14ac:dyDescent="0.2">
      <c r="A813" s="58" t="str">
        <v/>
      </c>
      <c r="B813" s="131" t="str">
        <f>IFERROR(TIMEVALUE(DaqBook_RAW_Data!Q803),IFERROR(TIMEVALUE(DaqBook_RAW_Data!A803),""))</f>
        <v/>
      </c>
      <c r="C813" s="153" t="str">
        <v/>
      </c>
      <c r="D813" s="153" t="str">
        <v/>
      </c>
      <c r="E813" s="153" t="str">
        <v/>
      </c>
      <c r="F813" s="153" t="str">
        <v/>
      </c>
      <c r="G813" s="153" t="str">
        <v/>
      </c>
      <c r="H813" s="153" t="str">
        <v/>
      </c>
      <c r="I813" s="153" t="str">
        <v/>
      </c>
      <c r="J813" s="153" t="str">
        <v/>
      </c>
      <c r="K813" s="153" t="str">
        <v/>
      </c>
      <c r="L813" s="153" t="str">
        <v/>
      </c>
      <c r="M813" s="153" t="str">
        <v/>
      </c>
      <c r="N813" s="153" t="str">
        <v/>
      </c>
      <c r="O813" s="153" t="str">
        <v/>
      </c>
      <c r="P813" s="153" t="str">
        <v/>
      </c>
    </row>
    <row r="814" spans="1:16" x14ac:dyDescent="0.2">
      <c r="A814" s="58" t="str">
        <v/>
      </c>
      <c r="B814" s="131" t="str">
        <f>IFERROR(TIMEVALUE(DaqBook_RAW_Data!Q804),IFERROR(TIMEVALUE(DaqBook_RAW_Data!A804),""))</f>
        <v/>
      </c>
      <c r="C814" s="153" t="str">
        <v/>
      </c>
      <c r="D814" s="153" t="str">
        <v/>
      </c>
      <c r="E814" s="153" t="str">
        <v/>
      </c>
      <c r="F814" s="153" t="str">
        <v/>
      </c>
      <c r="G814" s="153" t="str">
        <v/>
      </c>
      <c r="H814" s="153" t="str">
        <v/>
      </c>
      <c r="I814" s="153" t="str">
        <v/>
      </c>
      <c r="J814" s="153" t="str">
        <v/>
      </c>
      <c r="K814" s="153" t="str">
        <v/>
      </c>
      <c r="L814" s="153" t="str">
        <v/>
      </c>
      <c r="M814" s="153" t="str">
        <v/>
      </c>
      <c r="N814" s="153" t="str">
        <v/>
      </c>
      <c r="O814" s="153" t="str">
        <v/>
      </c>
      <c r="P814" s="153" t="str">
        <v/>
      </c>
    </row>
    <row r="815" spans="1:16" x14ac:dyDescent="0.2">
      <c r="A815" s="58" t="str">
        <v/>
      </c>
      <c r="B815" s="131" t="str">
        <f>IFERROR(TIMEVALUE(DaqBook_RAW_Data!Q805),IFERROR(TIMEVALUE(DaqBook_RAW_Data!A805),""))</f>
        <v/>
      </c>
      <c r="C815" s="153" t="str">
        <v/>
      </c>
      <c r="D815" s="153" t="str">
        <v/>
      </c>
      <c r="E815" s="153" t="str">
        <v/>
      </c>
      <c r="F815" s="153" t="str">
        <v/>
      </c>
      <c r="G815" s="153" t="str">
        <v/>
      </c>
      <c r="H815" s="153" t="str">
        <v/>
      </c>
      <c r="I815" s="153" t="str">
        <v/>
      </c>
      <c r="J815" s="153" t="str">
        <v/>
      </c>
      <c r="K815" s="153" t="str">
        <v/>
      </c>
      <c r="L815" s="153" t="str">
        <v/>
      </c>
      <c r="M815" s="153" t="str">
        <v/>
      </c>
      <c r="N815" s="153" t="str">
        <v/>
      </c>
      <c r="O815" s="153" t="str">
        <v/>
      </c>
      <c r="P815" s="153" t="str">
        <v/>
      </c>
    </row>
    <row r="816" spans="1:16" x14ac:dyDescent="0.2">
      <c r="A816" s="58" t="str">
        <v/>
      </c>
      <c r="B816" s="131" t="str">
        <f>IFERROR(TIMEVALUE(DaqBook_RAW_Data!Q806),IFERROR(TIMEVALUE(DaqBook_RAW_Data!A806),""))</f>
        <v/>
      </c>
      <c r="C816" s="153" t="str">
        <v/>
      </c>
      <c r="D816" s="153" t="str">
        <v/>
      </c>
      <c r="E816" s="153" t="str">
        <v/>
      </c>
      <c r="F816" s="153" t="str">
        <v/>
      </c>
      <c r="G816" s="153" t="str">
        <v/>
      </c>
      <c r="H816" s="153" t="str">
        <v/>
      </c>
      <c r="I816" s="153" t="str">
        <v/>
      </c>
      <c r="J816" s="153" t="str">
        <v/>
      </c>
      <c r="K816" s="153" t="str">
        <v/>
      </c>
      <c r="L816" s="153" t="str">
        <v/>
      </c>
      <c r="M816" s="153" t="str">
        <v/>
      </c>
      <c r="N816" s="153" t="str">
        <v/>
      </c>
      <c r="O816" s="153" t="str">
        <v/>
      </c>
      <c r="P816" s="153" t="str">
        <v/>
      </c>
    </row>
    <row r="817" spans="1:16" x14ac:dyDescent="0.2">
      <c r="A817" s="58" t="str">
        <v/>
      </c>
      <c r="B817" s="131" t="str">
        <f>IFERROR(TIMEVALUE(DaqBook_RAW_Data!Q807),IFERROR(TIMEVALUE(DaqBook_RAW_Data!A807),""))</f>
        <v/>
      </c>
      <c r="C817" s="153" t="str">
        <v/>
      </c>
      <c r="D817" s="153" t="str">
        <v/>
      </c>
      <c r="E817" s="153" t="str">
        <v/>
      </c>
      <c r="F817" s="153" t="str">
        <v/>
      </c>
      <c r="G817" s="153" t="str">
        <v/>
      </c>
      <c r="H817" s="153" t="str">
        <v/>
      </c>
      <c r="I817" s="153" t="str">
        <v/>
      </c>
      <c r="J817" s="153" t="str">
        <v/>
      </c>
      <c r="K817" s="153" t="str">
        <v/>
      </c>
      <c r="L817" s="153" t="str">
        <v/>
      </c>
      <c r="M817" s="153" t="str">
        <v/>
      </c>
      <c r="N817" s="153" t="str">
        <v/>
      </c>
      <c r="O817" s="153" t="str">
        <v/>
      </c>
      <c r="P817" s="153" t="str">
        <v/>
      </c>
    </row>
    <row r="818" spans="1:16" x14ac:dyDescent="0.2">
      <c r="A818" s="58" t="str">
        <v/>
      </c>
      <c r="B818" s="131" t="str">
        <f>IFERROR(TIMEVALUE(DaqBook_RAW_Data!Q808),IFERROR(TIMEVALUE(DaqBook_RAW_Data!A808),""))</f>
        <v/>
      </c>
      <c r="C818" s="153" t="str">
        <v/>
      </c>
      <c r="D818" s="153" t="str">
        <v/>
      </c>
      <c r="E818" s="153" t="str">
        <v/>
      </c>
      <c r="F818" s="153" t="str">
        <v/>
      </c>
      <c r="G818" s="153" t="str">
        <v/>
      </c>
      <c r="H818" s="153" t="str">
        <v/>
      </c>
      <c r="I818" s="153" t="str">
        <v/>
      </c>
      <c r="J818" s="153" t="str">
        <v/>
      </c>
      <c r="K818" s="153" t="str">
        <v/>
      </c>
      <c r="L818" s="153" t="str">
        <v/>
      </c>
      <c r="M818" s="153" t="str">
        <v/>
      </c>
      <c r="N818" s="153" t="str">
        <v/>
      </c>
      <c r="O818" s="153" t="str">
        <v/>
      </c>
      <c r="P818" s="153" t="str">
        <v/>
      </c>
    </row>
    <row r="819" spans="1:16" x14ac:dyDescent="0.2">
      <c r="A819" s="58" t="str">
        <v/>
      </c>
      <c r="B819" s="131" t="str">
        <f>IFERROR(TIMEVALUE(DaqBook_RAW_Data!Q809),IFERROR(TIMEVALUE(DaqBook_RAW_Data!A809),""))</f>
        <v/>
      </c>
      <c r="C819" s="153" t="str">
        <v/>
      </c>
      <c r="D819" s="153" t="str">
        <v/>
      </c>
      <c r="E819" s="153" t="str">
        <v/>
      </c>
      <c r="F819" s="153" t="str">
        <v/>
      </c>
      <c r="G819" s="153" t="str">
        <v/>
      </c>
      <c r="H819" s="153" t="str">
        <v/>
      </c>
      <c r="I819" s="153" t="str">
        <v/>
      </c>
      <c r="J819" s="153" t="str">
        <v/>
      </c>
      <c r="K819" s="153" t="str">
        <v/>
      </c>
      <c r="L819" s="153" t="str">
        <v/>
      </c>
      <c r="M819" s="153" t="str">
        <v/>
      </c>
      <c r="N819" s="153" t="str">
        <v/>
      </c>
      <c r="O819" s="153" t="str">
        <v/>
      </c>
      <c r="P819" s="153" t="str">
        <v/>
      </c>
    </row>
    <row r="820" spans="1:16" x14ac:dyDescent="0.2">
      <c r="A820" s="58" t="str">
        <v/>
      </c>
      <c r="B820" s="131" t="str">
        <f>IFERROR(TIMEVALUE(DaqBook_RAW_Data!Q810),IFERROR(TIMEVALUE(DaqBook_RAW_Data!A810),""))</f>
        <v/>
      </c>
      <c r="C820" s="153" t="str">
        <v/>
      </c>
      <c r="D820" s="153" t="str">
        <v/>
      </c>
      <c r="E820" s="153" t="str">
        <v/>
      </c>
      <c r="F820" s="153" t="str">
        <v/>
      </c>
      <c r="G820" s="153" t="str">
        <v/>
      </c>
      <c r="H820" s="153" t="str">
        <v/>
      </c>
      <c r="I820" s="153" t="str">
        <v/>
      </c>
      <c r="J820" s="153" t="str">
        <v/>
      </c>
      <c r="K820" s="153" t="str">
        <v/>
      </c>
      <c r="L820" s="153" t="str">
        <v/>
      </c>
      <c r="M820" s="153" t="str">
        <v/>
      </c>
      <c r="N820" s="153" t="str">
        <v/>
      </c>
      <c r="O820" s="153" t="str">
        <v/>
      </c>
      <c r="P820" s="153" t="str">
        <v/>
      </c>
    </row>
    <row r="821" spans="1:16" x14ac:dyDescent="0.2">
      <c r="A821" s="58" t="str">
        <v/>
      </c>
      <c r="B821" s="131" t="str">
        <f>IFERROR(TIMEVALUE(DaqBook_RAW_Data!Q811),IFERROR(TIMEVALUE(DaqBook_RAW_Data!A811),""))</f>
        <v/>
      </c>
      <c r="C821" s="153" t="str">
        <v/>
      </c>
      <c r="D821" s="153" t="str">
        <v/>
      </c>
      <c r="E821" s="153" t="str">
        <v/>
      </c>
      <c r="F821" s="153" t="str">
        <v/>
      </c>
      <c r="G821" s="153" t="str">
        <v/>
      </c>
      <c r="H821" s="153" t="str">
        <v/>
      </c>
      <c r="I821" s="153" t="str">
        <v/>
      </c>
      <c r="J821" s="153" t="str">
        <v/>
      </c>
      <c r="K821" s="153" t="str">
        <v/>
      </c>
      <c r="L821" s="153" t="str">
        <v/>
      </c>
      <c r="M821" s="153" t="str">
        <v/>
      </c>
      <c r="N821" s="153" t="str">
        <v/>
      </c>
      <c r="O821" s="153" t="str">
        <v/>
      </c>
      <c r="P821" s="153" t="str">
        <v/>
      </c>
    </row>
    <row r="822" spans="1:16" x14ac:dyDescent="0.2">
      <c r="A822" s="58" t="str">
        <v/>
      </c>
      <c r="B822" s="131" t="str">
        <f>IFERROR(TIMEVALUE(DaqBook_RAW_Data!Q812),IFERROR(TIMEVALUE(DaqBook_RAW_Data!A812),""))</f>
        <v/>
      </c>
      <c r="C822" s="153" t="str">
        <v/>
      </c>
      <c r="D822" s="153" t="str">
        <v/>
      </c>
      <c r="E822" s="153" t="str">
        <v/>
      </c>
      <c r="F822" s="153" t="str">
        <v/>
      </c>
      <c r="G822" s="153" t="str">
        <v/>
      </c>
      <c r="H822" s="153" t="str">
        <v/>
      </c>
      <c r="I822" s="153" t="str">
        <v/>
      </c>
      <c r="J822" s="153" t="str">
        <v/>
      </c>
      <c r="K822" s="153" t="str">
        <v/>
      </c>
      <c r="L822" s="153" t="str">
        <v/>
      </c>
      <c r="M822" s="153" t="str">
        <v/>
      </c>
      <c r="N822" s="153" t="str">
        <v/>
      </c>
      <c r="O822" s="153" t="str">
        <v/>
      </c>
      <c r="P822" s="153" t="str">
        <v/>
      </c>
    </row>
    <row r="823" spans="1:16" x14ac:dyDescent="0.2">
      <c r="A823" s="58" t="str">
        <v/>
      </c>
      <c r="B823" s="131" t="str">
        <f>IFERROR(TIMEVALUE(DaqBook_RAW_Data!Q813),IFERROR(TIMEVALUE(DaqBook_RAW_Data!A813),""))</f>
        <v/>
      </c>
      <c r="C823" s="153" t="str">
        <v/>
      </c>
      <c r="D823" s="153" t="str">
        <v/>
      </c>
      <c r="E823" s="153" t="str">
        <v/>
      </c>
      <c r="F823" s="153" t="str">
        <v/>
      </c>
      <c r="G823" s="153" t="str">
        <v/>
      </c>
      <c r="H823" s="153" t="str">
        <v/>
      </c>
      <c r="I823" s="153" t="str">
        <v/>
      </c>
      <c r="J823" s="153" t="str">
        <v/>
      </c>
      <c r="K823" s="153" t="str">
        <v/>
      </c>
      <c r="L823" s="153" t="str">
        <v/>
      </c>
      <c r="M823" s="153" t="str">
        <v/>
      </c>
      <c r="N823" s="153" t="str">
        <v/>
      </c>
      <c r="O823" s="153" t="str">
        <v/>
      </c>
      <c r="P823" s="153" t="str">
        <v/>
      </c>
    </row>
    <row r="824" spans="1:16" x14ac:dyDescent="0.2">
      <c r="A824" s="58" t="str">
        <v/>
      </c>
      <c r="B824" s="131" t="str">
        <f>IFERROR(TIMEVALUE(DaqBook_RAW_Data!Q814),IFERROR(TIMEVALUE(DaqBook_RAW_Data!A814),""))</f>
        <v/>
      </c>
      <c r="C824" s="153" t="str">
        <v/>
      </c>
      <c r="D824" s="153" t="str">
        <v/>
      </c>
      <c r="E824" s="153" t="str">
        <v/>
      </c>
      <c r="F824" s="153" t="str">
        <v/>
      </c>
      <c r="G824" s="153" t="str">
        <v/>
      </c>
      <c r="H824" s="153" t="str">
        <v/>
      </c>
      <c r="I824" s="153" t="str">
        <v/>
      </c>
      <c r="J824" s="153" t="str">
        <v/>
      </c>
      <c r="K824" s="153" t="str">
        <v/>
      </c>
      <c r="L824" s="153" t="str">
        <v/>
      </c>
      <c r="M824" s="153" t="str">
        <v/>
      </c>
      <c r="N824" s="153" t="str">
        <v/>
      </c>
      <c r="O824" s="153" t="str">
        <v/>
      </c>
      <c r="P824" s="153" t="str">
        <v/>
      </c>
    </row>
    <row r="825" spans="1:16" x14ac:dyDescent="0.2">
      <c r="A825" s="58" t="str">
        <v/>
      </c>
      <c r="B825" s="131" t="str">
        <f>IFERROR(TIMEVALUE(DaqBook_RAW_Data!Q815),IFERROR(TIMEVALUE(DaqBook_RAW_Data!A815),""))</f>
        <v/>
      </c>
      <c r="C825" s="153" t="str">
        <v/>
      </c>
      <c r="D825" s="153" t="str">
        <v/>
      </c>
      <c r="E825" s="153" t="str">
        <v/>
      </c>
      <c r="F825" s="153" t="str">
        <v/>
      </c>
      <c r="G825" s="153" t="str">
        <v/>
      </c>
      <c r="H825" s="153" t="str">
        <v/>
      </c>
      <c r="I825" s="153" t="str">
        <v/>
      </c>
      <c r="J825" s="153" t="str">
        <v/>
      </c>
      <c r="K825" s="153" t="str">
        <v/>
      </c>
      <c r="L825" s="153" t="str">
        <v/>
      </c>
      <c r="M825" s="153" t="str">
        <v/>
      </c>
      <c r="N825" s="153" t="str">
        <v/>
      </c>
      <c r="O825" s="153" t="str">
        <v/>
      </c>
      <c r="P825" s="153" t="str">
        <v/>
      </c>
    </row>
    <row r="826" spans="1:16" x14ac:dyDescent="0.2">
      <c r="A826" s="58" t="str">
        <v/>
      </c>
      <c r="B826" s="131" t="str">
        <f>IFERROR(TIMEVALUE(DaqBook_RAW_Data!Q816),IFERROR(TIMEVALUE(DaqBook_RAW_Data!A816),""))</f>
        <v/>
      </c>
      <c r="C826" s="153" t="str">
        <v/>
      </c>
      <c r="D826" s="153" t="str">
        <v/>
      </c>
      <c r="E826" s="153" t="str">
        <v/>
      </c>
      <c r="F826" s="153" t="str">
        <v/>
      </c>
      <c r="G826" s="153" t="str">
        <v/>
      </c>
      <c r="H826" s="153" t="str">
        <v/>
      </c>
      <c r="I826" s="153" t="str">
        <v/>
      </c>
      <c r="J826" s="153" t="str">
        <v/>
      </c>
      <c r="K826" s="153" t="str">
        <v/>
      </c>
      <c r="L826" s="153" t="str">
        <v/>
      </c>
      <c r="M826" s="153" t="str">
        <v/>
      </c>
      <c r="N826" s="153" t="str">
        <v/>
      </c>
      <c r="O826" s="153" t="str">
        <v/>
      </c>
      <c r="P826" s="153" t="str">
        <v/>
      </c>
    </row>
    <row r="827" spans="1:16" x14ac:dyDescent="0.2">
      <c r="A827" s="58" t="str">
        <v/>
      </c>
      <c r="B827" s="131" t="str">
        <f>IFERROR(TIMEVALUE(DaqBook_RAW_Data!Q817),IFERROR(TIMEVALUE(DaqBook_RAW_Data!A817),""))</f>
        <v/>
      </c>
      <c r="C827" s="153" t="str">
        <v/>
      </c>
      <c r="D827" s="153" t="str">
        <v/>
      </c>
      <c r="E827" s="153" t="str">
        <v/>
      </c>
      <c r="F827" s="153" t="str">
        <v/>
      </c>
      <c r="G827" s="153" t="str">
        <v/>
      </c>
      <c r="H827" s="153" t="str">
        <v/>
      </c>
      <c r="I827" s="153" t="str">
        <v/>
      </c>
      <c r="J827" s="153" t="str">
        <v/>
      </c>
      <c r="K827" s="153" t="str">
        <v/>
      </c>
      <c r="L827" s="153" t="str">
        <v/>
      </c>
      <c r="M827" s="153" t="str">
        <v/>
      </c>
      <c r="N827" s="153" t="str">
        <v/>
      </c>
      <c r="O827" s="153" t="str">
        <v/>
      </c>
      <c r="P827" s="153" t="str">
        <v/>
      </c>
    </row>
    <row r="828" spans="1:16" x14ac:dyDescent="0.2">
      <c r="A828" s="58" t="str">
        <v/>
      </c>
      <c r="B828" s="131" t="str">
        <f>IFERROR(TIMEVALUE(DaqBook_RAW_Data!Q818),IFERROR(TIMEVALUE(DaqBook_RAW_Data!A818),""))</f>
        <v/>
      </c>
      <c r="C828" s="153" t="str">
        <v/>
      </c>
      <c r="D828" s="153" t="str">
        <v/>
      </c>
      <c r="E828" s="153" t="str">
        <v/>
      </c>
      <c r="F828" s="153" t="str">
        <v/>
      </c>
      <c r="G828" s="153" t="str">
        <v/>
      </c>
      <c r="H828" s="153" t="str">
        <v/>
      </c>
      <c r="I828" s="153" t="str">
        <v/>
      </c>
      <c r="J828" s="153" t="str">
        <v/>
      </c>
      <c r="K828" s="153" t="str">
        <v/>
      </c>
      <c r="L828" s="153" t="str">
        <v/>
      </c>
      <c r="M828" s="153" t="str">
        <v/>
      </c>
      <c r="N828" s="153" t="str">
        <v/>
      </c>
      <c r="O828" s="153" t="str">
        <v/>
      </c>
      <c r="P828" s="153" t="str">
        <v/>
      </c>
    </row>
    <row r="829" spans="1:16" x14ac:dyDescent="0.2">
      <c r="A829" s="58" t="str">
        <v/>
      </c>
      <c r="B829" s="131" t="str">
        <f>IFERROR(TIMEVALUE(DaqBook_RAW_Data!Q819),IFERROR(TIMEVALUE(DaqBook_RAW_Data!A819),""))</f>
        <v/>
      </c>
      <c r="C829" s="153" t="str">
        <v/>
      </c>
      <c r="D829" s="153" t="str">
        <v/>
      </c>
      <c r="E829" s="153" t="str">
        <v/>
      </c>
      <c r="F829" s="153" t="str">
        <v/>
      </c>
      <c r="G829" s="153" t="str">
        <v/>
      </c>
      <c r="H829" s="153" t="str">
        <v/>
      </c>
      <c r="I829" s="153" t="str">
        <v/>
      </c>
      <c r="J829" s="153" t="str">
        <v/>
      </c>
      <c r="K829" s="153" t="str">
        <v/>
      </c>
      <c r="L829" s="153" t="str">
        <v/>
      </c>
      <c r="M829" s="153" t="str">
        <v/>
      </c>
      <c r="N829" s="153" t="str">
        <v/>
      </c>
      <c r="O829" s="153" t="str">
        <v/>
      </c>
      <c r="P829" s="153" t="str">
        <v/>
      </c>
    </row>
    <row r="830" spans="1:16" x14ac:dyDescent="0.2">
      <c r="A830" s="58" t="str">
        <v/>
      </c>
      <c r="B830" s="131" t="str">
        <f>IFERROR(TIMEVALUE(DaqBook_RAW_Data!Q820),IFERROR(TIMEVALUE(DaqBook_RAW_Data!A820),""))</f>
        <v/>
      </c>
      <c r="C830" s="153" t="str">
        <v/>
      </c>
      <c r="D830" s="153" t="str">
        <v/>
      </c>
      <c r="E830" s="153" t="str">
        <v/>
      </c>
      <c r="F830" s="153" t="str">
        <v/>
      </c>
      <c r="G830" s="153" t="str">
        <v/>
      </c>
      <c r="H830" s="153" t="str">
        <v/>
      </c>
      <c r="I830" s="153" t="str">
        <v/>
      </c>
      <c r="J830" s="153" t="str">
        <v/>
      </c>
      <c r="K830" s="153" t="str">
        <v/>
      </c>
      <c r="L830" s="153" t="str">
        <v/>
      </c>
      <c r="M830" s="153" t="str">
        <v/>
      </c>
      <c r="N830" s="153" t="str">
        <v/>
      </c>
      <c r="O830" s="153" t="str">
        <v/>
      </c>
      <c r="P830" s="153" t="str">
        <v/>
      </c>
    </row>
    <row r="831" spans="1:16" x14ac:dyDescent="0.2">
      <c r="A831" s="58" t="str">
        <v/>
      </c>
      <c r="B831" s="131" t="str">
        <f>IFERROR(TIMEVALUE(DaqBook_RAW_Data!Q821),IFERROR(TIMEVALUE(DaqBook_RAW_Data!A821),""))</f>
        <v/>
      </c>
      <c r="C831" s="153" t="str">
        <v/>
      </c>
      <c r="D831" s="153" t="str">
        <v/>
      </c>
      <c r="E831" s="153" t="str">
        <v/>
      </c>
      <c r="F831" s="153" t="str">
        <v/>
      </c>
      <c r="G831" s="153" t="str">
        <v/>
      </c>
      <c r="H831" s="153" t="str">
        <v/>
      </c>
      <c r="I831" s="153" t="str">
        <v/>
      </c>
      <c r="J831" s="153" t="str">
        <v/>
      </c>
      <c r="K831" s="153" t="str">
        <v/>
      </c>
      <c r="L831" s="153" t="str">
        <v/>
      </c>
      <c r="M831" s="153" t="str">
        <v/>
      </c>
      <c r="N831" s="153" t="str">
        <v/>
      </c>
      <c r="O831" s="153" t="str">
        <v/>
      </c>
      <c r="P831" s="153" t="str">
        <v/>
      </c>
    </row>
    <row r="832" spans="1:16" x14ac:dyDescent="0.2">
      <c r="A832" s="58" t="str">
        <v/>
      </c>
      <c r="B832" s="131" t="str">
        <f>IFERROR(TIMEVALUE(DaqBook_RAW_Data!Q822),IFERROR(TIMEVALUE(DaqBook_RAW_Data!A822),""))</f>
        <v/>
      </c>
      <c r="C832" s="153" t="str">
        <v/>
      </c>
      <c r="D832" s="153" t="str">
        <v/>
      </c>
      <c r="E832" s="153" t="str">
        <v/>
      </c>
      <c r="F832" s="153" t="str">
        <v/>
      </c>
      <c r="G832" s="153" t="str">
        <v/>
      </c>
      <c r="H832" s="153" t="str">
        <v/>
      </c>
      <c r="I832" s="153" t="str">
        <v/>
      </c>
      <c r="J832" s="153" t="str">
        <v/>
      </c>
      <c r="K832" s="153" t="str">
        <v/>
      </c>
      <c r="L832" s="153" t="str">
        <v/>
      </c>
      <c r="M832" s="153" t="str">
        <v/>
      </c>
      <c r="N832" s="153" t="str">
        <v/>
      </c>
      <c r="O832" s="153" t="str">
        <v/>
      </c>
      <c r="P832" s="153" t="str">
        <v/>
      </c>
    </row>
    <row r="833" spans="1:16" x14ac:dyDescent="0.2">
      <c r="A833" s="58" t="str">
        <v/>
      </c>
      <c r="B833" s="131" t="str">
        <f>IFERROR(TIMEVALUE(DaqBook_RAW_Data!Q823),IFERROR(TIMEVALUE(DaqBook_RAW_Data!A823),""))</f>
        <v/>
      </c>
      <c r="C833" s="153" t="str">
        <v/>
      </c>
      <c r="D833" s="153" t="str">
        <v/>
      </c>
      <c r="E833" s="153" t="str">
        <v/>
      </c>
      <c r="F833" s="153" t="str">
        <v/>
      </c>
      <c r="G833" s="153" t="str">
        <v/>
      </c>
      <c r="H833" s="153" t="str">
        <v/>
      </c>
      <c r="I833" s="153" t="str">
        <v/>
      </c>
      <c r="J833" s="153" t="str">
        <v/>
      </c>
      <c r="K833" s="153" t="str">
        <v/>
      </c>
      <c r="L833" s="153" t="str">
        <v/>
      </c>
      <c r="M833" s="153" t="str">
        <v/>
      </c>
      <c r="N833" s="153" t="str">
        <v/>
      </c>
      <c r="O833" s="153" t="str">
        <v/>
      </c>
      <c r="P833" s="153" t="str">
        <v/>
      </c>
    </row>
    <row r="834" spans="1:16" x14ac:dyDescent="0.2">
      <c r="A834" s="58" t="str">
        <v/>
      </c>
      <c r="B834" s="131" t="str">
        <f>IFERROR(TIMEVALUE(DaqBook_RAW_Data!Q824),IFERROR(TIMEVALUE(DaqBook_RAW_Data!A824),""))</f>
        <v/>
      </c>
      <c r="C834" s="153" t="str">
        <v/>
      </c>
      <c r="D834" s="153" t="str">
        <v/>
      </c>
      <c r="E834" s="153" t="str">
        <v/>
      </c>
      <c r="F834" s="153" t="str">
        <v/>
      </c>
      <c r="G834" s="153" t="str">
        <v/>
      </c>
      <c r="H834" s="153" t="str">
        <v/>
      </c>
      <c r="I834" s="153" t="str">
        <v/>
      </c>
      <c r="J834" s="153" t="str">
        <v/>
      </c>
      <c r="K834" s="153" t="str">
        <v/>
      </c>
      <c r="L834" s="153" t="str">
        <v/>
      </c>
      <c r="M834" s="153" t="str">
        <v/>
      </c>
      <c r="N834" s="153" t="str">
        <v/>
      </c>
      <c r="O834" s="153" t="str">
        <v/>
      </c>
      <c r="P834" s="153" t="str">
        <v/>
      </c>
    </row>
    <row r="835" spans="1:16" x14ac:dyDescent="0.2">
      <c r="A835" s="58" t="str">
        <v/>
      </c>
      <c r="B835" s="131" t="str">
        <f>IFERROR(TIMEVALUE(DaqBook_RAW_Data!Q825),IFERROR(TIMEVALUE(DaqBook_RAW_Data!A825),""))</f>
        <v/>
      </c>
      <c r="C835" s="153" t="str">
        <v/>
      </c>
      <c r="D835" s="153" t="str">
        <v/>
      </c>
      <c r="E835" s="153" t="str">
        <v/>
      </c>
      <c r="F835" s="153" t="str">
        <v/>
      </c>
      <c r="G835" s="153" t="str">
        <v/>
      </c>
      <c r="H835" s="153" t="str">
        <v/>
      </c>
      <c r="I835" s="153" t="str">
        <v/>
      </c>
      <c r="J835" s="153" t="str">
        <v/>
      </c>
      <c r="K835" s="153" t="str">
        <v/>
      </c>
      <c r="L835" s="153" t="str">
        <v/>
      </c>
      <c r="M835" s="153" t="str">
        <v/>
      </c>
      <c r="N835" s="153" t="str">
        <v/>
      </c>
      <c r="O835" s="153" t="str">
        <v/>
      </c>
      <c r="P835" s="153" t="str">
        <v/>
      </c>
    </row>
    <row r="836" spans="1:16" x14ac:dyDescent="0.2">
      <c r="A836" s="58" t="str">
        <v/>
      </c>
      <c r="B836" s="131" t="str">
        <f>IFERROR(TIMEVALUE(DaqBook_RAW_Data!Q826),IFERROR(TIMEVALUE(DaqBook_RAW_Data!A826),""))</f>
        <v/>
      </c>
      <c r="C836" s="153" t="str">
        <v/>
      </c>
      <c r="D836" s="153" t="str">
        <v/>
      </c>
      <c r="E836" s="153" t="str">
        <v/>
      </c>
      <c r="F836" s="153" t="str">
        <v/>
      </c>
      <c r="G836" s="153" t="str">
        <v/>
      </c>
      <c r="H836" s="153" t="str">
        <v/>
      </c>
      <c r="I836" s="153" t="str">
        <v/>
      </c>
      <c r="J836" s="153" t="str">
        <v/>
      </c>
      <c r="K836" s="153" t="str">
        <v/>
      </c>
      <c r="L836" s="153" t="str">
        <v/>
      </c>
      <c r="M836" s="153" t="str">
        <v/>
      </c>
      <c r="N836" s="153" t="str">
        <v/>
      </c>
      <c r="O836" s="153" t="str">
        <v/>
      </c>
      <c r="P836" s="153" t="str">
        <v/>
      </c>
    </row>
    <row r="837" spans="1:16" x14ac:dyDescent="0.2">
      <c r="A837" s="58" t="str">
        <v/>
      </c>
      <c r="B837" s="131" t="str">
        <f>IFERROR(TIMEVALUE(DaqBook_RAW_Data!Q827),IFERROR(TIMEVALUE(DaqBook_RAW_Data!A827),""))</f>
        <v/>
      </c>
      <c r="C837" s="153" t="str">
        <v/>
      </c>
      <c r="D837" s="153" t="str">
        <v/>
      </c>
      <c r="E837" s="153" t="str">
        <v/>
      </c>
      <c r="F837" s="153" t="str">
        <v/>
      </c>
      <c r="G837" s="153" t="str">
        <v/>
      </c>
      <c r="H837" s="153" t="str">
        <v/>
      </c>
      <c r="I837" s="153" t="str">
        <v/>
      </c>
      <c r="J837" s="153" t="str">
        <v/>
      </c>
      <c r="K837" s="153" t="str">
        <v/>
      </c>
      <c r="L837" s="153" t="str">
        <v/>
      </c>
      <c r="M837" s="153" t="str">
        <v/>
      </c>
      <c r="N837" s="153" t="str">
        <v/>
      </c>
      <c r="O837" s="153" t="str">
        <v/>
      </c>
      <c r="P837" s="153" t="str">
        <v/>
      </c>
    </row>
    <row r="838" spans="1:16" x14ac:dyDescent="0.2">
      <c r="A838" s="58" t="str">
        <v/>
      </c>
      <c r="B838" s="131" t="str">
        <f>IFERROR(TIMEVALUE(DaqBook_RAW_Data!Q828),IFERROR(TIMEVALUE(DaqBook_RAW_Data!A828),""))</f>
        <v/>
      </c>
      <c r="C838" s="153" t="str">
        <v/>
      </c>
      <c r="D838" s="153" t="str">
        <v/>
      </c>
      <c r="E838" s="153" t="str">
        <v/>
      </c>
      <c r="F838" s="153" t="str">
        <v/>
      </c>
      <c r="G838" s="153" t="str">
        <v/>
      </c>
      <c r="H838" s="153" t="str">
        <v/>
      </c>
      <c r="I838" s="153" t="str">
        <v/>
      </c>
      <c r="J838" s="153" t="str">
        <v/>
      </c>
      <c r="K838" s="153" t="str">
        <v/>
      </c>
      <c r="L838" s="153" t="str">
        <v/>
      </c>
      <c r="M838" s="153" t="str">
        <v/>
      </c>
      <c r="N838" s="153" t="str">
        <v/>
      </c>
      <c r="O838" s="153" t="str">
        <v/>
      </c>
      <c r="P838" s="153" t="str">
        <v/>
      </c>
    </row>
    <row r="839" spans="1:16" x14ac:dyDescent="0.2">
      <c r="A839" s="58" t="str">
        <v/>
      </c>
      <c r="B839" s="131" t="str">
        <f>IFERROR(TIMEVALUE(DaqBook_RAW_Data!Q829),IFERROR(TIMEVALUE(DaqBook_RAW_Data!A829),""))</f>
        <v/>
      </c>
      <c r="C839" s="153" t="str">
        <v/>
      </c>
      <c r="D839" s="153" t="str">
        <v/>
      </c>
      <c r="E839" s="153" t="str">
        <v/>
      </c>
      <c r="F839" s="153" t="str">
        <v/>
      </c>
      <c r="G839" s="153" t="str">
        <v/>
      </c>
      <c r="H839" s="153" t="str">
        <v/>
      </c>
      <c r="I839" s="153" t="str">
        <v/>
      </c>
      <c r="J839" s="153" t="str">
        <v/>
      </c>
      <c r="K839" s="153" t="str">
        <v/>
      </c>
      <c r="L839" s="153" t="str">
        <v/>
      </c>
      <c r="M839" s="153" t="str">
        <v/>
      </c>
      <c r="N839" s="153" t="str">
        <v/>
      </c>
      <c r="O839" s="153" t="str">
        <v/>
      </c>
      <c r="P839" s="153" t="str">
        <v/>
      </c>
    </row>
    <row r="840" spans="1:16" x14ac:dyDescent="0.2">
      <c r="A840" s="58" t="str">
        <v/>
      </c>
      <c r="B840" s="131" t="str">
        <f>IFERROR(TIMEVALUE(DaqBook_RAW_Data!Q830),IFERROR(TIMEVALUE(DaqBook_RAW_Data!A830),""))</f>
        <v/>
      </c>
      <c r="C840" s="153" t="str">
        <v/>
      </c>
      <c r="D840" s="153" t="str">
        <v/>
      </c>
      <c r="E840" s="153" t="str">
        <v/>
      </c>
      <c r="F840" s="153" t="str">
        <v/>
      </c>
      <c r="G840" s="153" t="str">
        <v/>
      </c>
      <c r="H840" s="153" t="str">
        <v/>
      </c>
      <c r="I840" s="153" t="str">
        <v/>
      </c>
      <c r="J840" s="153" t="str">
        <v/>
      </c>
      <c r="K840" s="153" t="str">
        <v/>
      </c>
      <c r="L840" s="153" t="str">
        <v/>
      </c>
      <c r="M840" s="153" t="str">
        <v/>
      </c>
      <c r="N840" s="153" t="str">
        <v/>
      </c>
      <c r="O840" s="153" t="str">
        <v/>
      </c>
      <c r="P840" s="153" t="str">
        <v/>
      </c>
    </row>
    <row r="841" spans="1:16" x14ac:dyDescent="0.2">
      <c r="A841" s="58" t="str">
        <v/>
      </c>
      <c r="B841" s="131" t="str">
        <f>IFERROR(TIMEVALUE(DaqBook_RAW_Data!Q831),IFERROR(TIMEVALUE(DaqBook_RAW_Data!A831),""))</f>
        <v/>
      </c>
      <c r="C841" s="153" t="str">
        <v/>
      </c>
      <c r="D841" s="153" t="str">
        <v/>
      </c>
      <c r="E841" s="153" t="str">
        <v/>
      </c>
      <c r="F841" s="153" t="str">
        <v/>
      </c>
      <c r="G841" s="153" t="str">
        <v/>
      </c>
      <c r="H841" s="153" t="str">
        <v/>
      </c>
      <c r="I841" s="153" t="str">
        <v/>
      </c>
      <c r="J841" s="153" t="str">
        <v/>
      </c>
      <c r="K841" s="153" t="str">
        <v/>
      </c>
      <c r="L841" s="153" t="str">
        <v/>
      </c>
      <c r="M841" s="153" t="str">
        <v/>
      </c>
      <c r="N841" s="153" t="str">
        <v/>
      </c>
      <c r="O841" s="153" t="str">
        <v/>
      </c>
      <c r="P841" s="153" t="str">
        <v/>
      </c>
    </row>
    <row r="842" spans="1:16" x14ac:dyDescent="0.2">
      <c r="A842" s="58" t="str">
        <v/>
      </c>
      <c r="B842" s="131" t="str">
        <f>IFERROR(TIMEVALUE(DaqBook_RAW_Data!Q832),IFERROR(TIMEVALUE(DaqBook_RAW_Data!A832),""))</f>
        <v/>
      </c>
      <c r="C842" s="153" t="str">
        <v/>
      </c>
      <c r="D842" s="153" t="str">
        <v/>
      </c>
      <c r="E842" s="153" t="str">
        <v/>
      </c>
      <c r="F842" s="153" t="str">
        <v/>
      </c>
      <c r="G842" s="153" t="str">
        <v/>
      </c>
      <c r="H842" s="153" t="str">
        <v/>
      </c>
      <c r="I842" s="153" t="str">
        <v/>
      </c>
      <c r="J842" s="153" t="str">
        <v/>
      </c>
      <c r="K842" s="153" t="str">
        <v/>
      </c>
      <c r="L842" s="153" t="str">
        <v/>
      </c>
      <c r="M842" s="153" t="str">
        <v/>
      </c>
      <c r="N842" s="153" t="str">
        <v/>
      </c>
      <c r="O842" s="153" t="str">
        <v/>
      </c>
      <c r="P842" s="153" t="str">
        <v/>
      </c>
    </row>
    <row r="843" spans="1:16" x14ac:dyDescent="0.2">
      <c r="A843" s="58" t="str">
        <v/>
      </c>
      <c r="B843" s="131" t="str">
        <f>IFERROR(TIMEVALUE(DaqBook_RAW_Data!Q833),IFERROR(TIMEVALUE(DaqBook_RAW_Data!A833),""))</f>
        <v/>
      </c>
      <c r="C843" s="153" t="str">
        <v/>
      </c>
      <c r="D843" s="153" t="str">
        <v/>
      </c>
      <c r="E843" s="153" t="str">
        <v/>
      </c>
      <c r="F843" s="153" t="str">
        <v/>
      </c>
      <c r="G843" s="153" t="str">
        <v/>
      </c>
      <c r="H843" s="153" t="str">
        <v/>
      </c>
      <c r="I843" s="153" t="str">
        <v/>
      </c>
      <c r="J843" s="153" t="str">
        <v/>
      </c>
      <c r="K843" s="153" t="str">
        <v/>
      </c>
      <c r="L843" s="153" t="str">
        <v/>
      </c>
      <c r="M843" s="153" t="str">
        <v/>
      </c>
      <c r="N843" s="153" t="str">
        <v/>
      </c>
      <c r="O843" s="153" t="str">
        <v/>
      </c>
      <c r="P843" s="153" t="str">
        <v/>
      </c>
    </row>
    <row r="844" spans="1:16" x14ac:dyDescent="0.2">
      <c r="A844" s="58" t="str">
        <v/>
      </c>
      <c r="B844" s="131" t="str">
        <f>IFERROR(TIMEVALUE(DaqBook_RAW_Data!Q834),IFERROR(TIMEVALUE(DaqBook_RAW_Data!A834),""))</f>
        <v/>
      </c>
      <c r="C844" s="153" t="str">
        <v/>
      </c>
      <c r="D844" s="153" t="str">
        <v/>
      </c>
      <c r="E844" s="153" t="str">
        <v/>
      </c>
      <c r="F844" s="153" t="str">
        <v/>
      </c>
      <c r="G844" s="153" t="str">
        <v/>
      </c>
      <c r="H844" s="153" t="str">
        <v/>
      </c>
      <c r="I844" s="153" t="str">
        <v/>
      </c>
      <c r="J844" s="153" t="str">
        <v/>
      </c>
      <c r="K844" s="153" t="str">
        <v/>
      </c>
      <c r="L844" s="153" t="str">
        <v/>
      </c>
      <c r="M844" s="153" t="str">
        <v/>
      </c>
      <c r="N844" s="153" t="str">
        <v/>
      </c>
      <c r="O844" s="153" t="str">
        <v/>
      </c>
      <c r="P844" s="153" t="str">
        <v/>
      </c>
    </row>
    <row r="845" spans="1:16" x14ac:dyDescent="0.2">
      <c r="A845" s="58" t="str">
        <v/>
      </c>
      <c r="B845" s="131" t="str">
        <f>IFERROR(TIMEVALUE(DaqBook_RAW_Data!Q835),IFERROR(TIMEVALUE(DaqBook_RAW_Data!A835),""))</f>
        <v/>
      </c>
      <c r="C845" s="153" t="str">
        <v/>
      </c>
      <c r="D845" s="153" t="str">
        <v/>
      </c>
      <c r="E845" s="153" t="str">
        <v/>
      </c>
      <c r="F845" s="153" t="str">
        <v/>
      </c>
      <c r="G845" s="153" t="str">
        <v/>
      </c>
      <c r="H845" s="153" t="str">
        <v/>
      </c>
      <c r="I845" s="153" t="str">
        <v/>
      </c>
      <c r="J845" s="153" t="str">
        <v/>
      </c>
      <c r="K845" s="153" t="str">
        <v/>
      </c>
      <c r="L845" s="153" t="str">
        <v/>
      </c>
      <c r="M845" s="153" t="str">
        <v/>
      </c>
      <c r="N845" s="153" t="str">
        <v/>
      </c>
      <c r="O845" s="153" t="str">
        <v/>
      </c>
      <c r="P845" s="153" t="str">
        <v/>
      </c>
    </row>
    <row r="846" spans="1:16" x14ac:dyDescent="0.2">
      <c r="A846" s="58" t="str">
        <v/>
      </c>
      <c r="B846" s="131" t="str">
        <f>IFERROR(TIMEVALUE(DaqBook_RAW_Data!Q836),IFERROR(TIMEVALUE(DaqBook_RAW_Data!A836),""))</f>
        <v/>
      </c>
      <c r="C846" s="153" t="str">
        <v/>
      </c>
      <c r="D846" s="153" t="str">
        <v/>
      </c>
      <c r="E846" s="153" t="str">
        <v/>
      </c>
      <c r="F846" s="153" t="str">
        <v/>
      </c>
      <c r="G846" s="153" t="str">
        <v/>
      </c>
      <c r="H846" s="153" t="str">
        <v/>
      </c>
      <c r="I846" s="153" t="str">
        <v/>
      </c>
      <c r="J846" s="153" t="str">
        <v/>
      </c>
      <c r="K846" s="153" t="str">
        <v/>
      </c>
      <c r="L846" s="153" t="str">
        <v/>
      </c>
      <c r="M846" s="153" t="str">
        <v/>
      </c>
      <c r="N846" s="153" t="str">
        <v/>
      </c>
      <c r="O846" s="153" t="str">
        <v/>
      </c>
      <c r="P846" s="153" t="str">
        <v/>
      </c>
    </row>
    <row r="847" spans="1:16" x14ac:dyDescent="0.2">
      <c r="A847" s="58" t="str">
        <v/>
      </c>
      <c r="B847" s="131" t="str">
        <f>IFERROR(TIMEVALUE(DaqBook_RAW_Data!Q837),IFERROR(TIMEVALUE(DaqBook_RAW_Data!A837),""))</f>
        <v/>
      </c>
      <c r="C847" s="153" t="str">
        <v/>
      </c>
      <c r="D847" s="153" t="str">
        <v/>
      </c>
      <c r="E847" s="153" t="str">
        <v/>
      </c>
      <c r="F847" s="153" t="str">
        <v/>
      </c>
      <c r="G847" s="153" t="str">
        <v/>
      </c>
      <c r="H847" s="153" t="str">
        <v/>
      </c>
      <c r="I847" s="153" t="str">
        <v/>
      </c>
      <c r="J847" s="153" t="str">
        <v/>
      </c>
      <c r="K847" s="153" t="str">
        <v/>
      </c>
      <c r="L847" s="153" t="str">
        <v/>
      </c>
      <c r="M847" s="153" t="str">
        <v/>
      </c>
      <c r="N847" s="153" t="str">
        <v/>
      </c>
      <c r="O847" s="153" t="str">
        <v/>
      </c>
      <c r="P847" s="153" t="str">
        <v/>
      </c>
    </row>
    <row r="848" spans="1:16" x14ac:dyDescent="0.2">
      <c r="A848" s="58" t="str">
        <v/>
      </c>
      <c r="B848" s="131" t="str">
        <f>IFERROR(TIMEVALUE(DaqBook_RAW_Data!Q838),IFERROR(TIMEVALUE(DaqBook_RAW_Data!A838),""))</f>
        <v/>
      </c>
      <c r="C848" s="153" t="str">
        <v/>
      </c>
      <c r="D848" s="153" t="str">
        <v/>
      </c>
      <c r="E848" s="153" t="str">
        <v/>
      </c>
      <c r="F848" s="153" t="str">
        <v/>
      </c>
      <c r="G848" s="153" t="str">
        <v/>
      </c>
      <c r="H848" s="153" t="str">
        <v/>
      </c>
      <c r="I848" s="153" t="str">
        <v/>
      </c>
      <c r="J848" s="153" t="str">
        <v/>
      </c>
      <c r="K848" s="153" t="str">
        <v/>
      </c>
      <c r="L848" s="153" t="str">
        <v/>
      </c>
      <c r="M848" s="153" t="str">
        <v/>
      </c>
      <c r="N848" s="153" t="str">
        <v/>
      </c>
      <c r="O848" s="153" t="str">
        <v/>
      </c>
      <c r="P848" s="153" t="str">
        <v/>
      </c>
    </row>
    <row r="849" spans="1:16" x14ac:dyDescent="0.2">
      <c r="A849" s="58" t="str">
        <v/>
      </c>
      <c r="B849" s="131" t="str">
        <f>IFERROR(TIMEVALUE(DaqBook_RAW_Data!Q839),IFERROR(TIMEVALUE(DaqBook_RAW_Data!A839),""))</f>
        <v/>
      </c>
      <c r="C849" s="153" t="str">
        <v/>
      </c>
      <c r="D849" s="153" t="str">
        <v/>
      </c>
      <c r="E849" s="153" t="str">
        <v/>
      </c>
      <c r="F849" s="153" t="str">
        <v/>
      </c>
      <c r="G849" s="153" t="str">
        <v/>
      </c>
      <c r="H849" s="153" t="str">
        <v/>
      </c>
      <c r="I849" s="153" t="str">
        <v/>
      </c>
      <c r="J849" s="153" t="str">
        <v/>
      </c>
      <c r="K849" s="153" t="str">
        <v/>
      </c>
      <c r="L849" s="153" t="str">
        <v/>
      </c>
      <c r="M849" s="153" t="str">
        <v/>
      </c>
      <c r="N849" s="153" t="str">
        <v/>
      </c>
      <c r="O849" s="153" t="str">
        <v/>
      </c>
      <c r="P849" s="153" t="str">
        <v/>
      </c>
    </row>
    <row r="850" spans="1:16" x14ac:dyDescent="0.2">
      <c r="A850" s="58" t="str">
        <v/>
      </c>
      <c r="B850" s="131" t="str">
        <f>IFERROR(TIMEVALUE(DaqBook_RAW_Data!Q840),IFERROR(TIMEVALUE(DaqBook_RAW_Data!A840),""))</f>
        <v/>
      </c>
      <c r="C850" s="153" t="str">
        <v/>
      </c>
      <c r="D850" s="153" t="str">
        <v/>
      </c>
      <c r="E850" s="153" t="str">
        <v/>
      </c>
      <c r="F850" s="153" t="str">
        <v/>
      </c>
      <c r="G850" s="153" t="str">
        <v/>
      </c>
      <c r="H850" s="153" t="str">
        <v/>
      </c>
      <c r="I850" s="153" t="str">
        <v/>
      </c>
      <c r="J850" s="153" t="str">
        <v/>
      </c>
      <c r="K850" s="153" t="str">
        <v/>
      </c>
      <c r="L850" s="153" t="str">
        <v/>
      </c>
      <c r="M850" s="153" t="str">
        <v/>
      </c>
      <c r="N850" s="153" t="str">
        <v/>
      </c>
      <c r="O850" s="153" t="str">
        <v/>
      </c>
      <c r="P850" s="153" t="str">
        <v/>
      </c>
    </row>
    <row r="851" spans="1:16" x14ac:dyDescent="0.2">
      <c r="A851" s="58" t="str">
        <v/>
      </c>
      <c r="B851" s="131" t="str">
        <f>IFERROR(TIMEVALUE(DaqBook_RAW_Data!Q841),IFERROR(TIMEVALUE(DaqBook_RAW_Data!A841),""))</f>
        <v/>
      </c>
      <c r="C851" s="153" t="str">
        <v/>
      </c>
      <c r="D851" s="153" t="str">
        <v/>
      </c>
      <c r="E851" s="153" t="str">
        <v/>
      </c>
      <c r="F851" s="153" t="str">
        <v/>
      </c>
      <c r="G851" s="153" t="str">
        <v/>
      </c>
      <c r="H851" s="153" t="str">
        <v/>
      </c>
      <c r="I851" s="153" t="str">
        <v/>
      </c>
      <c r="J851" s="153" t="str">
        <v/>
      </c>
      <c r="K851" s="153" t="str">
        <v/>
      </c>
      <c r="L851" s="153" t="str">
        <v/>
      </c>
      <c r="M851" s="153" t="str">
        <v/>
      </c>
      <c r="N851" s="153" t="str">
        <v/>
      </c>
      <c r="O851" s="153" t="str">
        <v/>
      </c>
      <c r="P851" s="153" t="str">
        <v/>
      </c>
    </row>
    <row r="852" spans="1:16" x14ac:dyDescent="0.2">
      <c r="A852" s="58" t="str">
        <v/>
      </c>
      <c r="B852" s="131" t="str">
        <f>IFERROR(TIMEVALUE(DaqBook_RAW_Data!Q842),IFERROR(TIMEVALUE(DaqBook_RAW_Data!A842),""))</f>
        <v/>
      </c>
      <c r="C852" s="153" t="str">
        <v/>
      </c>
      <c r="D852" s="153" t="str">
        <v/>
      </c>
      <c r="E852" s="153" t="str">
        <v/>
      </c>
      <c r="F852" s="153" t="str">
        <v/>
      </c>
      <c r="G852" s="153" t="str">
        <v/>
      </c>
      <c r="H852" s="153" t="str">
        <v/>
      </c>
      <c r="I852" s="153" t="str">
        <v/>
      </c>
      <c r="J852" s="153" t="str">
        <v/>
      </c>
      <c r="K852" s="153" t="str">
        <v/>
      </c>
      <c r="L852" s="153" t="str">
        <v/>
      </c>
      <c r="M852" s="153" t="str">
        <v/>
      </c>
      <c r="N852" s="153" t="str">
        <v/>
      </c>
      <c r="O852" s="153" t="str">
        <v/>
      </c>
      <c r="P852" s="153" t="str">
        <v/>
      </c>
    </row>
    <row r="853" spans="1:16" x14ac:dyDescent="0.2">
      <c r="A853" s="58" t="str">
        <v/>
      </c>
      <c r="B853" s="131" t="str">
        <f>IFERROR(TIMEVALUE(DaqBook_RAW_Data!Q843),IFERROR(TIMEVALUE(DaqBook_RAW_Data!A843),""))</f>
        <v/>
      </c>
      <c r="C853" s="153" t="str">
        <v/>
      </c>
      <c r="D853" s="153" t="str">
        <v/>
      </c>
      <c r="E853" s="153" t="str">
        <v/>
      </c>
      <c r="F853" s="153" t="str">
        <v/>
      </c>
      <c r="G853" s="153" t="str">
        <v/>
      </c>
      <c r="H853" s="153" t="str">
        <v/>
      </c>
      <c r="I853" s="153" t="str">
        <v/>
      </c>
      <c r="J853" s="153" t="str">
        <v/>
      </c>
      <c r="K853" s="153" t="str">
        <v/>
      </c>
      <c r="L853" s="153" t="str">
        <v/>
      </c>
      <c r="M853" s="153" t="str">
        <v/>
      </c>
      <c r="N853" s="153" t="str">
        <v/>
      </c>
      <c r="O853" s="153" t="str">
        <v/>
      </c>
      <c r="P853" s="153" t="str">
        <v/>
      </c>
    </row>
    <row r="854" spans="1:16" x14ac:dyDescent="0.2">
      <c r="A854" s="58" t="str">
        <v/>
      </c>
      <c r="B854" s="131" t="str">
        <f>IFERROR(TIMEVALUE(DaqBook_RAW_Data!Q844),IFERROR(TIMEVALUE(DaqBook_RAW_Data!A844),""))</f>
        <v/>
      </c>
      <c r="C854" s="153" t="str">
        <v/>
      </c>
      <c r="D854" s="153" t="str">
        <v/>
      </c>
      <c r="E854" s="153" t="str">
        <v/>
      </c>
      <c r="F854" s="153" t="str">
        <v/>
      </c>
      <c r="G854" s="153" t="str">
        <v/>
      </c>
      <c r="H854" s="153" t="str">
        <v/>
      </c>
      <c r="I854" s="153" t="str">
        <v/>
      </c>
      <c r="J854" s="153" t="str">
        <v/>
      </c>
      <c r="K854" s="153" t="str">
        <v/>
      </c>
      <c r="L854" s="153" t="str">
        <v/>
      </c>
      <c r="M854" s="153" t="str">
        <v/>
      </c>
      <c r="N854" s="153" t="str">
        <v/>
      </c>
      <c r="O854" s="153" t="str">
        <v/>
      </c>
      <c r="P854" s="153" t="str">
        <v/>
      </c>
    </row>
    <row r="855" spans="1:16" x14ac:dyDescent="0.2">
      <c r="A855" s="58" t="str">
        <v/>
      </c>
      <c r="B855" s="131" t="str">
        <f>IFERROR(TIMEVALUE(DaqBook_RAW_Data!Q845),IFERROR(TIMEVALUE(DaqBook_RAW_Data!A845),""))</f>
        <v/>
      </c>
      <c r="C855" s="153" t="str">
        <v/>
      </c>
      <c r="D855" s="153" t="str">
        <v/>
      </c>
      <c r="E855" s="153" t="str">
        <v/>
      </c>
      <c r="F855" s="153" t="str">
        <v/>
      </c>
      <c r="G855" s="153" t="str">
        <v/>
      </c>
      <c r="H855" s="153" t="str">
        <v/>
      </c>
      <c r="I855" s="153" t="str">
        <v/>
      </c>
      <c r="J855" s="153" t="str">
        <v/>
      </c>
      <c r="K855" s="153" t="str">
        <v/>
      </c>
      <c r="L855" s="153" t="str">
        <v/>
      </c>
      <c r="M855" s="153" t="str">
        <v/>
      </c>
      <c r="N855" s="153" t="str">
        <v/>
      </c>
      <c r="O855" s="153" t="str">
        <v/>
      </c>
      <c r="P855" s="153" t="str">
        <v/>
      </c>
    </row>
    <row r="856" spans="1:16" x14ac:dyDescent="0.2">
      <c r="A856" s="58" t="str">
        <v/>
      </c>
      <c r="B856" s="131" t="str">
        <f>IFERROR(TIMEVALUE(DaqBook_RAW_Data!Q846),IFERROR(TIMEVALUE(DaqBook_RAW_Data!A846),""))</f>
        <v/>
      </c>
      <c r="C856" s="153" t="str">
        <v/>
      </c>
      <c r="D856" s="153" t="str">
        <v/>
      </c>
      <c r="E856" s="153" t="str">
        <v/>
      </c>
      <c r="F856" s="153" t="str">
        <v/>
      </c>
      <c r="G856" s="153" t="str">
        <v/>
      </c>
      <c r="H856" s="153" t="str">
        <v/>
      </c>
      <c r="I856" s="153" t="str">
        <v/>
      </c>
      <c r="J856" s="153" t="str">
        <v/>
      </c>
      <c r="K856" s="153" t="str">
        <v/>
      </c>
      <c r="L856" s="153" t="str">
        <v/>
      </c>
      <c r="M856" s="153" t="str">
        <v/>
      </c>
      <c r="N856" s="153" t="str">
        <v/>
      </c>
      <c r="O856" s="153" t="str">
        <v/>
      </c>
      <c r="P856" s="153" t="str">
        <v/>
      </c>
    </row>
    <row r="857" spans="1:16" x14ac:dyDescent="0.2">
      <c r="A857" s="58" t="str">
        <v/>
      </c>
      <c r="B857" s="131" t="str">
        <f>IFERROR(TIMEVALUE(DaqBook_RAW_Data!Q847),IFERROR(TIMEVALUE(DaqBook_RAW_Data!A847),""))</f>
        <v/>
      </c>
      <c r="C857" s="153" t="str">
        <v/>
      </c>
      <c r="D857" s="153" t="str">
        <v/>
      </c>
      <c r="E857" s="153" t="str">
        <v/>
      </c>
      <c r="F857" s="153" t="str">
        <v/>
      </c>
      <c r="G857" s="153" t="str">
        <v/>
      </c>
      <c r="H857" s="153" t="str">
        <v/>
      </c>
      <c r="I857" s="153" t="str">
        <v/>
      </c>
      <c r="J857" s="153" t="str">
        <v/>
      </c>
      <c r="K857" s="153" t="str">
        <v/>
      </c>
      <c r="L857" s="153" t="str">
        <v/>
      </c>
      <c r="M857" s="153" t="str">
        <v/>
      </c>
      <c r="N857" s="153" t="str">
        <v/>
      </c>
      <c r="O857" s="153" t="str">
        <v/>
      </c>
      <c r="P857" s="153" t="str">
        <v/>
      </c>
    </row>
    <row r="858" spans="1:16" x14ac:dyDescent="0.2">
      <c r="A858" s="58" t="str">
        <v/>
      </c>
      <c r="B858" s="131" t="str">
        <f>IFERROR(TIMEVALUE(DaqBook_RAW_Data!Q848),IFERROR(TIMEVALUE(DaqBook_RAW_Data!A848),""))</f>
        <v/>
      </c>
      <c r="C858" s="153" t="str">
        <v/>
      </c>
      <c r="D858" s="153" t="str">
        <v/>
      </c>
      <c r="E858" s="153" t="str">
        <v/>
      </c>
      <c r="F858" s="153" t="str">
        <v/>
      </c>
      <c r="G858" s="153" t="str">
        <v/>
      </c>
      <c r="H858" s="153" t="str">
        <v/>
      </c>
      <c r="I858" s="153" t="str">
        <v/>
      </c>
      <c r="J858" s="153" t="str">
        <v/>
      </c>
      <c r="K858" s="153" t="str">
        <v/>
      </c>
      <c r="L858" s="153" t="str">
        <v/>
      </c>
      <c r="M858" s="153" t="str">
        <v/>
      </c>
      <c r="N858" s="153" t="str">
        <v/>
      </c>
      <c r="O858" s="153" t="str">
        <v/>
      </c>
      <c r="P858" s="153" t="str">
        <v/>
      </c>
    </row>
    <row r="859" spans="1:16" x14ac:dyDescent="0.2">
      <c r="A859" s="58" t="str">
        <v/>
      </c>
      <c r="B859" s="131" t="str">
        <f>IFERROR(TIMEVALUE(DaqBook_RAW_Data!Q849),IFERROR(TIMEVALUE(DaqBook_RAW_Data!A849),""))</f>
        <v/>
      </c>
      <c r="C859" s="153" t="str">
        <v/>
      </c>
      <c r="D859" s="153" t="str">
        <v/>
      </c>
      <c r="E859" s="153" t="str">
        <v/>
      </c>
      <c r="F859" s="153" t="str">
        <v/>
      </c>
      <c r="G859" s="153" t="str">
        <v/>
      </c>
      <c r="H859" s="153" t="str">
        <v/>
      </c>
      <c r="I859" s="153" t="str">
        <v/>
      </c>
      <c r="J859" s="153" t="str">
        <v/>
      </c>
      <c r="K859" s="153" t="str">
        <v/>
      </c>
      <c r="L859" s="153" t="str">
        <v/>
      </c>
      <c r="M859" s="153" t="str">
        <v/>
      </c>
      <c r="N859" s="153" t="str">
        <v/>
      </c>
      <c r="O859" s="153" t="str">
        <v/>
      </c>
      <c r="P859" s="153" t="str">
        <v/>
      </c>
    </row>
    <row r="860" spans="1:16" x14ac:dyDescent="0.2">
      <c r="A860" s="58" t="str">
        <v/>
      </c>
      <c r="B860" s="131" t="str">
        <f>IFERROR(TIMEVALUE(DaqBook_RAW_Data!Q850),IFERROR(TIMEVALUE(DaqBook_RAW_Data!A850),""))</f>
        <v/>
      </c>
      <c r="C860" s="153" t="str">
        <v/>
      </c>
      <c r="D860" s="153" t="str">
        <v/>
      </c>
      <c r="E860" s="153" t="str">
        <v/>
      </c>
      <c r="F860" s="153" t="str">
        <v/>
      </c>
      <c r="G860" s="153" t="str">
        <v/>
      </c>
      <c r="H860" s="153" t="str">
        <v/>
      </c>
      <c r="I860" s="153" t="str">
        <v/>
      </c>
      <c r="J860" s="153" t="str">
        <v/>
      </c>
      <c r="K860" s="153" t="str">
        <v/>
      </c>
      <c r="L860" s="153" t="str">
        <v/>
      </c>
      <c r="M860" s="153" t="str">
        <v/>
      </c>
      <c r="N860" s="153" t="str">
        <v/>
      </c>
      <c r="O860" s="153" t="str">
        <v/>
      </c>
      <c r="P860" s="153" t="str">
        <v/>
      </c>
    </row>
    <row r="861" spans="1:16" x14ac:dyDescent="0.2">
      <c r="A861" s="58" t="str">
        <v/>
      </c>
      <c r="B861" s="131" t="str">
        <f>IFERROR(TIMEVALUE(DaqBook_RAW_Data!Q851),IFERROR(TIMEVALUE(DaqBook_RAW_Data!A851),""))</f>
        <v/>
      </c>
      <c r="C861" s="153" t="str">
        <v/>
      </c>
      <c r="D861" s="153" t="str">
        <v/>
      </c>
      <c r="E861" s="153" t="str">
        <v/>
      </c>
      <c r="F861" s="153" t="str">
        <v/>
      </c>
      <c r="G861" s="153" t="str">
        <v/>
      </c>
      <c r="H861" s="153" t="str">
        <v/>
      </c>
      <c r="I861" s="153" t="str">
        <v/>
      </c>
      <c r="J861" s="153" t="str">
        <v/>
      </c>
      <c r="K861" s="153" t="str">
        <v/>
      </c>
      <c r="L861" s="153" t="str">
        <v/>
      </c>
      <c r="M861" s="153" t="str">
        <v/>
      </c>
      <c r="N861" s="153" t="str">
        <v/>
      </c>
      <c r="O861" s="153" t="str">
        <v/>
      </c>
      <c r="P861" s="153" t="str">
        <v/>
      </c>
    </row>
    <row r="862" spans="1:16" x14ac:dyDescent="0.2">
      <c r="A862" s="58" t="str">
        <v/>
      </c>
      <c r="B862" s="131" t="str">
        <f>IFERROR(TIMEVALUE(DaqBook_RAW_Data!Q852),IFERROR(TIMEVALUE(DaqBook_RAW_Data!A852),""))</f>
        <v/>
      </c>
      <c r="C862" s="153" t="str">
        <v/>
      </c>
      <c r="D862" s="153" t="str">
        <v/>
      </c>
      <c r="E862" s="153" t="str">
        <v/>
      </c>
      <c r="F862" s="153" t="str">
        <v/>
      </c>
      <c r="G862" s="153" t="str">
        <v/>
      </c>
      <c r="H862" s="153" t="str">
        <v/>
      </c>
      <c r="I862" s="153" t="str">
        <v/>
      </c>
      <c r="J862" s="153" t="str">
        <v/>
      </c>
      <c r="K862" s="153" t="str">
        <v/>
      </c>
      <c r="L862" s="153" t="str">
        <v/>
      </c>
      <c r="M862" s="153" t="str">
        <v/>
      </c>
      <c r="N862" s="153" t="str">
        <v/>
      </c>
      <c r="O862" s="153" t="str">
        <v/>
      </c>
      <c r="P862" s="153" t="str">
        <v/>
      </c>
    </row>
    <row r="863" spans="1:16" x14ac:dyDescent="0.2">
      <c r="A863" s="58" t="str">
        <v/>
      </c>
      <c r="B863" s="131" t="str">
        <f>IFERROR(TIMEVALUE(DaqBook_RAW_Data!Q853),IFERROR(TIMEVALUE(DaqBook_RAW_Data!A853),""))</f>
        <v/>
      </c>
      <c r="C863" s="153" t="str">
        <v/>
      </c>
      <c r="D863" s="153" t="str">
        <v/>
      </c>
      <c r="E863" s="153" t="str">
        <v/>
      </c>
      <c r="F863" s="153" t="str">
        <v/>
      </c>
      <c r="G863" s="153" t="str">
        <v/>
      </c>
      <c r="H863" s="153" t="str">
        <v/>
      </c>
      <c r="I863" s="153" t="str">
        <v/>
      </c>
      <c r="J863" s="153" t="str">
        <v/>
      </c>
      <c r="K863" s="153" t="str">
        <v/>
      </c>
      <c r="L863" s="153" t="str">
        <v/>
      </c>
      <c r="M863" s="153" t="str">
        <v/>
      </c>
      <c r="N863" s="153" t="str">
        <v/>
      </c>
      <c r="O863" s="153" t="str">
        <v/>
      </c>
      <c r="P863" s="153" t="str">
        <v/>
      </c>
    </row>
    <row r="864" spans="1:16" x14ac:dyDescent="0.2">
      <c r="A864" s="58" t="str">
        <v/>
      </c>
      <c r="B864" s="131" t="str">
        <f>IFERROR(TIMEVALUE(DaqBook_RAW_Data!Q854),IFERROR(TIMEVALUE(DaqBook_RAW_Data!A854),""))</f>
        <v/>
      </c>
      <c r="C864" s="153" t="str">
        <v/>
      </c>
      <c r="D864" s="153" t="str">
        <v/>
      </c>
      <c r="E864" s="153" t="str">
        <v/>
      </c>
      <c r="F864" s="153" t="str">
        <v/>
      </c>
      <c r="G864" s="153" t="str">
        <v/>
      </c>
      <c r="H864" s="153" t="str">
        <v/>
      </c>
      <c r="I864" s="153" t="str">
        <v/>
      </c>
      <c r="J864" s="153" t="str">
        <v/>
      </c>
      <c r="K864" s="153" t="str">
        <v/>
      </c>
      <c r="L864" s="153" t="str">
        <v/>
      </c>
      <c r="M864" s="153" t="str">
        <v/>
      </c>
      <c r="N864" s="153" t="str">
        <v/>
      </c>
      <c r="O864" s="153" t="str">
        <v/>
      </c>
      <c r="P864" s="153" t="str">
        <v/>
      </c>
    </row>
    <row r="865" spans="1:16" x14ac:dyDescent="0.2">
      <c r="A865" s="58" t="str">
        <v/>
      </c>
      <c r="B865" s="131" t="str">
        <f>IFERROR(TIMEVALUE(DaqBook_RAW_Data!Q855),IFERROR(TIMEVALUE(DaqBook_RAW_Data!A855),""))</f>
        <v/>
      </c>
      <c r="C865" s="153" t="str">
        <v/>
      </c>
      <c r="D865" s="153" t="str">
        <v/>
      </c>
      <c r="E865" s="153" t="str">
        <v/>
      </c>
      <c r="F865" s="153" t="str">
        <v/>
      </c>
      <c r="G865" s="153" t="str">
        <v/>
      </c>
      <c r="H865" s="153" t="str">
        <v/>
      </c>
      <c r="I865" s="153" t="str">
        <v/>
      </c>
      <c r="J865" s="153" t="str">
        <v/>
      </c>
      <c r="K865" s="153" t="str">
        <v/>
      </c>
      <c r="L865" s="153" t="str">
        <v/>
      </c>
      <c r="M865" s="153" t="str">
        <v/>
      </c>
      <c r="N865" s="153" t="str">
        <v/>
      </c>
      <c r="O865" s="153" t="str">
        <v/>
      </c>
      <c r="P865" s="153" t="str">
        <v/>
      </c>
    </row>
    <row r="866" spans="1:16" x14ac:dyDescent="0.2">
      <c r="A866" s="58" t="str">
        <v/>
      </c>
      <c r="B866" s="131" t="str">
        <f>IFERROR(TIMEVALUE(DaqBook_RAW_Data!Q856),IFERROR(TIMEVALUE(DaqBook_RAW_Data!A856),""))</f>
        <v/>
      </c>
      <c r="C866" s="153" t="str">
        <v/>
      </c>
      <c r="D866" s="153" t="str">
        <v/>
      </c>
      <c r="E866" s="153" t="str">
        <v/>
      </c>
      <c r="F866" s="153" t="str">
        <v/>
      </c>
      <c r="G866" s="153" t="str">
        <v/>
      </c>
      <c r="H866" s="153" t="str">
        <v/>
      </c>
      <c r="I866" s="153" t="str">
        <v/>
      </c>
      <c r="J866" s="153" t="str">
        <v/>
      </c>
      <c r="K866" s="153" t="str">
        <v/>
      </c>
      <c r="L866" s="153" t="str">
        <v/>
      </c>
      <c r="M866" s="153" t="str">
        <v/>
      </c>
      <c r="N866" s="153" t="str">
        <v/>
      </c>
      <c r="O866" s="153" t="str">
        <v/>
      </c>
      <c r="P866" s="153" t="str">
        <v/>
      </c>
    </row>
    <row r="867" spans="1:16" x14ac:dyDescent="0.2">
      <c r="A867" s="58" t="str">
        <v/>
      </c>
      <c r="B867" s="131" t="str">
        <f>IFERROR(TIMEVALUE(DaqBook_RAW_Data!Q857),IFERROR(TIMEVALUE(DaqBook_RAW_Data!A857),""))</f>
        <v/>
      </c>
      <c r="C867" s="153" t="str">
        <v/>
      </c>
      <c r="D867" s="153" t="str">
        <v/>
      </c>
      <c r="E867" s="153" t="str">
        <v/>
      </c>
      <c r="F867" s="153" t="str">
        <v/>
      </c>
      <c r="G867" s="153" t="str">
        <v/>
      </c>
      <c r="H867" s="153" t="str">
        <v/>
      </c>
      <c r="I867" s="153" t="str">
        <v/>
      </c>
      <c r="J867" s="153" t="str">
        <v/>
      </c>
      <c r="K867" s="153" t="str">
        <v/>
      </c>
      <c r="L867" s="153" t="str">
        <v/>
      </c>
      <c r="M867" s="153" t="str">
        <v/>
      </c>
      <c r="N867" s="153" t="str">
        <v/>
      </c>
      <c r="O867" s="153" t="str">
        <v/>
      </c>
      <c r="P867" s="153" t="str">
        <v/>
      </c>
    </row>
    <row r="868" spans="1:16" x14ac:dyDescent="0.2">
      <c r="A868" s="58" t="str">
        <v/>
      </c>
      <c r="B868" s="131" t="str">
        <f>IFERROR(TIMEVALUE(DaqBook_RAW_Data!Q858),IFERROR(TIMEVALUE(DaqBook_RAW_Data!A858),""))</f>
        <v/>
      </c>
      <c r="C868" s="153" t="str">
        <v/>
      </c>
      <c r="D868" s="153" t="str">
        <v/>
      </c>
      <c r="E868" s="153" t="str">
        <v/>
      </c>
      <c r="F868" s="153" t="str">
        <v/>
      </c>
      <c r="G868" s="153" t="str">
        <v/>
      </c>
      <c r="H868" s="153" t="str">
        <v/>
      </c>
      <c r="I868" s="153" t="str">
        <v/>
      </c>
      <c r="J868" s="153" t="str">
        <v/>
      </c>
      <c r="K868" s="153" t="str">
        <v/>
      </c>
      <c r="L868" s="153" t="str">
        <v/>
      </c>
      <c r="M868" s="153" t="str">
        <v/>
      </c>
      <c r="N868" s="153" t="str">
        <v/>
      </c>
      <c r="O868" s="153" t="str">
        <v/>
      </c>
      <c r="P868" s="153" t="str">
        <v/>
      </c>
    </row>
    <row r="869" spans="1:16" x14ac:dyDescent="0.2">
      <c r="A869" s="58" t="str">
        <v/>
      </c>
      <c r="B869" s="131" t="str">
        <f>IFERROR(TIMEVALUE(DaqBook_RAW_Data!Q859),IFERROR(TIMEVALUE(DaqBook_RAW_Data!A859),""))</f>
        <v/>
      </c>
      <c r="C869" s="153" t="str">
        <v/>
      </c>
      <c r="D869" s="153" t="str">
        <v/>
      </c>
      <c r="E869" s="153" t="str">
        <v/>
      </c>
      <c r="F869" s="153" t="str">
        <v/>
      </c>
      <c r="G869" s="153" t="str">
        <v/>
      </c>
      <c r="H869" s="153" t="str">
        <v/>
      </c>
      <c r="I869" s="153" t="str">
        <v/>
      </c>
      <c r="J869" s="153" t="str">
        <v/>
      </c>
      <c r="K869" s="153" t="str">
        <v/>
      </c>
      <c r="L869" s="153" t="str">
        <v/>
      </c>
      <c r="M869" s="153" t="str">
        <v/>
      </c>
      <c r="N869" s="153" t="str">
        <v/>
      </c>
      <c r="O869" s="153" t="str">
        <v/>
      </c>
      <c r="P869" s="153" t="str">
        <v/>
      </c>
    </row>
    <row r="870" spans="1:16" x14ac:dyDescent="0.2">
      <c r="A870" s="58" t="str">
        <v/>
      </c>
      <c r="B870" s="131" t="str">
        <f>IFERROR(TIMEVALUE(DaqBook_RAW_Data!Q860),IFERROR(TIMEVALUE(DaqBook_RAW_Data!A860),""))</f>
        <v/>
      </c>
      <c r="C870" s="153" t="str">
        <v/>
      </c>
      <c r="D870" s="153" t="str">
        <v/>
      </c>
      <c r="E870" s="153" t="str">
        <v/>
      </c>
      <c r="F870" s="153" t="str">
        <v/>
      </c>
      <c r="G870" s="153" t="str">
        <v/>
      </c>
      <c r="H870" s="153" t="str">
        <v/>
      </c>
      <c r="I870" s="153" t="str">
        <v/>
      </c>
      <c r="J870" s="153" t="str">
        <v/>
      </c>
      <c r="K870" s="153" t="str">
        <v/>
      </c>
      <c r="L870" s="153" t="str">
        <v/>
      </c>
      <c r="M870" s="153" t="str">
        <v/>
      </c>
      <c r="N870" s="153" t="str">
        <v/>
      </c>
      <c r="O870" s="153" t="str">
        <v/>
      </c>
      <c r="P870" s="153" t="str">
        <v/>
      </c>
    </row>
    <row r="871" spans="1:16" x14ac:dyDescent="0.2">
      <c r="A871" s="58" t="str">
        <v/>
      </c>
      <c r="B871" s="131" t="str">
        <f>IFERROR(TIMEVALUE(DaqBook_RAW_Data!Q861),IFERROR(TIMEVALUE(DaqBook_RAW_Data!A861),""))</f>
        <v/>
      </c>
      <c r="C871" s="153" t="str">
        <v/>
      </c>
      <c r="D871" s="153" t="str">
        <v/>
      </c>
      <c r="E871" s="153" t="str">
        <v/>
      </c>
      <c r="F871" s="153" t="str">
        <v/>
      </c>
      <c r="G871" s="153" t="str">
        <v/>
      </c>
      <c r="H871" s="153" t="str">
        <v/>
      </c>
      <c r="I871" s="153" t="str">
        <v/>
      </c>
      <c r="J871" s="153" t="str">
        <v/>
      </c>
      <c r="K871" s="153" t="str">
        <v/>
      </c>
      <c r="L871" s="153" t="str">
        <v/>
      </c>
      <c r="M871" s="153" t="str">
        <v/>
      </c>
      <c r="N871" s="153" t="str">
        <v/>
      </c>
      <c r="O871" s="153" t="str">
        <v/>
      </c>
      <c r="P871" s="153" t="str">
        <v/>
      </c>
    </row>
    <row r="872" spans="1:16" x14ac:dyDescent="0.2">
      <c r="A872" s="58" t="str">
        <v/>
      </c>
      <c r="B872" s="131" t="str">
        <f>IFERROR(TIMEVALUE(DaqBook_RAW_Data!Q862),IFERROR(TIMEVALUE(DaqBook_RAW_Data!A862),""))</f>
        <v/>
      </c>
      <c r="C872" s="153" t="str">
        <v/>
      </c>
      <c r="D872" s="153" t="str">
        <v/>
      </c>
      <c r="E872" s="153" t="str">
        <v/>
      </c>
      <c r="F872" s="153" t="str">
        <v/>
      </c>
      <c r="G872" s="153" t="str">
        <v/>
      </c>
      <c r="H872" s="153" t="str">
        <v/>
      </c>
      <c r="I872" s="153" t="str">
        <v/>
      </c>
      <c r="J872" s="153" t="str">
        <v/>
      </c>
      <c r="K872" s="153" t="str">
        <v/>
      </c>
      <c r="L872" s="153" t="str">
        <v/>
      </c>
      <c r="M872" s="153" t="str">
        <v/>
      </c>
      <c r="N872" s="153" t="str">
        <v/>
      </c>
      <c r="O872" s="153" t="str">
        <v/>
      </c>
      <c r="P872" s="153" t="str">
        <v/>
      </c>
    </row>
    <row r="873" spans="1:16" x14ac:dyDescent="0.2">
      <c r="A873" s="58" t="str">
        <v/>
      </c>
      <c r="B873" s="131" t="str">
        <f>IFERROR(TIMEVALUE(DaqBook_RAW_Data!Q863),IFERROR(TIMEVALUE(DaqBook_RAW_Data!A863),""))</f>
        <v/>
      </c>
      <c r="C873" s="153" t="str">
        <v/>
      </c>
      <c r="D873" s="153" t="str">
        <v/>
      </c>
      <c r="E873" s="153" t="str">
        <v/>
      </c>
      <c r="F873" s="153" t="str">
        <v/>
      </c>
      <c r="G873" s="153" t="str">
        <v/>
      </c>
      <c r="H873" s="153" t="str">
        <v/>
      </c>
      <c r="I873" s="153" t="str">
        <v/>
      </c>
      <c r="J873" s="153" t="str">
        <v/>
      </c>
      <c r="K873" s="153" t="str">
        <v/>
      </c>
      <c r="L873" s="153" t="str">
        <v/>
      </c>
      <c r="M873" s="153" t="str">
        <v/>
      </c>
      <c r="N873" s="153" t="str">
        <v/>
      </c>
      <c r="O873" s="153" t="str">
        <v/>
      </c>
      <c r="P873" s="153" t="str">
        <v/>
      </c>
    </row>
    <row r="874" spans="1:16" x14ac:dyDescent="0.2">
      <c r="A874" s="58" t="str">
        <v/>
      </c>
      <c r="B874" s="131" t="str">
        <f>IFERROR(TIMEVALUE(DaqBook_RAW_Data!Q864),IFERROR(TIMEVALUE(DaqBook_RAW_Data!A864),""))</f>
        <v/>
      </c>
      <c r="C874" s="153" t="str">
        <v/>
      </c>
      <c r="D874" s="153" t="str">
        <v/>
      </c>
      <c r="E874" s="153" t="str">
        <v/>
      </c>
      <c r="F874" s="153" t="str">
        <v/>
      </c>
      <c r="G874" s="153" t="str">
        <v/>
      </c>
      <c r="H874" s="153" t="str">
        <v/>
      </c>
      <c r="I874" s="153" t="str">
        <v/>
      </c>
      <c r="J874" s="153" t="str">
        <v/>
      </c>
      <c r="K874" s="153" t="str">
        <v/>
      </c>
      <c r="L874" s="153" t="str">
        <v/>
      </c>
      <c r="M874" s="153" t="str">
        <v/>
      </c>
      <c r="N874" s="153" t="str">
        <v/>
      </c>
      <c r="O874" s="153" t="str">
        <v/>
      </c>
      <c r="P874" s="153" t="str">
        <v/>
      </c>
    </row>
    <row r="875" spans="1:16" x14ac:dyDescent="0.2">
      <c r="A875" s="58" t="str">
        <v/>
      </c>
      <c r="B875" s="131" t="str">
        <f>IFERROR(TIMEVALUE(DaqBook_RAW_Data!Q865),IFERROR(TIMEVALUE(DaqBook_RAW_Data!A865),""))</f>
        <v/>
      </c>
      <c r="C875" s="153" t="str">
        <v/>
      </c>
      <c r="D875" s="153" t="str">
        <v/>
      </c>
      <c r="E875" s="153" t="str">
        <v/>
      </c>
      <c r="F875" s="153" t="str">
        <v/>
      </c>
      <c r="G875" s="153" t="str">
        <v/>
      </c>
      <c r="H875" s="153" t="str">
        <v/>
      </c>
      <c r="I875" s="153" t="str">
        <v/>
      </c>
      <c r="J875" s="153" t="str">
        <v/>
      </c>
      <c r="K875" s="153" t="str">
        <v/>
      </c>
      <c r="L875" s="153" t="str">
        <v/>
      </c>
      <c r="M875" s="153" t="str">
        <v/>
      </c>
      <c r="N875" s="153" t="str">
        <v/>
      </c>
      <c r="O875" s="153" t="str">
        <v/>
      </c>
      <c r="P875" s="153" t="str">
        <v/>
      </c>
    </row>
    <row r="876" spans="1:16" x14ac:dyDescent="0.2">
      <c r="A876" s="58" t="str">
        <v/>
      </c>
      <c r="B876" s="131" t="str">
        <f>IFERROR(TIMEVALUE(DaqBook_RAW_Data!Q866),IFERROR(TIMEVALUE(DaqBook_RAW_Data!A866),""))</f>
        <v/>
      </c>
      <c r="C876" s="153" t="str">
        <v/>
      </c>
      <c r="D876" s="153" t="str">
        <v/>
      </c>
      <c r="E876" s="153" t="str">
        <v/>
      </c>
      <c r="F876" s="153" t="str">
        <v/>
      </c>
      <c r="G876" s="153" t="str">
        <v/>
      </c>
      <c r="H876" s="153" t="str">
        <v/>
      </c>
      <c r="I876" s="153" t="str">
        <v/>
      </c>
      <c r="J876" s="153" t="str">
        <v/>
      </c>
      <c r="K876" s="153" t="str">
        <v/>
      </c>
      <c r="L876" s="153" t="str">
        <v/>
      </c>
      <c r="M876" s="153" t="str">
        <v/>
      </c>
      <c r="N876" s="153" t="str">
        <v/>
      </c>
      <c r="O876" s="153" t="str">
        <v/>
      </c>
      <c r="P876" s="153" t="str">
        <v/>
      </c>
    </row>
    <row r="877" spans="1:16" x14ac:dyDescent="0.2">
      <c r="A877" s="58" t="str">
        <v/>
      </c>
      <c r="B877" s="131" t="str">
        <f>IFERROR(TIMEVALUE(DaqBook_RAW_Data!Q867),IFERROR(TIMEVALUE(DaqBook_RAW_Data!A867),""))</f>
        <v/>
      </c>
      <c r="C877" s="153" t="str">
        <v/>
      </c>
      <c r="D877" s="153" t="str">
        <v/>
      </c>
      <c r="E877" s="153" t="str">
        <v/>
      </c>
      <c r="F877" s="153" t="str">
        <v/>
      </c>
      <c r="G877" s="153" t="str">
        <v/>
      </c>
      <c r="H877" s="153" t="str">
        <v/>
      </c>
      <c r="I877" s="153" t="str">
        <v/>
      </c>
      <c r="J877" s="153" t="str">
        <v/>
      </c>
      <c r="K877" s="153" t="str">
        <v/>
      </c>
      <c r="L877" s="153" t="str">
        <v/>
      </c>
      <c r="M877" s="153" t="str">
        <v/>
      </c>
      <c r="N877" s="153" t="str">
        <v/>
      </c>
      <c r="O877" s="153" t="str">
        <v/>
      </c>
      <c r="P877" s="153" t="str">
        <v/>
      </c>
    </row>
    <row r="878" spans="1:16" x14ac:dyDescent="0.2">
      <c r="A878" s="58" t="str">
        <v/>
      </c>
      <c r="B878" s="131" t="str">
        <f>IFERROR(TIMEVALUE(DaqBook_RAW_Data!Q868),IFERROR(TIMEVALUE(DaqBook_RAW_Data!A868),""))</f>
        <v/>
      </c>
      <c r="C878" s="153" t="str">
        <v/>
      </c>
      <c r="D878" s="153" t="str">
        <v/>
      </c>
      <c r="E878" s="153" t="str">
        <v/>
      </c>
      <c r="F878" s="153" t="str">
        <v/>
      </c>
      <c r="G878" s="153" t="str">
        <v/>
      </c>
      <c r="H878" s="153" t="str">
        <v/>
      </c>
      <c r="I878" s="153" t="str">
        <v/>
      </c>
      <c r="J878" s="153" t="str">
        <v/>
      </c>
      <c r="K878" s="153" t="str">
        <v/>
      </c>
      <c r="L878" s="153" t="str">
        <v/>
      </c>
      <c r="M878" s="153" t="str">
        <v/>
      </c>
      <c r="N878" s="153" t="str">
        <v/>
      </c>
      <c r="O878" s="153" t="str">
        <v/>
      </c>
      <c r="P878" s="153" t="str">
        <v/>
      </c>
    </row>
    <row r="879" spans="1:16" x14ac:dyDescent="0.2">
      <c r="A879" s="58" t="str">
        <v/>
      </c>
      <c r="B879" s="131" t="str">
        <f>IFERROR(TIMEVALUE(DaqBook_RAW_Data!Q869),IFERROR(TIMEVALUE(DaqBook_RAW_Data!A869),""))</f>
        <v/>
      </c>
      <c r="C879" s="153" t="str">
        <v/>
      </c>
      <c r="D879" s="153" t="str">
        <v/>
      </c>
      <c r="E879" s="153" t="str">
        <v/>
      </c>
      <c r="F879" s="153" t="str">
        <v/>
      </c>
      <c r="G879" s="153" t="str">
        <v/>
      </c>
      <c r="H879" s="153" t="str">
        <v/>
      </c>
      <c r="I879" s="153" t="str">
        <v/>
      </c>
      <c r="J879" s="153" t="str">
        <v/>
      </c>
      <c r="K879" s="153" t="str">
        <v/>
      </c>
      <c r="L879" s="153" t="str">
        <v/>
      </c>
      <c r="M879" s="153" t="str">
        <v/>
      </c>
      <c r="N879" s="153" t="str">
        <v/>
      </c>
      <c r="O879" s="153" t="str">
        <v/>
      </c>
      <c r="P879" s="153" t="str">
        <v/>
      </c>
    </row>
    <row r="880" spans="1:16" x14ac:dyDescent="0.2">
      <c r="A880" s="58" t="str">
        <v/>
      </c>
      <c r="B880" s="131" t="str">
        <f>IFERROR(TIMEVALUE(DaqBook_RAW_Data!Q870),IFERROR(TIMEVALUE(DaqBook_RAW_Data!A870),""))</f>
        <v/>
      </c>
      <c r="C880" s="153" t="str">
        <v/>
      </c>
      <c r="D880" s="153" t="str">
        <v/>
      </c>
      <c r="E880" s="153" t="str">
        <v/>
      </c>
      <c r="F880" s="153" t="str">
        <v/>
      </c>
      <c r="G880" s="153" t="str">
        <v/>
      </c>
      <c r="H880" s="153" t="str">
        <v/>
      </c>
      <c r="I880" s="153" t="str">
        <v/>
      </c>
      <c r="J880" s="153" t="str">
        <v/>
      </c>
      <c r="K880" s="153" t="str">
        <v/>
      </c>
      <c r="L880" s="153" t="str">
        <v/>
      </c>
      <c r="M880" s="153" t="str">
        <v/>
      </c>
      <c r="N880" s="153" t="str">
        <v/>
      </c>
      <c r="O880" s="153" t="str">
        <v/>
      </c>
      <c r="P880" s="153" t="str">
        <v/>
      </c>
    </row>
    <row r="881" spans="1:16" x14ac:dyDescent="0.2">
      <c r="A881" s="58" t="str">
        <v/>
      </c>
      <c r="B881" s="131" t="str">
        <f>IFERROR(TIMEVALUE(DaqBook_RAW_Data!Q871),IFERROR(TIMEVALUE(DaqBook_RAW_Data!A871),""))</f>
        <v/>
      </c>
      <c r="C881" s="153" t="str">
        <v/>
      </c>
      <c r="D881" s="153" t="str">
        <v/>
      </c>
      <c r="E881" s="153" t="str">
        <v/>
      </c>
      <c r="F881" s="153" t="str">
        <v/>
      </c>
      <c r="G881" s="153" t="str">
        <v/>
      </c>
      <c r="H881" s="153" t="str">
        <v/>
      </c>
      <c r="I881" s="153" t="str">
        <v/>
      </c>
      <c r="J881" s="153" t="str">
        <v/>
      </c>
      <c r="K881" s="153" t="str">
        <v/>
      </c>
      <c r="L881" s="153" t="str">
        <v/>
      </c>
      <c r="M881" s="153" t="str">
        <v/>
      </c>
      <c r="N881" s="153" t="str">
        <v/>
      </c>
      <c r="O881" s="153" t="str">
        <v/>
      </c>
      <c r="P881" s="153" t="str">
        <v/>
      </c>
    </row>
    <row r="882" spans="1:16" x14ac:dyDescent="0.2">
      <c r="A882" s="58" t="str">
        <v/>
      </c>
      <c r="B882" s="131" t="str">
        <f>IFERROR(TIMEVALUE(DaqBook_RAW_Data!Q872),IFERROR(TIMEVALUE(DaqBook_RAW_Data!A872),""))</f>
        <v/>
      </c>
      <c r="C882" s="153" t="str">
        <v/>
      </c>
      <c r="D882" s="153" t="str">
        <v/>
      </c>
      <c r="E882" s="153" t="str">
        <v/>
      </c>
      <c r="F882" s="153" t="str">
        <v/>
      </c>
      <c r="G882" s="153" t="str">
        <v/>
      </c>
      <c r="H882" s="153" t="str">
        <v/>
      </c>
      <c r="I882" s="153" t="str">
        <v/>
      </c>
      <c r="J882" s="153" t="str">
        <v/>
      </c>
      <c r="K882" s="153" t="str">
        <v/>
      </c>
      <c r="L882" s="153" t="str">
        <v/>
      </c>
      <c r="M882" s="153" t="str">
        <v/>
      </c>
      <c r="N882" s="153" t="str">
        <v/>
      </c>
      <c r="O882" s="153" t="str">
        <v/>
      </c>
      <c r="P882" s="153" t="str">
        <v/>
      </c>
    </row>
    <row r="883" spans="1:16" x14ac:dyDescent="0.2">
      <c r="A883" s="58" t="str">
        <v/>
      </c>
      <c r="B883" s="131" t="str">
        <f>IFERROR(TIMEVALUE(DaqBook_RAW_Data!Q873),IFERROR(TIMEVALUE(DaqBook_RAW_Data!A873),""))</f>
        <v/>
      </c>
      <c r="C883" s="153" t="str">
        <v/>
      </c>
      <c r="D883" s="153" t="str">
        <v/>
      </c>
      <c r="E883" s="153" t="str">
        <v/>
      </c>
      <c r="F883" s="153" t="str">
        <v/>
      </c>
      <c r="G883" s="153" t="str">
        <v/>
      </c>
      <c r="H883" s="153" t="str">
        <v/>
      </c>
      <c r="I883" s="153" t="str">
        <v/>
      </c>
      <c r="J883" s="153" t="str">
        <v/>
      </c>
      <c r="K883" s="153" t="str">
        <v/>
      </c>
      <c r="L883" s="153" t="str">
        <v/>
      </c>
      <c r="M883" s="153" t="str">
        <v/>
      </c>
      <c r="N883" s="153" t="str">
        <v/>
      </c>
      <c r="O883" s="153" t="str">
        <v/>
      </c>
      <c r="P883" s="153" t="str">
        <v/>
      </c>
    </row>
    <row r="884" spans="1:16" x14ac:dyDescent="0.2">
      <c r="A884" s="58" t="str">
        <v/>
      </c>
      <c r="B884" s="131" t="str">
        <f>IFERROR(TIMEVALUE(DaqBook_RAW_Data!Q874),IFERROR(TIMEVALUE(DaqBook_RAW_Data!A874),""))</f>
        <v/>
      </c>
      <c r="C884" s="153" t="str">
        <v/>
      </c>
      <c r="D884" s="153" t="str">
        <v/>
      </c>
      <c r="E884" s="153" t="str">
        <v/>
      </c>
      <c r="F884" s="153" t="str">
        <v/>
      </c>
      <c r="G884" s="153" t="str">
        <v/>
      </c>
      <c r="H884" s="153" t="str">
        <v/>
      </c>
      <c r="I884" s="153" t="str">
        <v/>
      </c>
      <c r="J884" s="153" t="str">
        <v/>
      </c>
      <c r="K884" s="153" t="str">
        <v/>
      </c>
      <c r="L884" s="153" t="str">
        <v/>
      </c>
      <c r="M884" s="153" t="str">
        <v/>
      </c>
      <c r="N884" s="153" t="str">
        <v/>
      </c>
      <c r="O884" s="153" t="str">
        <v/>
      </c>
      <c r="P884" s="153" t="str">
        <v/>
      </c>
    </row>
    <row r="885" spans="1:16" x14ac:dyDescent="0.2">
      <c r="A885" s="58" t="str">
        <v/>
      </c>
      <c r="B885" s="131" t="str">
        <f>IFERROR(TIMEVALUE(DaqBook_RAW_Data!Q875),IFERROR(TIMEVALUE(DaqBook_RAW_Data!A875),""))</f>
        <v/>
      </c>
      <c r="C885" s="153" t="str">
        <v/>
      </c>
      <c r="D885" s="153" t="str">
        <v/>
      </c>
      <c r="E885" s="153" t="str">
        <v/>
      </c>
      <c r="F885" s="153" t="str">
        <v/>
      </c>
      <c r="G885" s="153" t="str">
        <v/>
      </c>
      <c r="H885" s="153" t="str">
        <v/>
      </c>
      <c r="I885" s="153" t="str">
        <v/>
      </c>
      <c r="J885" s="153" t="str">
        <v/>
      </c>
      <c r="K885" s="153" t="str">
        <v/>
      </c>
      <c r="L885" s="153" t="str">
        <v/>
      </c>
      <c r="M885" s="153" t="str">
        <v/>
      </c>
      <c r="N885" s="153" t="str">
        <v/>
      </c>
      <c r="O885" s="153" t="str">
        <v/>
      </c>
      <c r="P885" s="153" t="str">
        <v/>
      </c>
    </row>
    <row r="886" spans="1:16" x14ac:dyDescent="0.2">
      <c r="A886" s="58" t="str">
        <v/>
      </c>
      <c r="B886" s="131" t="str">
        <f>IFERROR(TIMEVALUE(DaqBook_RAW_Data!Q876),IFERROR(TIMEVALUE(DaqBook_RAW_Data!A876),""))</f>
        <v/>
      </c>
      <c r="C886" s="153" t="str">
        <v/>
      </c>
      <c r="D886" s="153" t="str">
        <v/>
      </c>
      <c r="E886" s="153" t="str">
        <v/>
      </c>
      <c r="F886" s="153" t="str">
        <v/>
      </c>
      <c r="G886" s="153" t="str">
        <v/>
      </c>
      <c r="H886" s="153" t="str">
        <v/>
      </c>
      <c r="I886" s="153" t="str">
        <v/>
      </c>
      <c r="J886" s="153" t="str">
        <v/>
      </c>
      <c r="K886" s="153" t="str">
        <v/>
      </c>
      <c r="L886" s="153" t="str">
        <v/>
      </c>
      <c r="M886" s="153" t="str">
        <v/>
      </c>
      <c r="N886" s="153" t="str">
        <v/>
      </c>
      <c r="O886" s="153" t="str">
        <v/>
      </c>
      <c r="P886" s="153" t="str">
        <v/>
      </c>
    </row>
    <row r="887" spans="1:16" x14ac:dyDescent="0.2">
      <c r="A887" s="58" t="str">
        <v/>
      </c>
      <c r="B887" s="131" t="str">
        <f>IFERROR(TIMEVALUE(DaqBook_RAW_Data!Q877),IFERROR(TIMEVALUE(DaqBook_RAW_Data!A877),""))</f>
        <v/>
      </c>
      <c r="C887" s="153" t="str">
        <v/>
      </c>
      <c r="D887" s="153" t="str">
        <v/>
      </c>
      <c r="E887" s="153" t="str">
        <v/>
      </c>
      <c r="F887" s="153" t="str">
        <v/>
      </c>
      <c r="G887" s="153" t="str">
        <v/>
      </c>
      <c r="H887" s="153" t="str">
        <v/>
      </c>
      <c r="I887" s="153" t="str">
        <v/>
      </c>
      <c r="J887" s="153" t="str">
        <v/>
      </c>
      <c r="K887" s="153" t="str">
        <v/>
      </c>
      <c r="L887" s="153" t="str">
        <v/>
      </c>
      <c r="M887" s="153" t="str">
        <v/>
      </c>
      <c r="N887" s="153" t="str">
        <v/>
      </c>
      <c r="O887" s="153" t="str">
        <v/>
      </c>
      <c r="P887" s="153" t="str">
        <v/>
      </c>
    </row>
    <row r="888" spans="1:16" x14ac:dyDescent="0.2">
      <c r="A888" s="58" t="str">
        <v/>
      </c>
      <c r="B888" s="131" t="str">
        <f>IFERROR(TIMEVALUE(DaqBook_RAW_Data!Q878),IFERROR(TIMEVALUE(DaqBook_RAW_Data!A878),""))</f>
        <v/>
      </c>
      <c r="C888" s="153" t="str">
        <v/>
      </c>
      <c r="D888" s="153" t="str">
        <v/>
      </c>
      <c r="E888" s="153" t="str">
        <v/>
      </c>
      <c r="F888" s="153" t="str">
        <v/>
      </c>
      <c r="G888" s="153" t="str">
        <v/>
      </c>
      <c r="H888" s="153" t="str">
        <v/>
      </c>
      <c r="I888" s="153" t="str">
        <v/>
      </c>
      <c r="J888" s="153" t="str">
        <v/>
      </c>
      <c r="K888" s="153" t="str">
        <v/>
      </c>
      <c r="L888" s="153" t="str">
        <v/>
      </c>
      <c r="M888" s="153" t="str">
        <v/>
      </c>
      <c r="N888" s="153" t="str">
        <v/>
      </c>
      <c r="O888" s="153" t="str">
        <v/>
      </c>
      <c r="P888" s="153" t="str">
        <v/>
      </c>
    </row>
    <row r="889" spans="1:16" x14ac:dyDescent="0.2">
      <c r="A889" s="58" t="str">
        <v/>
      </c>
      <c r="B889" s="131" t="str">
        <f>IFERROR(TIMEVALUE(DaqBook_RAW_Data!Q879),IFERROR(TIMEVALUE(DaqBook_RAW_Data!A879),""))</f>
        <v/>
      </c>
      <c r="C889" s="153" t="str">
        <v/>
      </c>
      <c r="D889" s="153" t="str">
        <v/>
      </c>
      <c r="E889" s="153" t="str">
        <v/>
      </c>
      <c r="F889" s="153" t="str">
        <v/>
      </c>
      <c r="G889" s="153" t="str">
        <v/>
      </c>
      <c r="H889" s="153" t="str">
        <v/>
      </c>
      <c r="I889" s="153" t="str">
        <v/>
      </c>
      <c r="J889" s="153" t="str">
        <v/>
      </c>
      <c r="K889" s="153" t="str">
        <v/>
      </c>
      <c r="L889" s="153" t="str">
        <v/>
      </c>
      <c r="M889" s="153" t="str">
        <v/>
      </c>
      <c r="N889" s="153" t="str">
        <v/>
      </c>
      <c r="O889" s="153" t="str">
        <v/>
      </c>
      <c r="P889" s="153" t="str">
        <v/>
      </c>
    </row>
    <row r="890" spans="1:16" x14ac:dyDescent="0.2">
      <c r="A890" s="58" t="str">
        <v/>
      </c>
      <c r="B890" s="131" t="str">
        <f>IFERROR(TIMEVALUE(DaqBook_RAW_Data!Q880),IFERROR(TIMEVALUE(DaqBook_RAW_Data!A880),""))</f>
        <v/>
      </c>
      <c r="C890" s="153" t="str">
        <v/>
      </c>
      <c r="D890" s="153" t="str">
        <v/>
      </c>
      <c r="E890" s="153" t="str">
        <v/>
      </c>
      <c r="F890" s="153" t="str">
        <v/>
      </c>
      <c r="G890" s="153" t="str">
        <v/>
      </c>
      <c r="H890" s="153" t="str">
        <v/>
      </c>
      <c r="I890" s="153" t="str">
        <v/>
      </c>
      <c r="J890" s="153" t="str">
        <v/>
      </c>
      <c r="K890" s="153" t="str">
        <v/>
      </c>
      <c r="L890" s="153" t="str">
        <v/>
      </c>
      <c r="M890" s="153" t="str">
        <v/>
      </c>
      <c r="N890" s="153" t="str">
        <v/>
      </c>
      <c r="O890" s="153" t="str">
        <v/>
      </c>
      <c r="P890" s="153" t="str">
        <v/>
      </c>
    </row>
    <row r="891" spans="1:16" x14ac:dyDescent="0.2">
      <c r="A891" s="58" t="str">
        <v/>
      </c>
      <c r="B891" s="131" t="str">
        <f>IFERROR(TIMEVALUE(DaqBook_RAW_Data!Q881),IFERROR(TIMEVALUE(DaqBook_RAW_Data!A881),""))</f>
        <v/>
      </c>
      <c r="C891" s="153" t="str">
        <v/>
      </c>
      <c r="D891" s="153" t="str">
        <v/>
      </c>
      <c r="E891" s="153" t="str">
        <v/>
      </c>
      <c r="F891" s="153" t="str">
        <v/>
      </c>
      <c r="G891" s="153" t="str">
        <v/>
      </c>
      <c r="H891" s="153" t="str">
        <v/>
      </c>
      <c r="I891" s="153" t="str">
        <v/>
      </c>
      <c r="J891" s="153" t="str">
        <v/>
      </c>
      <c r="K891" s="153" t="str">
        <v/>
      </c>
      <c r="L891" s="153" t="str">
        <v/>
      </c>
      <c r="M891" s="153" t="str">
        <v/>
      </c>
      <c r="N891" s="153" t="str">
        <v/>
      </c>
      <c r="O891" s="153" t="str">
        <v/>
      </c>
      <c r="P891" s="153" t="str">
        <v/>
      </c>
    </row>
    <row r="892" spans="1:16" x14ac:dyDescent="0.2">
      <c r="A892" s="58" t="str">
        <v/>
      </c>
      <c r="B892" s="131" t="str">
        <f>IFERROR(TIMEVALUE(DaqBook_RAW_Data!Q882),IFERROR(TIMEVALUE(DaqBook_RAW_Data!A882),""))</f>
        <v/>
      </c>
      <c r="C892" s="153" t="str">
        <v/>
      </c>
      <c r="D892" s="153" t="str">
        <v/>
      </c>
      <c r="E892" s="153" t="str">
        <v/>
      </c>
      <c r="F892" s="153" t="str">
        <v/>
      </c>
      <c r="G892" s="153" t="str">
        <v/>
      </c>
      <c r="H892" s="153" t="str">
        <v/>
      </c>
      <c r="I892" s="153" t="str">
        <v/>
      </c>
      <c r="J892" s="153" t="str">
        <v/>
      </c>
      <c r="K892" s="153" t="str">
        <v/>
      </c>
      <c r="L892" s="153" t="str">
        <v/>
      </c>
      <c r="M892" s="153" t="str">
        <v/>
      </c>
      <c r="N892" s="153" t="str">
        <v/>
      </c>
      <c r="O892" s="153" t="str">
        <v/>
      </c>
      <c r="P892" s="153" t="str">
        <v/>
      </c>
    </row>
    <row r="893" spans="1:16" x14ac:dyDescent="0.2">
      <c r="A893" s="58" t="str">
        <v/>
      </c>
      <c r="B893" s="131" t="str">
        <f>IFERROR(TIMEVALUE(DaqBook_RAW_Data!Q883),IFERROR(TIMEVALUE(DaqBook_RAW_Data!A883),""))</f>
        <v/>
      </c>
      <c r="C893" s="153" t="str">
        <v/>
      </c>
      <c r="D893" s="153" t="str">
        <v/>
      </c>
      <c r="E893" s="153" t="str">
        <v/>
      </c>
      <c r="F893" s="153" t="str">
        <v/>
      </c>
      <c r="G893" s="153" t="str">
        <v/>
      </c>
      <c r="H893" s="153" t="str">
        <v/>
      </c>
      <c r="I893" s="153" t="str">
        <v/>
      </c>
      <c r="J893" s="153" t="str">
        <v/>
      </c>
      <c r="K893" s="153" t="str">
        <v/>
      </c>
      <c r="L893" s="153" t="str">
        <v/>
      </c>
      <c r="M893" s="153" t="str">
        <v/>
      </c>
      <c r="N893" s="153" t="str">
        <v/>
      </c>
      <c r="O893" s="153" t="str">
        <v/>
      </c>
      <c r="P893" s="153" t="str">
        <v/>
      </c>
    </row>
    <row r="894" spans="1:16" x14ac:dyDescent="0.2">
      <c r="A894" s="58" t="str">
        <v/>
      </c>
      <c r="B894" s="131" t="str">
        <f>IFERROR(TIMEVALUE(DaqBook_RAW_Data!Q884),IFERROR(TIMEVALUE(DaqBook_RAW_Data!A884),""))</f>
        <v/>
      </c>
      <c r="C894" s="153" t="str">
        <v/>
      </c>
      <c r="D894" s="153" t="str">
        <v/>
      </c>
      <c r="E894" s="153" t="str">
        <v/>
      </c>
      <c r="F894" s="153" t="str">
        <v/>
      </c>
      <c r="G894" s="153" t="str">
        <v/>
      </c>
      <c r="H894" s="153" t="str">
        <v/>
      </c>
      <c r="I894" s="153" t="str">
        <v/>
      </c>
      <c r="J894" s="153" t="str">
        <v/>
      </c>
      <c r="K894" s="153" t="str">
        <v/>
      </c>
      <c r="L894" s="153" t="str">
        <v/>
      </c>
      <c r="M894" s="153" t="str">
        <v/>
      </c>
      <c r="N894" s="153" t="str">
        <v/>
      </c>
      <c r="O894" s="153" t="str">
        <v/>
      </c>
      <c r="P894" s="153" t="str">
        <v/>
      </c>
    </row>
    <row r="895" spans="1:16" x14ac:dyDescent="0.2">
      <c r="A895" s="58" t="str">
        <v/>
      </c>
      <c r="B895" s="131" t="str">
        <f>IFERROR(TIMEVALUE(DaqBook_RAW_Data!Q885),IFERROR(TIMEVALUE(DaqBook_RAW_Data!A885),""))</f>
        <v/>
      </c>
      <c r="C895" s="153" t="str">
        <v/>
      </c>
      <c r="D895" s="153" t="str">
        <v/>
      </c>
      <c r="E895" s="153" t="str">
        <v/>
      </c>
      <c r="F895" s="153" t="str">
        <v/>
      </c>
      <c r="G895" s="153" t="str">
        <v/>
      </c>
      <c r="H895" s="153" t="str">
        <v/>
      </c>
      <c r="I895" s="153" t="str">
        <v/>
      </c>
      <c r="J895" s="153" t="str">
        <v/>
      </c>
      <c r="K895" s="153" t="str">
        <v/>
      </c>
      <c r="L895" s="153" t="str">
        <v/>
      </c>
      <c r="M895" s="153" t="str">
        <v/>
      </c>
      <c r="N895" s="153" t="str">
        <v/>
      </c>
      <c r="O895" s="153" t="str">
        <v/>
      </c>
      <c r="P895" s="153" t="str">
        <v/>
      </c>
    </row>
    <row r="896" spans="1:16" x14ac:dyDescent="0.2">
      <c r="A896" s="58" t="str">
        <v/>
      </c>
      <c r="B896" s="131" t="str">
        <f>IFERROR(TIMEVALUE(DaqBook_RAW_Data!Q886),IFERROR(TIMEVALUE(DaqBook_RAW_Data!A886),""))</f>
        <v/>
      </c>
      <c r="C896" s="153" t="str">
        <v/>
      </c>
      <c r="D896" s="153" t="str">
        <v/>
      </c>
      <c r="E896" s="153" t="str">
        <v/>
      </c>
      <c r="F896" s="153" t="str">
        <v/>
      </c>
      <c r="G896" s="153" t="str">
        <v/>
      </c>
      <c r="H896" s="153" t="str">
        <v/>
      </c>
      <c r="I896" s="153" t="str">
        <v/>
      </c>
      <c r="J896" s="153" t="str">
        <v/>
      </c>
      <c r="K896" s="153" t="str">
        <v/>
      </c>
      <c r="L896" s="153" t="str">
        <v/>
      </c>
      <c r="M896" s="153" t="str">
        <v/>
      </c>
      <c r="N896" s="153" t="str">
        <v/>
      </c>
      <c r="O896" s="153" t="str">
        <v/>
      </c>
      <c r="P896" s="153" t="str">
        <v/>
      </c>
    </row>
    <row r="897" spans="1:16" x14ac:dyDescent="0.2">
      <c r="A897" s="58" t="str">
        <v/>
      </c>
      <c r="B897" s="131" t="str">
        <f>IFERROR(TIMEVALUE(DaqBook_RAW_Data!Q887),IFERROR(TIMEVALUE(DaqBook_RAW_Data!A887),""))</f>
        <v/>
      </c>
      <c r="C897" s="153" t="str">
        <v/>
      </c>
      <c r="D897" s="153" t="str">
        <v/>
      </c>
      <c r="E897" s="153" t="str">
        <v/>
      </c>
      <c r="F897" s="153" t="str">
        <v/>
      </c>
      <c r="G897" s="153" t="str">
        <v/>
      </c>
      <c r="H897" s="153" t="str">
        <v/>
      </c>
      <c r="I897" s="153" t="str">
        <v/>
      </c>
      <c r="J897" s="153" t="str">
        <v/>
      </c>
      <c r="K897" s="153" t="str">
        <v/>
      </c>
      <c r="L897" s="153" t="str">
        <v/>
      </c>
      <c r="M897" s="153" t="str">
        <v/>
      </c>
      <c r="N897" s="153" t="str">
        <v/>
      </c>
      <c r="O897" s="153" t="str">
        <v/>
      </c>
      <c r="P897" s="153" t="str">
        <v/>
      </c>
    </row>
    <row r="898" spans="1:16" x14ac:dyDescent="0.2">
      <c r="A898" s="58" t="str">
        <v/>
      </c>
      <c r="B898" s="131" t="str">
        <f>IFERROR(TIMEVALUE(DaqBook_RAW_Data!Q888),IFERROR(TIMEVALUE(DaqBook_RAW_Data!A888),""))</f>
        <v/>
      </c>
      <c r="C898" s="153" t="str">
        <v/>
      </c>
      <c r="D898" s="153" t="str">
        <v/>
      </c>
      <c r="E898" s="153" t="str">
        <v/>
      </c>
      <c r="F898" s="153" t="str">
        <v/>
      </c>
      <c r="G898" s="153" t="str">
        <v/>
      </c>
      <c r="H898" s="153" t="str">
        <v/>
      </c>
      <c r="I898" s="153" t="str">
        <v/>
      </c>
      <c r="J898" s="153" t="str">
        <v/>
      </c>
      <c r="K898" s="153" t="str">
        <v/>
      </c>
      <c r="L898" s="153" t="str">
        <v/>
      </c>
      <c r="M898" s="153" t="str">
        <v/>
      </c>
      <c r="N898" s="153" t="str">
        <v/>
      </c>
      <c r="O898" s="153" t="str">
        <v/>
      </c>
      <c r="P898" s="153" t="str">
        <v/>
      </c>
    </row>
    <row r="899" spans="1:16" x14ac:dyDescent="0.2">
      <c r="A899" s="58" t="str">
        <v/>
      </c>
      <c r="B899" s="131" t="str">
        <f>IFERROR(TIMEVALUE(DaqBook_RAW_Data!Q889),IFERROR(TIMEVALUE(DaqBook_RAW_Data!A889),""))</f>
        <v/>
      </c>
      <c r="C899" s="153" t="str">
        <v/>
      </c>
      <c r="D899" s="153" t="str">
        <v/>
      </c>
      <c r="E899" s="153" t="str">
        <v/>
      </c>
      <c r="F899" s="153" t="str">
        <v/>
      </c>
      <c r="G899" s="153" t="str">
        <v/>
      </c>
      <c r="H899" s="153" t="str">
        <v/>
      </c>
      <c r="I899" s="153" t="str">
        <v/>
      </c>
      <c r="J899" s="153" t="str">
        <v/>
      </c>
      <c r="K899" s="153" t="str">
        <v/>
      </c>
      <c r="L899" s="153" t="str">
        <v/>
      </c>
      <c r="M899" s="153" t="str">
        <v/>
      </c>
      <c r="N899" s="153" t="str">
        <v/>
      </c>
      <c r="O899" s="153" t="str">
        <v/>
      </c>
      <c r="P899" s="153" t="str">
        <v/>
      </c>
    </row>
    <row r="900" spans="1:16" x14ac:dyDescent="0.2">
      <c r="A900" s="58" t="str">
        <v/>
      </c>
      <c r="B900" s="131" t="str">
        <f>IFERROR(TIMEVALUE(DaqBook_RAW_Data!Q890),IFERROR(TIMEVALUE(DaqBook_RAW_Data!A890),""))</f>
        <v/>
      </c>
      <c r="C900" s="153" t="str">
        <v/>
      </c>
      <c r="D900" s="153" t="str">
        <v/>
      </c>
      <c r="E900" s="153" t="str">
        <v/>
      </c>
      <c r="F900" s="153" t="str">
        <v/>
      </c>
      <c r="G900" s="153" t="str">
        <v/>
      </c>
      <c r="H900" s="153" t="str">
        <v/>
      </c>
      <c r="I900" s="153" t="str">
        <v/>
      </c>
      <c r="J900" s="153" t="str">
        <v/>
      </c>
      <c r="K900" s="153" t="str">
        <v/>
      </c>
      <c r="L900" s="153" t="str">
        <v/>
      </c>
      <c r="M900" s="153" t="str">
        <v/>
      </c>
      <c r="N900" s="153" t="str">
        <v/>
      </c>
      <c r="O900" s="153" t="str">
        <v/>
      </c>
      <c r="P900" s="153" t="str">
        <v/>
      </c>
    </row>
    <row r="901" spans="1:16" x14ac:dyDescent="0.2">
      <c r="A901" s="58" t="str">
        <v/>
      </c>
      <c r="B901" s="131" t="str">
        <f>IFERROR(TIMEVALUE(DaqBook_RAW_Data!Q891),IFERROR(TIMEVALUE(DaqBook_RAW_Data!A891),""))</f>
        <v/>
      </c>
      <c r="C901" s="153" t="str">
        <v/>
      </c>
      <c r="D901" s="153" t="str">
        <v/>
      </c>
      <c r="E901" s="153" t="str">
        <v/>
      </c>
      <c r="F901" s="153" t="str">
        <v/>
      </c>
      <c r="G901" s="153" t="str">
        <v/>
      </c>
      <c r="H901" s="153" t="str">
        <v/>
      </c>
      <c r="I901" s="153" t="str">
        <v/>
      </c>
      <c r="J901" s="153" t="str">
        <v/>
      </c>
      <c r="K901" s="153" t="str">
        <v/>
      </c>
      <c r="L901" s="153" t="str">
        <v/>
      </c>
      <c r="M901" s="153" t="str">
        <v/>
      </c>
      <c r="N901" s="153" t="str">
        <v/>
      </c>
      <c r="O901" s="153" t="str">
        <v/>
      </c>
      <c r="P901" s="153" t="str">
        <v/>
      </c>
    </row>
    <row r="902" spans="1:16" x14ac:dyDescent="0.2">
      <c r="A902" s="58" t="str">
        <v/>
      </c>
      <c r="B902" s="131" t="str">
        <f>IFERROR(TIMEVALUE(DaqBook_RAW_Data!Q892),IFERROR(TIMEVALUE(DaqBook_RAW_Data!A892),""))</f>
        <v/>
      </c>
      <c r="C902" s="153" t="str">
        <v/>
      </c>
      <c r="D902" s="153" t="str">
        <v/>
      </c>
      <c r="E902" s="153" t="str">
        <v/>
      </c>
      <c r="F902" s="153" t="str">
        <v/>
      </c>
      <c r="G902" s="153" t="str">
        <v/>
      </c>
      <c r="H902" s="153" t="str">
        <v/>
      </c>
      <c r="I902" s="153" t="str">
        <v/>
      </c>
      <c r="J902" s="153" t="str">
        <v/>
      </c>
      <c r="K902" s="153" t="str">
        <v/>
      </c>
      <c r="L902" s="153" t="str">
        <v/>
      </c>
      <c r="M902" s="153" t="str">
        <v/>
      </c>
      <c r="N902" s="153" t="str">
        <v/>
      </c>
      <c r="O902" s="153" t="str">
        <v/>
      </c>
      <c r="P902" s="153" t="str">
        <v/>
      </c>
    </row>
    <row r="903" spans="1:16" x14ac:dyDescent="0.2">
      <c r="A903" s="58" t="str">
        <v/>
      </c>
      <c r="B903" s="131" t="str">
        <f>IFERROR(TIMEVALUE(DaqBook_RAW_Data!Q893),IFERROR(TIMEVALUE(DaqBook_RAW_Data!A893),""))</f>
        <v/>
      </c>
      <c r="C903" s="153" t="str">
        <v/>
      </c>
      <c r="D903" s="153" t="str">
        <v/>
      </c>
      <c r="E903" s="153" t="str">
        <v/>
      </c>
      <c r="F903" s="153" t="str">
        <v/>
      </c>
      <c r="G903" s="153" t="str">
        <v/>
      </c>
      <c r="H903" s="153" t="str">
        <v/>
      </c>
      <c r="I903" s="153" t="str">
        <v/>
      </c>
      <c r="J903" s="153" t="str">
        <v/>
      </c>
      <c r="K903" s="153" t="str">
        <v/>
      </c>
      <c r="L903" s="153" t="str">
        <v/>
      </c>
      <c r="M903" s="153" t="str">
        <v/>
      </c>
      <c r="N903" s="153" t="str">
        <v/>
      </c>
      <c r="O903" s="153" t="str">
        <v/>
      </c>
      <c r="P903" s="153" t="str">
        <v/>
      </c>
    </row>
  </sheetData>
  <sheetProtection algorithmName="SHA-512" hashValue="kZMoMGpeu6WJ8+urefERt1HH0foHZWPenaFGUY2ggoW/1OdQ6Y8yDFDG/GzHkCGvx+n3jUwPp4BzQy0g9NLjSg==" saltValue="RXGwWbjxXndBaMUcMTrF6w==" spinCount="100000" sheet="1" objects="1" scenarios="1" selectLockedCells="1" autoFilter="0" selectUnlockedCells="1"/>
  <mergeCells count="7">
    <mergeCell ref="J7:K7"/>
    <mergeCell ref="M2:O2"/>
    <mergeCell ref="M7:O7"/>
    <mergeCell ref="M3:O3"/>
    <mergeCell ref="M4:O4"/>
    <mergeCell ref="M5:O5"/>
    <mergeCell ref="M6:O6"/>
  </mergeCells>
  <phoneticPr fontId="23" type="noConversion"/>
  <conditionalFormatting sqref="C14:P903">
    <cfRule type="cellIs" dxfId="40" priority="2" stopIfTrue="1" operator="between">
      <formula>$E$1</formula>
      <formula>$E$2</formula>
    </cfRule>
    <cfRule type="cellIs" dxfId="39" priority="3" stopIfTrue="1" operator="greaterThan">
      <formula>$C$2</formula>
    </cfRule>
    <cfRule type="cellIs" dxfId="38" priority="4" stopIfTrue="1" operator="lessThan">
      <formula>$C$1</formula>
    </cfRule>
    <cfRule type="cellIs" dxfId="37" priority="5" stopIfTrue="1" operator="greaterThanOrEqual">
      <formula>$C$1</formula>
    </cfRule>
  </conditionalFormatting>
  <conditionalFormatting sqref="B14:P903">
    <cfRule type="expression" dxfId="36"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9">
    <tabColor rgb="FFFFCC99"/>
    <pageSetUpPr fitToPage="1"/>
  </sheetPr>
  <dimension ref="A1:Q903"/>
  <sheetViews>
    <sheetView showZeros="0" topLeftCell="B1" zoomScaleNormal="100" workbookViewId="0">
      <selection activeCell="Q21" sqref="Q21"/>
    </sheetView>
  </sheetViews>
  <sheetFormatPr defaultColWidth="24.5703125" defaultRowHeight="12.75" x14ac:dyDescent="0.2"/>
  <cols>
    <col min="1" max="1" width="9.5703125" style="58" hidden="1" customWidth="1"/>
    <col min="2" max="2" width="8.7109375" style="53" customWidth="1"/>
    <col min="3" max="3" width="11.85546875" customWidth="1"/>
    <col min="4" max="16" width="8.42578125" customWidth="1"/>
  </cols>
  <sheetData>
    <row r="1" spans="1:17" ht="18" x14ac:dyDescent="0.25">
      <c r="A1" s="141"/>
      <c r="B1" s="148">
        <f>Main!$D$16</f>
        <v>0</v>
      </c>
      <c r="C1" s="142">
        <f>$B$1-$B$2</f>
        <v>0</v>
      </c>
      <c r="D1" s="142"/>
      <c r="E1" s="148">
        <f>B1-D2</f>
        <v>0</v>
      </c>
      <c r="F1" s="38" t="s">
        <v>95</v>
      </c>
      <c r="P1" s="364" t="str">
        <f>IF(Main!$E$30="","A10",ADDRESS(13+(MATCH(Main!$E$30,Data_Sheet!$A$14:$A$903,0)),1,4))</f>
        <v>A10</v>
      </c>
      <c r="Q1" s="364">
        <f>VALUE(MID(P1, 2, LEN(P1)-1))</f>
        <v>10</v>
      </c>
    </row>
    <row r="2" spans="1:17" x14ac:dyDescent="0.2">
      <c r="A2" s="141"/>
      <c r="B2" s="148">
        <f>Main!$D$19</f>
        <v>0</v>
      </c>
      <c r="C2" s="142">
        <f>$B$1+$B$2</f>
        <v>0</v>
      </c>
      <c r="D2" s="142">
        <f>(Main!$D$19)/2</f>
        <v>0</v>
      </c>
      <c r="E2" s="148">
        <f>B1+D2</f>
        <v>0</v>
      </c>
      <c r="F2" s="134"/>
      <c r="I2" s="99" t="s">
        <v>254</v>
      </c>
      <c r="M2" s="587" t="s">
        <v>124</v>
      </c>
      <c r="N2" s="587"/>
      <c r="O2" s="587"/>
      <c r="P2" s="364" t="str">
        <f>IF(Main!$E$30="","A10",ADDRESS(13+Standards_Info!W2+(MATCH(Main!$E$30,Data_Sheet!$A$14:$A$903,0)),1,4))</f>
        <v>A10</v>
      </c>
      <c r="Q2" s="364">
        <f>VALUE(MID(P2, 2, LEN(P2)-1))</f>
        <v>10</v>
      </c>
    </row>
    <row r="3" spans="1:17" ht="15" x14ac:dyDescent="0.25">
      <c r="B3" s="157" t="s">
        <v>0</v>
      </c>
      <c r="C3" s="4"/>
      <c r="M3" s="575" t="s">
        <v>125</v>
      </c>
      <c r="N3" s="576"/>
      <c r="O3" s="577"/>
      <c r="P3" s="47"/>
    </row>
    <row r="4" spans="1:17" ht="15" x14ac:dyDescent="0.25">
      <c r="B4" s="144" t="s">
        <v>37</v>
      </c>
      <c r="C4" s="5"/>
      <c r="M4" s="578" t="s">
        <v>166</v>
      </c>
      <c r="N4" s="579"/>
      <c r="O4" s="580"/>
    </row>
    <row r="5" spans="1:17" x14ac:dyDescent="0.2">
      <c r="B5" s="145" t="s">
        <v>38</v>
      </c>
      <c r="C5" s="80">
        <f>Main!D3</f>
        <v>0</v>
      </c>
      <c r="D5" s="44"/>
      <c r="E5" s="44"/>
      <c r="F5" s="44"/>
      <c r="G5" s="44"/>
      <c r="H5" s="44"/>
      <c r="I5" s="78" t="s">
        <v>9</v>
      </c>
      <c r="J5" s="44" t="e">
        <f>Main!D5</f>
        <v>#N/A</v>
      </c>
      <c r="L5" s="44"/>
      <c r="M5" s="581" t="s">
        <v>165</v>
      </c>
      <c r="N5" s="582"/>
      <c r="O5" s="583"/>
    </row>
    <row r="6" spans="1:17" ht="13.5" thickBot="1" x14ac:dyDescent="0.25">
      <c r="B6" s="145" t="s">
        <v>7</v>
      </c>
      <c r="C6" s="81" t="e">
        <f>Main!D6</f>
        <v>#N/A</v>
      </c>
      <c r="D6" s="44"/>
      <c r="E6" s="44"/>
      <c r="F6" s="44"/>
      <c r="G6" s="44"/>
      <c r="H6" s="44"/>
      <c r="I6" s="78" t="s">
        <v>10</v>
      </c>
      <c r="J6" s="77">
        <f>Main!D16</f>
        <v>0</v>
      </c>
      <c r="L6" s="44"/>
      <c r="M6" s="584" t="s">
        <v>164</v>
      </c>
      <c r="N6" s="585"/>
      <c r="O6" s="586"/>
    </row>
    <row r="7" spans="1:17" ht="13.5" thickBot="1" x14ac:dyDescent="0.25">
      <c r="B7" s="145" t="s">
        <v>39</v>
      </c>
      <c r="C7" s="81" t="str">
        <f>Main!D7</f>
        <v>Jeff Hall</v>
      </c>
      <c r="D7" s="44"/>
      <c r="E7" s="44"/>
      <c r="F7" s="44"/>
      <c r="G7" s="44"/>
      <c r="H7" s="44"/>
      <c r="I7" s="83" t="s">
        <v>192</v>
      </c>
      <c r="J7" s="572">
        <f>Main!$D$30</f>
        <v>0</v>
      </c>
      <c r="K7" s="573"/>
      <c r="L7" s="131"/>
      <c r="M7" s="571" t="s">
        <v>163</v>
      </c>
      <c r="N7" s="571"/>
      <c r="O7" s="571"/>
    </row>
    <row r="8" spans="1:17" x14ac:dyDescent="0.2">
      <c r="B8" s="145"/>
      <c r="C8" s="81"/>
      <c r="D8" s="44"/>
      <c r="E8" s="44"/>
      <c r="F8" s="44"/>
      <c r="G8" s="44"/>
      <c r="H8" s="44"/>
      <c r="I8" s="83"/>
      <c r="J8" s="154"/>
      <c r="K8" s="154"/>
      <c r="L8" s="131"/>
      <c r="M8" s="155"/>
      <c r="N8" s="155"/>
      <c r="O8" s="155"/>
    </row>
    <row r="9" spans="1:17" x14ac:dyDescent="0.2">
      <c r="B9" s="145"/>
      <c r="C9" s="81"/>
      <c r="D9" s="44"/>
      <c r="E9" s="44"/>
      <c r="F9" s="44"/>
      <c r="G9" s="44"/>
      <c r="H9" s="44"/>
      <c r="I9" s="158" t="str">
        <f>IF(Main!K15="SIM Load Hot",Main!N59,"")</f>
        <v/>
      </c>
      <c r="J9" s="154"/>
      <c r="K9" s="154"/>
      <c r="L9" s="131"/>
      <c r="M9" s="155"/>
      <c r="N9" s="155"/>
      <c r="O9" s="155"/>
    </row>
    <row r="10" spans="1:17" s="88" customFormat="1" x14ac:dyDescent="0.2">
      <c r="A10" s="132"/>
      <c r="B10" s="166"/>
      <c r="C10" s="167"/>
      <c r="I10" s="158" t="str">
        <f>IF(OR(Main!E60="",Main!K60=""),IF(OR(Main!E61="",Main!K61=""),"",Main!N61),Main!N60)</f>
        <v/>
      </c>
      <c r="J10" s="168"/>
      <c r="K10" s="168"/>
      <c r="L10" s="146"/>
      <c r="M10" s="169"/>
      <c r="N10" s="169"/>
      <c r="O10" s="169"/>
    </row>
    <row r="11" spans="1:17" s="88" customFormat="1" x14ac:dyDescent="0.2">
      <c r="A11" s="132"/>
      <c r="B11" s="146"/>
      <c r="C11" s="162"/>
      <c r="D11" s="162"/>
      <c r="E11" s="162"/>
      <c r="F11" s="162"/>
      <c r="G11" s="162"/>
      <c r="H11" s="162"/>
      <c r="I11" s="162"/>
      <c r="J11" s="162"/>
      <c r="K11" s="162"/>
      <c r="L11" s="162"/>
      <c r="M11" s="162"/>
      <c r="N11" s="162"/>
      <c r="O11" s="162"/>
      <c r="P11" s="162"/>
    </row>
    <row r="12" spans="1:17" s="88" customFormat="1" x14ac:dyDescent="0.2">
      <c r="A12" s="132"/>
      <c r="B12" s="131">
        <f>DaqBook_RAW_Data!AG2</f>
        <v>0</v>
      </c>
      <c r="C12" s="44" t="str">
        <f>IF(ISBLANK(DaqBook_RAW_Data!AH2),"",29)</f>
        <v/>
      </c>
      <c r="D12" s="44" t="str">
        <f>IF(ISBLANK(DaqBook_RAW_Data!AI2),"",30)</f>
        <v/>
      </c>
      <c r="E12" s="44" t="str">
        <f>IF(ISBLANK(DaqBook_RAW_Data!AJ2),"",31)</f>
        <v/>
      </c>
      <c r="F12" s="44" t="str">
        <f>IF(ISBLANK(DaqBook_RAW_Data!AK2),"",32)</f>
        <v/>
      </c>
      <c r="G12" s="44" t="str">
        <f>IF(ISBLANK(DaqBook_RAW_Data!AL2),"",33)</f>
        <v/>
      </c>
      <c r="H12" s="44" t="str">
        <f>IF(ISBLANK(DaqBook_RAW_Data!AM2),"",34)</f>
        <v/>
      </c>
      <c r="I12" s="44" t="str">
        <f>IF(ISBLANK(DaqBook_RAW_Data!AN2),"",35)</f>
        <v/>
      </c>
      <c r="J12" s="44" t="str">
        <f>IF(ISBLANK(DaqBook_RAW_Data!AO2),"",36)</f>
        <v/>
      </c>
      <c r="K12" s="44" t="str">
        <f>IF(ISBLANK(DaqBook_RAW_Data!AP2),"",37)</f>
        <v/>
      </c>
      <c r="L12" s="44" t="str">
        <f>IF(ISBLANK(DaqBook_RAW_Data!AQ2),"",38)</f>
        <v/>
      </c>
      <c r="M12" s="44" t="str">
        <f>IF(ISBLANK(DaqBook_RAW_Data!AR2),"",39)</f>
        <v/>
      </c>
      <c r="N12" s="44" t="str">
        <f>IF(ISBLANK(DaqBook_RAW_Data!AS2),"",40)</f>
        <v/>
      </c>
      <c r="O12" s="44"/>
      <c r="P12" s="44"/>
    </row>
    <row r="13" spans="1:17" s="88" customFormat="1" x14ac:dyDescent="0.2">
      <c r="A13" s="132"/>
      <c r="B13" s="131"/>
      <c r="C13" s="44"/>
      <c r="D13" s="44"/>
      <c r="E13" s="44"/>
      <c r="F13" s="44"/>
      <c r="G13" s="44"/>
      <c r="H13" s="44"/>
      <c r="I13" s="44"/>
      <c r="J13" s="44"/>
      <c r="K13" s="44"/>
      <c r="L13" s="44"/>
      <c r="M13" s="44" t="str">
        <f>IF(ISBLANK(DaqBook_RAW_Data!AR3),"",DaqBook_RAW_Data!AR3)</f>
        <v/>
      </c>
      <c r="N13" s="44" t="str">
        <f>IF(ISBLANK(DaqBook_RAW_Data!AS3),"",DaqBook_RAW_Data!AS3)</f>
        <v/>
      </c>
      <c r="O13" s="44"/>
      <c r="P13" s="44"/>
    </row>
    <row r="14" spans="1:17" s="88" customFormat="1" x14ac:dyDescent="0.2">
      <c r="A14" s="132" t="str" cm="1">
        <f t="array" ref="A14:A903">TEXT(B14:B903, "h:mm")</f>
        <v/>
      </c>
      <c r="B14" s="131" t="str">
        <f>IFERROR(TIMEVALUE(DaqBook_RAW_Data!AG4),IFERROR(TIMEVALUE(DaqBook_RAW_Data!A4),""))</f>
        <v/>
      </c>
      <c r="C14" s="153" t="str" cm="1">
        <f t="array" ref="C14">IF(DaqBook_RAW_Data!AH4="","",DaqBook_RAW_Data!AH4:AS893)</f>
        <v/>
      </c>
      <c r="D14" s="153"/>
      <c r="E14" s="153"/>
      <c r="F14" s="153"/>
      <c r="G14" s="153"/>
      <c r="H14" s="153"/>
      <c r="I14" s="153"/>
      <c r="J14" s="153"/>
      <c r="K14" s="153"/>
      <c r="L14" s="153"/>
      <c r="M14" s="153"/>
      <c r="N14" s="153"/>
      <c r="O14" s="153"/>
      <c r="P14" s="153"/>
    </row>
    <row r="15" spans="1:17" s="88" customFormat="1" x14ac:dyDescent="0.2">
      <c r="A15" s="132" t="str">
        <v/>
      </c>
      <c r="B15" s="131" t="str">
        <f>IFERROR(TIMEVALUE(DaqBook_RAW_Data!AG5),IFERROR(TIMEVALUE(DaqBook_RAW_Data!A5),""))</f>
        <v/>
      </c>
      <c r="C15" s="153"/>
      <c r="D15" s="153"/>
      <c r="E15" s="153"/>
      <c r="F15" s="153"/>
      <c r="G15" s="153"/>
      <c r="H15" s="153"/>
      <c r="I15" s="153"/>
      <c r="J15" s="153"/>
      <c r="K15" s="153"/>
      <c r="L15" s="153"/>
      <c r="M15" s="153"/>
      <c r="N15" s="153"/>
      <c r="O15" s="153"/>
      <c r="P15" s="153"/>
    </row>
    <row r="16" spans="1:17" s="88" customFormat="1" x14ac:dyDescent="0.2">
      <c r="A16" s="132" t="str">
        <v/>
      </c>
      <c r="B16" s="131" t="str">
        <f>IFERROR(TIMEVALUE(DaqBook_RAW_Data!AG6),IFERROR(TIMEVALUE(DaqBook_RAW_Data!A6),""))</f>
        <v/>
      </c>
      <c r="C16" s="153"/>
      <c r="D16" s="153"/>
      <c r="E16" s="153"/>
      <c r="F16" s="153"/>
      <c r="G16" s="153"/>
      <c r="H16" s="153"/>
      <c r="I16" s="153"/>
      <c r="J16" s="153"/>
      <c r="K16" s="153"/>
      <c r="L16" s="153"/>
      <c r="M16" s="153"/>
      <c r="N16" s="153"/>
      <c r="O16" s="153"/>
      <c r="P16" s="153"/>
    </row>
    <row r="17" spans="1:17" s="88" customFormat="1" x14ac:dyDescent="0.2">
      <c r="A17" s="132" t="str">
        <v/>
      </c>
      <c r="B17" s="131" t="str">
        <f>IFERROR(TIMEVALUE(DaqBook_RAW_Data!AG7),IFERROR(TIMEVALUE(DaqBook_RAW_Data!A7),""))</f>
        <v/>
      </c>
      <c r="C17" s="153"/>
      <c r="D17" s="153"/>
      <c r="E17" s="153"/>
      <c r="F17" s="153"/>
      <c r="G17" s="153"/>
      <c r="H17" s="153"/>
      <c r="I17" s="153"/>
      <c r="J17" s="153"/>
      <c r="K17" s="153"/>
      <c r="L17" s="153"/>
      <c r="M17" s="153"/>
      <c r="N17" s="153"/>
      <c r="O17" s="153"/>
      <c r="P17" s="153"/>
    </row>
    <row r="18" spans="1:17" s="88" customFormat="1" x14ac:dyDescent="0.2">
      <c r="A18" s="132" t="str">
        <v/>
      </c>
      <c r="B18" s="131" t="str">
        <f>IFERROR(TIMEVALUE(DaqBook_RAW_Data!AG8),IFERROR(TIMEVALUE(DaqBook_RAW_Data!A8),""))</f>
        <v/>
      </c>
      <c r="C18" s="153"/>
      <c r="D18" s="153"/>
      <c r="E18" s="153"/>
      <c r="F18" s="153"/>
      <c r="G18" s="153"/>
      <c r="H18" s="153"/>
      <c r="I18" s="153"/>
      <c r="J18" s="153"/>
      <c r="K18" s="153"/>
      <c r="L18" s="153"/>
      <c r="M18" s="153"/>
      <c r="N18" s="153"/>
      <c r="O18" s="153"/>
      <c r="P18" s="153"/>
    </row>
    <row r="19" spans="1:17" s="88" customFormat="1" x14ac:dyDescent="0.2">
      <c r="A19" s="132" t="str">
        <v/>
      </c>
      <c r="B19" s="131" t="str">
        <f>IFERROR(TIMEVALUE(DaqBook_RAW_Data!AG9),IFERROR(TIMEVALUE(DaqBook_RAW_Data!A9),""))</f>
        <v/>
      </c>
      <c r="C19" s="153"/>
      <c r="D19" s="153"/>
      <c r="E19" s="153"/>
      <c r="F19" s="153"/>
      <c r="G19" s="153"/>
      <c r="H19" s="153"/>
      <c r="I19" s="153"/>
      <c r="J19" s="153"/>
      <c r="K19" s="153"/>
      <c r="L19" s="153"/>
      <c r="M19" s="153"/>
      <c r="N19" s="153"/>
      <c r="O19" s="153"/>
      <c r="P19" s="153"/>
    </row>
    <row r="20" spans="1:17" s="88" customFormat="1" x14ac:dyDescent="0.2">
      <c r="A20" s="132" t="str">
        <v/>
      </c>
      <c r="B20" s="131" t="str">
        <f>IFERROR(TIMEVALUE(DaqBook_RAW_Data!AG10),IFERROR(TIMEVALUE(DaqBook_RAW_Data!A10),""))</f>
        <v/>
      </c>
      <c r="C20" s="153"/>
      <c r="D20" s="153"/>
      <c r="E20" s="153"/>
      <c r="F20" s="153"/>
      <c r="G20" s="153"/>
      <c r="H20" s="153"/>
      <c r="I20" s="153"/>
      <c r="J20" s="153"/>
      <c r="K20" s="153"/>
      <c r="L20" s="153"/>
      <c r="M20" s="153"/>
      <c r="N20" s="153"/>
      <c r="O20" s="153"/>
      <c r="P20" s="153"/>
    </row>
    <row r="21" spans="1:17" s="88" customFormat="1" x14ac:dyDescent="0.2">
      <c r="A21" s="132" t="str">
        <v/>
      </c>
      <c r="B21" s="131" t="str">
        <f>IFERROR(TIMEVALUE(DaqBook_RAW_Data!AG11),IFERROR(TIMEVALUE(DaqBook_RAW_Data!A11),""))</f>
        <v/>
      </c>
      <c r="C21" s="153"/>
      <c r="D21" s="153"/>
      <c r="E21" s="153"/>
      <c r="F21" s="153"/>
      <c r="G21" s="153"/>
      <c r="H21" s="153"/>
      <c r="I21" s="153"/>
      <c r="J21" s="153"/>
      <c r="K21" s="153"/>
      <c r="L21" s="153"/>
      <c r="M21" s="153"/>
      <c r="N21" s="153"/>
      <c r="O21" s="153"/>
      <c r="P21" s="153"/>
    </row>
    <row r="22" spans="1:17" s="88" customFormat="1" x14ac:dyDescent="0.2">
      <c r="A22" s="132" t="str">
        <v/>
      </c>
      <c r="B22" s="131" t="str">
        <f>IFERROR(TIMEVALUE(DaqBook_RAW_Data!AG12),IFERROR(TIMEVALUE(DaqBook_RAW_Data!A12),""))</f>
        <v/>
      </c>
      <c r="C22" s="153"/>
      <c r="D22" s="153"/>
      <c r="E22" s="153"/>
      <c r="F22" s="153"/>
      <c r="G22" s="153"/>
      <c r="H22" s="153"/>
      <c r="I22" s="153"/>
      <c r="J22" s="153"/>
      <c r="K22" s="153"/>
      <c r="L22" s="153"/>
      <c r="M22" s="153"/>
      <c r="N22" s="153"/>
      <c r="O22" s="153"/>
      <c r="P22" s="153"/>
    </row>
    <row r="23" spans="1:17" s="88" customFormat="1" x14ac:dyDescent="0.2">
      <c r="A23" s="132" t="str">
        <v/>
      </c>
      <c r="B23" s="131" t="str">
        <f>IFERROR(TIMEVALUE(DaqBook_RAW_Data!AG13),IFERROR(TIMEVALUE(DaqBook_RAW_Data!A13),""))</f>
        <v/>
      </c>
      <c r="C23" s="153"/>
      <c r="D23" s="153"/>
      <c r="E23" s="153"/>
      <c r="F23" s="153"/>
      <c r="G23" s="153"/>
      <c r="H23" s="153"/>
      <c r="I23" s="153"/>
      <c r="J23" s="153"/>
      <c r="K23" s="153"/>
      <c r="L23" s="153"/>
      <c r="M23" s="153"/>
      <c r="N23" s="153"/>
      <c r="O23" s="153"/>
      <c r="P23" s="153"/>
    </row>
    <row r="24" spans="1:17" s="88" customFormat="1" x14ac:dyDescent="0.2">
      <c r="A24" s="132" t="str">
        <v/>
      </c>
      <c r="B24" s="131" t="str">
        <f>IFERROR(TIMEVALUE(DaqBook_RAW_Data!AG14),IFERROR(TIMEVALUE(DaqBook_RAW_Data!A14),""))</f>
        <v/>
      </c>
      <c r="C24" s="153"/>
      <c r="D24" s="153"/>
      <c r="E24" s="153"/>
      <c r="F24" s="153"/>
      <c r="G24" s="153"/>
      <c r="H24" s="153"/>
      <c r="I24" s="153"/>
      <c r="J24" s="153"/>
      <c r="K24" s="153"/>
      <c r="L24" s="153"/>
      <c r="M24" s="153"/>
      <c r="N24" s="153"/>
      <c r="O24" s="153"/>
      <c r="P24" s="153"/>
    </row>
    <row r="25" spans="1:17" s="88" customFormat="1" x14ac:dyDescent="0.2">
      <c r="A25" s="132" t="str">
        <v/>
      </c>
      <c r="B25" s="131" t="str">
        <f>IFERROR(TIMEVALUE(DaqBook_RAW_Data!AG15),IFERROR(TIMEVALUE(DaqBook_RAW_Data!A15),""))</f>
        <v/>
      </c>
      <c r="C25" s="153"/>
      <c r="D25" s="153"/>
      <c r="E25" s="153"/>
      <c r="F25" s="153"/>
      <c r="G25" s="153"/>
      <c r="H25" s="153"/>
      <c r="I25" s="153"/>
      <c r="J25" s="153"/>
      <c r="K25" s="153"/>
      <c r="L25" s="153"/>
      <c r="M25" s="153"/>
      <c r="N25" s="153"/>
      <c r="O25" s="153"/>
      <c r="P25" s="153"/>
    </row>
    <row r="26" spans="1:17" s="88" customFormat="1" x14ac:dyDescent="0.2">
      <c r="A26" s="132" t="str">
        <v/>
      </c>
      <c r="B26" s="131" t="str">
        <f>IFERROR(TIMEVALUE(DaqBook_RAW_Data!AG16),IFERROR(TIMEVALUE(DaqBook_RAW_Data!A16),""))</f>
        <v/>
      </c>
      <c r="C26" s="153"/>
      <c r="D26" s="153"/>
      <c r="E26" s="153"/>
      <c r="F26" s="153"/>
      <c r="G26" s="153"/>
      <c r="H26" s="153"/>
      <c r="I26" s="153"/>
      <c r="J26" s="153"/>
      <c r="K26" s="153"/>
      <c r="L26" s="153"/>
      <c r="M26" s="153"/>
      <c r="N26" s="153"/>
      <c r="O26" s="153"/>
      <c r="P26" s="153"/>
    </row>
    <row r="27" spans="1:17" s="88" customFormat="1" x14ac:dyDescent="0.2">
      <c r="A27" s="132" t="str">
        <v/>
      </c>
      <c r="B27" s="131" t="str">
        <f>IFERROR(TIMEVALUE(DaqBook_RAW_Data!AG17),IFERROR(TIMEVALUE(DaqBook_RAW_Data!A17),""))</f>
        <v/>
      </c>
      <c r="C27" s="153"/>
      <c r="D27" s="153"/>
      <c r="E27" s="153"/>
      <c r="F27" s="153"/>
      <c r="G27" s="153"/>
      <c r="H27" s="153"/>
      <c r="I27" s="153"/>
      <c r="J27" s="153"/>
      <c r="K27" s="153"/>
      <c r="L27" s="153"/>
      <c r="M27" s="153"/>
      <c r="N27" s="153"/>
      <c r="O27" s="153"/>
      <c r="P27" s="153"/>
      <c r="Q27" s="133"/>
    </row>
    <row r="28" spans="1:17" s="88" customFormat="1" x14ac:dyDescent="0.2">
      <c r="A28" s="132" t="str">
        <v/>
      </c>
      <c r="B28" s="131" t="str">
        <f>IFERROR(TIMEVALUE(DaqBook_RAW_Data!AG18),IFERROR(TIMEVALUE(DaqBook_RAW_Data!A18),""))</f>
        <v/>
      </c>
      <c r="C28" s="153"/>
      <c r="D28" s="153"/>
      <c r="E28" s="153"/>
      <c r="F28" s="153"/>
      <c r="G28" s="153"/>
      <c r="H28" s="153"/>
      <c r="I28" s="153"/>
      <c r="J28" s="153"/>
      <c r="K28" s="153"/>
      <c r="L28" s="153"/>
      <c r="M28" s="153"/>
      <c r="N28" s="153"/>
      <c r="O28" s="153"/>
      <c r="P28" s="153"/>
    </row>
    <row r="29" spans="1:17" s="88" customFormat="1" x14ac:dyDescent="0.2">
      <c r="A29" s="132" t="str">
        <v/>
      </c>
      <c r="B29" s="131" t="str">
        <f>IFERROR(TIMEVALUE(DaqBook_RAW_Data!AG19),IFERROR(TIMEVALUE(DaqBook_RAW_Data!A19),""))</f>
        <v/>
      </c>
      <c r="C29" s="153"/>
      <c r="D29" s="153"/>
      <c r="E29" s="153"/>
      <c r="F29" s="153"/>
      <c r="G29" s="153"/>
      <c r="H29" s="153"/>
      <c r="I29" s="153"/>
      <c r="J29" s="153"/>
      <c r="K29" s="153"/>
      <c r="L29" s="153"/>
      <c r="M29" s="153"/>
      <c r="N29" s="153"/>
      <c r="O29" s="153"/>
      <c r="P29" s="153"/>
    </row>
    <row r="30" spans="1:17" s="88" customFormat="1" x14ac:dyDescent="0.2">
      <c r="A30" s="132" t="str">
        <v/>
      </c>
      <c r="B30" s="131" t="str">
        <f>IFERROR(TIMEVALUE(DaqBook_RAW_Data!AG20),IFERROR(TIMEVALUE(DaqBook_RAW_Data!A20),""))</f>
        <v/>
      </c>
      <c r="C30" s="153"/>
      <c r="D30" s="153"/>
      <c r="E30" s="153"/>
      <c r="F30" s="153"/>
      <c r="G30" s="153"/>
      <c r="H30" s="153"/>
      <c r="I30" s="153"/>
      <c r="J30" s="153"/>
      <c r="K30" s="153"/>
      <c r="L30" s="153"/>
      <c r="M30" s="153"/>
      <c r="N30" s="153"/>
      <c r="O30" s="153"/>
      <c r="P30" s="153"/>
    </row>
    <row r="31" spans="1:17" s="88" customFormat="1" x14ac:dyDescent="0.2">
      <c r="A31" s="132" t="str">
        <v/>
      </c>
      <c r="B31" s="131" t="str">
        <f>IFERROR(TIMEVALUE(DaqBook_RAW_Data!AG21),IFERROR(TIMEVALUE(DaqBook_RAW_Data!A21),""))</f>
        <v/>
      </c>
      <c r="C31" s="153"/>
      <c r="D31" s="153"/>
      <c r="E31" s="153"/>
      <c r="F31" s="153"/>
      <c r="G31" s="153"/>
      <c r="H31" s="153"/>
      <c r="I31" s="153"/>
      <c r="J31" s="153"/>
      <c r="K31" s="153"/>
      <c r="L31" s="153"/>
      <c r="M31" s="153"/>
      <c r="N31" s="153"/>
      <c r="O31" s="153"/>
      <c r="P31" s="153"/>
    </row>
    <row r="32" spans="1:17" s="88" customFormat="1" x14ac:dyDescent="0.2">
      <c r="A32" s="132" t="str">
        <v/>
      </c>
      <c r="B32" s="131" t="str">
        <f>IFERROR(TIMEVALUE(DaqBook_RAW_Data!AG22),IFERROR(TIMEVALUE(DaqBook_RAW_Data!A22),""))</f>
        <v/>
      </c>
      <c r="C32" s="153"/>
      <c r="D32" s="153"/>
      <c r="E32" s="153"/>
      <c r="F32" s="153"/>
      <c r="G32" s="153"/>
      <c r="H32" s="153"/>
      <c r="I32" s="153"/>
      <c r="J32" s="153"/>
      <c r="K32" s="153"/>
      <c r="L32" s="153"/>
      <c r="M32" s="153"/>
      <c r="N32" s="153"/>
      <c r="O32" s="153"/>
      <c r="P32" s="153"/>
    </row>
    <row r="33" spans="1:16" s="88" customFormat="1" x14ac:dyDescent="0.2">
      <c r="A33" s="132" t="str">
        <v/>
      </c>
      <c r="B33" s="131" t="str">
        <f>IFERROR(TIMEVALUE(DaqBook_RAW_Data!AG23),IFERROR(TIMEVALUE(DaqBook_RAW_Data!A23),""))</f>
        <v/>
      </c>
      <c r="C33" s="153"/>
      <c r="D33" s="153"/>
      <c r="E33" s="153"/>
      <c r="F33" s="153"/>
      <c r="G33" s="153"/>
      <c r="H33" s="153"/>
      <c r="I33" s="153"/>
      <c r="J33" s="153"/>
      <c r="K33" s="153"/>
      <c r="L33" s="153"/>
      <c r="M33" s="153"/>
      <c r="N33" s="153"/>
      <c r="O33" s="153"/>
      <c r="P33" s="153"/>
    </row>
    <row r="34" spans="1:16" s="88" customFormat="1" x14ac:dyDescent="0.2">
      <c r="A34" s="132" t="str">
        <v/>
      </c>
      <c r="B34" s="131" t="str">
        <f>IFERROR(TIMEVALUE(DaqBook_RAW_Data!AG24),IFERROR(TIMEVALUE(DaqBook_RAW_Data!A24),""))</f>
        <v/>
      </c>
      <c r="C34" s="153"/>
      <c r="D34" s="153"/>
      <c r="E34" s="153"/>
      <c r="F34" s="153"/>
      <c r="G34" s="153"/>
      <c r="H34" s="153"/>
      <c r="I34" s="153"/>
      <c r="J34" s="153"/>
      <c r="K34" s="153"/>
      <c r="L34" s="153"/>
      <c r="M34" s="153"/>
      <c r="N34" s="153"/>
      <c r="O34" s="153"/>
      <c r="P34" s="153"/>
    </row>
    <row r="35" spans="1:16" s="88" customFormat="1" x14ac:dyDescent="0.2">
      <c r="A35" s="132" t="str">
        <v/>
      </c>
      <c r="B35" s="131" t="str">
        <f>IFERROR(TIMEVALUE(DaqBook_RAW_Data!AG25),IFERROR(TIMEVALUE(DaqBook_RAW_Data!A25),""))</f>
        <v/>
      </c>
      <c r="C35" s="153"/>
      <c r="D35" s="153"/>
      <c r="E35" s="153"/>
      <c r="F35" s="153"/>
      <c r="G35" s="153"/>
      <c r="H35" s="153"/>
      <c r="I35" s="153"/>
      <c r="J35" s="153"/>
      <c r="K35" s="153"/>
      <c r="L35" s="153"/>
      <c r="M35" s="153"/>
      <c r="N35" s="153"/>
      <c r="O35" s="153"/>
      <c r="P35" s="153"/>
    </row>
    <row r="36" spans="1:16" s="88" customFormat="1" x14ac:dyDescent="0.2">
      <c r="A36" s="132" t="str">
        <v/>
      </c>
      <c r="B36" s="131" t="str">
        <f>IFERROR(TIMEVALUE(DaqBook_RAW_Data!AG26),IFERROR(TIMEVALUE(DaqBook_RAW_Data!A26),""))</f>
        <v/>
      </c>
      <c r="C36" s="153"/>
      <c r="D36" s="153"/>
      <c r="E36" s="153"/>
      <c r="F36" s="153"/>
      <c r="G36" s="153"/>
      <c r="H36" s="153"/>
      <c r="I36" s="153"/>
      <c r="J36" s="153"/>
      <c r="K36" s="153"/>
      <c r="L36" s="153"/>
      <c r="M36" s="153"/>
      <c r="N36" s="153"/>
      <c r="O36" s="153"/>
      <c r="P36" s="153"/>
    </row>
    <row r="37" spans="1:16" s="88" customFormat="1" x14ac:dyDescent="0.2">
      <c r="A37" s="132" t="str">
        <v/>
      </c>
      <c r="B37" s="131" t="str">
        <f>IFERROR(TIMEVALUE(DaqBook_RAW_Data!AG27),IFERROR(TIMEVALUE(DaqBook_RAW_Data!A27),""))</f>
        <v/>
      </c>
      <c r="C37" s="153"/>
      <c r="D37" s="153"/>
      <c r="E37" s="153"/>
      <c r="F37" s="153"/>
      <c r="G37" s="153"/>
      <c r="H37" s="153"/>
      <c r="I37" s="153"/>
      <c r="J37" s="153"/>
      <c r="K37" s="153"/>
      <c r="L37" s="153"/>
      <c r="M37" s="153"/>
      <c r="N37" s="153"/>
      <c r="O37" s="153"/>
      <c r="P37" s="153"/>
    </row>
    <row r="38" spans="1:16" s="88" customFormat="1" x14ac:dyDescent="0.2">
      <c r="A38" s="132" t="str">
        <v/>
      </c>
      <c r="B38" s="131" t="str">
        <f>IFERROR(TIMEVALUE(DaqBook_RAW_Data!AG28),IFERROR(TIMEVALUE(DaqBook_RAW_Data!A28),""))</f>
        <v/>
      </c>
      <c r="C38" s="153"/>
      <c r="D38" s="153"/>
      <c r="E38" s="153"/>
      <c r="F38" s="153"/>
      <c r="G38" s="153"/>
      <c r="H38" s="153"/>
      <c r="I38" s="153"/>
      <c r="J38" s="153"/>
      <c r="K38" s="153"/>
      <c r="L38" s="153"/>
      <c r="M38" s="153"/>
      <c r="N38" s="153"/>
      <c r="O38" s="153"/>
      <c r="P38" s="153"/>
    </row>
    <row r="39" spans="1:16" s="88" customFormat="1" x14ac:dyDescent="0.2">
      <c r="A39" s="132" t="str">
        <v/>
      </c>
      <c r="B39" s="131" t="str">
        <f>IFERROR(TIMEVALUE(DaqBook_RAW_Data!AG29),IFERROR(TIMEVALUE(DaqBook_RAW_Data!A29),""))</f>
        <v/>
      </c>
      <c r="C39" s="153"/>
      <c r="D39" s="153"/>
      <c r="E39" s="153"/>
      <c r="F39" s="153"/>
      <c r="G39" s="153"/>
      <c r="H39" s="153"/>
      <c r="I39" s="153"/>
      <c r="J39" s="153"/>
      <c r="K39" s="153"/>
      <c r="L39" s="153"/>
      <c r="M39" s="153"/>
      <c r="N39" s="153"/>
      <c r="O39" s="153"/>
      <c r="P39" s="153"/>
    </row>
    <row r="40" spans="1:16" s="88" customFormat="1" x14ac:dyDescent="0.2">
      <c r="A40" s="132" t="str">
        <v/>
      </c>
      <c r="B40" s="131" t="str">
        <f>IFERROR(TIMEVALUE(DaqBook_RAW_Data!AG30),IFERROR(TIMEVALUE(DaqBook_RAW_Data!A30),""))</f>
        <v/>
      </c>
      <c r="C40" s="153"/>
      <c r="D40" s="153"/>
      <c r="E40" s="153"/>
      <c r="F40" s="153"/>
      <c r="G40" s="153"/>
      <c r="H40" s="153"/>
      <c r="I40" s="153"/>
      <c r="J40" s="153"/>
      <c r="K40" s="153"/>
      <c r="L40" s="153"/>
      <c r="M40" s="153"/>
      <c r="N40" s="153"/>
      <c r="O40" s="153"/>
      <c r="P40" s="153"/>
    </row>
    <row r="41" spans="1:16" s="88" customFormat="1" x14ac:dyDescent="0.2">
      <c r="A41" s="132" t="str">
        <v/>
      </c>
      <c r="B41" s="131" t="str">
        <f>IFERROR(TIMEVALUE(DaqBook_RAW_Data!AG31),IFERROR(TIMEVALUE(DaqBook_RAW_Data!A31),""))</f>
        <v/>
      </c>
      <c r="C41" s="153"/>
      <c r="D41" s="153"/>
      <c r="E41" s="153"/>
      <c r="F41" s="153"/>
      <c r="G41" s="153"/>
      <c r="H41" s="153"/>
      <c r="I41" s="153"/>
      <c r="J41" s="153"/>
      <c r="K41" s="153"/>
      <c r="L41" s="153"/>
      <c r="M41" s="153"/>
      <c r="N41" s="153"/>
      <c r="O41" s="153"/>
      <c r="P41" s="153"/>
    </row>
    <row r="42" spans="1:16" s="88" customFormat="1" x14ac:dyDescent="0.2">
      <c r="A42" s="132" t="str">
        <v/>
      </c>
      <c r="B42" s="131" t="str">
        <f>IFERROR(TIMEVALUE(DaqBook_RAW_Data!AG32),IFERROR(TIMEVALUE(DaqBook_RAW_Data!A32),""))</f>
        <v/>
      </c>
      <c r="C42" s="153"/>
      <c r="D42" s="153"/>
      <c r="E42" s="153"/>
      <c r="F42" s="153"/>
      <c r="G42" s="153"/>
      <c r="H42" s="153"/>
      <c r="I42" s="153"/>
      <c r="J42" s="153"/>
      <c r="K42" s="153"/>
      <c r="L42" s="153"/>
      <c r="M42" s="153"/>
      <c r="N42" s="153"/>
      <c r="O42" s="153"/>
      <c r="P42" s="153"/>
    </row>
    <row r="43" spans="1:16" s="88" customFormat="1" x14ac:dyDescent="0.2">
      <c r="A43" s="132" t="str">
        <v/>
      </c>
      <c r="B43" s="131" t="str">
        <f>IFERROR(TIMEVALUE(DaqBook_RAW_Data!AG33),IFERROR(TIMEVALUE(DaqBook_RAW_Data!A33),""))</f>
        <v/>
      </c>
      <c r="C43" s="153"/>
      <c r="D43" s="153"/>
      <c r="E43" s="153"/>
      <c r="F43" s="153"/>
      <c r="G43" s="153"/>
      <c r="H43" s="153"/>
      <c r="I43" s="153"/>
      <c r="J43" s="153"/>
      <c r="K43" s="153"/>
      <c r="L43" s="153"/>
      <c r="M43" s="153"/>
      <c r="N43" s="153"/>
      <c r="O43" s="153"/>
      <c r="P43" s="153"/>
    </row>
    <row r="44" spans="1:16" s="88" customFormat="1" x14ac:dyDescent="0.2">
      <c r="A44" s="132" t="str">
        <v/>
      </c>
      <c r="B44" s="131" t="str">
        <f>IFERROR(TIMEVALUE(DaqBook_RAW_Data!AG34),IFERROR(TIMEVALUE(DaqBook_RAW_Data!A34),""))</f>
        <v/>
      </c>
      <c r="C44" s="153"/>
      <c r="D44" s="153"/>
      <c r="E44" s="153"/>
      <c r="F44" s="153"/>
      <c r="G44" s="153"/>
      <c r="H44" s="153"/>
      <c r="I44" s="153"/>
      <c r="J44" s="153"/>
      <c r="K44" s="153"/>
      <c r="L44" s="153"/>
      <c r="M44" s="153"/>
      <c r="N44" s="153"/>
      <c r="O44" s="153"/>
      <c r="P44" s="153"/>
    </row>
    <row r="45" spans="1:16" s="88" customFormat="1" x14ac:dyDescent="0.2">
      <c r="A45" s="132" t="str">
        <v/>
      </c>
      <c r="B45" s="131" t="str">
        <f>IFERROR(TIMEVALUE(DaqBook_RAW_Data!AG35),IFERROR(TIMEVALUE(DaqBook_RAW_Data!A35),""))</f>
        <v/>
      </c>
      <c r="C45" s="153"/>
      <c r="D45" s="153"/>
      <c r="E45" s="153"/>
      <c r="F45" s="153"/>
      <c r="G45" s="153"/>
      <c r="H45" s="153"/>
      <c r="I45" s="153"/>
      <c r="J45" s="153"/>
      <c r="K45" s="153"/>
      <c r="L45" s="153"/>
      <c r="M45" s="153"/>
      <c r="N45" s="153"/>
      <c r="O45" s="153"/>
      <c r="P45" s="153"/>
    </row>
    <row r="46" spans="1:16" s="88" customFormat="1" x14ac:dyDescent="0.2">
      <c r="A46" s="132" t="str">
        <v/>
      </c>
      <c r="B46" s="131" t="str">
        <f>IFERROR(TIMEVALUE(DaqBook_RAW_Data!AG36),IFERROR(TIMEVALUE(DaqBook_RAW_Data!A36),""))</f>
        <v/>
      </c>
      <c r="C46" s="153"/>
      <c r="D46" s="153"/>
      <c r="E46" s="153"/>
      <c r="F46" s="153"/>
      <c r="G46" s="153"/>
      <c r="H46" s="153"/>
      <c r="I46" s="153"/>
      <c r="J46" s="153"/>
      <c r="K46" s="153"/>
      <c r="L46" s="153"/>
      <c r="M46" s="153"/>
      <c r="N46" s="153"/>
      <c r="O46" s="153"/>
      <c r="P46" s="153"/>
    </row>
    <row r="47" spans="1:16" s="88" customFormat="1" x14ac:dyDescent="0.2">
      <c r="A47" s="132" t="str">
        <v/>
      </c>
      <c r="B47" s="131" t="str">
        <f>IFERROR(TIMEVALUE(DaqBook_RAW_Data!AG37),IFERROR(TIMEVALUE(DaqBook_RAW_Data!A37),""))</f>
        <v/>
      </c>
      <c r="C47" s="153"/>
      <c r="D47" s="153"/>
      <c r="E47" s="153"/>
      <c r="F47" s="153"/>
      <c r="G47" s="153"/>
      <c r="H47" s="153"/>
      <c r="I47" s="153"/>
      <c r="J47" s="153"/>
      <c r="K47" s="153"/>
      <c r="L47" s="153"/>
      <c r="M47" s="153"/>
      <c r="N47" s="153"/>
      <c r="O47" s="153"/>
      <c r="P47" s="153"/>
    </row>
    <row r="48" spans="1:16" s="88" customFormat="1" x14ac:dyDescent="0.2">
      <c r="A48" s="132" t="str">
        <v/>
      </c>
      <c r="B48" s="131" t="str">
        <f>IFERROR(TIMEVALUE(DaqBook_RAW_Data!AG38),IFERROR(TIMEVALUE(DaqBook_RAW_Data!A38),""))</f>
        <v/>
      </c>
      <c r="C48" s="153"/>
      <c r="D48" s="153"/>
      <c r="E48" s="153"/>
      <c r="F48" s="153"/>
      <c r="G48" s="153"/>
      <c r="H48" s="153"/>
      <c r="I48" s="153"/>
      <c r="J48" s="153"/>
      <c r="K48" s="153"/>
      <c r="L48" s="153"/>
      <c r="M48" s="153"/>
      <c r="N48" s="153"/>
      <c r="O48" s="153"/>
      <c r="P48" s="153"/>
    </row>
    <row r="49" spans="1:16" s="88" customFormat="1" x14ac:dyDescent="0.2">
      <c r="A49" s="132" t="str">
        <v/>
      </c>
      <c r="B49" s="131" t="str">
        <f>IFERROR(TIMEVALUE(DaqBook_RAW_Data!AG39),IFERROR(TIMEVALUE(DaqBook_RAW_Data!A39),""))</f>
        <v/>
      </c>
      <c r="C49" s="153"/>
      <c r="D49" s="153"/>
      <c r="E49" s="153"/>
      <c r="F49" s="153"/>
      <c r="G49" s="153"/>
      <c r="H49" s="153"/>
      <c r="I49" s="153"/>
      <c r="J49" s="153"/>
      <c r="K49" s="153"/>
      <c r="L49" s="153"/>
      <c r="M49" s="153"/>
      <c r="N49" s="153"/>
      <c r="O49" s="153"/>
      <c r="P49" s="153"/>
    </row>
    <row r="50" spans="1:16" s="88" customFormat="1" x14ac:dyDescent="0.2">
      <c r="A50" s="132" t="str">
        <v/>
      </c>
      <c r="B50" s="131" t="str">
        <f>IFERROR(TIMEVALUE(DaqBook_RAW_Data!AG40),IFERROR(TIMEVALUE(DaqBook_RAW_Data!A40),""))</f>
        <v/>
      </c>
      <c r="C50" s="153"/>
      <c r="D50" s="153"/>
      <c r="E50" s="153"/>
      <c r="F50" s="153"/>
      <c r="G50" s="153"/>
      <c r="H50" s="153"/>
      <c r="I50" s="153"/>
      <c r="J50" s="153"/>
      <c r="K50" s="153"/>
      <c r="L50" s="153"/>
      <c r="M50" s="153"/>
      <c r="N50" s="153"/>
      <c r="O50" s="153"/>
      <c r="P50" s="153"/>
    </row>
    <row r="51" spans="1:16" s="88" customFormat="1" x14ac:dyDescent="0.2">
      <c r="A51" s="132" t="str">
        <v/>
      </c>
      <c r="B51" s="131" t="str">
        <f>IFERROR(TIMEVALUE(DaqBook_RAW_Data!AG41),IFERROR(TIMEVALUE(DaqBook_RAW_Data!A41),""))</f>
        <v/>
      </c>
      <c r="C51" s="153"/>
      <c r="D51" s="153"/>
      <c r="E51" s="153"/>
      <c r="F51" s="153"/>
      <c r="G51" s="153"/>
      <c r="H51" s="153"/>
      <c r="I51" s="153"/>
      <c r="J51" s="153"/>
      <c r="K51" s="153"/>
      <c r="L51" s="153"/>
      <c r="M51" s="153"/>
      <c r="N51" s="153"/>
      <c r="O51" s="153"/>
      <c r="P51" s="153"/>
    </row>
    <row r="52" spans="1:16" s="88" customFormat="1" x14ac:dyDescent="0.2">
      <c r="A52" s="132" t="str">
        <v/>
      </c>
      <c r="B52" s="131" t="str">
        <f>IFERROR(TIMEVALUE(DaqBook_RAW_Data!AG42),IFERROR(TIMEVALUE(DaqBook_RAW_Data!A42),""))</f>
        <v/>
      </c>
      <c r="C52" s="153"/>
      <c r="D52" s="153"/>
      <c r="E52" s="153"/>
      <c r="F52" s="153"/>
      <c r="G52" s="153"/>
      <c r="H52" s="153"/>
      <c r="I52" s="153"/>
      <c r="J52" s="153"/>
      <c r="K52" s="153"/>
      <c r="L52" s="153"/>
      <c r="M52" s="153"/>
      <c r="N52" s="153"/>
      <c r="O52" s="153"/>
      <c r="P52" s="153"/>
    </row>
    <row r="53" spans="1:16" s="88" customFormat="1" x14ac:dyDescent="0.2">
      <c r="A53" s="132" t="str">
        <v/>
      </c>
      <c r="B53" s="131" t="str">
        <f>IFERROR(TIMEVALUE(DaqBook_RAW_Data!AG43),IFERROR(TIMEVALUE(DaqBook_RAW_Data!A43),""))</f>
        <v/>
      </c>
      <c r="C53" s="153"/>
      <c r="D53" s="153"/>
      <c r="E53" s="153"/>
      <c r="F53" s="153"/>
      <c r="G53" s="153"/>
      <c r="H53" s="153"/>
      <c r="I53" s="153"/>
      <c r="J53" s="153"/>
      <c r="K53" s="153"/>
      <c r="L53" s="153"/>
      <c r="M53" s="153"/>
      <c r="N53" s="153"/>
      <c r="O53" s="153"/>
      <c r="P53" s="153"/>
    </row>
    <row r="54" spans="1:16" s="88" customFormat="1" x14ac:dyDescent="0.2">
      <c r="A54" s="132" t="str">
        <v/>
      </c>
      <c r="B54" s="131" t="str">
        <f>IFERROR(TIMEVALUE(DaqBook_RAW_Data!AG44),IFERROR(TIMEVALUE(DaqBook_RAW_Data!A44),""))</f>
        <v/>
      </c>
      <c r="C54" s="153"/>
      <c r="D54" s="153"/>
      <c r="E54" s="153"/>
      <c r="F54" s="153"/>
      <c r="G54" s="153"/>
      <c r="H54" s="153"/>
      <c r="I54" s="153"/>
      <c r="J54" s="153"/>
      <c r="K54" s="153"/>
      <c r="L54" s="153"/>
      <c r="M54" s="153"/>
      <c r="N54" s="153"/>
      <c r="O54" s="153"/>
      <c r="P54" s="153"/>
    </row>
    <row r="55" spans="1:16" s="88" customFormat="1" x14ac:dyDescent="0.2">
      <c r="A55" s="132" t="str">
        <v/>
      </c>
      <c r="B55" s="131" t="str">
        <f>IFERROR(TIMEVALUE(DaqBook_RAW_Data!AG45),IFERROR(TIMEVALUE(DaqBook_RAW_Data!A45),""))</f>
        <v/>
      </c>
      <c r="C55" s="153"/>
      <c r="D55" s="153"/>
      <c r="E55" s="153"/>
      <c r="F55" s="153"/>
      <c r="G55" s="153"/>
      <c r="H55" s="153"/>
      <c r="I55" s="153"/>
      <c r="J55" s="153"/>
      <c r="K55" s="153"/>
      <c r="L55" s="153"/>
      <c r="M55" s="153"/>
      <c r="N55" s="153"/>
      <c r="O55" s="153"/>
      <c r="P55" s="153"/>
    </row>
    <row r="56" spans="1:16" s="88" customFormat="1" x14ac:dyDescent="0.2">
      <c r="A56" s="132" t="str">
        <v/>
      </c>
      <c r="B56" s="131" t="str">
        <f>IFERROR(TIMEVALUE(DaqBook_RAW_Data!AG46),IFERROR(TIMEVALUE(DaqBook_RAW_Data!A46),""))</f>
        <v/>
      </c>
      <c r="C56" s="153"/>
      <c r="D56" s="153"/>
      <c r="E56" s="153"/>
      <c r="F56" s="153"/>
      <c r="G56" s="153"/>
      <c r="H56" s="153"/>
      <c r="I56" s="153"/>
      <c r="J56" s="153"/>
      <c r="K56" s="153"/>
      <c r="L56" s="153"/>
      <c r="M56" s="153"/>
      <c r="N56" s="153"/>
      <c r="O56" s="153"/>
      <c r="P56" s="153"/>
    </row>
    <row r="57" spans="1:16" s="88" customFormat="1" x14ac:dyDescent="0.2">
      <c r="A57" s="132" t="str">
        <v/>
      </c>
      <c r="B57" s="131" t="str">
        <f>IFERROR(TIMEVALUE(DaqBook_RAW_Data!AG47),IFERROR(TIMEVALUE(DaqBook_RAW_Data!A47),""))</f>
        <v/>
      </c>
      <c r="C57" s="153"/>
      <c r="D57" s="153"/>
      <c r="E57" s="153"/>
      <c r="F57" s="153"/>
      <c r="G57" s="153"/>
      <c r="H57" s="153"/>
      <c r="I57" s="153"/>
      <c r="J57" s="153"/>
      <c r="K57" s="153"/>
      <c r="L57" s="153"/>
      <c r="M57" s="153"/>
      <c r="N57" s="153"/>
      <c r="O57" s="153"/>
      <c r="P57" s="153"/>
    </row>
    <row r="58" spans="1:16" s="88" customFormat="1" x14ac:dyDescent="0.2">
      <c r="A58" s="132" t="str">
        <v/>
      </c>
      <c r="B58" s="131" t="str">
        <f>IFERROR(TIMEVALUE(DaqBook_RAW_Data!AG48),IFERROR(TIMEVALUE(DaqBook_RAW_Data!A48),""))</f>
        <v/>
      </c>
      <c r="C58" s="153"/>
      <c r="D58" s="153"/>
      <c r="E58" s="153"/>
      <c r="F58" s="153"/>
      <c r="G58" s="153"/>
      <c r="H58" s="153"/>
      <c r="I58" s="153"/>
      <c r="J58" s="153"/>
      <c r="K58" s="153"/>
      <c r="L58" s="153"/>
      <c r="M58" s="153"/>
      <c r="N58" s="153"/>
      <c r="O58" s="153"/>
      <c r="P58" s="153"/>
    </row>
    <row r="59" spans="1:16" s="88" customFormat="1" x14ac:dyDescent="0.2">
      <c r="A59" s="132" t="str">
        <v/>
      </c>
      <c r="B59" s="131" t="str">
        <f>IFERROR(TIMEVALUE(DaqBook_RAW_Data!AG49),IFERROR(TIMEVALUE(DaqBook_RAW_Data!A49),""))</f>
        <v/>
      </c>
      <c r="C59" s="153"/>
      <c r="D59" s="153"/>
      <c r="E59" s="153"/>
      <c r="F59" s="153"/>
      <c r="G59" s="153"/>
      <c r="H59" s="153"/>
      <c r="I59" s="153"/>
      <c r="J59" s="153"/>
      <c r="K59" s="153"/>
      <c r="L59" s="153"/>
      <c r="M59" s="153"/>
      <c r="N59" s="153"/>
      <c r="O59" s="153"/>
      <c r="P59" s="153"/>
    </row>
    <row r="60" spans="1:16" s="88" customFormat="1" x14ac:dyDescent="0.2">
      <c r="A60" s="132" t="str">
        <v/>
      </c>
      <c r="B60" s="131" t="str">
        <f>IFERROR(TIMEVALUE(DaqBook_RAW_Data!AG50),IFERROR(TIMEVALUE(DaqBook_RAW_Data!A50),""))</f>
        <v/>
      </c>
      <c r="C60" s="153"/>
      <c r="D60" s="153"/>
      <c r="E60" s="153"/>
      <c r="F60" s="153"/>
      <c r="G60" s="153"/>
      <c r="H60" s="153"/>
      <c r="I60" s="153"/>
      <c r="J60" s="153"/>
      <c r="K60" s="153"/>
      <c r="L60" s="153"/>
      <c r="M60" s="153"/>
      <c r="N60" s="153"/>
      <c r="O60" s="153"/>
      <c r="P60" s="153"/>
    </row>
    <row r="61" spans="1:16" s="88" customFormat="1" x14ac:dyDescent="0.2">
      <c r="A61" s="132" t="str">
        <v/>
      </c>
      <c r="B61" s="131" t="str">
        <f>IFERROR(TIMEVALUE(DaqBook_RAW_Data!AG51),IFERROR(TIMEVALUE(DaqBook_RAW_Data!A51),""))</f>
        <v/>
      </c>
      <c r="C61" s="153"/>
      <c r="D61" s="153"/>
      <c r="E61" s="153"/>
      <c r="F61" s="153"/>
      <c r="G61" s="153"/>
      <c r="H61" s="153"/>
      <c r="I61" s="153"/>
      <c r="J61" s="153"/>
      <c r="K61" s="153"/>
      <c r="L61" s="153"/>
      <c r="M61" s="153"/>
      <c r="N61" s="153"/>
      <c r="O61" s="153"/>
      <c r="P61" s="153"/>
    </row>
    <row r="62" spans="1:16" s="88" customFormat="1" x14ac:dyDescent="0.2">
      <c r="A62" s="132" t="str">
        <v/>
      </c>
      <c r="B62" s="131" t="str">
        <f>IFERROR(TIMEVALUE(DaqBook_RAW_Data!AG52),IFERROR(TIMEVALUE(DaqBook_RAW_Data!A52),""))</f>
        <v/>
      </c>
      <c r="C62" s="153"/>
      <c r="D62" s="153"/>
      <c r="E62" s="153"/>
      <c r="F62" s="153"/>
      <c r="G62" s="153"/>
      <c r="H62" s="153"/>
      <c r="I62" s="153"/>
      <c r="J62" s="153"/>
      <c r="K62" s="153"/>
      <c r="L62" s="153"/>
      <c r="M62" s="153"/>
      <c r="N62" s="153"/>
      <c r="O62" s="153"/>
      <c r="P62" s="153"/>
    </row>
    <row r="63" spans="1:16" s="88" customFormat="1" x14ac:dyDescent="0.2">
      <c r="A63" s="132" t="str">
        <v/>
      </c>
      <c r="B63" s="131" t="str">
        <f>IFERROR(TIMEVALUE(DaqBook_RAW_Data!AG53),IFERROR(TIMEVALUE(DaqBook_RAW_Data!A53),""))</f>
        <v/>
      </c>
      <c r="C63" s="153"/>
      <c r="D63" s="153"/>
      <c r="E63" s="153"/>
      <c r="F63" s="153"/>
      <c r="G63" s="153"/>
      <c r="H63" s="153"/>
      <c r="I63" s="153"/>
      <c r="J63" s="153"/>
      <c r="K63" s="153"/>
      <c r="L63" s="153"/>
      <c r="M63" s="153"/>
      <c r="N63" s="153"/>
      <c r="O63" s="153"/>
      <c r="P63" s="153"/>
    </row>
    <row r="64" spans="1:16" s="88" customFormat="1" x14ac:dyDescent="0.2">
      <c r="A64" s="132" t="str">
        <v/>
      </c>
      <c r="B64" s="131" t="str">
        <f>IFERROR(TIMEVALUE(DaqBook_RAW_Data!AG54),IFERROR(TIMEVALUE(DaqBook_RAW_Data!A54),""))</f>
        <v/>
      </c>
      <c r="C64" s="153"/>
      <c r="D64" s="153"/>
      <c r="E64" s="153"/>
      <c r="F64" s="153"/>
      <c r="G64" s="153"/>
      <c r="H64" s="153"/>
      <c r="I64" s="153"/>
      <c r="J64" s="153"/>
      <c r="K64" s="153"/>
      <c r="L64" s="153"/>
      <c r="M64" s="153"/>
      <c r="N64" s="153"/>
      <c r="O64" s="153"/>
      <c r="P64" s="153"/>
    </row>
    <row r="65" spans="1:16" s="88" customFormat="1" x14ac:dyDescent="0.2">
      <c r="A65" s="132" t="str">
        <v/>
      </c>
      <c r="B65" s="131" t="str">
        <f>IFERROR(TIMEVALUE(DaqBook_RAW_Data!AG55),IFERROR(TIMEVALUE(DaqBook_RAW_Data!A55),""))</f>
        <v/>
      </c>
      <c r="C65" s="153"/>
      <c r="D65" s="153"/>
      <c r="E65" s="153"/>
      <c r="F65" s="153"/>
      <c r="G65" s="153"/>
      <c r="H65" s="153"/>
      <c r="I65" s="153"/>
      <c r="J65" s="153"/>
      <c r="K65" s="153"/>
      <c r="L65" s="153"/>
      <c r="M65" s="153"/>
      <c r="N65" s="153"/>
      <c r="O65" s="153"/>
      <c r="P65" s="153"/>
    </row>
    <row r="66" spans="1:16" s="88" customFormat="1" x14ac:dyDescent="0.2">
      <c r="A66" s="132" t="str">
        <v/>
      </c>
      <c r="B66" s="131" t="str">
        <f>IFERROR(TIMEVALUE(DaqBook_RAW_Data!AG56),IFERROR(TIMEVALUE(DaqBook_RAW_Data!A56),""))</f>
        <v/>
      </c>
      <c r="C66" s="153"/>
      <c r="D66" s="153"/>
      <c r="E66" s="153"/>
      <c r="F66" s="153"/>
      <c r="G66" s="153"/>
      <c r="H66" s="153"/>
      <c r="I66" s="153"/>
      <c r="J66" s="153"/>
      <c r="K66" s="153"/>
      <c r="L66" s="153"/>
      <c r="M66" s="153"/>
      <c r="N66" s="153"/>
      <c r="O66" s="153"/>
      <c r="P66" s="153"/>
    </row>
    <row r="67" spans="1:16" s="88" customFormat="1" x14ac:dyDescent="0.2">
      <c r="A67" s="132" t="str">
        <v/>
      </c>
      <c r="B67" s="131" t="str">
        <f>IFERROR(TIMEVALUE(DaqBook_RAW_Data!AG57),IFERROR(TIMEVALUE(DaqBook_RAW_Data!A57),""))</f>
        <v/>
      </c>
      <c r="C67" s="153"/>
      <c r="D67" s="153"/>
      <c r="E67" s="153"/>
      <c r="F67" s="153"/>
      <c r="G67" s="153"/>
      <c r="H67" s="153"/>
      <c r="I67" s="153"/>
      <c r="J67" s="153"/>
      <c r="K67" s="153"/>
      <c r="L67" s="153"/>
      <c r="M67" s="153"/>
      <c r="N67" s="153"/>
      <c r="O67" s="153"/>
      <c r="P67" s="153"/>
    </row>
    <row r="68" spans="1:16" s="88" customFormat="1" x14ac:dyDescent="0.2">
      <c r="A68" s="132" t="str">
        <v/>
      </c>
      <c r="B68" s="131" t="str">
        <f>IFERROR(TIMEVALUE(DaqBook_RAW_Data!AG58),IFERROR(TIMEVALUE(DaqBook_RAW_Data!A58),""))</f>
        <v/>
      </c>
      <c r="C68" s="153"/>
      <c r="D68" s="153"/>
      <c r="E68" s="153"/>
      <c r="F68" s="153"/>
      <c r="G68" s="153"/>
      <c r="H68" s="153"/>
      <c r="I68" s="153"/>
      <c r="J68" s="153"/>
      <c r="K68" s="153"/>
      <c r="L68" s="153"/>
      <c r="M68" s="153"/>
      <c r="N68" s="153"/>
      <c r="O68" s="153"/>
      <c r="P68" s="153"/>
    </row>
    <row r="69" spans="1:16" s="88" customFormat="1" x14ac:dyDescent="0.2">
      <c r="A69" s="132" t="str">
        <v/>
      </c>
      <c r="B69" s="131" t="str">
        <f>IFERROR(TIMEVALUE(DaqBook_RAW_Data!AG59),IFERROR(TIMEVALUE(DaqBook_RAW_Data!A59),""))</f>
        <v/>
      </c>
      <c r="C69" s="153"/>
      <c r="D69" s="153"/>
      <c r="E69" s="153"/>
      <c r="F69" s="153"/>
      <c r="G69" s="153"/>
      <c r="H69" s="153"/>
      <c r="I69" s="153"/>
      <c r="J69" s="153"/>
      <c r="K69" s="153"/>
      <c r="L69" s="153"/>
      <c r="M69" s="153"/>
      <c r="N69" s="153"/>
      <c r="O69" s="153"/>
      <c r="P69" s="153"/>
    </row>
    <row r="70" spans="1:16" s="88" customFormat="1" x14ac:dyDescent="0.2">
      <c r="A70" s="132" t="str">
        <v/>
      </c>
      <c r="B70" s="131" t="str">
        <f>IFERROR(TIMEVALUE(DaqBook_RAW_Data!AG60),IFERROR(TIMEVALUE(DaqBook_RAW_Data!A60),""))</f>
        <v/>
      </c>
      <c r="C70" s="153"/>
      <c r="D70" s="153"/>
      <c r="E70" s="153"/>
      <c r="F70" s="153"/>
      <c r="G70" s="153"/>
      <c r="H70" s="153"/>
      <c r="I70" s="153"/>
      <c r="J70" s="153"/>
      <c r="K70" s="153"/>
      <c r="L70" s="153"/>
      <c r="M70" s="153"/>
      <c r="N70" s="153"/>
      <c r="O70" s="153"/>
      <c r="P70" s="153"/>
    </row>
    <row r="71" spans="1:16" s="88" customFormat="1" x14ac:dyDescent="0.2">
      <c r="A71" s="132" t="str">
        <v/>
      </c>
      <c r="B71" s="131" t="str">
        <f>IFERROR(TIMEVALUE(DaqBook_RAW_Data!AG61),IFERROR(TIMEVALUE(DaqBook_RAW_Data!A61),""))</f>
        <v/>
      </c>
      <c r="C71" s="153"/>
      <c r="D71" s="153"/>
      <c r="E71" s="153"/>
      <c r="F71" s="153"/>
      <c r="G71" s="153"/>
      <c r="H71" s="153"/>
      <c r="I71" s="153"/>
      <c r="J71" s="153"/>
      <c r="K71" s="153"/>
      <c r="L71" s="153"/>
      <c r="M71" s="153"/>
      <c r="N71" s="153"/>
      <c r="O71" s="153"/>
      <c r="P71" s="153"/>
    </row>
    <row r="72" spans="1:16" s="88" customFormat="1" x14ac:dyDescent="0.2">
      <c r="A72" s="132" t="str">
        <v/>
      </c>
      <c r="B72" s="131" t="str">
        <f>IFERROR(TIMEVALUE(DaqBook_RAW_Data!AG62),IFERROR(TIMEVALUE(DaqBook_RAW_Data!A62),""))</f>
        <v/>
      </c>
      <c r="C72" s="153"/>
      <c r="D72" s="153"/>
      <c r="E72" s="153"/>
      <c r="F72" s="153"/>
      <c r="G72" s="153"/>
      <c r="H72" s="153"/>
      <c r="I72" s="153"/>
      <c r="J72" s="153"/>
      <c r="K72" s="153"/>
      <c r="L72" s="153"/>
      <c r="M72" s="153"/>
      <c r="N72" s="153"/>
      <c r="O72" s="153"/>
      <c r="P72" s="153"/>
    </row>
    <row r="73" spans="1:16" s="88" customFormat="1" x14ac:dyDescent="0.2">
      <c r="A73" s="132" t="str">
        <v/>
      </c>
      <c r="B73" s="131" t="str">
        <f>IFERROR(TIMEVALUE(DaqBook_RAW_Data!AG63),IFERROR(TIMEVALUE(DaqBook_RAW_Data!A63),""))</f>
        <v/>
      </c>
      <c r="C73" s="153"/>
      <c r="D73" s="153"/>
      <c r="E73" s="153"/>
      <c r="F73" s="153"/>
      <c r="G73" s="153"/>
      <c r="H73" s="153"/>
      <c r="I73" s="153"/>
      <c r="J73" s="153"/>
      <c r="K73" s="153"/>
      <c r="L73" s="153"/>
      <c r="M73" s="153"/>
      <c r="N73" s="153"/>
      <c r="O73" s="153"/>
      <c r="P73" s="153"/>
    </row>
    <row r="74" spans="1:16" s="88" customFormat="1" x14ac:dyDescent="0.2">
      <c r="A74" s="132" t="str">
        <v/>
      </c>
      <c r="B74" s="131" t="str">
        <f>IFERROR(TIMEVALUE(DaqBook_RAW_Data!AG64),IFERROR(TIMEVALUE(DaqBook_RAW_Data!A64),""))</f>
        <v/>
      </c>
      <c r="C74" s="153"/>
      <c r="D74" s="153"/>
      <c r="E74" s="153"/>
      <c r="F74" s="153"/>
      <c r="G74" s="153"/>
      <c r="H74" s="153"/>
      <c r="I74" s="153"/>
      <c r="J74" s="153"/>
      <c r="K74" s="153"/>
      <c r="L74" s="153"/>
      <c r="M74" s="153"/>
      <c r="N74" s="153"/>
      <c r="O74" s="153"/>
      <c r="P74" s="153"/>
    </row>
    <row r="75" spans="1:16" s="88" customFormat="1" x14ac:dyDescent="0.2">
      <c r="A75" s="132" t="str">
        <v/>
      </c>
      <c r="B75" s="131" t="str">
        <f>IFERROR(TIMEVALUE(DaqBook_RAW_Data!AG65),IFERROR(TIMEVALUE(DaqBook_RAW_Data!A65),""))</f>
        <v/>
      </c>
      <c r="C75" s="153"/>
      <c r="D75" s="153"/>
      <c r="E75" s="153"/>
      <c r="F75" s="153"/>
      <c r="G75" s="153"/>
      <c r="H75" s="153"/>
      <c r="I75" s="153"/>
      <c r="J75" s="153"/>
      <c r="K75" s="153"/>
      <c r="L75" s="153"/>
      <c r="M75" s="153"/>
      <c r="N75" s="153"/>
      <c r="O75" s="153"/>
      <c r="P75" s="153"/>
    </row>
    <row r="76" spans="1:16" s="88" customFormat="1" x14ac:dyDescent="0.2">
      <c r="A76" s="132" t="str">
        <v/>
      </c>
      <c r="B76" s="131" t="str">
        <f>IFERROR(TIMEVALUE(DaqBook_RAW_Data!AG66),IFERROR(TIMEVALUE(DaqBook_RAW_Data!A66),""))</f>
        <v/>
      </c>
      <c r="C76" s="153"/>
      <c r="D76" s="153"/>
      <c r="E76" s="153"/>
      <c r="F76" s="153"/>
      <c r="G76" s="153"/>
      <c r="H76" s="153"/>
      <c r="I76" s="153"/>
      <c r="J76" s="153"/>
      <c r="K76" s="153"/>
      <c r="L76" s="153"/>
      <c r="M76" s="153"/>
      <c r="N76" s="153"/>
      <c r="O76" s="153"/>
      <c r="P76" s="153"/>
    </row>
    <row r="77" spans="1:16" s="88" customFormat="1" x14ac:dyDescent="0.2">
      <c r="A77" s="132" t="str">
        <v/>
      </c>
      <c r="B77" s="131" t="str">
        <f>IFERROR(TIMEVALUE(DaqBook_RAW_Data!AG67),IFERROR(TIMEVALUE(DaqBook_RAW_Data!A67),""))</f>
        <v/>
      </c>
      <c r="C77" s="153"/>
      <c r="D77" s="153"/>
      <c r="E77" s="153"/>
      <c r="F77" s="153"/>
      <c r="G77" s="153"/>
      <c r="H77" s="153"/>
      <c r="I77" s="153"/>
      <c r="J77" s="153"/>
      <c r="K77" s="153"/>
      <c r="L77" s="153"/>
      <c r="M77" s="153"/>
      <c r="N77" s="153"/>
      <c r="O77" s="153"/>
      <c r="P77" s="153"/>
    </row>
    <row r="78" spans="1:16" s="88" customFormat="1" x14ac:dyDescent="0.2">
      <c r="A78" s="132" t="str">
        <v/>
      </c>
      <c r="B78" s="131" t="str">
        <f>IFERROR(TIMEVALUE(DaqBook_RAW_Data!AG68),IFERROR(TIMEVALUE(DaqBook_RAW_Data!A68),""))</f>
        <v/>
      </c>
      <c r="C78" s="153"/>
      <c r="D78" s="153"/>
      <c r="E78" s="153"/>
      <c r="F78" s="153"/>
      <c r="G78" s="153"/>
      <c r="H78" s="153"/>
      <c r="I78" s="153"/>
      <c r="J78" s="153"/>
      <c r="K78" s="153"/>
      <c r="L78" s="153"/>
      <c r="M78" s="153"/>
      <c r="N78" s="153"/>
      <c r="O78" s="153"/>
      <c r="P78" s="153"/>
    </row>
    <row r="79" spans="1:16" s="90" customFormat="1" x14ac:dyDescent="0.2">
      <c r="A79" s="89" t="str">
        <v/>
      </c>
      <c r="B79" s="131" t="str">
        <f>IFERROR(TIMEVALUE(DaqBook_RAW_Data!AG69),IFERROR(TIMEVALUE(DaqBook_RAW_Data!A69),""))</f>
        <v/>
      </c>
      <c r="C79" s="153"/>
      <c r="D79" s="153"/>
      <c r="E79" s="153"/>
      <c r="F79" s="153"/>
      <c r="G79" s="153"/>
      <c r="H79" s="153"/>
      <c r="I79" s="153"/>
      <c r="J79" s="153"/>
      <c r="K79" s="153"/>
      <c r="L79" s="153"/>
      <c r="M79" s="153"/>
      <c r="N79" s="153"/>
      <c r="O79" s="153"/>
      <c r="P79" s="153"/>
    </row>
    <row r="80" spans="1:16" s="90" customFormat="1" x14ac:dyDescent="0.2">
      <c r="A80" s="89" t="str">
        <v/>
      </c>
      <c r="B80" s="131" t="str">
        <f>IFERROR(TIMEVALUE(DaqBook_RAW_Data!AG70),IFERROR(TIMEVALUE(DaqBook_RAW_Data!A70),""))</f>
        <v/>
      </c>
      <c r="C80" s="153"/>
      <c r="D80" s="153"/>
      <c r="E80" s="153"/>
      <c r="F80" s="153"/>
      <c r="G80" s="153"/>
      <c r="H80" s="153"/>
      <c r="I80" s="153"/>
      <c r="J80" s="153"/>
      <c r="K80" s="153"/>
      <c r="L80" s="153"/>
      <c r="M80" s="153"/>
      <c r="N80" s="153"/>
      <c r="O80" s="153"/>
      <c r="P80" s="153"/>
    </row>
    <row r="81" spans="1:16" s="90" customFormat="1" x14ac:dyDescent="0.2">
      <c r="A81" s="89" t="str">
        <v/>
      </c>
      <c r="B81" s="131" t="str">
        <f>IFERROR(TIMEVALUE(DaqBook_RAW_Data!AG71),IFERROR(TIMEVALUE(DaqBook_RAW_Data!A71),""))</f>
        <v/>
      </c>
      <c r="C81" s="153"/>
      <c r="D81" s="153"/>
      <c r="E81" s="153"/>
      <c r="F81" s="153"/>
      <c r="G81" s="153"/>
      <c r="H81" s="153"/>
      <c r="I81" s="153"/>
      <c r="J81" s="153"/>
      <c r="K81" s="153"/>
      <c r="L81" s="153"/>
      <c r="M81" s="153"/>
      <c r="N81" s="153"/>
      <c r="O81" s="153"/>
      <c r="P81" s="153"/>
    </row>
    <row r="82" spans="1:16" s="90" customFormat="1" x14ac:dyDescent="0.2">
      <c r="A82" s="89" t="str">
        <v/>
      </c>
      <c r="B82" s="131" t="str">
        <f>IFERROR(TIMEVALUE(DaqBook_RAW_Data!AG72),IFERROR(TIMEVALUE(DaqBook_RAW_Data!A72),""))</f>
        <v/>
      </c>
      <c r="C82" s="153"/>
      <c r="D82" s="153"/>
      <c r="E82" s="153"/>
      <c r="F82" s="153"/>
      <c r="G82" s="153"/>
      <c r="H82" s="153"/>
      <c r="I82" s="153"/>
      <c r="J82" s="153"/>
      <c r="K82" s="153"/>
      <c r="L82" s="153"/>
      <c r="M82" s="153"/>
      <c r="N82" s="153"/>
      <c r="O82" s="153"/>
      <c r="P82" s="153"/>
    </row>
    <row r="83" spans="1:16" s="90" customFormat="1" x14ac:dyDescent="0.2">
      <c r="A83" s="89" t="str">
        <v/>
      </c>
      <c r="B83" s="131" t="str">
        <f>IFERROR(TIMEVALUE(DaqBook_RAW_Data!AG73),IFERROR(TIMEVALUE(DaqBook_RAW_Data!A73),""))</f>
        <v/>
      </c>
      <c r="C83" s="153"/>
      <c r="D83" s="153"/>
      <c r="E83" s="153"/>
      <c r="F83" s="153"/>
      <c r="G83" s="153"/>
      <c r="H83" s="153"/>
      <c r="I83" s="153"/>
      <c r="J83" s="153"/>
      <c r="K83" s="153"/>
      <c r="L83" s="153"/>
      <c r="M83" s="153"/>
      <c r="N83" s="153"/>
      <c r="O83" s="153"/>
      <c r="P83" s="153"/>
    </row>
    <row r="84" spans="1:16" s="88" customFormat="1" x14ac:dyDescent="0.2">
      <c r="A84" s="132" t="str">
        <v/>
      </c>
      <c r="B84" s="131" t="str">
        <f>IFERROR(TIMEVALUE(DaqBook_RAW_Data!AG74),IFERROR(TIMEVALUE(DaqBook_RAW_Data!A74),""))</f>
        <v/>
      </c>
      <c r="C84" s="153"/>
      <c r="D84" s="153"/>
      <c r="E84" s="153"/>
      <c r="F84" s="153"/>
      <c r="G84" s="153"/>
      <c r="H84" s="153"/>
      <c r="I84" s="153"/>
      <c r="J84" s="153"/>
      <c r="K84" s="153"/>
      <c r="L84" s="153"/>
      <c r="M84" s="153"/>
      <c r="N84" s="153"/>
      <c r="O84" s="153"/>
      <c r="P84" s="153"/>
    </row>
    <row r="85" spans="1:16" s="88" customFormat="1" x14ac:dyDescent="0.2">
      <c r="A85" s="132" t="str">
        <v/>
      </c>
      <c r="B85" s="131" t="str">
        <f>IFERROR(TIMEVALUE(DaqBook_RAW_Data!AG75),IFERROR(TIMEVALUE(DaqBook_RAW_Data!A75),""))</f>
        <v/>
      </c>
      <c r="C85" s="153"/>
      <c r="D85" s="153"/>
      <c r="E85" s="153"/>
      <c r="F85" s="153"/>
      <c r="G85" s="153"/>
      <c r="H85" s="153"/>
      <c r="I85" s="153"/>
      <c r="J85" s="153"/>
      <c r="K85" s="153"/>
      <c r="L85" s="153"/>
      <c r="M85" s="153"/>
      <c r="N85" s="153"/>
      <c r="O85" s="153"/>
      <c r="P85" s="153"/>
    </row>
    <row r="86" spans="1:16" s="88" customFormat="1" x14ac:dyDescent="0.2">
      <c r="A86" s="132" t="str">
        <v/>
      </c>
      <c r="B86" s="131" t="str">
        <f>IFERROR(TIMEVALUE(DaqBook_RAW_Data!AG76),IFERROR(TIMEVALUE(DaqBook_RAW_Data!A76),""))</f>
        <v/>
      </c>
      <c r="C86" s="153"/>
      <c r="D86" s="153"/>
      <c r="E86" s="153"/>
      <c r="F86" s="153"/>
      <c r="G86" s="153"/>
      <c r="H86" s="153"/>
      <c r="I86" s="153"/>
      <c r="J86" s="153"/>
      <c r="K86" s="153"/>
      <c r="L86" s="153"/>
      <c r="M86" s="153"/>
      <c r="N86" s="153"/>
      <c r="O86" s="153"/>
      <c r="P86" s="153"/>
    </row>
    <row r="87" spans="1:16" s="88" customFormat="1" x14ac:dyDescent="0.2">
      <c r="A87" s="132" t="str">
        <v/>
      </c>
      <c r="B87" s="131" t="str">
        <f>IFERROR(TIMEVALUE(DaqBook_RAW_Data!AG77),IFERROR(TIMEVALUE(DaqBook_RAW_Data!A77),""))</f>
        <v/>
      </c>
      <c r="C87" s="153"/>
      <c r="D87" s="153"/>
      <c r="E87" s="153"/>
      <c r="F87" s="153"/>
      <c r="G87" s="153"/>
      <c r="H87" s="153"/>
      <c r="I87" s="153"/>
      <c r="J87" s="153"/>
      <c r="K87" s="153"/>
      <c r="L87" s="153"/>
      <c r="M87" s="153"/>
      <c r="N87" s="153"/>
      <c r="O87" s="153"/>
      <c r="P87" s="153"/>
    </row>
    <row r="88" spans="1:16" s="88" customFormat="1" x14ac:dyDescent="0.2">
      <c r="A88" s="132" t="str">
        <v/>
      </c>
      <c r="B88" s="131" t="str">
        <f>IFERROR(TIMEVALUE(DaqBook_RAW_Data!AG78),IFERROR(TIMEVALUE(DaqBook_RAW_Data!A78),""))</f>
        <v/>
      </c>
      <c r="C88" s="153"/>
      <c r="D88" s="153"/>
      <c r="E88" s="153"/>
      <c r="F88" s="153"/>
      <c r="G88" s="153"/>
      <c r="H88" s="153"/>
      <c r="I88" s="153"/>
      <c r="J88" s="153"/>
      <c r="K88" s="153"/>
      <c r="L88" s="153"/>
      <c r="M88" s="153"/>
      <c r="N88" s="153"/>
      <c r="O88" s="153"/>
      <c r="P88" s="153"/>
    </row>
    <row r="89" spans="1:16" s="88" customFormat="1" x14ac:dyDescent="0.2">
      <c r="A89" s="132" t="str">
        <v/>
      </c>
      <c r="B89" s="131" t="str">
        <f>IFERROR(TIMEVALUE(DaqBook_RAW_Data!AG79),IFERROR(TIMEVALUE(DaqBook_RAW_Data!A79),""))</f>
        <v/>
      </c>
      <c r="C89" s="153"/>
      <c r="D89" s="153"/>
      <c r="E89" s="153"/>
      <c r="F89" s="153"/>
      <c r="G89" s="153"/>
      <c r="H89" s="153"/>
      <c r="I89" s="153"/>
      <c r="J89" s="153"/>
      <c r="K89" s="153"/>
      <c r="L89" s="153"/>
      <c r="M89" s="153"/>
      <c r="N89" s="153"/>
      <c r="O89" s="153"/>
      <c r="P89" s="153"/>
    </row>
    <row r="90" spans="1:16" s="88" customFormat="1" x14ac:dyDescent="0.2">
      <c r="A90" s="132" t="str">
        <v/>
      </c>
      <c r="B90" s="131" t="str">
        <f>IFERROR(TIMEVALUE(DaqBook_RAW_Data!AG80),IFERROR(TIMEVALUE(DaqBook_RAW_Data!A80),""))</f>
        <v/>
      </c>
      <c r="C90" s="153"/>
      <c r="D90" s="153"/>
      <c r="E90" s="153"/>
      <c r="F90" s="153"/>
      <c r="G90" s="153"/>
      <c r="H90" s="153"/>
      <c r="I90" s="153"/>
      <c r="J90" s="153"/>
      <c r="K90" s="153"/>
      <c r="L90" s="153"/>
      <c r="M90" s="153"/>
      <c r="N90" s="153"/>
      <c r="O90" s="153"/>
      <c r="P90" s="153"/>
    </row>
    <row r="91" spans="1:16" s="88" customFormat="1" x14ac:dyDescent="0.2">
      <c r="A91" s="132" t="str">
        <v/>
      </c>
      <c r="B91" s="131" t="str">
        <f>IFERROR(TIMEVALUE(DaqBook_RAW_Data!AG81),IFERROR(TIMEVALUE(DaqBook_RAW_Data!A81),""))</f>
        <v/>
      </c>
      <c r="C91" s="153"/>
      <c r="D91" s="153"/>
      <c r="E91" s="153"/>
      <c r="F91" s="153"/>
      <c r="G91" s="153"/>
      <c r="H91" s="153"/>
      <c r="I91" s="153"/>
      <c r="J91" s="153"/>
      <c r="K91" s="153"/>
      <c r="L91" s="153"/>
      <c r="M91" s="153"/>
      <c r="N91" s="153"/>
      <c r="O91" s="153"/>
      <c r="P91" s="153"/>
    </row>
    <row r="92" spans="1:16" s="88" customFormat="1" x14ac:dyDescent="0.2">
      <c r="A92" s="132" t="str">
        <v/>
      </c>
      <c r="B92" s="131" t="str">
        <f>IFERROR(TIMEVALUE(DaqBook_RAW_Data!AG82),IFERROR(TIMEVALUE(DaqBook_RAW_Data!A82),""))</f>
        <v/>
      </c>
      <c r="C92" s="153"/>
      <c r="D92" s="153"/>
      <c r="E92" s="153"/>
      <c r="F92" s="153"/>
      <c r="G92" s="153"/>
      <c r="H92" s="153"/>
      <c r="I92" s="153"/>
      <c r="J92" s="153"/>
      <c r="K92" s="153"/>
      <c r="L92" s="153"/>
      <c r="M92" s="153"/>
      <c r="N92" s="153"/>
      <c r="O92" s="153"/>
      <c r="P92" s="153"/>
    </row>
    <row r="93" spans="1:16" s="88" customFormat="1" x14ac:dyDescent="0.2">
      <c r="A93" s="132" t="str">
        <v/>
      </c>
      <c r="B93" s="131" t="str">
        <f>IFERROR(TIMEVALUE(DaqBook_RAW_Data!AG83),IFERROR(TIMEVALUE(DaqBook_RAW_Data!A83),""))</f>
        <v/>
      </c>
      <c r="C93" s="153"/>
      <c r="D93" s="153"/>
      <c r="E93" s="153"/>
      <c r="F93" s="153"/>
      <c r="G93" s="153"/>
      <c r="H93" s="153"/>
      <c r="I93" s="153"/>
      <c r="J93" s="153"/>
      <c r="K93" s="153"/>
      <c r="L93" s="153"/>
      <c r="M93" s="153"/>
      <c r="N93" s="153"/>
      <c r="O93" s="153"/>
      <c r="P93" s="153"/>
    </row>
    <row r="94" spans="1:16" s="88" customFormat="1" x14ac:dyDescent="0.2">
      <c r="A94" s="132" t="str">
        <v/>
      </c>
      <c r="B94" s="131" t="str">
        <f>IFERROR(TIMEVALUE(DaqBook_RAW_Data!AG84),IFERROR(TIMEVALUE(DaqBook_RAW_Data!A84),""))</f>
        <v/>
      </c>
      <c r="C94" s="153"/>
      <c r="D94" s="153"/>
      <c r="E94" s="153"/>
      <c r="F94" s="153"/>
      <c r="G94" s="153"/>
      <c r="H94" s="153"/>
      <c r="I94" s="153"/>
      <c r="J94" s="153"/>
      <c r="K94" s="153"/>
      <c r="L94" s="153"/>
      <c r="M94" s="153"/>
      <c r="N94" s="153"/>
      <c r="O94" s="153"/>
      <c r="P94" s="153"/>
    </row>
    <row r="95" spans="1:16" s="88" customFormat="1" x14ac:dyDescent="0.2">
      <c r="A95" s="132" t="str">
        <v/>
      </c>
      <c r="B95" s="131" t="str">
        <f>IFERROR(TIMEVALUE(DaqBook_RAW_Data!AG85),IFERROR(TIMEVALUE(DaqBook_RAW_Data!A85),""))</f>
        <v/>
      </c>
      <c r="C95" s="153"/>
      <c r="D95" s="153"/>
      <c r="E95" s="153"/>
      <c r="F95" s="153"/>
      <c r="G95" s="153"/>
      <c r="H95" s="153"/>
      <c r="I95" s="153"/>
      <c r="J95" s="153"/>
      <c r="K95" s="153"/>
      <c r="L95" s="153"/>
      <c r="M95" s="153"/>
      <c r="N95" s="153"/>
      <c r="O95" s="153"/>
      <c r="P95" s="153"/>
    </row>
    <row r="96" spans="1:16" s="88" customFormat="1" x14ac:dyDescent="0.2">
      <c r="A96" s="132" t="str">
        <v/>
      </c>
      <c r="B96" s="131" t="str">
        <f>IFERROR(TIMEVALUE(DaqBook_RAW_Data!AG86),IFERROR(TIMEVALUE(DaqBook_RAW_Data!A86),""))</f>
        <v/>
      </c>
      <c r="C96" s="153"/>
      <c r="D96" s="153"/>
      <c r="E96" s="153"/>
      <c r="F96" s="153"/>
      <c r="G96" s="153"/>
      <c r="H96" s="153"/>
      <c r="I96" s="153"/>
      <c r="J96" s="153"/>
      <c r="K96" s="153"/>
      <c r="L96" s="153"/>
      <c r="M96" s="153"/>
      <c r="N96" s="153"/>
      <c r="O96" s="153"/>
      <c r="P96" s="153"/>
    </row>
    <row r="97" spans="1:16" s="88" customFormat="1" x14ac:dyDescent="0.2">
      <c r="A97" s="132" t="str">
        <v/>
      </c>
      <c r="B97" s="131" t="str">
        <f>IFERROR(TIMEVALUE(DaqBook_RAW_Data!AG87),IFERROR(TIMEVALUE(DaqBook_RAW_Data!A87),""))</f>
        <v/>
      </c>
      <c r="C97" s="153"/>
      <c r="D97" s="153"/>
      <c r="E97" s="153"/>
      <c r="F97" s="153"/>
      <c r="G97" s="153"/>
      <c r="H97" s="153"/>
      <c r="I97" s="153"/>
      <c r="J97" s="153"/>
      <c r="K97" s="153"/>
      <c r="L97" s="153"/>
      <c r="M97" s="153"/>
      <c r="N97" s="153"/>
      <c r="O97" s="153"/>
      <c r="P97" s="153"/>
    </row>
    <row r="98" spans="1:16" s="88" customFormat="1" x14ac:dyDescent="0.2">
      <c r="A98" s="132" t="str">
        <v/>
      </c>
      <c r="B98" s="131" t="str">
        <f>IFERROR(TIMEVALUE(DaqBook_RAW_Data!AG88),IFERROR(TIMEVALUE(DaqBook_RAW_Data!A88),""))</f>
        <v/>
      </c>
      <c r="C98" s="153"/>
      <c r="D98" s="153"/>
      <c r="E98" s="153"/>
      <c r="F98" s="153"/>
      <c r="G98" s="153"/>
      <c r="H98" s="153"/>
      <c r="I98" s="153"/>
      <c r="J98" s="153"/>
      <c r="K98" s="153"/>
      <c r="L98" s="153"/>
      <c r="M98" s="153"/>
      <c r="N98" s="153"/>
      <c r="O98" s="153"/>
      <c r="P98" s="153"/>
    </row>
    <row r="99" spans="1:16" s="88" customFormat="1" x14ac:dyDescent="0.2">
      <c r="A99" s="132" t="str">
        <v/>
      </c>
      <c r="B99" s="131" t="str">
        <f>IFERROR(TIMEVALUE(DaqBook_RAW_Data!AG89),IFERROR(TIMEVALUE(DaqBook_RAW_Data!A89),""))</f>
        <v/>
      </c>
      <c r="C99" s="153"/>
      <c r="D99" s="153"/>
      <c r="E99" s="153"/>
      <c r="F99" s="153"/>
      <c r="G99" s="153"/>
      <c r="H99" s="153"/>
      <c r="I99" s="153"/>
      <c r="J99" s="153"/>
      <c r="K99" s="153"/>
      <c r="L99" s="153"/>
      <c r="M99" s="153"/>
      <c r="N99" s="153"/>
      <c r="O99" s="153"/>
      <c r="P99" s="153"/>
    </row>
    <row r="100" spans="1:16" s="88" customFormat="1" x14ac:dyDescent="0.2">
      <c r="A100" s="132" t="str">
        <v/>
      </c>
      <c r="B100" s="131" t="str">
        <f>IFERROR(TIMEVALUE(DaqBook_RAW_Data!AG90),IFERROR(TIMEVALUE(DaqBook_RAW_Data!A90),""))</f>
        <v/>
      </c>
      <c r="C100" s="153"/>
      <c r="D100" s="153"/>
      <c r="E100" s="153"/>
      <c r="F100" s="153"/>
      <c r="G100" s="153"/>
      <c r="H100" s="153"/>
      <c r="I100" s="153"/>
      <c r="J100" s="153"/>
      <c r="K100" s="153"/>
      <c r="L100" s="153"/>
      <c r="M100" s="153"/>
      <c r="N100" s="153"/>
      <c r="O100" s="153"/>
      <c r="P100" s="153"/>
    </row>
    <row r="101" spans="1:16" s="88" customFormat="1" x14ac:dyDescent="0.2">
      <c r="A101" s="132" t="str">
        <v/>
      </c>
      <c r="B101" s="131" t="str">
        <f>IFERROR(TIMEVALUE(DaqBook_RAW_Data!AG91),IFERROR(TIMEVALUE(DaqBook_RAW_Data!A91),""))</f>
        <v/>
      </c>
      <c r="C101" s="153"/>
      <c r="D101" s="153"/>
      <c r="E101" s="153"/>
      <c r="F101" s="153"/>
      <c r="G101" s="153"/>
      <c r="H101" s="153"/>
      <c r="I101" s="153"/>
      <c r="J101" s="153"/>
      <c r="K101" s="153"/>
      <c r="L101" s="153"/>
      <c r="M101" s="153"/>
      <c r="N101" s="153"/>
      <c r="O101" s="153"/>
      <c r="P101" s="153"/>
    </row>
    <row r="102" spans="1:16" s="88" customFormat="1" x14ac:dyDescent="0.2">
      <c r="A102" s="132" t="str">
        <v/>
      </c>
      <c r="B102" s="131" t="str">
        <f>IFERROR(TIMEVALUE(DaqBook_RAW_Data!AG92),IFERROR(TIMEVALUE(DaqBook_RAW_Data!A92),""))</f>
        <v/>
      </c>
      <c r="C102" s="153"/>
      <c r="D102" s="153"/>
      <c r="E102" s="153"/>
      <c r="F102" s="153"/>
      <c r="G102" s="153"/>
      <c r="H102" s="153"/>
      <c r="I102" s="153"/>
      <c r="J102" s="153"/>
      <c r="K102" s="153"/>
      <c r="L102" s="153"/>
      <c r="M102" s="153"/>
      <c r="N102" s="153"/>
      <c r="O102" s="153"/>
      <c r="P102" s="153"/>
    </row>
    <row r="103" spans="1:16" s="88" customFormat="1" x14ac:dyDescent="0.2">
      <c r="A103" s="132" t="str">
        <v/>
      </c>
      <c r="B103" s="131" t="str">
        <f>IFERROR(TIMEVALUE(DaqBook_RAW_Data!AG93),IFERROR(TIMEVALUE(DaqBook_RAW_Data!A93),""))</f>
        <v/>
      </c>
      <c r="C103" s="153"/>
      <c r="D103" s="153"/>
      <c r="E103" s="153"/>
      <c r="F103" s="153"/>
      <c r="G103" s="153"/>
      <c r="H103" s="153"/>
      <c r="I103" s="153"/>
      <c r="J103" s="153"/>
      <c r="K103" s="153"/>
      <c r="L103" s="153"/>
      <c r="M103" s="153"/>
      <c r="N103" s="153"/>
      <c r="O103" s="153"/>
      <c r="P103" s="153"/>
    </row>
    <row r="104" spans="1:16" s="88" customFormat="1" x14ac:dyDescent="0.2">
      <c r="A104" s="132" t="str">
        <v/>
      </c>
      <c r="B104" s="131" t="str">
        <f>IFERROR(TIMEVALUE(DaqBook_RAW_Data!AG94),IFERROR(TIMEVALUE(DaqBook_RAW_Data!A94),""))</f>
        <v/>
      </c>
      <c r="C104" s="153"/>
      <c r="D104" s="153"/>
      <c r="E104" s="153"/>
      <c r="F104" s="153"/>
      <c r="G104" s="153"/>
      <c r="H104" s="153"/>
      <c r="I104" s="153"/>
      <c r="J104" s="153"/>
      <c r="K104" s="153"/>
      <c r="L104" s="153"/>
      <c r="M104" s="153"/>
      <c r="N104" s="153"/>
      <c r="O104" s="153"/>
      <c r="P104" s="153"/>
    </row>
    <row r="105" spans="1:16" s="88" customFormat="1" x14ac:dyDescent="0.2">
      <c r="A105" s="132" t="str">
        <v/>
      </c>
      <c r="B105" s="131" t="str">
        <f>IFERROR(TIMEVALUE(DaqBook_RAW_Data!AG95),IFERROR(TIMEVALUE(DaqBook_RAW_Data!A95),""))</f>
        <v/>
      </c>
      <c r="C105" s="153"/>
      <c r="D105" s="153"/>
      <c r="E105" s="153"/>
      <c r="F105" s="153"/>
      <c r="G105" s="153"/>
      <c r="H105" s="153"/>
      <c r="I105" s="153"/>
      <c r="J105" s="153"/>
      <c r="K105" s="153"/>
      <c r="L105" s="153"/>
      <c r="M105" s="153"/>
      <c r="N105" s="153"/>
      <c r="O105" s="153"/>
      <c r="P105" s="153"/>
    </row>
    <row r="106" spans="1:16" x14ac:dyDescent="0.2">
      <c r="A106" s="58" t="str">
        <v/>
      </c>
      <c r="B106" s="131" t="str">
        <f>IFERROR(TIMEVALUE(DaqBook_RAW_Data!AG96),IFERROR(TIMEVALUE(DaqBook_RAW_Data!A96),""))</f>
        <v/>
      </c>
      <c r="C106" s="153"/>
      <c r="D106" s="153"/>
      <c r="E106" s="153"/>
      <c r="F106" s="153"/>
      <c r="G106" s="153"/>
      <c r="H106" s="153"/>
      <c r="I106" s="153"/>
      <c r="J106" s="153"/>
      <c r="K106" s="153"/>
      <c r="L106" s="153"/>
      <c r="M106" s="153"/>
      <c r="N106" s="153"/>
      <c r="O106" s="153"/>
      <c r="P106" s="153"/>
    </row>
    <row r="107" spans="1:16" x14ac:dyDescent="0.2">
      <c r="A107" s="58" t="str">
        <v/>
      </c>
      <c r="B107" s="131" t="str">
        <f>IFERROR(TIMEVALUE(DaqBook_RAW_Data!AG97),IFERROR(TIMEVALUE(DaqBook_RAW_Data!A97),""))</f>
        <v/>
      </c>
      <c r="C107" s="153"/>
      <c r="D107" s="153"/>
      <c r="E107" s="153"/>
      <c r="F107" s="153"/>
      <c r="G107" s="153"/>
      <c r="H107" s="153"/>
      <c r="I107" s="153"/>
      <c r="J107" s="153"/>
      <c r="K107" s="153"/>
      <c r="L107" s="153"/>
      <c r="M107" s="153"/>
      <c r="N107" s="153"/>
      <c r="O107" s="153"/>
      <c r="P107" s="153"/>
    </row>
    <row r="108" spans="1:16" x14ac:dyDescent="0.2">
      <c r="A108" s="58" t="str">
        <v/>
      </c>
      <c r="B108" s="131" t="str">
        <f>IFERROR(TIMEVALUE(DaqBook_RAW_Data!AG98),IFERROR(TIMEVALUE(DaqBook_RAW_Data!A98),""))</f>
        <v/>
      </c>
      <c r="C108" s="153"/>
      <c r="D108" s="153"/>
      <c r="E108" s="153"/>
      <c r="F108" s="153"/>
      <c r="G108" s="153"/>
      <c r="H108" s="153"/>
      <c r="I108" s="153"/>
      <c r="J108" s="153"/>
      <c r="K108" s="153"/>
      <c r="L108" s="153"/>
      <c r="M108" s="153"/>
      <c r="N108" s="153"/>
      <c r="O108" s="153"/>
      <c r="P108" s="153"/>
    </row>
    <row r="109" spans="1:16" x14ac:dyDescent="0.2">
      <c r="A109" s="58" t="str">
        <v/>
      </c>
      <c r="B109" s="131" t="str">
        <f>IFERROR(TIMEVALUE(DaqBook_RAW_Data!AG99),IFERROR(TIMEVALUE(DaqBook_RAW_Data!A99),""))</f>
        <v/>
      </c>
      <c r="C109" s="153"/>
      <c r="D109" s="153"/>
      <c r="E109" s="153"/>
      <c r="F109" s="153"/>
      <c r="G109" s="153"/>
      <c r="H109" s="153"/>
      <c r="I109" s="153"/>
      <c r="J109" s="153"/>
      <c r="K109" s="153"/>
      <c r="L109" s="153"/>
      <c r="M109" s="153"/>
      <c r="N109" s="153"/>
      <c r="O109" s="153"/>
      <c r="P109" s="153"/>
    </row>
    <row r="110" spans="1:16" x14ac:dyDescent="0.2">
      <c r="A110" s="58" t="str">
        <v/>
      </c>
      <c r="B110" s="131" t="str">
        <f>IFERROR(TIMEVALUE(DaqBook_RAW_Data!AG100),IFERROR(TIMEVALUE(DaqBook_RAW_Data!A100),""))</f>
        <v/>
      </c>
      <c r="C110" s="153"/>
      <c r="D110" s="153"/>
      <c r="E110" s="153"/>
      <c r="F110" s="153"/>
      <c r="G110" s="153"/>
      <c r="H110" s="153"/>
      <c r="I110" s="153"/>
      <c r="J110" s="153"/>
      <c r="K110" s="153"/>
      <c r="L110" s="153"/>
      <c r="M110" s="153"/>
      <c r="N110" s="153"/>
      <c r="O110" s="153"/>
      <c r="P110" s="153"/>
    </row>
    <row r="111" spans="1:16" x14ac:dyDescent="0.2">
      <c r="A111" s="58" t="str">
        <v/>
      </c>
      <c r="B111" s="131" t="str">
        <f>IFERROR(TIMEVALUE(DaqBook_RAW_Data!AG101),IFERROR(TIMEVALUE(DaqBook_RAW_Data!A101),""))</f>
        <v/>
      </c>
      <c r="C111" s="153"/>
      <c r="D111" s="153"/>
      <c r="E111" s="153"/>
      <c r="F111" s="153"/>
      <c r="G111" s="153"/>
      <c r="H111" s="153"/>
      <c r="I111" s="153"/>
      <c r="J111" s="153"/>
      <c r="K111" s="153"/>
      <c r="L111" s="153"/>
      <c r="M111" s="153"/>
      <c r="N111" s="153"/>
      <c r="O111" s="153"/>
      <c r="P111" s="153"/>
    </row>
    <row r="112" spans="1:16" x14ac:dyDescent="0.2">
      <c r="A112" s="58" t="str">
        <v/>
      </c>
      <c r="B112" s="131" t="str">
        <f>IFERROR(TIMEVALUE(DaqBook_RAW_Data!AG102),IFERROR(TIMEVALUE(DaqBook_RAW_Data!A102),""))</f>
        <v/>
      </c>
      <c r="C112" s="153"/>
      <c r="D112" s="153"/>
      <c r="E112" s="153"/>
      <c r="F112" s="153"/>
      <c r="G112" s="153"/>
      <c r="H112" s="153"/>
      <c r="I112" s="153"/>
      <c r="J112" s="153"/>
      <c r="K112" s="153"/>
      <c r="L112" s="153"/>
      <c r="M112" s="153"/>
      <c r="N112" s="153"/>
      <c r="O112" s="153"/>
      <c r="P112" s="153"/>
    </row>
    <row r="113" spans="1:16" x14ac:dyDescent="0.2">
      <c r="A113" s="58" t="str">
        <v/>
      </c>
      <c r="B113" s="131" t="str">
        <f>IFERROR(TIMEVALUE(DaqBook_RAW_Data!AG103),IFERROR(TIMEVALUE(DaqBook_RAW_Data!A103),""))</f>
        <v/>
      </c>
      <c r="C113" s="153"/>
      <c r="D113" s="153"/>
      <c r="E113" s="153"/>
      <c r="F113" s="153"/>
      <c r="G113" s="153"/>
      <c r="H113" s="153"/>
      <c r="I113" s="153"/>
      <c r="J113" s="153"/>
      <c r="K113" s="153"/>
      <c r="L113" s="153"/>
      <c r="M113" s="153"/>
      <c r="N113" s="153"/>
      <c r="O113" s="153"/>
      <c r="P113" s="153"/>
    </row>
    <row r="114" spans="1:16" x14ac:dyDescent="0.2">
      <c r="A114" s="58" t="str">
        <v/>
      </c>
      <c r="B114" s="131" t="str">
        <f>IFERROR(TIMEVALUE(DaqBook_RAW_Data!AG104),IFERROR(TIMEVALUE(DaqBook_RAW_Data!A104),""))</f>
        <v/>
      </c>
      <c r="C114" s="153"/>
      <c r="D114" s="153"/>
      <c r="E114" s="153"/>
      <c r="F114" s="153"/>
      <c r="G114" s="153"/>
      <c r="H114" s="153"/>
      <c r="I114" s="153"/>
      <c r="J114" s="153"/>
      <c r="K114" s="153"/>
      <c r="L114" s="153"/>
      <c r="M114" s="153"/>
      <c r="N114" s="153"/>
      <c r="O114" s="153"/>
      <c r="P114" s="153"/>
    </row>
    <row r="115" spans="1:16" x14ac:dyDescent="0.2">
      <c r="A115" s="58" t="str">
        <v/>
      </c>
      <c r="B115" s="131" t="str">
        <f>IFERROR(TIMEVALUE(DaqBook_RAW_Data!AG105),IFERROR(TIMEVALUE(DaqBook_RAW_Data!A105),""))</f>
        <v/>
      </c>
      <c r="C115" s="153"/>
      <c r="D115" s="153"/>
      <c r="E115" s="153"/>
      <c r="F115" s="153"/>
      <c r="G115" s="153"/>
      <c r="H115" s="153"/>
      <c r="I115" s="153"/>
      <c r="J115" s="153"/>
      <c r="K115" s="153"/>
      <c r="L115" s="153"/>
      <c r="M115" s="153"/>
      <c r="N115" s="153"/>
      <c r="O115" s="153"/>
      <c r="P115" s="153"/>
    </row>
    <row r="116" spans="1:16" x14ac:dyDescent="0.2">
      <c r="A116" s="58" t="str">
        <v/>
      </c>
      <c r="B116" s="131" t="str">
        <f>IFERROR(TIMEVALUE(DaqBook_RAW_Data!AG106),IFERROR(TIMEVALUE(DaqBook_RAW_Data!A106),""))</f>
        <v/>
      </c>
      <c r="C116" s="153"/>
      <c r="D116" s="153"/>
      <c r="E116" s="153"/>
      <c r="F116" s="153"/>
      <c r="G116" s="153"/>
      <c r="H116" s="153"/>
      <c r="I116" s="153"/>
      <c r="J116" s="153"/>
      <c r="K116" s="153"/>
      <c r="L116" s="153"/>
      <c r="M116" s="153"/>
      <c r="N116" s="153"/>
      <c r="O116" s="153"/>
      <c r="P116" s="153"/>
    </row>
    <row r="117" spans="1:16" x14ac:dyDescent="0.2">
      <c r="A117" s="58" t="str">
        <v/>
      </c>
      <c r="B117" s="131" t="str">
        <f>IFERROR(TIMEVALUE(DaqBook_RAW_Data!AG107),IFERROR(TIMEVALUE(DaqBook_RAW_Data!A107),""))</f>
        <v/>
      </c>
      <c r="C117" s="153"/>
      <c r="D117" s="153"/>
      <c r="E117" s="153"/>
      <c r="F117" s="153"/>
      <c r="G117" s="153"/>
      <c r="H117" s="153"/>
      <c r="I117" s="153"/>
      <c r="J117" s="153"/>
      <c r="K117" s="153"/>
      <c r="L117" s="153"/>
      <c r="M117" s="153"/>
      <c r="N117" s="153"/>
      <c r="O117" s="153"/>
      <c r="P117" s="153"/>
    </row>
    <row r="118" spans="1:16" x14ac:dyDescent="0.2">
      <c r="A118" s="58" t="str">
        <v/>
      </c>
      <c r="B118" s="131" t="str">
        <f>IFERROR(TIMEVALUE(DaqBook_RAW_Data!AG108),IFERROR(TIMEVALUE(DaqBook_RAW_Data!A108),""))</f>
        <v/>
      </c>
      <c r="C118" s="153"/>
      <c r="D118" s="153"/>
      <c r="E118" s="153"/>
      <c r="F118" s="153"/>
      <c r="G118" s="153"/>
      <c r="H118" s="153"/>
      <c r="I118" s="153"/>
      <c r="J118" s="153"/>
      <c r="K118" s="153"/>
      <c r="L118" s="153"/>
      <c r="M118" s="153"/>
      <c r="N118" s="153"/>
      <c r="O118" s="153"/>
      <c r="P118" s="153"/>
    </row>
    <row r="119" spans="1:16" x14ac:dyDescent="0.2">
      <c r="A119" s="58" t="str">
        <v/>
      </c>
      <c r="B119" s="131" t="str">
        <f>IFERROR(TIMEVALUE(DaqBook_RAW_Data!AG109),IFERROR(TIMEVALUE(DaqBook_RAW_Data!A109),""))</f>
        <v/>
      </c>
      <c r="C119" s="153"/>
      <c r="D119" s="153"/>
      <c r="E119" s="153"/>
      <c r="F119" s="153"/>
      <c r="G119" s="153"/>
      <c r="H119" s="153"/>
      <c r="I119" s="153"/>
      <c r="J119" s="153"/>
      <c r="K119" s="153"/>
      <c r="L119" s="153"/>
      <c r="M119" s="153"/>
      <c r="N119" s="153"/>
      <c r="O119" s="153"/>
      <c r="P119" s="153"/>
    </row>
    <row r="120" spans="1:16" x14ac:dyDescent="0.2">
      <c r="A120" s="58" t="str">
        <v/>
      </c>
      <c r="B120" s="131" t="str">
        <f>IFERROR(TIMEVALUE(DaqBook_RAW_Data!AG110),IFERROR(TIMEVALUE(DaqBook_RAW_Data!A110),""))</f>
        <v/>
      </c>
      <c r="C120" s="153"/>
      <c r="D120" s="153"/>
      <c r="E120" s="153"/>
      <c r="F120" s="153"/>
      <c r="G120" s="153"/>
      <c r="H120" s="153"/>
      <c r="I120" s="153"/>
      <c r="J120" s="153"/>
      <c r="K120" s="153"/>
      <c r="L120" s="153"/>
      <c r="M120" s="153"/>
      <c r="N120" s="153"/>
      <c r="O120" s="153"/>
      <c r="P120" s="153"/>
    </row>
    <row r="121" spans="1:16" x14ac:dyDescent="0.2">
      <c r="A121" s="58" t="str">
        <v/>
      </c>
      <c r="B121" s="131" t="str">
        <f>IFERROR(TIMEVALUE(DaqBook_RAW_Data!AG111),IFERROR(TIMEVALUE(DaqBook_RAW_Data!A111),""))</f>
        <v/>
      </c>
      <c r="C121" s="153"/>
      <c r="D121" s="153"/>
      <c r="E121" s="153"/>
      <c r="F121" s="153"/>
      <c r="G121" s="153"/>
      <c r="H121" s="153"/>
      <c r="I121" s="153"/>
      <c r="J121" s="153"/>
      <c r="K121" s="153"/>
      <c r="L121" s="153"/>
      <c r="M121" s="153"/>
      <c r="N121" s="153"/>
      <c r="O121" s="153"/>
      <c r="P121" s="153"/>
    </row>
    <row r="122" spans="1:16" x14ac:dyDescent="0.2">
      <c r="A122" s="58" t="str">
        <v/>
      </c>
      <c r="B122" s="131" t="str">
        <f>IFERROR(TIMEVALUE(DaqBook_RAW_Data!AG112),IFERROR(TIMEVALUE(DaqBook_RAW_Data!A112),""))</f>
        <v/>
      </c>
      <c r="C122" s="153"/>
      <c r="D122" s="153"/>
      <c r="E122" s="153"/>
      <c r="F122" s="153"/>
      <c r="G122" s="153"/>
      <c r="H122" s="153"/>
      <c r="I122" s="153"/>
      <c r="J122" s="153"/>
      <c r="K122" s="153"/>
      <c r="L122" s="153"/>
      <c r="M122" s="153"/>
      <c r="N122" s="153"/>
      <c r="O122" s="153"/>
      <c r="P122" s="153"/>
    </row>
    <row r="123" spans="1:16" x14ac:dyDescent="0.2">
      <c r="A123" s="58" t="str">
        <v/>
      </c>
      <c r="B123" s="131" t="str">
        <f>IFERROR(TIMEVALUE(DaqBook_RAW_Data!AG113),IFERROR(TIMEVALUE(DaqBook_RAW_Data!A113),""))</f>
        <v/>
      </c>
      <c r="C123" s="153"/>
      <c r="D123" s="153"/>
      <c r="E123" s="153"/>
      <c r="F123" s="153"/>
      <c r="G123" s="153"/>
      <c r="H123" s="153"/>
      <c r="I123" s="153"/>
      <c r="J123" s="153"/>
      <c r="K123" s="153"/>
      <c r="L123" s="153"/>
      <c r="M123" s="153"/>
      <c r="N123" s="153"/>
      <c r="O123" s="153"/>
      <c r="P123" s="153"/>
    </row>
    <row r="124" spans="1:16" x14ac:dyDescent="0.2">
      <c r="A124" s="58" t="str">
        <v/>
      </c>
      <c r="B124" s="131" t="str">
        <f>IFERROR(TIMEVALUE(DaqBook_RAW_Data!AG114),IFERROR(TIMEVALUE(DaqBook_RAW_Data!A114),""))</f>
        <v/>
      </c>
      <c r="C124" s="153"/>
      <c r="D124" s="153"/>
      <c r="E124" s="153"/>
      <c r="F124" s="153"/>
      <c r="G124" s="153"/>
      <c r="H124" s="153"/>
      <c r="I124" s="153"/>
      <c r="J124" s="153"/>
      <c r="K124" s="153"/>
      <c r="L124" s="153"/>
      <c r="M124" s="153"/>
      <c r="N124" s="153"/>
      <c r="O124" s="153"/>
      <c r="P124" s="153"/>
    </row>
    <row r="125" spans="1:16" x14ac:dyDescent="0.2">
      <c r="A125" s="58" t="str">
        <v/>
      </c>
      <c r="B125" s="131" t="str">
        <f>IFERROR(TIMEVALUE(DaqBook_RAW_Data!AG115),IFERROR(TIMEVALUE(DaqBook_RAW_Data!A115),""))</f>
        <v/>
      </c>
      <c r="C125" s="153"/>
      <c r="D125" s="153"/>
      <c r="E125" s="153"/>
      <c r="F125" s="153"/>
      <c r="G125" s="153"/>
      <c r="H125" s="153"/>
      <c r="I125" s="153"/>
      <c r="J125" s="153"/>
      <c r="K125" s="153"/>
      <c r="L125" s="153"/>
      <c r="M125" s="153"/>
      <c r="N125" s="153"/>
      <c r="O125" s="153"/>
      <c r="P125" s="153"/>
    </row>
    <row r="126" spans="1:16" x14ac:dyDescent="0.2">
      <c r="A126" s="58" t="str">
        <v/>
      </c>
      <c r="B126" s="131" t="str">
        <f>IFERROR(TIMEVALUE(DaqBook_RAW_Data!AG116),IFERROR(TIMEVALUE(DaqBook_RAW_Data!A116),""))</f>
        <v/>
      </c>
      <c r="C126" s="153"/>
      <c r="D126" s="153"/>
      <c r="E126" s="153"/>
      <c r="F126" s="153"/>
      <c r="G126" s="153"/>
      <c r="H126" s="153"/>
      <c r="I126" s="153"/>
      <c r="J126" s="153"/>
      <c r="K126" s="153"/>
      <c r="L126" s="153"/>
      <c r="M126" s="153"/>
      <c r="N126" s="153"/>
      <c r="O126" s="153"/>
      <c r="P126" s="153"/>
    </row>
    <row r="127" spans="1:16" x14ac:dyDescent="0.2">
      <c r="A127" s="58" t="str">
        <v/>
      </c>
      <c r="B127" s="131" t="str">
        <f>IFERROR(TIMEVALUE(DaqBook_RAW_Data!AG117),IFERROR(TIMEVALUE(DaqBook_RAW_Data!A117),""))</f>
        <v/>
      </c>
      <c r="C127" s="153"/>
      <c r="D127" s="153"/>
      <c r="E127" s="153"/>
      <c r="F127" s="153"/>
      <c r="G127" s="153"/>
      <c r="H127" s="153"/>
      <c r="I127" s="153"/>
      <c r="J127" s="153"/>
      <c r="K127" s="153"/>
      <c r="L127" s="153"/>
      <c r="M127" s="153"/>
      <c r="N127" s="153"/>
      <c r="O127" s="153"/>
      <c r="P127" s="153"/>
    </row>
    <row r="128" spans="1:16" x14ac:dyDescent="0.2">
      <c r="A128" s="58" t="str">
        <v/>
      </c>
      <c r="B128" s="131" t="str">
        <f>IFERROR(TIMEVALUE(DaqBook_RAW_Data!AG118),IFERROR(TIMEVALUE(DaqBook_RAW_Data!A118),""))</f>
        <v/>
      </c>
      <c r="C128" s="153"/>
      <c r="D128" s="153"/>
      <c r="E128" s="153"/>
      <c r="F128" s="153"/>
      <c r="G128" s="153"/>
      <c r="H128" s="153"/>
      <c r="I128" s="153"/>
      <c r="J128" s="153"/>
      <c r="K128" s="153"/>
      <c r="L128" s="153"/>
      <c r="M128" s="153"/>
      <c r="N128" s="153"/>
      <c r="O128" s="153"/>
      <c r="P128" s="153"/>
    </row>
    <row r="129" spans="1:16" x14ac:dyDescent="0.2">
      <c r="A129" s="58" t="str">
        <v/>
      </c>
      <c r="B129" s="131" t="str">
        <f>IFERROR(TIMEVALUE(DaqBook_RAW_Data!AG119),IFERROR(TIMEVALUE(DaqBook_RAW_Data!A119),""))</f>
        <v/>
      </c>
      <c r="C129" s="153"/>
      <c r="D129" s="153"/>
      <c r="E129" s="153"/>
      <c r="F129" s="153"/>
      <c r="G129" s="153"/>
      <c r="H129" s="153"/>
      <c r="I129" s="153"/>
      <c r="J129" s="153"/>
      <c r="K129" s="153"/>
      <c r="L129" s="153"/>
      <c r="M129" s="153"/>
      <c r="N129" s="153"/>
      <c r="O129" s="153"/>
      <c r="P129" s="153"/>
    </row>
    <row r="130" spans="1:16" x14ac:dyDescent="0.2">
      <c r="A130" s="58" t="str">
        <v/>
      </c>
      <c r="B130" s="131" t="str">
        <f>IFERROR(TIMEVALUE(DaqBook_RAW_Data!AG120),IFERROR(TIMEVALUE(DaqBook_RAW_Data!A120),""))</f>
        <v/>
      </c>
      <c r="C130" s="153"/>
      <c r="D130" s="153"/>
      <c r="E130" s="153"/>
      <c r="F130" s="153"/>
      <c r="G130" s="153"/>
      <c r="H130" s="153"/>
      <c r="I130" s="153"/>
      <c r="J130" s="153"/>
      <c r="K130" s="153"/>
      <c r="L130" s="153"/>
      <c r="M130" s="153"/>
      <c r="N130" s="153"/>
      <c r="O130" s="153"/>
      <c r="P130" s="153"/>
    </row>
    <row r="131" spans="1:16" x14ac:dyDescent="0.2">
      <c r="A131" s="58" t="str">
        <v/>
      </c>
      <c r="B131" s="131" t="str">
        <f>IFERROR(TIMEVALUE(DaqBook_RAW_Data!AG121),IFERROR(TIMEVALUE(DaqBook_RAW_Data!A121),""))</f>
        <v/>
      </c>
      <c r="C131" s="153"/>
      <c r="D131" s="153"/>
      <c r="E131" s="153"/>
      <c r="F131" s="153"/>
      <c r="G131" s="153"/>
      <c r="H131" s="153"/>
      <c r="I131" s="153"/>
      <c r="J131" s="153"/>
      <c r="K131" s="153"/>
      <c r="L131" s="153"/>
      <c r="M131" s="153"/>
      <c r="N131" s="153"/>
      <c r="O131" s="153"/>
      <c r="P131" s="153"/>
    </row>
    <row r="132" spans="1:16" x14ac:dyDescent="0.2">
      <c r="A132" s="58" t="str">
        <v/>
      </c>
      <c r="B132" s="131" t="str">
        <f>IFERROR(TIMEVALUE(DaqBook_RAW_Data!AG122),IFERROR(TIMEVALUE(DaqBook_RAW_Data!A122),""))</f>
        <v/>
      </c>
      <c r="C132" s="153"/>
      <c r="D132" s="153"/>
      <c r="E132" s="153"/>
      <c r="F132" s="153"/>
      <c r="G132" s="153"/>
      <c r="H132" s="153"/>
      <c r="I132" s="153"/>
      <c r="J132" s="153"/>
      <c r="K132" s="153"/>
      <c r="L132" s="153"/>
      <c r="M132" s="153"/>
      <c r="N132" s="153"/>
      <c r="O132" s="153"/>
      <c r="P132" s="153"/>
    </row>
    <row r="133" spans="1:16" x14ac:dyDescent="0.2">
      <c r="A133" s="58" t="str">
        <v/>
      </c>
      <c r="B133" s="131" t="str">
        <f>IFERROR(TIMEVALUE(DaqBook_RAW_Data!AG123),IFERROR(TIMEVALUE(DaqBook_RAW_Data!A123),""))</f>
        <v/>
      </c>
      <c r="C133" s="153"/>
      <c r="D133" s="153"/>
      <c r="E133" s="153"/>
      <c r="F133" s="153"/>
      <c r="G133" s="153"/>
      <c r="H133" s="153"/>
      <c r="I133" s="153"/>
      <c r="J133" s="153"/>
      <c r="K133" s="153"/>
      <c r="L133" s="153"/>
      <c r="M133" s="153"/>
      <c r="N133" s="153"/>
      <c r="O133" s="153"/>
      <c r="P133" s="153"/>
    </row>
    <row r="134" spans="1:16" x14ac:dyDescent="0.2">
      <c r="A134" s="58" t="str">
        <v/>
      </c>
      <c r="B134" s="131" t="str">
        <f>IFERROR(TIMEVALUE(DaqBook_RAW_Data!AG124),IFERROR(TIMEVALUE(DaqBook_RAW_Data!A124),""))</f>
        <v/>
      </c>
      <c r="C134" s="153"/>
      <c r="D134" s="153"/>
      <c r="E134" s="153"/>
      <c r="F134" s="153"/>
      <c r="G134" s="153"/>
      <c r="H134" s="153"/>
      <c r="I134" s="153"/>
      <c r="J134" s="153"/>
      <c r="K134" s="153"/>
      <c r="L134" s="153"/>
      <c r="M134" s="153"/>
      <c r="N134" s="153"/>
      <c r="O134" s="153"/>
      <c r="P134" s="153"/>
    </row>
    <row r="135" spans="1:16" x14ac:dyDescent="0.2">
      <c r="A135" s="58" t="str">
        <v/>
      </c>
      <c r="B135" s="131" t="str">
        <f>IFERROR(TIMEVALUE(DaqBook_RAW_Data!AG125),IFERROR(TIMEVALUE(DaqBook_RAW_Data!A125),""))</f>
        <v/>
      </c>
      <c r="C135" s="153"/>
      <c r="D135" s="153"/>
      <c r="E135" s="153"/>
      <c r="F135" s="153"/>
      <c r="G135" s="153"/>
      <c r="H135" s="153"/>
      <c r="I135" s="153"/>
      <c r="J135" s="153"/>
      <c r="K135" s="153"/>
      <c r="L135" s="153"/>
      <c r="M135" s="153"/>
      <c r="N135" s="153"/>
      <c r="O135" s="153"/>
      <c r="P135" s="153"/>
    </row>
    <row r="136" spans="1:16" x14ac:dyDescent="0.2">
      <c r="A136" s="58" t="str">
        <v/>
      </c>
      <c r="B136" s="131" t="str">
        <f>IFERROR(TIMEVALUE(DaqBook_RAW_Data!AG126),IFERROR(TIMEVALUE(DaqBook_RAW_Data!A126),""))</f>
        <v/>
      </c>
      <c r="C136" s="153"/>
      <c r="D136" s="153"/>
      <c r="E136" s="153"/>
      <c r="F136" s="153"/>
      <c r="G136" s="153"/>
      <c r="H136" s="153"/>
      <c r="I136" s="153"/>
      <c r="J136" s="153"/>
      <c r="K136" s="153"/>
      <c r="L136" s="153"/>
      <c r="M136" s="153"/>
      <c r="N136" s="153"/>
      <c r="O136" s="153"/>
      <c r="P136" s="153"/>
    </row>
    <row r="137" spans="1:16" x14ac:dyDescent="0.2">
      <c r="A137" s="58" t="str">
        <v/>
      </c>
      <c r="B137" s="131" t="str">
        <f>IFERROR(TIMEVALUE(DaqBook_RAW_Data!AG127),IFERROR(TIMEVALUE(DaqBook_RAW_Data!A127),""))</f>
        <v/>
      </c>
      <c r="C137" s="153"/>
      <c r="D137" s="153"/>
      <c r="E137" s="153"/>
      <c r="F137" s="153"/>
      <c r="G137" s="153"/>
      <c r="H137" s="153"/>
      <c r="I137" s="153"/>
      <c r="J137" s="153"/>
      <c r="K137" s="153"/>
      <c r="L137" s="153"/>
      <c r="M137" s="153"/>
      <c r="N137" s="153"/>
      <c r="O137" s="153"/>
      <c r="P137" s="153"/>
    </row>
    <row r="138" spans="1:16" x14ac:dyDescent="0.2">
      <c r="A138" s="58" t="str">
        <v/>
      </c>
      <c r="B138" s="131" t="str">
        <f>IFERROR(TIMEVALUE(DaqBook_RAW_Data!AG128),IFERROR(TIMEVALUE(DaqBook_RAW_Data!A128),""))</f>
        <v/>
      </c>
      <c r="C138" s="153"/>
      <c r="D138" s="153"/>
      <c r="E138" s="153"/>
      <c r="F138" s="153"/>
      <c r="G138" s="153"/>
      <c r="H138" s="153"/>
      <c r="I138" s="153"/>
      <c r="J138" s="153"/>
      <c r="K138" s="153"/>
      <c r="L138" s="153"/>
      <c r="M138" s="153"/>
      <c r="N138" s="153"/>
      <c r="O138" s="153"/>
      <c r="P138" s="153"/>
    </row>
    <row r="139" spans="1:16" x14ac:dyDescent="0.2">
      <c r="A139" s="58" t="str">
        <v/>
      </c>
      <c r="B139" s="131" t="str">
        <f>IFERROR(TIMEVALUE(DaqBook_RAW_Data!AG129),IFERROR(TIMEVALUE(DaqBook_RAW_Data!A129),""))</f>
        <v/>
      </c>
      <c r="C139" s="153"/>
      <c r="D139" s="153"/>
      <c r="E139" s="153"/>
      <c r="F139" s="153"/>
      <c r="G139" s="153"/>
      <c r="H139" s="153"/>
      <c r="I139" s="153"/>
      <c r="J139" s="153"/>
      <c r="K139" s="153"/>
      <c r="L139" s="153"/>
      <c r="M139" s="153"/>
      <c r="N139" s="153"/>
      <c r="O139" s="153"/>
      <c r="P139" s="153"/>
    </row>
    <row r="140" spans="1:16" x14ac:dyDescent="0.2">
      <c r="A140" s="58" t="str">
        <v/>
      </c>
      <c r="B140" s="131" t="str">
        <f>IFERROR(TIMEVALUE(DaqBook_RAW_Data!AG130),IFERROR(TIMEVALUE(DaqBook_RAW_Data!A130),""))</f>
        <v/>
      </c>
      <c r="C140" s="153"/>
      <c r="D140" s="153"/>
      <c r="E140" s="153"/>
      <c r="F140" s="153"/>
      <c r="G140" s="153"/>
      <c r="H140" s="153"/>
      <c r="I140" s="153"/>
      <c r="J140" s="153"/>
      <c r="K140" s="153"/>
      <c r="L140" s="153"/>
      <c r="M140" s="153"/>
      <c r="N140" s="153"/>
      <c r="O140" s="153"/>
      <c r="P140" s="153"/>
    </row>
    <row r="141" spans="1:16" x14ac:dyDescent="0.2">
      <c r="A141" s="58" t="str">
        <v/>
      </c>
      <c r="B141" s="131" t="str">
        <f>IFERROR(TIMEVALUE(DaqBook_RAW_Data!AG131),IFERROR(TIMEVALUE(DaqBook_RAW_Data!A131),""))</f>
        <v/>
      </c>
      <c r="C141" s="153"/>
      <c r="D141" s="153"/>
      <c r="E141" s="153"/>
      <c r="F141" s="153"/>
      <c r="G141" s="153"/>
      <c r="H141" s="153"/>
      <c r="I141" s="153"/>
      <c r="J141" s="153"/>
      <c r="K141" s="153"/>
      <c r="L141" s="153"/>
      <c r="M141" s="153"/>
      <c r="N141" s="153"/>
      <c r="O141" s="153"/>
      <c r="P141" s="153"/>
    </row>
    <row r="142" spans="1:16" x14ac:dyDescent="0.2">
      <c r="A142" s="58" t="str">
        <v/>
      </c>
      <c r="B142" s="131" t="str">
        <f>IFERROR(TIMEVALUE(DaqBook_RAW_Data!AG132),IFERROR(TIMEVALUE(DaqBook_RAW_Data!A132),""))</f>
        <v/>
      </c>
      <c r="C142" s="153"/>
      <c r="D142" s="153"/>
      <c r="E142" s="153"/>
      <c r="F142" s="153"/>
      <c r="G142" s="153"/>
      <c r="H142" s="153"/>
      <c r="I142" s="153"/>
      <c r="J142" s="153"/>
      <c r="K142" s="153"/>
      <c r="L142" s="153"/>
      <c r="M142" s="153"/>
      <c r="N142" s="153"/>
      <c r="O142" s="153"/>
      <c r="P142" s="153"/>
    </row>
    <row r="143" spans="1:16" x14ac:dyDescent="0.2">
      <c r="A143" s="58" t="str">
        <v/>
      </c>
      <c r="B143" s="131" t="str">
        <f>IFERROR(TIMEVALUE(DaqBook_RAW_Data!AG133),IFERROR(TIMEVALUE(DaqBook_RAW_Data!A133),""))</f>
        <v/>
      </c>
      <c r="C143" s="153"/>
      <c r="D143" s="153"/>
      <c r="E143" s="153"/>
      <c r="F143" s="153"/>
      <c r="G143" s="153"/>
      <c r="H143" s="153"/>
      <c r="I143" s="153"/>
      <c r="J143" s="153"/>
      <c r="K143" s="153"/>
      <c r="L143" s="153"/>
      <c r="M143" s="153"/>
      <c r="N143" s="153"/>
      <c r="O143" s="153"/>
      <c r="P143" s="153"/>
    </row>
    <row r="144" spans="1:16" x14ac:dyDescent="0.2">
      <c r="A144" s="58" t="str">
        <v/>
      </c>
      <c r="B144" s="131" t="str">
        <f>IFERROR(TIMEVALUE(DaqBook_RAW_Data!AG134),IFERROR(TIMEVALUE(DaqBook_RAW_Data!A134),""))</f>
        <v/>
      </c>
      <c r="C144" s="153"/>
      <c r="D144" s="153"/>
      <c r="E144" s="153"/>
      <c r="F144" s="153"/>
      <c r="G144" s="153"/>
      <c r="H144" s="153"/>
      <c r="I144" s="153"/>
      <c r="J144" s="153"/>
      <c r="K144" s="153"/>
      <c r="L144" s="153"/>
      <c r="M144" s="153"/>
      <c r="N144" s="153"/>
      <c r="O144" s="153"/>
      <c r="P144" s="153"/>
    </row>
    <row r="145" spans="1:16" x14ac:dyDescent="0.2">
      <c r="A145" s="58" t="str">
        <v/>
      </c>
      <c r="B145" s="131" t="str">
        <f>IFERROR(TIMEVALUE(DaqBook_RAW_Data!AG135),IFERROR(TIMEVALUE(DaqBook_RAW_Data!A135),""))</f>
        <v/>
      </c>
      <c r="C145" s="153"/>
      <c r="D145" s="153"/>
      <c r="E145" s="153"/>
      <c r="F145" s="153"/>
      <c r="G145" s="153"/>
      <c r="H145" s="153"/>
      <c r="I145" s="153"/>
      <c r="J145" s="153"/>
      <c r="K145" s="153"/>
      <c r="L145" s="153"/>
      <c r="M145" s="153"/>
      <c r="N145" s="153"/>
      <c r="O145" s="153"/>
      <c r="P145" s="153"/>
    </row>
    <row r="146" spans="1:16" x14ac:dyDescent="0.2">
      <c r="A146" s="58" t="str">
        <v/>
      </c>
      <c r="B146" s="131" t="str">
        <f>IFERROR(TIMEVALUE(DaqBook_RAW_Data!AG136),IFERROR(TIMEVALUE(DaqBook_RAW_Data!A136),""))</f>
        <v/>
      </c>
      <c r="C146" s="153"/>
      <c r="D146" s="153"/>
      <c r="E146" s="153"/>
      <c r="F146" s="153"/>
      <c r="G146" s="153"/>
      <c r="H146" s="153"/>
      <c r="I146" s="153"/>
      <c r="J146" s="153"/>
      <c r="K146" s="153"/>
      <c r="L146" s="153"/>
      <c r="M146" s="153"/>
      <c r="N146" s="153"/>
      <c r="O146" s="153"/>
      <c r="P146" s="153"/>
    </row>
    <row r="147" spans="1:16" x14ac:dyDescent="0.2">
      <c r="A147" s="58" t="str">
        <v/>
      </c>
      <c r="B147" s="131" t="str">
        <f>IFERROR(TIMEVALUE(DaqBook_RAW_Data!AG137),IFERROR(TIMEVALUE(DaqBook_RAW_Data!A137),""))</f>
        <v/>
      </c>
      <c r="C147" s="153"/>
      <c r="D147" s="153"/>
      <c r="E147" s="153"/>
      <c r="F147" s="153"/>
      <c r="G147" s="153"/>
      <c r="H147" s="153"/>
      <c r="I147" s="153"/>
      <c r="J147" s="153"/>
      <c r="K147" s="153"/>
      <c r="L147" s="153"/>
      <c r="M147" s="153"/>
      <c r="N147" s="153"/>
      <c r="O147" s="153"/>
      <c r="P147" s="153"/>
    </row>
    <row r="148" spans="1:16" x14ac:dyDescent="0.2">
      <c r="A148" s="58" t="str">
        <v/>
      </c>
      <c r="B148" s="131" t="str">
        <f>IFERROR(TIMEVALUE(DaqBook_RAW_Data!AG138),IFERROR(TIMEVALUE(DaqBook_RAW_Data!A138),""))</f>
        <v/>
      </c>
      <c r="C148" s="153"/>
      <c r="D148" s="153"/>
      <c r="E148" s="153"/>
      <c r="F148" s="153"/>
      <c r="G148" s="153"/>
      <c r="H148" s="153"/>
      <c r="I148" s="153"/>
      <c r="J148" s="153"/>
      <c r="K148" s="153"/>
      <c r="L148" s="153"/>
      <c r="M148" s="153"/>
      <c r="N148" s="153"/>
      <c r="O148" s="153"/>
      <c r="P148" s="153"/>
    </row>
    <row r="149" spans="1:16" x14ac:dyDescent="0.2">
      <c r="A149" s="58" t="str">
        <v/>
      </c>
      <c r="B149" s="131" t="str">
        <f>IFERROR(TIMEVALUE(DaqBook_RAW_Data!AG139),IFERROR(TIMEVALUE(DaqBook_RAW_Data!A139),""))</f>
        <v/>
      </c>
      <c r="C149" s="153"/>
      <c r="D149" s="153"/>
      <c r="E149" s="153"/>
      <c r="F149" s="153"/>
      <c r="G149" s="153"/>
      <c r="H149" s="153"/>
      <c r="I149" s="153"/>
      <c r="J149" s="153"/>
      <c r="K149" s="153"/>
      <c r="L149" s="153"/>
      <c r="M149" s="153"/>
      <c r="N149" s="153"/>
      <c r="O149" s="153"/>
      <c r="P149" s="153"/>
    </row>
    <row r="150" spans="1:16" x14ac:dyDescent="0.2">
      <c r="A150" s="58" t="str">
        <v/>
      </c>
      <c r="B150" s="131" t="str">
        <f>IFERROR(TIMEVALUE(DaqBook_RAW_Data!AG140),IFERROR(TIMEVALUE(DaqBook_RAW_Data!A140),""))</f>
        <v/>
      </c>
      <c r="C150" s="153"/>
      <c r="D150" s="153"/>
      <c r="E150" s="153"/>
      <c r="F150" s="153"/>
      <c r="G150" s="153"/>
      <c r="H150" s="153"/>
      <c r="I150" s="153"/>
      <c r="J150" s="153"/>
      <c r="K150" s="153"/>
      <c r="L150" s="153"/>
      <c r="M150" s="153"/>
      <c r="N150" s="153"/>
      <c r="O150" s="153"/>
      <c r="P150" s="153"/>
    </row>
    <row r="151" spans="1:16" x14ac:dyDescent="0.2">
      <c r="A151" s="58" t="str">
        <v/>
      </c>
      <c r="B151" s="131" t="str">
        <f>IFERROR(TIMEVALUE(DaqBook_RAW_Data!AG141),IFERROR(TIMEVALUE(DaqBook_RAW_Data!A141),""))</f>
        <v/>
      </c>
      <c r="C151" s="153"/>
      <c r="D151" s="153"/>
      <c r="E151" s="153"/>
      <c r="F151" s="153"/>
      <c r="G151" s="153"/>
      <c r="H151" s="153"/>
      <c r="I151" s="153"/>
      <c r="J151" s="153"/>
      <c r="K151" s="153"/>
      <c r="L151" s="153"/>
      <c r="M151" s="153"/>
      <c r="N151" s="153"/>
      <c r="O151" s="153"/>
      <c r="P151" s="153"/>
    </row>
    <row r="152" spans="1:16" x14ac:dyDescent="0.2">
      <c r="A152" s="58" t="str">
        <v/>
      </c>
      <c r="B152" s="131" t="str">
        <f>IFERROR(TIMEVALUE(DaqBook_RAW_Data!AG142),IFERROR(TIMEVALUE(DaqBook_RAW_Data!A142),""))</f>
        <v/>
      </c>
      <c r="C152" s="153"/>
      <c r="D152" s="153"/>
      <c r="E152" s="153"/>
      <c r="F152" s="153"/>
      <c r="G152" s="153"/>
      <c r="H152" s="153"/>
      <c r="I152" s="153"/>
      <c r="J152" s="153"/>
      <c r="K152" s="153"/>
      <c r="L152" s="153"/>
      <c r="M152" s="153"/>
      <c r="N152" s="153"/>
      <c r="O152" s="153"/>
      <c r="P152" s="153"/>
    </row>
    <row r="153" spans="1:16" x14ac:dyDescent="0.2">
      <c r="A153" s="58" t="str">
        <v/>
      </c>
      <c r="B153" s="131" t="str">
        <f>IFERROR(TIMEVALUE(DaqBook_RAW_Data!AG143),IFERROR(TIMEVALUE(DaqBook_RAW_Data!A143),""))</f>
        <v/>
      </c>
      <c r="C153" s="153"/>
      <c r="D153" s="153"/>
      <c r="E153" s="153"/>
      <c r="F153" s="153"/>
      <c r="G153" s="153"/>
      <c r="H153" s="153"/>
      <c r="I153" s="153"/>
      <c r="J153" s="153"/>
      <c r="K153" s="153"/>
      <c r="L153" s="153"/>
      <c r="M153" s="153"/>
      <c r="N153" s="153"/>
      <c r="O153" s="153"/>
      <c r="P153" s="153"/>
    </row>
    <row r="154" spans="1:16" x14ac:dyDescent="0.2">
      <c r="A154" s="58" t="str">
        <v/>
      </c>
      <c r="B154" s="131" t="str">
        <f>IFERROR(TIMEVALUE(DaqBook_RAW_Data!AG144),IFERROR(TIMEVALUE(DaqBook_RAW_Data!A144),""))</f>
        <v/>
      </c>
      <c r="C154" s="153"/>
      <c r="D154" s="153"/>
      <c r="E154" s="153"/>
      <c r="F154" s="153"/>
      <c r="G154" s="153"/>
      <c r="H154" s="153"/>
      <c r="I154" s="153"/>
      <c r="J154" s="153"/>
      <c r="K154" s="153"/>
      <c r="L154" s="153"/>
      <c r="M154" s="153"/>
      <c r="N154" s="153"/>
      <c r="O154" s="153"/>
      <c r="P154" s="153"/>
    </row>
    <row r="155" spans="1:16" x14ac:dyDescent="0.2">
      <c r="A155" s="58" t="str">
        <v/>
      </c>
      <c r="B155" s="131" t="str">
        <f>IFERROR(TIMEVALUE(DaqBook_RAW_Data!AG145),IFERROR(TIMEVALUE(DaqBook_RAW_Data!A145),""))</f>
        <v/>
      </c>
      <c r="C155" s="153"/>
      <c r="D155" s="153"/>
      <c r="E155" s="153"/>
      <c r="F155" s="153"/>
      <c r="G155" s="153"/>
      <c r="H155" s="153"/>
      <c r="I155" s="153"/>
      <c r="J155" s="153"/>
      <c r="K155" s="153"/>
      <c r="L155" s="153"/>
      <c r="M155" s="153"/>
      <c r="N155" s="153"/>
      <c r="O155" s="153"/>
      <c r="P155" s="153"/>
    </row>
    <row r="156" spans="1:16" x14ac:dyDescent="0.2">
      <c r="A156" s="58" t="str">
        <v/>
      </c>
      <c r="B156" s="131" t="str">
        <f>IFERROR(TIMEVALUE(DaqBook_RAW_Data!AG146),IFERROR(TIMEVALUE(DaqBook_RAW_Data!A146),""))</f>
        <v/>
      </c>
      <c r="C156" s="153"/>
      <c r="D156" s="153"/>
      <c r="E156" s="153"/>
      <c r="F156" s="153"/>
      <c r="G156" s="153"/>
      <c r="H156" s="153"/>
      <c r="I156" s="153"/>
      <c r="J156" s="153"/>
      <c r="K156" s="153"/>
      <c r="L156" s="153"/>
      <c r="M156" s="153"/>
      <c r="N156" s="153"/>
      <c r="O156" s="153"/>
      <c r="P156" s="153"/>
    </row>
    <row r="157" spans="1:16" x14ac:dyDescent="0.2">
      <c r="A157" s="58" t="str">
        <v/>
      </c>
      <c r="B157" s="131" t="str">
        <f>IFERROR(TIMEVALUE(DaqBook_RAW_Data!AG147),IFERROR(TIMEVALUE(DaqBook_RAW_Data!A147),""))</f>
        <v/>
      </c>
      <c r="C157" s="153"/>
      <c r="D157" s="153"/>
      <c r="E157" s="153"/>
      <c r="F157" s="153"/>
      <c r="G157" s="153"/>
      <c r="H157" s="153"/>
      <c r="I157" s="153"/>
      <c r="J157" s="153"/>
      <c r="K157" s="153"/>
      <c r="L157" s="153"/>
      <c r="M157" s="153"/>
      <c r="N157" s="153"/>
      <c r="O157" s="153"/>
      <c r="P157" s="153"/>
    </row>
    <row r="158" spans="1:16" x14ac:dyDescent="0.2">
      <c r="A158" s="58" t="str">
        <v/>
      </c>
      <c r="B158" s="131" t="str">
        <f>IFERROR(TIMEVALUE(DaqBook_RAW_Data!AG148),IFERROR(TIMEVALUE(DaqBook_RAW_Data!A148),""))</f>
        <v/>
      </c>
      <c r="C158" s="153"/>
      <c r="D158" s="153"/>
      <c r="E158" s="153"/>
      <c r="F158" s="153"/>
      <c r="G158" s="153"/>
      <c r="H158" s="153"/>
      <c r="I158" s="153"/>
      <c r="J158" s="153"/>
      <c r="K158" s="153"/>
      <c r="L158" s="153"/>
      <c r="M158" s="153"/>
      <c r="N158" s="153"/>
      <c r="O158" s="153"/>
      <c r="P158" s="153"/>
    </row>
    <row r="159" spans="1:16" x14ac:dyDescent="0.2">
      <c r="A159" s="58" t="str">
        <v/>
      </c>
      <c r="B159" s="131" t="str">
        <f>IFERROR(TIMEVALUE(DaqBook_RAW_Data!AG149),IFERROR(TIMEVALUE(DaqBook_RAW_Data!A149),""))</f>
        <v/>
      </c>
      <c r="C159" s="153"/>
      <c r="D159" s="153"/>
      <c r="E159" s="153"/>
      <c r="F159" s="153"/>
      <c r="G159" s="153"/>
      <c r="H159" s="153"/>
      <c r="I159" s="153"/>
      <c r="J159" s="153"/>
      <c r="K159" s="153"/>
      <c r="L159" s="153"/>
      <c r="M159" s="153"/>
      <c r="N159" s="153"/>
      <c r="O159" s="153"/>
      <c r="P159" s="153"/>
    </row>
    <row r="160" spans="1:16" x14ac:dyDescent="0.2">
      <c r="A160" s="58" t="str">
        <v/>
      </c>
      <c r="B160" s="131" t="str">
        <f>IFERROR(TIMEVALUE(DaqBook_RAW_Data!AG150),IFERROR(TIMEVALUE(DaqBook_RAW_Data!A150),""))</f>
        <v/>
      </c>
      <c r="C160" s="153"/>
      <c r="D160" s="153"/>
      <c r="E160" s="153"/>
      <c r="F160" s="153"/>
      <c r="G160" s="153"/>
      <c r="H160" s="153"/>
      <c r="I160" s="153"/>
      <c r="J160" s="153"/>
      <c r="K160" s="153"/>
      <c r="L160" s="153"/>
      <c r="M160" s="153"/>
      <c r="N160" s="153"/>
      <c r="O160" s="153"/>
      <c r="P160" s="153"/>
    </row>
    <row r="161" spans="1:16" x14ac:dyDescent="0.2">
      <c r="A161" s="58" t="str">
        <v/>
      </c>
      <c r="B161" s="131" t="str">
        <f>IFERROR(TIMEVALUE(DaqBook_RAW_Data!AG151),IFERROR(TIMEVALUE(DaqBook_RAW_Data!A151),""))</f>
        <v/>
      </c>
      <c r="C161" s="153"/>
      <c r="D161" s="153"/>
      <c r="E161" s="153"/>
      <c r="F161" s="153"/>
      <c r="G161" s="153"/>
      <c r="H161" s="153"/>
      <c r="I161" s="153"/>
      <c r="J161" s="153"/>
      <c r="K161" s="153"/>
      <c r="L161" s="153"/>
      <c r="M161" s="153"/>
      <c r="N161" s="153"/>
      <c r="O161" s="153"/>
      <c r="P161" s="153"/>
    </row>
    <row r="162" spans="1:16" x14ac:dyDescent="0.2">
      <c r="A162" s="58" t="str">
        <v/>
      </c>
      <c r="B162" s="131" t="str">
        <f>IFERROR(TIMEVALUE(DaqBook_RAW_Data!AG152),IFERROR(TIMEVALUE(DaqBook_RAW_Data!A152),""))</f>
        <v/>
      </c>
      <c r="C162" s="153"/>
      <c r="D162" s="153"/>
      <c r="E162" s="153"/>
      <c r="F162" s="153"/>
      <c r="G162" s="153"/>
      <c r="H162" s="153"/>
      <c r="I162" s="153"/>
      <c r="J162" s="153"/>
      <c r="K162" s="153"/>
      <c r="L162" s="153"/>
      <c r="M162" s="153"/>
      <c r="N162" s="153"/>
      <c r="O162" s="153"/>
      <c r="P162" s="153"/>
    </row>
    <row r="163" spans="1:16" x14ac:dyDescent="0.2">
      <c r="A163" s="58" t="str">
        <v/>
      </c>
      <c r="B163" s="131" t="str">
        <f>IFERROR(TIMEVALUE(DaqBook_RAW_Data!AG153),IFERROR(TIMEVALUE(DaqBook_RAW_Data!A153),""))</f>
        <v/>
      </c>
      <c r="C163" s="153"/>
      <c r="D163" s="153"/>
      <c r="E163" s="153"/>
      <c r="F163" s="153"/>
      <c r="G163" s="153"/>
      <c r="H163" s="153"/>
      <c r="I163" s="153"/>
      <c r="J163" s="153"/>
      <c r="K163" s="153"/>
      <c r="L163" s="153"/>
      <c r="M163" s="153"/>
      <c r="N163" s="153"/>
      <c r="O163" s="153"/>
      <c r="P163" s="153"/>
    </row>
    <row r="164" spans="1:16" x14ac:dyDescent="0.2">
      <c r="A164" s="58" t="str">
        <v/>
      </c>
      <c r="B164" s="131" t="str">
        <f>IFERROR(TIMEVALUE(DaqBook_RAW_Data!AG154),IFERROR(TIMEVALUE(DaqBook_RAW_Data!A154),""))</f>
        <v/>
      </c>
      <c r="C164" s="153"/>
      <c r="D164" s="153"/>
      <c r="E164" s="153"/>
      <c r="F164" s="153"/>
      <c r="G164" s="153"/>
      <c r="H164" s="153"/>
      <c r="I164" s="153"/>
      <c r="J164" s="153"/>
      <c r="K164" s="153"/>
      <c r="L164" s="153"/>
      <c r="M164" s="153"/>
      <c r="N164" s="153"/>
      <c r="O164" s="153"/>
      <c r="P164" s="153"/>
    </row>
    <row r="165" spans="1:16" x14ac:dyDescent="0.2">
      <c r="A165" s="58" t="str">
        <v/>
      </c>
      <c r="B165" s="131" t="str">
        <f>IFERROR(TIMEVALUE(DaqBook_RAW_Data!AG155),IFERROR(TIMEVALUE(DaqBook_RAW_Data!A155),""))</f>
        <v/>
      </c>
      <c r="C165" s="153"/>
      <c r="D165" s="153"/>
      <c r="E165" s="153"/>
      <c r="F165" s="153"/>
      <c r="G165" s="153"/>
      <c r="H165" s="153"/>
      <c r="I165" s="153"/>
      <c r="J165" s="153"/>
      <c r="K165" s="153"/>
      <c r="L165" s="153"/>
      <c r="M165" s="153"/>
      <c r="N165" s="153"/>
      <c r="O165" s="153"/>
      <c r="P165" s="153"/>
    </row>
    <row r="166" spans="1:16" x14ac:dyDescent="0.2">
      <c r="A166" s="58" t="str">
        <v/>
      </c>
      <c r="B166" s="131" t="str">
        <f>IFERROR(TIMEVALUE(DaqBook_RAW_Data!AG156),IFERROR(TIMEVALUE(DaqBook_RAW_Data!A156),""))</f>
        <v/>
      </c>
      <c r="C166" s="153"/>
      <c r="D166" s="153"/>
      <c r="E166" s="153"/>
      <c r="F166" s="153"/>
      <c r="G166" s="153"/>
      <c r="H166" s="153"/>
      <c r="I166" s="153"/>
      <c r="J166" s="153"/>
      <c r="K166" s="153"/>
      <c r="L166" s="153"/>
      <c r="M166" s="153"/>
      <c r="N166" s="153"/>
      <c r="O166" s="153"/>
      <c r="P166" s="153"/>
    </row>
    <row r="167" spans="1:16" x14ac:dyDescent="0.2">
      <c r="A167" s="58" t="str">
        <v/>
      </c>
      <c r="B167" s="131" t="str">
        <f>IFERROR(TIMEVALUE(DaqBook_RAW_Data!AG157),IFERROR(TIMEVALUE(DaqBook_RAW_Data!A157),""))</f>
        <v/>
      </c>
      <c r="C167" s="153"/>
      <c r="D167" s="153"/>
      <c r="E167" s="153"/>
      <c r="F167" s="153"/>
      <c r="G167" s="153"/>
      <c r="H167" s="153"/>
      <c r="I167" s="153"/>
      <c r="J167" s="153"/>
      <c r="K167" s="153"/>
      <c r="L167" s="153"/>
      <c r="M167" s="153"/>
      <c r="N167" s="153"/>
      <c r="O167" s="153"/>
      <c r="P167" s="153"/>
    </row>
    <row r="168" spans="1:16" x14ac:dyDescent="0.2">
      <c r="A168" s="58" t="str">
        <v/>
      </c>
      <c r="B168" s="131" t="str">
        <f>IFERROR(TIMEVALUE(DaqBook_RAW_Data!AG158),IFERROR(TIMEVALUE(DaqBook_RAW_Data!A158),""))</f>
        <v/>
      </c>
      <c r="C168" s="153"/>
      <c r="D168" s="153"/>
      <c r="E168" s="153"/>
      <c r="F168" s="153"/>
      <c r="G168" s="153"/>
      <c r="H168" s="153"/>
      <c r="I168" s="153"/>
      <c r="J168" s="153"/>
      <c r="K168" s="153"/>
      <c r="L168" s="153"/>
      <c r="M168" s="153"/>
      <c r="N168" s="153"/>
      <c r="O168" s="153"/>
      <c r="P168" s="153"/>
    </row>
    <row r="169" spans="1:16" x14ac:dyDescent="0.2">
      <c r="A169" s="58" t="str">
        <v/>
      </c>
      <c r="B169" s="131" t="str">
        <f>IFERROR(TIMEVALUE(DaqBook_RAW_Data!AG159),IFERROR(TIMEVALUE(DaqBook_RAW_Data!A159),""))</f>
        <v/>
      </c>
      <c r="C169" s="153"/>
      <c r="D169" s="153"/>
      <c r="E169" s="153"/>
      <c r="F169" s="153"/>
      <c r="G169" s="153"/>
      <c r="H169" s="153"/>
      <c r="I169" s="153"/>
      <c r="J169" s="153"/>
      <c r="K169" s="153"/>
      <c r="L169" s="153"/>
      <c r="M169" s="153"/>
      <c r="N169" s="153"/>
      <c r="O169" s="153"/>
      <c r="P169" s="153"/>
    </row>
    <row r="170" spans="1:16" x14ac:dyDescent="0.2">
      <c r="A170" s="58" t="str">
        <v/>
      </c>
      <c r="B170" s="131" t="str">
        <f>IFERROR(TIMEVALUE(DaqBook_RAW_Data!AG160),IFERROR(TIMEVALUE(DaqBook_RAW_Data!A160),""))</f>
        <v/>
      </c>
      <c r="C170" s="153"/>
      <c r="D170" s="153"/>
      <c r="E170" s="153"/>
      <c r="F170" s="153"/>
      <c r="G170" s="153"/>
      <c r="H170" s="153"/>
      <c r="I170" s="153"/>
      <c r="J170" s="153"/>
      <c r="K170" s="153"/>
      <c r="L170" s="153"/>
      <c r="M170" s="153"/>
      <c r="N170" s="153"/>
      <c r="O170" s="153"/>
      <c r="P170" s="153"/>
    </row>
    <row r="171" spans="1:16" x14ac:dyDescent="0.2">
      <c r="A171" s="58" t="str">
        <v/>
      </c>
      <c r="B171" s="131" t="str">
        <f>IFERROR(TIMEVALUE(DaqBook_RAW_Data!AG161),IFERROR(TIMEVALUE(DaqBook_RAW_Data!A161),""))</f>
        <v/>
      </c>
      <c r="C171" s="153"/>
      <c r="D171" s="153"/>
      <c r="E171" s="153"/>
      <c r="F171" s="153"/>
      <c r="G171" s="153"/>
      <c r="H171" s="153"/>
      <c r="I171" s="153"/>
      <c r="J171" s="153"/>
      <c r="K171" s="153"/>
      <c r="L171" s="153"/>
      <c r="M171" s="153"/>
      <c r="N171" s="153"/>
      <c r="O171" s="153"/>
      <c r="P171" s="153"/>
    </row>
    <row r="172" spans="1:16" x14ac:dyDescent="0.2">
      <c r="A172" s="58" t="str">
        <v/>
      </c>
      <c r="B172" s="131" t="str">
        <f>IFERROR(TIMEVALUE(DaqBook_RAW_Data!AG162),IFERROR(TIMEVALUE(DaqBook_RAW_Data!A162),""))</f>
        <v/>
      </c>
      <c r="C172" s="153"/>
      <c r="D172" s="153"/>
      <c r="E172" s="153"/>
      <c r="F172" s="153"/>
      <c r="G172" s="153"/>
      <c r="H172" s="153"/>
      <c r="I172" s="153"/>
      <c r="J172" s="153"/>
      <c r="K172" s="153"/>
      <c r="L172" s="153"/>
      <c r="M172" s="153"/>
      <c r="N172" s="153"/>
      <c r="O172" s="153"/>
      <c r="P172" s="153"/>
    </row>
    <row r="173" spans="1:16" x14ac:dyDescent="0.2">
      <c r="A173" s="58" t="str">
        <v/>
      </c>
      <c r="B173" s="131" t="str">
        <f>IFERROR(TIMEVALUE(DaqBook_RAW_Data!AG163),IFERROR(TIMEVALUE(DaqBook_RAW_Data!A163),""))</f>
        <v/>
      </c>
      <c r="C173" s="153"/>
      <c r="D173" s="153"/>
      <c r="E173" s="153"/>
      <c r="F173" s="153"/>
      <c r="G173" s="153"/>
      <c r="H173" s="153"/>
      <c r="I173" s="153"/>
      <c r="J173" s="153"/>
      <c r="K173" s="153"/>
      <c r="L173" s="153"/>
      <c r="M173" s="153"/>
      <c r="N173" s="153"/>
      <c r="O173" s="153"/>
      <c r="P173" s="153"/>
    </row>
    <row r="174" spans="1:16" x14ac:dyDescent="0.2">
      <c r="A174" s="58" t="str">
        <v/>
      </c>
      <c r="B174" s="131" t="str">
        <f>IFERROR(TIMEVALUE(DaqBook_RAW_Data!AG164),IFERROR(TIMEVALUE(DaqBook_RAW_Data!A164),""))</f>
        <v/>
      </c>
      <c r="C174" s="153"/>
      <c r="D174" s="153"/>
      <c r="E174" s="153"/>
      <c r="F174" s="153"/>
      <c r="G174" s="153"/>
      <c r="H174" s="153"/>
      <c r="I174" s="153"/>
      <c r="J174" s="153"/>
      <c r="K174" s="153"/>
      <c r="L174" s="153"/>
      <c r="M174" s="153"/>
      <c r="N174" s="153"/>
      <c r="O174" s="153"/>
      <c r="P174" s="153"/>
    </row>
    <row r="175" spans="1:16" x14ac:dyDescent="0.2">
      <c r="A175" s="58" t="str">
        <v/>
      </c>
      <c r="B175" s="131" t="str">
        <f>IFERROR(TIMEVALUE(DaqBook_RAW_Data!AG165),IFERROR(TIMEVALUE(DaqBook_RAW_Data!A165),""))</f>
        <v/>
      </c>
      <c r="C175" s="153"/>
      <c r="D175" s="153"/>
      <c r="E175" s="153"/>
      <c r="F175" s="153"/>
      <c r="G175" s="153"/>
      <c r="H175" s="153"/>
      <c r="I175" s="153"/>
      <c r="J175" s="153"/>
      <c r="K175" s="153"/>
      <c r="L175" s="153"/>
      <c r="M175" s="153"/>
      <c r="N175" s="153"/>
      <c r="O175" s="153"/>
      <c r="P175" s="153"/>
    </row>
    <row r="176" spans="1:16" x14ac:dyDescent="0.2">
      <c r="A176" s="58" t="str">
        <v/>
      </c>
      <c r="B176" s="131" t="str">
        <f>IFERROR(TIMEVALUE(DaqBook_RAW_Data!AG166),IFERROR(TIMEVALUE(DaqBook_RAW_Data!A166),""))</f>
        <v/>
      </c>
      <c r="C176" s="153"/>
      <c r="D176" s="153"/>
      <c r="E176" s="153"/>
      <c r="F176" s="153"/>
      <c r="G176" s="153"/>
      <c r="H176" s="153"/>
      <c r="I176" s="153"/>
      <c r="J176" s="153"/>
      <c r="K176" s="153"/>
      <c r="L176" s="153"/>
      <c r="M176" s="153"/>
      <c r="N176" s="153"/>
      <c r="O176" s="153"/>
      <c r="P176" s="153"/>
    </row>
    <row r="177" spans="1:16" x14ac:dyDescent="0.2">
      <c r="A177" s="58" t="str">
        <v/>
      </c>
      <c r="B177" s="131" t="str">
        <f>IFERROR(TIMEVALUE(DaqBook_RAW_Data!AG167),IFERROR(TIMEVALUE(DaqBook_RAW_Data!A167),""))</f>
        <v/>
      </c>
      <c r="C177" s="153"/>
      <c r="D177" s="153"/>
      <c r="E177" s="153"/>
      <c r="F177" s="153"/>
      <c r="G177" s="153"/>
      <c r="H177" s="153"/>
      <c r="I177" s="153"/>
      <c r="J177" s="153"/>
      <c r="K177" s="153"/>
      <c r="L177" s="153"/>
      <c r="M177" s="153"/>
      <c r="N177" s="153"/>
      <c r="O177" s="153"/>
      <c r="P177" s="153"/>
    </row>
    <row r="178" spans="1:16" x14ac:dyDescent="0.2">
      <c r="A178" s="58" t="str">
        <v/>
      </c>
      <c r="B178" s="131" t="str">
        <f>IFERROR(TIMEVALUE(DaqBook_RAW_Data!AG168),IFERROR(TIMEVALUE(DaqBook_RAW_Data!A168),""))</f>
        <v/>
      </c>
      <c r="C178" s="153"/>
      <c r="D178" s="153"/>
      <c r="E178" s="153"/>
      <c r="F178" s="153"/>
      <c r="G178" s="153"/>
      <c r="H178" s="153"/>
      <c r="I178" s="153"/>
      <c r="J178" s="153"/>
      <c r="K178" s="153"/>
      <c r="L178" s="153"/>
      <c r="M178" s="153"/>
      <c r="N178" s="153"/>
      <c r="O178" s="153"/>
      <c r="P178" s="153"/>
    </row>
    <row r="179" spans="1:16" x14ac:dyDescent="0.2">
      <c r="A179" s="58" t="str">
        <v/>
      </c>
      <c r="B179" s="131" t="str">
        <f>IFERROR(TIMEVALUE(DaqBook_RAW_Data!AG169),IFERROR(TIMEVALUE(DaqBook_RAW_Data!A169),""))</f>
        <v/>
      </c>
      <c r="C179" s="153"/>
      <c r="D179" s="153"/>
      <c r="E179" s="153"/>
      <c r="F179" s="153"/>
      <c r="G179" s="153"/>
      <c r="H179" s="153"/>
      <c r="I179" s="153"/>
      <c r="J179" s="153"/>
      <c r="K179" s="153"/>
      <c r="L179" s="153"/>
      <c r="M179" s="153"/>
      <c r="N179" s="153"/>
      <c r="O179" s="153"/>
      <c r="P179" s="153"/>
    </row>
    <row r="180" spans="1:16" x14ac:dyDescent="0.2">
      <c r="A180" s="58" t="str">
        <v/>
      </c>
      <c r="B180" s="131" t="str">
        <f>IFERROR(TIMEVALUE(DaqBook_RAW_Data!AG170),IFERROR(TIMEVALUE(DaqBook_RAW_Data!A170),""))</f>
        <v/>
      </c>
      <c r="C180" s="153"/>
      <c r="D180" s="153"/>
      <c r="E180" s="153"/>
      <c r="F180" s="153"/>
      <c r="G180" s="153"/>
      <c r="H180" s="153"/>
      <c r="I180" s="153"/>
      <c r="J180" s="153"/>
      <c r="K180" s="153"/>
      <c r="L180" s="153"/>
      <c r="M180" s="153"/>
      <c r="N180" s="153"/>
      <c r="O180" s="153"/>
      <c r="P180" s="153"/>
    </row>
    <row r="181" spans="1:16" x14ac:dyDescent="0.2">
      <c r="A181" s="58" t="str">
        <v/>
      </c>
      <c r="B181" s="131" t="str">
        <f>IFERROR(TIMEVALUE(DaqBook_RAW_Data!AG171),IFERROR(TIMEVALUE(DaqBook_RAW_Data!A171),""))</f>
        <v/>
      </c>
      <c r="C181" s="153"/>
      <c r="D181" s="153"/>
      <c r="E181" s="153"/>
      <c r="F181" s="153"/>
      <c r="G181" s="153"/>
      <c r="H181" s="153"/>
      <c r="I181" s="153"/>
      <c r="J181" s="153"/>
      <c r="K181" s="153"/>
      <c r="L181" s="153"/>
      <c r="M181" s="153"/>
      <c r="N181" s="153"/>
      <c r="O181" s="153"/>
      <c r="P181" s="153"/>
    </row>
    <row r="182" spans="1:16" x14ac:dyDescent="0.2">
      <c r="A182" s="58" t="str">
        <v/>
      </c>
      <c r="B182" s="131" t="str">
        <f>IFERROR(TIMEVALUE(DaqBook_RAW_Data!AG172),IFERROR(TIMEVALUE(DaqBook_RAW_Data!A172),""))</f>
        <v/>
      </c>
      <c r="C182" s="153"/>
      <c r="D182" s="153"/>
      <c r="E182" s="153"/>
      <c r="F182" s="153"/>
      <c r="G182" s="153"/>
      <c r="H182" s="153"/>
      <c r="I182" s="153"/>
      <c r="J182" s="153"/>
      <c r="K182" s="153"/>
      <c r="L182" s="153"/>
      <c r="M182" s="153"/>
      <c r="N182" s="153"/>
      <c r="O182" s="153"/>
      <c r="P182" s="153"/>
    </row>
    <row r="183" spans="1:16" x14ac:dyDescent="0.2">
      <c r="A183" s="58" t="str">
        <v/>
      </c>
      <c r="B183" s="131" t="str">
        <f>IFERROR(TIMEVALUE(DaqBook_RAW_Data!AG173),IFERROR(TIMEVALUE(DaqBook_RAW_Data!A173),""))</f>
        <v/>
      </c>
      <c r="C183" s="153"/>
      <c r="D183" s="153"/>
      <c r="E183" s="153"/>
      <c r="F183" s="153"/>
      <c r="G183" s="153"/>
      <c r="H183" s="153"/>
      <c r="I183" s="153"/>
      <c r="J183" s="153"/>
      <c r="K183" s="153"/>
      <c r="L183" s="153"/>
      <c r="M183" s="153"/>
      <c r="N183" s="153"/>
      <c r="O183" s="153"/>
      <c r="P183" s="153"/>
    </row>
    <row r="184" spans="1:16" x14ac:dyDescent="0.2">
      <c r="A184" s="58" t="str">
        <v/>
      </c>
      <c r="B184" s="131" t="str">
        <f>IFERROR(TIMEVALUE(DaqBook_RAW_Data!AG174),IFERROR(TIMEVALUE(DaqBook_RAW_Data!A174),""))</f>
        <v/>
      </c>
      <c r="C184" s="153"/>
      <c r="D184" s="153"/>
      <c r="E184" s="153"/>
      <c r="F184" s="153"/>
      <c r="G184" s="153"/>
      <c r="H184" s="153"/>
      <c r="I184" s="153"/>
      <c r="J184" s="153"/>
      <c r="K184" s="153"/>
      <c r="L184" s="153"/>
      <c r="M184" s="153"/>
      <c r="N184" s="153"/>
      <c r="O184" s="153"/>
      <c r="P184" s="153"/>
    </row>
    <row r="185" spans="1:16" x14ac:dyDescent="0.2">
      <c r="A185" s="58" t="str">
        <v/>
      </c>
      <c r="B185" s="131" t="str">
        <f>IFERROR(TIMEVALUE(DaqBook_RAW_Data!AG175),IFERROR(TIMEVALUE(DaqBook_RAW_Data!A175),""))</f>
        <v/>
      </c>
      <c r="C185" s="153"/>
      <c r="D185" s="153"/>
      <c r="E185" s="153"/>
      <c r="F185" s="153"/>
      <c r="G185" s="153"/>
      <c r="H185" s="153"/>
      <c r="I185" s="153"/>
      <c r="J185" s="153"/>
      <c r="K185" s="153"/>
      <c r="L185" s="153"/>
      <c r="M185" s="153"/>
      <c r="N185" s="153"/>
      <c r="O185" s="153"/>
      <c r="P185" s="153"/>
    </row>
    <row r="186" spans="1:16" x14ac:dyDescent="0.2">
      <c r="A186" s="58" t="str">
        <v/>
      </c>
      <c r="B186" s="131" t="str">
        <f>IFERROR(TIMEVALUE(DaqBook_RAW_Data!AG176),IFERROR(TIMEVALUE(DaqBook_RAW_Data!A176),""))</f>
        <v/>
      </c>
      <c r="C186" s="153"/>
      <c r="D186" s="153"/>
      <c r="E186" s="153"/>
      <c r="F186" s="153"/>
      <c r="G186" s="153"/>
      <c r="H186" s="153"/>
      <c r="I186" s="153"/>
      <c r="J186" s="153"/>
      <c r="K186" s="153"/>
      <c r="L186" s="153"/>
      <c r="M186" s="153"/>
      <c r="N186" s="153"/>
      <c r="O186" s="153"/>
      <c r="P186" s="153"/>
    </row>
    <row r="187" spans="1:16" x14ac:dyDescent="0.2">
      <c r="A187" s="58" t="str">
        <v/>
      </c>
      <c r="B187" s="131" t="str">
        <f>IFERROR(TIMEVALUE(DaqBook_RAW_Data!AG177),IFERROR(TIMEVALUE(DaqBook_RAW_Data!A177),""))</f>
        <v/>
      </c>
      <c r="C187" s="153"/>
      <c r="D187" s="153"/>
      <c r="E187" s="153"/>
      <c r="F187" s="153"/>
      <c r="G187" s="153"/>
      <c r="H187" s="153"/>
      <c r="I187" s="153"/>
      <c r="J187" s="153"/>
      <c r="K187" s="153"/>
      <c r="L187" s="153"/>
      <c r="M187" s="153"/>
      <c r="N187" s="153"/>
      <c r="O187" s="153"/>
      <c r="P187" s="153"/>
    </row>
    <row r="188" spans="1:16" x14ac:dyDescent="0.2">
      <c r="A188" s="58" t="str">
        <v/>
      </c>
      <c r="B188" s="131" t="str">
        <f>IFERROR(TIMEVALUE(DaqBook_RAW_Data!AG178),IFERROR(TIMEVALUE(DaqBook_RAW_Data!A178),""))</f>
        <v/>
      </c>
      <c r="C188" s="153"/>
      <c r="D188" s="153"/>
      <c r="E188" s="153"/>
      <c r="F188" s="153"/>
      <c r="G188" s="153"/>
      <c r="H188" s="153"/>
      <c r="I188" s="153"/>
      <c r="J188" s="153"/>
      <c r="K188" s="153"/>
      <c r="L188" s="153"/>
      <c r="M188" s="153"/>
      <c r="N188" s="153"/>
      <c r="O188" s="153"/>
      <c r="P188" s="153"/>
    </row>
    <row r="189" spans="1:16" x14ac:dyDescent="0.2">
      <c r="A189" s="58" t="str">
        <v/>
      </c>
      <c r="B189" s="131" t="str">
        <f>IFERROR(TIMEVALUE(DaqBook_RAW_Data!AG179),IFERROR(TIMEVALUE(DaqBook_RAW_Data!A179),""))</f>
        <v/>
      </c>
      <c r="C189" s="153"/>
      <c r="D189" s="153"/>
      <c r="E189" s="153"/>
      <c r="F189" s="153"/>
      <c r="G189" s="153"/>
      <c r="H189" s="153"/>
      <c r="I189" s="153"/>
      <c r="J189" s="153"/>
      <c r="K189" s="153"/>
      <c r="L189" s="153"/>
      <c r="M189" s="153"/>
      <c r="N189" s="153"/>
      <c r="O189" s="153"/>
      <c r="P189" s="153"/>
    </row>
    <row r="190" spans="1:16" x14ac:dyDescent="0.2">
      <c r="A190" s="58" t="str">
        <v/>
      </c>
      <c r="B190" s="131" t="str">
        <f>IFERROR(TIMEVALUE(DaqBook_RAW_Data!AG180),IFERROR(TIMEVALUE(DaqBook_RAW_Data!A180),""))</f>
        <v/>
      </c>
      <c r="C190" s="153"/>
      <c r="D190" s="153"/>
      <c r="E190" s="153"/>
      <c r="F190" s="153"/>
      <c r="G190" s="153"/>
      <c r="H190" s="153"/>
      <c r="I190" s="153"/>
      <c r="J190" s="153"/>
      <c r="K190" s="153"/>
      <c r="L190" s="153"/>
      <c r="M190" s="153"/>
      <c r="N190" s="153"/>
      <c r="O190" s="153"/>
      <c r="P190" s="153"/>
    </row>
    <row r="191" spans="1:16" x14ac:dyDescent="0.2">
      <c r="A191" s="58" t="str">
        <v/>
      </c>
      <c r="B191" s="131" t="str">
        <f>IFERROR(TIMEVALUE(DaqBook_RAW_Data!AG181),IFERROR(TIMEVALUE(DaqBook_RAW_Data!A181),""))</f>
        <v/>
      </c>
      <c r="C191" s="153"/>
      <c r="D191" s="153"/>
      <c r="E191" s="153"/>
      <c r="F191" s="153"/>
      <c r="G191" s="153"/>
      <c r="H191" s="153"/>
      <c r="I191" s="153"/>
      <c r="J191" s="153"/>
      <c r="K191" s="153"/>
      <c r="L191" s="153"/>
      <c r="M191" s="153"/>
      <c r="N191" s="153"/>
      <c r="O191" s="153"/>
      <c r="P191" s="153"/>
    </row>
    <row r="192" spans="1:16" x14ac:dyDescent="0.2">
      <c r="A192" s="58" t="str">
        <v/>
      </c>
      <c r="B192" s="131" t="str">
        <f>IFERROR(TIMEVALUE(DaqBook_RAW_Data!AG182),IFERROR(TIMEVALUE(DaqBook_RAW_Data!A182),""))</f>
        <v/>
      </c>
      <c r="C192" s="153"/>
      <c r="D192" s="153"/>
      <c r="E192" s="153"/>
      <c r="F192" s="153"/>
      <c r="G192" s="153"/>
      <c r="H192" s="153"/>
      <c r="I192" s="153"/>
      <c r="J192" s="153"/>
      <c r="K192" s="153"/>
      <c r="L192" s="153"/>
      <c r="M192" s="153"/>
      <c r="N192" s="153"/>
      <c r="O192" s="153"/>
      <c r="P192" s="153"/>
    </row>
    <row r="193" spans="1:16" x14ac:dyDescent="0.2">
      <c r="A193" s="58" t="str">
        <v/>
      </c>
      <c r="B193" s="131" t="str">
        <f>IFERROR(TIMEVALUE(DaqBook_RAW_Data!AG183),IFERROR(TIMEVALUE(DaqBook_RAW_Data!A183),""))</f>
        <v/>
      </c>
      <c r="C193" s="153"/>
      <c r="D193" s="153"/>
      <c r="E193" s="153"/>
      <c r="F193" s="153"/>
      <c r="G193" s="153"/>
      <c r="H193" s="153"/>
      <c r="I193" s="153"/>
      <c r="J193" s="153"/>
      <c r="K193" s="153"/>
      <c r="L193" s="153"/>
      <c r="M193" s="153"/>
      <c r="N193" s="153"/>
      <c r="O193" s="153"/>
      <c r="P193" s="153"/>
    </row>
    <row r="194" spans="1:16" x14ac:dyDescent="0.2">
      <c r="A194" s="58" t="str">
        <v/>
      </c>
      <c r="B194" s="131" t="str">
        <f>IFERROR(TIMEVALUE(DaqBook_RAW_Data!AG184),IFERROR(TIMEVALUE(DaqBook_RAW_Data!A184),""))</f>
        <v/>
      </c>
      <c r="C194" s="153"/>
      <c r="D194" s="153"/>
      <c r="E194" s="153"/>
      <c r="F194" s="153"/>
      <c r="G194" s="153"/>
      <c r="H194" s="153"/>
      <c r="I194" s="153"/>
      <c r="J194" s="153"/>
      <c r="K194" s="153"/>
      <c r="L194" s="153"/>
      <c r="M194" s="153"/>
      <c r="N194" s="153"/>
      <c r="O194" s="153"/>
      <c r="P194" s="153"/>
    </row>
    <row r="195" spans="1:16" x14ac:dyDescent="0.2">
      <c r="A195" s="58" t="str">
        <v/>
      </c>
      <c r="B195" s="131" t="str">
        <f>IFERROR(TIMEVALUE(DaqBook_RAW_Data!AG185),IFERROR(TIMEVALUE(DaqBook_RAW_Data!A185),""))</f>
        <v/>
      </c>
      <c r="C195" s="153"/>
      <c r="D195" s="153"/>
      <c r="E195" s="153"/>
      <c r="F195" s="153"/>
      <c r="G195" s="153"/>
      <c r="H195" s="153"/>
      <c r="I195" s="153"/>
      <c r="J195" s="153"/>
      <c r="K195" s="153"/>
      <c r="L195" s="153"/>
      <c r="M195" s="153"/>
      <c r="N195" s="153"/>
      <c r="O195" s="153"/>
      <c r="P195" s="153"/>
    </row>
    <row r="196" spans="1:16" x14ac:dyDescent="0.2">
      <c r="A196" s="58" t="str">
        <v/>
      </c>
      <c r="B196" s="131" t="str">
        <f>IFERROR(TIMEVALUE(DaqBook_RAW_Data!AG186),IFERROR(TIMEVALUE(DaqBook_RAW_Data!A186),""))</f>
        <v/>
      </c>
      <c r="C196" s="153"/>
      <c r="D196" s="153"/>
      <c r="E196" s="153"/>
      <c r="F196" s="153"/>
      <c r="G196" s="153"/>
      <c r="H196" s="153"/>
      <c r="I196" s="153"/>
      <c r="J196" s="153"/>
      <c r="K196" s="153"/>
      <c r="L196" s="153"/>
      <c r="M196" s="153"/>
      <c r="N196" s="153"/>
      <c r="O196" s="153"/>
      <c r="P196" s="153"/>
    </row>
    <row r="197" spans="1:16" x14ac:dyDescent="0.2">
      <c r="A197" s="58" t="str">
        <v/>
      </c>
      <c r="B197" s="131" t="str">
        <f>IFERROR(TIMEVALUE(DaqBook_RAW_Data!AG187),IFERROR(TIMEVALUE(DaqBook_RAW_Data!A187),""))</f>
        <v/>
      </c>
      <c r="C197" s="153"/>
      <c r="D197" s="153"/>
      <c r="E197" s="153"/>
      <c r="F197" s="153"/>
      <c r="G197" s="153"/>
      <c r="H197" s="153"/>
      <c r="I197" s="153"/>
      <c r="J197" s="153"/>
      <c r="K197" s="153"/>
      <c r="L197" s="153"/>
      <c r="M197" s="153"/>
      <c r="N197" s="153"/>
      <c r="O197" s="153"/>
      <c r="P197" s="153"/>
    </row>
    <row r="198" spans="1:16" x14ac:dyDescent="0.2">
      <c r="A198" s="58" t="str">
        <v/>
      </c>
      <c r="B198" s="131" t="str">
        <f>IFERROR(TIMEVALUE(DaqBook_RAW_Data!AG188),IFERROR(TIMEVALUE(DaqBook_RAW_Data!A188),""))</f>
        <v/>
      </c>
      <c r="C198" s="153"/>
      <c r="D198" s="153"/>
      <c r="E198" s="153"/>
      <c r="F198" s="153"/>
      <c r="G198" s="153"/>
      <c r="H198" s="153"/>
      <c r="I198" s="153"/>
      <c r="J198" s="153"/>
      <c r="K198" s="153"/>
      <c r="L198" s="153"/>
      <c r="M198" s="153"/>
      <c r="N198" s="153"/>
      <c r="O198" s="153"/>
      <c r="P198" s="153"/>
    </row>
    <row r="199" spans="1:16" x14ac:dyDescent="0.2">
      <c r="A199" s="58" t="str">
        <v/>
      </c>
      <c r="B199" s="131" t="str">
        <f>IFERROR(TIMEVALUE(DaqBook_RAW_Data!AG189),IFERROR(TIMEVALUE(DaqBook_RAW_Data!A189),""))</f>
        <v/>
      </c>
      <c r="C199" s="153"/>
      <c r="D199" s="153"/>
      <c r="E199" s="153"/>
      <c r="F199" s="153"/>
      <c r="G199" s="153"/>
      <c r="H199" s="153"/>
      <c r="I199" s="153"/>
      <c r="J199" s="153"/>
      <c r="K199" s="153"/>
      <c r="L199" s="153"/>
      <c r="M199" s="153"/>
      <c r="N199" s="153"/>
      <c r="O199" s="153"/>
      <c r="P199" s="153"/>
    </row>
    <row r="200" spans="1:16" x14ac:dyDescent="0.2">
      <c r="A200" s="58" t="str">
        <v/>
      </c>
      <c r="B200" s="131" t="str">
        <f>IFERROR(TIMEVALUE(DaqBook_RAW_Data!AG190),IFERROR(TIMEVALUE(DaqBook_RAW_Data!A190),""))</f>
        <v/>
      </c>
      <c r="C200" s="153"/>
      <c r="D200" s="153"/>
      <c r="E200" s="153"/>
      <c r="F200" s="153"/>
      <c r="G200" s="153"/>
      <c r="H200" s="153"/>
      <c r="I200" s="153"/>
      <c r="J200" s="153"/>
      <c r="K200" s="153"/>
      <c r="L200" s="153"/>
      <c r="M200" s="153"/>
      <c r="N200" s="153"/>
      <c r="O200" s="153"/>
      <c r="P200" s="153"/>
    </row>
    <row r="201" spans="1:16" x14ac:dyDescent="0.2">
      <c r="A201" s="58" t="str">
        <v/>
      </c>
      <c r="B201" s="131" t="str">
        <f>IFERROR(TIMEVALUE(DaqBook_RAW_Data!AG191),IFERROR(TIMEVALUE(DaqBook_RAW_Data!A191),""))</f>
        <v/>
      </c>
      <c r="C201" s="153"/>
      <c r="D201" s="153"/>
      <c r="E201" s="153"/>
      <c r="F201" s="153"/>
      <c r="G201" s="153"/>
      <c r="H201" s="153"/>
      <c r="I201" s="153"/>
      <c r="J201" s="153"/>
      <c r="K201" s="153"/>
      <c r="L201" s="153"/>
      <c r="M201" s="153"/>
      <c r="N201" s="153"/>
      <c r="O201" s="153"/>
      <c r="P201" s="153"/>
    </row>
    <row r="202" spans="1:16" x14ac:dyDescent="0.2">
      <c r="A202" s="58" t="str">
        <v/>
      </c>
      <c r="B202" s="131" t="str">
        <f>IFERROR(TIMEVALUE(DaqBook_RAW_Data!AG192),IFERROR(TIMEVALUE(DaqBook_RAW_Data!A192),""))</f>
        <v/>
      </c>
      <c r="C202" s="153"/>
      <c r="D202" s="153"/>
      <c r="E202" s="153"/>
      <c r="F202" s="153"/>
      <c r="G202" s="153"/>
      <c r="H202" s="153"/>
      <c r="I202" s="153"/>
      <c r="J202" s="153"/>
      <c r="K202" s="153"/>
      <c r="L202" s="153"/>
      <c r="M202" s="153"/>
      <c r="N202" s="153"/>
      <c r="O202" s="153"/>
      <c r="P202" s="153"/>
    </row>
    <row r="203" spans="1:16" x14ac:dyDescent="0.2">
      <c r="A203" s="58" t="str">
        <v/>
      </c>
      <c r="B203" s="131" t="str">
        <f>IFERROR(TIMEVALUE(DaqBook_RAW_Data!AG193),IFERROR(TIMEVALUE(DaqBook_RAW_Data!A193),""))</f>
        <v/>
      </c>
      <c r="C203" s="153"/>
      <c r="D203" s="153"/>
      <c r="E203" s="153"/>
      <c r="F203" s="153"/>
      <c r="G203" s="153"/>
      <c r="H203" s="153"/>
      <c r="I203" s="153"/>
      <c r="J203" s="153"/>
      <c r="K203" s="153"/>
      <c r="L203" s="153"/>
      <c r="M203" s="153"/>
      <c r="N203" s="153"/>
      <c r="O203" s="153"/>
      <c r="P203" s="153"/>
    </row>
    <row r="204" spans="1:16" x14ac:dyDescent="0.2">
      <c r="A204" s="58" t="str">
        <v/>
      </c>
      <c r="B204" s="131" t="str">
        <f>IFERROR(TIMEVALUE(DaqBook_RAW_Data!AG194),IFERROR(TIMEVALUE(DaqBook_RAW_Data!A194),""))</f>
        <v/>
      </c>
      <c r="C204" s="153"/>
      <c r="D204" s="153"/>
      <c r="E204" s="153"/>
      <c r="F204" s="153"/>
      <c r="G204" s="153"/>
      <c r="H204" s="153"/>
      <c r="I204" s="153"/>
      <c r="J204" s="153"/>
      <c r="K204" s="153"/>
      <c r="L204" s="153"/>
      <c r="M204" s="153"/>
      <c r="N204" s="153"/>
      <c r="O204" s="153"/>
      <c r="P204" s="153"/>
    </row>
    <row r="205" spans="1:16" x14ac:dyDescent="0.2">
      <c r="A205" s="58" t="str">
        <v/>
      </c>
      <c r="B205" s="131" t="str">
        <f>IFERROR(TIMEVALUE(DaqBook_RAW_Data!AG195),IFERROR(TIMEVALUE(DaqBook_RAW_Data!A195),""))</f>
        <v/>
      </c>
      <c r="C205" s="153"/>
      <c r="D205" s="153"/>
      <c r="E205" s="153"/>
      <c r="F205" s="153"/>
      <c r="G205" s="153"/>
      <c r="H205" s="153"/>
      <c r="I205" s="153"/>
      <c r="J205" s="153"/>
      <c r="K205" s="153"/>
      <c r="L205" s="153"/>
      <c r="M205" s="153"/>
      <c r="N205" s="153"/>
      <c r="O205" s="153"/>
      <c r="P205" s="153"/>
    </row>
    <row r="206" spans="1:16" x14ac:dyDescent="0.2">
      <c r="A206" s="58" t="str">
        <v/>
      </c>
      <c r="B206" s="131" t="str">
        <f>IFERROR(TIMEVALUE(DaqBook_RAW_Data!AG196),IFERROR(TIMEVALUE(DaqBook_RAW_Data!A196),""))</f>
        <v/>
      </c>
      <c r="C206" s="153"/>
      <c r="D206" s="153"/>
      <c r="E206" s="153"/>
      <c r="F206" s="153"/>
      <c r="G206" s="153"/>
      <c r="H206" s="153"/>
      <c r="I206" s="153"/>
      <c r="J206" s="153"/>
      <c r="K206" s="153"/>
      <c r="L206" s="153"/>
      <c r="M206" s="153"/>
      <c r="N206" s="153"/>
      <c r="O206" s="153"/>
      <c r="P206" s="153"/>
    </row>
    <row r="207" spans="1:16" x14ac:dyDescent="0.2">
      <c r="A207" s="58" t="str">
        <v/>
      </c>
      <c r="B207" s="131" t="str">
        <f>IFERROR(TIMEVALUE(DaqBook_RAW_Data!AG197),IFERROR(TIMEVALUE(DaqBook_RAW_Data!A197),""))</f>
        <v/>
      </c>
      <c r="C207" s="153"/>
      <c r="D207" s="153"/>
      <c r="E207" s="153"/>
      <c r="F207" s="153"/>
      <c r="G207" s="153"/>
      <c r="H207" s="153"/>
      <c r="I207" s="153"/>
      <c r="J207" s="153"/>
      <c r="K207" s="153"/>
      <c r="L207" s="153"/>
      <c r="M207" s="153"/>
      <c r="N207" s="153"/>
      <c r="O207" s="153"/>
      <c r="P207" s="153"/>
    </row>
    <row r="208" spans="1:16" x14ac:dyDescent="0.2">
      <c r="A208" s="58" t="str">
        <v/>
      </c>
      <c r="B208" s="131" t="str">
        <f>IFERROR(TIMEVALUE(DaqBook_RAW_Data!AG198),IFERROR(TIMEVALUE(DaqBook_RAW_Data!A198),""))</f>
        <v/>
      </c>
      <c r="C208" s="153"/>
      <c r="D208" s="153"/>
      <c r="E208" s="153"/>
      <c r="F208" s="153"/>
      <c r="G208" s="153"/>
      <c r="H208" s="153"/>
      <c r="I208" s="153"/>
      <c r="J208" s="153"/>
      <c r="K208" s="153"/>
      <c r="L208" s="153"/>
      <c r="M208" s="153"/>
      <c r="N208" s="153"/>
      <c r="O208" s="153"/>
      <c r="P208" s="153"/>
    </row>
    <row r="209" spans="1:16" x14ac:dyDescent="0.2">
      <c r="A209" s="58" t="str">
        <v/>
      </c>
      <c r="B209" s="131" t="str">
        <f>IFERROR(TIMEVALUE(DaqBook_RAW_Data!AG199),IFERROR(TIMEVALUE(DaqBook_RAW_Data!A199),""))</f>
        <v/>
      </c>
      <c r="C209" s="153"/>
      <c r="D209" s="153"/>
      <c r="E209" s="153"/>
      <c r="F209" s="153"/>
      <c r="G209" s="153"/>
      <c r="H209" s="153"/>
      <c r="I209" s="153"/>
      <c r="J209" s="153"/>
      <c r="K209" s="153"/>
      <c r="L209" s="153"/>
      <c r="M209" s="153"/>
      <c r="N209" s="153"/>
      <c r="O209" s="153"/>
      <c r="P209" s="153"/>
    </row>
    <row r="210" spans="1:16" x14ac:dyDescent="0.2">
      <c r="A210" s="58" t="str">
        <v/>
      </c>
      <c r="B210" s="131" t="str">
        <f>IFERROR(TIMEVALUE(DaqBook_RAW_Data!AG200),IFERROR(TIMEVALUE(DaqBook_RAW_Data!A200),""))</f>
        <v/>
      </c>
      <c r="C210" s="153"/>
      <c r="D210" s="153"/>
      <c r="E210" s="153"/>
      <c r="F210" s="153"/>
      <c r="G210" s="153"/>
      <c r="H210" s="153"/>
      <c r="I210" s="153"/>
      <c r="J210" s="153"/>
      <c r="K210" s="153"/>
      <c r="L210" s="153"/>
      <c r="M210" s="153"/>
      <c r="N210" s="153"/>
      <c r="O210" s="153"/>
      <c r="P210" s="153"/>
    </row>
    <row r="211" spans="1:16" x14ac:dyDescent="0.2">
      <c r="A211" s="58" t="str">
        <v/>
      </c>
      <c r="B211" s="131" t="str">
        <f>IFERROR(TIMEVALUE(DaqBook_RAW_Data!AG201),IFERROR(TIMEVALUE(DaqBook_RAW_Data!A201),""))</f>
        <v/>
      </c>
      <c r="C211" s="153"/>
      <c r="D211" s="153"/>
      <c r="E211" s="153"/>
      <c r="F211" s="153"/>
      <c r="G211" s="153"/>
      <c r="H211" s="153"/>
      <c r="I211" s="153"/>
      <c r="J211" s="153"/>
      <c r="K211" s="153"/>
      <c r="L211" s="153"/>
      <c r="M211" s="153"/>
      <c r="N211" s="153"/>
      <c r="O211" s="153"/>
      <c r="P211" s="153"/>
    </row>
    <row r="212" spans="1:16" x14ac:dyDescent="0.2">
      <c r="A212" s="58" t="str">
        <v/>
      </c>
      <c r="B212" s="131" t="str">
        <f>IFERROR(TIMEVALUE(DaqBook_RAW_Data!AG202),IFERROR(TIMEVALUE(DaqBook_RAW_Data!A202),""))</f>
        <v/>
      </c>
      <c r="C212" s="153"/>
      <c r="D212" s="153"/>
      <c r="E212" s="153"/>
      <c r="F212" s="153"/>
      <c r="G212" s="153"/>
      <c r="H212" s="153"/>
      <c r="I212" s="153"/>
      <c r="J212" s="153"/>
      <c r="K212" s="153"/>
      <c r="L212" s="153"/>
      <c r="M212" s="153"/>
      <c r="N212" s="153"/>
      <c r="O212" s="153"/>
      <c r="P212" s="153"/>
    </row>
    <row r="213" spans="1:16" x14ac:dyDescent="0.2">
      <c r="A213" s="58" t="str">
        <v/>
      </c>
      <c r="B213" s="131" t="str">
        <f>IFERROR(TIMEVALUE(DaqBook_RAW_Data!AG203),IFERROR(TIMEVALUE(DaqBook_RAW_Data!A203),""))</f>
        <v/>
      </c>
      <c r="C213" s="153"/>
      <c r="D213" s="153"/>
      <c r="E213" s="153"/>
      <c r="F213" s="153"/>
      <c r="G213" s="153"/>
      <c r="H213" s="153"/>
      <c r="I213" s="153"/>
      <c r="J213" s="153"/>
      <c r="K213" s="153"/>
      <c r="L213" s="153"/>
      <c r="M213" s="153"/>
      <c r="N213" s="153"/>
      <c r="O213" s="153"/>
      <c r="P213" s="153"/>
    </row>
    <row r="214" spans="1:16" x14ac:dyDescent="0.2">
      <c r="A214" s="58" t="str">
        <v/>
      </c>
      <c r="B214" s="131" t="str">
        <f>IFERROR(TIMEVALUE(DaqBook_RAW_Data!AG204),IFERROR(TIMEVALUE(DaqBook_RAW_Data!A204),""))</f>
        <v/>
      </c>
      <c r="C214" s="153"/>
      <c r="D214" s="153"/>
      <c r="E214" s="153"/>
      <c r="F214" s="153"/>
      <c r="G214" s="153"/>
      <c r="H214" s="153"/>
      <c r="I214" s="153"/>
      <c r="J214" s="153"/>
      <c r="K214" s="153"/>
      <c r="L214" s="153"/>
      <c r="M214" s="153"/>
      <c r="N214" s="153"/>
      <c r="O214" s="153"/>
      <c r="P214" s="153"/>
    </row>
    <row r="215" spans="1:16" x14ac:dyDescent="0.2">
      <c r="A215" s="58" t="str">
        <v/>
      </c>
      <c r="B215" s="131" t="str">
        <f>IFERROR(TIMEVALUE(DaqBook_RAW_Data!AG205),IFERROR(TIMEVALUE(DaqBook_RAW_Data!A205),""))</f>
        <v/>
      </c>
      <c r="C215" s="153"/>
      <c r="D215" s="153"/>
      <c r="E215" s="153"/>
      <c r="F215" s="153"/>
      <c r="G215" s="153"/>
      <c r="H215" s="153"/>
      <c r="I215" s="153"/>
      <c r="J215" s="153"/>
      <c r="K215" s="153"/>
      <c r="L215" s="153"/>
      <c r="M215" s="153"/>
      <c r="N215" s="153"/>
      <c r="O215" s="153"/>
      <c r="P215" s="153"/>
    </row>
    <row r="216" spans="1:16" x14ac:dyDescent="0.2">
      <c r="A216" s="58" t="str">
        <v/>
      </c>
      <c r="B216" s="131" t="str">
        <f>IFERROR(TIMEVALUE(DaqBook_RAW_Data!AG206),IFERROR(TIMEVALUE(DaqBook_RAW_Data!A206),""))</f>
        <v/>
      </c>
      <c r="C216" s="153"/>
      <c r="D216" s="153"/>
      <c r="E216" s="153"/>
      <c r="F216" s="153"/>
      <c r="G216" s="153"/>
      <c r="H216" s="153"/>
      <c r="I216" s="153"/>
      <c r="J216" s="153"/>
      <c r="K216" s="153"/>
      <c r="L216" s="153"/>
      <c r="M216" s="153"/>
      <c r="N216" s="153"/>
      <c r="O216" s="153"/>
      <c r="P216" s="153"/>
    </row>
    <row r="217" spans="1:16" x14ac:dyDescent="0.2">
      <c r="A217" s="58" t="str">
        <v/>
      </c>
      <c r="B217" s="131" t="str">
        <f>IFERROR(TIMEVALUE(DaqBook_RAW_Data!AG207),IFERROR(TIMEVALUE(DaqBook_RAW_Data!A207),""))</f>
        <v/>
      </c>
      <c r="C217" s="153"/>
      <c r="D217" s="153"/>
      <c r="E217" s="153"/>
      <c r="F217" s="153"/>
      <c r="G217" s="153"/>
      <c r="H217" s="153"/>
      <c r="I217" s="153"/>
      <c r="J217" s="153"/>
      <c r="K217" s="153"/>
      <c r="L217" s="153"/>
      <c r="M217" s="153"/>
      <c r="N217" s="153"/>
      <c r="O217" s="153"/>
      <c r="P217" s="153"/>
    </row>
    <row r="218" spans="1:16" x14ac:dyDescent="0.2">
      <c r="A218" s="58" t="str">
        <v/>
      </c>
      <c r="B218" s="131" t="str">
        <f>IFERROR(TIMEVALUE(DaqBook_RAW_Data!AG208),IFERROR(TIMEVALUE(DaqBook_RAW_Data!A208),""))</f>
        <v/>
      </c>
      <c r="C218" s="153"/>
      <c r="D218" s="153"/>
      <c r="E218" s="153"/>
      <c r="F218" s="153"/>
      <c r="G218" s="153"/>
      <c r="H218" s="153"/>
      <c r="I218" s="153"/>
      <c r="J218" s="153"/>
      <c r="K218" s="153"/>
      <c r="L218" s="153"/>
      <c r="M218" s="153"/>
      <c r="N218" s="153"/>
      <c r="O218" s="153"/>
      <c r="P218" s="153"/>
    </row>
    <row r="219" spans="1:16" x14ac:dyDescent="0.2">
      <c r="A219" s="58" t="str">
        <v/>
      </c>
      <c r="B219" s="131" t="str">
        <f>IFERROR(TIMEVALUE(DaqBook_RAW_Data!AG209),IFERROR(TIMEVALUE(DaqBook_RAW_Data!A209),""))</f>
        <v/>
      </c>
      <c r="C219" s="153"/>
      <c r="D219" s="153"/>
      <c r="E219" s="153"/>
      <c r="F219" s="153"/>
      <c r="G219" s="153"/>
      <c r="H219" s="153"/>
      <c r="I219" s="153"/>
      <c r="J219" s="153"/>
      <c r="K219" s="153"/>
      <c r="L219" s="153"/>
      <c r="M219" s="153"/>
      <c r="N219" s="153"/>
      <c r="O219" s="153"/>
      <c r="P219" s="153"/>
    </row>
    <row r="220" spans="1:16" x14ac:dyDescent="0.2">
      <c r="A220" s="58" t="str">
        <v/>
      </c>
      <c r="B220" s="131" t="str">
        <f>IFERROR(TIMEVALUE(DaqBook_RAW_Data!AG210),IFERROR(TIMEVALUE(DaqBook_RAW_Data!A210),""))</f>
        <v/>
      </c>
      <c r="C220" s="153"/>
      <c r="D220" s="153"/>
      <c r="E220" s="153"/>
      <c r="F220" s="153"/>
      <c r="G220" s="153"/>
      <c r="H220" s="153"/>
      <c r="I220" s="153"/>
      <c r="J220" s="153"/>
      <c r="K220" s="153"/>
      <c r="L220" s="153"/>
      <c r="M220" s="153"/>
      <c r="N220" s="153"/>
      <c r="O220" s="153"/>
      <c r="P220" s="153"/>
    </row>
    <row r="221" spans="1:16" x14ac:dyDescent="0.2">
      <c r="A221" s="58" t="str">
        <v/>
      </c>
      <c r="B221" s="131" t="str">
        <f>IFERROR(TIMEVALUE(DaqBook_RAW_Data!AG211),IFERROR(TIMEVALUE(DaqBook_RAW_Data!A211),""))</f>
        <v/>
      </c>
      <c r="C221" s="153"/>
      <c r="D221" s="153"/>
      <c r="E221" s="153"/>
      <c r="F221" s="153"/>
      <c r="G221" s="153"/>
      <c r="H221" s="153"/>
      <c r="I221" s="153"/>
      <c r="J221" s="153"/>
      <c r="K221" s="153"/>
      <c r="L221" s="153"/>
      <c r="M221" s="153"/>
      <c r="N221" s="153"/>
      <c r="O221" s="153"/>
      <c r="P221" s="153"/>
    </row>
    <row r="222" spans="1:16" x14ac:dyDescent="0.2">
      <c r="A222" s="58" t="str">
        <v/>
      </c>
      <c r="B222" s="131" t="str">
        <f>IFERROR(TIMEVALUE(DaqBook_RAW_Data!AG212),IFERROR(TIMEVALUE(DaqBook_RAW_Data!A212),""))</f>
        <v/>
      </c>
      <c r="C222" s="153"/>
      <c r="D222" s="153"/>
      <c r="E222" s="153"/>
      <c r="F222" s="153"/>
      <c r="G222" s="153"/>
      <c r="H222" s="153"/>
      <c r="I222" s="153"/>
      <c r="J222" s="153"/>
      <c r="K222" s="153"/>
      <c r="L222" s="153"/>
      <c r="M222" s="153"/>
      <c r="N222" s="153"/>
      <c r="O222" s="153"/>
      <c r="P222" s="153"/>
    </row>
    <row r="223" spans="1:16" x14ac:dyDescent="0.2">
      <c r="A223" s="58" t="str">
        <v/>
      </c>
      <c r="B223" s="131" t="str">
        <f>IFERROR(TIMEVALUE(DaqBook_RAW_Data!AG213),IFERROR(TIMEVALUE(DaqBook_RAW_Data!A213),""))</f>
        <v/>
      </c>
      <c r="C223" s="153"/>
      <c r="D223" s="153"/>
      <c r="E223" s="153"/>
      <c r="F223" s="153"/>
      <c r="G223" s="153"/>
      <c r="H223" s="153"/>
      <c r="I223" s="153"/>
      <c r="J223" s="153"/>
      <c r="K223" s="153"/>
      <c r="L223" s="153"/>
      <c r="M223" s="153"/>
      <c r="N223" s="153"/>
      <c r="O223" s="153"/>
      <c r="P223" s="153"/>
    </row>
    <row r="224" spans="1:16" x14ac:dyDescent="0.2">
      <c r="A224" s="58" t="str">
        <v/>
      </c>
      <c r="B224" s="131" t="str">
        <f>IFERROR(TIMEVALUE(DaqBook_RAW_Data!AG214),IFERROR(TIMEVALUE(DaqBook_RAW_Data!A214),""))</f>
        <v/>
      </c>
      <c r="C224" s="153"/>
      <c r="D224" s="153"/>
      <c r="E224" s="153"/>
      <c r="F224" s="153"/>
      <c r="G224" s="153"/>
      <c r="H224" s="153"/>
      <c r="I224" s="153"/>
      <c r="J224" s="153"/>
      <c r="K224" s="153"/>
      <c r="L224" s="153"/>
      <c r="M224" s="153"/>
      <c r="N224" s="153"/>
      <c r="O224" s="153"/>
      <c r="P224" s="153"/>
    </row>
    <row r="225" spans="1:16" x14ac:dyDescent="0.2">
      <c r="A225" s="58" t="str">
        <v/>
      </c>
      <c r="B225" s="131" t="str">
        <f>IFERROR(TIMEVALUE(DaqBook_RAW_Data!AG215),IFERROR(TIMEVALUE(DaqBook_RAW_Data!A215),""))</f>
        <v/>
      </c>
      <c r="C225" s="153"/>
      <c r="D225" s="153"/>
      <c r="E225" s="153"/>
      <c r="F225" s="153"/>
      <c r="G225" s="153"/>
      <c r="H225" s="153"/>
      <c r="I225" s="153"/>
      <c r="J225" s="153"/>
      <c r="K225" s="153"/>
      <c r="L225" s="153"/>
      <c r="M225" s="153"/>
      <c r="N225" s="153"/>
      <c r="O225" s="153"/>
      <c r="P225" s="153"/>
    </row>
    <row r="226" spans="1:16" x14ac:dyDescent="0.2">
      <c r="A226" s="58" t="str">
        <v/>
      </c>
      <c r="B226" s="131" t="str">
        <f>IFERROR(TIMEVALUE(DaqBook_RAW_Data!AG216),IFERROR(TIMEVALUE(DaqBook_RAW_Data!A216),""))</f>
        <v/>
      </c>
      <c r="C226" s="153"/>
      <c r="D226" s="153"/>
      <c r="E226" s="153"/>
      <c r="F226" s="153"/>
      <c r="G226" s="153"/>
      <c r="H226" s="153"/>
      <c r="I226" s="153"/>
      <c r="J226" s="153"/>
      <c r="K226" s="153"/>
      <c r="L226" s="153"/>
      <c r="M226" s="153"/>
      <c r="N226" s="153"/>
      <c r="O226" s="153"/>
      <c r="P226" s="153"/>
    </row>
    <row r="227" spans="1:16" x14ac:dyDescent="0.2">
      <c r="A227" s="58" t="str">
        <v/>
      </c>
      <c r="B227" s="131" t="str">
        <f>IFERROR(TIMEVALUE(DaqBook_RAW_Data!AG217),IFERROR(TIMEVALUE(DaqBook_RAW_Data!A217),""))</f>
        <v/>
      </c>
      <c r="C227" s="153"/>
      <c r="D227" s="153"/>
      <c r="E227" s="153"/>
      <c r="F227" s="153"/>
      <c r="G227" s="153"/>
      <c r="H227" s="153"/>
      <c r="I227" s="153"/>
      <c r="J227" s="153"/>
      <c r="K227" s="153"/>
      <c r="L227" s="153"/>
      <c r="M227" s="153"/>
      <c r="N227" s="153"/>
      <c r="O227" s="153"/>
      <c r="P227" s="153"/>
    </row>
    <row r="228" spans="1:16" x14ac:dyDescent="0.2">
      <c r="A228" s="58" t="str">
        <v/>
      </c>
      <c r="B228" s="131" t="str">
        <f>IFERROR(TIMEVALUE(DaqBook_RAW_Data!AG218),IFERROR(TIMEVALUE(DaqBook_RAW_Data!A218),""))</f>
        <v/>
      </c>
      <c r="C228" s="153"/>
      <c r="D228" s="153"/>
      <c r="E228" s="153"/>
      <c r="F228" s="153"/>
      <c r="G228" s="153"/>
      <c r="H228" s="153"/>
      <c r="I228" s="153"/>
      <c r="J228" s="153"/>
      <c r="K228" s="153"/>
      <c r="L228" s="153"/>
      <c r="M228" s="153"/>
      <c r="N228" s="153"/>
      <c r="O228" s="153"/>
      <c r="P228" s="153"/>
    </row>
    <row r="229" spans="1:16" x14ac:dyDescent="0.2">
      <c r="A229" s="58" t="str">
        <v/>
      </c>
      <c r="B229" s="131" t="str">
        <f>IFERROR(TIMEVALUE(DaqBook_RAW_Data!AG219),IFERROR(TIMEVALUE(DaqBook_RAW_Data!A219),""))</f>
        <v/>
      </c>
      <c r="C229" s="153"/>
      <c r="D229" s="153"/>
      <c r="E229" s="153"/>
      <c r="F229" s="153"/>
      <c r="G229" s="153"/>
      <c r="H229" s="153"/>
      <c r="I229" s="153"/>
      <c r="J229" s="153"/>
      <c r="K229" s="153"/>
      <c r="L229" s="153"/>
      <c r="M229" s="153"/>
      <c r="N229" s="153"/>
      <c r="O229" s="153"/>
      <c r="P229" s="153"/>
    </row>
    <row r="230" spans="1:16" x14ac:dyDescent="0.2">
      <c r="A230" s="58" t="str">
        <v/>
      </c>
      <c r="B230" s="131" t="str">
        <f>IFERROR(TIMEVALUE(DaqBook_RAW_Data!AG220),IFERROR(TIMEVALUE(DaqBook_RAW_Data!A220),""))</f>
        <v/>
      </c>
      <c r="C230" s="153"/>
      <c r="D230" s="153"/>
      <c r="E230" s="153"/>
      <c r="F230" s="153"/>
      <c r="G230" s="153"/>
      <c r="H230" s="153"/>
      <c r="I230" s="153"/>
      <c r="J230" s="153"/>
      <c r="K230" s="153"/>
      <c r="L230" s="153"/>
      <c r="M230" s="153"/>
      <c r="N230" s="153"/>
      <c r="O230" s="153"/>
      <c r="P230" s="153"/>
    </row>
    <row r="231" spans="1:16" x14ac:dyDescent="0.2">
      <c r="A231" s="58" t="str">
        <v/>
      </c>
      <c r="B231" s="131" t="str">
        <f>IFERROR(TIMEVALUE(DaqBook_RAW_Data!AG221),IFERROR(TIMEVALUE(DaqBook_RAW_Data!A221),""))</f>
        <v/>
      </c>
      <c r="C231" s="153"/>
      <c r="D231" s="153"/>
      <c r="E231" s="153"/>
      <c r="F231" s="153"/>
      <c r="G231" s="153"/>
      <c r="H231" s="153"/>
      <c r="I231" s="153"/>
      <c r="J231" s="153"/>
      <c r="K231" s="153"/>
      <c r="L231" s="153"/>
      <c r="M231" s="153"/>
      <c r="N231" s="153"/>
      <c r="O231" s="153"/>
      <c r="P231" s="153"/>
    </row>
    <row r="232" spans="1:16" x14ac:dyDescent="0.2">
      <c r="A232" s="58" t="str">
        <v/>
      </c>
      <c r="B232" s="131" t="str">
        <f>IFERROR(TIMEVALUE(DaqBook_RAW_Data!AG222),IFERROR(TIMEVALUE(DaqBook_RAW_Data!A222),""))</f>
        <v/>
      </c>
      <c r="C232" s="153"/>
      <c r="D232" s="153"/>
      <c r="E232" s="153"/>
      <c r="F232" s="153"/>
      <c r="G232" s="153"/>
      <c r="H232" s="153"/>
      <c r="I232" s="153"/>
      <c r="J232" s="153"/>
      <c r="K232" s="153"/>
      <c r="L232" s="153"/>
      <c r="M232" s="153"/>
      <c r="N232" s="153"/>
      <c r="O232" s="153"/>
      <c r="P232" s="153"/>
    </row>
    <row r="233" spans="1:16" x14ac:dyDescent="0.2">
      <c r="A233" s="58" t="str">
        <v/>
      </c>
      <c r="B233" s="131" t="str">
        <f>IFERROR(TIMEVALUE(DaqBook_RAW_Data!AG223),IFERROR(TIMEVALUE(DaqBook_RAW_Data!A223),""))</f>
        <v/>
      </c>
      <c r="C233" s="153"/>
      <c r="D233" s="153"/>
      <c r="E233" s="153"/>
      <c r="F233" s="153"/>
      <c r="G233" s="153"/>
      <c r="H233" s="153"/>
      <c r="I233" s="153"/>
      <c r="J233" s="153"/>
      <c r="K233" s="153"/>
      <c r="L233" s="153"/>
      <c r="M233" s="153"/>
      <c r="N233" s="153"/>
      <c r="O233" s="153"/>
      <c r="P233" s="153"/>
    </row>
    <row r="234" spans="1:16" x14ac:dyDescent="0.2">
      <c r="A234" s="58" t="str">
        <v/>
      </c>
      <c r="B234" s="131" t="str">
        <f>IFERROR(TIMEVALUE(DaqBook_RAW_Data!AG224),IFERROR(TIMEVALUE(DaqBook_RAW_Data!A224),""))</f>
        <v/>
      </c>
      <c r="C234" s="153"/>
      <c r="D234" s="153"/>
      <c r="E234" s="153"/>
      <c r="F234" s="153"/>
      <c r="G234" s="153"/>
      <c r="H234" s="153"/>
      <c r="I234" s="153"/>
      <c r="J234" s="153"/>
      <c r="K234" s="153"/>
      <c r="L234" s="153"/>
      <c r="M234" s="153"/>
      <c r="N234" s="153"/>
      <c r="O234" s="153"/>
      <c r="P234" s="153"/>
    </row>
    <row r="235" spans="1:16" x14ac:dyDescent="0.2">
      <c r="A235" s="58" t="str">
        <v/>
      </c>
      <c r="B235" s="131" t="str">
        <f>IFERROR(TIMEVALUE(DaqBook_RAW_Data!AG225),IFERROR(TIMEVALUE(DaqBook_RAW_Data!A225),""))</f>
        <v/>
      </c>
      <c r="C235" s="153"/>
      <c r="D235" s="153"/>
      <c r="E235" s="153"/>
      <c r="F235" s="153"/>
      <c r="G235" s="153"/>
      <c r="H235" s="153"/>
      <c r="I235" s="153"/>
      <c r="J235" s="153"/>
      <c r="K235" s="153"/>
      <c r="L235" s="153"/>
      <c r="M235" s="153"/>
      <c r="N235" s="153"/>
      <c r="O235" s="153"/>
      <c r="P235" s="153"/>
    </row>
    <row r="236" spans="1:16" x14ac:dyDescent="0.2">
      <c r="A236" s="58" t="str">
        <v/>
      </c>
      <c r="B236" s="131" t="str">
        <f>IFERROR(TIMEVALUE(DaqBook_RAW_Data!AG226),IFERROR(TIMEVALUE(DaqBook_RAW_Data!A226),""))</f>
        <v/>
      </c>
      <c r="C236" s="153"/>
      <c r="D236" s="153"/>
      <c r="E236" s="153"/>
      <c r="F236" s="153"/>
      <c r="G236" s="153"/>
      <c r="H236" s="153"/>
      <c r="I236" s="153"/>
      <c r="J236" s="153"/>
      <c r="K236" s="153"/>
      <c r="L236" s="153"/>
      <c r="M236" s="153"/>
      <c r="N236" s="153"/>
      <c r="O236" s="153"/>
      <c r="P236" s="153"/>
    </row>
    <row r="237" spans="1:16" x14ac:dyDescent="0.2">
      <c r="A237" s="58" t="str">
        <v/>
      </c>
      <c r="B237" s="131" t="str">
        <f>IFERROR(TIMEVALUE(DaqBook_RAW_Data!AG227),IFERROR(TIMEVALUE(DaqBook_RAW_Data!A227),""))</f>
        <v/>
      </c>
      <c r="C237" s="153"/>
      <c r="D237" s="153"/>
      <c r="E237" s="153"/>
      <c r="F237" s="153"/>
      <c r="G237" s="153"/>
      <c r="H237" s="153"/>
      <c r="I237" s="153"/>
      <c r="J237" s="153"/>
      <c r="K237" s="153"/>
      <c r="L237" s="153"/>
      <c r="M237" s="153"/>
      <c r="N237" s="153"/>
      <c r="O237" s="153"/>
      <c r="P237" s="153"/>
    </row>
    <row r="238" spans="1:16" x14ac:dyDescent="0.2">
      <c r="A238" s="58" t="str">
        <v/>
      </c>
      <c r="B238" s="131" t="str">
        <f>IFERROR(TIMEVALUE(DaqBook_RAW_Data!AG228),IFERROR(TIMEVALUE(DaqBook_RAW_Data!A228),""))</f>
        <v/>
      </c>
      <c r="C238" s="153"/>
      <c r="D238" s="153"/>
      <c r="E238" s="153"/>
      <c r="F238" s="153"/>
      <c r="G238" s="153"/>
      <c r="H238" s="153"/>
      <c r="I238" s="153"/>
      <c r="J238" s="153"/>
      <c r="K238" s="153"/>
      <c r="L238" s="153"/>
      <c r="M238" s="153"/>
      <c r="N238" s="153"/>
      <c r="O238" s="153"/>
      <c r="P238" s="153"/>
    </row>
    <row r="239" spans="1:16" x14ac:dyDescent="0.2">
      <c r="A239" s="58" t="str">
        <v/>
      </c>
      <c r="B239" s="131" t="str">
        <f>IFERROR(TIMEVALUE(DaqBook_RAW_Data!AG229),IFERROR(TIMEVALUE(DaqBook_RAW_Data!A229),""))</f>
        <v/>
      </c>
      <c r="C239" s="153"/>
      <c r="D239" s="153"/>
      <c r="E239" s="153"/>
      <c r="F239" s="153"/>
      <c r="G239" s="153"/>
      <c r="H239" s="153"/>
      <c r="I239" s="153"/>
      <c r="J239" s="153"/>
      <c r="K239" s="153"/>
      <c r="L239" s="153"/>
      <c r="M239" s="153"/>
      <c r="N239" s="153"/>
      <c r="O239" s="153"/>
      <c r="P239" s="153"/>
    </row>
    <row r="240" spans="1:16" x14ac:dyDescent="0.2">
      <c r="A240" s="58" t="str">
        <v/>
      </c>
      <c r="B240" s="131" t="str">
        <f>IFERROR(TIMEVALUE(DaqBook_RAW_Data!AG230),IFERROR(TIMEVALUE(DaqBook_RAW_Data!A230),""))</f>
        <v/>
      </c>
      <c r="C240" s="153"/>
      <c r="D240" s="153"/>
      <c r="E240" s="153"/>
      <c r="F240" s="153"/>
      <c r="G240" s="153"/>
      <c r="H240" s="153"/>
      <c r="I240" s="153"/>
      <c r="J240" s="153"/>
      <c r="K240" s="153"/>
      <c r="L240" s="153"/>
      <c r="M240" s="153"/>
      <c r="N240" s="153"/>
      <c r="O240" s="153"/>
      <c r="P240" s="153"/>
    </row>
    <row r="241" spans="1:16" x14ac:dyDescent="0.2">
      <c r="A241" s="58" t="str">
        <v/>
      </c>
      <c r="B241" s="131" t="str">
        <f>IFERROR(TIMEVALUE(DaqBook_RAW_Data!AG231),IFERROR(TIMEVALUE(DaqBook_RAW_Data!A231),""))</f>
        <v/>
      </c>
      <c r="C241" s="153"/>
      <c r="D241" s="153"/>
      <c r="E241" s="153"/>
      <c r="F241" s="153"/>
      <c r="G241" s="153"/>
      <c r="H241" s="153"/>
      <c r="I241" s="153"/>
      <c r="J241" s="153"/>
      <c r="K241" s="153"/>
      <c r="L241" s="153"/>
      <c r="M241" s="153"/>
      <c r="N241" s="153"/>
      <c r="O241" s="153"/>
      <c r="P241" s="153"/>
    </row>
    <row r="242" spans="1:16" x14ac:dyDescent="0.2">
      <c r="A242" s="58" t="str">
        <v/>
      </c>
      <c r="B242" s="131" t="str">
        <f>IFERROR(TIMEVALUE(DaqBook_RAW_Data!AG232),IFERROR(TIMEVALUE(DaqBook_RAW_Data!A232),""))</f>
        <v/>
      </c>
      <c r="C242" s="153"/>
      <c r="D242" s="153"/>
      <c r="E242" s="153"/>
      <c r="F242" s="153"/>
      <c r="G242" s="153"/>
      <c r="H242" s="153"/>
      <c r="I242" s="153"/>
      <c r="J242" s="153"/>
      <c r="K242" s="153"/>
      <c r="L242" s="153"/>
      <c r="M242" s="153"/>
      <c r="N242" s="153"/>
      <c r="O242" s="153"/>
      <c r="P242" s="153"/>
    </row>
    <row r="243" spans="1:16" x14ac:dyDescent="0.2">
      <c r="A243" s="58" t="str">
        <v/>
      </c>
      <c r="B243" s="131" t="str">
        <f>IFERROR(TIMEVALUE(DaqBook_RAW_Data!AG233),IFERROR(TIMEVALUE(DaqBook_RAW_Data!A233),""))</f>
        <v/>
      </c>
      <c r="C243" s="153"/>
      <c r="D243" s="153"/>
      <c r="E243" s="153"/>
      <c r="F243" s="153"/>
      <c r="G243" s="153"/>
      <c r="H243" s="153"/>
      <c r="I243" s="153"/>
      <c r="J243" s="153"/>
      <c r="K243" s="153"/>
      <c r="L243" s="153"/>
      <c r="M243" s="153"/>
      <c r="N243" s="153"/>
      <c r="O243" s="153"/>
      <c r="P243" s="153"/>
    </row>
    <row r="244" spans="1:16" x14ac:dyDescent="0.2">
      <c r="A244" s="58" t="str">
        <v/>
      </c>
      <c r="B244" s="131" t="str">
        <f>IFERROR(TIMEVALUE(DaqBook_RAW_Data!AG234),IFERROR(TIMEVALUE(DaqBook_RAW_Data!A234),""))</f>
        <v/>
      </c>
      <c r="C244" s="153"/>
      <c r="D244" s="153"/>
      <c r="E244" s="153"/>
      <c r="F244" s="153"/>
      <c r="G244" s="153"/>
      <c r="H244" s="153"/>
      <c r="I244" s="153"/>
      <c r="J244" s="153"/>
      <c r="K244" s="153"/>
      <c r="L244" s="153"/>
      <c r="M244" s="153"/>
      <c r="N244" s="153"/>
      <c r="O244" s="153"/>
      <c r="P244" s="153"/>
    </row>
    <row r="245" spans="1:16" x14ac:dyDescent="0.2">
      <c r="A245" s="58" t="str">
        <v/>
      </c>
      <c r="B245" s="131" t="str">
        <f>IFERROR(TIMEVALUE(DaqBook_RAW_Data!AG235),IFERROR(TIMEVALUE(DaqBook_RAW_Data!A235),""))</f>
        <v/>
      </c>
      <c r="C245" s="153"/>
      <c r="D245" s="153"/>
      <c r="E245" s="153"/>
      <c r="F245" s="153"/>
      <c r="G245" s="153"/>
      <c r="H245" s="153"/>
      <c r="I245" s="153"/>
      <c r="J245" s="153"/>
      <c r="K245" s="153"/>
      <c r="L245" s="153"/>
      <c r="M245" s="153"/>
      <c r="N245" s="153"/>
      <c r="O245" s="153"/>
      <c r="P245" s="153"/>
    </row>
    <row r="246" spans="1:16" x14ac:dyDescent="0.2">
      <c r="A246" s="58" t="str">
        <v/>
      </c>
      <c r="B246" s="131" t="str">
        <f>IFERROR(TIMEVALUE(DaqBook_RAW_Data!AG236),IFERROR(TIMEVALUE(DaqBook_RAW_Data!A236),""))</f>
        <v/>
      </c>
      <c r="C246" s="153"/>
      <c r="D246" s="153"/>
      <c r="E246" s="153"/>
      <c r="F246" s="153"/>
      <c r="G246" s="153"/>
      <c r="H246" s="153"/>
      <c r="I246" s="153"/>
      <c r="J246" s="153"/>
      <c r="K246" s="153"/>
      <c r="L246" s="153"/>
      <c r="M246" s="153"/>
      <c r="N246" s="153"/>
      <c r="O246" s="153"/>
      <c r="P246" s="153"/>
    </row>
    <row r="247" spans="1:16" x14ac:dyDescent="0.2">
      <c r="A247" s="58" t="str">
        <v/>
      </c>
      <c r="B247" s="131" t="str">
        <f>IFERROR(TIMEVALUE(DaqBook_RAW_Data!AG237),IFERROR(TIMEVALUE(DaqBook_RAW_Data!A237),""))</f>
        <v/>
      </c>
      <c r="C247" s="153"/>
      <c r="D247" s="153"/>
      <c r="E247" s="153"/>
      <c r="F247" s="153"/>
      <c r="G247" s="153"/>
      <c r="H247" s="153"/>
      <c r="I247" s="153"/>
      <c r="J247" s="153"/>
      <c r="K247" s="153"/>
      <c r="L247" s="153"/>
      <c r="M247" s="153"/>
      <c r="N247" s="153"/>
      <c r="O247" s="153"/>
      <c r="P247" s="153"/>
    </row>
    <row r="248" spans="1:16" x14ac:dyDescent="0.2">
      <c r="A248" s="58" t="str">
        <v/>
      </c>
      <c r="B248" s="131" t="str">
        <f>IFERROR(TIMEVALUE(DaqBook_RAW_Data!AG238),IFERROR(TIMEVALUE(DaqBook_RAW_Data!A238),""))</f>
        <v/>
      </c>
      <c r="C248" s="153"/>
      <c r="D248" s="153"/>
      <c r="E248" s="153"/>
      <c r="F248" s="153"/>
      <c r="G248" s="153"/>
      <c r="H248" s="153"/>
      <c r="I248" s="153"/>
      <c r="J248" s="153"/>
      <c r="K248" s="153"/>
      <c r="L248" s="153"/>
      <c r="M248" s="153"/>
      <c r="N248" s="153"/>
      <c r="O248" s="153"/>
      <c r="P248" s="153"/>
    </row>
    <row r="249" spans="1:16" x14ac:dyDescent="0.2">
      <c r="A249" s="58" t="str">
        <v/>
      </c>
      <c r="B249" s="131" t="str">
        <f>IFERROR(TIMEVALUE(DaqBook_RAW_Data!AG239),IFERROR(TIMEVALUE(DaqBook_RAW_Data!A239),""))</f>
        <v/>
      </c>
      <c r="C249" s="153"/>
      <c r="D249" s="153"/>
      <c r="E249" s="153"/>
      <c r="F249" s="153"/>
      <c r="G249" s="153"/>
      <c r="H249" s="153"/>
      <c r="I249" s="153"/>
      <c r="J249" s="153"/>
      <c r="K249" s="153"/>
      <c r="L249" s="153"/>
      <c r="M249" s="153"/>
      <c r="N249" s="153"/>
      <c r="O249" s="153"/>
      <c r="P249" s="153"/>
    </row>
    <row r="250" spans="1:16" x14ac:dyDescent="0.2">
      <c r="A250" s="58" t="str">
        <v/>
      </c>
      <c r="B250" s="131" t="str">
        <f>IFERROR(TIMEVALUE(DaqBook_RAW_Data!AG240),IFERROR(TIMEVALUE(DaqBook_RAW_Data!A240),""))</f>
        <v/>
      </c>
      <c r="C250" s="153"/>
      <c r="D250" s="153"/>
      <c r="E250" s="153"/>
      <c r="F250" s="153"/>
      <c r="G250" s="153"/>
      <c r="H250" s="153"/>
      <c r="I250" s="153"/>
      <c r="J250" s="153"/>
      <c r="K250" s="153"/>
      <c r="L250" s="153"/>
      <c r="M250" s="153"/>
      <c r="N250" s="153"/>
      <c r="O250" s="153"/>
      <c r="P250" s="153"/>
    </row>
    <row r="251" spans="1:16" x14ac:dyDescent="0.2">
      <c r="A251" s="58" t="str">
        <v/>
      </c>
      <c r="B251" s="131" t="str">
        <f>IFERROR(TIMEVALUE(DaqBook_RAW_Data!AG241),IFERROR(TIMEVALUE(DaqBook_RAW_Data!A241),""))</f>
        <v/>
      </c>
      <c r="C251" s="153"/>
      <c r="D251" s="153"/>
      <c r="E251" s="153"/>
      <c r="F251" s="153"/>
      <c r="G251" s="153"/>
      <c r="H251" s="153"/>
      <c r="I251" s="153"/>
      <c r="J251" s="153"/>
      <c r="K251" s="153"/>
      <c r="L251" s="153"/>
      <c r="M251" s="153"/>
      <c r="N251" s="153"/>
      <c r="O251" s="153"/>
      <c r="P251" s="153"/>
    </row>
    <row r="252" spans="1:16" x14ac:dyDescent="0.2">
      <c r="A252" s="58" t="str">
        <v/>
      </c>
      <c r="B252" s="131" t="str">
        <f>IFERROR(TIMEVALUE(DaqBook_RAW_Data!AG242),IFERROR(TIMEVALUE(DaqBook_RAW_Data!A242),""))</f>
        <v/>
      </c>
      <c r="C252" s="153"/>
      <c r="D252" s="153"/>
      <c r="E252" s="153"/>
      <c r="F252" s="153"/>
      <c r="G252" s="153"/>
      <c r="H252" s="153"/>
      <c r="I252" s="153"/>
      <c r="J252" s="153"/>
      <c r="K252" s="153"/>
      <c r="L252" s="153"/>
      <c r="M252" s="153"/>
      <c r="N252" s="153"/>
      <c r="O252" s="153"/>
      <c r="P252" s="153"/>
    </row>
    <row r="253" spans="1:16" x14ac:dyDescent="0.2">
      <c r="A253" s="58" t="str">
        <v/>
      </c>
      <c r="B253" s="131" t="str">
        <f>IFERROR(TIMEVALUE(DaqBook_RAW_Data!AG243),IFERROR(TIMEVALUE(DaqBook_RAW_Data!A243),""))</f>
        <v/>
      </c>
      <c r="C253" s="153"/>
      <c r="D253" s="153"/>
      <c r="E253" s="153"/>
      <c r="F253" s="153"/>
      <c r="G253" s="153"/>
      <c r="H253" s="153"/>
      <c r="I253" s="153"/>
      <c r="J253" s="153"/>
      <c r="K253" s="153"/>
      <c r="L253" s="153"/>
      <c r="M253" s="153"/>
      <c r="N253" s="153"/>
      <c r="O253" s="153"/>
      <c r="P253" s="153"/>
    </row>
    <row r="254" spans="1:16" x14ac:dyDescent="0.2">
      <c r="A254" s="58" t="str">
        <v/>
      </c>
      <c r="B254" s="131" t="str">
        <f>IFERROR(TIMEVALUE(DaqBook_RAW_Data!AG244),IFERROR(TIMEVALUE(DaqBook_RAW_Data!A244),""))</f>
        <v/>
      </c>
      <c r="C254" s="153"/>
      <c r="D254" s="153"/>
      <c r="E254" s="153"/>
      <c r="F254" s="153"/>
      <c r="G254" s="153"/>
      <c r="H254" s="153"/>
      <c r="I254" s="153"/>
      <c r="J254" s="153"/>
      <c r="K254" s="153"/>
      <c r="L254" s="153"/>
      <c r="M254" s="153"/>
      <c r="N254" s="153"/>
      <c r="O254" s="153"/>
      <c r="P254" s="153"/>
    </row>
    <row r="255" spans="1:16" x14ac:dyDescent="0.2">
      <c r="A255" s="58" t="str">
        <v/>
      </c>
      <c r="B255" s="131" t="str">
        <f>IFERROR(TIMEVALUE(DaqBook_RAW_Data!AG245),IFERROR(TIMEVALUE(DaqBook_RAW_Data!A245),""))</f>
        <v/>
      </c>
      <c r="C255" s="153"/>
      <c r="D255" s="153"/>
      <c r="E255" s="153"/>
      <c r="F255" s="153"/>
      <c r="G255" s="153"/>
      <c r="H255" s="153"/>
      <c r="I255" s="153"/>
      <c r="J255" s="153"/>
      <c r="K255" s="153"/>
      <c r="L255" s="153"/>
      <c r="M255" s="153"/>
      <c r="N255" s="153"/>
      <c r="O255" s="153"/>
      <c r="P255" s="153"/>
    </row>
    <row r="256" spans="1:16" x14ac:dyDescent="0.2">
      <c r="A256" s="58" t="str">
        <v/>
      </c>
      <c r="B256" s="131" t="str">
        <f>IFERROR(TIMEVALUE(DaqBook_RAW_Data!AG246),IFERROR(TIMEVALUE(DaqBook_RAW_Data!A246),""))</f>
        <v/>
      </c>
      <c r="C256" s="153"/>
      <c r="D256" s="153"/>
      <c r="E256" s="153"/>
      <c r="F256" s="153"/>
      <c r="G256" s="153"/>
      <c r="H256" s="153"/>
      <c r="I256" s="153"/>
      <c r="J256" s="153"/>
      <c r="K256" s="153"/>
      <c r="L256" s="153"/>
      <c r="M256" s="153"/>
      <c r="N256" s="153"/>
      <c r="O256" s="153"/>
      <c r="P256" s="153"/>
    </row>
    <row r="257" spans="1:16" x14ac:dyDescent="0.2">
      <c r="A257" s="58" t="str">
        <v/>
      </c>
      <c r="B257" s="131" t="str">
        <f>IFERROR(TIMEVALUE(DaqBook_RAW_Data!AG247),IFERROR(TIMEVALUE(DaqBook_RAW_Data!A247),""))</f>
        <v/>
      </c>
      <c r="C257" s="153"/>
      <c r="D257" s="153"/>
      <c r="E257" s="153"/>
      <c r="F257" s="153"/>
      <c r="G257" s="153"/>
      <c r="H257" s="153"/>
      <c r="I257" s="153"/>
      <c r="J257" s="153"/>
      <c r="K257" s="153"/>
      <c r="L257" s="153"/>
      <c r="M257" s="153"/>
      <c r="N257" s="153"/>
      <c r="O257" s="153"/>
      <c r="P257" s="153"/>
    </row>
    <row r="258" spans="1:16" x14ac:dyDescent="0.2">
      <c r="A258" s="58" t="str">
        <v/>
      </c>
      <c r="B258" s="131" t="str">
        <f>IFERROR(TIMEVALUE(DaqBook_RAW_Data!AG248),IFERROR(TIMEVALUE(DaqBook_RAW_Data!A248),""))</f>
        <v/>
      </c>
      <c r="C258" s="153"/>
      <c r="D258" s="153"/>
      <c r="E258" s="153"/>
      <c r="F258" s="153"/>
      <c r="G258" s="153"/>
      <c r="H258" s="153"/>
      <c r="I258" s="153"/>
      <c r="J258" s="153"/>
      <c r="K258" s="153"/>
      <c r="L258" s="153"/>
      <c r="M258" s="153"/>
      <c r="N258" s="153"/>
      <c r="O258" s="153"/>
      <c r="P258" s="153"/>
    </row>
    <row r="259" spans="1:16" x14ac:dyDescent="0.2">
      <c r="A259" s="58" t="str">
        <v/>
      </c>
      <c r="B259" s="131" t="str">
        <f>IFERROR(TIMEVALUE(DaqBook_RAW_Data!AG249),IFERROR(TIMEVALUE(DaqBook_RAW_Data!A249),""))</f>
        <v/>
      </c>
      <c r="C259" s="153"/>
      <c r="D259" s="153"/>
      <c r="E259" s="153"/>
      <c r="F259" s="153"/>
      <c r="G259" s="153"/>
      <c r="H259" s="153"/>
      <c r="I259" s="153"/>
      <c r="J259" s="153"/>
      <c r="K259" s="153"/>
      <c r="L259" s="153"/>
      <c r="M259" s="153"/>
      <c r="N259" s="153"/>
      <c r="O259" s="153"/>
      <c r="P259" s="153"/>
    </row>
    <row r="260" spans="1:16" x14ac:dyDescent="0.2">
      <c r="A260" s="58" t="str">
        <v/>
      </c>
      <c r="B260" s="131" t="str">
        <f>IFERROR(TIMEVALUE(DaqBook_RAW_Data!AG250),IFERROR(TIMEVALUE(DaqBook_RAW_Data!A250),""))</f>
        <v/>
      </c>
      <c r="C260" s="153"/>
      <c r="D260" s="153"/>
      <c r="E260" s="153"/>
      <c r="F260" s="153"/>
      <c r="G260" s="153"/>
      <c r="H260" s="153"/>
      <c r="I260" s="153"/>
      <c r="J260" s="153"/>
      <c r="K260" s="153"/>
      <c r="L260" s="153"/>
      <c r="M260" s="153"/>
      <c r="N260" s="153"/>
      <c r="O260" s="153"/>
      <c r="P260" s="153"/>
    </row>
    <row r="261" spans="1:16" x14ac:dyDescent="0.2">
      <c r="A261" s="58" t="str">
        <v/>
      </c>
      <c r="B261" s="131" t="str">
        <f>IFERROR(TIMEVALUE(DaqBook_RAW_Data!AG251),IFERROR(TIMEVALUE(DaqBook_RAW_Data!A251),""))</f>
        <v/>
      </c>
      <c r="C261" s="153"/>
      <c r="D261" s="153"/>
      <c r="E261" s="153"/>
      <c r="F261" s="153"/>
      <c r="G261" s="153"/>
      <c r="H261" s="153"/>
      <c r="I261" s="153"/>
      <c r="J261" s="153"/>
      <c r="K261" s="153"/>
      <c r="L261" s="153"/>
      <c r="M261" s="153"/>
      <c r="N261" s="153"/>
      <c r="O261" s="153"/>
      <c r="P261" s="153"/>
    </row>
    <row r="262" spans="1:16" x14ac:dyDescent="0.2">
      <c r="A262" s="58" t="str">
        <v/>
      </c>
      <c r="B262" s="131" t="str">
        <f>IFERROR(TIMEVALUE(DaqBook_RAW_Data!AG252),IFERROR(TIMEVALUE(DaqBook_RAW_Data!A252),""))</f>
        <v/>
      </c>
      <c r="C262" s="153"/>
      <c r="D262" s="153"/>
      <c r="E262" s="153"/>
      <c r="F262" s="153"/>
      <c r="G262" s="153"/>
      <c r="H262" s="153"/>
      <c r="I262" s="153"/>
      <c r="J262" s="153"/>
      <c r="K262" s="153"/>
      <c r="L262" s="153"/>
      <c r="M262" s="153"/>
      <c r="N262" s="153"/>
      <c r="O262" s="153"/>
      <c r="P262" s="153"/>
    </row>
    <row r="263" spans="1:16" x14ac:dyDescent="0.2">
      <c r="A263" s="58" t="str">
        <v/>
      </c>
      <c r="B263" s="131" t="str">
        <f>IFERROR(TIMEVALUE(DaqBook_RAW_Data!AG253),IFERROR(TIMEVALUE(DaqBook_RAW_Data!A253),""))</f>
        <v/>
      </c>
      <c r="C263" s="153"/>
      <c r="D263" s="153"/>
      <c r="E263" s="153"/>
      <c r="F263" s="153"/>
      <c r="G263" s="153"/>
      <c r="H263" s="153"/>
      <c r="I263" s="153"/>
      <c r="J263" s="153"/>
      <c r="K263" s="153"/>
      <c r="L263" s="153"/>
      <c r="M263" s="153"/>
      <c r="N263" s="153"/>
      <c r="O263" s="153"/>
      <c r="P263" s="153"/>
    </row>
    <row r="264" spans="1:16" x14ac:dyDescent="0.2">
      <c r="A264" s="58" t="str">
        <v/>
      </c>
      <c r="B264" s="131" t="str">
        <f>IFERROR(TIMEVALUE(DaqBook_RAW_Data!AG254),IFERROR(TIMEVALUE(DaqBook_RAW_Data!A254),""))</f>
        <v/>
      </c>
      <c r="C264" s="153"/>
      <c r="D264" s="153"/>
      <c r="E264" s="153"/>
      <c r="F264" s="153"/>
      <c r="G264" s="153"/>
      <c r="H264" s="153"/>
      <c r="I264" s="153"/>
      <c r="J264" s="153"/>
      <c r="K264" s="153"/>
      <c r="L264" s="153"/>
      <c r="M264" s="153"/>
      <c r="N264" s="153"/>
      <c r="O264" s="153"/>
      <c r="P264" s="153"/>
    </row>
    <row r="265" spans="1:16" x14ac:dyDescent="0.2">
      <c r="A265" s="58" t="str">
        <v/>
      </c>
      <c r="B265" s="131" t="str">
        <f>IFERROR(TIMEVALUE(DaqBook_RAW_Data!AG255),IFERROR(TIMEVALUE(DaqBook_RAW_Data!A255),""))</f>
        <v/>
      </c>
      <c r="C265" s="153"/>
      <c r="D265" s="153"/>
      <c r="E265" s="153"/>
      <c r="F265" s="153"/>
      <c r="G265" s="153"/>
      <c r="H265" s="153"/>
      <c r="I265" s="153"/>
      <c r="J265" s="153"/>
      <c r="K265" s="153"/>
      <c r="L265" s="153"/>
      <c r="M265" s="153"/>
      <c r="N265" s="153"/>
      <c r="O265" s="153"/>
      <c r="P265" s="153"/>
    </row>
    <row r="266" spans="1:16" x14ac:dyDescent="0.2">
      <c r="A266" s="58" t="str">
        <v/>
      </c>
      <c r="B266" s="131" t="str">
        <f>IFERROR(TIMEVALUE(DaqBook_RAW_Data!AG256),IFERROR(TIMEVALUE(DaqBook_RAW_Data!A256),""))</f>
        <v/>
      </c>
      <c r="C266" s="153"/>
      <c r="D266" s="153"/>
      <c r="E266" s="153"/>
      <c r="F266" s="153"/>
      <c r="G266" s="153"/>
      <c r="H266" s="153"/>
      <c r="I266" s="153"/>
      <c r="J266" s="153"/>
      <c r="K266" s="153"/>
      <c r="L266" s="153"/>
      <c r="M266" s="153"/>
      <c r="N266" s="153"/>
      <c r="O266" s="153"/>
      <c r="P266" s="153"/>
    </row>
    <row r="267" spans="1:16" x14ac:dyDescent="0.2">
      <c r="A267" s="58" t="str">
        <v/>
      </c>
      <c r="B267" s="131" t="str">
        <f>IFERROR(TIMEVALUE(DaqBook_RAW_Data!AG257),IFERROR(TIMEVALUE(DaqBook_RAW_Data!A257),""))</f>
        <v/>
      </c>
      <c r="C267" s="153"/>
      <c r="D267" s="153"/>
      <c r="E267" s="153"/>
      <c r="F267" s="153"/>
      <c r="G267" s="153"/>
      <c r="H267" s="153"/>
      <c r="I267" s="153"/>
      <c r="J267" s="153"/>
      <c r="K267" s="153"/>
      <c r="L267" s="153"/>
      <c r="M267" s="153"/>
      <c r="N267" s="153"/>
      <c r="O267" s="153"/>
      <c r="P267" s="153"/>
    </row>
    <row r="268" spans="1:16" x14ac:dyDescent="0.2">
      <c r="A268" s="58" t="str">
        <v/>
      </c>
      <c r="B268" s="131" t="str">
        <f>IFERROR(TIMEVALUE(DaqBook_RAW_Data!AG258),IFERROR(TIMEVALUE(DaqBook_RAW_Data!A258),""))</f>
        <v/>
      </c>
      <c r="C268" s="153"/>
      <c r="D268" s="153"/>
      <c r="E268" s="153"/>
      <c r="F268" s="153"/>
      <c r="G268" s="153"/>
      <c r="H268" s="153"/>
      <c r="I268" s="153"/>
      <c r="J268" s="153"/>
      <c r="K268" s="153"/>
      <c r="L268" s="153"/>
      <c r="M268" s="153"/>
      <c r="N268" s="153"/>
      <c r="O268" s="153"/>
      <c r="P268" s="153"/>
    </row>
    <row r="269" spans="1:16" x14ac:dyDescent="0.2">
      <c r="A269" s="58" t="str">
        <v/>
      </c>
      <c r="B269" s="131" t="str">
        <f>IFERROR(TIMEVALUE(DaqBook_RAW_Data!AG259),IFERROR(TIMEVALUE(DaqBook_RAW_Data!A259),""))</f>
        <v/>
      </c>
      <c r="C269" s="153"/>
      <c r="D269" s="153"/>
      <c r="E269" s="153"/>
      <c r="F269" s="153"/>
      <c r="G269" s="153"/>
      <c r="H269" s="153"/>
      <c r="I269" s="153"/>
      <c r="J269" s="153"/>
      <c r="K269" s="153"/>
      <c r="L269" s="153"/>
      <c r="M269" s="153"/>
      <c r="N269" s="153"/>
      <c r="O269" s="153"/>
      <c r="P269" s="153"/>
    </row>
    <row r="270" spans="1:16" x14ac:dyDescent="0.2">
      <c r="A270" s="58" t="str">
        <v/>
      </c>
      <c r="B270" s="131" t="str">
        <f>IFERROR(TIMEVALUE(DaqBook_RAW_Data!AG260),IFERROR(TIMEVALUE(DaqBook_RAW_Data!A260),""))</f>
        <v/>
      </c>
      <c r="C270" s="153"/>
      <c r="D270" s="153"/>
      <c r="E270" s="153"/>
      <c r="F270" s="153"/>
      <c r="G270" s="153"/>
      <c r="H270" s="153"/>
      <c r="I270" s="153"/>
      <c r="J270" s="153"/>
      <c r="K270" s="153"/>
      <c r="L270" s="153"/>
      <c r="M270" s="153"/>
      <c r="N270" s="153"/>
      <c r="O270" s="153"/>
      <c r="P270" s="153"/>
    </row>
    <row r="271" spans="1:16" x14ac:dyDescent="0.2">
      <c r="A271" s="58" t="str">
        <v/>
      </c>
      <c r="B271" s="131" t="str">
        <f>IFERROR(TIMEVALUE(DaqBook_RAW_Data!AG261),IFERROR(TIMEVALUE(DaqBook_RAW_Data!A261),""))</f>
        <v/>
      </c>
      <c r="C271" s="153"/>
      <c r="D271" s="153"/>
      <c r="E271" s="153"/>
      <c r="F271" s="153"/>
      <c r="G271" s="153"/>
      <c r="H271" s="153"/>
      <c r="I271" s="153"/>
      <c r="J271" s="153"/>
      <c r="K271" s="153"/>
      <c r="L271" s="153"/>
      <c r="M271" s="153"/>
      <c r="N271" s="153"/>
      <c r="O271" s="153"/>
      <c r="P271" s="153"/>
    </row>
    <row r="272" spans="1:16" x14ac:dyDescent="0.2">
      <c r="A272" s="58" t="str">
        <v/>
      </c>
      <c r="B272" s="131" t="str">
        <f>IFERROR(TIMEVALUE(DaqBook_RAW_Data!AG262),IFERROR(TIMEVALUE(DaqBook_RAW_Data!A262),""))</f>
        <v/>
      </c>
      <c r="C272" s="153"/>
      <c r="D272" s="153"/>
      <c r="E272" s="153"/>
      <c r="F272" s="153"/>
      <c r="G272" s="153"/>
      <c r="H272" s="153"/>
      <c r="I272" s="153"/>
      <c r="J272" s="153"/>
      <c r="K272" s="153"/>
      <c r="L272" s="153"/>
      <c r="M272" s="153"/>
      <c r="N272" s="153"/>
      <c r="O272" s="153"/>
      <c r="P272" s="153"/>
    </row>
    <row r="273" spans="1:16" x14ac:dyDescent="0.2">
      <c r="A273" s="58" t="str">
        <v/>
      </c>
      <c r="B273" s="131" t="str">
        <f>IFERROR(TIMEVALUE(DaqBook_RAW_Data!AG263),IFERROR(TIMEVALUE(DaqBook_RAW_Data!A263),""))</f>
        <v/>
      </c>
      <c r="C273" s="153"/>
      <c r="D273" s="153"/>
      <c r="E273" s="153"/>
      <c r="F273" s="153"/>
      <c r="G273" s="153"/>
      <c r="H273" s="153"/>
      <c r="I273" s="153"/>
      <c r="J273" s="153"/>
      <c r="K273" s="153"/>
      <c r="L273" s="153"/>
      <c r="M273" s="153"/>
      <c r="N273" s="153"/>
      <c r="O273" s="153"/>
      <c r="P273" s="153"/>
    </row>
    <row r="274" spans="1:16" x14ac:dyDescent="0.2">
      <c r="A274" s="58" t="str">
        <v/>
      </c>
      <c r="B274" s="131" t="str">
        <f>IFERROR(TIMEVALUE(DaqBook_RAW_Data!AG264),IFERROR(TIMEVALUE(DaqBook_RAW_Data!A264),""))</f>
        <v/>
      </c>
      <c r="C274" s="153"/>
      <c r="D274" s="153"/>
      <c r="E274" s="153"/>
      <c r="F274" s="153"/>
      <c r="G274" s="153"/>
      <c r="H274" s="153"/>
      <c r="I274" s="153"/>
      <c r="J274" s="153"/>
      <c r="K274" s="153"/>
      <c r="L274" s="153"/>
      <c r="M274" s="153"/>
      <c r="N274" s="153"/>
      <c r="O274" s="153"/>
      <c r="P274" s="153"/>
    </row>
    <row r="275" spans="1:16" x14ac:dyDescent="0.2">
      <c r="A275" s="58" t="str">
        <v/>
      </c>
      <c r="B275" s="131" t="str">
        <f>IFERROR(TIMEVALUE(DaqBook_RAW_Data!AG265),IFERROR(TIMEVALUE(DaqBook_RAW_Data!A265),""))</f>
        <v/>
      </c>
      <c r="C275" s="153"/>
      <c r="D275" s="153"/>
      <c r="E275" s="153"/>
      <c r="F275" s="153"/>
      <c r="G275" s="153"/>
      <c r="H275" s="153"/>
      <c r="I275" s="153"/>
      <c r="J275" s="153"/>
      <c r="K275" s="153"/>
      <c r="L275" s="153"/>
      <c r="M275" s="153"/>
      <c r="N275" s="153"/>
      <c r="O275" s="153"/>
      <c r="P275" s="153"/>
    </row>
    <row r="276" spans="1:16" x14ac:dyDescent="0.2">
      <c r="A276" s="58" t="str">
        <v/>
      </c>
      <c r="B276" s="131" t="str">
        <f>IFERROR(TIMEVALUE(DaqBook_RAW_Data!AG266),IFERROR(TIMEVALUE(DaqBook_RAW_Data!A266),""))</f>
        <v/>
      </c>
      <c r="C276" s="153"/>
      <c r="D276" s="153"/>
      <c r="E276" s="153"/>
      <c r="F276" s="153"/>
      <c r="G276" s="153"/>
      <c r="H276" s="153"/>
      <c r="I276" s="153"/>
      <c r="J276" s="153"/>
      <c r="K276" s="153"/>
      <c r="L276" s="153"/>
      <c r="M276" s="153"/>
      <c r="N276" s="153"/>
      <c r="O276" s="153"/>
      <c r="P276" s="153"/>
    </row>
    <row r="277" spans="1:16" x14ac:dyDescent="0.2">
      <c r="A277" s="58" t="str">
        <v/>
      </c>
      <c r="B277" s="131" t="str">
        <f>IFERROR(TIMEVALUE(DaqBook_RAW_Data!AG267),IFERROR(TIMEVALUE(DaqBook_RAW_Data!A267),""))</f>
        <v/>
      </c>
      <c r="C277" s="153"/>
      <c r="D277" s="153"/>
      <c r="E277" s="153"/>
      <c r="F277" s="153"/>
      <c r="G277" s="153"/>
      <c r="H277" s="153"/>
      <c r="I277" s="153"/>
      <c r="J277" s="153"/>
      <c r="K277" s="153"/>
      <c r="L277" s="153"/>
      <c r="M277" s="153"/>
      <c r="N277" s="153"/>
      <c r="O277" s="153"/>
      <c r="P277" s="153"/>
    </row>
    <row r="278" spans="1:16" x14ac:dyDescent="0.2">
      <c r="A278" s="58" t="str">
        <v/>
      </c>
      <c r="B278" s="131" t="str">
        <f>IFERROR(TIMEVALUE(DaqBook_RAW_Data!AG268),IFERROR(TIMEVALUE(DaqBook_RAW_Data!A268),""))</f>
        <v/>
      </c>
      <c r="C278" s="153"/>
      <c r="D278" s="153"/>
      <c r="E278" s="153"/>
      <c r="F278" s="153"/>
      <c r="G278" s="153"/>
      <c r="H278" s="153"/>
      <c r="I278" s="153"/>
      <c r="J278" s="153"/>
      <c r="K278" s="153"/>
      <c r="L278" s="153"/>
      <c r="M278" s="153"/>
      <c r="N278" s="153"/>
      <c r="O278" s="153"/>
      <c r="P278" s="153"/>
    </row>
    <row r="279" spans="1:16" x14ac:dyDescent="0.2">
      <c r="A279" s="58" t="str">
        <v/>
      </c>
      <c r="B279" s="131" t="str">
        <f>IFERROR(TIMEVALUE(DaqBook_RAW_Data!AG269),IFERROR(TIMEVALUE(DaqBook_RAW_Data!A269),""))</f>
        <v/>
      </c>
      <c r="C279" s="153"/>
      <c r="D279" s="153"/>
      <c r="E279" s="153"/>
      <c r="F279" s="153"/>
      <c r="G279" s="153"/>
      <c r="H279" s="153"/>
      <c r="I279" s="153"/>
      <c r="J279" s="153"/>
      <c r="K279" s="153"/>
      <c r="L279" s="153"/>
      <c r="M279" s="153"/>
      <c r="N279" s="153"/>
      <c r="O279" s="153"/>
      <c r="P279" s="153"/>
    </row>
    <row r="280" spans="1:16" x14ac:dyDescent="0.2">
      <c r="A280" s="58" t="str">
        <v/>
      </c>
      <c r="B280" s="131" t="str">
        <f>IFERROR(TIMEVALUE(DaqBook_RAW_Data!AG270),IFERROR(TIMEVALUE(DaqBook_RAW_Data!A270),""))</f>
        <v/>
      </c>
      <c r="C280" s="153"/>
      <c r="D280" s="153"/>
      <c r="E280" s="153"/>
      <c r="F280" s="153"/>
      <c r="G280" s="153"/>
      <c r="H280" s="153"/>
      <c r="I280" s="153"/>
      <c r="J280" s="153"/>
      <c r="K280" s="153"/>
      <c r="L280" s="153"/>
      <c r="M280" s="153"/>
      <c r="N280" s="153"/>
      <c r="O280" s="153"/>
      <c r="P280" s="153"/>
    </row>
    <row r="281" spans="1:16" x14ac:dyDescent="0.2">
      <c r="A281" s="58" t="str">
        <v/>
      </c>
      <c r="B281" s="131" t="str">
        <f>IFERROR(TIMEVALUE(DaqBook_RAW_Data!AG271),IFERROR(TIMEVALUE(DaqBook_RAW_Data!A271),""))</f>
        <v/>
      </c>
      <c r="C281" s="153"/>
      <c r="D281" s="153"/>
      <c r="E281" s="153"/>
      <c r="F281" s="153"/>
      <c r="G281" s="153"/>
      <c r="H281" s="153"/>
      <c r="I281" s="153"/>
      <c r="J281" s="153"/>
      <c r="K281" s="153"/>
      <c r="L281" s="153"/>
      <c r="M281" s="153"/>
      <c r="N281" s="153"/>
      <c r="O281" s="153"/>
      <c r="P281" s="153"/>
    </row>
    <row r="282" spans="1:16" x14ac:dyDescent="0.2">
      <c r="A282" s="58" t="str">
        <v/>
      </c>
      <c r="B282" s="131" t="str">
        <f>IFERROR(TIMEVALUE(DaqBook_RAW_Data!AG272),IFERROR(TIMEVALUE(DaqBook_RAW_Data!A272),""))</f>
        <v/>
      </c>
      <c r="C282" s="153"/>
      <c r="D282" s="153"/>
      <c r="E282" s="153"/>
      <c r="F282" s="153"/>
      <c r="G282" s="153"/>
      <c r="H282" s="153"/>
      <c r="I282" s="153"/>
      <c r="J282" s="153"/>
      <c r="K282" s="153"/>
      <c r="L282" s="153"/>
      <c r="M282" s="153"/>
      <c r="N282" s="153"/>
      <c r="O282" s="153"/>
      <c r="P282" s="153"/>
    </row>
    <row r="283" spans="1:16" x14ac:dyDescent="0.2">
      <c r="A283" s="58" t="str">
        <v/>
      </c>
      <c r="B283" s="131" t="str">
        <f>IFERROR(TIMEVALUE(DaqBook_RAW_Data!AG273),IFERROR(TIMEVALUE(DaqBook_RAW_Data!A273),""))</f>
        <v/>
      </c>
      <c r="C283" s="153"/>
      <c r="D283" s="153"/>
      <c r="E283" s="153"/>
      <c r="F283" s="153"/>
      <c r="G283" s="153"/>
      <c r="H283" s="153"/>
      <c r="I283" s="153"/>
      <c r="J283" s="153"/>
      <c r="K283" s="153"/>
      <c r="L283" s="153"/>
      <c r="M283" s="153"/>
      <c r="N283" s="153"/>
      <c r="O283" s="153"/>
      <c r="P283" s="153"/>
    </row>
    <row r="284" spans="1:16" x14ac:dyDescent="0.2">
      <c r="A284" s="58" t="str">
        <v/>
      </c>
      <c r="B284" s="131" t="str">
        <f>IFERROR(TIMEVALUE(DaqBook_RAW_Data!AG274),IFERROR(TIMEVALUE(DaqBook_RAW_Data!A274),""))</f>
        <v/>
      </c>
      <c r="C284" s="153"/>
      <c r="D284" s="153"/>
      <c r="E284" s="153"/>
      <c r="F284" s="153"/>
      <c r="G284" s="153"/>
      <c r="H284" s="153"/>
      <c r="I284" s="153"/>
      <c r="J284" s="153"/>
      <c r="K284" s="153"/>
      <c r="L284" s="153"/>
      <c r="M284" s="153"/>
      <c r="N284" s="153"/>
      <c r="O284" s="153"/>
      <c r="P284" s="153"/>
    </row>
    <row r="285" spans="1:16" x14ac:dyDescent="0.2">
      <c r="A285" s="58" t="str">
        <v/>
      </c>
      <c r="B285" s="131" t="str">
        <f>IFERROR(TIMEVALUE(DaqBook_RAW_Data!AG275),IFERROR(TIMEVALUE(DaqBook_RAW_Data!A275),""))</f>
        <v/>
      </c>
      <c r="C285" s="153"/>
      <c r="D285" s="153"/>
      <c r="E285" s="153"/>
      <c r="F285" s="153"/>
      <c r="G285" s="153"/>
      <c r="H285" s="153"/>
      <c r="I285" s="153"/>
      <c r="J285" s="153"/>
      <c r="K285" s="153"/>
      <c r="L285" s="153"/>
      <c r="M285" s="153"/>
      <c r="N285" s="153"/>
      <c r="O285" s="153"/>
      <c r="P285" s="153"/>
    </row>
    <row r="286" spans="1:16" x14ac:dyDescent="0.2">
      <c r="A286" s="58" t="str">
        <v/>
      </c>
      <c r="B286" s="131" t="str">
        <f>IFERROR(TIMEVALUE(DaqBook_RAW_Data!AG276),IFERROR(TIMEVALUE(DaqBook_RAW_Data!A276),""))</f>
        <v/>
      </c>
      <c r="C286" s="153"/>
      <c r="D286" s="153"/>
      <c r="E286" s="153"/>
      <c r="F286" s="153"/>
      <c r="G286" s="153"/>
      <c r="H286" s="153"/>
      <c r="I286" s="153"/>
      <c r="J286" s="153"/>
      <c r="K286" s="153"/>
      <c r="L286" s="153"/>
      <c r="M286" s="153"/>
      <c r="N286" s="153"/>
      <c r="O286" s="153"/>
      <c r="P286" s="153"/>
    </row>
    <row r="287" spans="1:16" x14ac:dyDescent="0.2">
      <c r="A287" s="58" t="str">
        <v/>
      </c>
      <c r="B287" s="131" t="str">
        <f>IFERROR(TIMEVALUE(DaqBook_RAW_Data!AG277),IFERROR(TIMEVALUE(DaqBook_RAW_Data!A277),""))</f>
        <v/>
      </c>
      <c r="C287" s="153"/>
      <c r="D287" s="153"/>
      <c r="E287" s="153"/>
      <c r="F287" s="153"/>
      <c r="G287" s="153"/>
      <c r="H287" s="153"/>
      <c r="I287" s="153"/>
      <c r="J287" s="153"/>
      <c r="K287" s="153"/>
      <c r="L287" s="153"/>
      <c r="M287" s="153"/>
      <c r="N287" s="153"/>
      <c r="O287" s="153"/>
      <c r="P287" s="153"/>
    </row>
    <row r="288" spans="1:16" x14ac:dyDescent="0.2">
      <c r="A288" s="58" t="str">
        <v/>
      </c>
      <c r="B288" s="131" t="str">
        <f>IFERROR(TIMEVALUE(DaqBook_RAW_Data!AG278),IFERROR(TIMEVALUE(DaqBook_RAW_Data!A278),""))</f>
        <v/>
      </c>
      <c r="C288" s="153"/>
      <c r="D288" s="153"/>
      <c r="E288" s="153"/>
      <c r="F288" s="153"/>
      <c r="G288" s="153"/>
      <c r="H288" s="153"/>
      <c r="I288" s="153"/>
      <c r="J288" s="153"/>
      <c r="K288" s="153"/>
      <c r="L288" s="153"/>
      <c r="M288" s="153"/>
      <c r="N288" s="153"/>
      <c r="O288" s="153"/>
      <c r="P288" s="153"/>
    </row>
    <row r="289" spans="1:16" x14ac:dyDescent="0.2">
      <c r="A289" s="58" t="str">
        <v/>
      </c>
      <c r="B289" s="131" t="str">
        <f>IFERROR(TIMEVALUE(DaqBook_RAW_Data!AG279),IFERROR(TIMEVALUE(DaqBook_RAW_Data!A279),""))</f>
        <v/>
      </c>
      <c r="C289" s="153"/>
      <c r="D289" s="153"/>
      <c r="E289" s="153"/>
      <c r="F289" s="153"/>
      <c r="G289" s="153"/>
      <c r="H289" s="153"/>
      <c r="I289" s="153"/>
      <c r="J289" s="153"/>
      <c r="K289" s="153"/>
      <c r="L289" s="153"/>
      <c r="M289" s="153"/>
      <c r="N289" s="153"/>
      <c r="O289" s="153"/>
      <c r="P289" s="153"/>
    </row>
    <row r="290" spans="1:16" x14ac:dyDescent="0.2">
      <c r="A290" s="58" t="str">
        <v/>
      </c>
      <c r="B290" s="131" t="str">
        <f>IFERROR(TIMEVALUE(DaqBook_RAW_Data!AG280),IFERROR(TIMEVALUE(DaqBook_RAW_Data!A280),""))</f>
        <v/>
      </c>
      <c r="C290" s="153"/>
      <c r="D290" s="153"/>
      <c r="E290" s="153"/>
      <c r="F290" s="153"/>
      <c r="G290" s="153"/>
      <c r="H290" s="153"/>
      <c r="I290" s="153"/>
      <c r="J290" s="153"/>
      <c r="K290" s="153"/>
      <c r="L290" s="153"/>
      <c r="M290" s="153"/>
      <c r="N290" s="153"/>
      <c r="O290" s="153"/>
      <c r="P290" s="153"/>
    </row>
    <row r="291" spans="1:16" x14ac:dyDescent="0.2">
      <c r="A291" s="58" t="str">
        <v/>
      </c>
      <c r="B291" s="131" t="str">
        <f>IFERROR(TIMEVALUE(DaqBook_RAW_Data!AG281),IFERROR(TIMEVALUE(DaqBook_RAW_Data!A281),""))</f>
        <v/>
      </c>
      <c r="C291" s="153"/>
      <c r="D291" s="153"/>
      <c r="E291" s="153"/>
      <c r="F291" s="153"/>
      <c r="G291" s="153"/>
      <c r="H291" s="153"/>
      <c r="I291" s="153"/>
      <c r="J291" s="153"/>
      <c r="K291" s="153"/>
      <c r="L291" s="153"/>
      <c r="M291" s="153"/>
      <c r="N291" s="153"/>
      <c r="O291" s="153"/>
      <c r="P291" s="153"/>
    </row>
    <row r="292" spans="1:16" x14ac:dyDescent="0.2">
      <c r="A292" s="58" t="str">
        <v/>
      </c>
      <c r="B292" s="131" t="str">
        <f>IFERROR(TIMEVALUE(DaqBook_RAW_Data!AG282),IFERROR(TIMEVALUE(DaqBook_RAW_Data!A282),""))</f>
        <v/>
      </c>
      <c r="C292" s="153"/>
      <c r="D292" s="153"/>
      <c r="E292" s="153"/>
      <c r="F292" s="153"/>
      <c r="G292" s="153"/>
      <c r="H292" s="153"/>
      <c r="I292" s="153"/>
      <c r="J292" s="153"/>
      <c r="K292" s="153"/>
      <c r="L292" s="153"/>
      <c r="M292" s="153"/>
      <c r="N292" s="153"/>
      <c r="O292" s="153"/>
      <c r="P292" s="153"/>
    </row>
    <row r="293" spans="1:16" x14ac:dyDescent="0.2">
      <c r="A293" s="58" t="str">
        <v/>
      </c>
      <c r="B293" s="131" t="str">
        <f>IFERROR(TIMEVALUE(DaqBook_RAW_Data!AG283),IFERROR(TIMEVALUE(DaqBook_RAW_Data!A283),""))</f>
        <v/>
      </c>
      <c r="C293" s="153"/>
      <c r="D293" s="153"/>
      <c r="E293" s="153"/>
      <c r="F293" s="153"/>
      <c r="G293" s="153"/>
      <c r="H293" s="153"/>
      <c r="I293" s="153"/>
      <c r="J293" s="153"/>
      <c r="K293" s="153"/>
      <c r="L293" s="153"/>
      <c r="M293" s="153"/>
      <c r="N293" s="153"/>
      <c r="O293" s="153"/>
      <c r="P293" s="153"/>
    </row>
    <row r="294" spans="1:16" x14ac:dyDescent="0.2">
      <c r="A294" s="58" t="str">
        <v/>
      </c>
      <c r="B294" s="131" t="str">
        <f>IFERROR(TIMEVALUE(DaqBook_RAW_Data!AG284),IFERROR(TIMEVALUE(DaqBook_RAW_Data!A284),""))</f>
        <v/>
      </c>
      <c r="C294" s="153"/>
      <c r="D294" s="153"/>
      <c r="E294" s="153"/>
      <c r="F294" s="153"/>
      <c r="G294" s="153"/>
      <c r="H294" s="153"/>
      <c r="I294" s="153"/>
      <c r="J294" s="153"/>
      <c r="K294" s="153"/>
      <c r="L294" s="153"/>
      <c r="M294" s="153"/>
      <c r="N294" s="153"/>
      <c r="O294" s="153"/>
      <c r="P294" s="153"/>
    </row>
    <row r="295" spans="1:16" x14ac:dyDescent="0.2">
      <c r="A295" s="58" t="str">
        <v/>
      </c>
      <c r="B295" s="131" t="str">
        <f>IFERROR(TIMEVALUE(DaqBook_RAW_Data!AG285),IFERROR(TIMEVALUE(DaqBook_RAW_Data!A285),""))</f>
        <v/>
      </c>
      <c r="C295" s="153"/>
      <c r="D295" s="153"/>
      <c r="E295" s="153"/>
      <c r="F295" s="153"/>
      <c r="G295" s="153"/>
      <c r="H295" s="153"/>
      <c r="I295" s="153"/>
      <c r="J295" s="153"/>
      <c r="K295" s="153"/>
      <c r="L295" s="153"/>
      <c r="M295" s="153"/>
      <c r="N295" s="153"/>
      <c r="O295" s="153"/>
      <c r="P295" s="153"/>
    </row>
    <row r="296" spans="1:16" x14ac:dyDescent="0.2">
      <c r="A296" s="58" t="str">
        <v/>
      </c>
      <c r="B296" s="131" t="str">
        <f>IFERROR(TIMEVALUE(DaqBook_RAW_Data!AG286),IFERROR(TIMEVALUE(DaqBook_RAW_Data!A286),""))</f>
        <v/>
      </c>
      <c r="C296" s="153"/>
      <c r="D296" s="153"/>
      <c r="E296" s="153"/>
      <c r="F296" s="153"/>
      <c r="G296" s="153"/>
      <c r="H296" s="153"/>
      <c r="I296" s="153"/>
      <c r="J296" s="153"/>
      <c r="K296" s="153"/>
      <c r="L296" s="153"/>
      <c r="M296" s="153"/>
      <c r="N296" s="153"/>
      <c r="O296" s="153"/>
      <c r="P296" s="153"/>
    </row>
    <row r="297" spans="1:16" x14ac:dyDescent="0.2">
      <c r="A297" s="58" t="str">
        <v/>
      </c>
      <c r="B297" s="131" t="str">
        <f>IFERROR(TIMEVALUE(DaqBook_RAW_Data!AG287),IFERROR(TIMEVALUE(DaqBook_RAW_Data!A287),""))</f>
        <v/>
      </c>
      <c r="C297" s="153"/>
      <c r="D297" s="153"/>
      <c r="E297" s="153"/>
      <c r="F297" s="153"/>
      <c r="G297" s="153"/>
      <c r="H297" s="153"/>
      <c r="I297" s="153"/>
      <c r="J297" s="153"/>
      <c r="K297" s="153"/>
      <c r="L297" s="153"/>
      <c r="M297" s="153"/>
      <c r="N297" s="153"/>
      <c r="O297" s="153"/>
      <c r="P297" s="153"/>
    </row>
    <row r="298" spans="1:16" x14ac:dyDescent="0.2">
      <c r="A298" s="58" t="str">
        <v/>
      </c>
      <c r="B298" s="131" t="str">
        <f>IFERROR(TIMEVALUE(DaqBook_RAW_Data!AG288),IFERROR(TIMEVALUE(DaqBook_RAW_Data!A288),""))</f>
        <v/>
      </c>
      <c r="C298" s="153"/>
      <c r="D298" s="153"/>
      <c r="E298" s="153"/>
      <c r="F298" s="153"/>
      <c r="G298" s="153"/>
      <c r="H298" s="153"/>
      <c r="I298" s="153"/>
      <c r="J298" s="153"/>
      <c r="K298" s="153"/>
      <c r="L298" s="153"/>
      <c r="M298" s="153"/>
      <c r="N298" s="153"/>
      <c r="O298" s="153"/>
      <c r="P298" s="153"/>
    </row>
    <row r="299" spans="1:16" x14ac:dyDescent="0.2">
      <c r="A299" s="58" t="str">
        <v/>
      </c>
      <c r="B299" s="131" t="str">
        <f>IFERROR(TIMEVALUE(DaqBook_RAW_Data!AG289),IFERROR(TIMEVALUE(DaqBook_RAW_Data!A289),""))</f>
        <v/>
      </c>
      <c r="C299" s="153"/>
      <c r="D299" s="153"/>
      <c r="E299" s="153"/>
      <c r="F299" s="153"/>
      <c r="G299" s="153"/>
      <c r="H299" s="153"/>
      <c r="I299" s="153"/>
      <c r="J299" s="153"/>
      <c r="K299" s="153"/>
      <c r="L299" s="153"/>
      <c r="M299" s="153"/>
      <c r="N299" s="153"/>
      <c r="O299" s="153"/>
      <c r="P299" s="153"/>
    </row>
    <row r="300" spans="1:16" x14ac:dyDescent="0.2">
      <c r="A300" s="58" t="str">
        <v/>
      </c>
      <c r="B300" s="131" t="str">
        <f>IFERROR(TIMEVALUE(DaqBook_RAW_Data!AG290),IFERROR(TIMEVALUE(DaqBook_RAW_Data!A290),""))</f>
        <v/>
      </c>
      <c r="C300" s="153"/>
      <c r="D300" s="153"/>
      <c r="E300" s="153"/>
      <c r="F300" s="153"/>
      <c r="G300" s="153"/>
      <c r="H300" s="153"/>
      <c r="I300" s="153"/>
      <c r="J300" s="153"/>
      <c r="K300" s="153"/>
      <c r="L300" s="153"/>
      <c r="M300" s="153"/>
      <c r="N300" s="153"/>
      <c r="O300" s="153"/>
      <c r="P300" s="153"/>
    </row>
    <row r="301" spans="1:16" x14ac:dyDescent="0.2">
      <c r="A301" s="58" t="str">
        <v/>
      </c>
      <c r="B301" s="131" t="str">
        <f>IFERROR(TIMEVALUE(DaqBook_RAW_Data!AG291),IFERROR(TIMEVALUE(DaqBook_RAW_Data!A291),""))</f>
        <v/>
      </c>
      <c r="C301" s="153"/>
      <c r="D301" s="153"/>
      <c r="E301" s="153"/>
      <c r="F301" s="153"/>
      <c r="G301" s="153"/>
      <c r="H301" s="153"/>
      <c r="I301" s="153"/>
      <c r="J301" s="153"/>
      <c r="K301" s="153"/>
      <c r="L301" s="153"/>
      <c r="M301" s="153"/>
      <c r="N301" s="153"/>
      <c r="O301" s="153"/>
      <c r="P301" s="153"/>
    </row>
    <row r="302" spans="1:16" x14ac:dyDescent="0.2">
      <c r="A302" s="58" t="str">
        <v/>
      </c>
      <c r="B302" s="131" t="str">
        <f>IFERROR(TIMEVALUE(DaqBook_RAW_Data!AG292),IFERROR(TIMEVALUE(DaqBook_RAW_Data!A292),""))</f>
        <v/>
      </c>
      <c r="C302" s="153"/>
      <c r="D302" s="153"/>
      <c r="E302" s="153"/>
      <c r="F302" s="153"/>
      <c r="G302" s="153"/>
      <c r="H302" s="153"/>
      <c r="I302" s="153"/>
      <c r="J302" s="153"/>
      <c r="K302" s="153"/>
      <c r="L302" s="153"/>
      <c r="M302" s="153"/>
      <c r="N302" s="153"/>
      <c r="O302" s="153"/>
      <c r="P302" s="153"/>
    </row>
    <row r="303" spans="1:16" x14ac:dyDescent="0.2">
      <c r="A303" s="58" t="str">
        <v/>
      </c>
      <c r="B303" s="131" t="str">
        <f>IFERROR(TIMEVALUE(DaqBook_RAW_Data!AG293),IFERROR(TIMEVALUE(DaqBook_RAW_Data!A293),""))</f>
        <v/>
      </c>
      <c r="C303" s="153"/>
      <c r="D303" s="153"/>
      <c r="E303" s="153"/>
      <c r="F303" s="153"/>
      <c r="G303" s="153"/>
      <c r="H303" s="153"/>
      <c r="I303" s="153"/>
      <c r="J303" s="153"/>
      <c r="K303" s="153"/>
      <c r="L303" s="153"/>
      <c r="M303" s="153"/>
      <c r="N303" s="153"/>
      <c r="O303" s="153"/>
      <c r="P303" s="153"/>
    </row>
    <row r="304" spans="1:16" x14ac:dyDescent="0.2">
      <c r="A304" s="58" t="str">
        <v/>
      </c>
      <c r="B304" s="131" t="str">
        <f>IFERROR(TIMEVALUE(DaqBook_RAW_Data!AG294),IFERROR(TIMEVALUE(DaqBook_RAW_Data!A294),""))</f>
        <v/>
      </c>
      <c r="C304" s="153"/>
      <c r="D304" s="153"/>
      <c r="E304" s="153"/>
      <c r="F304" s="153"/>
      <c r="G304" s="153"/>
      <c r="H304" s="153"/>
      <c r="I304" s="153"/>
      <c r="J304" s="153"/>
      <c r="K304" s="153"/>
      <c r="L304" s="153"/>
      <c r="M304" s="153"/>
      <c r="N304" s="153"/>
      <c r="O304" s="153"/>
      <c r="P304" s="153"/>
    </row>
    <row r="305" spans="1:16" x14ac:dyDescent="0.2">
      <c r="A305" s="58" t="str">
        <v/>
      </c>
      <c r="B305" s="131" t="str">
        <f>IFERROR(TIMEVALUE(DaqBook_RAW_Data!AG295),IFERROR(TIMEVALUE(DaqBook_RAW_Data!A295),""))</f>
        <v/>
      </c>
      <c r="C305" s="153"/>
      <c r="D305" s="153"/>
      <c r="E305" s="153"/>
      <c r="F305" s="153"/>
      <c r="G305" s="153"/>
      <c r="H305" s="153"/>
      <c r="I305" s="153"/>
      <c r="J305" s="153"/>
      <c r="K305" s="153"/>
      <c r="L305" s="153"/>
      <c r="M305" s="153"/>
      <c r="N305" s="153"/>
      <c r="O305" s="153"/>
      <c r="P305" s="153"/>
    </row>
    <row r="306" spans="1:16" x14ac:dyDescent="0.2">
      <c r="A306" s="58" t="str">
        <v/>
      </c>
      <c r="B306" s="131" t="str">
        <f>IFERROR(TIMEVALUE(DaqBook_RAW_Data!AG296),IFERROR(TIMEVALUE(DaqBook_RAW_Data!A296),""))</f>
        <v/>
      </c>
      <c r="C306" s="153"/>
      <c r="D306" s="153"/>
      <c r="E306" s="153"/>
      <c r="F306" s="153"/>
      <c r="G306" s="153"/>
      <c r="H306" s="153"/>
      <c r="I306" s="153"/>
      <c r="J306" s="153"/>
      <c r="K306" s="153"/>
      <c r="L306" s="153"/>
      <c r="M306" s="153"/>
      <c r="N306" s="153"/>
      <c r="O306" s="153"/>
      <c r="P306" s="153"/>
    </row>
    <row r="307" spans="1:16" x14ac:dyDescent="0.2">
      <c r="A307" s="58" t="str">
        <v/>
      </c>
      <c r="B307" s="131" t="str">
        <f>IFERROR(TIMEVALUE(DaqBook_RAW_Data!AG297),IFERROR(TIMEVALUE(DaqBook_RAW_Data!A297),""))</f>
        <v/>
      </c>
      <c r="C307" s="153"/>
      <c r="D307" s="153"/>
      <c r="E307" s="153"/>
      <c r="F307" s="153"/>
      <c r="G307" s="153"/>
      <c r="H307" s="153"/>
      <c r="I307" s="153"/>
      <c r="J307" s="153"/>
      <c r="K307" s="153"/>
      <c r="L307" s="153"/>
      <c r="M307" s="153"/>
      <c r="N307" s="153"/>
      <c r="O307" s="153"/>
      <c r="P307" s="153"/>
    </row>
    <row r="308" spans="1:16" x14ac:dyDescent="0.2">
      <c r="A308" s="58" t="str">
        <v/>
      </c>
      <c r="B308" s="131" t="str">
        <f>IFERROR(TIMEVALUE(DaqBook_RAW_Data!AG298),IFERROR(TIMEVALUE(DaqBook_RAW_Data!A298),""))</f>
        <v/>
      </c>
      <c r="C308" s="153"/>
      <c r="D308" s="153"/>
      <c r="E308" s="153"/>
      <c r="F308" s="153"/>
      <c r="G308" s="153"/>
      <c r="H308" s="153"/>
      <c r="I308" s="153"/>
      <c r="J308" s="153"/>
      <c r="K308" s="153"/>
      <c r="L308" s="153"/>
      <c r="M308" s="153"/>
      <c r="N308" s="153"/>
      <c r="O308" s="153"/>
      <c r="P308" s="153"/>
    </row>
    <row r="309" spans="1:16" x14ac:dyDescent="0.2">
      <c r="A309" s="58" t="str">
        <v/>
      </c>
      <c r="B309" s="131" t="str">
        <f>IFERROR(TIMEVALUE(DaqBook_RAW_Data!AG299),IFERROR(TIMEVALUE(DaqBook_RAW_Data!A299),""))</f>
        <v/>
      </c>
      <c r="C309" s="153"/>
      <c r="D309" s="153"/>
      <c r="E309" s="153"/>
      <c r="F309" s="153"/>
      <c r="G309" s="153"/>
      <c r="H309" s="153"/>
      <c r="I309" s="153"/>
      <c r="J309" s="153"/>
      <c r="K309" s="153"/>
      <c r="L309" s="153"/>
      <c r="M309" s="153"/>
      <c r="N309" s="153"/>
      <c r="O309" s="153"/>
      <c r="P309" s="153"/>
    </row>
    <row r="310" spans="1:16" x14ac:dyDescent="0.2">
      <c r="A310" s="58" t="str">
        <v/>
      </c>
      <c r="B310" s="131" t="str">
        <f>IFERROR(TIMEVALUE(DaqBook_RAW_Data!AG300),IFERROR(TIMEVALUE(DaqBook_RAW_Data!A300),""))</f>
        <v/>
      </c>
      <c r="C310" s="153"/>
      <c r="D310" s="153"/>
      <c r="E310" s="153"/>
      <c r="F310" s="153"/>
      <c r="G310" s="153"/>
      <c r="H310" s="153"/>
      <c r="I310" s="153"/>
      <c r="J310" s="153"/>
      <c r="K310" s="153"/>
      <c r="L310" s="153"/>
      <c r="M310" s="153"/>
      <c r="N310" s="153"/>
      <c r="O310" s="153"/>
      <c r="P310" s="153"/>
    </row>
    <row r="311" spans="1:16" x14ac:dyDescent="0.2">
      <c r="A311" s="58" t="str">
        <v/>
      </c>
      <c r="B311" s="131" t="str">
        <f>IFERROR(TIMEVALUE(DaqBook_RAW_Data!AG301),IFERROR(TIMEVALUE(DaqBook_RAW_Data!A301),""))</f>
        <v/>
      </c>
      <c r="C311" s="153"/>
      <c r="D311" s="153"/>
      <c r="E311" s="153"/>
      <c r="F311" s="153"/>
      <c r="G311" s="153"/>
      <c r="H311" s="153"/>
      <c r="I311" s="153"/>
      <c r="J311" s="153"/>
      <c r="K311" s="153"/>
      <c r="L311" s="153"/>
      <c r="M311" s="153"/>
      <c r="N311" s="153"/>
      <c r="O311" s="153"/>
      <c r="P311" s="153"/>
    </row>
    <row r="312" spans="1:16" x14ac:dyDescent="0.2">
      <c r="A312" s="58" t="str">
        <v/>
      </c>
      <c r="B312" s="131" t="str">
        <f>IFERROR(TIMEVALUE(DaqBook_RAW_Data!AG302),IFERROR(TIMEVALUE(DaqBook_RAW_Data!A302),""))</f>
        <v/>
      </c>
      <c r="C312" s="153"/>
      <c r="D312" s="153"/>
      <c r="E312" s="153"/>
      <c r="F312" s="153"/>
      <c r="G312" s="153"/>
      <c r="H312" s="153"/>
      <c r="I312" s="153"/>
      <c r="J312" s="153"/>
      <c r="K312" s="153"/>
      <c r="L312" s="153"/>
      <c r="M312" s="153"/>
      <c r="N312" s="153"/>
      <c r="O312" s="153"/>
      <c r="P312" s="153"/>
    </row>
    <row r="313" spans="1:16" x14ac:dyDescent="0.2">
      <c r="A313" s="58" t="str">
        <v/>
      </c>
      <c r="B313" s="131" t="str">
        <f>IFERROR(TIMEVALUE(DaqBook_RAW_Data!AG303),IFERROR(TIMEVALUE(DaqBook_RAW_Data!A303),""))</f>
        <v/>
      </c>
      <c r="C313" s="153"/>
      <c r="D313" s="153"/>
      <c r="E313" s="153"/>
      <c r="F313" s="153"/>
      <c r="G313" s="153"/>
      <c r="H313" s="153"/>
      <c r="I313" s="153"/>
      <c r="J313" s="153"/>
      <c r="K313" s="153"/>
      <c r="L313" s="153"/>
      <c r="M313" s="153"/>
      <c r="N313" s="153"/>
      <c r="O313" s="153"/>
      <c r="P313" s="153"/>
    </row>
    <row r="314" spans="1:16" x14ac:dyDescent="0.2">
      <c r="A314" s="58" t="str">
        <v/>
      </c>
      <c r="B314" s="131" t="str">
        <f>IFERROR(TIMEVALUE(DaqBook_RAW_Data!AG304),IFERROR(TIMEVALUE(DaqBook_RAW_Data!A304),""))</f>
        <v/>
      </c>
      <c r="C314" s="153"/>
      <c r="D314" s="153"/>
      <c r="E314" s="153"/>
      <c r="F314" s="153"/>
      <c r="G314" s="153"/>
      <c r="H314" s="153"/>
      <c r="I314" s="153"/>
      <c r="J314" s="153"/>
      <c r="K314" s="153"/>
      <c r="L314" s="153"/>
      <c r="M314" s="153"/>
      <c r="N314" s="153"/>
      <c r="O314" s="153"/>
      <c r="P314" s="153"/>
    </row>
    <row r="315" spans="1:16" x14ac:dyDescent="0.2">
      <c r="A315" s="58" t="str">
        <v/>
      </c>
      <c r="B315" s="131" t="str">
        <f>IFERROR(TIMEVALUE(DaqBook_RAW_Data!AG305),IFERROR(TIMEVALUE(DaqBook_RAW_Data!A305),""))</f>
        <v/>
      </c>
      <c r="C315" s="153"/>
      <c r="D315" s="153"/>
      <c r="E315" s="153"/>
      <c r="F315" s="153"/>
      <c r="G315" s="153"/>
      <c r="H315" s="153"/>
      <c r="I315" s="153"/>
      <c r="J315" s="153"/>
      <c r="K315" s="153"/>
      <c r="L315" s="153"/>
      <c r="M315" s="153"/>
      <c r="N315" s="153"/>
      <c r="O315" s="153"/>
      <c r="P315" s="153"/>
    </row>
    <row r="316" spans="1:16" x14ac:dyDescent="0.2">
      <c r="A316" s="58" t="str">
        <v/>
      </c>
      <c r="B316" s="131" t="str">
        <f>IFERROR(TIMEVALUE(DaqBook_RAW_Data!AG306),IFERROR(TIMEVALUE(DaqBook_RAW_Data!A306),""))</f>
        <v/>
      </c>
      <c r="C316" s="153"/>
      <c r="D316" s="153"/>
      <c r="E316" s="153"/>
      <c r="F316" s="153"/>
      <c r="G316" s="153"/>
      <c r="H316" s="153"/>
      <c r="I316" s="153"/>
      <c r="J316" s="153"/>
      <c r="K316" s="153"/>
      <c r="L316" s="153"/>
      <c r="M316" s="153"/>
      <c r="N316" s="153"/>
      <c r="O316" s="153"/>
      <c r="P316" s="153"/>
    </row>
    <row r="317" spans="1:16" x14ac:dyDescent="0.2">
      <c r="A317" s="58" t="str">
        <v/>
      </c>
      <c r="B317" s="131" t="str">
        <f>IFERROR(TIMEVALUE(DaqBook_RAW_Data!AG307),IFERROR(TIMEVALUE(DaqBook_RAW_Data!A307),""))</f>
        <v/>
      </c>
      <c r="C317" s="153"/>
      <c r="D317" s="153"/>
      <c r="E317" s="153"/>
      <c r="F317" s="153"/>
      <c r="G317" s="153"/>
      <c r="H317" s="153"/>
      <c r="I317" s="153"/>
      <c r="J317" s="153"/>
      <c r="K317" s="153"/>
      <c r="L317" s="153"/>
      <c r="M317" s="153"/>
      <c r="N317" s="153"/>
      <c r="O317" s="153"/>
      <c r="P317" s="153"/>
    </row>
    <row r="318" spans="1:16" x14ac:dyDescent="0.2">
      <c r="A318" s="58" t="str">
        <v/>
      </c>
      <c r="B318" s="131" t="str">
        <f>IFERROR(TIMEVALUE(DaqBook_RAW_Data!AG308),IFERROR(TIMEVALUE(DaqBook_RAW_Data!A308),""))</f>
        <v/>
      </c>
      <c r="C318" s="153"/>
      <c r="D318" s="153"/>
      <c r="E318" s="153"/>
      <c r="F318" s="153"/>
      <c r="G318" s="153"/>
      <c r="H318" s="153"/>
      <c r="I318" s="153"/>
      <c r="J318" s="153"/>
      <c r="K318" s="153"/>
      <c r="L318" s="153"/>
      <c r="M318" s="153"/>
      <c r="N318" s="153"/>
      <c r="O318" s="153"/>
      <c r="P318" s="153"/>
    </row>
    <row r="319" spans="1:16" x14ac:dyDescent="0.2">
      <c r="A319" s="58" t="str">
        <v/>
      </c>
      <c r="B319" s="131" t="str">
        <f>IFERROR(TIMEVALUE(DaqBook_RAW_Data!AG309),IFERROR(TIMEVALUE(DaqBook_RAW_Data!A309),""))</f>
        <v/>
      </c>
      <c r="C319" s="153"/>
      <c r="D319" s="153"/>
      <c r="E319" s="153"/>
      <c r="F319" s="153"/>
      <c r="G319" s="153"/>
      <c r="H319" s="153"/>
      <c r="I319" s="153"/>
      <c r="J319" s="153"/>
      <c r="K319" s="153"/>
      <c r="L319" s="153"/>
      <c r="M319" s="153"/>
      <c r="N319" s="153"/>
      <c r="O319" s="153"/>
      <c r="P319" s="153"/>
    </row>
    <row r="320" spans="1:16" x14ac:dyDescent="0.2">
      <c r="A320" s="58" t="str">
        <v/>
      </c>
      <c r="B320" s="131" t="str">
        <f>IFERROR(TIMEVALUE(DaqBook_RAW_Data!AG310),IFERROR(TIMEVALUE(DaqBook_RAW_Data!A310),""))</f>
        <v/>
      </c>
      <c r="C320" s="153"/>
      <c r="D320" s="153"/>
      <c r="E320" s="153"/>
      <c r="F320" s="153"/>
      <c r="G320" s="153"/>
      <c r="H320" s="153"/>
      <c r="I320" s="153"/>
      <c r="J320" s="153"/>
      <c r="K320" s="153"/>
      <c r="L320" s="153"/>
      <c r="M320" s="153"/>
      <c r="N320" s="153"/>
      <c r="O320" s="153"/>
      <c r="P320" s="153"/>
    </row>
    <row r="321" spans="1:16" x14ac:dyDescent="0.2">
      <c r="A321" s="58" t="str">
        <v/>
      </c>
      <c r="B321" s="131" t="str">
        <f>IFERROR(TIMEVALUE(DaqBook_RAW_Data!AG311),IFERROR(TIMEVALUE(DaqBook_RAW_Data!A311),""))</f>
        <v/>
      </c>
      <c r="C321" s="153"/>
      <c r="D321" s="153"/>
      <c r="E321" s="153"/>
      <c r="F321" s="153"/>
      <c r="G321" s="153"/>
      <c r="H321" s="153"/>
      <c r="I321" s="153"/>
      <c r="J321" s="153"/>
      <c r="K321" s="153"/>
      <c r="L321" s="153"/>
      <c r="M321" s="153"/>
      <c r="N321" s="153"/>
      <c r="O321" s="153"/>
      <c r="P321" s="153"/>
    </row>
    <row r="322" spans="1:16" x14ac:dyDescent="0.2">
      <c r="A322" s="58" t="str">
        <v/>
      </c>
      <c r="B322" s="131" t="str">
        <f>IFERROR(TIMEVALUE(DaqBook_RAW_Data!AG312),IFERROR(TIMEVALUE(DaqBook_RAW_Data!A312),""))</f>
        <v/>
      </c>
      <c r="C322" s="153"/>
      <c r="D322" s="153"/>
      <c r="E322" s="153"/>
      <c r="F322" s="153"/>
      <c r="G322" s="153"/>
      <c r="H322" s="153"/>
      <c r="I322" s="153"/>
      <c r="J322" s="153"/>
      <c r="K322" s="153"/>
      <c r="L322" s="153"/>
      <c r="M322" s="153"/>
      <c r="N322" s="153"/>
      <c r="O322" s="153"/>
      <c r="P322" s="153"/>
    </row>
    <row r="323" spans="1:16" x14ac:dyDescent="0.2">
      <c r="A323" s="58" t="str">
        <v/>
      </c>
      <c r="B323" s="131" t="str">
        <f>IFERROR(TIMEVALUE(DaqBook_RAW_Data!AG313),IFERROR(TIMEVALUE(DaqBook_RAW_Data!A313),""))</f>
        <v/>
      </c>
      <c r="C323" s="153"/>
      <c r="D323" s="153"/>
      <c r="E323" s="153"/>
      <c r="F323" s="153"/>
      <c r="G323" s="153"/>
      <c r="H323" s="153"/>
      <c r="I323" s="153"/>
      <c r="J323" s="153"/>
      <c r="K323" s="153"/>
      <c r="L323" s="153"/>
      <c r="M323" s="153"/>
      <c r="N323" s="153"/>
      <c r="O323" s="153"/>
      <c r="P323" s="153"/>
    </row>
    <row r="324" spans="1:16" x14ac:dyDescent="0.2">
      <c r="A324" s="58" t="str">
        <v/>
      </c>
      <c r="B324" s="131" t="str">
        <f>IFERROR(TIMEVALUE(DaqBook_RAW_Data!AG314),IFERROR(TIMEVALUE(DaqBook_RAW_Data!A314),""))</f>
        <v/>
      </c>
      <c r="C324" s="153"/>
      <c r="D324" s="153"/>
      <c r="E324" s="153"/>
      <c r="F324" s="153"/>
      <c r="G324" s="153"/>
      <c r="H324" s="153"/>
      <c r="I324" s="153"/>
      <c r="J324" s="153"/>
      <c r="K324" s="153"/>
      <c r="L324" s="153"/>
      <c r="M324" s="153"/>
      <c r="N324" s="153"/>
      <c r="O324" s="153"/>
      <c r="P324" s="153"/>
    </row>
    <row r="325" spans="1:16" x14ac:dyDescent="0.2">
      <c r="A325" s="58" t="str">
        <v/>
      </c>
      <c r="B325" s="131" t="str">
        <f>IFERROR(TIMEVALUE(DaqBook_RAW_Data!AG315),IFERROR(TIMEVALUE(DaqBook_RAW_Data!A315),""))</f>
        <v/>
      </c>
      <c r="C325" s="153"/>
      <c r="D325" s="153"/>
      <c r="E325" s="153"/>
      <c r="F325" s="153"/>
      <c r="G325" s="153"/>
      <c r="H325" s="153"/>
      <c r="I325" s="153"/>
      <c r="J325" s="153"/>
      <c r="K325" s="153"/>
      <c r="L325" s="153"/>
      <c r="M325" s="153"/>
      <c r="N325" s="153"/>
      <c r="O325" s="153"/>
      <c r="P325" s="153"/>
    </row>
    <row r="326" spans="1:16" x14ac:dyDescent="0.2">
      <c r="A326" s="58" t="str">
        <v/>
      </c>
      <c r="B326" s="131" t="str">
        <f>IFERROR(TIMEVALUE(DaqBook_RAW_Data!AG316),IFERROR(TIMEVALUE(DaqBook_RAW_Data!A316),""))</f>
        <v/>
      </c>
      <c r="C326" s="153"/>
      <c r="D326" s="153"/>
      <c r="E326" s="153"/>
      <c r="F326" s="153"/>
      <c r="G326" s="153"/>
      <c r="H326" s="153"/>
      <c r="I326" s="153"/>
      <c r="J326" s="153"/>
      <c r="K326" s="153"/>
      <c r="L326" s="153"/>
      <c r="M326" s="153"/>
      <c r="N326" s="153"/>
      <c r="O326" s="153"/>
      <c r="P326" s="153"/>
    </row>
    <row r="327" spans="1:16" x14ac:dyDescent="0.2">
      <c r="A327" s="58" t="str">
        <v/>
      </c>
      <c r="B327" s="131" t="str">
        <f>IFERROR(TIMEVALUE(DaqBook_RAW_Data!AG317),IFERROR(TIMEVALUE(DaqBook_RAW_Data!A317),""))</f>
        <v/>
      </c>
      <c r="C327" s="153"/>
      <c r="D327" s="153"/>
      <c r="E327" s="153"/>
      <c r="F327" s="153"/>
      <c r="G327" s="153"/>
      <c r="H327" s="153"/>
      <c r="I327" s="153"/>
      <c r="J327" s="153"/>
      <c r="K327" s="153"/>
      <c r="L327" s="153"/>
      <c r="M327" s="153"/>
      <c r="N327" s="153"/>
      <c r="O327" s="153"/>
      <c r="P327" s="153"/>
    </row>
    <row r="328" spans="1:16" x14ac:dyDescent="0.2">
      <c r="A328" s="58" t="str">
        <v/>
      </c>
      <c r="B328" s="131" t="str">
        <f>IFERROR(TIMEVALUE(DaqBook_RAW_Data!AG318),IFERROR(TIMEVALUE(DaqBook_RAW_Data!A318),""))</f>
        <v/>
      </c>
      <c r="C328" s="153"/>
      <c r="D328" s="153"/>
      <c r="E328" s="153"/>
      <c r="F328" s="153"/>
      <c r="G328" s="153"/>
      <c r="H328" s="153"/>
      <c r="I328" s="153"/>
      <c r="J328" s="153"/>
      <c r="K328" s="153"/>
      <c r="L328" s="153"/>
      <c r="M328" s="153"/>
      <c r="N328" s="153"/>
      <c r="O328" s="153"/>
      <c r="P328" s="153"/>
    </row>
    <row r="329" spans="1:16" x14ac:dyDescent="0.2">
      <c r="A329" s="58" t="str">
        <v/>
      </c>
      <c r="B329" s="131" t="str">
        <f>IFERROR(TIMEVALUE(DaqBook_RAW_Data!AG319),IFERROR(TIMEVALUE(DaqBook_RAW_Data!A319),""))</f>
        <v/>
      </c>
      <c r="C329" s="153"/>
      <c r="D329" s="153"/>
      <c r="E329" s="153"/>
      <c r="F329" s="153"/>
      <c r="G329" s="153"/>
      <c r="H329" s="153"/>
      <c r="I329" s="153"/>
      <c r="J329" s="153"/>
      <c r="K329" s="153"/>
      <c r="L329" s="153"/>
      <c r="M329" s="153"/>
      <c r="N329" s="153"/>
      <c r="O329" s="153"/>
      <c r="P329" s="153"/>
    </row>
    <row r="330" spans="1:16" x14ac:dyDescent="0.2">
      <c r="A330" s="58" t="str">
        <v/>
      </c>
      <c r="B330" s="131" t="str">
        <f>IFERROR(TIMEVALUE(DaqBook_RAW_Data!AG320),IFERROR(TIMEVALUE(DaqBook_RAW_Data!A320),""))</f>
        <v/>
      </c>
      <c r="C330" s="153"/>
      <c r="D330" s="153"/>
      <c r="E330" s="153"/>
      <c r="F330" s="153"/>
      <c r="G330" s="153"/>
      <c r="H330" s="153"/>
      <c r="I330" s="153"/>
      <c r="J330" s="153"/>
      <c r="K330" s="153"/>
      <c r="L330" s="153"/>
      <c r="M330" s="153"/>
      <c r="N330" s="153"/>
      <c r="O330" s="153"/>
      <c r="P330" s="153"/>
    </row>
    <row r="331" spans="1:16" x14ac:dyDescent="0.2">
      <c r="A331" s="58" t="str">
        <v/>
      </c>
      <c r="B331" s="131" t="str">
        <f>IFERROR(TIMEVALUE(DaqBook_RAW_Data!AG321),IFERROR(TIMEVALUE(DaqBook_RAW_Data!A321),""))</f>
        <v/>
      </c>
      <c r="C331" s="153"/>
      <c r="D331" s="153"/>
      <c r="E331" s="153"/>
      <c r="F331" s="153"/>
      <c r="G331" s="153"/>
      <c r="H331" s="153"/>
      <c r="I331" s="153"/>
      <c r="J331" s="153"/>
      <c r="K331" s="153"/>
      <c r="L331" s="153"/>
      <c r="M331" s="153"/>
      <c r="N331" s="153"/>
      <c r="O331" s="153"/>
      <c r="P331" s="153"/>
    </row>
    <row r="332" spans="1:16" x14ac:dyDescent="0.2">
      <c r="A332" s="58" t="str">
        <v/>
      </c>
      <c r="B332" s="131" t="str">
        <f>IFERROR(TIMEVALUE(DaqBook_RAW_Data!AG322),IFERROR(TIMEVALUE(DaqBook_RAW_Data!A322),""))</f>
        <v/>
      </c>
      <c r="C332" s="153"/>
      <c r="D332" s="153"/>
      <c r="E332" s="153"/>
      <c r="F332" s="153"/>
      <c r="G332" s="153"/>
      <c r="H332" s="153"/>
      <c r="I332" s="153"/>
      <c r="J332" s="153"/>
      <c r="K332" s="153"/>
      <c r="L332" s="153"/>
      <c r="M332" s="153"/>
      <c r="N332" s="153"/>
      <c r="O332" s="153"/>
      <c r="P332" s="153"/>
    </row>
    <row r="333" spans="1:16" x14ac:dyDescent="0.2">
      <c r="A333" s="58" t="str">
        <v/>
      </c>
      <c r="B333" s="131" t="str">
        <f>IFERROR(TIMEVALUE(DaqBook_RAW_Data!AG323),IFERROR(TIMEVALUE(DaqBook_RAW_Data!A323),""))</f>
        <v/>
      </c>
      <c r="C333" s="153"/>
      <c r="D333" s="153"/>
      <c r="E333" s="153"/>
      <c r="F333" s="153"/>
      <c r="G333" s="153"/>
      <c r="H333" s="153"/>
      <c r="I333" s="153"/>
      <c r="J333" s="153"/>
      <c r="K333" s="153"/>
      <c r="L333" s="153"/>
      <c r="M333" s="153"/>
      <c r="N333" s="153"/>
      <c r="O333" s="153"/>
      <c r="P333" s="153"/>
    </row>
    <row r="334" spans="1:16" x14ac:dyDescent="0.2">
      <c r="A334" s="58" t="str">
        <v/>
      </c>
      <c r="B334" s="131" t="str">
        <f>IFERROR(TIMEVALUE(DaqBook_RAW_Data!AG324),IFERROR(TIMEVALUE(DaqBook_RAW_Data!A324),""))</f>
        <v/>
      </c>
      <c r="C334" s="153"/>
      <c r="D334" s="153"/>
      <c r="E334" s="153"/>
      <c r="F334" s="153"/>
      <c r="G334" s="153"/>
      <c r="H334" s="153"/>
      <c r="I334" s="153"/>
      <c r="J334" s="153"/>
      <c r="K334" s="153"/>
      <c r="L334" s="153"/>
      <c r="M334" s="153"/>
      <c r="N334" s="153"/>
      <c r="O334" s="153"/>
      <c r="P334" s="153"/>
    </row>
    <row r="335" spans="1:16" x14ac:dyDescent="0.2">
      <c r="A335" s="58" t="str">
        <v/>
      </c>
      <c r="B335" s="131" t="str">
        <f>IFERROR(TIMEVALUE(DaqBook_RAW_Data!AG325),IFERROR(TIMEVALUE(DaqBook_RAW_Data!A325),""))</f>
        <v/>
      </c>
      <c r="C335" s="153"/>
      <c r="D335" s="153"/>
      <c r="E335" s="153"/>
      <c r="F335" s="153"/>
      <c r="G335" s="153"/>
      <c r="H335" s="153"/>
      <c r="I335" s="153"/>
      <c r="J335" s="153"/>
      <c r="K335" s="153"/>
      <c r="L335" s="153"/>
      <c r="M335" s="153"/>
      <c r="N335" s="153"/>
      <c r="O335" s="153"/>
      <c r="P335" s="153"/>
    </row>
    <row r="336" spans="1:16" x14ac:dyDescent="0.2">
      <c r="A336" s="58" t="str">
        <v/>
      </c>
      <c r="B336" s="131" t="str">
        <f>IFERROR(TIMEVALUE(DaqBook_RAW_Data!AG326),IFERROR(TIMEVALUE(DaqBook_RAW_Data!A326),""))</f>
        <v/>
      </c>
      <c r="C336" s="153"/>
      <c r="D336" s="153"/>
      <c r="E336" s="153"/>
      <c r="F336" s="153"/>
      <c r="G336" s="153"/>
      <c r="H336" s="153"/>
      <c r="I336" s="153"/>
      <c r="J336" s="153"/>
      <c r="K336" s="153"/>
      <c r="L336" s="153"/>
      <c r="M336" s="153"/>
      <c r="N336" s="153"/>
      <c r="O336" s="153"/>
      <c r="P336" s="153"/>
    </row>
    <row r="337" spans="1:16" x14ac:dyDescent="0.2">
      <c r="A337" s="58" t="str">
        <v/>
      </c>
      <c r="B337" s="131" t="str">
        <f>IFERROR(TIMEVALUE(DaqBook_RAW_Data!AG327),IFERROR(TIMEVALUE(DaqBook_RAW_Data!A327),""))</f>
        <v/>
      </c>
      <c r="C337" s="153"/>
      <c r="D337" s="153"/>
      <c r="E337" s="153"/>
      <c r="F337" s="153"/>
      <c r="G337" s="153"/>
      <c r="H337" s="153"/>
      <c r="I337" s="153"/>
      <c r="J337" s="153"/>
      <c r="K337" s="153"/>
      <c r="L337" s="153"/>
      <c r="M337" s="153"/>
      <c r="N337" s="153"/>
      <c r="O337" s="153"/>
      <c r="P337" s="153"/>
    </row>
    <row r="338" spans="1:16" x14ac:dyDescent="0.2">
      <c r="A338" s="58" t="str">
        <v/>
      </c>
      <c r="B338" s="131" t="str">
        <f>IFERROR(TIMEVALUE(DaqBook_RAW_Data!AG328),IFERROR(TIMEVALUE(DaqBook_RAW_Data!A328),""))</f>
        <v/>
      </c>
      <c r="C338" s="153"/>
      <c r="D338" s="153"/>
      <c r="E338" s="153"/>
      <c r="F338" s="153"/>
      <c r="G338" s="153"/>
      <c r="H338" s="153"/>
      <c r="I338" s="153"/>
      <c r="J338" s="153"/>
      <c r="K338" s="153"/>
      <c r="L338" s="153"/>
      <c r="M338" s="153"/>
      <c r="N338" s="153"/>
      <c r="O338" s="153"/>
      <c r="P338" s="153"/>
    </row>
    <row r="339" spans="1:16" x14ac:dyDescent="0.2">
      <c r="A339" s="58" t="str">
        <v/>
      </c>
      <c r="B339" s="131" t="str">
        <f>IFERROR(TIMEVALUE(DaqBook_RAW_Data!AG329),IFERROR(TIMEVALUE(DaqBook_RAW_Data!A329),""))</f>
        <v/>
      </c>
      <c r="C339" s="153"/>
      <c r="D339" s="153"/>
      <c r="E339" s="153"/>
      <c r="F339" s="153"/>
      <c r="G339" s="153"/>
      <c r="H339" s="153"/>
      <c r="I339" s="153"/>
      <c r="J339" s="153"/>
      <c r="K339" s="153"/>
      <c r="L339" s="153"/>
      <c r="M339" s="153"/>
      <c r="N339" s="153"/>
      <c r="O339" s="153"/>
      <c r="P339" s="153"/>
    </row>
    <row r="340" spans="1:16" x14ac:dyDescent="0.2">
      <c r="A340" s="58" t="str">
        <v/>
      </c>
      <c r="B340" s="131" t="str">
        <f>IFERROR(TIMEVALUE(DaqBook_RAW_Data!AG330),IFERROR(TIMEVALUE(DaqBook_RAW_Data!A330),""))</f>
        <v/>
      </c>
      <c r="C340" s="153"/>
      <c r="D340" s="153"/>
      <c r="E340" s="153"/>
      <c r="F340" s="153"/>
      <c r="G340" s="153"/>
      <c r="H340" s="153"/>
      <c r="I340" s="153"/>
      <c r="J340" s="153"/>
      <c r="K340" s="153"/>
      <c r="L340" s="153"/>
      <c r="M340" s="153"/>
      <c r="N340" s="153"/>
      <c r="O340" s="153"/>
      <c r="P340" s="153"/>
    </row>
    <row r="341" spans="1:16" x14ac:dyDescent="0.2">
      <c r="A341" s="58" t="str">
        <v/>
      </c>
      <c r="B341" s="131" t="str">
        <f>IFERROR(TIMEVALUE(DaqBook_RAW_Data!AG331),IFERROR(TIMEVALUE(DaqBook_RAW_Data!A331),""))</f>
        <v/>
      </c>
      <c r="C341" s="153"/>
      <c r="D341" s="153"/>
      <c r="E341" s="153"/>
      <c r="F341" s="153"/>
      <c r="G341" s="153"/>
      <c r="H341" s="153"/>
      <c r="I341" s="153"/>
      <c r="J341" s="153"/>
      <c r="K341" s="153"/>
      <c r="L341" s="153"/>
      <c r="M341" s="153"/>
      <c r="N341" s="153"/>
      <c r="O341" s="153"/>
      <c r="P341" s="153"/>
    </row>
    <row r="342" spans="1:16" x14ac:dyDescent="0.2">
      <c r="A342" s="58" t="str">
        <v/>
      </c>
      <c r="B342" s="131" t="str">
        <f>IFERROR(TIMEVALUE(DaqBook_RAW_Data!AG332),IFERROR(TIMEVALUE(DaqBook_RAW_Data!A332),""))</f>
        <v/>
      </c>
      <c r="C342" s="153"/>
      <c r="D342" s="153"/>
      <c r="E342" s="153"/>
      <c r="F342" s="153"/>
      <c r="G342" s="153"/>
      <c r="H342" s="153"/>
      <c r="I342" s="153"/>
      <c r="J342" s="153"/>
      <c r="K342" s="153"/>
      <c r="L342" s="153"/>
      <c r="M342" s="153"/>
      <c r="N342" s="153"/>
      <c r="O342" s="153"/>
      <c r="P342" s="153"/>
    </row>
    <row r="343" spans="1:16" x14ac:dyDescent="0.2">
      <c r="A343" s="58" t="str">
        <v/>
      </c>
      <c r="B343" s="131" t="str">
        <f>IFERROR(TIMEVALUE(DaqBook_RAW_Data!AG333),IFERROR(TIMEVALUE(DaqBook_RAW_Data!A333),""))</f>
        <v/>
      </c>
      <c r="C343" s="153"/>
      <c r="D343" s="153"/>
      <c r="E343" s="153"/>
      <c r="F343" s="153"/>
      <c r="G343" s="153"/>
      <c r="H343" s="153"/>
      <c r="I343" s="153"/>
      <c r="J343" s="153"/>
      <c r="K343" s="153"/>
      <c r="L343" s="153"/>
      <c r="M343" s="153"/>
      <c r="N343" s="153"/>
      <c r="O343" s="153"/>
      <c r="P343" s="153"/>
    </row>
    <row r="344" spans="1:16" x14ac:dyDescent="0.2">
      <c r="A344" s="58" t="str">
        <v/>
      </c>
      <c r="B344" s="131" t="str">
        <f>IFERROR(TIMEVALUE(DaqBook_RAW_Data!AG334),IFERROR(TIMEVALUE(DaqBook_RAW_Data!A334),""))</f>
        <v/>
      </c>
      <c r="C344" s="153"/>
      <c r="D344" s="153"/>
      <c r="E344" s="153"/>
      <c r="F344" s="153"/>
      <c r="G344" s="153"/>
      <c r="H344" s="153"/>
      <c r="I344" s="153"/>
      <c r="J344" s="153"/>
      <c r="K344" s="153"/>
      <c r="L344" s="153"/>
      <c r="M344" s="153"/>
      <c r="N344" s="153"/>
      <c r="O344" s="153"/>
      <c r="P344" s="153"/>
    </row>
    <row r="345" spans="1:16" x14ac:dyDescent="0.2">
      <c r="A345" s="58" t="str">
        <v/>
      </c>
      <c r="B345" s="131" t="str">
        <f>IFERROR(TIMEVALUE(DaqBook_RAW_Data!AG335),IFERROR(TIMEVALUE(DaqBook_RAW_Data!A335),""))</f>
        <v/>
      </c>
      <c r="C345" s="153"/>
      <c r="D345" s="153"/>
      <c r="E345" s="153"/>
      <c r="F345" s="153"/>
      <c r="G345" s="153"/>
      <c r="H345" s="153"/>
      <c r="I345" s="153"/>
      <c r="J345" s="153"/>
      <c r="K345" s="153"/>
      <c r="L345" s="153"/>
      <c r="M345" s="153"/>
      <c r="N345" s="153"/>
      <c r="O345" s="153"/>
      <c r="P345" s="153"/>
    </row>
    <row r="346" spans="1:16" x14ac:dyDescent="0.2">
      <c r="A346" s="58" t="str">
        <v/>
      </c>
      <c r="B346" s="131" t="str">
        <f>IFERROR(TIMEVALUE(DaqBook_RAW_Data!AG336),IFERROR(TIMEVALUE(DaqBook_RAW_Data!A336),""))</f>
        <v/>
      </c>
      <c r="C346" s="153"/>
      <c r="D346" s="153"/>
      <c r="E346" s="153"/>
      <c r="F346" s="153"/>
      <c r="G346" s="153"/>
      <c r="H346" s="153"/>
      <c r="I346" s="153"/>
      <c r="J346" s="153"/>
      <c r="K346" s="153"/>
      <c r="L346" s="153"/>
      <c r="M346" s="153"/>
      <c r="N346" s="153"/>
      <c r="O346" s="153"/>
      <c r="P346" s="153"/>
    </row>
    <row r="347" spans="1:16" x14ac:dyDescent="0.2">
      <c r="A347" s="58" t="str">
        <v/>
      </c>
      <c r="B347" s="131" t="str">
        <f>IFERROR(TIMEVALUE(DaqBook_RAW_Data!AG337),IFERROR(TIMEVALUE(DaqBook_RAW_Data!A337),""))</f>
        <v/>
      </c>
      <c r="C347" s="153"/>
      <c r="D347" s="153"/>
      <c r="E347" s="153"/>
      <c r="F347" s="153"/>
      <c r="G347" s="153"/>
      <c r="H347" s="153"/>
      <c r="I347" s="153"/>
      <c r="J347" s="153"/>
      <c r="K347" s="153"/>
      <c r="L347" s="153"/>
      <c r="M347" s="153"/>
      <c r="N347" s="153"/>
      <c r="O347" s="153"/>
      <c r="P347" s="153"/>
    </row>
    <row r="348" spans="1:16" x14ac:dyDescent="0.2">
      <c r="A348" s="58" t="str">
        <v/>
      </c>
      <c r="B348" s="131" t="str">
        <f>IFERROR(TIMEVALUE(DaqBook_RAW_Data!AG338),IFERROR(TIMEVALUE(DaqBook_RAW_Data!A338),""))</f>
        <v/>
      </c>
      <c r="C348" s="153"/>
      <c r="D348" s="153"/>
      <c r="E348" s="153"/>
      <c r="F348" s="153"/>
      <c r="G348" s="153"/>
      <c r="H348" s="153"/>
      <c r="I348" s="153"/>
      <c r="J348" s="153"/>
      <c r="K348" s="153"/>
      <c r="L348" s="153"/>
      <c r="M348" s="153"/>
      <c r="N348" s="153"/>
      <c r="O348" s="153"/>
      <c r="P348" s="153"/>
    </row>
    <row r="349" spans="1:16" x14ac:dyDescent="0.2">
      <c r="A349" s="58" t="str">
        <v/>
      </c>
      <c r="B349" s="131" t="str">
        <f>IFERROR(TIMEVALUE(DaqBook_RAW_Data!AG339),IFERROR(TIMEVALUE(DaqBook_RAW_Data!A339),""))</f>
        <v/>
      </c>
      <c r="C349" s="153"/>
      <c r="D349" s="153"/>
      <c r="E349" s="153"/>
      <c r="F349" s="153"/>
      <c r="G349" s="153"/>
      <c r="H349" s="153"/>
      <c r="I349" s="153"/>
      <c r="J349" s="153"/>
      <c r="K349" s="153"/>
      <c r="L349" s="153"/>
      <c r="M349" s="153"/>
      <c r="N349" s="153"/>
      <c r="O349" s="153"/>
      <c r="P349" s="153"/>
    </row>
    <row r="350" spans="1:16" x14ac:dyDescent="0.2">
      <c r="A350" s="58" t="str">
        <v/>
      </c>
      <c r="B350" s="131" t="str">
        <f>IFERROR(TIMEVALUE(DaqBook_RAW_Data!AG340),IFERROR(TIMEVALUE(DaqBook_RAW_Data!A340),""))</f>
        <v/>
      </c>
      <c r="C350" s="153"/>
      <c r="D350" s="153"/>
      <c r="E350" s="153"/>
      <c r="F350" s="153"/>
      <c r="G350" s="153"/>
      <c r="H350" s="153"/>
      <c r="I350" s="153"/>
      <c r="J350" s="153"/>
      <c r="K350" s="153"/>
      <c r="L350" s="153"/>
      <c r="M350" s="153"/>
      <c r="N350" s="153"/>
      <c r="O350" s="153"/>
      <c r="P350" s="153"/>
    </row>
    <row r="351" spans="1:16" x14ac:dyDescent="0.2">
      <c r="A351" s="58" t="str">
        <v/>
      </c>
      <c r="B351" s="131" t="str">
        <f>IFERROR(TIMEVALUE(DaqBook_RAW_Data!AG341),IFERROR(TIMEVALUE(DaqBook_RAW_Data!A341),""))</f>
        <v/>
      </c>
      <c r="C351" s="153"/>
      <c r="D351" s="153"/>
      <c r="E351" s="153"/>
      <c r="F351" s="153"/>
      <c r="G351" s="153"/>
      <c r="H351" s="153"/>
      <c r="I351" s="153"/>
      <c r="J351" s="153"/>
      <c r="K351" s="153"/>
      <c r="L351" s="153"/>
      <c r="M351" s="153"/>
      <c r="N351" s="153"/>
      <c r="O351" s="153"/>
      <c r="P351" s="153"/>
    </row>
    <row r="352" spans="1:16" x14ac:dyDescent="0.2">
      <c r="A352" s="58" t="str">
        <v/>
      </c>
      <c r="B352" s="131" t="str">
        <f>IFERROR(TIMEVALUE(DaqBook_RAW_Data!AG342),IFERROR(TIMEVALUE(DaqBook_RAW_Data!A342),""))</f>
        <v/>
      </c>
      <c r="C352" s="153"/>
      <c r="D352" s="153"/>
      <c r="E352" s="153"/>
      <c r="F352" s="153"/>
      <c r="G352" s="153"/>
      <c r="H352" s="153"/>
      <c r="I352" s="153"/>
      <c r="J352" s="153"/>
      <c r="K352" s="153"/>
      <c r="L352" s="153"/>
      <c r="M352" s="153"/>
      <c r="N352" s="153"/>
      <c r="O352" s="153"/>
      <c r="P352" s="153"/>
    </row>
    <row r="353" spans="1:16" x14ac:dyDescent="0.2">
      <c r="A353" s="58" t="str">
        <v/>
      </c>
      <c r="B353" s="131" t="str">
        <f>IFERROR(TIMEVALUE(DaqBook_RAW_Data!AG343),IFERROR(TIMEVALUE(DaqBook_RAW_Data!A343),""))</f>
        <v/>
      </c>
      <c r="C353" s="153"/>
      <c r="D353" s="153"/>
      <c r="E353" s="153"/>
      <c r="F353" s="153"/>
      <c r="G353" s="153"/>
      <c r="H353" s="153"/>
      <c r="I353" s="153"/>
      <c r="J353" s="153"/>
      <c r="K353" s="153"/>
      <c r="L353" s="153"/>
      <c r="M353" s="153"/>
      <c r="N353" s="153"/>
      <c r="O353" s="153"/>
      <c r="P353" s="153"/>
    </row>
    <row r="354" spans="1:16" x14ac:dyDescent="0.2">
      <c r="A354" s="58" t="str">
        <v/>
      </c>
      <c r="B354" s="131" t="str">
        <f>IFERROR(TIMEVALUE(DaqBook_RAW_Data!AG344),IFERROR(TIMEVALUE(DaqBook_RAW_Data!A344),""))</f>
        <v/>
      </c>
      <c r="C354" s="153"/>
      <c r="D354" s="153"/>
      <c r="E354" s="153"/>
      <c r="F354" s="153"/>
      <c r="G354" s="153"/>
      <c r="H354" s="153"/>
      <c r="I354" s="153"/>
      <c r="J354" s="153"/>
      <c r="K354" s="153"/>
      <c r="L354" s="153"/>
      <c r="M354" s="153"/>
      <c r="N354" s="153"/>
      <c r="O354" s="153"/>
      <c r="P354" s="153"/>
    </row>
    <row r="355" spans="1:16" x14ac:dyDescent="0.2">
      <c r="A355" s="58" t="str">
        <v/>
      </c>
      <c r="B355" s="131" t="str">
        <f>IFERROR(TIMEVALUE(DaqBook_RAW_Data!AG345),IFERROR(TIMEVALUE(DaqBook_RAW_Data!A345),""))</f>
        <v/>
      </c>
      <c r="C355" s="153"/>
      <c r="D355" s="153"/>
      <c r="E355" s="153"/>
      <c r="F355" s="153"/>
      <c r="G355" s="153"/>
      <c r="H355" s="153"/>
      <c r="I355" s="153"/>
      <c r="J355" s="153"/>
      <c r="K355" s="153"/>
      <c r="L355" s="153"/>
      <c r="M355" s="153"/>
      <c r="N355" s="153"/>
      <c r="O355" s="153"/>
      <c r="P355" s="153"/>
    </row>
    <row r="356" spans="1:16" x14ac:dyDescent="0.2">
      <c r="A356" s="58" t="str">
        <v/>
      </c>
      <c r="B356" s="131" t="str">
        <f>IFERROR(TIMEVALUE(DaqBook_RAW_Data!AG346),IFERROR(TIMEVALUE(DaqBook_RAW_Data!A346),""))</f>
        <v/>
      </c>
      <c r="C356" s="153"/>
      <c r="D356" s="153"/>
      <c r="E356" s="153"/>
      <c r="F356" s="153"/>
      <c r="G356" s="153"/>
      <c r="H356" s="153"/>
      <c r="I356" s="153"/>
      <c r="J356" s="153"/>
      <c r="K356" s="153"/>
      <c r="L356" s="153"/>
      <c r="M356" s="153"/>
      <c r="N356" s="153"/>
      <c r="O356" s="153"/>
      <c r="P356" s="153"/>
    </row>
    <row r="357" spans="1:16" x14ac:dyDescent="0.2">
      <c r="A357" s="58" t="str">
        <v/>
      </c>
      <c r="B357" s="131" t="str">
        <f>IFERROR(TIMEVALUE(DaqBook_RAW_Data!AG347),IFERROR(TIMEVALUE(DaqBook_RAW_Data!A347),""))</f>
        <v/>
      </c>
      <c r="C357" s="153"/>
      <c r="D357" s="153"/>
      <c r="E357" s="153"/>
      <c r="F357" s="153"/>
      <c r="G357" s="153"/>
      <c r="H357" s="153"/>
      <c r="I357" s="153"/>
      <c r="J357" s="153"/>
      <c r="K357" s="153"/>
      <c r="L357" s="153"/>
      <c r="M357" s="153"/>
      <c r="N357" s="153"/>
      <c r="O357" s="153"/>
      <c r="P357" s="153"/>
    </row>
    <row r="358" spans="1:16" x14ac:dyDescent="0.2">
      <c r="A358" s="58" t="str">
        <v/>
      </c>
      <c r="B358" s="131" t="str">
        <f>IFERROR(TIMEVALUE(DaqBook_RAW_Data!AG348),IFERROR(TIMEVALUE(DaqBook_RAW_Data!A348),""))</f>
        <v/>
      </c>
      <c r="C358" s="153"/>
      <c r="D358" s="153"/>
      <c r="E358" s="153"/>
      <c r="F358" s="153"/>
      <c r="G358" s="153"/>
      <c r="H358" s="153"/>
      <c r="I358" s="153"/>
      <c r="J358" s="153"/>
      <c r="K358" s="153"/>
      <c r="L358" s="153"/>
      <c r="M358" s="153"/>
      <c r="N358" s="153"/>
      <c r="O358" s="153"/>
      <c r="P358" s="153"/>
    </row>
    <row r="359" spans="1:16" x14ac:dyDescent="0.2">
      <c r="A359" s="58" t="str">
        <v/>
      </c>
      <c r="B359" s="131" t="str">
        <f>IFERROR(TIMEVALUE(DaqBook_RAW_Data!AG349),IFERROR(TIMEVALUE(DaqBook_RAW_Data!A349),""))</f>
        <v/>
      </c>
      <c r="C359" s="153"/>
      <c r="D359" s="153"/>
      <c r="E359" s="153"/>
      <c r="F359" s="153"/>
      <c r="G359" s="153"/>
      <c r="H359" s="153"/>
      <c r="I359" s="153"/>
      <c r="J359" s="153"/>
      <c r="K359" s="153"/>
      <c r="L359" s="153"/>
      <c r="M359" s="153"/>
      <c r="N359" s="153"/>
      <c r="O359" s="153"/>
      <c r="P359" s="153"/>
    </row>
    <row r="360" spans="1:16" x14ac:dyDescent="0.2">
      <c r="A360" s="58" t="str">
        <v/>
      </c>
      <c r="B360" s="131" t="str">
        <f>IFERROR(TIMEVALUE(DaqBook_RAW_Data!AG350),IFERROR(TIMEVALUE(DaqBook_RAW_Data!A350),""))</f>
        <v/>
      </c>
      <c r="C360" s="153"/>
      <c r="D360" s="153"/>
      <c r="E360" s="153"/>
      <c r="F360" s="153"/>
      <c r="G360" s="153"/>
      <c r="H360" s="153"/>
      <c r="I360" s="153"/>
      <c r="J360" s="153"/>
      <c r="K360" s="153"/>
      <c r="L360" s="153"/>
      <c r="M360" s="153"/>
      <c r="N360" s="153"/>
      <c r="O360" s="153"/>
      <c r="P360" s="153"/>
    </row>
    <row r="361" spans="1:16" x14ac:dyDescent="0.2">
      <c r="A361" s="58" t="str">
        <v/>
      </c>
      <c r="B361" s="131" t="str">
        <f>IFERROR(TIMEVALUE(DaqBook_RAW_Data!AG351),IFERROR(TIMEVALUE(DaqBook_RAW_Data!A351),""))</f>
        <v/>
      </c>
      <c r="C361" s="153"/>
      <c r="D361" s="153"/>
      <c r="E361" s="153"/>
      <c r="F361" s="153"/>
      <c r="G361" s="153"/>
      <c r="H361" s="153"/>
      <c r="I361" s="153"/>
      <c r="J361" s="153"/>
      <c r="K361" s="153"/>
      <c r="L361" s="153"/>
      <c r="M361" s="153"/>
      <c r="N361" s="153"/>
      <c r="O361" s="153"/>
      <c r="P361" s="153"/>
    </row>
    <row r="362" spans="1:16" x14ac:dyDescent="0.2">
      <c r="A362" s="58" t="str">
        <v/>
      </c>
      <c r="B362" s="131" t="str">
        <f>IFERROR(TIMEVALUE(DaqBook_RAW_Data!AG352),IFERROR(TIMEVALUE(DaqBook_RAW_Data!A352),""))</f>
        <v/>
      </c>
      <c r="C362" s="153"/>
      <c r="D362" s="153"/>
      <c r="E362" s="153"/>
      <c r="F362" s="153"/>
      <c r="G362" s="153"/>
      <c r="H362" s="153"/>
      <c r="I362" s="153"/>
      <c r="J362" s="153"/>
      <c r="K362" s="153"/>
      <c r="L362" s="153"/>
      <c r="M362" s="153"/>
      <c r="N362" s="153"/>
      <c r="O362" s="153"/>
      <c r="P362" s="153"/>
    </row>
    <row r="363" spans="1:16" x14ac:dyDescent="0.2">
      <c r="A363" s="58" t="str">
        <v/>
      </c>
      <c r="B363" s="131" t="str">
        <f>IFERROR(TIMEVALUE(DaqBook_RAW_Data!AG353),IFERROR(TIMEVALUE(DaqBook_RAW_Data!A353),""))</f>
        <v/>
      </c>
      <c r="C363" s="153"/>
      <c r="D363" s="153"/>
      <c r="E363" s="153"/>
      <c r="F363" s="153"/>
      <c r="G363" s="153"/>
      <c r="H363" s="153"/>
      <c r="I363" s="153"/>
      <c r="J363" s="153"/>
      <c r="K363" s="153"/>
      <c r="L363" s="153"/>
      <c r="M363" s="153"/>
      <c r="N363" s="153"/>
      <c r="O363" s="153"/>
      <c r="P363" s="153"/>
    </row>
    <row r="364" spans="1:16" x14ac:dyDescent="0.2">
      <c r="A364" s="58" t="str">
        <v/>
      </c>
      <c r="B364" s="131" t="str">
        <f>IFERROR(TIMEVALUE(DaqBook_RAW_Data!AG354),IFERROR(TIMEVALUE(DaqBook_RAW_Data!A354),""))</f>
        <v/>
      </c>
      <c r="C364" s="153"/>
      <c r="D364" s="153"/>
      <c r="E364" s="153"/>
      <c r="F364" s="153"/>
      <c r="G364" s="153"/>
      <c r="H364" s="153"/>
      <c r="I364" s="153"/>
      <c r="J364" s="153"/>
      <c r="K364" s="153"/>
      <c r="L364" s="153"/>
      <c r="M364" s="153"/>
      <c r="N364" s="153"/>
      <c r="O364" s="153"/>
      <c r="P364" s="153"/>
    </row>
    <row r="365" spans="1:16" x14ac:dyDescent="0.2">
      <c r="A365" s="58" t="str">
        <v/>
      </c>
      <c r="B365" s="131" t="str">
        <f>IFERROR(TIMEVALUE(DaqBook_RAW_Data!AG355),IFERROR(TIMEVALUE(DaqBook_RAW_Data!A355),""))</f>
        <v/>
      </c>
      <c r="C365" s="153"/>
      <c r="D365" s="153"/>
      <c r="E365" s="153"/>
      <c r="F365" s="153"/>
      <c r="G365" s="153"/>
      <c r="H365" s="153"/>
      <c r="I365" s="153"/>
      <c r="J365" s="153"/>
      <c r="K365" s="153"/>
      <c r="L365" s="153"/>
      <c r="M365" s="153"/>
      <c r="N365" s="153"/>
      <c r="O365" s="153"/>
      <c r="P365" s="153"/>
    </row>
    <row r="366" spans="1:16" x14ac:dyDescent="0.2">
      <c r="A366" s="58" t="str">
        <v/>
      </c>
      <c r="B366" s="131" t="str">
        <f>IFERROR(TIMEVALUE(DaqBook_RAW_Data!AG356),IFERROR(TIMEVALUE(DaqBook_RAW_Data!A356),""))</f>
        <v/>
      </c>
      <c r="C366" s="153"/>
      <c r="D366" s="153"/>
      <c r="E366" s="153"/>
      <c r="F366" s="153"/>
      <c r="G366" s="153"/>
      <c r="H366" s="153"/>
      <c r="I366" s="153"/>
      <c r="J366" s="153"/>
      <c r="K366" s="153"/>
      <c r="L366" s="153"/>
      <c r="M366" s="153"/>
      <c r="N366" s="153"/>
      <c r="O366" s="153"/>
      <c r="P366" s="153"/>
    </row>
    <row r="367" spans="1:16" x14ac:dyDescent="0.2">
      <c r="A367" s="58" t="str">
        <v/>
      </c>
      <c r="B367" s="131" t="str">
        <f>IFERROR(TIMEVALUE(DaqBook_RAW_Data!AG357),IFERROR(TIMEVALUE(DaqBook_RAW_Data!A357),""))</f>
        <v/>
      </c>
      <c r="C367" s="153"/>
      <c r="D367" s="153"/>
      <c r="E367" s="153"/>
      <c r="F367" s="153"/>
      <c r="G367" s="153"/>
      <c r="H367" s="153"/>
      <c r="I367" s="153"/>
      <c r="J367" s="153"/>
      <c r="K367" s="153"/>
      <c r="L367" s="153"/>
      <c r="M367" s="153"/>
      <c r="N367" s="153"/>
      <c r="O367" s="153"/>
      <c r="P367" s="153"/>
    </row>
    <row r="368" spans="1:16" x14ac:dyDescent="0.2">
      <c r="A368" s="58" t="str">
        <v/>
      </c>
      <c r="B368" s="131" t="str">
        <f>IFERROR(TIMEVALUE(DaqBook_RAW_Data!AG358),IFERROR(TIMEVALUE(DaqBook_RAW_Data!A358),""))</f>
        <v/>
      </c>
      <c r="C368" s="153"/>
      <c r="D368" s="153"/>
      <c r="E368" s="153"/>
      <c r="F368" s="153"/>
      <c r="G368" s="153"/>
      <c r="H368" s="153"/>
      <c r="I368" s="153"/>
      <c r="J368" s="153"/>
      <c r="K368" s="153"/>
      <c r="L368" s="153"/>
      <c r="M368" s="153"/>
      <c r="N368" s="153"/>
      <c r="O368" s="153"/>
      <c r="P368" s="153"/>
    </row>
    <row r="369" spans="1:16" x14ac:dyDescent="0.2">
      <c r="A369" s="58" t="str">
        <v/>
      </c>
      <c r="B369" s="131" t="str">
        <f>IFERROR(TIMEVALUE(DaqBook_RAW_Data!AG359),IFERROR(TIMEVALUE(DaqBook_RAW_Data!A359),""))</f>
        <v/>
      </c>
      <c r="C369" s="153"/>
      <c r="D369" s="153"/>
      <c r="E369" s="153"/>
      <c r="F369" s="153"/>
      <c r="G369" s="153"/>
      <c r="H369" s="153"/>
      <c r="I369" s="153"/>
      <c r="J369" s="153"/>
      <c r="K369" s="153"/>
      <c r="L369" s="153"/>
      <c r="M369" s="153"/>
      <c r="N369" s="153"/>
      <c r="O369" s="153"/>
      <c r="P369" s="153"/>
    </row>
    <row r="370" spans="1:16" x14ac:dyDescent="0.2">
      <c r="A370" s="58" t="str">
        <v/>
      </c>
      <c r="B370" s="131" t="str">
        <f>IFERROR(TIMEVALUE(DaqBook_RAW_Data!AG360),IFERROR(TIMEVALUE(DaqBook_RAW_Data!A360),""))</f>
        <v/>
      </c>
      <c r="C370" s="153"/>
      <c r="D370" s="153"/>
      <c r="E370" s="153"/>
      <c r="F370" s="153"/>
      <c r="G370" s="153"/>
      <c r="H370" s="153"/>
      <c r="I370" s="153"/>
      <c r="J370" s="153"/>
      <c r="K370" s="153"/>
      <c r="L370" s="153"/>
      <c r="M370" s="153"/>
      <c r="N370" s="153"/>
      <c r="O370" s="153"/>
      <c r="P370" s="153"/>
    </row>
    <row r="371" spans="1:16" x14ac:dyDescent="0.2">
      <c r="A371" s="58" t="str">
        <v/>
      </c>
      <c r="B371" s="131" t="str">
        <f>IFERROR(TIMEVALUE(DaqBook_RAW_Data!AG361),IFERROR(TIMEVALUE(DaqBook_RAW_Data!A361),""))</f>
        <v/>
      </c>
      <c r="C371" s="153"/>
      <c r="D371" s="153"/>
      <c r="E371" s="153"/>
      <c r="F371" s="153"/>
      <c r="G371" s="153"/>
      <c r="H371" s="153"/>
      <c r="I371" s="153"/>
      <c r="J371" s="153"/>
      <c r="K371" s="153"/>
      <c r="L371" s="153"/>
      <c r="M371" s="153"/>
      <c r="N371" s="153"/>
      <c r="O371" s="153"/>
      <c r="P371" s="153"/>
    </row>
    <row r="372" spans="1:16" x14ac:dyDescent="0.2">
      <c r="A372" s="58" t="str">
        <v/>
      </c>
      <c r="B372" s="131" t="str">
        <f>IFERROR(TIMEVALUE(DaqBook_RAW_Data!AG362),IFERROR(TIMEVALUE(DaqBook_RAW_Data!A362),""))</f>
        <v/>
      </c>
      <c r="C372" s="153"/>
      <c r="D372" s="153"/>
      <c r="E372" s="153"/>
      <c r="F372" s="153"/>
      <c r="G372" s="153"/>
      <c r="H372" s="153"/>
      <c r="I372" s="153"/>
      <c r="J372" s="153"/>
      <c r="K372" s="153"/>
      <c r="L372" s="153"/>
      <c r="M372" s="153"/>
      <c r="N372" s="153"/>
      <c r="O372" s="153"/>
      <c r="P372" s="153"/>
    </row>
    <row r="373" spans="1:16" x14ac:dyDescent="0.2">
      <c r="A373" s="58" t="str">
        <v/>
      </c>
      <c r="B373" s="131" t="str">
        <f>IFERROR(TIMEVALUE(DaqBook_RAW_Data!AG363),IFERROR(TIMEVALUE(DaqBook_RAW_Data!A363),""))</f>
        <v/>
      </c>
      <c r="C373" s="153"/>
      <c r="D373" s="153"/>
      <c r="E373" s="153"/>
      <c r="F373" s="153"/>
      <c r="G373" s="153"/>
      <c r="H373" s="153"/>
      <c r="I373" s="153"/>
      <c r="J373" s="153"/>
      <c r="K373" s="153"/>
      <c r="L373" s="153"/>
      <c r="M373" s="153"/>
      <c r="N373" s="153"/>
      <c r="O373" s="153"/>
      <c r="P373" s="153"/>
    </row>
    <row r="374" spans="1:16" x14ac:dyDescent="0.2">
      <c r="A374" s="58" t="str">
        <v/>
      </c>
      <c r="B374" s="131" t="str">
        <f>IFERROR(TIMEVALUE(DaqBook_RAW_Data!AG364),IFERROR(TIMEVALUE(DaqBook_RAW_Data!A364),""))</f>
        <v/>
      </c>
      <c r="C374" s="153"/>
      <c r="D374" s="153"/>
      <c r="E374" s="153"/>
      <c r="F374" s="153"/>
      <c r="G374" s="153"/>
      <c r="H374" s="153"/>
      <c r="I374" s="153"/>
      <c r="J374" s="153"/>
      <c r="K374" s="153"/>
      <c r="L374" s="153"/>
      <c r="M374" s="153"/>
      <c r="N374" s="153"/>
      <c r="O374" s="153"/>
      <c r="P374" s="153"/>
    </row>
    <row r="375" spans="1:16" x14ac:dyDescent="0.2">
      <c r="A375" s="58" t="str">
        <v/>
      </c>
      <c r="B375" s="131" t="str">
        <f>IFERROR(TIMEVALUE(DaqBook_RAW_Data!AG365),IFERROR(TIMEVALUE(DaqBook_RAW_Data!A365),""))</f>
        <v/>
      </c>
      <c r="C375" s="153"/>
      <c r="D375" s="153"/>
      <c r="E375" s="153"/>
      <c r="F375" s="153"/>
      <c r="G375" s="153"/>
      <c r="H375" s="153"/>
      <c r="I375" s="153"/>
      <c r="J375" s="153"/>
      <c r="K375" s="153"/>
      <c r="L375" s="153"/>
      <c r="M375" s="153"/>
      <c r="N375" s="153"/>
      <c r="O375" s="153"/>
      <c r="P375" s="153"/>
    </row>
    <row r="376" spans="1:16" x14ac:dyDescent="0.2">
      <c r="A376" s="58" t="str">
        <v/>
      </c>
      <c r="B376" s="131" t="str">
        <f>IFERROR(TIMEVALUE(DaqBook_RAW_Data!AG366),IFERROR(TIMEVALUE(DaqBook_RAW_Data!A366),""))</f>
        <v/>
      </c>
      <c r="C376" s="153"/>
      <c r="D376" s="153"/>
      <c r="E376" s="153"/>
      <c r="F376" s="153"/>
      <c r="G376" s="153"/>
      <c r="H376" s="153"/>
      <c r="I376" s="153"/>
      <c r="J376" s="153"/>
      <c r="K376" s="153"/>
      <c r="L376" s="153"/>
      <c r="M376" s="153"/>
      <c r="N376" s="153"/>
      <c r="O376" s="153"/>
      <c r="P376" s="153"/>
    </row>
    <row r="377" spans="1:16" x14ac:dyDescent="0.2">
      <c r="A377" s="58" t="str">
        <v/>
      </c>
      <c r="B377" s="131" t="str">
        <f>IFERROR(TIMEVALUE(DaqBook_RAW_Data!AG367),IFERROR(TIMEVALUE(DaqBook_RAW_Data!A367),""))</f>
        <v/>
      </c>
      <c r="C377" s="153"/>
      <c r="D377" s="153"/>
      <c r="E377" s="153"/>
      <c r="F377" s="153"/>
      <c r="G377" s="153"/>
      <c r="H377" s="153"/>
      <c r="I377" s="153"/>
      <c r="J377" s="153"/>
      <c r="K377" s="153"/>
      <c r="L377" s="153"/>
      <c r="M377" s="153"/>
      <c r="N377" s="153"/>
      <c r="O377" s="153"/>
      <c r="P377" s="153"/>
    </row>
    <row r="378" spans="1:16" x14ac:dyDescent="0.2">
      <c r="A378" s="58" t="str">
        <v/>
      </c>
      <c r="B378" s="131" t="str">
        <f>IFERROR(TIMEVALUE(DaqBook_RAW_Data!AG368),IFERROR(TIMEVALUE(DaqBook_RAW_Data!A368),""))</f>
        <v/>
      </c>
      <c r="C378" s="153"/>
      <c r="D378" s="153"/>
      <c r="E378" s="153"/>
      <c r="F378" s="153"/>
      <c r="G378" s="153"/>
      <c r="H378" s="153"/>
      <c r="I378" s="153"/>
      <c r="J378" s="153"/>
      <c r="K378" s="153"/>
      <c r="L378" s="153"/>
      <c r="M378" s="153"/>
      <c r="N378" s="153"/>
      <c r="O378" s="153"/>
      <c r="P378" s="153"/>
    </row>
    <row r="379" spans="1:16" x14ac:dyDescent="0.2">
      <c r="A379" s="58" t="str">
        <v/>
      </c>
      <c r="B379" s="131" t="str">
        <f>IFERROR(TIMEVALUE(DaqBook_RAW_Data!AG369),IFERROR(TIMEVALUE(DaqBook_RAW_Data!A369),""))</f>
        <v/>
      </c>
      <c r="C379" s="153"/>
      <c r="D379" s="153"/>
      <c r="E379" s="153"/>
      <c r="F379" s="153"/>
      <c r="G379" s="153"/>
      <c r="H379" s="153"/>
      <c r="I379" s="153"/>
      <c r="J379" s="153"/>
      <c r="K379" s="153"/>
      <c r="L379" s="153"/>
      <c r="M379" s="153"/>
      <c r="N379" s="153"/>
      <c r="O379" s="153"/>
      <c r="P379" s="153"/>
    </row>
    <row r="380" spans="1:16" x14ac:dyDescent="0.2">
      <c r="A380" s="58" t="str">
        <v/>
      </c>
      <c r="B380" s="131" t="str">
        <f>IFERROR(TIMEVALUE(DaqBook_RAW_Data!AG370),IFERROR(TIMEVALUE(DaqBook_RAW_Data!A370),""))</f>
        <v/>
      </c>
      <c r="C380" s="153"/>
      <c r="D380" s="153"/>
      <c r="E380" s="153"/>
      <c r="F380" s="153"/>
      <c r="G380" s="153"/>
      <c r="H380" s="153"/>
      <c r="I380" s="153"/>
      <c r="J380" s="153"/>
      <c r="K380" s="153"/>
      <c r="L380" s="153"/>
      <c r="M380" s="153"/>
      <c r="N380" s="153"/>
      <c r="O380" s="153"/>
      <c r="P380" s="153"/>
    </row>
    <row r="381" spans="1:16" x14ac:dyDescent="0.2">
      <c r="A381" s="58" t="str">
        <v/>
      </c>
      <c r="B381" s="131" t="str">
        <f>IFERROR(TIMEVALUE(DaqBook_RAW_Data!AG371),IFERROR(TIMEVALUE(DaqBook_RAW_Data!A371),""))</f>
        <v/>
      </c>
      <c r="C381" s="153"/>
      <c r="D381" s="153"/>
      <c r="E381" s="153"/>
      <c r="F381" s="153"/>
      <c r="G381" s="153"/>
      <c r="H381" s="153"/>
      <c r="I381" s="153"/>
      <c r="J381" s="153"/>
      <c r="K381" s="153"/>
      <c r="L381" s="153"/>
      <c r="M381" s="153"/>
      <c r="N381" s="153"/>
      <c r="O381" s="153"/>
      <c r="P381" s="153"/>
    </row>
    <row r="382" spans="1:16" x14ac:dyDescent="0.2">
      <c r="A382" s="58" t="str">
        <v/>
      </c>
      <c r="B382" s="131" t="str">
        <f>IFERROR(TIMEVALUE(DaqBook_RAW_Data!AG372),IFERROR(TIMEVALUE(DaqBook_RAW_Data!A372),""))</f>
        <v/>
      </c>
      <c r="C382" s="153"/>
      <c r="D382" s="153"/>
      <c r="E382" s="153"/>
      <c r="F382" s="153"/>
      <c r="G382" s="153"/>
      <c r="H382" s="153"/>
      <c r="I382" s="153"/>
      <c r="J382" s="153"/>
      <c r="K382" s="153"/>
      <c r="L382" s="153"/>
      <c r="M382" s="153"/>
      <c r="N382" s="153"/>
      <c r="O382" s="153"/>
      <c r="P382" s="153"/>
    </row>
    <row r="383" spans="1:16" x14ac:dyDescent="0.2">
      <c r="A383" s="58" t="str">
        <v/>
      </c>
      <c r="B383" s="131" t="str">
        <f>IFERROR(TIMEVALUE(DaqBook_RAW_Data!AG373),IFERROR(TIMEVALUE(DaqBook_RAW_Data!A373),""))</f>
        <v/>
      </c>
      <c r="C383" s="153"/>
      <c r="D383" s="153"/>
      <c r="E383" s="153"/>
      <c r="F383" s="153"/>
      <c r="G383" s="153"/>
      <c r="H383" s="153"/>
      <c r="I383" s="153"/>
      <c r="J383" s="153"/>
      <c r="K383" s="153"/>
      <c r="L383" s="153"/>
      <c r="M383" s="153"/>
      <c r="N383" s="153"/>
      <c r="O383" s="153"/>
      <c r="P383" s="153"/>
    </row>
    <row r="384" spans="1:16" x14ac:dyDescent="0.2">
      <c r="A384" s="58" t="str">
        <v/>
      </c>
      <c r="B384" s="131" t="str">
        <f>IFERROR(TIMEVALUE(DaqBook_RAW_Data!AG374),IFERROR(TIMEVALUE(DaqBook_RAW_Data!A374),""))</f>
        <v/>
      </c>
      <c r="C384" s="153"/>
      <c r="D384" s="153"/>
      <c r="E384" s="153"/>
      <c r="F384" s="153"/>
      <c r="G384" s="153"/>
      <c r="H384" s="153"/>
      <c r="I384" s="153"/>
      <c r="J384" s="153"/>
      <c r="K384" s="153"/>
      <c r="L384" s="153"/>
      <c r="M384" s="153"/>
      <c r="N384" s="153"/>
      <c r="O384" s="153"/>
      <c r="P384" s="153"/>
    </row>
    <row r="385" spans="1:16" x14ac:dyDescent="0.2">
      <c r="A385" s="58" t="str">
        <v/>
      </c>
      <c r="B385" s="131" t="str">
        <f>IFERROR(TIMEVALUE(DaqBook_RAW_Data!AG375),IFERROR(TIMEVALUE(DaqBook_RAW_Data!A375),""))</f>
        <v/>
      </c>
      <c r="C385" s="153"/>
      <c r="D385" s="153"/>
      <c r="E385" s="153"/>
      <c r="F385" s="153"/>
      <c r="G385" s="153"/>
      <c r="H385" s="153"/>
      <c r="I385" s="153"/>
      <c r="J385" s="153"/>
      <c r="K385" s="153"/>
      <c r="L385" s="153"/>
      <c r="M385" s="153"/>
      <c r="N385" s="153"/>
      <c r="O385" s="153"/>
      <c r="P385" s="153"/>
    </row>
    <row r="386" spans="1:16" x14ac:dyDescent="0.2">
      <c r="A386" s="58" t="str">
        <v/>
      </c>
      <c r="B386" s="131" t="str">
        <f>IFERROR(TIMEVALUE(DaqBook_RAW_Data!AG376),IFERROR(TIMEVALUE(DaqBook_RAW_Data!A376),""))</f>
        <v/>
      </c>
      <c r="C386" s="153"/>
      <c r="D386" s="153"/>
      <c r="E386" s="153"/>
      <c r="F386" s="153"/>
      <c r="G386" s="153"/>
      <c r="H386" s="153"/>
      <c r="I386" s="153"/>
      <c r="J386" s="153"/>
      <c r="K386" s="153"/>
      <c r="L386" s="153"/>
      <c r="M386" s="153"/>
      <c r="N386" s="153"/>
      <c r="O386" s="153"/>
      <c r="P386" s="153"/>
    </row>
    <row r="387" spans="1:16" x14ac:dyDescent="0.2">
      <c r="A387" s="58" t="str">
        <v/>
      </c>
      <c r="B387" s="131" t="str">
        <f>IFERROR(TIMEVALUE(DaqBook_RAW_Data!AG377),IFERROR(TIMEVALUE(DaqBook_RAW_Data!A377),""))</f>
        <v/>
      </c>
      <c r="C387" s="153"/>
      <c r="D387" s="153"/>
      <c r="E387" s="153"/>
      <c r="F387" s="153"/>
      <c r="G387" s="153"/>
      <c r="H387" s="153"/>
      <c r="I387" s="153"/>
      <c r="J387" s="153"/>
      <c r="K387" s="153"/>
      <c r="L387" s="153"/>
      <c r="M387" s="153"/>
      <c r="N387" s="153"/>
      <c r="O387" s="153"/>
      <c r="P387" s="153"/>
    </row>
    <row r="388" spans="1:16" x14ac:dyDescent="0.2">
      <c r="A388" s="58" t="str">
        <v/>
      </c>
      <c r="B388" s="131" t="str">
        <f>IFERROR(TIMEVALUE(DaqBook_RAW_Data!AG378),IFERROR(TIMEVALUE(DaqBook_RAW_Data!A378),""))</f>
        <v/>
      </c>
      <c r="C388" s="153"/>
      <c r="D388" s="153"/>
      <c r="E388" s="153"/>
      <c r="F388" s="153"/>
      <c r="G388" s="153"/>
      <c r="H388" s="153"/>
      <c r="I388" s="153"/>
      <c r="J388" s="153"/>
      <c r="K388" s="153"/>
      <c r="L388" s="153"/>
      <c r="M388" s="153"/>
      <c r="N388" s="153"/>
      <c r="O388" s="153"/>
      <c r="P388" s="153"/>
    </row>
    <row r="389" spans="1:16" x14ac:dyDescent="0.2">
      <c r="A389" s="58" t="str">
        <v/>
      </c>
      <c r="B389" s="131" t="str">
        <f>IFERROR(TIMEVALUE(DaqBook_RAW_Data!AG379),IFERROR(TIMEVALUE(DaqBook_RAW_Data!A379),""))</f>
        <v/>
      </c>
      <c r="C389" s="153"/>
      <c r="D389" s="153"/>
      <c r="E389" s="153"/>
      <c r="F389" s="153"/>
      <c r="G389" s="153"/>
      <c r="H389" s="153"/>
      <c r="I389" s="153"/>
      <c r="J389" s="153"/>
      <c r="K389" s="153"/>
      <c r="L389" s="153"/>
      <c r="M389" s="153"/>
      <c r="N389" s="153"/>
      <c r="O389" s="153"/>
      <c r="P389" s="153"/>
    </row>
    <row r="390" spans="1:16" x14ac:dyDescent="0.2">
      <c r="A390" s="58" t="str">
        <v/>
      </c>
      <c r="B390" s="131" t="str">
        <f>IFERROR(TIMEVALUE(DaqBook_RAW_Data!AG380),IFERROR(TIMEVALUE(DaqBook_RAW_Data!A380),""))</f>
        <v/>
      </c>
      <c r="C390" s="153"/>
      <c r="D390" s="153"/>
      <c r="E390" s="153"/>
      <c r="F390" s="153"/>
      <c r="G390" s="153"/>
      <c r="H390" s="153"/>
      <c r="I390" s="153"/>
      <c r="J390" s="153"/>
      <c r="K390" s="153"/>
      <c r="L390" s="153"/>
      <c r="M390" s="153"/>
      <c r="N390" s="153"/>
      <c r="O390" s="153"/>
      <c r="P390" s="153"/>
    </row>
    <row r="391" spans="1:16" x14ac:dyDescent="0.2">
      <c r="A391" s="58" t="str">
        <v/>
      </c>
      <c r="B391" s="131" t="str">
        <f>IFERROR(TIMEVALUE(DaqBook_RAW_Data!AG381),IFERROR(TIMEVALUE(DaqBook_RAW_Data!A381),""))</f>
        <v/>
      </c>
      <c r="C391" s="153"/>
      <c r="D391" s="153"/>
      <c r="E391" s="153"/>
      <c r="F391" s="153"/>
      <c r="G391" s="153"/>
      <c r="H391" s="153"/>
      <c r="I391" s="153"/>
      <c r="J391" s="153"/>
      <c r="K391" s="153"/>
      <c r="L391" s="153"/>
      <c r="M391" s="153"/>
      <c r="N391" s="153"/>
      <c r="O391" s="153"/>
      <c r="P391" s="153"/>
    </row>
    <row r="392" spans="1:16" x14ac:dyDescent="0.2">
      <c r="A392" s="58" t="str">
        <v/>
      </c>
      <c r="B392" s="131" t="str">
        <f>IFERROR(TIMEVALUE(DaqBook_RAW_Data!AG382),IFERROR(TIMEVALUE(DaqBook_RAW_Data!A382),""))</f>
        <v/>
      </c>
      <c r="C392" s="153"/>
      <c r="D392" s="153"/>
      <c r="E392" s="153"/>
      <c r="F392" s="153"/>
      <c r="G392" s="153"/>
      <c r="H392" s="153"/>
      <c r="I392" s="153"/>
      <c r="J392" s="153"/>
      <c r="K392" s="153"/>
      <c r="L392" s="153"/>
      <c r="M392" s="153"/>
      <c r="N392" s="153"/>
      <c r="O392" s="153"/>
      <c r="P392" s="153"/>
    </row>
    <row r="393" spans="1:16" x14ac:dyDescent="0.2">
      <c r="A393" s="58" t="str">
        <v/>
      </c>
      <c r="B393" s="131" t="str">
        <f>IFERROR(TIMEVALUE(DaqBook_RAW_Data!AG383),IFERROR(TIMEVALUE(DaqBook_RAW_Data!A383),""))</f>
        <v/>
      </c>
      <c r="C393" s="153"/>
      <c r="D393" s="153"/>
      <c r="E393" s="153"/>
      <c r="F393" s="153"/>
      <c r="G393" s="153"/>
      <c r="H393" s="153"/>
      <c r="I393" s="153"/>
      <c r="J393" s="153"/>
      <c r="K393" s="153"/>
      <c r="L393" s="153"/>
      <c r="M393" s="153"/>
      <c r="N393" s="153"/>
      <c r="O393" s="153"/>
      <c r="P393" s="153"/>
    </row>
    <row r="394" spans="1:16" x14ac:dyDescent="0.2">
      <c r="A394" s="58" t="str">
        <v/>
      </c>
      <c r="B394" s="131" t="str">
        <f>IFERROR(TIMEVALUE(DaqBook_RAW_Data!AG384),IFERROR(TIMEVALUE(DaqBook_RAW_Data!A384),""))</f>
        <v/>
      </c>
      <c r="C394" s="153"/>
      <c r="D394" s="153"/>
      <c r="E394" s="153"/>
      <c r="F394" s="153"/>
      <c r="G394" s="153"/>
      <c r="H394" s="153"/>
      <c r="I394" s="153"/>
      <c r="J394" s="153"/>
      <c r="K394" s="153"/>
      <c r="L394" s="153"/>
      <c r="M394" s="153"/>
      <c r="N394" s="153"/>
      <c r="O394" s="153"/>
      <c r="P394" s="153"/>
    </row>
    <row r="395" spans="1:16" x14ac:dyDescent="0.2">
      <c r="A395" s="58" t="str">
        <v/>
      </c>
      <c r="B395" s="131" t="str">
        <f>IFERROR(TIMEVALUE(DaqBook_RAW_Data!AG385),IFERROR(TIMEVALUE(DaqBook_RAW_Data!A385),""))</f>
        <v/>
      </c>
      <c r="C395" s="153"/>
      <c r="D395" s="153"/>
      <c r="E395" s="153"/>
      <c r="F395" s="153"/>
      <c r="G395" s="153"/>
      <c r="H395" s="153"/>
      <c r="I395" s="153"/>
      <c r="J395" s="153"/>
      <c r="K395" s="153"/>
      <c r="L395" s="153"/>
      <c r="M395" s="153"/>
      <c r="N395" s="153"/>
      <c r="O395" s="153"/>
      <c r="P395" s="153"/>
    </row>
    <row r="396" spans="1:16" x14ac:dyDescent="0.2">
      <c r="A396" s="58" t="str">
        <v/>
      </c>
      <c r="B396" s="131" t="str">
        <f>IFERROR(TIMEVALUE(DaqBook_RAW_Data!AG386),IFERROR(TIMEVALUE(DaqBook_RAW_Data!A386),""))</f>
        <v/>
      </c>
      <c r="C396" s="153"/>
      <c r="D396" s="153"/>
      <c r="E396" s="153"/>
      <c r="F396" s="153"/>
      <c r="G396" s="153"/>
      <c r="H396" s="153"/>
      <c r="I396" s="153"/>
      <c r="J396" s="153"/>
      <c r="K396" s="153"/>
      <c r="L396" s="153"/>
      <c r="M396" s="153"/>
      <c r="N396" s="153"/>
      <c r="O396" s="153"/>
      <c r="P396" s="153"/>
    </row>
    <row r="397" spans="1:16" x14ac:dyDescent="0.2">
      <c r="A397" s="58" t="str">
        <v/>
      </c>
      <c r="B397" s="131" t="str">
        <f>IFERROR(TIMEVALUE(DaqBook_RAW_Data!AG387),IFERROR(TIMEVALUE(DaqBook_RAW_Data!A387),""))</f>
        <v/>
      </c>
      <c r="C397" s="153"/>
      <c r="D397" s="153"/>
      <c r="E397" s="153"/>
      <c r="F397" s="153"/>
      <c r="G397" s="153"/>
      <c r="H397" s="153"/>
      <c r="I397" s="153"/>
      <c r="J397" s="153"/>
      <c r="K397" s="153"/>
      <c r="L397" s="153"/>
      <c r="M397" s="153"/>
      <c r="N397" s="153"/>
      <c r="O397" s="153"/>
      <c r="P397" s="153"/>
    </row>
    <row r="398" spans="1:16" x14ac:dyDescent="0.2">
      <c r="A398" s="58" t="str">
        <v/>
      </c>
      <c r="B398" s="131" t="str">
        <f>IFERROR(TIMEVALUE(DaqBook_RAW_Data!AG388),IFERROR(TIMEVALUE(DaqBook_RAW_Data!A388),""))</f>
        <v/>
      </c>
      <c r="C398" s="153"/>
      <c r="D398" s="153"/>
      <c r="E398" s="153"/>
      <c r="F398" s="153"/>
      <c r="G398" s="153"/>
      <c r="H398" s="153"/>
      <c r="I398" s="153"/>
      <c r="J398" s="153"/>
      <c r="K398" s="153"/>
      <c r="L398" s="153"/>
      <c r="M398" s="153"/>
      <c r="N398" s="153"/>
      <c r="O398" s="153"/>
      <c r="P398" s="153"/>
    </row>
    <row r="399" spans="1:16" x14ac:dyDescent="0.2">
      <c r="A399" s="58" t="str">
        <v/>
      </c>
      <c r="B399" s="131" t="str">
        <f>IFERROR(TIMEVALUE(DaqBook_RAW_Data!AG389),IFERROR(TIMEVALUE(DaqBook_RAW_Data!A389),""))</f>
        <v/>
      </c>
      <c r="C399" s="153"/>
      <c r="D399" s="153"/>
      <c r="E399" s="153"/>
      <c r="F399" s="153"/>
      <c r="G399" s="153"/>
      <c r="H399" s="153"/>
      <c r="I399" s="153"/>
      <c r="J399" s="153"/>
      <c r="K399" s="153"/>
      <c r="L399" s="153"/>
      <c r="M399" s="153"/>
      <c r="N399" s="153"/>
      <c r="O399" s="153"/>
      <c r="P399" s="153"/>
    </row>
    <row r="400" spans="1:16" x14ac:dyDescent="0.2">
      <c r="A400" s="58" t="str">
        <v/>
      </c>
      <c r="B400" s="131" t="str">
        <f>IFERROR(TIMEVALUE(DaqBook_RAW_Data!AG390),IFERROR(TIMEVALUE(DaqBook_RAW_Data!A390),""))</f>
        <v/>
      </c>
      <c r="C400" s="153"/>
      <c r="D400" s="153"/>
      <c r="E400" s="153"/>
      <c r="F400" s="153"/>
      <c r="G400" s="153"/>
      <c r="H400" s="153"/>
      <c r="I400" s="153"/>
      <c r="J400" s="153"/>
      <c r="K400" s="153"/>
      <c r="L400" s="153"/>
      <c r="M400" s="153"/>
      <c r="N400" s="153"/>
      <c r="O400" s="153"/>
      <c r="P400" s="153"/>
    </row>
    <row r="401" spans="1:16" x14ac:dyDescent="0.2">
      <c r="A401" s="58" t="str">
        <v/>
      </c>
      <c r="B401" s="131" t="str">
        <f>IFERROR(TIMEVALUE(DaqBook_RAW_Data!AG391),IFERROR(TIMEVALUE(DaqBook_RAW_Data!A391),""))</f>
        <v/>
      </c>
      <c r="C401" s="153"/>
      <c r="D401" s="153"/>
      <c r="E401" s="153"/>
      <c r="F401" s="153"/>
      <c r="G401" s="153"/>
      <c r="H401" s="153"/>
      <c r="I401" s="153"/>
      <c r="J401" s="153"/>
      <c r="K401" s="153"/>
      <c r="L401" s="153"/>
      <c r="M401" s="153"/>
      <c r="N401" s="153"/>
      <c r="O401" s="153"/>
      <c r="P401" s="153"/>
    </row>
    <row r="402" spans="1:16" x14ac:dyDescent="0.2">
      <c r="A402" s="58" t="str">
        <v/>
      </c>
      <c r="B402" s="131" t="str">
        <f>IFERROR(TIMEVALUE(DaqBook_RAW_Data!AG392),IFERROR(TIMEVALUE(DaqBook_RAW_Data!A392),""))</f>
        <v/>
      </c>
      <c r="C402" s="153"/>
      <c r="D402" s="153"/>
      <c r="E402" s="153"/>
      <c r="F402" s="153"/>
      <c r="G402" s="153"/>
      <c r="H402" s="153"/>
      <c r="I402" s="153"/>
      <c r="J402" s="153"/>
      <c r="K402" s="153"/>
      <c r="L402" s="153"/>
      <c r="M402" s="153"/>
      <c r="N402" s="153"/>
      <c r="O402" s="153"/>
      <c r="P402" s="153"/>
    </row>
    <row r="403" spans="1:16" x14ac:dyDescent="0.2">
      <c r="A403" s="58" t="str">
        <v/>
      </c>
      <c r="B403" s="131" t="str">
        <f>IFERROR(TIMEVALUE(DaqBook_RAW_Data!AG393),IFERROR(TIMEVALUE(DaqBook_RAW_Data!A393),""))</f>
        <v/>
      </c>
      <c r="C403" s="153"/>
      <c r="D403" s="153"/>
      <c r="E403" s="153"/>
      <c r="F403" s="153"/>
      <c r="G403" s="153"/>
      <c r="H403" s="153"/>
      <c r="I403" s="153"/>
      <c r="J403" s="153"/>
      <c r="K403" s="153"/>
      <c r="L403" s="153"/>
      <c r="M403" s="153"/>
      <c r="N403" s="153"/>
      <c r="O403" s="153"/>
      <c r="P403" s="153"/>
    </row>
    <row r="404" spans="1:16" x14ac:dyDescent="0.2">
      <c r="A404" s="58" t="str">
        <v/>
      </c>
      <c r="B404" s="131" t="str">
        <f>IFERROR(TIMEVALUE(DaqBook_RAW_Data!AG394),IFERROR(TIMEVALUE(DaqBook_RAW_Data!A394),""))</f>
        <v/>
      </c>
      <c r="C404" s="153"/>
      <c r="D404" s="153"/>
      <c r="E404" s="153"/>
      <c r="F404" s="153"/>
      <c r="G404" s="153"/>
      <c r="H404" s="153"/>
      <c r="I404" s="153"/>
      <c r="J404" s="153"/>
      <c r="K404" s="153"/>
      <c r="L404" s="153"/>
      <c r="M404" s="153"/>
      <c r="N404" s="153"/>
      <c r="O404" s="153"/>
      <c r="P404" s="153"/>
    </row>
    <row r="405" spans="1:16" x14ac:dyDescent="0.2">
      <c r="A405" s="58" t="str">
        <v/>
      </c>
      <c r="B405" s="131" t="str">
        <f>IFERROR(TIMEVALUE(DaqBook_RAW_Data!AG395),IFERROR(TIMEVALUE(DaqBook_RAW_Data!A395),""))</f>
        <v/>
      </c>
      <c r="C405" s="153"/>
      <c r="D405" s="153"/>
      <c r="E405" s="153"/>
      <c r="F405" s="153"/>
      <c r="G405" s="153"/>
      <c r="H405" s="153"/>
      <c r="I405" s="153"/>
      <c r="J405" s="153"/>
      <c r="K405" s="153"/>
      <c r="L405" s="153"/>
      <c r="M405" s="153"/>
      <c r="N405" s="153"/>
      <c r="O405" s="153"/>
      <c r="P405" s="153"/>
    </row>
    <row r="406" spans="1:16" x14ac:dyDescent="0.2">
      <c r="A406" s="58" t="str">
        <v/>
      </c>
      <c r="B406" s="131" t="str">
        <f>IFERROR(TIMEVALUE(DaqBook_RAW_Data!AG396),IFERROR(TIMEVALUE(DaqBook_RAW_Data!A396),""))</f>
        <v/>
      </c>
      <c r="C406" s="153"/>
      <c r="D406" s="153"/>
      <c r="E406" s="153"/>
      <c r="F406" s="153"/>
      <c r="G406" s="153"/>
      <c r="H406" s="153"/>
      <c r="I406" s="153"/>
      <c r="J406" s="153"/>
      <c r="K406" s="153"/>
      <c r="L406" s="153"/>
      <c r="M406" s="153"/>
      <c r="N406" s="153"/>
      <c r="O406" s="153"/>
      <c r="P406" s="153"/>
    </row>
    <row r="407" spans="1:16" x14ac:dyDescent="0.2">
      <c r="A407" s="58" t="str">
        <v/>
      </c>
      <c r="B407" s="131" t="str">
        <f>IFERROR(TIMEVALUE(DaqBook_RAW_Data!AG397),IFERROR(TIMEVALUE(DaqBook_RAW_Data!A397),""))</f>
        <v/>
      </c>
      <c r="C407" s="153"/>
      <c r="D407" s="153"/>
      <c r="E407" s="153"/>
      <c r="F407" s="153"/>
      <c r="G407" s="153"/>
      <c r="H407" s="153"/>
      <c r="I407" s="153"/>
      <c r="J407" s="153"/>
      <c r="K407" s="153"/>
      <c r="L407" s="153"/>
      <c r="M407" s="153"/>
      <c r="N407" s="153"/>
      <c r="O407" s="153"/>
      <c r="P407" s="153"/>
    </row>
    <row r="408" spans="1:16" x14ac:dyDescent="0.2">
      <c r="A408" s="58" t="str">
        <v/>
      </c>
      <c r="B408" s="131" t="str">
        <f>IFERROR(TIMEVALUE(DaqBook_RAW_Data!AG398),IFERROR(TIMEVALUE(DaqBook_RAW_Data!A398),""))</f>
        <v/>
      </c>
      <c r="C408" s="153"/>
      <c r="D408" s="153"/>
      <c r="E408" s="153"/>
      <c r="F408" s="153"/>
      <c r="G408" s="153"/>
      <c r="H408" s="153"/>
      <c r="I408" s="153"/>
      <c r="J408" s="153"/>
      <c r="K408" s="153"/>
      <c r="L408" s="153"/>
      <c r="M408" s="153"/>
      <c r="N408" s="153"/>
      <c r="O408" s="153"/>
      <c r="P408" s="153"/>
    </row>
    <row r="409" spans="1:16" x14ac:dyDescent="0.2">
      <c r="A409" s="58" t="str">
        <v/>
      </c>
      <c r="B409" s="131" t="str">
        <f>IFERROR(TIMEVALUE(DaqBook_RAW_Data!AG399),IFERROR(TIMEVALUE(DaqBook_RAW_Data!A399),""))</f>
        <v/>
      </c>
      <c r="C409" s="153"/>
      <c r="D409" s="153"/>
      <c r="E409" s="153"/>
      <c r="F409" s="153"/>
      <c r="G409" s="153"/>
      <c r="H409" s="153"/>
      <c r="I409" s="153"/>
      <c r="J409" s="153"/>
      <c r="K409" s="153"/>
      <c r="L409" s="153"/>
      <c r="M409" s="153"/>
      <c r="N409" s="153"/>
      <c r="O409" s="153"/>
      <c r="P409" s="153"/>
    </row>
    <row r="410" spans="1:16" x14ac:dyDescent="0.2">
      <c r="A410" s="58" t="str">
        <v/>
      </c>
      <c r="B410" s="131" t="str">
        <f>IFERROR(TIMEVALUE(DaqBook_RAW_Data!AG400),IFERROR(TIMEVALUE(DaqBook_RAW_Data!A400),""))</f>
        <v/>
      </c>
      <c r="C410" s="153"/>
      <c r="D410" s="153"/>
      <c r="E410" s="153"/>
      <c r="F410" s="153"/>
      <c r="G410" s="153"/>
      <c r="H410" s="153"/>
      <c r="I410" s="153"/>
      <c r="J410" s="153"/>
      <c r="K410" s="153"/>
      <c r="L410" s="153"/>
      <c r="M410" s="153"/>
      <c r="N410" s="153"/>
      <c r="O410" s="153"/>
      <c r="P410" s="153"/>
    </row>
    <row r="411" spans="1:16" x14ac:dyDescent="0.2">
      <c r="A411" s="58" t="str">
        <v/>
      </c>
      <c r="B411" s="131" t="str">
        <f>IFERROR(TIMEVALUE(DaqBook_RAW_Data!AG401),IFERROR(TIMEVALUE(DaqBook_RAW_Data!A401),""))</f>
        <v/>
      </c>
      <c r="C411" s="153"/>
      <c r="D411" s="153"/>
      <c r="E411" s="153"/>
      <c r="F411" s="153"/>
      <c r="G411" s="153"/>
      <c r="H411" s="153"/>
      <c r="I411" s="153"/>
      <c r="J411" s="153"/>
      <c r="K411" s="153"/>
      <c r="L411" s="153"/>
      <c r="M411" s="153"/>
      <c r="N411" s="153"/>
      <c r="O411" s="153"/>
      <c r="P411" s="153"/>
    </row>
    <row r="412" spans="1:16" x14ac:dyDescent="0.2">
      <c r="A412" s="58" t="str">
        <v/>
      </c>
      <c r="B412" s="131" t="str">
        <f>IFERROR(TIMEVALUE(DaqBook_RAW_Data!AG402),IFERROR(TIMEVALUE(DaqBook_RAW_Data!A402),""))</f>
        <v/>
      </c>
      <c r="C412" s="153"/>
      <c r="D412" s="153"/>
      <c r="E412" s="153"/>
      <c r="F412" s="153"/>
      <c r="G412" s="153"/>
      <c r="H412" s="153"/>
      <c r="I412" s="153"/>
      <c r="J412" s="153"/>
      <c r="K412" s="153"/>
      <c r="L412" s="153"/>
      <c r="M412" s="153"/>
      <c r="N412" s="153"/>
      <c r="O412" s="153"/>
      <c r="P412" s="153"/>
    </row>
    <row r="413" spans="1:16" x14ac:dyDescent="0.2">
      <c r="A413" s="58" t="str">
        <v/>
      </c>
      <c r="B413" s="131" t="str">
        <f>IFERROR(TIMEVALUE(DaqBook_RAW_Data!AG403),IFERROR(TIMEVALUE(DaqBook_RAW_Data!A403),""))</f>
        <v/>
      </c>
      <c r="C413" s="153"/>
      <c r="D413" s="153"/>
      <c r="E413" s="153"/>
      <c r="F413" s="153"/>
      <c r="G413" s="153"/>
      <c r="H413" s="153"/>
      <c r="I413" s="153"/>
      <c r="J413" s="153"/>
      <c r="K413" s="153"/>
      <c r="L413" s="153"/>
      <c r="M413" s="153"/>
      <c r="N413" s="153"/>
      <c r="O413" s="153"/>
      <c r="P413" s="153"/>
    </row>
    <row r="414" spans="1:16" x14ac:dyDescent="0.2">
      <c r="A414" s="58" t="str">
        <v/>
      </c>
      <c r="B414" s="131" t="str">
        <f>IFERROR(TIMEVALUE(DaqBook_RAW_Data!AG404),IFERROR(TIMEVALUE(DaqBook_RAW_Data!A404),""))</f>
        <v/>
      </c>
      <c r="C414" s="153"/>
      <c r="D414" s="153"/>
      <c r="E414" s="153"/>
      <c r="F414" s="153"/>
      <c r="G414" s="153"/>
      <c r="H414" s="153"/>
      <c r="I414" s="153"/>
      <c r="J414" s="153"/>
      <c r="K414" s="153"/>
      <c r="L414" s="153"/>
      <c r="M414" s="153"/>
      <c r="N414" s="153"/>
      <c r="O414" s="153"/>
      <c r="P414" s="153"/>
    </row>
    <row r="415" spans="1:16" x14ac:dyDescent="0.2">
      <c r="A415" s="58" t="str">
        <v/>
      </c>
      <c r="B415" s="131" t="str">
        <f>IFERROR(TIMEVALUE(DaqBook_RAW_Data!AG405),IFERROR(TIMEVALUE(DaqBook_RAW_Data!A405),""))</f>
        <v/>
      </c>
      <c r="C415" s="153"/>
      <c r="D415" s="153"/>
      <c r="E415" s="153"/>
      <c r="F415" s="153"/>
      <c r="G415" s="153"/>
      <c r="H415" s="153"/>
      <c r="I415" s="153"/>
      <c r="J415" s="153"/>
      <c r="K415" s="153"/>
      <c r="L415" s="153"/>
      <c r="M415" s="153"/>
      <c r="N415" s="153"/>
      <c r="O415" s="153"/>
      <c r="P415" s="153"/>
    </row>
    <row r="416" spans="1:16" x14ac:dyDescent="0.2">
      <c r="A416" s="58" t="str">
        <v/>
      </c>
      <c r="B416" s="131" t="str">
        <f>IFERROR(TIMEVALUE(DaqBook_RAW_Data!AG406),IFERROR(TIMEVALUE(DaqBook_RAW_Data!A406),""))</f>
        <v/>
      </c>
      <c r="C416" s="153"/>
      <c r="D416" s="153"/>
      <c r="E416" s="153"/>
      <c r="F416" s="153"/>
      <c r="G416" s="153"/>
      <c r="H416" s="153"/>
      <c r="I416" s="153"/>
      <c r="J416" s="153"/>
      <c r="K416" s="153"/>
      <c r="L416" s="153"/>
      <c r="M416" s="153"/>
      <c r="N416" s="153"/>
      <c r="O416" s="153"/>
      <c r="P416" s="153"/>
    </row>
    <row r="417" spans="1:16" x14ac:dyDescent="0.2">
      <c r="A417" s="58" t="str">
        <v/>
      </c>
      <c r="B417" s="131" t="str">
        <f>IFERROR(TIMEVALUE(DaqBook_RAW_Data!AG407),IFERROR(TIMEVALUE(DaqBook_RAW_Data!A407),""))</f>
        <v/>
      </c>
      <c r="C417" s="153"/>
      <c r="D417" s="153"/>
      <c r="E417" s="153"/>
      <c r="F417" s="153"/>
      <c r="G417" s="153"/>
      <c r="H417" s="153"/>
      <c r="I417" s="153"/>
      <c r="J417" s="153"/>
      <c r="K417" s="153"/>
      <c r="L417" s="153"/>
      <c r="M417" s="153"/>
      <c r="N417" s="153"/>
      <c r="O417" s="153"/>
      <c r="P417" s="153"/>
    </row>
    <row r="418" spans="1:16" x14ac:dyDescent="0.2">
      <c r="A418" s="58" t="str">
        <v/>
      </c>
      <c r="B418" s="131" t="str">
        <f>IFERROR(TIMEVALUE(DaqBook_RAW_Data!AG408),IFERROR(TIMEVALUE(DaqBook_RAW_Data!A408),""))</f>
        <v/>
      </c>
      <c r="C418" s="153"/>
      <c r="D418" s="153"/>
      <c r="E418" s="153"/>
      <c r="F418" s="153"/>
      <c r="G418" s="153"/>
      <c r="H418" s="153"/>
      <c r="I418" s="153"/>
      <c r="J418" s="153"/>
      <c r="K418" s="153"/>
      <c r="L418" s="153"/>
      <c r="M418" s="153"/>
      <c r="N418" s="153"/>
      <c r="O418" s="153"/>
      <c r="P418" s="153"/>
    </row>
    <row r="419" spans="1:16" x14ac:dyDescent="0.2">
      <c r="A419" s="58" t="str">
        <v/>
      </c>
      <c r="B419" s="131" t="str">
        <f>IFERROR(TIMEVALUE(DaqBook_RAW_Data!AG409),IFERROR(TIMEVALUE(DaqBook_RAW_Data!A409),""))</f>
        <v/>
      </c>
      <c r="C419" s="153"/>
      <c r="D419" s="153"/>
      <c r="E419" s="153"/>
      <c r="F419" s="153"/>
      <c r="G419" s="153"/>
      <c r="H419" s="153"/>
      <c r="I419" s="153"/>
      <c r="J419" s="153"/>
      <c r="K419" s="153"/>
      <c r="L419" s="153"/>
      <c r="M419" s="153"/>
      <c r="N419" s="153"/>
      <c r="O419" s="153"/>
      <c r="P419" s="153"/>
    </row>
    <row r="420" spans="1:16" x14ac:dyDescent="0.2">
      <c r="A420" s="58" t="str">
        <v/>
      </c>
      <c r="B420" s="131" t="str">
        <f>IFERROR(TIMEVALUE(DaqBook_RAW_Data!AG410),IFERROR(TIMEVALUE(DaqBook_RAW_Data!A410),""))</f>
        <v/>
      </c>
      <c r="C420" s="153"/>
      <c r="D420" s="153"/>
      <c r="E420" s="153"/>
      <c r="F420" s="153"/>
      <c r="G420" s="153"/>
      <c r="H420" s="153"/>
      <c r="I420" s="153"/>
      <c r="J420" s="153"/>
      <c r="K420" s="153"/>
      <c r="L420" s="153"/>
      <c r="M420" s="153"/>
      <c r="N420" s="153"/>
      <c r="O420" s="153"/>
      <c r="P420" s="153"/>
    </row>
    <row r="421" spans="1:16" x14ac:dyDescent="0.2">
      <c r="A421" s="58" t="str">
        <v/>
      </c>
      <c r="B421" s="131" t="str">
        <f>IFERROR(TIMEVALUE(DaqBook_RAW_Data!AG411),IFERROR(TIMEVALUE(DaqBook_RAW_Data!A411),""))</f>
        <v/>
      </c>
      <c r="C421" s="153"/>
      <c r="D421" s="153"/>
      <c r="E421" s="153"/>
      <c r="F421" s="153"/>
      <c r="G421" s="153"/>
      <c r="H421" s="153"/>
      <c r="I421" s="153"/>
      <c r="J421" s="153"/>
      <c r="K421" s="153"/>
      <c r="L421" s="153"/>
      <c r="M421" s="153"/>
      <c r="N421" s="153"/>
      <c r="O421" s="153"/>
      <c r="P421" s="153"/>
    </row>
    <row r="422" spans="1:16" x14ac:dyDescent="0.2">
      <c r="A422" s="58" t="str">
        <v/>
      </c>
      <c r="B422" s="131" t="str">
        <f>IFERROR(TIMEVALUE(DaqBook_RAW_Data!AG412),IFERROR(TIMEVALUE(DaqBook_RAW_Data!A412),""))</f>
        <v/>
      </c>
      <c r="C422" s="153"/>
      <c r="D422" s="153"/>
      <c r="E422" s="153"/>
      <c r="F422" s="153"/>
      <c r="G422" s="153"/>
      <c r="H422" s="153"/>
      <c r="I422" s="153"/>
      <c r="J422" s="153"/>
      <c r="K422" s="153"/>
      <c r="L422" s="153"/>
      <c r="M422" s="153"/>
      <c r="N422" s="153"/>
      <c r="O422" s="153"/>
      <c r="P422" s="153"/>
    </row>
    <row r="423" spans="1:16" x14ac:dyDescent="0.2">
      <c r="A423" s="58" t="str">
        <v/>
      </c>
      <c r="B423" s="131" t="str">
        <f>IFERROR(TIMEVALUE(DaqBook_RAW_Data!AG413),IFERROR(TIMEVALUE(DaqBook_RAW_Data!A413),""))</f>
        <v/>
      </c>
      <c r="C423" s="153"/>
      <c r="D423" s="153"/>
      <c r="E423" s="153"/>
      <c r="F423" s="153"/>
      <c r="G423" s="153"/>
      <c r="H423" s="153"/>
      <c r="I423" s="153"/>
      <c r="J423" s="153"/>
      <c r="K423" s="153"/>
      <c r="L423" s="153"/>
      <c r="M423" s="153"/>
      <c r="N423" s="153"/>
      <c r="O423" s="153"/>
      <c r="P423" s="153"/>
    </row>
    <row r="424" spans="1:16" x14ac:dyDescent="0.2">
      <c r="A424" s="58" t="str">
        <v/>
      </c>
      <c r="B424" s="131" t="str">
        <f>IFERROR(TIMEVALUE(DaqBook_RAW_Data!AG414),IFERROR(TIMEVALUE(DaqBook_RAW_Data!A414),""))</f>
        <v/>
      </c>
      <c r="C424" s="153"/>
      <c r="D424" s="153"/>
      <c r="E424" s="153"/>
      <c r="F424" s="153"/>
      <c r="G424" s="153"/>
      <c r="H424" s="153"/>
      <c r="I424" s="153"/>
      <c r="J424" s="153"/>
      <c r="K424" s="153"/>
      <c r="L424" s="153"/>
      <c r="M424" s="153"/>
      <c r="N424" s="153"/>
      <c r="O424" s="153"/>
      <c r="P424" s="153"/>
    </row>
    <row r="425" spans="1:16" x14ac:dyDescent="0.2">
      <c r="A425" s="58" t="str">
        <v/>
      </c>
      <c r="B425" s="131" t="str">
        <f>IFERROR(TIMEVALUE(DaqBook_RAW_Data!AG415),IFERROR(TIMEVALUE(DaqBook_RAW_Data!A415),""))</f>
        <v/>
      </c>
      <c r="C425" s="153"/>
      <c r="D425" s="153"/>
      <c r="E425" s="153"/>
      <c r="F425" s="153"/>
      <c r="G425" s="153"/>
      <c r="H425" s="153"/>
      <c r="I425" s="153"/>
      <c r="J425" s="153"/>
      <c r="K425" s="153"/>
      <c r="L425" s="153"/>
      <c r="M425" s="153"/>
      <c r="N425" s="153"/>
      <c r="O425" s="153"/>
      <c r="P425" s="153"/>
    </row>
    <row r="426" spans="1:16" x14ac:dyDescent="0.2">
      <c r="A426" s="58" t="str">
        <v/>
      </c>
      <c r="B426" s="131" t="str">
        <f>IFERROR(TIMEVALUE(DaqBook_RAW_Data!AG416),IFERROR(TIMEVALUE(DaqBook_RAW_Data!A416),""))</f>
        <v/>
      </c>
      <c r="C426" s="153"/>
      <c r="D426" s="153"/>
      <c r="E426" s="153"/>
      <c r="F426" s="153"/>
      <c r="G426" s="153"/>
      <c r="H426" s="153"/>
      <c r="I426" s="153"/>
      <c r="J426" s="153"/>
      <c r="K426" s="153"/>
      <c r="L426" s="153"/>
      <c r="M426" s="153"/>
      <c r="N426" s="153"/>
      <c r="O426" s="153"/>
      <c r="P426" s="153"/>
    </row>
    <row r="427" spans="1:16" x14ac:dyDescent="0.2">
      <c r="A427" s="58" t="str">
        <v/>
      </c>
      <c r="B427" s="131" t="str">
        <f>IFERROR(TIMEVALUE(DaqBook_RAW_Data!AG417),IFERROR(TIMEVALUE(DaqBook_RAW_Data!A417),""))</f>
        <v/>
      </c>
      <c r="C427" s="153"/>
      <c r="D427" s="153"/>
      <c r="E427" s="153"/>
      <c r="F427" s="153"/>
      <c r="G427" s="153"/>
      <c r="H427" s="153"/>
      <c r="I427" s="153"/>
      <c r="J427" s="153"/>
      <c r="K427" s="153"/>
      <c r="L427" s="153"/>
      <c r="M427" s="153"/>
      <c r="N427" s="153"/>
      <c r="O427" s="153"/>
      <c r="P427" s="153"/>
    </row>
    <row r="428" spans="1:16" x14ac:dyDescent="0.2">
      <c r="A428" s="58" t="str">
        <v/>
      </c>
      <c r="B428" s="131" t="str">
        <f>IFERROR(TIMEVALUE(DaqBook_RAW_Data!AG418),IFERROR(TIMEVALUE(DaqBook_RAW_Data!A418),""))</f>
        <v/>
      </c>
      <c r="C428" s="153"/>
      <c r="D428" s="153"/>
      <c r="E428" s="153"/>
      <c r="F428" s="153"/>
      <c r="G428" s="153"/>
      <c r="H428" s="153"/>
      <c r="I428" s="153"/>
      <c r="J428" s="153"/>
      <c r="K428" s="153"/>
      <c r="L428" s="153"/>
      <c r="M428" s="153"/>
      <c r="N428" s="153"/>
      <c r="O428" s="153"/>
      <c r="P428" s="153"/>
    </row>
    <row r="429" spans="1:16" x14ac:dyDescent="0.2">
      <c r="A429" s="58" t="str">
        <v/>
      </c>
      <c r="B429" s="131" t="str">
        <f>IFERROR(TIMEVALUE(DaqBook_RAW_Data!AG419),IFERROR(TIMEVALUE(DaqBook_RAW_Data!A419),""))</f>
        <v/>
      </c>
      <c r="C429" s="153"/>
      <c r="D429" s="153"/>
      <c r="E429" s="153"/>
      <c r="F429" s="153"/>
      <c r="G429" s="153"/>
      <c r="H429" s="153"/>
      <c r="I429" s="153"/>
      <c r="J429" s="153"/>
      <c r="K429" s="153"/>
      <c r="L429" s="153"/>
      <c r="M429" s="153"/>
      <c r="N429" s="153"/>
      <c r="O429" s="153"/>
      <c r="P429" s="153"/>
    </row>
    <row r="430" spans="1:16" x14ac:dyDescent="0.2">
      <c r="A430" s="58" t="str">
        <v/>
      </c>
      <c r="B430" s="131" t="str">
        <f>IFERROR(TIMEVALUE(DaqBook_RAW_Data!AG420),IFERROR(TIMEVALUE(DaqBook_RAW_Data!A420),""))</f>
        <v/>
      </c>
      <c r="C430" s="153"/>
      <c r="D430" s="153"/>
      <c r="E430" s="153"/>
      <c r="F430" s="153"/>
      <c r="G430" s="153"/>
      <c r="H430" s="153"/>
      <c r="I430" s="153"/>
      <c r="J430" s="153"/>
      <c r="K430" s="153"/>
      <c r="L430" s="153"/>
      <c r="M430" s="153"/>
      <c r="N430" s="153"/>
      <c r="O430" s="153"/>
      <c r="P430" s="153"/>
    </row>
    <row r="431" spans="1:16" x14ac:dyDescent="0.2">
      <c r="A431" s="58" t="str">
        <v/>
      </c>
      <c r="B431" s="131" t="str">
        <f>IFERROR(TIMEVALUE(DaqBook_RAW_Data!AG421),IFERROR(TIMEVALUE(DaqBook_RAW_Data!A421),""))</f>
        <v/>
      </c>
      <c r="C431" s="153"/>
      <c r="D431" s="153"/>
      <c r="E431" s="153"/>
      <c r="F431" s="153"/>
      <c r="G431" s="153"/>
      <c r="H431" s="153"/>
      <c r="I431" s="153"/>
      <c r="J431" s="153"/>
      <c r="K431" s="153"/>
      <c r="L431" s="153"/>
      <c r="M431" s="153"/>
      <c r="N431" s="153"/>
      <c r="O431" s="153"/>
      <c r="P431" s="153"/>
    </row>
    <row r="432" spans="1:16" x14ac:dyDescent="0.2">
      <c r="A432" s="58" t="str">
        <v/>
      </c>
      <c r="B432" s="131" t="str">
        <f>IFERROR(TIMEVALUE(DaqBook_RAW_Data!AG422),IFERROR(TIMEVALUE(DaqBook_RAW_Data!A422),""))</f>
        <v/>
      </c>
      <c r="C432" s="153"/>
      <c r="D432" s="153"/>
      <c r="E432" s="153"/>
      <c r="F432" s="153"/>
      <c r="G432" s="153"/>
      <c r="H432" s="153"/>
      <c r="I432" s="153"/>
      <c r="J432" s="153"/>
      <c r="K432" s="153"/>
      <c r="L432" s="153"/>
      <c r="M432" s="153"/>
      <c r="N432" s="153"/>
      <c r="O432" s="153"/>
      <c r="P432" s="153"/>
    </row>
    <row r="433" spans="1:16" x14ac:dyDescent="0.2">
      <c r="A433" s="58" t="str">
        <v/>
      </c>
      <c r="B433" s="131" t="str">
        <f>IFERROR(TIMEVALUE(DaqBook_RAW_Data!AG423),IFERROR(TIMEVALUE(DaqBook_RAW_Data!A423),""))</f>
        <v/>
      </c>
      <c r="C433" s="153"/>
      <c r="D433" s="153"/>
      <c r="E433" s="153"/>
      <c r="F433" s="153"/>
      <c r="G433" s="153"/>
      <c r="H433" s="153"/>
      <c r="I433" s="153"/>
      <c r="J433" s="153"/>
      <c r="K433" s="153"/>
      <c r="L433" s="153"/>
      <c r="M433" s="153"/>
      <c r="N433" s="153"/>
      <c r="O433" s="153"/>
      <c r="P433" s="153"/>
    </row>
    <row r="434" spans="1:16" x14ac:dyDescent="0.2">
      <c r="A434" s="58" t="str">
        <v/>
      </c>
      <c r="B434" s="131" t="str">
        <f>IFERROR(TIMEVALUE(DaqBook_RAW_Data!AG424),IFERROR(TIMEVALUE(DaqBook_RAW_Data!A424),""))</f>
        <v/>
      </c>
      <c r="C434" s="153"/>
      <c r="D434" s="153"/>
      <c r="E434" s="153"/>
      <c r="F434" s="153"/>
      <c r="G434" s="153"/>
      <c r="H434" s="153"/>
      <c r="I434" s="153"/>
      <c r="J434" s="153"/>
      <c r="K434" s="153"/>
      <c r="L434" s="153"/>
      <c r="M434" s="153"/>
      <c r="N434" s="153"/>
      <c r="O434" s="153"/>
      <c r="P434" s="153"/>
    </row>
    <row r="435" spans="1:16" x14ac:dyDescent="0.2">
      <c r="A435" s="58" t="str">
        <v/>
      </c>
      <c r="B435" s="131" t="str">
        <f>IFERROR(TIMEVALUE(DaqBook_RAW_Data!AG425),IFERROR(TIMEVALUE(DaqBook_RAW_Data!A425),""))</f>
        <v/>
      </c>
      <c r="C435" s="153"/>
      <c r="D435" s="153"/>
      <c r="E435" s="153"/>
      <c r="F435" s="153"/>
      <c r="G435" s="153"/>
      <c r="H435" s="153"/>
      <c r="I435" s="153"/>
      <c r="J435" s="153"/>
      <c r="K435" s="153"/>
      <c r="L435" s="153"/>
      <c r="M435" s="153"/>
      <c r="N435" s="153"/>
      <c r="O435" s="153"/>
      <c r="P435" s="153"/>
    </row>
    <row r="436" spans="1:16" x14ac:dyDescent="0.2">
      <c r="A436" s="58" t="str">
        <v/>
      </c>
      <c r="B436" s="131" t="str">
        <f>IFERROR(TIMEVALUE(DaqBook_RAW_Data!AG426),IFERROR(TIMEVALUE(DaqBook_RAW_Data!A426),""))</f>
        <v/>
      </c>
      <c r="C436" s="153"/>
      <c r="D436" s="153"/>
      <c r="E436" s="153"/>
      <c r="F436" s="153"/>
      <c r="G436" s="153"/>
      <c r="H436" s="153"/>
      <c r="I436" s="153"/>
      <c r="J436" s="153"/>
      <c r="K436" s="153"/>
      <c r="L436" s="153"/>
      <c r="M436" s="153"/>
      <c r="N436" s="153"/>
      <c r="O436" s="153"/>
      <c r="P436" s="153"/>
    </row>
    <row r="437" spans="1:16" x14ac:dyDescent="0.2">
      <c r="A437" s="58" t="str">
        <v/>
      </c>
      <c r="B437" s="131" t="str">
        <f>IFERROR(TIMEVALUE(DaqBook_RAW_Data!AG427),IFERROR(TIMEVALUE(DaqBook_RAW_Data!A427),""))</f>
        <v/>
      </c>
      <c r="C437" s="153"/>
      <c r="D437" s="153"/>
      <c r="E437" s="153"/>
      <c r="F437" s="153"/>
      <c r="G437" s="153"/>
      <c r="H437" s="153"/>
      <c r="I437" s="153"/>
      <c r="J437" s="153"/>
      <c r="K437" s="153"/>
      <c r="L437" s="153"/>
      <c r="M437" s="153"/>
      <c r="N437" s="153"/>
      <c r="O437" s="153"/>
      <c r="P437" s="153"/>
    </row>
    <row r="438" spans="1:16" x14ac:dyDescent="0.2">
      <c r="A438" s="58" t="str">
        <v/>
      </c>
      <c r="B438" s="131" t="str">
        <f>IFERROR(TIMEVALUE(DaqBook_RAW_Data!AG428),IFERROR(TIMEVALUE(DaqBook_RAW_Data!A428),""))</f>
        <v/>
      </c>
      <c r="C438" s="153"/>
      <c r="D438" s="153"/>
      <c r="E438" s="153"/>
      <c r="F438" s="153"/>
      <c r="G438" s="153"/>
      <c r="H438" s="153"/>
      <c r="I438" s="153"/>
      <c r="J438" s="153"/>
      <c r="K438" s="153"/>
      <c r="L438" s="153"/>
      <c r="M438" s="153"/>
      <c r="N438" s="153"/>
      <c r="O438" s="153"/>
      <c r="P438" s="153"/>
    </row>
    <row r="439" spans="1:16" x14ac:dyDescent="0.2">
      <c r="A439" s="58" t="str">
        <v/>
      </c>
      <c r="B439" s="131" t="str">
        <f>IFERROR(TIMEVALUE(DaqBook_RAW_Data!AG429),IFERROR(TIMEVALUE(DaqBook_RAW_Data!A429),""))</f>
        <v/>
      </c>
      <c r="C439" s="153"/>
      <c r="D439" s="153"/>
      <c r="E439" s="153"/>
      <c r="F439" s="153"/>
      <c r="G439" s="153"/>
      <c r="H439" s="153"/>
      <c r="I439" s="153"/>
      <c r="J439" s="153"/>
      <c r="K439" s="153"/>
      <c r="L439" s="153"/>
      <c r="M439" s="153"/>
      <c r="N439" s="153"/>
      <c r="O439" s="153"/>
      <c r="P439" s="153"/>
    </row>
    <row r="440" spans="1:16" x14ac:dyDescent="0.2">
      <c r="A440" s="58" t="str">
        <v/>
      </c>
      <c r="B440" s="131" t="str">
        <f>IFERROR(TIMEVALUE(DaqBook_RAW_Data!AG430),IFERROR(TIMEVALUE(DaqBook_RAW_Data!A430),""))</f>
        <v/>
      </c>
      <c r="C440" s="153"/>
      <c r="D440" s="153"/>
      <c r="E440" s="153"/>
      <c r="F440" s="153"/>
      <c r="G440" s="153"/>
      <c r="H440" s="153"/>
      <c r="I440" s="153"/>
      <c r="J440" s="153"/>
      <c r="K440" s="153"/>
      <c r="L440" s="153"/>
      <c r="M440" s="153"/>
      <c r="N440" s="153"/>
      <c r="O440" s="153"/>
      <c r="P440" s="153"/>
    </row>
    <row r="441" spans="1:16" x14ac:dyDescent="0.2">
      <c r="A441" s="58" t="str">
        <v/>
      </c>
      <c r="B441" s="131" t="str">
        <f>IFERROR(TIMEVALUE(DaqBook_RAW_Data!AG431),IFERROR(TIMEVALUE(DaqBook_RAW_Data!A431),""))</f>
        <v/>
      </c>
      <c r="C441" s="153"/>
      <c r="D441" s="153"/>
      <c r="E441" s="153"/>
      <c r="F441" s="153"/>
      <c r="G441" s="153"/>
      <c r="H441" s="153"/>
      <c r="I441" s="153"/>
      <c r="J441" s="153"/>
      <c r="K441" s="153"/>
      <c r="L441" s="153"/>
      <c r="M441" s="153"/>
      <c r="N441" s="153"/>
      <c r="O441" s="153"/>
      <c r="P441" s="153"/>
    </row>
    <row r="442" spans="1:16" x14ac:dyDescent="0.2">
      <c r="A442" s="58" t="str">
        <v/>
      </c>
      <c r="B442" s="131" t="str">
        <f>IFERROR(TIMEVALUE(DaqBook_RAW_Data!AG432),IFERROR(TIMEVALUE(DaqBook_RAW_Data!A432),""))</f>
        <v/>
      </c>
      <c r="C442" s="153"/>
      <c r="D442" s="153"/>
      <c r="E442" s="153"/>
      <c r="F442" s="153"/>
      <c r="G442" s="153"/>
      <c r="H442" s="153"/>
      <c r="I442" s="153"/>
      <c r="J442" s="153"/>
      <c r="K442" s="153"/>
      <c r="L442" s="153"/>
      <c r="M442" s="153"/>
      <c r="N442" s="153"/>
      <c r="O442" s="153"/>
      <c r="P442" s="153"/>
    </row>
    <row r="443" spans="1:16" x14ac:dyDescent="0.2">
      <c r="A443" s="58" t="str">
        <v/>
      </c>
      <c r="B443" s="131" t="str">
        <f>IFERROR(TIMEVALUE(DaqBook_RAW_Data!AG433),IFERROR(TIMEVALUE(DaqBook_RAW_Data!A433),""))</f>
        <v/>
      </c>
      <c r="C443" s="153"/>
      <c r="D443" s="153"/>
      <c r="E443" s="153"/>
      <c r="F443" s="153"/>
      <c r="G443" s="153"/>
      <c r="H443" s="153"/>
      <c r="I443" s="153"/>
      <c r="J443" s="153"/>
      <c r="K443" s="153"/>
      <c r="L443" s="153"/>
      <c r="M443" s="153"/>
      <c r="N443" s="153"/>
      <c r="O443" s="153"/>
      <c r="P443" s="153"/>
    </row>
    <row r="444" spans="1:16" x14ac:dyDescent="0.2">
      <c r="A444" s="58" t="str">
        <v/>
      </c>
      <c r="B444" s="131" t="str">
        <f>IFERROR(TIMEVALUE(DaqBook_RAW_Data!AG434),IFERROR(TIMEVALUE(DaqBook_RAW_Data!A434),""))</f>
        <v/>
      </c>
      <c r="C444" s="153"/>
      <c r="D444" s="153"/>
      <c r="E444" s="153"/>
      <c r="F444" s="153"/>
      <c r="G444" s="153"/>
      <c r="H444" s="153"/>
      <c r="I444" s="153"/>
      <c r="J444" s="153"/>
      <c r="K444" s="153"/>
      <c r="L444" s="153"/>
      <c r="M444" s="153"/>
      <c r="N444" s="153"/>
      <c r="O444" s="153"/>
      <c r="P444" s="153"/>
    </row>
    <row r="445" spans="1:16" x14ac:dyDescent="0.2">
      <c r="A445" s="58" t="str">
        <v/>
      </c>
      <c r="B445" s="131" t="str">
        <f>IFERROR(TIMEVALUE(DaqBook_RAW_Data!AG435),IFERROR(TIMEVALUE(DaqBook_RAW_Data!A435),""))</f>
        <v/>
      </c>
      <c r="C445" s="153"/>
      <c r="D445" s="153"/>
      <c r="E445" s="153"/>
      <c r="F445" s="153"/>
      <c r="G445" s="153"/>
      <c r="H445" s="153"/>
      <c r="I445" s="153"/>
      <c r="J445" s="153"/>
      <c r="K445" s="153"/>
      <c r="L445" s="153"/>
      <c r="M445" s="153"/>
      <c r="N445" s="153"/>
      <c r="O445" s="153"/>
      <c r="P445" s="153"/>
    </row>
    <row r="446" spans="1:16" x14ac:dyDescent="0.2">
      <c r="A446" s="58" t="str">
        <v/>
      </c>
      <c r="B446" s="131" t="str">
        <f>IFERROR(TIMEVALUE(DaqBook_RAW_Data!AG436),IFERROR(TIMEVALUE(DaqBook_RAW_Data!A436),""))</f>
        <v/>
      </c>
      <c r="C446" s="153"/>
      <c r="D446" s="153"/>
      <c r="E446" s="153"/>
      <c r="F446" s="153"/>
      <c r="G446" s="153"/>
      <c r="H446" s="153"/>
      <c r="I446" s="153"/>
      <c r="J446" s="153"/>
      <c r="K446" s="153"/>
      <c r="L446" s="153"/>
      <c r="M446" s="153"/>
      <c r="N446" s="153"/>
      <c r="O446" s="153"/>
      <c r="P446" s="153"/>
    </row>
    <row r="447" spans="1:16" x14ac:dyDescent="0.2">
      <c r="A447" s="58" t="str">
        <v/>
      </c>
      <c r="B447" s="131" t="str">
        <f>IFERROR(TIMEVALUE(DaqBook_RAW_Data!AG437),IFERROR(TIMEVALUE(DaqBook_RAW_Data!A437),""))</f>
        <v/>
      </c>
      <c r="C447" s="153"/>
      <c r="D447" s="153"/>
      <c r="E447" s="153"/>
      <c r="F447" s="153"/>
      <c r="G447" s="153"/>
      <c r="H447" s="153"/>
      <c r="I447" s="153"/>
      <c r="J447" s="153"/>
      <c r="K447" s="153"/>
      <c r="L447" s="153"/>
      <c r="M447" s="153"/>
      <c r="N447" s="153"/>
      <c r="O447" s="153"/>
      <c r="P447" s="153"/>
    </row>
    <row r="448" spans="1:16" x14ac:dyDescent="0.2">
      <c r="A448" s="58" t="str">
        <v/>
      </c>
      <c r="B448" s="131" t="str">
        <f>IFERROR(TIMEVALUE(DaqBook_RAW_Data!AG438),IFERROR(TIMEVALUE(DaqBook_RAW_Data!A438),""))</f>
        <v/>
      </c>
      <c r="C448" s="153"/>
      <c r="D448" s="153"/>
      <c r="E448" s="153"/>
      <c r="F448" s="153"/>
      <c r="G448" s="153"/>
      <c r="H448" s="153"/>
      <c r="I448" s="153"/>
      <c r="J448" s="153"/>
      <c r="K448" s="153"/>
      <c r="L448" s="153"/>
      <c r="M448" s="153"/>
      <c r="N448" s="153"/>
      <c r="O448" s="153"/>
      <c r="P448" s="153"/>
    </row>
    <row r="449" spans="1:16" x14ac:dyDescent="0.2">
      <c r="A449" s="58" t="str">
        <v/>
      </c>
      <c r="B449" s="131" t="str">
        <f>IFERROR(TIMEVALUE(DaqBook_RAW_Data!AG439),IFERROR(TIMEVALUE(DaqBook_RAW_Data!A439),""))</f>
        <v/>
      </c>
      <c r="C449" s="153"/>
      <c r="D449" s="153"/>
      <c r="E449" s="153"/>
      <c r="F449" s="153"/>
      <c r="G449" s="153"/>
      <c r="H449" s="153"/>
      <c r="I449" s="153"/>
      <c r="J449" s="153"/>
      <c r="K449" s="153"/>
      <c r="L449" s="153"/>
      <c r="M449" s="153"/>
      <c r="N449" s="153"/>
      <c r="O449" s="153"/>
      <c r="P449" s="153"/>
    </row>
    <row r="450" spans="1:16" x14ac:dyDescent="0.2">
      <c r="A450" s="58" t="str">
        <v/>
      </c>
      <c r="B450" s="131" t="str">
        <f>IFERROR(TIMEVALUE(DaqBook_RAW_Data!AG440),IFERROR(TIMEVALUE(DaqBook_RAW_Data!A440),""))</f>
        <v/>
      </c>
      <c r="C450" s="153"/>
      <c r="D450" s="153"/>
      <c r="E450" s="153"/>
      <c r="F450" s="153"/>
      <c r="G450" s="153"/>
      <c r="H450" s="153"/>
      <c r="I450" s="153"/>
      <c r="J450" s="153"/>
      <c r="K450" s="153"/>
      <c r="L450" s="153"/>
      <c r="M450" s="153"/>
      <c r="N450" s="153"/>
      <c r="O450" s="153"/>
      <c r="P450" s="153"/>
    </row>
    <row r="451" spans="1:16" x14ac:dyDescent="0.2">
      <c r="A451" s="58" t="str">
        <v/>
      </c>
      <c r="B451" s="131" t="str">
        <f>IFERROR(TIMEVALUE(DaqBook_RAW_Data!AG441),IFERROR(TIMEVALUE(DaqBook_RAW_Data!A441),""))</f>
        <v/>
      </c>
      <c r="C451" s="153"/>
      <c r="D451" s="153"/>
      <c r="E451" s="153"/>
      <c r="F451" s="153"/>
      <c r="G451" s="153"/>
      <c r="H451" s="153"/>
      <c r="I451" s="153"/>
      <c r="J451" s="153"/>
      <c r="K451" s="153"/>
      <c r="L451" s="153"/>
      <c r="M451" s="153"/>
      <c r="N451" s="153"/>
      <c r="O451" s="153"/>
      <c r="P451" s="153"/>
    </row>
    <row r="452" spans="1:16" x14ac:dyDescent="0.2">
      <c r="A452" s="58" t="str">
        <v/>
      </c>
      <c r="B452" s="131" t="str">
        <f>IFERROR(TIMEVALUE(DaqBook_RAW_Data!AG442),IFERROR(TIMEVALUE(DaqBook_RAW_Data!A442),""))</f>
        <v/>
      </c>
      <c r="C452" s="153"/>
      <c r="D452" s="153"/>
      <c r="E452" s="153"/>
      <c r="F452" s="153"/>
      <c r="G452" s="153"/>
      <c r="H452" s="153"/>
      <c r="I452" s="153"/>
      <c r="J452" s="153"/>
      <c r="K452" s="153"/>
      <c r="L452" s="153"/>
      <c r="M452" s="153"/>
      <c r="N452" s="153"/>
      <c r="O452" s="153"/>
      <c r="P452" s="153"/>
    </row>
    <row r="453" spans="1:16" x14ac:dyDescent="0.2">
      <c r="A453" s="58" t="str">
        <v/>
      </c>
      <c r="B453" s="131" t="str">
        <f>IFERROR(TIMEVALUE(DaqBook_RAW_Data!AG443),IFERROR(TIMEVALUE(DaqBook_RAW_Data!A443),""))</f>
        <v/>
      </c>
      <c r="C453" s="153"/>
      <c r="D453" s="153"/>
      <c r="E453" s="153"/>
      <c r="F453" s="153"/>
      <c r="G453" s="153"/>
      <c r="H453" s="153"/>
      <c r="I453" s="153"/>
      <c r="J453" s="153"/>
      <c r="K453" s="153"/>
      <c r="L453" s="153"/>
      <c r="M453" s="153"/>
      <c r="N453" s="153"/>
      <c r="O453" s="153"/>
      <c r="P453" s="153"/>
    </row>
    <row r="454" spans="1:16" x14ac:dyDescent="0.2">
      <c r="A454" s="58" t="str">
        <v/>
      </c>
      <c r="B454" s="131" t="str">
        <f>IFERROR(TIMEVALUE(DaqBook_RAW_Data!AG444),IFERROR(TIMEVALUE(DaqBook_RAW_Data!A444),""))</f>
        <v/>
      </c>
      <c r="C454" s="153"/>
      <c r="D454" s="153"/>
      <c r="E454" s="153"/>
      <c r="F454" s="153"/>
      <c r="G454" s="153"/>
      <c r="H454" s="153"/>
      <c r="I454" s="153"/>
      <c r="J454" s="153"/>
      <c r="K454" s="153"/>
      <c r="L454" s="153"/>
      <c r="M454" s="153"/>
      <c r="N454" s="153"/>
      <c r="O454" s="153"/>
      <c r="P454" s="153"/>
    </row>
    <row r="455" spans="1:16" x14ac:dyDescent="0.2">
      <c r="A455" s="58" t="str">
        <v/>
      </c>
      <c r="B455" s="131" t="str">
        <f>IFERROR(TIMEVALUE(DaqBook_RAW_Data!AG445),IFERROR(TIMEVALUE(DaqBook_RAW_Data!A445),""))</f>
        <v/>
      </c>
      <c r="C455" s="153"/>
      <c r="D455" s="153"/>
      <c r="E455" s="153"/>
      <c r="F455" s="153"/>
      <c r="G455" s="153"/>
      <c r="H455" s="153"/>
      <c r="I455" s="153"/>
      <c r="J455" s="153"/>
      <c r="K455" s="153"/>
      <c r="L455" s="153"/>
      <c r="M455" s="153"/>
      <c r="N455" s="153"/>
      <c r="O455" s="153"/>
      <c r="P455" s="153"/>
    </row>
    <row r="456" spans="1:16" x14ac:dyDescent="0.2">
      <c r="A456" s="58" t="str">
        <v/>
      </c>
      <c r="B456" s="131" t="str">
        <f>IFERROR(TIMEVALUE(DaqBook_RAW_Data!AG446),IFERROR(TIMEVALUE(DaqBook_RAW_Data!A446),""))</f>
        <v/>
      </c>
      <c r="C456" s="153"/>
      <c r="D456" s="153"/>
      <c r="E456" s="153"/>
      <c r="F456" s="153"/>
      <c r="G456" s="153"/>
      <c r="H456" s="153"/>
      <c r="I456" s="153"/>
      <c r="J456" s="153"/>
      <c r="K456" s="153"/>
      <c r="L456" s="153"/>
      <c r="M456" s="153"/>
      <c r="N456" s="153"/>
      <c r="O456" s="153"/>
      <c r="P456" s="153"/>
    </row>
    <row r="457" spans="1:16" x14ac:dyDescent="0.2">
      <c r="A457" s="58" t="str">
        <v/>
      </c>
      <c r="B457" s="131" t="str">
        <f>IFERROR(TIMEVALUE(DaqBook_RAW_Data!AG447),IFERROR(TIMEVALUE(DaqBook_RAW_Data!A447),""))</f>
        <v/>
      </c>
      <c r="C457" s="153"/>
      <c r="D457" s="153"/>
      <c r="E457" s="153"/>
      <c r="F457" s="153"/>
      <c r="G457" s="153"/>
      <c r="H457" s="153"/>
      <c r="I457" s="153"/>
      <c r="J457" s="153"/>
      <c r="K457" s="153"/>
      <c r="L457" s="153"/>
      <c r="M457" s="153"/>
      <c r="N457" s="153"/>
      <c r="O457" s="153"/>
      <c r="P457" s="153"/>
    </row>
    <row r="458" spans="1:16" x14ac:dyDescent="0.2">
      <c r="A458" s="58" t="str">
        <v/>
      </c>
      <c r="B458" s="131" t="str">
        <f>IFERROR(TIMEVALUE(DaqBook_RAW_Data!AG448),IFERROR(TIMEVALUE(DaqBook_RAW_Data!A448),""))</f>
        <v/>
      </c>
      <c r="C458" s="153"/>
      <c r="D458" s="153"/>
      <c r="E458" s="153"/>
      <c r="F458" s="153"/>
      <c r="G458" s="153"/>
      <c r="H458" s="153"/>
      <c r="I458" s="153"/>
      <c r="J458" s="153"/>
      <c r="K458" s="153"/>
      <c r="L458" s="153"/>
      <c r="M458" s="153"/>
      <c r="N458" s="153"/>
      <c r="O458" s="153"/>
      <c r="P458" s="153"/>
    </row>
    <row r="459" spans="1:16" x14ac:dyDescent="0.2">
      <c r="A459" s="58" t="str">
        <v/>
      </c>
      <c r="B459" s="131" t="str">
        <f>IFERROR(TIMEVALUE(DaqBook_RAW_Data!AG449),IFERROR(TIMEVALUE(DaqBook_RAW_Data!A449),""))</f>
        <v/>
      </c>
      <c r="C459" s="153"/>
      <c r="D459" s="153"/>
      <c r="E459" s="153"/>
      <c r="F459" s="153"/>
      <c r="G459" s="153"/>
      <c r="H459" s="153"/>
      <c r="I459" s="153"/>
      <c r="J459" s="153"/>
      <c r="K459" s="153"/>
      <c r="L459" s="153"/>
      <c r="M459" s="153"/>
      <c r="N459" s="153"/>
      <c r="O459" s="153"/>
      <c r="P459" s="153"/>
    </row>
    <row r="460" spans="1:16" x14ac:dyDescent="0.2">
      <c r="A460" s="58" t="str">
        <v/>
      </c>
      <c r="B460" s="131" t="str">
        <f>IFERROR(TIMEVALUE(DaqBook_RAW_Data!AG450),IFERROR(TIMEVALUE(DaqBook_RAW_Data!A450),""))</f>
        <v/>
      </c>
      <c r="C460" s="153"/>
      <c r="D460" s="153"/>
      <c r="E460" s="153"/>
      <c r="F460" s="153"/>
      <c r="G460" s="153"/>
      <c r="H460" s="153"/>
      <c r="I460" s="153"/>
      <c r="J460" s="153"/>
      <c r="K460" s="153"/>
      <c r="L460" s="153"/>
      <c r="M460" s="153"/>
      <c r="N460" s="153"/>
      <c r="O460" s="153"/>
      <c r="P460" s="153"/>
    </row>
    <row r="461" spans="1:16" x14ac:dyDescent="0.2">
      <c r="A461" s="58" t="str">
        <v/>
      </c>
      <c r="B461" s="131" t="str">
        <f>IFERROR(TIMEVALUE(DaqBook_RAW_Data!AG451),IFERROR(TIMEVALUE(DaqBook_RAW_Data!A451),""))</f>
        <v/>
      </c>
      <c r="C461" s="153"/>
      <c r="D461" s="153"/>
      <c r="E461" s="153"/>
      <c r="F461" s="153"/>
      <c r="G461" s="153"/>
      <c r="H461" s="153"/>
      <c r="I461" s="153"/>
      <c r="J461" s="153"/>
      <c r="K461" s="153"/>
      <c r="L461" s="153"/>
      <c r="M461" s="153"/>
      <c r="N461" s="153"/>
      <c r="O461" s="153"/>
      <c r="P461" s="153"/>
    </row>
    <row r="462" spans="1:16" x14ac:dyDescent="0.2">
      <c r="A462" s="58" t="str">
        <v/>
      </c>
      <c r="B462" s="131" t="str">
        <f>IFERROR(TIMEVALUE(DaqBook_RAW_Data!AG452),IFERROR(TIMEVALUE(DaqBook_RAW_Data!A452),""))</f>
        <v/>
      </c>
      <c r="C462" s="153"/>
      <c r="D462" s="153"/>
      <c r="E462" s="153"/>
      <c r="F462" s="153"/>
      <c r="G462" s="153"/>
      <c r="H462" s="153"/>
      <c r="I462" s="153"/>
      <c r="J462" s="153"/>
      <c r="K462" s="153"/>
      <c r="L462" s="153"/>
      <c r="M462" s="153"/>
      <c r="N462" s="153"/>
      <c r="O462" s="153"/>
      <c r="P462" s="153"/>
    </row>
    <row r="463" spans="1:16" x14ac:dyDescent="0.2">
      <c r="A463" s="58" t="str">
        <v/>
      </c>
      <c r="B463" s="131" t="str">
        <f>IFERROR(TIMEVALUE(DaqBook_RAW_Data!AG453),IFERROR(TIMEVALUE(DaqBook_RAW_Data!A453),""))</f>
        <v/>
      </c>
      <c r="C463" s="153"/>
      <c r="D463" s="153"/>
      <c r="E463" s="153"/>
      <c r="F463" s="153"/>
      <c r="G463" s="153"/>
      <c r="H463" s="153"/>
      <c r="I463" s="153"/>
      <c r="J463" s="153"/>
      <c r="K463" s="153"/>
      <c r="L463" s="153"/>
      <c r="M463" s="153"/>
      <c r="N463" s="153"/>
      <c r="O463" s="153"/>
      <c r="P463" s="153"/>
    </row>
    <row r="464" spans="1:16" x14ac:dyDescent="0.2">
      <c r="A464" s="58" t="str">
        <v/>
      </c>
      <c r="B464" s="131" t="str">
        <f>IFERROR(TIMEVALUE(DaqBook_RAW_Data!AG454),IFERROR(TIMEVALUE(DaqBook_RAW_Data!A454),""))</f>
        <v/>
      </c>
      <c r="C464" s="153"/>
      <c r="D464" s="153"/>
      <c r="E464" s="153"/>
      <c r="F464" s="153"/>
      <c r="G464" s="153"/>
      <c r="H464" s="153"/>
      <c r="I464" s="153"/>
      <c r="J464" s="153"/>
      <c r="K464" s="153"/>
      <c r="L464" s="153"/>
      <c r="M464" s="153"/>
      <c r="N464" s="153"/>
      <c r="O464" s="153"/>
      <c r="P464" s="153"/>
    </row>
    <row r="465" spans="1:16" x14ac:dyDescent="0.2">
      <c r="A465" s="58" t="str">
        <v/>
      </c>
      <c r="B465" s="131" t="str">
        <f>IFERROR(TIMEVALUE(DaqBook_RAW_Data!AG455),IFERROR(TIMEVALUE(DaqBook_RAW_Data!A455),""))</f>
        <v/>
      </c>
      <c r="C465" s="153"/>
      <c r="D465" s="153"/>
      <c r="E465" s="153"/>
      <c r="F465" s="153"/>
      <c r="G465" s="153"/>
      <c r="H465" s="153"/>
      <c r="I465" s="153"/>
      <c r="J465" s="153"/>
      <c r="K465" s="153"/>
      <c r="L465" s="153"/>
      <c r="M465" s="153"/>
      <c r="N465" s="153"/>
      <c r="O465" s="153"/>
      <c r="P465" s="153"/>
    </row>
    <row r="466" spans="1:16" x14ac:dyDescent="0.2">
      <c r="A466" s="58" t="str">
        <v/>
      </c>
      <c r="B466" s="131" t="str">
        <f>IFERROR(TIMEVALUE(DaqBook_RAW_Data!AG456),IFERROR(TIMEVALUE(DaqBook_RAW_Data!A456),""))</f>
        <v/>
      </c>
      <c r="C466" s="153"/>
      <c r="D466" s="153"/>
      <c r="E466" s="153"/>
      <c r="F466" s="153"/>
      <c r="G466" s="153"/>
      <c r="H466" s="153"/>
      <c r="I466" s="153"/>
      <c r="J466" s="153"/>
      <c r="K466" s="153"/>
      <c r="L466" s="153"/>
      <c r="M466" s="153"/>
      <c r="N466" s="153"/>
      <c r="O466" s="153"/>
      <c r="P466" s="153"/>
    </row>
    <row r="467" spans="1:16" x14ac:dyDescent="0.2">
      <c r="A467" s="58" t="str">
        <v/>
      </c>
      <c r="B467" s="131" t="str">
        <f>IFERROR(TIMEVALUE(DaqBook_RAW_Data!AG457),IFERROR(TIMEVALUE(DaqBook_RAW_Data!A457),""))</f>
        <v/>
      </c>
      <c r="C467" s="153"/>
      <c r="D467" s="153"/>
      <c r="E467" s="153"/>
      <c r="F467" s="153"/>
      <c r="G467" s="153"/>
      <c r="H467" s="153"/>
      <c r="I467" s="153"/>
      <c r="J467" s="153"/>
      <c r="K467" s="153"/>
      <c r="L467" s="153"/>
      <c r="M467" s="153"/>
      <c r="N467" s="153"/>
      <c r="O467" s="153"/>
      <c r="P467" s="153"/>
    </row>
    <row r="468" spans="1:16" x14ac:dyDescent="0.2">
      <c r="A468" s="58" t="str">
        <v/>
      </c>
      <c r="B468" s="131" t="str">
        <f>IFERROR(TIMEVALUE(DaqBook_RAW_Data!AG458),IFERROR(TIMEVALUE(DaqBook_RAW_Data!A458),""))</f>
        <v/>
      </c>
      <c r="C468" s="153"/>
      <c r="D468" s="153"/>
      <c r="E468" s="153"/>
      <c r="F468" s="153"/>
      <c r="G468" s="153"/>
      <c r="H468" s="153"/>
      <c r="I468" s="153"/>
      <c r="J468" s="153"/>
      <c r="K468" s="153"/>
      <c r="L468" s="153"/>
      <c r="M468" s="153"/>
      <c r="N468" s="153"/>
      <c r="O468" s="153"/>
      <c r="P468" s="153"/>
    </row>
    <row r="469" spans="1:16" x14ac:dyDescent="0.2">
      <c r="A469" s="58" t="str">
        <v/>
      </c>
      <c r="B469" s="131" t="str">
        <f>IFERROR(TIMEVALUE(DaqBook_RAW_Data!AG459),IFERROR(TIMEVALUE(DaqBook_RAW_Data!A459),""))</f>
        <v/>
      </c>
      <c r="C469" s="153"/>
      <c r="D469" s="153"/>
      <c r="E469" s="153"/>
      <c r="F469" s="153"/>
      <c r="G469" s="153"/>
      <c r="H469" s="153"/>
      <c r="I469" s="153"/>
      <c r="J469" s="153"/>
      <c r="K469" s="153"/>
      <c r="L469" s="153"/>
      <c r="M469" s="153"/>
      <c r="N469" s="153"/>
      <c r="O469" s="153"/>
      <c r="P469" s="153"/>
    </row>
    <row r="470" spans="1:16" x14ac:dyDescent="0.2">
      <c r="A470" s="58" t="str">
        <v/>
      </c>
      <c r="B470" s="131" t="str">
        <f>IFERROR(TIMEVALUE(DaqBook_RAW_Data!AG460),IFERROR(TIMEVALUE(DaqBook_RAW_Data!A460),""))</f>
        <v/>
      </c>
      <c r="C470" s="153"/>
      <c r="D470" s="153"/>
      <c r="E470" s="153"/>
      <c r="F470" s="153"/>
      <c r="G470" s="153"/>
      <c r="H470" s="153"/>
      <c r="I470" s="153"/>
      <c r="J470" s="153"/>
      <c r="K470" s="153"/>
      <c r="L470" s="153"/>
      <c r="M470" s="153"/>
      <c r="N470" s="153"/>
      <c r="O470" s="153"/>
      <c r="P470" s="153"/>
    </row>
    <row r="471" spans="1:16" x14ac:dyDescent="0.2">
      <c r="A471" s="58" t="str">
        <v/>
      </c>
      <c r="B471" s="131" t="str">
        <f>IFERROR(TIMEVALUE(DaqBook_RAW_Data!AG461),IFERROR(TIMEVALUE(DaqBook_RAW_Data!A461),""))</f>
        <v/>
      </c>
      <c r="C471" s="153"/>
      <c r="D471" s="153"/>
      <c r="E471" s="153"/>
      <c r="F471" s="153"/>
      <c r="G471" s="153"/>
      <c r="H471" s="153"/>
      <c r="I471" s="153"/>
      <c r="J471" s="153"/>
      <c r="K471" s="153"/>
      <c r="L471" s="153"/>
      <c r="M471" s="153"/>
      <c r="N471" s="153"/>
      <c r="O471" s="153"/>
      <c r="P471" s="153"/>
    </row>
    <row r="472" spans="1:16" x14ac:dyDescent="0.2">
      <c r="A472" s="58" t="str">
        <v/>
      </c>
      <c r="B472" s="131" t="str">
        <f>IFERROR(TIMEVALUE(DaqBook_RAW_Data!AG462),IFERROR(TIMEVALUE(DaqBook_RAW_Data!A462),""))</f>
        <v/>
      </c>
      <c r="C472" s="153"/>
      <c r="D472" s="153"/>
      <c r="E472" s="153"/>
      <c r="F472" s="153"/>
      <c r="G472" s="153"/>
      <c r="H472" s="153"/>
      <c r="I472" s="153"/>
      <c r="J472" s="153"/>
      <c r="K472" s="153"/>
      <c r="L472" s="153"/>
      <c r="M472" s="153"/>
      <c r="N472" s="153"/>
      <c r="O472" s="153"/>
      <c r="P472" s="153"/>
    </row>
    <row r="473" spans="1:16" x14ac:dyDescent="0.2">
      <c r="A473" s="58" t="str">
        <v/>
      </c>
      <c r="B473" s="131" t="str">
        <f>IFERROR(TIMEVALUE(DaqBook_RAW_Data!AG463),IFERROR(TIMEVALUE(DaqBook_RAW_Data!A463),""))</f>
        <v/>
      </c>
      <c r="C473" s="153"/>
      <c r="D473" s="153"/>
      <c r="E473" s="153"/>
      <c r="F473" s="153"/>
      <c r="G473" s="153"/>
      <c r="H473" s="153"/>
      <c r="I473" s="153"/>
      <c r="J473" s="153"/>
      <c r="K473" s="153"/>
      <c r="L473" s="153"/>
      <c r="M473" s="153"/>
      <c r="N473" s="153"/>
      <c r="O473" s="153"/>
      <c r="P473" s="153"/>
    </row>
    <row r="474" spans="1:16" x14ac:dyDescent="0.2">
      <c r="A474" s="58" t="str">
        <v/>
      </c>
      <c r="B474" s="131" t="str">
        <f>IFERROR(TIMEVALUE(DaqBook_RAW_Data!AG464),IFERROR(TIMEVALUE(DaqBook_RAW_Data!A464),""))</f>
        <v/>
      </c>
      <c r="C474" s="153"/>
      <c r="D474" s="153"/>
      <c r="E474" s="153"/>
      <c r="F474" s="153"/>
      <c r="G474" s="153"/>
      <c r="H474" s="153"/>
      <c r="I474" s="153"/>
      <c r="J474" s="153"/>
      <c r="K474" s="153"/>
      <c r="L474" s="153"/>
      <c r="M474" s="153"/>
      <c r="N474" s="153"/>
      <c r="O474" s="153"/>
      <c r="P474" s="153"/>
    </row>
    <row r="475" spans="1:16" x14ac:dyDescent="0.2">
      <c r="A475" s="58" t="str">
        <v/>
      </c>
      <c r="B475" s="131" t="str">
        <f>IFERROR(TIMEVALUE(DaqBook_RAW_Data!AG465),IFERROR(TIMEVALUE(DaqBook_RAW_Data!A465),""))</f>
        <v/>
      </c>
      <c r="C475" s="153"/>
      <c r="D475" s="153"/>
      <c r="E475" s="153"/>
      <c r="F475" s="153"/>
      <c r="G475" s="153"/>
      <c r="H475" s="153"/>
      <c r="I475" s="153"/>
      <c r="J475" s="153"/>
      <c r="K475" s="153"/>
      <c r="L475" s="153"/>
      <c r="M475" s="153"/>
      <c r="N475" s="153"/>
      <c r="O475" s="153"/>
      <c r="P475" s="153"/>
    </row>
    <row r="476" spans="1:16" x14ac:dyDescent="0.2">
      <c r="A476" s="58" t="str">
        <v/>
      </c>
      <c r="B476" s="131" t="str">
        <f>IFERROR(TIMEVALUE(DaqBook_RAW_Data!AG466),IFERROR(TIMEVALUE(DaqBook_RAW_Data!A466),""))</f>
        <v/>
      </c>
      <c r="C476" s="153"/>
      <c r="D476" s="153"/>
      <c r="E476" s="153"/>
      <c r="F476" s="153"/>
      <c r="G476" s="153"/>
      <c r="H476" s="153"/>
      <c r="I476" s="153"/>
      <c r="J476" s="153"/>
      <c r="K476" s="153"/>
      <c r="L476" s="153"/>
      <c r="M476" s="153"/>
      <c r="N476" s="153"/>
      <c r="O476" s="153"/>
      <c r="P476" s="153"/>
    </row>
    <row r="477" spans="1:16" x14ac:dyDescent="0.2">
      <c r="A477" s="58" t="str">
        <v/>
      </c>
      <c r="B477" s="131" t="str">
        <f>IFERROR(TIMEVALUE(DaqBook_RAW_Data!AG467),IFERROR(TIMEVALUE(DaqBook_RAW_Data!A467),""))</f>
        <v/>
      </c>
      <c r="C477" s="153"/>
      <c r="D477" s="153"/>
      <c r="E477" s="153"/>
      <c r="F477" s="153"/>
      <c r="G477" s="153"/>
      <c r="H477" s="153"/>
      <c r="I477" s="153"/>
      <c r="J477" s="153"/>
      <c r="K477" s="153"/>
      <c r="L477" s="153"/>
      <c r="M477" s="153"/>
      <c r="N477" s="153"/>
      <c r="O477" s="153"/>
      <c r="P477" s="153"/>
    </row>
    <row r="478" spans="1:16" x14ac:dyDescent="0.2">
      <c r="A478" s="58" t="str">
        <v/>
      </c>
      <c r="B478" s="131" t="str">
        <f>IFERROR(TIMEVALUE(DaqBook_RAW_Data!AG468),IFERROR(TIMEVALUE(DaqBook_RAW_Data!A468),""))</f>
        <v/>
      </c>
      <c r="C478" s="153"/>
      <c r="D478" s="153"/>
      <c r="E478" s="153"/>
      <c r="F478" s="153"/>
      <c r="G478" s="153"/>
      <c r="H478" s="153"/>
      <c r="I478" s="153"/>
      <c r="J478" s="153"/>
      <c r="K478" s="153"/>
      <c r="L478" s="153"/>
      <c r="M478" s="153"/>
      <c r="N478" s="153"/>
      <c r="O478" s="153"/>
      <c r="P478" s="153"/>
    </row>
    <row r="479" spans="1:16" x14ac:dyDescent="0.2">
      <c r="A479" s="58" t="str">
        <v/>
      </c>
      <c r="B479" s="131" t="str">
        <f>IFERROR(TIMEVALUE(DaqBook_RAW_Data!AG469),IFERROR(TIMEVALUE(DaqBook_RAW_Data!A469),""))</f>
        <v/>
      </c>
      <c r="C479" s="153"/>
      <c r="D479" s="153"/>
      <c r="E479" s="153"/>
      <c r="F479" s="153"/>
      <c r="G479" s="153"/>
      <c r="H479" s="153"/>
      <c r="I479" s="153"/>
      <c r="J479" s="153"/>
      <c r="K479" s="153"/>
      <c r="L479" s="153"/>
      <c r="M479" s="153"/>
      <c r="N479" s="153"/>
      <c r="O479" s="153"/>
      <c r="P479" s="153"/>
    </row>
    <row r="480" spans="1:16" x14ac:dyDescent="0.2">
      <c r="A480" s="58" t="str">
        <v/>
      </c>
      <c r="B480" s="131" t="str">
        <f>IFERROR(TIMEVALUE(DaqBook_RAW_Data!AG470),IFERROR(TIMEVALUE(DaqBook_RAW_Data!A470),""))</f>
        <v/>
      </c>
      <c r="C480" s="153"/>
      <c r="D480" s="153"/>
      <c r="E480" s="153"/>
      <c r="F480" s="153"/>
      <c r="G480" s="153"/>
      <c r="H480" s="153"/>
      <c r="I480" s="153"/>
      <c r="J480" s="153"/>
      <c r="K480" s="153"/>
      <c r="L480" s="153"/>
      <c r="M480" s="153"/>
      <c r="N480" s="153"/>
      <c r="O480" s="153"/>
      <c r="P480" s="153"/>
    </row>
    <row r="481" spans="1:16" x14ac:dyDescent="0.2">
      <c r="A481" s="58" t="str">
        <v/>
      </c>
      <c r="B481" s="131" t="str">
        <f>IFERROR(TIMEVALUE(DaqBook_RAW_Data!AG471),IFERROR(TIMEVALUE(DaqBook_RAW_Data!A471),""))</f>
        <v/>
      </c>
      <c r="C481" s="153"/>
      <c r="D481" s="153"/>
      <c r="E481" s="153"/>
      <c r="F481" s="153"/>
      <c r="G481" s="153"/>
      <c r="H481" s="153"/>
      <c r="I481" s="153"/>
      <c r="J481" s="153"/>
      <c r="K481" s="153"/>
      <c r="L481" s="153"/>
      <c r="M481" s="153"/>
      <c r="N481" s="153"/>
      <c r="O481" s="153"/>
      <c r="P481" s="153"/>
    </row>
    <row r="482" spans="1:16" x14ac:dyDescent="0.2">
      <c r="A482" s="58" t="str">
        <v/>
      </c>
      <c r="B482" s="131" t="str">
        <f>IFERROR(TIMEVALUE(DaqBook_RAW_Data!AG472),IFERROR(TIMEVALUE(DaqBook_RAW_Data!A472),""))</f>
        <v/>
      </c>
      <c r="C482" s="153"/>
      <c r="D482" s="153"/>
      <c r="E482" s="153"/>
      <c r="F482" s="153"/>
      <c r="G482" s="153"/>
      <c r="H482" s="153"/>
      <c r="I482" s="153"/>
      <c r="J482" s="153"/>
      <c r="K482" s="153"/>
      <c r="L482" s="153"/>
      <c r="M482" s="153"/>
      <c r="N482" s="153"/>
      <c r="O482" s="153"/>
      <c r="P482" s="153"/>
    </row>
    <row r="483" spans="1:16" x14ac:dyDescent="0.2">
      <c r="A483" s="58" t="str">
        <v/>
      </c>
      <c r="B483" s="131" t="str">
        <f>IFERROR(TIMEVALUE(DaqBook_RAW_Data!AG473),IFERROR(TIMEVALUE(DaqBook_RAW_Data!A473),""))</f>
        <v/>
      </c>
      <c r="C483" s="153"/>
      <c r="D483" s="153"/>
      <c r="E483" s="153"/>
      <c r="F483" s="153"/>
      <c r="G483" s="153"/>
      <c r="H483" s="153"/>
      <c r="I483" s="153"/>
      <c r="J483" s="153"/>
      <c r="K483" s="153"/>
      <c r="L483" s="153"/>
      <c r="M483" s="153"/>
      <c r="N483" s="153"/>
      <c r="O483" s="153"/>
      <c r="P483" s="153"/>
    </row>
    <row r="484" spans="1:16" x14ac:dyDescent="0.2">
      <c r="A484" s="58" t="str">
        <v/>
      </c>
      <c r="B484" s="131" t="str">
        <f>IFERROR(TIMEVALUE(DaqBook_RAW_Data!AG474),IFERROR(TIMEVALUE(DaqBook_RAW_Data!A474),""))</f>
        <v/>
      </c>
      <c r="C484" s="153"/>
      <c r="D484" s="153"/>
      <c r="E484" s="153"/>
      <c r="F484" s="153"/>
      <c r="G484" s="153"/>
      <c r="H484" s="153"/>
      <c r="I484" s="153"/>
      <c r="J484" s="153"/>
      <c r="K484" s="153"/>
      <c r="L484" s="153"/>
      <c r="M484" s="153"/>
      <c r="N484" s="153"/>
      <c r="O484" s="153"/>
      <c r="P484" s="153"/>
    </row>
    <row r="485" spans="1:16" x14ac:dyDescent="0.2">
      <c r="A485" s="58" t="str">
        <v/>
      </c>
      <c r="B485" s="131" t="str">
        <f>IFERROR(TIMEVALUE(DaqBook_RAW_Data!AG475),IFERROR(TIMEVALUE(DaqBook_RAW_Data!A475),""))</f>
        <v/>
      </c>
      <c r="C485" s="153"/>
      <c r="D485" s="153"/>
      <c r="E485" s="153"/>
      <c r="F485" s="153"/>
      <c r="G485" s="153"/>
      <c r="H485" s="153"/>
      <c r="I485" s="153"/>
      <c r="J485" s="153"/>
      <c r="K485" s="153"/>
      <c r="L485" s="153"/>
      <c r="M485" s="153"/>
      <c r="N485" s="153"/>
      <c r="O485" s="153"/>
      <c r="P485" s="153"/>
    </row>
    <row r="486" spans="1:16" x14ac:dyDescent="0.2">
      <c r="A486" s="58" t="str">
        <v/>
      </c>
      <c r="B486" s="131" t="str">
        <f>IFERROR(TIMEVALUE(DaqBook_RAW_Data!AG476),IFERROR(TIMEVALUE(DaqBook_RAW_Data!A476),""))</f>
        <v/>
      </c>
      <c r="C486" s="153"/>
      <c r="D486" s="153"/>
      <c r="E486" s="153"/>
      <c r="F486" s="153"/>
      <c r="G486" s="153"/>
      <c r="H486" s="153"/>
      <c r="I486" s="153"/>
      <c r="J486" s="153"/>
      <c r="K486" s="153"/>
      <c r="L486" s="153"/>
      <c r="M486" s="153"/>
      <c r="N486" s="153"/>
      <c r="O486" s="153"/>
      <c r="P486" s="153"/>
    </row>
    <row r="487" spans="1:16" x14ac:dyDescent="0.2">
      <c r="A487" s="58" t="str">
        <v/>
      </c>
      <c r="B487" s="131" t="str">
        <f>IFERROR(TIMEVALUE(DaqBook_RAW_Data!AG477),IFERROR(TIMEVALUE(DaqBook_RAW_Data!A477),""))</f>
        <v/>
      </c>
      <c r="C487" s="153"/>
      <c r="D487" s="153"/>
      <c r="E487" s="153"/>
      <c r="F487" s="153"/>
      <c r="G487" s="153"/>
      <c r="H487" s="153"/>
      <c r="I487" s="153"/>
      <c r="J487" s="153"/>
      <c r="K487" s="153"/>
      <c r="L487" s="153"/>
      <c r="M487" s="153"/>
      <c r="N487" s="153"/>
      <c r="O487" s="153"/>
      <c r="P487" s="153"/>
    </row>
    <row r="488" spans="1:16" x14ac:dyDescent="0.2">
      <c r="A488" s="58" t="str">
        <v/>
      </c>
      <c r="B488" s="131" t="str">
        <f>IFERROR(TIMEVALUE(DaqBook_RAW_Data!AG478),IFERROR(TIMEVALUE(DaqBook_RAW_Data!A478),""))</f>
        <v/>
      </c>
      <c r="C488" s="153"/>
      <c r="D488" s="153"/>
      <c r="E488" s="153"/>
      <c r="F488" s="153"/>
      <c r="G488" s="153"/>
      <c r="H488" s="153"/>
      <c r="I488" s="153"/>
      <c r="J488" s="153"/>
      <c r="K488" s="153"/>
      <c r="L488" s="153"/>
      <c r="M488" s="153"/>
      <c r="N488" s="153"/>
      <c r="O488" s="153"/>
      <c r="P488" s="153"/>
    </row>
    <row r="489" spans="1:16" x14ac:dyDescent="0.2">
      <c r="A489" s="58" t="str">
        <v/>
      </c>
      <c r="B489" s="131" t="str">
        <f>IFERROR(TIMEVALUE(DaqBook_RAW_Data!AG479),IFERROR(TIMEVALUE(DaqBook_RAW_Data!A479),""))</f>
        <v/>
      </c>
      <c r="C489" s="153"/>
      <c r="D489" s="153"/>
      <c r="E489" s="153"/>
      <c r="F489" s="153"/>
      <c r="G489" s="153"/>
      <c r="H489" s="153"/>
      <c r="I489" s="153"/>
      <c r="J489" s="153"/>
      <c r="K489" s="153"/>
      <c r="L489" s="153"/>
      <c r="M489" s="153"/>
      <c r="N489" s="153"/>
      <c r="O489" s="153"/>
      <c r="P489" s="153"/>
    </row>
    <row r="490" spans="1:16" x14ac:dyDescent="0.2">
      <c r="A490" s="58" t="str">
        <v/>
      </c>
      <c r="B490" s="131" t="str">
        <f>IFERROR(TIMEVALUE(DaqBook_RAW_Data!AG480),IFERROR(TIMEVALUE(DaqBook_RAW_Data!A480),""))</f>
        <v/>
      </c>
      <c r="C490" s="153"/>
      <c r="D490" s="153"/>
      <c r="E490" s="153"/>
      <c r="F490" s="153"/>
      <c r="G490" s="153"/>
      <c r="H490" s="153"/>
      <c r="I490" s="153"/>
      <c r="J490" s="153"/>
      <c r="K490" s="153"/>
      <c r="L490" s="153"/>
      <c r="M490" s="153"/>
      <c r="N490" s="153"/>
      <c r="O490" s="153"/>
      <c r="P490" s="153"/>
    </row>
    <row r="491" spans="1:16" x14ac:dyDescent="0.2">
      <c r="A491" s="58" t="str">
        <v/>
      </c>
      <c r="B491" s="131" t="str">
        <f>IFERROR(TIMEVALUE(DaqBook_RAW_Data!AG481),IFERROR(TIMEVALUE(DaqBook_RAW_Data!A481),""))</f>
        <v/>
      </c>
      <c r="C491" s="153"/>
      <c r="D491" s="153"/>
      <c r="E491" s="153"/>
      <c r="F491" s="153"/>
      <c r="G491" s="153"/>
      <c r="H491" s="153"/>
      <c r="I491" s="153"/>
      <c r="J491" s="153"/>
      <c r="K491" s="153"/>
      <c r="L491" s="153"/>
      <c r="M491" s="153"/>
      <c r="N491" s="153"/>
      <c r="O491" s="153"/>
      <c r="P491" s="153"/>
    </row>
    <row r="492" spans="1:16" x14ac:dyDescent="0.2">
      <c r="A492" s="58" t="str">
        <v/>
      </c>
      <c r="B492" s="131" t="str">
        <f>IFERROR(TIMEVALUE(DaqBook_RAW_Data!AG482),IFERROR(TIMEVALUE(DaqBook_RAW_Data!A482),""))</f>
        <v/>
      </c>
      <c r="C492" s="153"/>
      <c r="D492" s="153"/>
      <c r="E492" s="153"/>
      <c r="F492" s="153"/>
      <c r="G492" s="153"/>
      <c r="H492" s="153"/>
      <c r="I492" s="153"/>
      <c r="J492" s="153"/>
      <c r="K492" s="153"/>
      <c r="L492" s="153"/>
      <c r="M492" s="153"/>
      <c r="N492" s="153"/>
      <c r="O492" s="153"/>
      <c r="P492" s="153"/>
    </row>
    <row r="493" spans="1:16" x14ac:dyDescent="0.2">
      <c r="A493" s="58" t="str">
        <v/>
      </c>
      <c r="B493" s="131" t="str">
        <f>IFERROR(TIMEVALUE(DaqBook_RAW_Data!AG483),IFERROR(TIMEVALUE(DaqBook_RAW_Data!A483),""))</f>
        <v/>
      </c>
      <c r="C493" s="153"/>
      <c r="D493" s="153"/>
      <c r="E493" s="153"/>
      <c r="F493" s="153"/>
      <c r="G493" s="153"/>
      <c r="H493" s="153"/>
      <c r="I493" s="153"/>
      <c r="J493" s="153"/>
      <c r="K493" s="153"/>
      <c r="L493" s="153"/>
      <c r="M493" s="153"/>
      <c r="N493" s="153"/>
      <c r="O493" s="153"/>
      <c r="P493" s="153"/>
    </row>
    <row r="494" spans="1:16" x14ac:dyDescent="0.2">
      <c r="A494" s="58" t="str">
        <v/>
      </c>
      <c r="B494" s="131" t="str">
        <f>IFERROR(TIMEVALUE(DaqBook_RAW_Data!AG484),IFERROR(TIMEVALUE(DaqBook_RAW_Data!A484),""))</f>
        <v/>
      </c>
      <c r="C494" s="153"/>
      <c r="D494" s="153"/>
      <c r="E494" s="153"/>
      <c r="F494" s="153"/>
      <c r="G494" s="153"/>
      <c r="H494" s="153"/>
      <c r="I494" s="153"/>
      <c r="J494" s="153"/>
      <c r="K494" s="153"/>
      <c r="L494" s="153"/>
      <c r="M494" s="153"/>
      <c r="N494" s="153"/>
      <c r="O494" s="153"/>
      <c r="P494" s="153"/>
    </row>
    <row r="495" spans="1:16" x14ac:dyDescent="0.2">
      <c r="A495" s="58" t="str">
        <v/>
      </c>
      <c r="B495" s="131" t="str">
        <f>IFERROR(TIMEVALUE(DaqBook_RAW_Data!AG485),IFERROR(TIMEVALUE(DaqBook_RAW_Data!A485),""))</f>
        <v/>
      </c>
      <c r="C495" s="153"/>
      <c r="D495" s="153"/>
      <c r="E495" s="153"/>
      <c r="F495" s="153"/>
      <c r="G495" s="153"/>
      <c r="H495" s="153"/>
      <c r="I495" s="153"/>
      <c r="J495" s="153"/>
      <c r="K495" s="153"/>
      <c r="L495" s="153"/>
      <c r="M495" s="153"/>
      <c r="N495" s="153"/>
      <c r="O495" s="153"/>
      <c r="P495" s="153"/>
    </row>
    <row r="496" spans="1:16" x14ac:dyDescent="0.2">
      <c r="A496" s="58" t="str">
        <v/>
      </c>
      <c r="B496" s="131" t="str">
        <f>IFERROR(TIMEVALUE(DaqBook_RAW_Data!AG486),IFERROR(TIMEVALUE(DaqBook_RAW_Data!A486),""))</f>
        <v/>
      </c>
      <c r="C496" s="153"/>
      <c r="D496" s="153"/>
      <c r="E496" s="153"/>
      <c r="F496" s="153"/>
      <c r="G496" s="153"/>
      <c r="H496" s="153"/>
      <c r="I496" s="153"/>
      <c r="J496" s="153"/>
      <c r="K496" s="153"/>
      <c r="L496" s="153"/>
      <c r="M496" s="153"/>
      <c r="N496" s="153"/>
      <c r="O496" s="153"/>
      <c r="P496" s="153"/>
    </row>
    <row r="497" spans="1:16" x14ac:dyDescent="0.2">
      <c r="A497" s="58" t="str">
        <v/>
      </c>
      <c r="B497" s="131" t="str">
        <f>IFERROR(TIMEVALUE(DaqBook_RAW_Data!AG487),IFERROR(TIMEVALUE(DaqBook_RAW_Data!A487),""))</f>
        <v/>
      </c>
      <c r="C497" s="153"/>
      <c r="D497" s="153"/>
      <c r="E497" s="153"/>
      <c r="F497" s="153"/>
      <c r="G497" s="153"/>
      <c r="H497" s="153"/>
      <c r="I497" s="153"/>
      <c r="J497" s="153"/>
      <c r="K497" s="153"/>
      <c r="L497" s="153"/>
      <c r="M497" s="153"/>
      <c r="N497" s="153"/>
      <c r="O497" s="153"/>
      <c r="P497" s="153"/>
    </row>
    <row r="498" spans="1:16" x14ac:dyDescent="0.2">
      <c r="A498" s="58" t="str">
        <v/>
      </c>
      <c r="B498" s="131" t="str">
        <f>IFERROR(TIMEVALUE(DaqBook_RAW_Data!AG488),IFERROR(TIMEVALUE(DaqBook_RAW_Data!A488),""))</f>
        <v/>
      </c>
      <c r="C498" s="153"/>
      <c r="D498" s="153"/>
      <c r="E498" s="153"/>
      <c r="F498" s="153"/>
      <c r="G498" s="153"/>
      <c r="H498" s="153"/>
      <c r="I498" s="153"/>
      <c r="J498" s="153"/>
      <c r="K498" s="153"/>
      <c r="L498" s="153"/>
      <c r="M498" s="153"/>
      <c r="N498" s="153"/>
      <c r="O498" s="153"/>
      <c r="P498" s="153"/>
    </row>
    <row r="499" spans="1:16" x14ac:dyDescent="0.2">
      <c r="A499" s="58" t="str">
        <v/>
      </c>
      <c r="B499" s="131" t="str">
        <f>IFERROR(TIMEVALUE(DaqBook_RAW_Data!AG489),IFERROR(TIMEVALUE(DaqBook_RAW_Data!A489),""))</f>
        <v/>
      </c>
      <c r="C499" s="153"/>
      <c r="D499" s="153"/>
      <c r="E499" s="153"/>
      <c r="F499" s="153"/>
      <c r="G499" s="153"/>
      <c r="H499" s="153"/>
      <c r="I499" s="153"/>
      <c r="J499" s="153"/>
      <c r="K499" s="153"/>
      <c r="L499" s="153"/>
      <c r="M499" s="153"/>
      <c r="N499" s="153"/>
      <c r="O499" s="153"/>
      <c r="P499" s="153"/>
    </row>
    <row r="500" spans="1:16" x14ac:dyDescent="0.2">
      <c r="A500" s="58" t="str">
        <v/>
      </c>
      <c r="B500" s="131" t="str">
        <f>IFERROR(TIMEVALUE(DaqBook_RAW_Data!AG490),IFERROR(TIMEVALUE(DaqBook_RAW_Data!A490),""))</f>
        <v/>
      </c>
      <c r="C500" s="153"/>
      <c r="D500" s="153"/>
      <c r="E500" s="153"/>
      <c r="F500" s="153"/>
      <c r="G500" s="153"/>
      <c r="H500" s="153"/>
      <c r="I500" s="153"/>
      <c r="J500" s="153"/>
      <c r="K500" s="153"/>
      <c r="L500" s="153"/>
      <c r="M500" s="153"/>
      <c r="N500" s="153"/>
      <c r="O500" s="153"/>
      <c r="P500" s="153"/>
    </row>
    <row r="501" spans="1:16" x14ac:dyDescent="0.2">
      <c r="A501" s="58" t="str">
        <v/>
      </c>
      <c r="B501" s="131" t="str">
        <f>IFERROR(TIMEVALUE(DaqBook_RAW_Data!AG491),IFERROR(TIMEVALUE(DaqBook_RAW_Data!A491),""))</f>
        <v/>
      </c>
      <c r="C501" s="153"/>
      <c r="D501" s="153"/>
      <c r="E501" s="153"/>
      <c r="F501" s="153"/>
      <c r="G501" s="153"/>
      <c r="H501" s="153"/>
      <c r="I501" s="153"/>
      <c r="J501" s="153"/>
      <c r="K501" s="153"/>
      <c r="L501" s="153"/>
      <c r="M501" s="153"/>
      <c r="N501" s="153"/>
      <c r="O501" s="44"/>
      <c r="P501" s="44"/>
    </row>
    <row r="502" spans="1:16" x14ac:dyDescent="0.2">
      <c r="A502" s="58" t="str">
        <v/>
      </c>
      <c r="B502" s="131" t="str">
        <f>IFERROR(TIMEVALUE(DaqBook_RAW_Data!AG492),IFERROR(TIMEVALUE(DaqBook_RAW_Data!A492),""))</f>
        <v/>
      </c>
      <c r="C502" s="153"/>
      <c r="D502" s="153"/>
      <c r="E502" s="153"/>
      <c r="F502" s="153"/>
      <c r="G502" s="153"/>
      <c r="H502" s="153"/>
      <c r="I502" s="153"/>
      <c r="J502" s="153"/>
      <c r="K502" s="153"/>
      <c r="L502" s="153"/>
      <c r="M502" s="153"/>
      <c r="N502" s="153"/>
      <c r="O502" s="44"/>
      <c r="P502" s="44"/>
    </row>
    <row r="503" spans="1:16" x14ac:dyDescent="0.2">
      <c r="A503" s="58" t="str">
        <v/>
      </c>
      <c r="B503" s="131" t="str">
        <f>IFERROR(TIMEVALUE(DaqBook_RAW_Data!AG493),IFERROR(TIMEVALUE(DaqBook_RAW_Data!A493),""))</f>
        <v/>
      </c>
      <c r="C503" s="153"/>
      <c r="D503" s="153"/>
      <c r="E503" s="153"/>
      <c r="F503" s="153"/>
      <c r="G503" s="153"/>
      <c r="H503" s="153"/>
      <c r="I503" s="153"/>
      <c r="J503" s="153"/>
      <c r="K503" s="153"/>
      <c r="L503" s="153"/>
      <c r="M503" s="153"/>
      <c r="N503" s="153"/>
      <c r="O503" s="44"/>
      <c r="P503" s="44"/>
    </row>
    <row r="504" spans="1:16" x14ac:dyDescent="0.2">
      <c r="A504" s="58" t="str">
        <v/>
      </c>
      <c r="B504" s="131" t="str">
        <f>IFERROR(TIMEVALUE(DaqBook_RAW_Data!AG494),IFERROR(TIMEVALUE(DaqBook_RAW_Data!A494),""))</f>
        <v/>
      </c>
      <c r="C504" s="153"/>
      <c r="D504" s="153"/>
      <c r="E504" s="153"/>
      <c r="F504" s="153"/>
      <c r="G504" s="153"/>
      <c r="H504" s="153"/>
      <c r="I504" s="153"/>
      <c r="J504" s="153"/>
      <c r="K504" s="153"/>
      <c r="L504" s="153"/>
      <c r="M504" s="153"/>
      <c r="N504" s="153"/>
      <c r="O504" s="44"/>
      <c r="P504" s="44"/>
    </row>
    <row r="505" spans="1:16" x14ac:dyDescent="0.2">
      <c r="A505" s="58" t="str">
        <v/>
      </c>
      <c r="B505" s="131" t="str">
        <f>IFERROR(TIMEVALUE(DaqBook_RAW_Data!AG495),IFERROR(TIMEVALUE(DaqBook_RAW_Data!A495),""))</f>
        <v/>
      </c>
      <c r="C505" s="153"/>
      <c r="D505" s="153"/>
      <c r="E505" s="153"/>
      <c r="F505" s="153"/>
      <c r="G505" s="153"/>
      <c r="H505" s="153"/>
      <c r="I505" s="153"/>
      <c r="J505" s="153"/>
      <c r="K505" s="153"/>
      <c r="L505" s="153"/>
      <c r="M505" s="153"/>
      <c r="N505" s="153"/>
      <c r="O505" s="44"/>
      <c r="P505" s="44"/>
    </row>
    <row r="506" spans="1:16" x14ac:dyDescent="0.2">
      <c r="A506" s="58" t="str">
        <v/>
      </c>
      <c r="B506" s="131" t="str">
        <f>IFERROR(TIMEVALUE(DaqBook_RAW_Data!AG496),IFERROR(TIMEVALUE(DaqBook_RAW_Data!A496),""))</f>
        <v/>
      </c>
      <c r="C506" s="153"/>
      <c r="D506" s="153"/>
      <c r="E506" s="153"/>
      <c r="F506" s="153"/>
      <c r="G506" s="153"/>
      <c r="H506" s="153"/>
      <c r="I506" s="153"/>
      <c r="J506" s="153"/>
      <c r="K506" s="153"/>
      <c r="L506" s="153"/>
      <c r="M506" s="153"/>
      <c r="N506" s="153"/>
      <c r="O506" s="44"/>
      <c r="P506" s="44"/>
    </row>
    <row r="507" spans="1:16" x14ac:dyDescent="0.2">
      <c r="A507" s="58" t="str">
        <v/>
      </c>
      <c r="B507" s="131" t="str">
        <f>IFERROR(TIMEVALUE(DaqBook_RAW_Data!AG497),IFERROR(TIMEVALUE(DaqBook_RAW_Data!A497),""))</f>
        <v/>
      </c>
      <c r="C507" s="153"/>
      <c r="D507" s="153"/>
      <c r="E507" s="153"/>
      <c r="F507" s="153"/>
      <c r="G507" s="153"/>
      <c r="H507" s="153"/>
      <c r="I507" s="153"/>
      <c r="J507" s="153"/>
      <c r="K507" s="153"/>
      <c r="L507" s="153"/>
      <c r="M507" s="153"/>
      <c r="N507" s="153"/>
      <c r="O507" s="44"/>
      <c r="P507" s="44"/>
    </row>
    <row r="508" spans="1:16" x14ac:dyDescent="0.2">
      <c r="A508" s="58" t="str">
        <v/>
      </c>
      <c r="B508" s="131" t="str">
        <f>IFERROR(TIMEVALUE(DaqBook_RAW_Data!AG498),IFERROR(TIMEVALUE(DaqBook_RAW_Data!A498),""))</f>
        <v/>
      </c>
      <c r="C508" s="153"/>
      <c r="D508" s="153"/>
      <c r="E508" s="153"/>
      <c r="F508" s="153"/>
      <c r="G508" s="153"/>
      <c r="H508" s="153"/>
      <c r="I508" s="153"/>
      <c r="J508" s="153"/>
      <c r="K508" s="153"/>
      <c r="L508" s="153"/>
      <c r="M508" s="153"/>
      <c r="N508" s="153"/>
      <c r="O508" s="44"/>
      <c r="P508" s="44"/>
    </row>
    <row r="509" spans="1:16" x14ac:dyDescent="0.2">
      <c r="A509" s="58" t="str">
        <v/>
      </c>
      <c r="B509" s="131" t="str">
        <f>IFERROR(TIMEVALUE(DaqBook_RAW_Data!AG499),IFERROR(TIMEVALUE(DaqBook_RAW_Data!A499),""))</f>
        <v/>
      </c>
      <c r="C509" s="153"/>
      <c r="D509" s="153"/>
      <c r="E509" s="153"/>
      <c r="F509" s="153"/>
      <c r="G509" s="153"/>
      <c r="H509" s="153"/>
      <c r="I509" s="153"/>
      <c r="J509" s="153"/>
      <c r="K509" s="153"/>
      <c r="L509" s="153"/>
      <c r="M509" s="153"/>
      <c r="N509" s="153"/>
      <c r="O509" s="44"/>
      <c r="P509" s="44"/>
    </row>
    <row r="510" spans="1:16" x14ac:dyDescent="0.2">
      <c r="A510" s="58" t="str">
        <v/>
      </c>
      <c r="B510" s="131" t="str">
        <f>IFERROR(TIMEVALUE(DaqBook_RAW_Data!AG500),IFERROR(TIMEVALUE(DaqBook_RAW_Data!A500),""))</f>
        <v/>
      </c>
      <c r="C510" s="153"/>
      <c r="D510" s="153"/>
      <c r="E510" s="153"/>
      <c r="F510" s="153"/>
      <c r="G510" s="153"/>
      <c r="H510" s="153"/>
      <c r="I510" s="153"/>
      <c r="J510" s="153"/>
      <c r="K510" s="153"/>
      <c r="L510" s="153"/>
      <c r="M510" s="153"/>
      <c r="N510" s="153"/>
      <c r="O510" s="44"/>
      <c r="P510" s="44"/>
    </row>
    <row r="511" spans="1:16" x14ac:dyDescent="0.2">
      <c r="A511" s="58" t="str">
        <v/>
      </c>
      <c r="B511" s="131" t="str">
        <f>IFERROR(TIMEVALUE(DaqBook_RAW_Data!AG501),IFERROR(TIMEVALUE(DaqBook_RAW_Data!A501),""))</f>
        <v/>
      </c>
      <c r="C511" s="153"/>
      <c r="D511" s="153"/>
      <c r="E511" s="153"/>
      <c r="F511" s="153"/>
      <c r="G511" s="153"/>
      <c r="H511" s="153"/>
      <c r="I511" s="153"/>
      <c r="J511" s="153"/>
      <c r="K511" s="153"/>
      <c r="L511" s="153"/>
      <c r="M511" s="153"/>
      <c r="N511" s="153"/>
      <c r="O511" s="44"/>
      <c r="P511" s="44"/>
    </row>
    <row r="512" spans="1:16" x14ac:dyDescent="0.2">
      <c r="A512" s="58" t="str">
        <v/>
      </c>
      <c r="B512" s="131" t="str">
        <f>IFERROR(TIMEVALUE(DaqBook_RAW_Data!AG502),IFERROR(TIMEVALUE(DaqBook_RAW_Data!A502),""))</f>
        <v/>
      </c>
      <c r="C512" s="153"/>
      <c r="D512" s="153"/>
      <c r="E512" s="153"/>
      <c r="F512" s="153"/>
      <c r="G512" s="153"/>
      <c r="H512" s="153"/>
      <c r="I512" s="153"/>
      <c r="J512" s="153"/>
      <c r="K512" s="153"/>
      <c r="L512" s="153"/>
      <c r="M512" s="153"/>
      <c r="N512" s="153"/>
      <c r="O512" s="44"/>
      <c r="P512" s="44"/>
    </row>
    <row r="513" spans="1:16" x14ac:dyDescent="0.2">
      <c r="A513" s="58" t="str">
        <v/>
      </c>
      <c r="B513" s="131" t="str">
        <f>IFERROR(TIMEVALUE(DaqBook_RAW_Data!AG503),IFERROR(TIMEVALUE(DaqBook_RAW_Data!A503),""))</f>
        <v/>
      </c>
      <c r="C513" s="153"/>
      <c r="D513" s="153"/>
      <c r="E513" s="153"/>
      <c r="F513" s="153"/>
      <c r="G513" s="153"/>
      <c r="H513" s="153"/>
      <c r="I513" s="153"/>
      <c r="J513" s="153"/>
      <c r="K513" s="153"/>
      <c r="L513" s="153"/>
      <c r="M513" s="153"/>
      <c r="N513" s="153"/>
      <c r="O513" s="44"/>
      <c r="P513" s="44"/>
    </row>
    <row r="514" spans="1:16" x14ac:dyDescent="0.2">
      <c r="A514" s="58" t="str">
        <v/>
      </c>
      <c r="B514" s="131" t="str">
        <f>IFERROR(TIMEVALUE(DaqBook_RAW_Data!AG504),IFERROR(TIMEVALUE(DaqBook_RAW_Data!A504),""))</f>
        <v/>
      </c>
      <c r="C514" s="153"/>
      <c r="D514" s="153"/>
      <c r="E514" s="153"/>
      <c r="F514" s="153"/>
      <c r="G514" s="153"/>
      <c r="H514" s="153"/>
      <c r="I514" s="153"/>
      <c r="J514" s="153"/>
      <c r="K514" s="153"/>
      <c r="L514" s="153"/>
      <c r="M514" s="153"/>
      <c r="N514" s="153"/>
      <c r="O514" s="44"/>
      <c r="P514" s="44"/>
    </row>
    <row r="515" spans="1:16" x14ac:dyDescent="0.2">
      <c r="A515" s="58" t="str">
        <v/>
      </c>
      <c r="B515" s="131" t="str">
        <f>IFERROR(TIMEVALUE(DaqBook_RAW_Data!AG505),IFERROR(TIMEVALUE(DaqBook_RAW_Data!A505),""))</f>
        <v/>
      </c>
      <c r="C515" s="153"/>
      <c r="D515" s="153"/>
      <c r="E515" s="153"/>
      <c r="F515" s="153"/>
      <c r="G515" s="153"/>
      <c r="H515" s="153"/>
      <c r="I515" s="153"/>
      <c r="J515" s="153"/>
      <c r="K515" s="153"/>
      <c r="L515" s="153"/>
      <c r="M515" s="153"/>
      <c r="N515" s="153"/>
      <c r="O515" s="44"/>
      <c r="P515" s="44"/>
    </row>
    <row r="516" spans="1:16" x14ac:dyDescent="0.2">
      <c r="A516" s="58" t="str">
        <v/>
      </c>
      <c r="B516" s="131" t="str">
        <f>IFERROR(TIMEVALUE(DaqBook_RAW_Data!AG506),IFERROR(TIMEVALUE(DaqBook_RAW_Data!A506),""))</f>
        <v/>
      </c>
      <c r="C516" s="153"/>
      <c r="D516" s="153"/>
      <c r="E516" s="153"/>
      <c r="F516" s="153"/>
      <c r="G516" s="153"/>
      <c r="H516" s="153"/>
      <c r="I516" s="153"/>
      <c r="J516" s="153"/>
      <c r="K516" s="153"/>
      <c r="L516" s="153"/>
      <c r="M516" s="153"/>
      <c r="N516" s="153"/>
      <c r="O516" s="44"/>
      <c r="P516" s="44"/>
    </row>
    <row r="517" spans="1:16" x14ac:dyDescent="0.2">
      <c r="A517" s="58" t="str">
        <v/>
      </c>
      <c r="B517" s="131" t="str">
        <f>IFERROR(TIMEVALUE(DaqBook_RAW_Data!AG507),IFERROR(TIMEVALUE(DaqBook_RAW_Data!A507),""))</f>
        <v/>
      </c>
      <c r="C517" s="153"/>
      <c r="D517" s="153"/>
      <c r="E517" s="153"/>
      <c r="F517" s="153"/>
      <c r="G517" s="153"/>
      <c r="H517" s="153"/>
      <c r="I517" s="153"/>
      <c r="J517" s="153"/>
      <c r="K517" s="153"/>
      <c r="L517" s="153"/>
      <c r="M517" s="153"/>
      <c r="N517" s="153"/>
      <c r="O517" s="44"/>
      <c r="P517" s="44"/>
    </row>
    <row r="518" spans="1:16" x14ac:dyDescent="0.2">
      <c r="A518" s="58" t="str">
        <v/>
      </c>
      <c r="B518" s="131" t="str">
        <f>IFERROR(TIMEVALUE(DaqBook_RAW_Data!AG508),IFERROR(TIMEVALUE(DaqBook_RAW_Data!A508),""))</f>
        <v/>
      </c>
      <c r="C518" s="153"/>
      <c r="D518" s="153"/>
      <c r="E518" s="153"/>
      <c r="F518" s="153"/>
      <c r="G518" s="153"/>
      <c r="H518" s="153"/>
      <c r="I518" s="153"/>
      <c r="J518" s="153"/>
      <c r="K518" s="153"/>
      <c r="L518" s="153"/>
      <c r="M518" s="153"/>
      <c r="N518" s="153"/>
      <c r="O518" s="44"/>
      <c r="P518" s="44"/>
    </row>
    <row r="519" spans="1:16" x14ac:dyDescent="0.2">
      <c r="A519" s="58" t="str">
        <v/>
      </c>
      <c r="B519" s="131" t="str">
        <f>IFERROR(TIMEVALUE(DaqBook_RAW_Data!AG509),IFERROR(TIMEVALUE(DaqBook_RAW_Data!A509),""))</f>
        <v/>
      </c>
      <c r="C519" s="153"/>
      <c r="D519" s="153"/>
      <c r="E519" s="153"/>
      <c r="F519" s="153"/>
      <c r="G519" s="153"/>
      <c r="H519" s="153"/>
      <c r="I519" s="153"/>
      <c r="J519" s="153"/>
      <c r="K519" s="153"/>
      <c r="L519" s="153"/>
      <c r="M519" s="153"/>
      <c r="N519" s="153"/>
      <c r="O519" s="44"/>
      <c r="P519" s="44"/>
    </row>
    <row r="520" spans="1:16" x14ac:dyDescent="0.2">
      <c r="A520" s="58" t="str">
        <v/>
      </c>
      <c r="B520" s="131" t="str">
        <f>IFERROR(TIMEVALUE(DaqBook_RAW_Data!AG510),IFERROR(TIMEVALUE(DaqBook_RAW_Data!A510),""))</f>
        <v/>
      </c>
      <c r="C520" s="153"/>
      <c r="D520" s="153"/>
      <c r="E520" s="153"/>
      <c r="F520" s="153"/>
      <c r="G520" s="153"/>
      <c r="H520" s="153"/>
      <c r="I520" s="153"/>
      <c r="J520" s="153"/>
      <c r="K520" s="153"/>
      <c r="L520" s="153"/>
      <c r="M520" s="153"/>
      <c r="N520" s="153"/>
      <c r="O520" s="44"/>
      <c r="P520" s="44"/>
    </row>
    <row r="521" spans="1:16" x14ac:dyDescent="0.2">
      <c r="A521" s="58" t="str">
        <v/>
      </c>
      <c r="B521" s="131" t="str">
        <f>IFERROR(TIMEVALUE(DaqBook_RAW_Data!AG511),IFERROR(TIMEVALUE(DaqBook_RAW_Data!A511),""))</f>
        <v/>
      </c>
      <c r="C521" s="153"/>
      <c r="D521" s="153"/>
      <c r="E521" s="153"/>
      <c r="F521" s="153"/>
      <c r="G521" s="153"/>
      <c r="H521" s="153"/>
      <c r="I521" s="153"/>
      <c r="J521" s="153"/>
      <c r="K521" s="153"/>
      <c r="L521" s="153"/>
      <c r="M521" s="153"/>
      <c r="N521" s="153"/>
      <c r="O521" s="44"/>
      <c r="P521" s="44"/>
    </row>
    <row r="522" spans="1:16" x14ac:dyDescent="0.2">
      <c r="A522" s="58" t="str">
        <v/>
      </c>
      <c r="B522" s="131" t="str">
        <f>IFERROR(TIMEVALUE(DaqBook_RAW_Data!AG512),IFERROR(TIMEVALUE(DaqBook_RAW_Data!A512),""))</f>
        <v/>
      </c>
      <c r="C522" s="153"/>
      <c r="D522" s="153"/>
      <c r="E522" s="153"/>
      <c r="F522" s="153"/>
      <c r="G522" s="153"/>
      <c r="H522" s="153"/>
      <c r="I522" s="153"/>
      <c r="J522" s="153"/>
      <c r="K522" s="153"/>
      <c r="L522" s="153"/>
      <c r="M522" s="153"/>
      <c r="N522" s="153"/>
      <c r="O522" s="44"/>
      <c r="P522" s="44"/>
    </row>
    <row r="523" spans="1:16" x14ac:dyDescent="0.2">
      <c r="A523" s="58" t="str">
        <v/>
      </c>
      <c r="B523" s="131" t="str">
        <f>IFERROR(TIMEVALUE(DaqBook_RAW_Data!AG513),IFERROR(TIMEVALUE(DaqBook_RAW_Data!A513),""))</f>
        <v/>
      </c>
      <c r="C523" s="153"/>
      <c r="D523" s="153"/>
      <c r="E523" s="153"/>
      <c r="F523" s="153"/>
      <c r="G523" s="153"/>
      <c r="H523" s="153"/>
      <c r="I523" s="153"/>
      <c r="J523" s="153"/>
      <c r="K523" s="153"/>
      <c r="L523" s="153"/>
      <c r="M523" s="153"/>
      <c r="N523" s="153"/>
      <c r="O523" s="44"/>
      <c r="P523" s="44"/>
    </row>
    <row r="524" spans="1:16" x14ac:dyDescent="0.2">
      <c r="A524" s="58" t="str">
        <v/>
      </c>
      <c r="B524" s="131" t="str">
        <f>IFERROR(TIMEVALUE(DaqBook_RAW_Data!AG514),IFERROR(TIMEVALUE(DaqBook_RAW_Data!A514),""))</f>
        <v/>
      </c>
      <c r="C524" s="153"/>
      <c r="D524" s="153"/>
      <c r="E524" s="153"/>
      <c r="F524" s="153"/>
      <c r="G524" s="153"/>
      <c r="H524" s="153"/>
      <c r="I524" s="153"/>
      <c r="J524" s="153"/>
      <c r="K524" s="153"/>
      <c r="L524" s="153"/>
      <c r="M524" s="153"/>
      <c r="N524" s="153"/>
      <c r="O524" s="44"/>
      <c r="P524" s="44"/>
    </row>
    <row r="525" spans="1:16" x14ac:dyDescent="0.2">
      <c r="A525" s="58" t="str">
        <v/>
      </c>
      <c r="B525" s="131" t="str">
        <f>IFERROR(TIMEVALUE(DaqBook_RAW_Data!AG515),IFERROR(TIMEVALUE(DaqBook_RAW_Data!A515),""))</f>
        <v/>
      </c>
      <c r="C525" s="153"/>
      <c r="D525" s="153"/>
      <c r="E525" s="153"/>
      <c r="F525" s="153"/>
      <c r="G525" s="153"/>
      <c r="H525" s="153"/>
      <c r="I525" s="153"/>
      <c r="J525" s="153"/>
      <c r="K525" s="153"/>
      <c r="L525" s="153"/>
      <c r="M525" s="153"/>
      <c r="N525" s="153"/>
      <c r="O525" s="44"/>
      <c r="P525" s="44"/>
    </row>
    <row r="526" spans="1:16" x14ac:dyDescent="0.2">
      <c r="A526" s="58" t="str">
        <v/>
      </c>
      <c r="B526" s="131" t="str">
        <f>IFERROR(TIMEVALUE(DaqBook_RAW_Data!AG516),IFERROR(TIMEVALUE(DaqBook_RAW_Data!A516),""))</f>
        <v/>
      </c>
      <c r="C526" s="153"/>
      <c r="D526" s="153"/>
      <c r="E526" s="153"/>
      <c r="F526" s="153"/>
      <c r="G526" s="153"/>
      <c r="H526" s="153"/>
      <c r="I526" s="153"/>
      <c r="J526" s="153"/>
      <c r="K526" s="153"/>
      <c r="L526" s="153"/>
      <c r="M526" s="153"/>
      <c r="N526" s="153"/>
      <c r="O526" s="44"/>
      <c r="P526" s="44"/>
    </row>
    <row r="527" spans="1:16" x14ac:dyDescent="0.2">
      <c r="A527" s="58" t="str">
        <v/>
      </c>
      <c r="B527" s="131" t="str">
        <f>IFERROR(TIMEVALUE(DaqBook_RAW_Data!AG517),IFERROR(TIMEVALUE(DaqBook_RAW_Data!A517),""))</f>
        <v/>
      </c>
      <c r="C527" s="153"/>
      <c r="D527" s="153"/>
      <c r="E527" s="153"/>
      <c r="F527" s="153"/>
      <c r="G527" s="153"/>
      <c r="H527" s="153"/>
      <c r="I527" s="153"/>
      <c r="J527" s="153"/>
      <c r="K527" s="153"/>
      <c r="L527" s="153"/>
      <c r="M527" s="153"/>
      <c r="N527" s="153"/>
      <c r="O527" s="44"/>
      <c r="P527" s="44"/>
    </row>
    <row r="528" spans="1:16" x14ac:dyDescent="0.2">
      <c r="A528" s="58" t="str">
        <v/>
      </c>
      <c r="B528" s="131" t="str">
        <f>IFERROR(TIMEVALUE(DaqBook_RAW_Data!AG518),IFERROR(TIMEVALUE(DaqBook_RAW_Data!A518),""))</f>
        <v/>
      </c>
      <c r="C528" s="153"/>
      <c r="D528" s="153"/>
      <c r="E528" s="153"/>
      <c r="F528" s="153"/>
      <c r="G528" s="153"/>
      <c r="H528" s="153"/>
      <c r="I528" s="153"/>
      <c r="J528" s="153"/>
      <c r="K528" s="153"/>
      <c r="L528" s="153"/>
      <c r="M528" s="153"/>
      <c r="N528" s="153"/>
      <c r="O528" s="44"/>
      <c r="P528" s="44"/>
    </row>
    <row r="529" spans="1:16" x14ac:dyDescent="0.2">
      <c r="A529" s="58" t="str">
        <v/>
      </c>
      <c r="B529" s="131" t="str">
        <f>IFERROR(TIMEVALUE(DaqBook_RAW_Data!AG519),IFERROR(TIMEVALUE(DaqBook_RAW_Data!A519),""))</f>
        <v/>
      </c>
      <c r="C529" s="153"/>
      <c r="D529" s="153"/>
      <c r="E529" s="153"/>
      <c r="F529" s="153"/>
      <c r="G529" s="153"/>
      <c r="H529" s="153"/>
      <c r="I529" s="153"/>
      <c r="J529" s="153"/>
      <c r="K529" s="153"/>
      <c r="L529" s="153"/>
      <c r="M529" s="153"/>
      <c r="N529" s="153"/>
      <c r="O529" s="44"/>
      <c r="P529" s="44"/>
    </row>
    <row r="530" spans="1:16" x14ac:dyDescent="0.2">
      <c r="A530" s="58" t="str">
        <v/>
      </c>
      <c r="B530" s="131" t="str">
        <f>IFERROR(TIMEVALUE(DaqBook_RAW_Data!AG520),IFERROR(TIMEVALUE(DaqBook_RAW_Data!A520),""))</f>
        <v/>
      </c>
      <c r="C530" s="153"/>
      <c r="D530" s="153"/>
      <c r="E530" s="153"/>
      <c r="F530" s="153"/>
      <c r="G530" s="153"/>
      <c r="H530" s="153"/>
      <c r="I530" s="153"/>
      <c r="J530" s="153"/>
      <c r="K530" s="153"/>
      <c r="L530" s="153"/>
      <c r="M530" s="153"/>
      <c r="N530" s="153"/>
      <c r="O530" s="44"/>
      <c r="P530" s="44"/>
    </row>
    <row r="531" spans="1:16" x14ac:dyDescent="0.2">
      <c r="A531" s="58" t="str">
        <v/>
      </c>
      <c r="B531" s="131" t="str">
        <f>IFERROR(TIMEVALUE(DaqBook_RAW_Data!AG521),IFERROR(TIMEVALUE(DaqBook_RAW_Data!A521),""))</f>
        <v/>
      </c>
      <c r="C531" s="153"/>
      <c r="D531" s="153"/>
      <c r="E531" s="153"/>
      <c r="F531" s="153"/>
      <c r="G531" s="153"/>
      <c r="H531" s="153"/>
      <c r="I531" s="153"/>
      <c r="J531" s="153"/>
      <c r="K531" s="153"/>
      <c r="L531" s="153"/>
      <c r="M531" s="153"/>
      <c r="N531" s="153"/>
      <c r="O531" s="44"/>
      <c r="P531" s="44"/>
    </row>
    <row r="532" spans="1:16" x14ac:dyDescent="0.2">
      <c r="A532" s="58" t="str">
        <v/>
      </c>
      <c r="B532" s="131" t="str">
        <f>IFERROR(TIMEVALUE(DaqBook_RAW_Data!AG522),IFERROR(TIMEVALUE(DaqBook_RAW_Data!A522),""))</f>
        <v/>
      </c>
      <c r="C532" s="153"/>
      <c r="D532" s="153"/>
      <c r="E532" s="153"/>
      <c r="F532" s="153"/>
      <c r="G532" s="153"/>
      <c r="H532" s="153"/>
      <c r="I532" s="153"/>
      <c r="J532" s="153"/>
      <c r="K532" s="153"/>
      <c r="L532" s="153"/>
      <c r="M532" s="153"/>
      <c r="N532" s="153"/>
      <c r="O532" s="44"/>
      <c r="P532" s="44"/>
    </row>
    <row r="533" spans="1:16" x14ac:dyDescent="0.2">
      <c r="A533" s="58" t="str">
        <v/>
      </c>
      <c r="B533" s="131" t="str">
        <f>IFERROR(TIMEVALUE(DaqBook_RAW_Data!AG523),IFERROR(TIMEVALUE(DaqBook_RAW_Data!A523),""))</f>
        <v/>
      </c>
      <c r="C533" s="153"/>
      <c r="D533" s="153"/>
      <c r="E533" s="153"/>
      <c r="F533" s="153"/>
      <c r="G533" s="153"/>
      <c r="H533" s="153"/>
      <c r="I533" s="153"/>
      <c r="J533" s="153"/>
      <c r="K533" s="153"/>
      <c r="L533" s="153"/>
      <c r="M533" s="153"/>
      <c r="N533" s="153"/>
      <c r="O533" s="44"/>
      <c r="P533" s="44"/>
    </row>
    <row r="534" spans="1:16" x14ac:dyDescent="0.2">
      <c r="A534" s="58" t="str">
        <v/>
      </c>
      <c r="B534" s="131" t="str">
        <f>IFERROR(TIMEVALUE(DaqBook_RAW_Data!AG524),IFERROR(TIMEVALUE(DaqBook_RAW_Data!A524),""))</f>
        <v/>
      </c>
      <c r="C534" s="153"/>
      <c r="D534" s="153"/>
      <c r="E534" s="153"/>
      <c r="F534" s="153"/>
      <c r="G534" s="153"/>
      <c r="H534" s="153"/>
      <c r="I534" s="153"/>
      <c r="J534" s="153"/>
      <c r="K534" s="153"/>
      <c r="L534" s="153"/>
      <c r="M534" s="153"/>
      <c r="N534" s="153"/>
      <c r="O534" s="44"/>
      <c r="P534" s="44"/>
    </row>
    <row r="535" spans="1:16" x14ac:dyDescent="0.2">
      <c r="A535" s="58" t="str">
        <v/>
      </c>
      <c r="B535" s="131" t="str">
        <f>IFERROR(TIMEVALUE(DaqBook_RAW_Data!AG525),IFERROR(TIMEVALUE(DaqBook_RAW_Data!A525),""))</f>
        <v/>
      </c>
      <c r="C535" s="153"/>
      <c r="D535" s="153"/>
      <c r="E535" s="153"/>
      <c r="F535" s="153"/>
      <c r="G535" s="153"/>
      <c r="H535" s="153"/>
      <c r="I535" s="153"/>
      <c r="J535" s="153"/>
      <c r="K535" s="153"/>
      <c r="L535" s="153"/>
      <c r="M535" s="153"/>
      <c r="N535" s="153"/>
      <c r="O535" s="44"/>
      <c r="P535" s="44"/>
    </row>
    <row r="536" spans="1:16" x14ac:dyDescent="0.2">
      <c r="A536" s="58" t="str">
        <v/>
      </c>
      <c r="B536" s="131" t="str">
        <f>IFERROR(TIMEVALUE(DaqBook_RAW_Data!AG526),IFERROR(TIMEVALUE(DaqBook_RAW_Data!A526),""))</f>
        <v/>
      </c>
      <c r="C536" s="153"/>
      <c r="D536" s="153"/>
      <c r="E536" s="153"/>
      <c r="F536" s="153"/>
      <c r="G536" s="153"/>
      <c r="H536" s="153"/>
      <c r="I536" s="153"/>
      <c r="J536" s="153"/>
      <c r="K536" s="153"/>
      <c r="L536" s="153"/>
      <c r="M536" s="153"/>
      <c r="N536" s="153"/>
      <c r="O536" s="44"/>
      <c r="P536" s="44"/>
    </row>
    <row r="537" spans="1:16" x14ac:dyDescent="0.2">
      <c r="A537" s="58" t="str">
        <v/>
      </c>
      <c r="B537" s="131" t="str">
        <f>IFERROR(TIMEVALUE(DaqBook_RAW_Data!AG527),IFERROR(TIMEVALUE(DaqBook_RAW_Data!A527),""))</f>
        <v/>
      </c>
      <c r="C537" s="153"/>
      <c r="D537" s="153"/>
      <c r="E537" s="153"/>
      <c r="F537" s="153"/>
      <c r="G537" s="153"/>
      <c r="H537" s="153"/>
      <c r="I537" s="153"/>
      <c r="J537" s="153"/>
      <c r="K537" s="153"/>
      <c r="L537" s="153"/>
      <c r="M537" s="153"/>
      <c r="N537" s="153"/>
      <c r="O537" s="44"/>
      <c r="P537" s="44"/>
    </row>
    <row r="538" spans="1:16" x14ac:dyDescent="0.2">
      <c r="A538" s="58" t="str">
        <v/>
      </c>
      <c r="B538" s="131" t="str">
        <f>IFERROR(TIMEVALUE(DaqBook_RAW_Data!AG528),IFERROR(TIMEVALUE(DaqBook_RAW_Data!A528),""))</f>
        <v/>
      </c>
      <c r="C538" s="153"/>
      <c r="D538" s="153"/>
      <c r="E538" s="153"/>
      <c r="F538" s="153"/>
      <c r="G538" s="153"/>
      <c r="H538" s="153"/>
      <c r="I538" s="153"/>
      <c r="J538" s="153"/>
      <c r="K538" s="153"/>
      <c r="L538" s="153"/>
      <c r="M538" s="153"/>
      <c r="N538" s="153"/>
      <c r="O538" s="44"/>
      <c r="P538" s="44"/>
    </row>
    <row r="539" spans="1:16" x14ac:dyDescent="0.2">
      <c r="A539" s="58" t="str">
        <v/>
      </c>
      <c r="B539" s="131" t="str">
        <f>IFERROR(TIMEVALUE(DaqBook_RAW_Data!AG529),IFERROR(TIMEVALUE(DaqBook_RAW_Data!A529),""))</f>
        <v/>
      </c>
      <c r="C539" s="153"/>
      <c r="D539" s="153"/>
      <c r="E539" s="153"/>
      <c r="F539" s="153"/>
      <c r="G539" s="153"/>
      <c r="H539" s="153"/>
      <c r="I539" s="153"/>
      <c r="J539" s="153"/>
      <c r="K539" s="153"/>
      <c r="L539" s="153"/>
      <c r="M539" s="153"/>
      <c r="N539" s="153"/>
      <c r="O539" s="44"/>
      <c r="P539" s="44"/>
    </row>
    <row r="540" spans="1:16" x14ac:dyDescent="0.2">
      <c r="A540" s="58" t="str">
        <v/>
      </c>
      <c r="B540" s="131" t="str">
        <f>IFERROR(TIMEVALUE(DaqBook_RAW_Data!AG530),IFERROR(TIMEVALUE(DaqBook_RAW_Data!A530),""))</f>
        <v/>
      </c>
      <c r="C540" s="153"/>
      <c r="D540" s="153"/>
      <c r="E540" s="153"/>
      <c r="F540" s="153"/>
      <c r="G540" s="153"/>
      <c r="H540" s="153"/>
      <c r="I540" s="153"/>
      <c r="J540" s="153"/>
      <c r="K540" s="153"/>
      <c r="L540" s="153"/>
      <c r="M540" s="153"/>
      <c r="N540" s="153"/>
      <c r="O540" s="44"/>
      <c r="P540" s="44"/>
    </row>
    <row r="541" spans="1:16" x14ac:dyDescent="0.2">
      <c r="A541" s="58" t="str">
        <v/>
      </c>
      <c r="B541" s="131" t="str">
        <f>IFERROR(TIMEVALUE(DaqBook_RAW_Data!AG531),IFERROR(TIMEVALUE(DaqBook_RAW_Data!A531),""))</f>
        <v/>
      </c>
      <c r="C541" s="153"/>
      <c r="D541" s="153"/>
      <c r="E541" s="153"/>
      <c r="F541" s="153"/>
      <c r="G541" s="153"/>
      <c r="H541" s="153"/>
      <c r="I541" s="153"/>
      <c r="J541" s="153"/>
      <c r="K541" s="153"/>
      <c r="L541" s="153"/>
      <c r="M541" s="153"/>
      <c r="N541" s="153"/>
      <c r="O541" s="44"/>
      <c r="P541" s="44"/>
    </row>
    <row r="542" spans="1:16" x14ac:dyDescent="0.2">
      <c r="A542" s="58" t="str">
        <v/>
      </c>
      <c r="B542" s="131" t="str">
        <f>IFERROR(TIMEVALUE(DaqBook_RAW_Data!AG532),IFERROR(TIMEVALUE(DaqBook_RAW_Data!A532),""))</f>
        <v/>
      </c>
      <c r="C542" s="153"/>
      <c r="D542" s="153"/>
      <c r="E542" s="153"/>
      <c r="F542" s="153"/>
      <c r="G542" s="153"/>
      <c r="H542" s="153"/>
      <c r="I542" s="153"/>
      <c r="J542" s="153"/>
      <c r="K542" s="153"/>
      <c r="L542" s="153"/>
      <c r="M542" s="153"/>
      <c r="N542" s="153"/>
      <c r="O542" s="44"/>
      <c r="P542" s="44"/>
    </row>
    <row r="543" spans="1:16" x14ac:dyDescent="0.2">
      <c r="A543" s="58" t="str">
        <v/>
      </c>
      <c r="B543" s="131" t="str">
        <f>IFERROR(TIMEVALUE(DaqBook_RAW_Data!AG533),IFERROR(TIMEVALUE(DaqBook_RAW_Data!A533),""))</f>
        <v/>
      </c>
      <c r="C543" s="153"/>
      <c r="D543" s="153"/>
      <c r="E543" s="153"/>
      <c r="F543" s="153"/>
      <c r="G543" s="153"/>
      <c r="H543" s="153"/>
      <c r="I543" s="153"/>
      <c r="J543" s="153"/>
      <c r="K543" s="153"/>
      <c r="L543" s="153"/>
      <c r="M543" s="153"/>
      <c r="N543" s="153"/>
      <c r="O543" s="44"/>
      <c r="P543" s="44"/>
    </row>
    <row r="544" spans="1:16" x14ac:dyDescent="0.2">
      <c r="A544" s="58" t="str">
        <v/>
      </c>
      <c r="B544" s="131" t="str">
        <f>IFERROR(TIMEVALUE(DaqBook_RAW_Data!AG534),IFERROR(TIMEVALUE(DaqBook_RAW_Data!A534),""))</f>
        <v/>
      </c>
      <c r="C544" s="153"/>
      <c r="D544" s="153"/>
      <c r="E544" s="153"/>
      <c r="F544" s="153"/>
      <c r="G544" s="153"/>
      <c r="H544" s="153"/>
      <c r="I544" s="153"/>
      <c r="J544" s="153"/>
      <c r="K544" s="153"/>
      <c r="L544" s="153"/>
      <c r="M544" s="153"/>
      <c r="N544" s="153"/>
      <c r="O544" s="44"/>
      <c r="P544" s="44"/>
    </row>
    <row r="545" spans="1:16" x14ac:dyDescent="0.2">
      <c r="A545" s="58" t="str">
        <v/>
      </c>
      <c r="B545" s="131" t="str">
        <f>IFERROR(TIMEVALUE(DaqBook_RAW_Data!AG535),IFERROR(TIMEVALUE(DaqBook_RAW_Data!A535),""))</f>
        <v/>
      </c>
      <c r="C545" s="153"/>
      <c r="D545" s="153"/>
      <c r="E545" s="153"/>
      <c r="F545" s="153"/>
      <c r="G545" s="153"/>
      <c r="H545" s="153"/>
      <c r="I545" s="153"/>
      <c r="J545" s="153"/>
      <c r="K545" s="153"/>
      <c r="L545" s="153"/>
      <c r="M545" s="153"/>
      <c r="N545" s="153"/>
      <c r="O545" s="44"/>
      <c r="P545" s="44"/>
    </row>
    <row r="546" spans="1:16" x14ac:dyDescent="0.2">
      <c r="A546" s="58" t="str">
        <v/>
      </c>
      <c r="B546" s="131" t="str">
        <f>IFERROR(TIMEVALUE(DaqBook_RAW_Data!AG536),IFERROR(TIMEVALUE(DaqBook_RAW_Data!A536),""))</f>
        <v/>
      </c>
      <c r="C546" s="153"/>
      <c r="D546" s="153"/>
      <c r="E546" s="153"/>
      <c r="F546" s="153"/>
      <c r="G546" s="153"/>
      <c r="H546" s="153"/>
      <c r="I546" s="153"/>
      <c r="J546" s="153"/>
      <c r="K546" s="153"/>
      <c r="L546" s="153"/>
      <c r="M546" s="153"/>
      <c r="N546" s="153"/>
      <c r="O546" s="44"/>
      <c r="P546" s="44"/>
    </row>
    <row r="547" spans="1:16" x14ac:dyDescent="0.2">
      <c r="A547" s="58" t="str">
        <v/>
      </c>
      <c r="B547" s="131" t="str">
        <f>IFERROR(TIMEVALUE(DaqBook_RAW_Data!AG537),IFERROR(TIMEVALUE(DaqBook_RAW_Data!A537),""))</f>
        <v/>
      </c>
      <c r="C547" s="153"/>
      <c r="D547" s="153"/>
      <c r="E547" s="153"/>
      <c r="F547" s="153"/>
      <c r="G547" s="153"/>
      <c r="H547" s="153"/>
      <c r="I547" s="153"/>
      <c r="J547" s="153"/>
      <c r="K547" s="153"/>
      <c r="L547" s="153"/>
      <c r="M547" s="153"/>
      <c r="N547" s="153"/>
      <c r="O547" s="44"/>
      <c r="P547" s="44"/>
    </row>
    <row r="548" spans="1:16" x14ac:dyDescent="0.2">
      <c r="A548" s="58" t="str">
        <v/>
      </c>
      <c r="B548" s="131" t="str">
        <f>IFERROR(TIMEVALUE(DaqBook_RAW_Data!AG538),IFERROR(TIMEVALUE(DaqBook_RAW_Data!A538),""))</f>
        <v/>
      </c>
      <c r="C548" s="153"/>
      <c r="D548" s="153"/>
      <c r="E548" s="153"/>
      <c r="F548" s="153"/>
      <c r="G548" s="153"/>
      <c r="H548" s="153"/>
      <c r="I548" s="153"/>
      <c r="J548" s="153"/>
      <c r="K548" s="153"/>
      <c r="L548" s="153"/>
      <c r="M548" s="153"/>
      <c r="N548" s="153"/>
      <c r="O548" s="44"/>
      <c r="P548" s="44"/>
    </row>
    <row r="549" spans="1:16" x14ac:dyDescent="0.2">
      <c r="A549" s="58" t="str">
        <v/>
      </c>
      <c r="B549" s="131" t="str">
        <f>IFERROR(TIMEVALUE(DaqBook_RAW_Data!AG539),IFERROR(TIMEVALUE(DaqBook_RAW_Data!A539),""))</f>
        <v/>
      </c>
      <c r="C549" s="153"/>
      <c r="D549" s="153"/>
      <c r="E549" s="153"/>
      <c r="F549" s="153"/>
      <c r="G549" s="153"/>
      <c r="H549" s="153"/>
      <c r="I549" s="153"/>
      <c r="J549" s="153"/>
      <c r="K549" s="153"/>
      <c r="L549" s="153"/>
      <c r="M549" s="153"/>
      <c r="N549" s="153"/>
      <c r="O549" s="44"/>
      <c r="P549" s="44"/>
    </row>
    <row r="550" spans="1:16" x14ac:dyDescent="0.2">
      <c r="A550" s="58" t="str">
        <v/>
      </c>
      <c r="B550" s="131" t="str">
        <f>IFERROR(TIMEVALUE(DaqBook_RAW_Data!AG540),IFERROR(TIMEVALUE(DaqBook_RAW_Data!A540),""))</f>
        <v/>
      </c>
      <c r="C550" s="153"/>
      <c r="D550" s="153"/>
      <c r="E550" s="153"/>
      <c r="F550" s="153"/>
      <c r="G550" s="153"/>
      <c r="H550" s="153"/>
      <c r="I550" s="153"/>
      <c r="J550" s="153"/>
      <c r="K550" s="153"/>
      <c r="L550" s="153"/>
      <c r="M550" s="153"/>
      <c r="N550" s="153"/>
      <c r="O550" s="44"/>
      <c r="P550" s="44"/>
    </row>
    <row r="551" spans="1:16" x14ac:dyDescent="0.2">
      <c r="A551" s="58" t="str">
        <v/>
      </c>
      <c r="B551" s="131" t="str">
        <f>IFERROR(TIMEVALUE(DaqBook_RAW_Data!AG541),IFERROR(TIMEVALUE(DaqBook_RAW_Data!A541),""))</f>
        <v/>
      </c>
      <c r="C551" s="153"/>
      <c r="D551" s="153"/>
      <c r="E551" s="153"/>
      <c r="F551" s="153"/>
      <c r="G551" s="153"/>
      <c r="H551" s="153"/>
      <c r="I551" s="153"/>
      <c r="J551" s="153"/>
      <c r="K551" s="153"/>
      <c r="L551" s="153"/>
      <c r="M551" s="153"/>
      <c r="N551" s="153"/>
      <c r="O551" s="44"/>
      <c r="P551" s="44"/>
    </row>
    <row r="552" spans="1:16" x14ac:dyDescent="0.2">
      <c r="A552" s="58" t="str">
        <v/>
      </c>
      <c r="B552" s="131" t="str">
        <f>IFERROR(TIMEVALUE(DaqBook_RAW_Data!AG542),IFERROR(TIMEVALUE(DaqBook_RAW_Data!A542),""))</f>
        <v/>
      </c>
      <c r="C552" s="153"/>
      <c r="D552" s="153"/>
      <c r="E552" s="153"/>
      <c r="F552" s="153"/>
      <c r="G552" s="153"/>
      <c r="H552" s="153"/>
      <c r="I552" s="153"/>
      <c r="J552" s="153"/>
      <c r="K552" s="153"/>
      <c r="L552" s="153"/>
      <c r="M552" s="153"/>
      <c r="N552" s="153"/>
      <c r="O552" s="44"/>
      <c r="P552" s="44"/>
    </row>
    <row r="553" spans="1:16" x14ac:dyDescent="0.2">
      <c r="A553" s="58" t="str">
        <v/>
      </c>
      <c r="B553" s="131" t="str">
        <f>IFERROR(TIMEVALUE(DaqBook_RAW_Data!AG543),IFERROR(TIMEVALUE(DaqBook_RAW_Data!A543),""))</f>
        <v/>
      </c>
      <c r="C553" s="153"/>
      <c r="D553" s="153"/>
      <c r="E553" s="153"/>
      <c r="F553" s="153"/>
      <c r="G553" s="153"/>
      <c r="H553" s="153"/>
      <c r="I553" s="153"/>
      <c r="J553" s="153"/>
      <c r="K553" s="153"/>
      <c r="L553" s="153"/>
      <c r="M553" s="153"/>
      <c r="N553" s="153"/>
      <c r="O553" s="44"/>
      <c r="P553" s="44"/>
    </row>
    <row r="554" spans="1:16" x14ac:dyDescent="0.2">
      <c r="A554" s="58" t="str">
        <v/>
      </c>
      <c r="B554" s="131" t="str">
        <f>IFERROR(TIMEVALUE(DaqBook_RAW_Data!AG544),IFERROR(TIMEVALUE(DaqBook_RAW_Data!A544),""))</f>
        <v/>
      </c>
      <c r="C554" s="153"/>
      <c r="D554" s="153"/>
      <c r="E554" s="153"/>
      <c r="F554" s="153"/>
      <c r="G554" s="153"/>
      <c r="H554" s="153"/>
      <c r="I554" s="153"/>
      <c r="J554" s="153"/>
      <c r="K554" s="153"/>
      <c r="L554" s="153"/>
      <c r="M554" s="153"/>
      <c r="N554" s="153"/>
      <c r="O554" s="44"/>
      <c r="P554" s="44"/>
    </row>
    <row r="555" spans="1:16" x14ac:dyDescent="0.2">
      <c r="A555" s="58" t="str">
        <v/>
      </c>
      <c r="B555" s="131" t="str">
        <f>IFERROR(TIMEVALUE(DaqBook_RAW_Data!AG545),IFERROR(TIMEVALUE(DaqBook_RAW_Data!A545),""))</f>
        <v/>
      </c>
      <c r="C555" s="153"/>
      <c r="D555" s="153"/>
      <c r="E555" s="153"/>
      <c r="F555" s="153"/>
      <c r="G555" s="153"/>
      <c r="H555" s="153"/>
      <c r="I555" s="153"/>
      <c r="J555" s="153"/>
      <c r="K555" s="153"/>
      <c r="L555" s="153"/>
      <c r="M555" s="153"/>
      <c r="N555" s="153"/>
      <c r="O555" s="44"/>
      <c r="P555" s="44"/>
    </row>
    <row r="556" spans="1:16" x14ac:dyDescent="0.2">
      <c r="A556" s="58" t="str">
        <v/>
      </c>
      <c r="B556" s="131" t="str">
        <f>IFERROR(TIMEVALUE(DaqBook_RAW_Data!AG546),IFERROR(TIMEVALUE(DaqBook_RAW_Data!A546),""))</f>
        <v/>
      </c>
      <c r="C556" s="153"/>
      <c r="D556" s="153"/>
      <c r="E556" s="153"/>
      <c r="F556" s="153"/>
      <c r="G556" s="153"/>
      <c r="H556" s="153"/>
      <c r="I556" s="153"/>
      <c r="J556" s="153"/>
      <c r="K556" s="153"/>
      <c r="L556" s="153"/>
      <c r="M556" s="153"/>
      <c r="N556" s="153"/>
      <c r="O556" s="44"/>
      <c r="P556" s="44"/>
    </row>
    <row r="557" spans="1:16" x14ac:dyDescent="0.2">
      <c r="A557" s="58" t="str">
        <v/>
      </c>
      <c r="B557" s="131" t="str">
        <f>IFERROR(TIMEVALUE(DaqBook_RAW_Data!AG547),IFERROR(TIMEVALUE(DaqBook_RAW_Data!A547),""))</f>
        <v/>
      </c>
      <c r="C557" s="153"/>
      <c r="D557" s="153"/>
      <c r="E557" s="153"/>
      <c r="F557" s="153"/>
      <c r="G557" s="153"/>
      <c r="H557" s="153"/>
      <c r="I557" s="153"/>
      <c r="J557" s="153"/>
      <c r="K557" s="153"/>
      <c r="L557" s="153"/>
      <c r="M557" s="153"/>
      <c r="N557" s="153"/>
      <c r="O557" s="44"/>
      <c r="P557" s="44"/>
    </row>
    <row r="558" spans="1:16" x14ac:dyDescent="0.2">
      <c r="A558" s="58" t="str">
        <v/>
      </c>
      <c r="B558" s="131" t="str">
        <f>IFERROR(TIMEVALUE(DaqBook_RAW_Data!AG548),IFERROR(TIMEVALUE(DaqBook_RAW_Data!A548),""))</f>
        <v/>
      </c>
      <c r="C558" s="153"/>
      <c r="D558" s="153"/>
      <c r="E558" s="153"/>
      <c r="F558" s="153"/>
      <c r="G558" s="153"/>
      <c r="H558" s="153"/>
      <c r="I558" s="153"/>
      <c r="J558" s="153"/>
      <c r="K558" s="153"/>
      <c r="L558" s="153"/>
      <c r="M558" s="153"/>
      <c r="N558" s="153"/>
      <c r="O558" s="44"/>
      <c r="P558" s="44"/>
    </row>
    <row r="559" spans="1:16" x14ac:dyDescent="0.2">
      <c r="A559" s="58" t="str">
        <v/>
      </c>
      <c r="B559" s="131" t="str">
        <f>IFERROR(TIMEVALUE(DaqBook_RAW_Data!AG549),IFERROR(TIMEVALUE(DaqBook_RAW_Data!A549),""))</f>
        <v/>
      </c>
      <c r="C559" s="153"/>
      <c r="D559" s="153"/>
      <c r="E559" s="153"/>
      <c r="F559" s="153"/>
      <c r="G559" s="153"/>
      <c r="H559" s="153"/>
      <c r="I559" s="153"/>
      <c r="J559" s="153"/>
      <c r="K559" s="153"/>
      <c r="L559" s="153"/>
      <c r="M559" s="153"/>
      <c r="N559" s="153"/>
      <c r="O559" s="44"/>
      <c r="P559" s="44"/>
    </row>
    <row r="560" spans="1:16" x14ac:dyDescent="0.2">
      <c r="A560" s="58" t="str">
        <v/>
      </c>
      <c r="B560" s="131" t="str">
        <f>IFERROR(TIMEVALUE(DaqBook_RAW_Data!AG550),IFERROR(TIMEVALUE(DaqBook_RAW_Data!A550),""))</f>
        <v/>
      </c>
      <c r="C560" s="153"/>
      <c r="D560" s="153"/>
      <c r="E560" s="153"/>
      <c r="F560" s="153"/>
      <c r="G560" s="153"/>
      <c r="H560" s="153"/>
      <c r="I560" s="153"/>
      <c r="J560" s="153"/>
      <c r="K560" s="153"/>
      <c r="L560" s="153"/>
      <c r="M560" s="153"/>
      <c r="N560" s="153"/>
      <c r="O560" s="44"/>
      <c r="P560" s="44"/>
    </row>
    <row r="561" spans="1:16" x14ac:dyDescent="0.2">
      <c r="A561" s="58" t="str">
        <v/>
      </c>
      <c r="B561" s="131" t="str">
        <f>IFERROR(TIMEVALUE(DaqBook_RAW_Data!AG551),IFERROR(TIMEVALUE(DaqBook_RAW_Data!A551),""))</f>
        <v/>
      </c>
      <c r="C561" s="153"/>
      <c r="D561" s="153"/>
      <c r="E561" s="153"/>
      <c r="F561" s="153"/>
      <c r="G561" s="153"/>
      <c r="H561" s="153"/>
      <c r="I561" s="153"/>
      <c r="J561" s="153"/>
      <c r="K561" s="153"/>
      <c r="L561" s="153"/>
      <c r="M561" s="153"/>
      <c r="N561" s="153"/>
      <c r="O561" s="44"/>
      <c r="P561" s="44"/>
    </row>
    <row r="562" spans="1:16" x14ac:dyDescent="0.2">
      <c r="A562" s="58" t="str">
        <v/>
      </c>
      <c r="B562" s="131" t="str">
        <f>IFERROR(TIMEVALUE(DaqBook_RAW_Data!AG552),IFERROR(TIMEVALUE(DaqBook_RAW_Data!A552),""))</f>
        <v/>
      </c>
      <c r="C562" s="153"/>
      <c r="D562" s="153"/>
      <c r="E562" s="153"/>
      <c r="F562" s="153"/>
      <c r="G562" s="153"/>
      <c r="H562" s="153"/>
      <c r="I562" s="153"/>
      <c r="J562" s="153"/>
      <c r="K562" s="153"/>
      <c r="L562" s="153"/>
      <c r="M562" s="153"/>
      <c r="N562" s="153"/>
      <c r="O562" s="44"/>
      <c r="P562" s="44"/>
    </row>
    <row r="563" spans="1:16" x14ac:dyDescent="0.2">
      <c r="A563" s="58" t="str">
        <v/>
      </c>
      <c r="B563" s="131" t="str">
        <f>IFERROR(TIMEVALUE(DaqBook_RAW_Data!AG553),IFERROR(TIMEVALUE(DaqBook_RAW_Data!A553),""))</f>
        <v/>
      </c>
      <c r="C563" s="153"/>
      <c r="D563" s="153"/>
      <c r="E563" s="153"/>
      <c r="F563" s="153"/>
      <c r="G563" s="153"/>
      <c r="H563" s="153"/>
      <c r="I563" s="153"/>
      <c r="J563" s="153"/>
      <c r="K563" s="153"/>
      <c r="L563" s="153"/>
      <c r="M563" s="153"/>
      <c r="N563" s="153"/>
      <c r="O563" s="44"/>
      <c r="P563" s="44"/>
    </row>
    <row r="564" spans="1:16" x14ac:dyDescent="0.2">
      <c r="A564" s="58" t="str">
        <v/>
      </c>
      <c r="B564" s="131" t="str">
        <f>IFERROR(TIMEVALUE(DaqBook_RAW_Data!AG554),IFERROR(TIMEVALUE(DaqBook_RAW_Data!A554),""))</f>
        <v/>
      </c>
      <c r="C564" s="153"/>
      <c r="D564" s="153"/>
      <c r="E564" s="153"/>
      <c r="F564" s="153"/>
      <c r="G564" s="153"/>
      <c r="H564" s="153"/>
      <c r="I564" s="153"/>
      <c r="J564" s="153"/>
      <c r="K564" s="153"/>
      <c r="L564" s="153"/>
      <c r="M564" s="153"/>
      <c r="N564" s="153"/>
      <c r="O564" s="44"/>
      <c r="P564" s="44"/>
    </row>
    <row r="565" spans="1:16" x14ac:dyDescent="0.2">
      <c r="A565" s="58" t="str">
        <v/>
      </c>
      <c r="B565" s="131" t="str">
        <f>IFERROR(TIMEVALUE(DaqBook_RAW_Data!AG555),IFERROR(TIMEVALUE(DaqBook_RAW_Data!A555),""))</f>
        <v/>
      </c>
      <c r="C565" s="153"/>
      <c r="D565" s="153"/>
      <c r="E565" s="153"/>
      <c r="F565" s="153"/>
      <c r="G565" s="153"/>
      <c r="H565" s="153"/>
      <c r="I565" s="153"/>
      <c r="J565" s="153"/>
      <c r="K565" s="153"/>
      <c r="L565" s="153"/>
      <c r="M565" s="153"/>
      <c r="N565" s="153"/>
      <c r="O565" s="44"/>
      <c r="P565" s="44"/>
    </row>
    <row r="566" spans="1:16" x14ac:dyDescent="0.2">
      <c r="A566" s="58" t="str">
        <v/>
      </c>
      <c r="B566" s="131" t="str">
        <f>IFERROR(TIMEVALUE(DaqBook_RAW_Data!AG556),IFERROR(TIMEVALUE(DaqBook_RAW_Data!A556),""))</f>
        <v/>
      </c>
      <c r="C566" s="153"/>
      <c r="D566" s="153"/>
      <c r="E566" s="153"/>
      <c r="F566" s="153"/>
      <c r="G566" s="153"/>
      <c r="H566" s="153"/>
      <c r="I566" s="153"/>
      <c r="J566" s="153"/>
      <c r="K566" s="153"/>
      <c r="L566" s="153"/>
      <c r="M566" s="153"/>
      <c r="N566" s="153"/>
      <c r="O566" s="44"/>
      <c r="P566" s="44"/>
    </row>
    <row r="567" spans="1:16" x14ac:dyDescent="0.2">
      <c r="A567" s="58" t="str">
        <v/>
      </c>
      <c r="B567" s="131" t="str">
        <f>IFERROR(TIMEVALUE(DaqBook_RAW_Data!AG557),IFERROR(TIMEVALUE(DaqBook_RAW_Data!A557),""))</f>
        <v/>
      </c>
      <c r="C567" s="153"/>
      <c r="D567" s="153"/>
      <c r="E567" s="153"/>
      <c r="F567" s="153"/>
      <c r="G567" s="153"/>
      <c r="H567" s="153"/>
      <c r="I567" s="153"/>
      <c r="J567" s="153"/>
      <c r="K567" s="153"/>
      <c r="L567" s="153"/>
      <c r="M567" s="153"/>
      <c r="N567" s="153"/>
      <c r="O567" s="44"/>
      <c r="P567" s="44"/>
    </row>
    <row r="568" spans="1:16" x14ac:dyDescent="0.2">
      <c r="A568" s="58" t="str">
        <v/>
      </c>
      <c r="B568" s="131" t="str">
        <f>IFERROR(TIMEVALUE(DaqBook_RAW_Data!AG558),IFERROR(TIMEVALUE(DaqBook_RAW_Data!A558),""))</f>
        <v/>
      </c>
      <c r="C568" s="153"/>
      <c r="D568" s="153"/>
      <c r="E568" s="153"/>
      <c r="F568" s="153"/>
      <c r="G568" s="153"/>
      <c r="H568" s="153"/>
      <c r="I568" s="153"/>
      <c r="J568" s="153"/>
      <c r="K568" s="153"/>
      <c r="L568" s="153"/>
      <c r="M568" s="153"/>
      <c r="N568" s="153"/>
      <c r="O568" s="44"/>
      <c r="P568" s="44"/>
    </row>
    <row r="569" spans="1:16" x14ac:dyDescent="0.2">
      <c r="A569" s="58" t="str">
        <v/>
      </c>
      <c r="B569" s="131" t="str">
        <f>IFERROR(TIMEVALUE(DaqBook_RAW_Data!AG559),IFERROR(TIMEVALUE(DaqBook_RAW_Data!A559),""))</f>
        <v/>
      </c>
      <c r="C569" s="153"/>
      <c r="D569" s="153"/>
      <c r="E569" s="153"/>
      <c r="F569" s="153"/>
      <c r="G569" s="153"/>
      <c r="H569" s="153"/>
      <c r="I569" s="153"/>
      <c r="J569" s="153"/>
      <c r="K569" s="153"/>
      <c r="L569" s="153"/>
      <c r="M569" s="153"/>
      <c r="N569" s="153"/>
      <c r="O569" s="44"/>
      <c r="P569" s="44"/>
    </row>
    <row r="570" spans="1:16" x14ac:dyDescent="0.2">
      <c r="A570" s="58" t="str">
        <v/>
      </c>
      <c r="B570" s="131" t="str">
        <f>IFERROR(TIMEVALUE(DaqBook_RAW_Data!AG560),IFERROR(TIMEVALUE(DaqBook_RAW_Data!A560),""))</f>
        <v/>
      </c>
      <c r="C570" s="153"/>
      <c r="D570" s="153"/>
      <c r="E570" s="153"/>
      <c r="F570" s="153"/>
      <c r="G570" s="153"/>
      <c r="H570" s="153"/>
      <c r="I570" s="153"/>
      <c r="J570" s="153"/>
      <c r="K570" s="153"/>
      <c r="L570" s="153"/>
      <c r="M570" s="153"/>
      <c r="N570" s="153"/>
      <c r="O570" s="44"/>
      <c r="P570" s="44"/>
    </row>
    <row r="571" spans="1:16" x14ac:dyDescent="0.2">
      <c r="A571" s="58" t="str">
        <v/>
      </c>
      <c r="B571" s="131" t="str">
        <f>IFERROR(TIMEVALUE(DaqBook_RAW_Data!AG561),IFERROR(TIMEVALUE(DaqBook_RAW_Data!A561),""))</f>
        <v/>
      </c>
      <c r="C571" s="153"/>
      <c r="D571" s="153"/>
      <c r="E571" s="153"/>
      <c r="F571" s="153"/>
      <c r="G571" s="153"/>
      <c r="H571" s="153"/>
      <c r="I571" s="153"/>
      <c r="J571" s="153"/>
      <c r="K571" s="153"/>
      <c r="L571" s="153"/>
      <c r="M571" s="153"/>
      <c r="N571" s="153"/>
      <c r="O571" s="44"/>
      <c r="P571" s="44"/>
    </row>
    <row r="572" spans="1:16" x14ac:dyDescent="0.2">
      <c r="A572" s="58" t="str">
        <v/>
      </c>
      <c r="B572" s="131" t="str">
        <f>IFERROR(TIMEVALUE(DaqBook_RAW_Data!AG562),IFERROR(TIMEVALUE(DaqBook_RAW_Data!A562),""))</f>
        <v/>
      </c>
      <c r="C572" s="153"/>
      <c r="D572" s="153"/>
      <c r="E572" s="153"/>
      <c r="F572" s="153"/>
      <c r="G572" s="153"/>
      <c r="H572" s="153"/>
      <c r="I572" s="153"/>
      <c r="J572" s="153"/>
      <c r="K572" s="153"/>
      <c r="L572" s="153"/>
      <c r="M572" s="153"/>
      <c r="N572" s="153"/>
      <c r="O572" s="44"/>
      <c r="P572" s="44"/>
    </row>
    <row r="573" spans="1:16" x14ac:dyDescent="0.2">
      <c r="A573" s="58" t="str">
        <v/>
      </c>
      <c r="B573" s="131" t="str">
        <f>IFERROR(TIMEVALUE(DaqBook_RAW_Data!AG563),IFERROR(TIMEVALUE(DaqBook_RAW_Data!A563),""))</f>
        <v/>
      </c>
      <c r="C573" s="153"/>
      <c r="D573" s="153"/>
      <c r="E573" s="153"/>
      <c r="F573" s="153"/>
      <c r="G573" s="153"/>
      <c r="H573" s="153"/>
      <c r="I573" s="153"/>
      <c r="J573" s="153"/>
      <c r="K573" s="153"/>
      <c r="L573" s="153"/>
      <c r="M573" s="153"/>
      <c r="N573" s="153"/>
      <c r="O573" s="44"/>
      <c r="P573" s="44"/>
    </row>
    <row r="574" spans="1:16" x14ac:dyDescent="0.2">
      <c r="A574" s="58" t="str">
        <v/>
      </c>
      <c r="B574" s="131" t="str">
        <f>IFERROR(TIMEVALUE(DaqBook_RAW_Data!AG564),IFERROR(TIMEVALUE(DaqBook_RAW_Data!A564),""))</f>
        <v/>
      </c>
      <c r="C574" s="153"/>
      <c r="D574" s="153"/>
      <c r="E574" s="153"/>
      <c r="F574" s="153"/>
      <c r="G574" s="153"/>
      <c r="H574" s="153"/>
      <c r="I574" s="153"/>
      <c r="J574" s="153"/>
      <c r="K574" s="153"/>
      <c r="L574" s="153"/>
      <c r="M574" s="153"/>
      <c r="N574" s="153"/>
      <c r="O574" s="44"/>
      <c r="P574" s="44"/>
    </row>
    <row r="575" spans="1:16" x14ac:dyDescent="0.2">
      <c r="A575" s="58" t="str">
        <v/>
      </c>
      <c r="B575" s="131" t="str">
        <f>IFERROR(TIMEVALUE(DaqBook_RAW_Data!AG565),IFERROR(TIMEVALUE(DaqBook_RAW_Data!A565),""))</f>
        <v/>
      </c>
      <c r="C575" s="153"/>
      <c r="D575" s="153"/>
      <c r="E575" s="153"/>
      <c r="F575" s="153"/>
      <c r="G575" s="153"/>
      <c r="H575" s="153"/>
      <c r="I575" s="153"/>
      <c r="J575" s="153"/>
      <c r="K575" s="153"/>
      <c r="L575" s="153"/>
      <c r="M575" s="153"/>
      <c r="N575" s="153"/>
      <c r="O575" s="44"/>
      <c r="P575" s="44"/>
    </row>
    <row r="576" spans="1:16" x14ac:dyDescent="0.2">
      <c r="A576" s="58" t="str">
        <v/>
      </c>
      <c r="B576" s="131" t="str">
        <f>IFERROR(TIMEVALUE(DaqBook_RAW_Data!AG566),IFERROR(TIMEVALUE(DaqBook_RAW_Data!A566),""))</f>
        <v/>
      </c>
      <c r="C576" s="153"/>
      <c r="D576" s="153"/>
      <c r="E576" s="153"/>
      <c r="F576" s="153"/>
      <c r="G576" s="153"/>
      <c r="H576" s="153"/>
      <c r="I576" s="153"/>
      <c r="J576" s="153"/>
      <c r="K576" s="153"/>
      <c r="L576" s="153"/>
      <c r="M576" s="153"/>
      <c r="N576" s="153"/>
      <c r="O576" s="44"/>
      <c r="P576" s="44"/>
    </row>
    <row r="577" spans="1:16" x14ac:dyDescent="0.2">
      <c r="A577" s="58" t="str">
        <v/>
      </c>
      <c r="B577" s="131" t="str">
        <f>IFERROR(TIMEVALUE(DaqBook_RAW_Data!AG567),IFERROR(TIMEVALUE(DaqBook_RAW_Data!A567),""))</f>
        <v/>
      </c>
      <c r="C577" s="153"/>
      <c r="D577" s="153"/>
      <c r="E577" s="153"/>
      <c r="F577" s="153"/>
      <c r="G577" s="153"/>
      <c r="H577" s="153"/>
      <c r="I577" s="153"/>
      <c r="J577" s="153"/>
      <c r="K577" s="153"/>
      <c r="L577" s="153"/>
      <c r="M577" s="153"/>
      <c r="N577" s="153"/>
      <c r="O577" s="44"/>
      <c r="P577" s="44"/>
    </row>
    <row r="578" spans="1:16" x14ac:dyDescent="0.2">
      <c r="A578" s="58" t="str">
        <v/>
      </c>
      <c r="B578" s="131" t="str">
        <f>IFERROR(TIMEVALUE(DaqBook_RAW_Data!AG568),IFERROR(TIMEVALUE(DaqBook_RAW_Data!A568),""))</f>
        <v/>
      </c>
      <c r="C578" s="153"/>
      <c r="D578" s="153"/>
      <c r="E578" s="153"/>
      <c r="F578" s="153"/>
      <c r="G578" s="153"/>
      <c r="H578" s="153"/>
      <c r="I578" s="153"/>
      <c r="J578" s="153"/>
      <c r="K578" s="153"/>
      <c r="L578" s="153"/>
      <c r="M578" s="153"/>
      <c r="N578" s="153"/>
      <c r="O578" s="44"/>
      <c r="P578" s="44"/>
    </row>
    <row r="579" spans="1:16" x14ac:dyDescent="0.2">
      <c r="A579" s="58" t="str">
        <v/>
      </c>
      <c r="B579" s="131" t="str">
        <f>IFERROR(TIMEVALUE(DaqBook_RAW_Data!AG569),IFERROR(TIMEVALUE(DaqBook_RAW_Data!A569),""))</f>
        <v/>
      </c>
      <c r="C579" s="153"/>
      <c r="D579" s="153"/>
      <c r="E579" s="153"/>
      <c r="F579" s="153"/>
      <c r="G579" s="153"/>
      <c r="H579" s="153"/>
      <c r="I579" s="153"/>
      <c r="J579" s="153"/>
      <c r="K579" s="153"/>
      <c r="L579" s="153"/>
      <c r="M579" s="153"/>
      <c r="N579" s="153"/>
      <c r="O579" s="44"/>
      <c r="P579" s="44"/>
    </row>
    <row r="580" spans="1:16" x14ac:dyDescent="0.2">
      <c r="A580" s="58" t="str">
        <v/>
      </c>
      <c r="B580" s="131" t="str">
        <f>IFERROR(TIMEVALUE(DaqBook_RAW_Data!AG570),IFERROR(TIMEVALUE(DaqBook_RAW_Data!A570),""))</f>
        <v/>
      </c>
      <c r="C580" s="153"/>
      <c r="D580" s="153"/>
      <c r="E580" s="153"/>
      <c r="F580" s="153"/>
      <c r="G580" s="153"/>
      <c r="H580" s="153"/>
      <c r="I580" s="153"/>
      <c r="J580" s="153"/>
      <c r="K580" s="153"/>
      <c r="L580" s="153"/>
      <c r="M580" s="153"/>
      <c r="N580" s="153"/>
      <c r="O580" s="44"/>
      <c r="P580" s="44"/>
    </row>
    <row r="581" spans="1:16" x14ac:dyDescent="0.2">
      <c r="A581" s="58" t="str">
        <v/>
      </c>
      <c r="B581" s="131" t="str">
        <f>IFERROR(TIMEVALUE(DaqBook_RAW_Data!AG571),IFERROR(TIMEVALUE(DaqBook_RAW_Data!A571),""))</f>
        <v/>
      </c>
      <c r="C581" s="153"/>
      <c r="D581" s="153"/>
      <c r="E581" s="153"/>
      <c r="F581" s="153"/>
      <c r="G581" s="153"/>
      <c r="H581" s="153"/>
      <c r="I581" s="153"/>
      <c r="J581" s="153"/>
      <c r="K581" s="153"/>
      <c r="L581" s="153"/>
      <c r="M581" s="153"/>
      <c r="N581" s="153"/>
      <c r="O581" s="44"/>
      <c r="P581" s="44"/>
    </row>
    <row r="582" spans="1:16" x14ac:dyDescent="0.2">
      <c r="A582" s="58" t="str">
        <v/>
      </c>
      <c r="B582" s="131" t="str">
        <f>IFERROR(TIMEVALUE(DaqBook_RAW_Data!AG572),IFERROR(TIMEVALUE(DaqBook_RAW_Data!A572),""))</f>
        <v/>
      </c>
      <c r="C582" s="153"/>
      <c r="D582" s="153"/>
      <c r="E582" s="153"/>
      <c r="F582" s="153"/>
      <c r="G582" s="153"/>
      <c r="H582" s="153"/>
      <c r="I582" s="153"/>
      <c r="J582" s="153"/>
      <c r="K582" s="153"/>
      <c r="L582" s="153"/>
      <c r="M582" s="153"/>
      <c r="N582" s="153"/>
      <c r="O582" s="44"/>
      <c r="P582" s="44"/>
    </row>
    <row r="583" spans="1:16" x14ac:dyDescent="0.2">
      <c r="A583" s="58" t="str">
        <v/>
      </c>
      <c r="B583" s="131" t="str">
        <f>IFERROR(TIMEVALUE(DaqBook_RAW_Data!AG573),IFERROR(TIMEVALUE(DaqBook_RAW_Data!A573),""))</f>
        <v/>
      </c>
      <c r="C583" s="153"/>
      <c r="D583" s="153"/>
      <c r="E583" s="153"/>
      <c r="F583" s="153"/>
      <c r="G583" s="153"/>
      <c r="H583" s="153"/>
      <c r="I583" s="153"/>
      <c r="J583" s="153"/>
      <c r="K583" s="153"/>
      <c r="L583" s="153"/>
      <c r="M583" s="153"/>
      <c r="N583" s="153"/>
      <c r="O583" s="44"/>
      <c r="P583" s="44"/>
    </row>
    <row r="584" spans="1:16" x14ac:dyDescent="0.2">
      <c r="A584" s="58" t="str">
        <v/>
      </c>
      <c r="B584" s="131" t="str">
        <f>IFERROR(TIMEVALUE(DaqBook_RAW_Data!AG574),IFERROR(TIMEVALUE(DaqBook_RAW_Data!A574),""))</f>
        <v/>
      </c>
      <c r="C584" s="153"/>
      <c r="D584" s="153"/>
      <c r="E584" s="153"/>
      <c r="F584" s="153"/>
      <c r="G584" s="153"/>
      <c r="H584" s="153"/>
      <c r="I584" s="153"/>
      <c r="J584" s="153"/>
      <c r="K584" s="153"/>
      <c r="L584" s="153"/>
      <c r="M584" s="153"/>
      <c r="N584" s="153"/>
      <c r="O584" s="44"/>
      <c r="P584" s="44"/>
    </row>
    <row r="585" spans="1:16" x14ac:dyDescent="0.2">
      <c r="A585" s="58" t="str">
        <v/>
      </c>
      <c r="B585" s="131" t="str">
        <f>IFERROR(TIMEVALUE(DaqBook_RAW_Data!AG575),IFERROR(TIMEVALUE(DaqBook_RAW_Data!A575),""))</f>
        <v/>
      </c>
      <c r="C585" s="153"/>
      <c r="D585" s="153"/>
      <c r="E585" s="153"/>
      <c r="F585" s="153"/>
      <c r="G585" s="153"/>
      <c r="H585" s="153"/>
      <c r="I585" s="153"/>
      <c r="J585" s="153"/>
      <c r="K585" s="153"/>
      <c r="L585" s="153"/>
      <c r="M585" s="153"/>
      <c r="N585" s="153"/>
      <c r="O585" s="44"/>
      <c r="P585" s="44"/>
    </row>
    <row r="586" spans="1:16" x14ac:dyDescent="0.2">
      <c r="A586" s="58" t="str">
        <v/>
      </c>
      <c r="B586" s="131" t="str">
        <f>IFERROR(TIMEVALUE(DaqBook_RAW_Data!AG576),IFERROR(TIMEVALUE(DaqBook_RAW_Data!A576),""))</f>
        <v/>
      </c>
      <c r="C586" s="153"/>
      <c r="D586" s="153"/>
      <c r="E586" s="153"/>
      <c r="F586" s="153"/>
      <c r="G586" s="153"/>
      <c r="H586" s="153"/>
      <c r="I586" s="153"/>
      <c r="J586" s="153"/>
      <c r="K586" s="153"/>
      <c r="L586" s="153"/>
      <c r="M586" s="153"/>
      <c r="N586" s="153"/>
      <c r="O586" s="44"/>
      <c r="P586" s="44"/>
    </row>
    <row r="587" spans="1:16" x14ac:dyDescent="0.2">
      <c r="A587" s="58" t="str">
        <v/>
      </c>
      <c r="B587" s="131" t="str">
        <f>IFERROR(TIMEVALUE(DaqBook_RAW_Data!AG577),IFERROR(TIMEVALUE(DaqBook_RAW_Data!A577),""))</f>
        <v/>
      </c>
      <c r="C587" s="153"/>
      <c r="D587" s="153"/>
      <c r="E587" s="153"/>
      <c r="F587" s="153"/>
      <c r="G587" s="153"/>
      <c r="H587" s="153"/>
      <c r="I587" s="153"/>
      <c r="J587" s="153"/>
      <c r="K587" s="153"/>
      <c r="L587" s="153"/>
      <c r="M587" s="153"/>
      <c r="N587" s="153"/>
      <c r="O587" s="44"/>
      <c r="P587" s="44"/>
    </row>
    <row r="588" spans="1:16" x14ac:dyDescent="0.2">
      <c r="A588" s="58" t="str">
        <v/>
      </c>
      <c r="B588" s="131" t="str">
        <f>IFERROR(TIMEVALUE(DaqBook_RAW_Data!AG578),IFERROR(TIMEVALUE(DaqBook_RAW_Data!A578),""))</f>
        <v/>
      </c>
      <c r="C588" s="153"/>
      <c r="D588" s="153"/>
      <c r="E588" s="153"/>
      <c r="F588" s="153"/>
      <c r="G588" s="153"/>
      <c r="H588" s="153"/>
      <c r="I588" s="153"/>
      <c r="J588" s="153"/>
      <c r="K588" s="153"/>
      <c r="L588" s="153"/>
      <c r="M588" s="153"/>
      <c r="N588" s="153"/>
      <c r="O588" s="44"/>
      <c r="P588" s="44"/>
    </row>
    <row r="589" spans="1:16" x14ac:dyDescent="0.2">
      <c r="A589" s="58" t="str">
        <v/>
      </c>
      <c r="B589" s="131" t="str">
        <f>IFERROR(TIMEVALUE(DaqBook_RAW_Data!AG579),IFERROR(TIMEVALUE(DaqBook_RAW_Data!A579),""))</f>
        <v/>
      </c>
      <c r="C589" s="153"/>
      <c r="D589" s="153"/>
      <c r="E589" s="153"/>
      <c r="F589" s="153"/>
      <c r="G589" s="153"/>
      <c r="H589" s="153"/>
      <c r="I589" s="153"/>
      <c r="J589" s="153"/>
      <c r="K589" s="153"/>
      <c r="L589" s="153"/>
      <c r="M589" s="153"/>
      <c r="N589" s="153"/>
      <c r="O589" s="44"/>
      <c r="P589" s="44"/>
    </row>
    <row r="590" spans="1:16" x14ac:dyDescent="0.2">
      <c r="A590" s="58" t="str">
        <v/>
      </c>
      <c r="B590" s="131" t="str">
        <f>IFERROR(TIMEVALUE(DaqBook_RAW_Data!AG580),IFERROR(TIMEVALUE(DaqBook_RAW_Data!A580),""))</f>
        <v/>
      </c>
      <c r="C590" s="153"/>
      <c r="D590" s="153"/>
      <c r="E590" s="153"/>
      <c r="F590" s="153"/>
      <c r="G590" s="153"/>
      <c r="H590" s="153"/>
      <c r="I590" s="153"/>
      <c r="J590" s="153"/>
      <c r="K590" s="153"/>
      <c r="L590" s="153"/>
      <c r="M590" s="153"/>
      <c r="N590" s="153"/>
      <c r="O590" s="44"/>
      <c r="P590" s="44"/>
    </row>
    <row r="591" spans="1:16" x14ac:dyDescent="0.2">
      <c r="A591" s="58" t="str">
        <v/>
      </c>
      <c r="B591" s="131" t="str">
        <f>IFERROR(TIMEVALUE(DaqBook_RAW_Data!AG581),IFERROR(TIMEVALUE(DaqBook_RAW_Data!A581),""))</f>
        <v/>
      </c>
      <c r="C591" s="153"/>
      <c r="D591" s="153"/>
      <c r="E591" s="153"/>
      <c r="F591" s="153"/>
      <c r="G591" s="153"/>
      <c r="H591" s="153"/>
      <c r="I591" s="153"/>
      <c r="J591" s="153"/>
      <c r="K591" s="153"/>
      <c r="L591" s="153"/>
      <c r="M591" s="153"/>
      <c r="N591" s="153"/>
      <c r="O591" s="44"/>
      <c r="P591" s="44"/>
    </row>
    <row r="592" spans="1:16" x14ac:dyDescent="0.2">
      <c r="A592" s="58" t="str">
        <v/>
      </c>
      <c r="B592" s="131" t="str">
        <f>IFERROR(TIMEVALUE(DaqBook_RAW_Data!AG582),IFERROR(TIMEVALUE(DaqBook_RAW_Data!A582),""))</f>
        <v/>
      </c>
      <c r="C592" s="153"/>
      <c r="D592" s="153"/>
      <c r="E592" s="153"/>
      <c r="F592" s="153"/>
      <c r="G592" s="153"/>
      <c r="H592" s="153"/>
      <c r="I592" s="153"/>
      <c r="J592" s="153"/>
      <c r="K592" s="153"/>
      <c r="L592" s="153"/>
      <c r="M592" s="153"/>
      <c r="N592" s="153"/>
      <c r="O592" s="44"/>
      <c r="P592" s="44"/>
    </row>
    <row r="593" spans="1:16" x14ac:dyDescent="0.2">
      <c r="A593" s="58" t="str">
        <v/>
      </c>
      <c r="B593" s="131" t="str">
        <f>IFERROR(TIMEVALUE(DaqBook_RAW_Data!AG583),IFERROR(TIMEVALUE(DaqBook_RAW_Data!A583),""))</f>
        <v/>
      </c>
      <c r="C593" s="153"/>
      <c r="D593" s="153"/>
      <c r="E593" s="153"/>
      <c r="F593" s="153"/>
      <c r="G593" s="153"/>
      <c r="H593" s="153"/>
      <c r="I593" s="153"/>
      <c r="J593" s="153"/>
      <c r="K593" s="153"/>
      <c r="L593" s="153"/>
      <c r="M593" s="153"/>
      <c r="N593" s="153"/>
      <c r="O593" s="44"/>
      <c r="P593" s="44"/>
    </row>
    <row r="594" spans="1:16" x14ac:dyDescent="0.2">
      <c r="A594" s="58" t="str">
        <v/>
      </c>
      <c r="B594" s="131" t="str">
        <f>IFERROR(TIMEVALUE(DaqBook_RAW_Data!AG584),IFERROR(TIMEVALUE(DaqBook_RAW_Data!A584),""))</f>
        <v/>
      </c>
      <c r="C594" s="153"/>
      <c r="D594" s="153"/>
      <c r="E594" s="153"/>
      <c r="F594" s="153"/>
      <c r="G594" s="153"/>
      <c r="H594" s="153"/>
      <c r="I594" s="153"/>
      <c r="J594" s="153"/>
      <c r="K594" s="153"/>
      <c r="L594" s="153"/>
      <c r="M594" s="153"/>
      <c r="N594" s="153"/>
      <c r="O594" s="44"/>
      <c r="P594" s="44"/>
    </row>
    <row r="595" spans="1:16" x14ac:dyDescent="0.2">
      <c r="A595" s="58" t="str">
        <v/>
      </c>
      <c r="B595" s="131" t="str">
        <f>IFERROR(TIMEVALUE(DaqBook_RAW_Data!AG585),IFERROR(TIMEVALUE(DaqBook_RAW_Data!A585),""))</f>
        <v/>
      </c>
      <c r="C595" s="153"/>
      <c r="D595" s="153"/>
      <c r="E595" s="153"/>
      <c r="F595" s="153"/>
      <c r="G595" s="153"/>
      <c r="H595" s="153"/>
      <c r="I595" s="153"/>
      <c r="J595" s="153"/>
      <c r="K595" s="153"/>
      <c r="L595" s="153"/>
      <c r="M595" s="153"/>
      <c r="N595" s="153"/>
      <c r="O595" s="44"/>
      <c r="P595" s="44"/>
    </row>
    <row r="596" spans="1:16" x14ac:dyDescent="0.2">
      <c r="A596" s="58" t="str">
        <v/>
      </c>
      <c r="B596" s="131" t="str">
        <f>IFERROR(TIMEVALUE(DaqBook_RAW_Data!AG586),IFERROR(TIMEVALUE(DaqBook_RAW_Data!A586),""))</f>
        <v/>
      </c>
      <c r="C596" s="153"/>
      <c r="D596" s="153"/>
      <c r="E596" s="153"/>
      <c r="F596" s="153"/>
      <c r="G596" s="153"/>
      <c r="H596" s="153"/>
      <c r="I596" s="153"/>
      <c r="J596" s="153"/>
      <c r="K596" s="153"/>
      <c r="L596" s="153"/>
      <c r="M596" s="153"/>
      <c r="N596" s="153"/>
      <c r="O596" s="44"/>
      <c r="P596" s="44"/>
    </row>
    <row r="597" spans="1:16" x14ac:dyDescent="0.2">
      <c r="A597" s="58" t="str">
        <v/>
      </c>
      <c r="B597" s="131" t="str">
        <f>IFERROR(TIMEVALUE(DaqBook_RAW_Data!AG587),IFERROR(TIMEVALUE(DaqBook_RAW_Data!A587),""))</f>
        <v/>
      </c>
      <c r="C597" s="153"/>
      <c r="D597" s="153"/>
      <c r="E597" s="153"/>
      <c r="F597" s="153"/>
      <c r="G597" s="153"/>
      <c r="H597" s="153"/>
      <c r="I597" s="153"/>
      <c r="J597" s="153"/>
      <c r="K597" s="153"/>
      <c r="L597" s="153"/>
      <c r="M597" s="153"/>
      <c r="N597" s="153"/>
      <c r="O597" s="44"/>
      <c r="P597" s="44"/>
    </row>
    <row r="598" spans="1:16" x14ac:dyDescent="0.2">
      <c r="A598" s="58" t="str">
        <v/>
      </c>
      <c r="B598" s="131" t="str">
        <f>IFERROR(TIMEVALUE(DaqBook_RAW_Data!AG588),IFERROR(TIMEVALUE(DaqBook_RAW_Data!A588),""))</f>
        <v/>
      </c>
      <c r="C598" s="153"/>
      <c r="D598" s="153"/>
      <c r="E598" s="153"/>
      <c r="F598" s="153"/>
      <c r="G598" s="153"/>
      <c r="H598" s="153"/>
      <c r="I598" s="153"/>
      <c r="J598" s="153"/>
      <c r="K598" s="153"/>
      <c r="L598" s="153"/>
      <c r="M598" s="153"/>
      <c r="N598" s="153"/>
      <c r="O598" s="44"/>
      <c r="P598" s="44"/>
    </row>
    <row r="599" spans="1:16" x14ac:dyDescent="0.2">
      <c r="A599" s="58" t="str">
        <v/>
      </c>
      <c r="B599" s="131" t="str">
        <f>IFERROR(TIMEVALUE(DaqBook_RAW_Data!AG589),IFERROR(TIMEVALUE(DaqBook_RAW_Data!A589),""))</f>
        <v/>
      </c>
      <c r="C599" s="153"/>
      <c r="D599" s="153"/>
      <c r="E599" s="153"/>
      <c r="F599" s="153"/>
      <c r="G599" s="153"/>
      <c r="H599" s="153"/>
      <c r="I599" s="153"/>
      <c r="J599" s="153"/>
      <c r="K599" s="153"/>
      <c r="L599" s="153"/>
      <c r="M599" s="153"/>
      <c r="N599" s="153"/>
      <c r="O599" s="44"/>
      <c r="P599" s="44"/>
    </row>
    <row r="600" spans="1:16" x14ac:dyDescent="0.2">
      <c r="A600" s="58" t="str">
        <v/>
      </c>
      <c r="B600" s="131" t="str">
        <f>IFERROR(TIMEVALUE(DaqBook_RAW_Data!AG590),IFERROR(TIMEVALUE(DaqBook_RAW_Data!A590),""))</f>
        <v/>
      </c>
      <c r="C600" s="153"/>
      <c r="D600" s="153"/>
      <c r="E600" s="153"/>
      <c r="F600" s="153"/>
      <c r="G600" s="153"/>
      <c r="H600" s="153"/>
      <c r="I600" s="153"/>
      <c r="J600" s="153"/>
      <c r="K600" s="153"/>
      <c r="L600" s="153"/>
      <c r="M600" s="153"/>
      <c r="N600" s="153"/>
      <c r="O600" s="44"/>
      <c r="P600" s="44"/>
    </row>
    <row r="601" spans="1:16" x14ac:dyDescent="0.2">
      <c r="A601" s="58" t="str">
        <v/>
      </c>
      <c r="B601" s="131" t="str">
        <f>IFERROR(TIMEVALUE(DaqBook_RAW_Data!AG591),IFERROR(TIMEVALUE(DaqBook_RAW_Data!A591),""))</f>
        <v/>
      </c>
      <c r="C601" s="153"/>
      <c r="D601" s="153"/>
      <c r="E601" s="153"/>
      <c r="F601" s="153"/>
      <c r="G601" s="153"/>
      <c r="H601" s="153"/>
      <c r="I601" s="153"/>
      <c r="J601" s="153"/>
      <c r="K601" s="153"/>
      <c r="L601" s="153"/>
      <c r="M601" s="153"/>
      <c r="N601" s="153"/>
      <c r="O601" s="44"/>
      <c r="P601" s="44"/>
    </row>
    <row r="602" spans="1:16" x14ac:dyDescent="0.2">
      <c r="A602" s="58" t="str">
        <v/>
      </c>
      <c r="B602" s="131" t="str">
        <f>IFERROR(TIMEVALUE(DaqBook_RAW_Data!AG592),IFERROR(TIMEVALUE(DaqBook_RAW_Data!A592),""))</f>
        <v/>
      </c>
      <c r="C602" s="153"/>
      <c r="D602" s="153"/>
      <c r="E602" s="153"/>
      <c r="F602" s="153"/>
      <c r="G602" s="153"/>
      <c r="H602" s="153"/>
      <c r="I602" s="153"/>
      <c r="J602" s="153"/>
      <c r="K602" s="153"/>
      <c r="L602" s="153"/>
      <c r="M602" s="153"/>
      <c r="N602" s="153"/>
      <c r="O602" s="44"/>
      <c r="P602" s="44"/>
    </row>
    <row r="603" spans="1:16" x14ac:dyDescent="0.2">
      <c r="A603" s="58" t="str">
        <v/>
      </c>
      <c r="B603" s="131" t="str">
        <f>IFERROR(TIMEVALUE(DaqBook_RAW_Data!AG593),IFERROR(TIMEVALUE(DaqBook_RAW_Data!A593),""))</f>
        <v/>
      </c>
      <c r="C603" s="153"/>
      <c r="D603" s="153"/>
      <c r="E603" s="153"/>
      <c r="F603" s="153"/>
      <c r="G603" s="153"/>
      <c r="H603" s="153"/>
      <c r="I603" s="153"/>
      <c r="J603" s="153"/>
      <c r="K603" s="153"/>
      <c r="L603" s="153"/>
      <c r="M603" s="153"/>
      <c r="N603" s="153"/>
      <c r="O603" s="44"/>
      <c r="P603" s="44"/>
    </row>
    <row r="604" spans="1:16" x14ac:dyDescent="0.2">
      <c r="A604" s="58" t="str">
        <v/>
      </c>
      <c r="B604" s="131" t="str">
        <f>IFERROR(TIMEVALUE(DaqBook_RAW_Data!AG594),IFERROR(TIMEVALUE(DaqBook_RAW_Data!A594),""))</f>
        <v/>
      </c>
      <c r="C604" s="153"/>
      <c r="D604" s="153"/>
      <c r="E604" s="153"/>
      <c r="F604" s="153"/>
      <c r="G604" s="153"/>
      <c r="H604" s="153"/>
      <c r="I604" s="153"/>
      <c r="J604" s="153"/>
      <c r="K604" s="153"/>
      <c r="L604" s="153"/>
      <c r="M604" s="153"/>
      <c r="N604" s="153"/>
      <c r="O604" s="44"/>
      <c r="P604" s="44"/>
    </row>
    <row r="605" spans="1:16" x14ac:dyDescent="0.2">
      <c r="A605" s="58" t="str">
        <v/>
      </c>
      <c r="B605" s="131" t="str">
        <f>IFERROR(TIMEVALUE(DaqBook_RAW_Data!AG595),IFERROR(TIMEVALUE(DaqBook_RAW_Data!A595),""))</f>
        <v/>
      </c>
      <c r="C605" s="153"/>
      <c r="D605" s="153"/>
      <c r="E605" s="153"/>
      <c r="F605" s="153"/>
      <c r="G605" s="153"/>
      <c r="H605" s="153"/>
      <c r="I605" s="153"/>
      <c r="J605" s="153"/>
      <c r="K605" s="153"/>
      <c r="L605" s="153"/>
      <c r="M605" s="153"/>
      <c r="N605" s="153"/>
      <c r="O605" s="44"/>
      <c r="P605" s="44"/>
    </row>
    <row r="606" spans="1:16" x14ac:dyDescent="0.2">
      <c r="A606" s="58" t="str">
        <v/>
      </c>
      <c r="B606" s="131" t="str">
        <f>IFERROR(TIMEVALUE(DaqBook_RAW_Data!AG596),IFERROR(TIMEVALUE(DaqBook_RAW_Data!A596),""))</f>
        <v/>
      </c>
      <c r="C606" s="153"/>
      <c r="D606" s="153"/>
      <c r="E606" s="153"/>
      <c r="F606" s="153"/>
      <c r="G606" s="153"/>
      <c r="H606" s="153"/>
      <c r="I606" s="153"/>
      <c r="J606" s="153"/>
      <c r="K606" s="153"/>
      <c r="L606" s="153"/>
      <c r="M606" s="153"/>
      <c r="N606" s="153"/>
      <c r="O606" s="44"/>
      <c r="P606" s="44"/>
    </row>
    <row r="607" spans="1:16" x14ac:dyDescent="0.2">
      <c r="A607" s="58" t="str">
        <v/>
      </c>
      <c r="B607" s="131" t="str">
        <f>IFERROR(TIMEVALUE(DaqBook_RAW_Data!AG597),IFERROR(TIMEVALUE(DaqBook_RAW_Data!A597),""))</f>
        <v/>
      </c>
      <c r="C607" s="153"/>
      <c r="D607" s="153"/>
      <c r="E607" s="153"/>
      <c r="F607" s="153"/>
      <c r="G607" s="153"/>
      <c r="H607" s="153"/>
      <c r="I607" s="153"/>
      <c r="J607" s="153"/>
      <c r="K607" s="153"/>
      <c r="L607" s="153"/>
      <c r="M607" s="153"/>
      <c r="N607" s="153"/>
      <c r="O607" s="44"/>
      <c r="P607" s="44"/>
    </row>
    <row r="608" spans="1:16" x14ac:dyDescent="0.2">
      <c r="A608" s="58" t="str">
        <v/>
      </c>
      <c r="B608" s="131" t="str">
        <f>IFERROR(TIMEVALUE(DaqBook_RAW_Data!AG598),IFERROR(TIMEVALUE(DaqBook_RAW_Data!A598),""))</f>
        <v/>
      </c>
      <c r="C608" s="153"/>
      <c r="D608" s="153"/>
      <c r="E608" s="153"/>
      <c r="F608" s="153"/>
      <c r="G608" s="153"/>
      <c r="H608" s="153"/>
      <c r="I608" s="153"/>
      <c r="J608" s="153"/>
      <c r="K608" s="153"/>
      <c r="L608" s="153"/>
      <c r="M608" s="153"/>
      <c r="N608" s="153"/>
      <c r="O608" s="44"/>
      <c r="P608" s="44"/>
    </row>
    <row r="609" spans="1:16" x14ac:dyDescent="0.2">
      <c r="A609" s="58" t="str">
        <v/>
      </c>
      <c r="B609" s="131" t="str">
        <f>IFERROR(TIMEVALUE(DaqBook_RAW_Data!AG599),IFERROR(TIMEVALUE(DaqBook_RAW_Data!A599),""))</f>
        <v/>
      </c>
      <c r="C609" s="153"/>
      <c r="D609" s="153"/>
      <c r="E609" s="153"/>
      <c r="F609" s="153"/>
      <c r="G609" s="153"/>
      <c r="H609" s="153"/>
      <c r="I609" s="153"/>
      <c r="J609" s="153"/>
      <c r="K609" s="153"/>
      <c r="L609" s="153"/>
      <c r="M609" s="153"/>
      <c r="N609" s="153"/>
      <c r="O609" s="44"/>
      <c r="P609" s="44"/>
    </row>
    <row r="610" spans="1:16" x14ac:dyDescent="0.2">
      <c r="A610" s="58" t="str">
        <v/>
      </c>
      <c r="B610" s="131" t="str">
        <f>IFERROR(TIMEVALUE(DaqBook_RAW_Data!AG600),IFERROR(TIMEVALUE(DaqBook_RAW_Data!A600),""))</f>
        <v/>
      </c>
      <c r="C610" s="153"/>
      <c r="D610" s="153"/>
      <c r="E610" s="153"/>
      <c r="F610" s="153"/>
      <c r="G610" s="153"/>
      <c r="H610" s="153"/>
      <c r="I610" s="153"/>
      <c r="J610" s="153"/>
      <c r="K610" s="153"/>
      <c r="L610" s="153"/>
      <c r="M610" s="153"/>
      <c r="N610" s="153"/>
      <c r="O610" s="44"/>
      <c r="P610" s="44"/>
    </row>
    <row r="611" spans="1:16" x14ac:dyDescent="0.2">
      <c r="A611" s="58" t="str">
        <v/>
      </c>
      <c r="B611" s="131" t="str">
        <f>IFERROR(TIMEVALUE(DaqBook_RAW_Data!AG601),IFERROR(TIMEVALUE(DaqBook_RAW_Data!A601),""))</f>
        <v/>
      </c>
      <c r="C611" s="153"/>
      <c r="D611" s="153"/>
      <c r="E611" s="153"/>
      <c r="F611" s="153"/>
      <c r="G611" s="153"/>
      <c r="H611" s="153"/>
      <c r="I611" s="153"/>
      <c r="J611" s="153"/>
      <c r="K611" s="153"/>
      <c r="L611" s="153"/>
      <c r="M611" s="153"/>
      <c r="N611" s="153"/>
      <c r="O611" s="44"/>
      <c r="P611" s="44"/>
    </row>
    <row r="612" spans="1:16" x14ac:dyDescent="0.2">
      <c r="A612" s="58" t="str">
        <v/>
      </c>
      <c r="B612" s="131" t="str">
        <f>IFERROR(TIMEVALUE(DaqBook_RAW_Data!AG602),IFERROR(TIMEVALUE(DaqBook_RAW_Data!A602),""))</f>
        <v/>
      </c>
      <c r="C612" s="153"/>
      <c r="D612" s="153"/>
      <c r="E612" s="153"/>
      <c r="F612" s="153"/>
      <c r="G612" s="153"/>
      <c r="H612" s="153"/>
      <c r="I612" s="153"/>
      <c r="J612" s="153"/>
      <c r="K612" s="153"/>
      <c r="L612" s="153"/>
      <c r="M612" s="153"/>
      <c r="N612" s="153"/>
      <c r="O612" s="44"/>
      <c r="P612" s="44"/>
    </row>
    <row r="613" spans="1:16" x14ac:dyDescent="0.2">
      <c r="A613" s="58" t="str">
        <v/>
      </c>
      <c r="B613" s="131" t="str">
        <f>IFERROR(TIMEVALUE(DaqBook_RAW_Data!AG603),IFERROR(TIMEVALUE(DaqBook_RAW_Data!A603),""))</f>
        <v/>
      </c>
      <c r="C613" s="153"/>
      <c r="D613" s="153"/>
      <c r="E613" s="153"/>
      <c r="F613" s="153"/>
      <c r="G613" s="153"/>
      <c r="H613" s="153"/>
      <c r="I613" s="153"/>
      <c r="J613" s="153"/>
      <c r="K613" s="153"/>
      <c r="L613" s="153"/>
      <c r="M613" s="153"/>
      <c r="N613" s="153"/>
      <c r="O613" s="44"/>
      <c r="P613" s="44"/>
    </row>
    <row r="614" spans="1:16" x14ac:dyDescent="0.2">
      <c r="A614" s="58" t="str">
        <v/>
      </c>
      <c r="B614" s="131" t="str">
        <f>IFERROR(TIMEVALUE(DaqBook_RAW_Data!AG604),IFERROR(TIMEVALUE(DaqBook_RAW_Data!A604),""))</f>
        <v/>
      </c>
      <c r="C614" s="153"/>
      <c r="D614" s="153"/>
      <c r="E614" s="153"/>
      <c r="F614" s="153"/>
      <c r="G614" s="153"/>
      <c r="H614" s="153"/>
      <c r="I614" s="153"/>
      <c r="J614" s="153"/>
      <c r="K614" s="153"/>
      <c r="L614" s="153"/>
      <c r="M614" s="153"/>
      <c r="N614" s="153"/>
      <c r="O614" s="44"/>
      <c r="P614" s="44"/>
    </row>
    <row r="615" spans="1:16" x14ac:dyDescent="0.2">
      <c r="A615" s="58" t="str">
        <v/>
      </c>
      <c r="B615" s="131" t="str">
        <f>IFERROR(TIMEVALUE(DaqBook_RAW_Data!AG605),IFERROR(TIMEVALUE(DaqBook_RAW_Data!A605),""))</f>
        <v/>
      </c>
      <c r="C615" s="153"/>
      <c r="D615" s="153"/>
      <c r="E615" s="153"/>
      <c r="F615" s="153"/>
      <c r="G615" s="153"/>
      <c r="H615" s="153"/>
      <c r="I615" s="153"/>
      <c r="J615" s="153"/>
      <c r="K615" s="153"/>
      <c r="L615" s="153"/>
      <c r="M615" s="153"/>
      <c r="N615" s="153"/>
      <c r="O615" s="44"/>
      <c r="P615" s="44"/>
    </row>
    <row r="616" spans="1:16" x14ac:dyDescent="0.2">
      <c r="A616" s="58" t="str">
        <v/>
      </c>
      <c r="B616" s="131" t="str">
        <f>IFERROR(TIMEVALUE(DaqBook_RAW_Data!AG606),IFERROR(TIMEVALUE(DaqBook_RAW_Data!A606),""))</f>
        <v/>
      </c>
      <c r="C616" s="153"/>
      <c r="D616" s="153"/>
      <c r="E616" s="153"/>
      <c r="F616" s="153"/>
      <c r="G616" s="153"/>
      <c r="H616" s="153"/>
      <c r="I616" s="153"/>
      <c r="J616" s="153"/>
      <c r="K616" s="153"/>
      <c r="L616" s="153"/>
      <c r="M616" s="153"/>
      <c r="N616" s="153"/>
      <c r="O616" s="44"/>
      <c r="P616" s="44"/>
    </row>
    <row r="617" spans="1:16" x14ac:dyDescent="0.2">
      <c r="A617" s="58" t="str">
        <v/>
      </c>
      <c r="B617" s="131" t="str">
        <f>IFERROR(TIMEVALUE(DaqBook_RAW_Data!AG607),IFERROR(TIMEVALUE(DaqBook_RAW_Data!A607),""))</f>
        <v/>
      </c>
      <c r="C617" s="153"/>
      <c r="D617" s="153"/>
      <c r="E617" s="153"/>
      <c r="F617" s="153"/>
      <c r="G617" s="153"/>
      <c r="H617" s="153"/>
      <c r="I617" s="153"/>
      <c r="J617" s="153"/>
      <c r="K617" s="153"/>
      <c r="L617" s="153"/>
      <c r="M617" s="153"/>
      <c r="N617" s="153"/>
      <c r="O617" s="44"/>
      <c r="P617" s="44"/>
    </row>
    <row r="618" spans="1:16" x14ac:dyDescent="0.2">
      <c r="A618" s="58" t="str">
        <v/>
      </c>
      <c r="B618" s="131" t="str">
        <f>IFERROR(TIMEVALUE(DaqBook_RAW_Data!AG608),IFERROR(TIMEVALUE(DaqBook_RAW_Data!A608),""))</f>
        <v/>
      </c>
      <c r="C618" s="153"/>
      <c r="D618" s="153"/>
      <c r="E618" s="153"/>
      <c r="F618" s="153"/>
      <c r="G618" s="153"/>
      <c r="H618" s="153"/>
      <c r="I618" s="153"/>
      <c r="J618" s="153"/>
      <c r="K618" s="153"/>
      <c r="L618" s="153"/>
      <c r="M618" s="153"/>
      <c r="N618" s="153"/>
      <c r="O618" s="44"/>
      <c r="P618" s="44"/>
    </row>
    <row r="619" spans="1:16" x14ac:dyDescent="0.2">
      <c r="A619" s="58" t="str">
        <v/>
      </c>
      <c r="B619" s="131" t="str">
        <f>IFERROR(TIMEVALUE(DaqBook_RAW_Data!AG609),IFERROR(TIMEVALUE(DaqBook_RAW_Data!A609),""))</f>
        <v/>
      </c>
      <c r="C619" s="153"/>
      <c r="D619" s="153"/>
      <c r="E619" s="153"/>
      <c r="F619" s="153"/>
      <c r="G619" s="153"/>
      <c r="H619" s="153"/>
      <c r="I619" s="153"/>
      <c r="J619" s="153"/>
      <c r="K619" s="153"/>
      <c r="L619" s="153"/>
      <c r="M619" s="153"/>
      <c r="N619" s="153"/>
      <c r="O619" s="44"/>
      <c r="P619" s="44"/>
    </row>
    <row r="620" spans="1:16" x14ac:dyDescent="0.2">
      <c r="A620" s="58" t="str">
        <v/>
      </c>
      <c r="B620" s="131" t="str">
        <f>IFERROR(TIMEVALUE(DaqBook_RAW_Data!AG610),IFERROR(TIMEVALUE(DaqBook_RAW_Data!A610),""))</f>
        <v/>
      </c>
      <c r="C620" s="153"/>
      <c r="D620" s="153"/>
      <c r="E620" s="153"/>
      <c r="F620" s="153"/>
      <c r="G620" s="153"/>
      <c r="H620" s="153"/>
      <c r="I620" s="153"/>
      <c r="J620" s="153"/>
      <c r="K620" s="153"/>
      <c r="L620" s="153"/>
      <c r="M620" s="153"/>
      <c r="N620" s="153"/>
      <c r="O620" s="44"/>
      <c r="P620" s="44"/>
    </row>
    <row r="621" spans="1:16" x14ac:dyDescent="0.2">
      <c r="A621" s="58" t="str">
        <v/>
      </c>
      <c r="B621" s="131" t="str">
        <f>IFERROR(TIMEVALUE(DaqBook_RAW_Data!AG611),IFERROR(TIMEVALUE(DaqBook_RAW_Data!A611),""))</f>
        <v/>
      </c>
      <c r="C621" s="153"/>
      <c r="D621" s="153"/>
      <c r="E621" s="153"/>
      <c r="F621" s="153"/>
      <c r="G621" s="153"/>
      <c r="H621" s="153"/>
      <c r="I621" s="153"/>
      <c r="J621" s="153"/>
      <c r="K621" s="153"/>
      <c r="L621" s="153"/>
      <c r="M621" s="153"/>
      <c r="N621" s="153"/>
      <c r="O621" s="44"/>
      <c r="P621" s="44"/>
    </row>
    <row r="622" spans="1:16" x14ac:dyDescent="0.2">
      <c r="A622" s="58" t="str">
        <v/>
      </c>
      <c r="B622" s="131" t="str">
        <f>IFERROR(TIMEVALUE(DaqBook_RAW_Data!AG612),IFERROR(TIMEVALUE(DaqBook_RAW_Data!A612),""))</f>
        <v/>
      </c>
      <c r="C622" s="153"/>
      <c r="D622" s="153"/>
      <c r="E622" s="153"/>
      <c r="F622" s="153"/>
      <c r="G622" s="153"/>
      <c r="H622" s="153"/>
      <c r="I622" s="153"/>
      <c r="J622" s="153"/>
      <c r="K622" s="153"/>
      <c r="L622" s="153"/>
      <c r="M622" s="153"/>
      <c r="N622" s="153"/>
      <c r="O622" s="44"/>
      <c r="P622" s="44"/>
    </row>
    <row r="623" spans="1:16" x14ac:dyDescent="0.2">
      <c r="A623" s="58" t="str">
        <v/>
      </c>
      <c r="B623" s="131" t="str">
        <f>IFERROR(TIMEVALUE(DaqBook_RAW_Data!AG613),IFERROR(TIMEVALUE(DaqBook_RAW_Data!A613),""))</f>
        <v/>
      </c>
      <c r="C623" s="153"/>
      <c r="D623" s="153"/>
      <c r="E623" s="153"/>
      <c r="F623" s="153"/>
      <c r="G623" s="153"/>
      <c r="H623" s="153"/>
      <c r="I623" s="153"/>
      <c r="J623" s="153"/>
      <c r="K623" s="153"/>
      <c r="L623" s="153"/>
      <c r="M623" s="153"/>
      <c r="N623" s="153"/>
      <c r="O623" s="44"/>
      <c r="P623" s="44"/>
    </row>
    <row r="624" spans="1:16" x14ac:dyDescent="0.2">
      <c r="A624" s="58" t="str">
        <v/>
      </c>
      <c r="B624" s="131" t="str">
        <f>IFERROR(TIMEVALUE(DaqBook_RAW_Data!AG614),IFERROR(TIMEVALUE(DaqBook_RAW_Data!A614),""))</f>
        <v/>
      </c>
      <c r="C624" s="153"/>
      <c r="D624" s="153"/>
      <c r="E624" s="153"/>
      <c r="F624" s="153"/>
      <c r="G624" s="153"/>
      <c r="H624" s="153"/>
      <c r="I624" s="153"/>
      <c r="J624" s="153"/>
      <c r="K624" s="153"/>
      <c r="L624" s="153"/>
      <c r="M624" s="153"/>
      <c r="N624" s="153"/>
      <c r="O624" s="44"/>
      <c r="P624" s="44"/>
    </row>
    <row r="625" spans="1:16" x14ac:dyDescent="0.2">
      <c r="A625" s="58" t="str">
        <v/>
      </c>
      <c r="B625" s="131" t="str">
        <f>IFERROR(TIMEVALUE(DaqBook_RAW_Data!AG615),IFERROR(TIMEVALUE(DaqBook_RAW_Data!A615),""))</f>
        <v/>
      </c>
      <c r="C625" s="153"/>
      <c r="D625" s="153"/>
      <c r="E625" s="153"/>
      <c r="F625" s="153"/>
      <c r="G625" s="153"/>
      <c r="H625" s="153"/>
      <c r="I625" s="153"/>
      <c r="J625" s="153"/>
      <c r="K625" s="153"/>
      <c r="L625" s="153"/>
      <c r="M625" s="153"/>
      <c r="N625" s="153"/>
      <c r="O625" s="44"/>
      <c r="P625" s="44"/>
    </row>
    <row r="626" spans="1:16" x14ac:dyDescent="0.2">
      <c r="A626" s="58" t="str">
        <v/>
      </c>
      <c r="B626" s="131" t="str">
        <f>IFERROR(TIMEVALUE(DaqBook_RAW_Data!AG616),IFERROR(TIMEVALUE(DaqBook_RAW_Data!A616),""))</f>
        <v/>
      </c>
      <c r="C626" s="153"/>
      <c r="D626" s="153"/>
      <c r="E626" s="153"/>
      <c r="F626" s="153"/>
      <c r="G626" s="153"/>
      <c r="H626" s="153"/>
      <c r="I626" s="153"/>
      <c r="J626" s="153"/>
      <c r="K626" s="153"/>
      <c r="L626" s="153"/>
      <c r="M626" s="153"/>
      <c r="N626" s="153"/>
      <c r="O626" s="44"/>
      <c r="P626" s="44"/>
    </row>
    <row r="627" spans="1:16" x14ac:dyDescent="0.2">
      <c r="A627" s="58" t="str">
        <v/>
      </c>
      <c r="B627" s="131" t="str">
        <f>IFERROR(TIMEVALUE(DaqBook_RAW_Data!AG617),IFERROR(TIMEVALUE(DaqBook_RAW_Data!A617),""))</f>
        <v/>
      </c>
      <c r="C627" s="153"/>
      <c r="D627" s="153"/>
      <c r="E627" s="153"/>
      <c r="F627" s="153"/>
      <c r="G627" s="153"/>
      <c r="H627" s="153"/>
      <c r="I627" s="153"/>
      <c r="J627" s="153"/>
      <c r="K627" s="153"/>
      <c r="L627" s="153"/>
      <c r="M627" s="153"/>
      <c r="N627" s="153"/>
      <c r="O627" s="44"/>
      <c r="P627" s="44"/>
    </row>
    <row r="628" spans="1:16" x14ac:dyDescent="0.2">
      <c r="A628" s="58" t="str">
        <v/>
      </c>
      <c r="B628" s="131" t="str">
        <f>IFERROR(TIMEVALUE(DaqBook_RAW_Data!AG618),IFERROR(TIMEVALUE(DaqBook_RAW_Data!A618),""))</f>
        <v/>
      </c>
      <c r="C628" s="153"/>
      <c r="D628" s="153"/>
      <c r="E628" s="153"/>
      <c r="F628" s="153"/>
      <c r="G628" s="153"/>
      <c r="H628" s="153"/>
      <c r="I628" s="153"/>
      <c r="J628" s="153"/>
      <c r="K628" s="153"/>
      <c r="L628" s="153"/>
      <c r="M628" s="153"/>
      <c r="N628" s="153"/>
      <c r="O628" s="44"/>
      <c r="P628" s="44"/>
    </row>
    <row r="629" spans="1:16" x14ac:dyDescent="0.2">
      <c r="A629" s="58" t="str">
        <v/>
      </c>
      <c r="B629" s="131" t="str">
        <f>IFERROR(TIMEVALUE(DaqBook_RAW_Data!AG619),IFERROR(TIMEVALUE(DaqBook_RAW_Data!A619),""))</f>
        <v/>
      </c>
      <c r="C629" s="153"/>
      <c r="D629" s="153"/>
      <c r="E629" s="153"/>
      <c r="F629" s="153"/>
      <c r="G629" s="153"/>
      <c r="H629" s="153"/>
      <c r="I629" s="153"/>
      <c r="J629" s="153"/>
      <c r="K629" s="153"/>
      <c r="L629" s="153"/>
      <c r="M629" s="153"/>
      <c r="N629" s="153"/>
      <c r="O629" s="44"/>
      <c r="P629" s="44"/>
    </row>
    <row r="630" spans="1:16" x14ac:dyDescent="0.2">
      <c r="A630" s="58" t="str">
        <v/>
      </c>
      <c r="B630" s="131" t="str">
        <f>IFERROR(TIMEVALUE(DaqBook_RAW_Data!AG620),IFERROR(TIMEVALUE(DaqBook_RAW_Data!A620),""))</f>
        <v/>
      </c>
      <c r="C630" s="153"/>
      <c r="D630" s="153"/>
      <c r="E630" s="153"/>
      <c r="F630" s="153"/>
      <c r="G630" s="153"/>
      <c r="H630" s="153"/>
      <c r="I630" s="153"/>
      <c r="J630" s="153"/>
      <c r="K630" s="153"/>
      <c r="L630" s="153"/>
      <c r="M630" s="153"/>
      <c r="N630" s="153"/>
      <c r="O630" s="44"/>
      <c r="P630" s="44"/>
    </row>
    <row r="631" spans="1:16" x14ac:dyDescent="0.2">
      <c r="A631" s="58" t="str">
        <v/>
      </c>
      <c r="B631" s="131" t="str">
        <f>IFERROR(TIMEVALUE(DaqBook_RAW_Data!AG621),IFERROR(TIMEVALUE(DaqBook_RAW_Data!A621),""))</f>
        <v/>
      </c>
      <c r="C631" s="153"/>
      <c r="D631" s="153"/>
      <c r="E631" s="153"/>
      <c r="F631" s="153"/>
      <c r="G631" s="153"/>
      <c r="H631" s="153"/>
      <c r="I631" s="153"/>
      <c r="J631" s="153"/>
      <c r="K631" s="153"/>
      <c r="L631" s="153"/>
      <c r="M631" s="153"/>
      <c r="N631" s="153"/>
      <c r="O631" s="44"/>
      <c r="P631" s="44"/>
    </row>
    <row r="632" spans="1:16" x14ac:dyDescent="0.2">
      <c r="A632" s="58" t="str">
        <v/>
      </c>
      <c r="B632" s="131" t="str">
        <f>IFERROR(TIMEVALUE(DaqBook_RAW_Data!AG622),IFERROR(TIMEVALUE(DaqBook_RAW_Data!A622),""))</f>
        <v/>
      </c>
      <c r="C632" s="153"/>
      <c r="D632" s="153"/>
      <c r="E632" s="153"/>
      <c r="F632" s="153"/>
      <c r="G632" s="153"/>
      <c r="H632" s="153"/>
      <c r="I632" s="153"/>
      <c r="J632" s="153"/>
      <c r="K632" s="153"/>
      <c r="L632" s="153"/>
      <c r="M632" s="153"/>
      <c r="N632" s="153"/>
      <c r="O632" s="44"/>
      <c r="P632" s="44"/>
    </row>
    <row r="633" spans="1:16" x14ac:dyDescent="0.2">
      <c r="A633" s="58" t="str">
        <v/>
      </c>
      <c r="B633" s="131" t="str">
        <f>IFERROR(TIMEVALUE(DaqBook_RAW_Data!AG623),IFERROR(TIMEVALUE(DaqBook_RAW_Data!A623),""))</f>
        <v/>
      </c>
      <c r="C633" s="153"/>
      <c r="D633" s="153"/>
      <c r="E633" s="153"/>
      <c r="F633" s="153"/>
      <c r="G633" s="153"/>
      <c r="H633" s="153"/>
      <c r="I633" s="153"/>
      <c r="J633" s="153"/>
      <c r="K633" s="153"/>
      <c r="L633" s="153"/>
      <c r="M633" s="153"/>
      <c r="N633" s="153"/>
      <c r="O633" s="44"/>
      <c r="P633" s="44"/>
    </row>
    <row r="634" spans="1:16" x14ac:dyDescent="0.2">
      <c r="A634" s="58" t="str">
        <v/>
      </c>
      <c r="B634" s="131" t="str">
        <f>IFERROR(TIMEVALUE(DaqBook_RAW_Data!AG624),IFERROR(TIMEVALUE(DaqBook_RAW_Data!A624),""))</f>
        <v/>
      </c>
      <c r="C634" s="153"/>
      <c r="D634" s="153"/>
      <c r="E634" s="153"/>
      <c r="F634" s="153"/>
      <c r="G634" s="153"/>
      <c r="H634" s="153"/>
      <c r="I634" s="153"/>
      <c r="J634" s="153"/>
      <c r="K634" s="153"/>
      <c r="L634" s="153"/>
      <c r="M634" s="153"/>
      <c r="N634" s="153"/>
      <c r="O634" s="44"/>
      <c r="P634" s="44"/>
    </row>
    <row r="635" spans="1:16" x14ac:dyDescent="0.2">
      <c r="A635" s="58" t="str">
        <v/>
      </c>
      <c r="B635" s="131" t="str">
        <f>IFERROR(TIMEVALUE(DaqBook_RAW_Data!AG625),IFERROR(TIMEVALUE(DaqBook_RAW_Data!A625),""))</f>
        <v/>
      </c>
      <c r="C635" s="153"/>
      <c r="D635" s="153"/>
      <c r="E635" s="153"/>
      <c r="F635" s="153"/>
      <c r="G635" s="153"/>
      <c r="H635" s="153"/>
      <c r="I635" s="153"/>
      <c r="J635" s="153"/>
      <c r="K635" s="153"/>
      <c r="L635" s="153"/>
      <c r="M635" s="153"/>
      <c r="N635" s="153"/>
      <c r="O635" s="44"/>
      <c r="P635" s="44"/>
    </row>
    <row r="636" spans="1:16" x14ac:dyDescent="0.2">
      <c r="A636" s="58" t="str">
        <v/>
      </c>
      <c r="B636" s="131" t="str">
        <f>IFERROR(TIMEVALUE(DaqBook_RAW_Data!AG626),IFERROR(TIMEVALUE(DaqBook_RAW_Data!A626),""))</f>
        <v/>
      </c>
      <c r="C636" s="153"/>
      <c r="D636" s="153"/>
      <c r="E636" s="153"/>
      <c r="F636" s="153"/>
      <c r="G636" s="153"/>
      <c r="H636" s="153"/>
      <c r="I636" s="153"/>
      <c r="J636" s="153"/>
      <c r="K636" s="153"/>
      <c r="L636" s="153"/>
      <c r="M636" s="153"/>
      <c r="N636" s="153"/>
      <c r="O636" s="44"/>
      <c r="P636" s="44"/>
    </row>
    <row r="637" spans="1:16" x14ac:dyDescent="0.2">
      <c r="A637" s="58" t="str">
        <v/>
      </c>
      <c r="B637" s="131" t="str">
        <f>IFERROR(TIMEVALUE(DaqBook_RAW_Data!AG627),IFERROR(TIMEVALUE(DaqBook_RAW_Data!A627),""))</f>
        <v/>
      </c>
      <c r="C637" s="153"/>
      <c r="D637" s="153"/>
      <c r="E637" s="153"/>
      <c r="F637" s="153"/>
      <c r="G637" s="153"/>
      <c r="H637" s="153"/>
      <c r="I637" s="153"/>
      <c r="J637" s="153"/>
      <c r="K637" s="153"/>
      <c r="L637" s="153"/>
      <c r="M637" s="153"/>
      <c r="N637" s="153"/>
      <c r="O637" s="44"/>
      <c r="P637" s="44"/>
    </row>
    <row r="638" spans="1:16" x14ac:dyDescent="0.2">
      <c r="A638" s="58" t="str">
        <v/>
      </c>
      <c r="B638" s="131" t="str">
        <f>IFERROR(TIMEVALUE(DaqBook_RAW_Data!AG628),IFERROR(TIMEVALUE(DaqBook_RAW_Data!A628),""))</f>
        <v/>
      </c>
      <c r="C638" s="153"/>
      <c r="D638" s="153"/>
      <c r="E638" s="153"/>
      <c r="F638" s="153"/>
      <c r="G638" s="153"/>
      <c r="H638" s="153"/>
      <c r="I638" s="153"/>
      <c r="J638" s="153"/>
      <c r="K638" s="153"/>
      <c r="L638" s="153"/>
      <c r="M638" s="153"/>
      <c r="N638" s="153"/>
      <c r="O638" s="44"/>
      <c r="P638" s="44"/>
    </row>
    <row r="639" spans="1:16" x14ac:dyDescent="0.2">
      <c r="A639" s="58" t="str">
        <v/>
      </c>
      <c r="B639" s="131" t="str">
        <f>IFERROR(TIMEVALUE(DaqBook_RAW_Data!AG629),IFERROR(TIMEVALUE(DaqBook_RAW_Data!A629),""))</f>
        <v/>
      </c>
      <c r="C639" s="153"/>
      <c r="D639" s="153"/>
      <c r="E639" s="153"/>
      <c r="F639" s="153"/>
      <c r="G639" s="153"/>
      <c r="H639" s="153"/>
      <c r="I639" s="153"/>
      <c r="J639" s="153"/>
      <c r="K639" s="153"/>
      <c r="L639" s="153"/>
      <c r="M639" s="153"/>
      <c r="N639" s="153"/>
      <c r="O639" s="44"/>
      <c r="P639" s="44"/>
    </row>
    <row r="640" spans="1:16" x14ac:dyDescent="0.2">
      <c r="A640" s="58" t="str">
        <v/>
      </c>
      <c r="B640" s="131" t="str">
        <f>IFERROR(TIMEVALUE(DaqBook_RAW_Data!AG630),IFERROR(TIMEVALUE(DaqBook_RAW_Data!A630),""))</f>
        <v/>
      </c>
      <c r="C640" s="153"/>
      <c r="D640" s="153"/>
      <c r="E640" s="153"/>
      <c r="F640" s="153"/>
      <c r="G640" s="153"/>
      <c r="H640" s="153"/>
      <c r="I640" s="153"/>
      <c r="J640" s="153"/>
      <c r="K640" s="153"/>
      <c r="L640" s="153"/>
      <c r="M640" s="153"/>
      <c r="N640" s="153"/>
      <c r="O640" s="44"/>
      <c r="P640" s="44"/>
    </row>
    <row r="641" spans="1:16" x14ac:dyDescent="0.2">
      <c r="A641" s="58" t="str">
        <v/>
      </c>
      <c r="B641" s="131" t="str">
        <f>IFERROR(TIMEVALUE(DaqBook_RAW_Data!AG631),IFERROR(TIMEVALUE(DaqBook_RAW_Data!A631),""))</f>
        <v/>
      </c>
      <c r="C641" s="153"/>
      <c r="D641" s="153"/>
      <c r="E641" s="153"/>
      <c r="F641" s="153"/>
      <c r="G641" s="153"/>
      <c r="H641" s="153"/>
      <c r="I641" s="153"/>
      <c r="J641" s="153"/>
      <c r="K641" s="153"/>
      <c r="L641" s="153"/>
      <c r="M641" s="153"/>
      <c r="N641" s="153"/>
      <c r="O641" s="44"/>
      <c r="P641" s="44"/>
    </row>
    <row r="642" spans="1:16" x14ac:dyDescent="0.2">
      <c r="A642" s="58" t="str">
        <v/>
      </c>
      <c r="B642" s="131" t="str">
        <f>IFERROR(TIMEVALUE(DaqBook_RAW_Data!AG632),IFERROR(TIMEVALUE(DaqBook_RAW_Data!A632),""))</f>
        <v/>
      </c>
      <c r="C642" s="153"/>
      <c r="D642" s="153"/>
      <c r="E642" s="153"/>
      <c r="F642" s="153"/>
      <c r="G642" s="153"/>
      <c r="H642" s="153"/>
      <c r="I642" s="153"/>
      <c r="J642" s="153"/>
      <c r="K642" s="153"/>
      <c r="L642" s="153"/>
      <c r="M642" s="153"/>
      <c r="N642" s="153"/>
      <c r="O642" s="44"/>
      <c r="P642" s="44"/>
    </row>
    <row r="643" spans="1:16" x14ac:dyDescent="0.2">
      <c r="A643" s="58" t="str">
        <v/>
      </c>
      <c r="B643" s="131" t="str">
        <f>IFERROR(TIMEVALUE(DaqBook_RAW_Data!AG633),IFERROR(TIMEVALUE(DaqBook_RAW_Data!A633),""))</f>
        <v/>
      </c>
      <c r="C643" s="153"/>
      <c r="D643" s="153"/>
      <c r="E643" s="153"/>
      <c r="F643" s="153"/>
      <c r="G643" s="153"/>
      <c r="H643" s="153"/>
      <c r="I643" s="153"/>
      <c r="J643" s="153"/>
      <c r="K643" s="153"/>
      <c r="L643" s="153"/>
      <c r="M643" s="153"/>
      <c r="N643" s="153"/>
      <c r="O643" s="44"/>
      <c r="P643" s="44"/>
    </row>
    <row r="644" spans="1:16" x14ac:dyDescent="0.2">
      <c r="A644" s="58" t="str">
        <v/>
      </c>
      <c r="B644" s="131" t="str">
        <f>IFERROR(TIMEVALUE(DaqBook_RAW_Data!AG634),IFERROR(TIMEVALUE(DaqBook_RAW_Data!A634),""))</f>
        <v/>
      </c>
      <c r="C644" s="153"/>
      <c r="D644" s="153"/>
      <c r="E644" s="153"/>
      <c r="F644" s="153"/>
      <c r="G644" s="153"/>
      <c r="H644" s="153"/>
      <c r="I644" s="153"/>
      <c r="J644" s="153"/>
      <c r="K644" s="153"/>
      <c r="L644" s="153"/>
      <c r="M644" s="153"/>
      <c r="N644" s="153"/>
      <c r="O644" s="44"/>
      <c r="P644" s="44"/>
    </row>
    <row r="645" spans="1:16" x14ac:dyDescent="0.2">
      <c r="A645" s="58" t="str">
        <v/>
      </c>
      <c r="B645" s="131" t="str">
        <f>IFERROR(TIMEVALUE(DaqBook_RAW_Data!AG635),IFERROR(TIMEVALUE(DaqBook_RAW_Data!A635),""))</f>
        <v/>
      </c>
      <c r="C645" s="153"/>
      <c r="D645" s="153"/>
      <c r="E645" s="153"/>
      <c r="F645" s="153"/>
      <c r="G645" s="153"/>
      <c r="H645" s="153"/>
      <c r="I645" s="153"/>
      <c r="J645" s="153"/>
      <c r="K645" s="153"/>
      <c r="L645" s="153"/>
      <c r="M645" s="153"/>
      <c r="N645" s="153"/>
      <c r="O645" s="44"/>
      <c r="P645" s="44"/>
    </row>
    <row r="646" spans="1:16" x14ac:dyDescent="0.2">
      <c r="A646" s="58" t="str">
        <v/>
      </c>
      <c r="B646" s="131" t="str">
        <f>IFERROR(TIMEVALUE(DaqBook_RAW_Data!AG636),IFERROR(TIMEVALUE(DaqBook_RAW_Data!A636),""))</f>
        <v/>
      </c>
      <c r="C646" s="153"/>
      <c r="D646" s="153"/>
      <c r="E646" s="153"/>
      <c r="F646" s="153"/>
      <c r="G646" s="153"/>
      <c r="H646" s="153"/>
      <c r="I646" s="153"/>
      <c r="J646" s="153"/>
      <c r="K646" s="153"/>
      <c r="L646" s="153"/>
      <c r="M646" s="153"/>
      <c r="N646" s="153"/>
      <c r="O646" s="44"/>
      <c r="P646" s="44"/>
    </row>
    <row r="647" spans="1:16" x14ac:dyDescent="0.2">
      <c r="A647" s="58" t="str">
        <v/>
      </c>
      <c r="B647" s="131" t="str">
        <f>IFERROR(TIMEVALUE(DaqBook_RAW_Data!AG637),IFERROR(TIMEVALUE(DaqBook_RAW_Data!A637),""))</f>
        <v/>
      </c>
      <c r="C647" s="153"/>
      <c r="D647" s="153"/>
      <c r="E647" s="153"/>
      <c r="F647" s="153"/>
      <c r="G647" s="153"/>
      <c r="H647" s="153"/>
      <c r="I647" s="153"/>
      <c r="J647" s="153"/>
      <c r="K647" s="153"/>
      <c r="L647" s="153"/>
      <c r="M647" s="153"/>
      <c r="N647" s="153"/>
      <c r="O647" s="44"/>
      <c r="P647" s="44"/>
    </row>
    <row r="648" spans="1:16" x14ac:dyDescent="0.2">
      <c r="A648" s="58" t="str">
        <v/>
      </c>
      <c r="B648" s="131" t="str">
        <f>IFERROR(TIMEVALUE(DaqBook_RAW_Data!AG638),IFERROR(TIMEVALUE(DaqBook_RAW_Data!A638),""))</f>
        <v/>
      </c>
      <c r="C648" s="153"/>
      <c r="D648" s="153"/>
      <c r="E648" s="153"/>
      <c r="F648" s="153"/>
      <c r="G648" s="153"/>
      <c r="H648" s="153"/>
      <c r="I648" s="153"/>
      <c r="J648" s="153"/>
      <c r="K648" s="153"/>
      <c r="L648" s="153"/>
      <c r="M648" s="153"/>
      <c r="N648" s="153"/>
      <c r="O648" s="44"/>
      <c r="P648" s="44"/>
    </row>
    <row r="649" spans="1:16" x14ac:dyDescent="0.2">
      <c r="A649" s="58" t="str">
        <v/>
      </c>
      <c r="B649" s="131" t="str">
        <f>IFERROR(TIMEVALUE(DaqBook_RAW_Data!AG639),IFERROR(TIMEVALUE(DaqBook_RAW_Data!A639),""))</f>
        <v/>
      </c>
      <c r="C649" s="153"/>
      <c r="D649" s="153"/>
      <c r="E649" s="153"/>
      <c r="F649" s="153"/>
      <c r="G649" s="153"/>
      <c r="H649" s="153"/>
      <c r="I649" s="153"/>
      <c r="J649" s="153"/>
      <c r="K649" s="153"/>
      <c r="L649" s="153"/>
      <c r="M649" s="153"/>
      <c r="N649" s="153"/>
      <c r="O649" s="44"/>
      <c r="P649" s="44"/>
    </row>
    <row r="650" spans="1:16" x14ac:dyDescent="0.2">
      <c r="A650" s="58" t="str">
        <v/>
      </c>
      <c r="B650" s="131" t="str">
        <f>IFERROR(TIMEVALUE(DaqBook_RAW_Data!AG640),IFERROR(TIMEVALUE(DaqBook_RAW_Data!A640),""))</f>
        <v/>
      </c>
      <c r="C650" s="153"/>
      <c r="D650" s="153"/>
      <c r="E650" s="153"/>
      <c r="F650" s="153"/>
      <c r="G650" s="153"/>
      <c r="H650" s="153"/>
      <c r="I650" s="153"/>
      <c r="J650" s="153"/>
      <c r="K650" s="153"/>
      <c r="L650" s="153"/>
      <c r="M650" s="153"/>
      <c r="N650" s="153"/>
      <c r="O650" s="44"/>
      <c r="P650" s="44"/>
    </row>
    <row r="651" spans="1:16" x14ac:dyDescent="0.2">
      <c r="A651" s="58" t="str">
        <v/>
      </c>
      <c r="B651" s="131" t="str">
        <f>IFERROR(TIMEVALUE(DaqBook_RAW_Data!AG641),IFERROR(TIMEVALUE(DaqBook_RAW_Data!A641),""))</f>
        <v/>
      </c>
      <c r="C651" s="153"/>
      <c r="D651" s="153"/>
      <c r="E651" s="153"/>
      <c r="F651" s="153"/>
      <c r="G651" s="153"/>
      <c r="H651" s="153"/>
      <c r="I651" s="153"/>
      <c r="J651" s="153"/>
      <c r="K651" s="153"/>
      <c r="L651" s="153"/>
      <c r="M651" s="153"/>
      <c r="N651" s="153"/>
      <c r="O651" s="44"/>
      <c r="P651" s="44"/>
    </row>
    <row r="652" spans="1:16" x14ac:dyDescent="0.2">
      <c r="A652" s="58" t="str">
        <v/>
      </c>
      <c r="B652" s="131" t="str">
        <f>IFERROR(TIMEVALUE(DaqBook_RAW_Data!AG642),IFERROR(TIMEVALUE(DaqBook_RAW_Data!A642),""))</f>
        <v/>
      </c>
      <c r="C652" s="153"/>
      <c r="D652" s="153"/>
      <c r="E652" s="153"/>
      <c r="F652" s="153"/>
      <c r="G652" s="153"/>
      <c r="H652" s="153"/>
      <c r="I652" s="153"/>
      <c r="J652" s="153"/>
      <c r="K652" s="153"/>
      <c r="L652" s="153"/>
      <c r="M652" s="153"/>
      <c r="N652" s="153"/>
      <c r="O652" s="44"/>
      <c r="P652" s="44"/>
    </row>
    <row r="653" spans="1:16" x14ac:dyDescent="0.2">
      <c r="A653" s="58" t="str">
        <v/>
      </c>
      <c r="B653" s="131" t="str">
        <f>IFERROR(TIMEVALUE(DaqBook_RAW_Data!AG643),IFERROR(TIMEVALUE(DaqBook_RAW_Data!A643),""))</f>
        <v/>
      </c>
      <c r="C653" s="153"/>
      <c r="D653" s="153"/>
      <c r="E653" s="153"/>
      <c r="F653" s="153"/>
      <c r="G653" s="153"/>
      <c r="H653" s="153"/>
      <c r="I653" s="153"/>
      <c r="J653" s="153"/>
      <c r="K653" s="153"/>
      <c r="L653" s="153"/>
      <c r="M653" s="153"/>
      <c r="N653" s="153"/>
      <c r="O653" s="44"/>
      <c r="P653" s="44"/>
    </row>
    <row r="654" spans="1:16" x14ac:dyDescent="0.2">
      <c r="A654" s="58" t="str">
        <v/>
      </c>
      <c r="B654" s="131" t="str">
        <f>IFERROR(TIMEVALUE(DaqBook_RAW_Data!AG644),IFERROR(TIMEVALUE(DaqBook_RAW_Data!A644),""))</f>
        <v/>
      </c>
      <c r="C654" s="153"/>
      <c r="D654" s="153"/>
      <c r="E654" s="153"/>
      <c r="F654" s="153"/>
      <c r="G654" s="153"/>
      <c r="H654" s="153"/>
      <c r="I654" s="153"/>
      <c r="J654" s="153"/>
      <c r="K654" s="153"/>
      <c r="L654" s="153"/>
      <c r="M654" s="153"/>
      <c r="N654" s="153"/>
      <c r="O654" s="44"/>
      <c r="P654" s="44"/>
    </row>
    <row r="655" spans="1:16" x14ac:dyDescent="0.2">
      <c r="A655" s="58" t="str">
        <v/>
      </c>
      <c r="B655" s="131" t="str">
        <f>IFERROR(TIMEVALUE(DaqBook_RAW_Data!AG645),IFERROR(TIMEVALUE(DaqBook_RAW_Data!A645),""))</f>
        <v/>
      </c>
      <c r="C655" s="153"/>
      <c r="D655" s="153"/>
      <c r="E655" s="153"/>
      <c r="F655" s="153"/>
      <c r="G655" s="153"/>
      <c r="H655" s="153"/>
      <c r="I655" s="153"/>
      <c r="J655" s="153"/>
      <c r="K655" s="153"/>
      <c r="L655" s="153"/>
      <c r="M655" s="153"/>
      <c r="N655" s="153"/>
      <c r="O655" s="44"/>
      <c r="P655" s="44"/>
    </row>
    <row r="656" spans="1:16" x14ac:dyDescent="0.2">
      <c r="A656" s="58" t="str">
        <v/>
      </c>
      <c r="B656" s="131" t="str">
        <f>IFERROR(TIMEVALUE(DaqBook_RAW_Data!AG646),IFERROR(TIMEVALUE(DaqBook_RAW_Data!A646),""))</f>
        <v/>
      </c>
      <c r="C656" s="153"/>
      <c r="D656" s="153"/>
      <c r="E656" s="153"/>
      <c r="F656" s="153"/>
      <c r="G656" s="153"/>
      <c r="H656" s="153"/>
      <c r="I656" s="153"/>
      <c r="J656" s="153"/>
      <c r="K656" s="153"/>
      <c r="L656" s="153"/>
      <c r="M656" s="153"/>
      <c r="N656" s="153"/>
      <c r="O656" s="44"/>
      <c r="P656" s="44"/>
    </row>
    <row r="657" spans="1:16" x14ac:dyDescent="0.2">
      <c r="A657" s="58" t="str">
        <v/>
      </c>
      <c r="B657" s="131" t="str">
        <f>IFERROR(TIMEVALUE(DaqBook_RAW_Data!AG647),IFERROR(TIMEVALUE(DaqBook_RAW_Data!A647),""))</f>
        <v/>
      </c>
      <c r="C657" s="153"/>
      <c r="D657" s="153"/>
      <c r="E657" s="153"/>
      <c r="F657" s="153"/>
      <c r="G657" s="153"/>
      <c r="H657" s="153"/>
      <c r="I657" s="153"/>
      <c r="J657" s="153"/>
      <c r="K657" s="153"/>
      <c r="L657" s="153"/>
      <c r="M657" s="153"/>
      <c r="N657" s="153"/>
      <c r="O657" s="44"/>
      <c r="P657" s="44"/>
    </row>
    <row r="658" spans="1:16" x14ac:dyDescent="0.2">
      <c r="A658" s="58" t="str">
        <v/>
      </c>
      <c r="B658" s="131" t="str">
        <f>IFERROR(TIMEVALUE(DaqBook_RAW_Data!AG648),IFERROR(TIMEVALUE(DaqBook_RAW_Data!A648),""))</f>
        <v/>
      </c>
      <c r="C658" s="153"/>
      <c r="D658" s="153"/>
      <c r="E658" s="153"/>
      <c r="F658" s="153"/>
      <c r="G658" s="153"/>
      <c r="H658" s="153"/>
      <c r="I658" s="153"/>
      <c r="J658" s="153"/>
      <c r="K658" s="153"/>
      <c r="L658" s="153"/>
      <c r="M658" s="153"/>
      <c r="N658" s="153"/>
      <c r="O658" s="44"/>
      <c r="P658" s="44"/>
    </row>
    <row r="659" spans="1:16" x14ac:dyDescent="0.2">
      <c r="A659" s="58" t="str">
        <v/>
      </c>
      <c r="B659" s="131" t="str">
        <f>IFERROR(TIMEVALUE(DaqBook_RAW_Data!AG649),IFERROR(TIMEVALUE(DaqBook_RAW_Data!A649),""))</f>
        <v/>
      </c>
      <c r="C659" s="153"/>
      <c r="D659" s="153"/>
      <c r="E659" s="153"/>
      <c r="F659" s="153"/>
      <c r="G659" s="153"/>
      <c r="H659" s="153"/>
      <c r="I659" s="153"/>
      <c r="J659" s="153"/>
      <c r="K659" s="153"/>
      <c r="L659" s="153"/>
      <c r="M659" s="153"/>
      <c r="N659" s="153"/>
      <c r="O659" s="44"/>
      <c r="P659" s="44"/>
    </row>
    <row r="660" spans="1:16" x14ac:dyDescent="0.2">
      <c r="A660" s="58" t="str">
        <v/>
      </c>
      <c r="B660" s="131" t="str">
        <f>IFERROR(TIMEVALUE(DaqBook_RAW_Data!AG650),IFERROR(TIMEVALUE(DaqBook_RAW_Data!A650),""))</f>
        <v/>
      </c>
      <c r="C660" s="153"/>
      <c r="D660" s="153"/>
      <c r="E660" s="153"/>
      <c r="F660" s="153"/>
      <c r="G660" s="153"/>
      <c r="H660" s="153"/>
      <c r="I660" s="153"/>
      <c r="J660" s="153"/>
      <c r="K660" s="153"/>
      <c r="L660" s="153"/>
      <c r="M660" s="153"/>
      <c r="N660" s="153"/>
      <c r="O660" s="44"/>
      <c r="P660" s="44"/>
    </row>
    <row r="661" spans="1:16" x14ac:dyDescent="0.2">
      <c r="A661" s="58" t="str">
        <v/>
      </c>
      <c r="B661" s="131" t="str">
        <f>IFERROR(TIMEVALUE(DaqBook_RAW_Data!AG651),IFERROR(TIMEVALUE(DaqBook_RAW_Data!A651),""))</f>
        <v/>
      </c>
      <c r="C661" s="153"/>
      <c r="D661" s="153"/>
      <c r="E661" s="153"/>
      <c r="F661" s="153"/>
      <c r="G661" s="153"/>
      <c r="H661" s="153"/>
      <c r="I661" s="153"/>
      <c r="J661" s="153"/>
      <c r="K661" s="153"/>
      <c r="L661" s="153"/>
      <c r="M661" s="153"/>
      <c r="N661" s="153"/>
      <c r="O661" s="44"/>
      <c r="P661" s="44"/>
    </row>
    <row r="662" spans="1:16" x14ac:dyDescent="0.2">
      <c r="A662" s="58" t="str">
        <v/>
      </c>
      <c r="B662" s="131" t="str">
        <f>IFERROR(TIMEVALUE(DaqBook_RAW_Data!AG652),IFERROR(TIMEVALUE(DaqBook_RAW_Data!A652),""))</f>
        <v/>
      </c>
      <c r="C662" s="153"/>
      <c r="D662" s="153"/>
      <c r="E662" s="153"/>
      <c r="F662" s="153"/>
      <c r="G662" s="153"/>
      <c r="H662" s="153"/>
      <c r="I662" s="153"/>
      <c r="J662" s="153"/>
      <c r="K662" s="153"/>
      <c r="L662" s="153"/>
      <c r="M662" s="153"/>
      <c r="N662" s="153"/>
      <c r="O662" s="44"/>
      <c r="P662" s="44"/>
    </row>
    <row r="663" spans="1:16" x14ac:dyDescent="0.2">
      <c r="A663" s="58" t="str">
        <v/>
      </c>
      <c r="B663" s="131" t="str">
        <f>IFERROR(TIMEVALUE(DaqBook_RAW_Data!AG653),IFERROR(TIMEVALUE(DaqBook_RAW_Data!A653),""))</f>
        <v/>
      </c>
      <c r="C663" s="153"/>
      <c r="D663" s="153"/>
      <c r="E663" s="153"/>
      <c r="F663" s="153"/>
      <c r="G663" s="153"/>
      <c r="H663" s="153"/>
      <c r="I663" s="153"/>
      <c r="J663" s="153"/>
      <c r="K663" s="153"/>
      <c r="L663" s="153"/>
      <c r="M663" s="153"/>
      <c r="N663" s="153"/>
      <c r="O663" s="44"/>
      <c r="P663" s="44"/>
    </row>
    <row r="664" spans="1:16" x14ac:dyDescent="0.2">
      <c r="A664" s="58" t="str">
        <v/>
      </c>
      <c r="B664" s="131" t="str">
        <f>IFERROR(TIMEVALUE(DaqBook_RAW_Data!AG654),IFERROR(TIMEVALUE(DaqBook_RAW_Data!A654),""))</f>
        <v/>
      </c>
      <c r="C664" s="153"/>
      <c r="D664" s="153"/>
      <c r="E664" s="153"/>
      <c r="F664" s="153"/>
      <c r="G664" s="153"/>
      <c r="H664" s="153"/>
      <c r="I664" s="153"/>
      <c r="J664" s="153"/>
      <c r="K664" s="153"/>
      <c r="L664" s="153"/>
      <c r="M664" s="153"/>
      <c r="N664" s="153"/>
      <c r="O664" s="44"/>
      <c r="P664" s="44"/>
    </row>
    <row r="665" spans="1:16" x14ac:dyDescent="0.2">
      <c r="A665" s="58" t="str">
        <v/>
      </c>
      <c r="B665" s="131" t="str">
        <f>IFERROR(TIMEVALUE(DaqBook_RAW_Data!AG655),IFERROR(TIMEVALUE(DaqBook_RAW_Data!A655),""))</f>
        <v/>
      </c>
      <c r="C665" s="153"/>
      <c r="D665" s="153"/>
      <c r="E665" s="153"/>
      <c r="F665" s="153"/>
      <c r="G665" s="153"/>
      <c r="H665" s="153"/>
      <c r="I665" s="153"/>
      <c r="J665" s="153"/>
      <c r="K665" s="153"/>
      <c r="L665" s="153"/>
      <c r="M665" s="153"/>
      <c r="N665" s="153"/>
      <c r="O665" s="44"/>
      <c r="P665" s="44"/>
    </row>
    <row r="666" spans="1:16" x14ac:dyDescent="0.2">
      <c r="A666" s="58" t="str">
        <v/>
      </c>
      <c r="B666" s="131" t="str">
        <f>IFERROR(TIMEVALUE(DaqBook_RAW_Data!AG656),IFERROR(TIMEVALUE(DaqBook_RAW_Data!A656),""))</f>
        <v/>
      </c>
      <c r="C666" s="153"/>
      <c r="D666" s="153"/>
      <c r="E666" s="153"/>
      <c r="F666" s="153"/>
      <c r="G666" s="153"/>
      <c r="H666" s="153"/>
      <c r="I666" s="153"/>
      <c r="J666" s="153"/>
      <c r="K666" s="153"/>
      <c r="L666" s="153"/>
      <c r="M666" s="153"/>
      <c r="N666" s="153"/>
      <c r="O666" s="44"/>
      <c r="P666" s="44"/>
    </row>
    <row r="667" spans="1:16" x14ac:dyDescent="0.2">
      <c r="A667" s="58" t="str">
        <v/>
      </c>
      <c r="B667" s="131" t="str">
        <f>IFERROR(TIMEVALUE(DaqBook_RAW_Data!AG657),IFERROR(TIMEVALUE(DaqBook_RAW_Data!A657),""))</f>
        <v/>
      </c>
      <c r="C667" s="153"/>
      <c r="D667" s="153"/>
      <c r="E667" s="153"/>
      <c r="F667" s="153"/>
      <c r="G667" s="153"/>
      <c r="H667" s="153"/>
      <c r="I667" s="153"/>
      <c r="J667" s="153"/>
      <c r="K667" s="153"/>
      <c r="L667" s="153"/>
      <c r="M667" s="153"/>
      <c r="N667" s="153"/>
      <c r="O667" s="44"/>
      <c r="P667" s="44"/>
    </row>
    <row r="668" spans="1:16" x14ac:dyDescent="0.2">
      <c r="A668" s="58" t="str">
        <v/>
      </c>
      <c r="B668" s="131" t="str">
        <f>IFERROR(TIMEVALUE(DaqBook_RAW_Data!AG658),IFERROR(TIMEVALUE(DaqBook_RAW_Data!A658),""))</f>
        <v/>
      </c>
      <c r="C668" s="153"/>
      <c r="D668" s="153"/>
      <c r="E668" s="153"/>
      <c r="F668" s="153"/>
      <c r="G668" s="153"/>
      <c r="H668" s="153"/>
      <c r="I668" s="153"/>
      <c r="J668" s="153"/>
      <c r="K668" s="153"/>
      <c r="L668" s="153"/>
      <c r="M668" s="153"/>
      <c r="N668" s="153"/>
      <c r="O668" s="44"/>
      <c r="P668" s="44"/>
    </row>
    <row r="669" spans="1:16" x14ac:dyDescent="0.2">
      <c r="A669" s="58" t="str">
        <v/>
      </c>
      <c r="B669" s="131" t="str">
        <f>IFERROR(TIMEVALUE(DaqBook_RAW_Data!AG659),IFERROR(TIMEVALUE(DaqBook_RAW_Data!A659),""))</f>
        <v/>
      </c>
      <c r="C669" s="153"/>
      <c r="D669" s="153"/>
      <c r="E669" s="153"/>
      <c r="F669" s="153"/>
      <c r="G669" s="153"/>
      <c r="H669" s="153"/>
      <c r="I669" s="153"/>
      <c r="J669" s="153"/>
      <c r="K669" s="153"/>
      <c r="L669" s="153"/>
      <c r="M669" s="153"/>
      <c r="N669" s="153"/>
      <c r="O669" s="44"/>
      <c r="P669" s="44"/>
    </row>
    <row r="670" spans="1:16" x14ac:dyDescent="0.2">
      <c r="A670" s="58" t="str">
        <v/>
      </c>
      <c r="B670" s="131" t="str">
        <f>IFERROR(TIMEVALUE(DaqBook_RAW_Data!AG660),IFERROR(TIMEVALUE(DaqBook_RAW_Data!A660),""))</f>
        <v/>
      </c>
      <c r="C670" s="153"/>
      <c r="D670" s="153"/>
      <c r="E670" s="153"/>
      <c r="F670" s="153"/>
      <c r="G670" s="153"/>
      <c r="H670" s="153"/>
      <c r="I670" s="153"/>
      <c r="J670" s="153"/>
      <c r="K670" s="153"/>
      <c r="L670" s="153"/>
      <c r="M670" s="153"/>
      <c r="N670" s="153"/>
      <c r="O670" s="44"/>
      <c r="P670" s="44"/>
    </row>
    <row r="671" spans="1:16" x14ac:dyDescent="0.2">
      <c r="A671" s="58" t="str">
        <v/>
      </c>
      <c r="B671" s="131" t="str">
        <f>IFERROR(TIMEVALUE(DaqBook_RAW_Data!AG661),IFERROR(TIMEVALUE(DaqBook_RAW_Data!A661),""))</f>
        <v/>
      </c>
      <c r="C671" s="153"/>
      <c r="D671" s="153"/>
      <c r="E671" s="153"/>
      <c r="F671" s="153"/>
      <c r="G671" s="153"/>
      <c r="H671" s="153"/>
      <c r="I671" s="153"/>
      <c r="J671" s="153"/>
      <c r="K671" s="153"/>
      <c r="L671" s="153"/>
      <c r="M671" s="153"/>
      <c r="N671" s="153"/>
      <c r="O671" s="44"/>
      <c r="P671" s="44"/>
    </row>
    <row r="672" spans="1:16" x14ac:dyDescent="0.2">
      <c r="A672" s="58" t="str">
        <v/>
      </c>
      <c r="B672" s="131" t="str">
        <f>IFERROR(TIMEVALUE(DaqBook_RAW_Data!AG662),IFERROR(TIMEVALUE(DaqBook_RAW_Data!A662),""))</f>
        <v/>
      </c>
      <c r="C672" s="153"/>
      <c r="D672" s="153"/>
      <c r="E672" s="153"/>
      <c r="F672" s="153"/>
      <c r="G672" s="153"/>
      <c r="H672" s="153"/>
      <c r="I672" s="153"/>
      <c r="J672" s="153"/>
      <c r="K672" s="153"/>
      <c r="L672" s="153"/>
      <c r="M672" s="153"/>
      <c r="N672" s="153"/>
      <c r="O672" s="44"/>
      <c r="P672" s="44"/>
    </row>
    <row r="673" spans="1:16" x14ac:dyDescent="0.2">
      <c r="A673" s="58" t="str">
        <v/>
      </c>
      <c r="B673" s="131" t="str">
        <f>IFERROR(TIMEVALUE(DaqBook_RAW_Data!AG663),IFERROR(TIMEVALUE(DaqBook_RAW_Data!A663),""))</f>
        <v/>
      </c>
      <c r="C673" s="153"/>
      <c r="D673" s="153"/>
      <c r="E673" s="153"/>
      <c r="F673" s="153"/>
      <c r="G673" s="153"/>
      <c r="H673" s="153"/>
      <c r="I673" s="153"/>
      <c r="J673" s="153"/>
      <c r="K673" s="153"/>
      <c r="L673" s="153"/>
      <c r="M673" s="153"/>
      <c r="N673" s="153"/>
      <c r="O673" s="44"/>
      <c r="P673" s="44"/>
    </row>
    <row r="674" spans="1:16" x14ac:dyDescent="0.2">
      <c r="A674" s="58" t="str">
        <v/>
      </c>
      <c r="B674" s="131" t="str">
        <f>IFERROR(TIMEVALUE(DaqBook_RAW_Data!AG664),IFERROR(TIMEVALUE(DaqBook_RAW_Data!A664),""))</f>
        <v/>
      </c>
      <c r="C674" s="153"/>
      <c r="D674" s="153"/>
      <c r="E674" s="153"/>
      <c r="F674" s="153"/>
      <c r="G674" s="153"/>
      <c r="H674" s="153"/>
      <c r="I674" s="153"/>
      <c r="J674" s="153"/>
      <c r="K674" s="153"/>
      <c r="L674" s="153"/>
      <c r="M674" s="153"/>
      <c r="N674" s="153"/>
      <c r="O674" s="44"/>
      <c r="P674" s="44"/>
    </row>
    <row r="675" spans="1:16" x14ac:dyDescent="0.2">
      <c r="A675" s="58" t="str">
        <v/>
      </c>
      <c r="B675" s="131" t="str">
        <f>IFERROR(TIMEVALUE(DaqBook_RAW_Data!AG665),IFERROR(TIMEVALUE(DaqBook_RAW_Data!A665),""))</f>
        <v/>
      </c>
      <c r="C675" s="153"/>
      <c r="D675" s="153"/>
      <c r="E675" s="153"/>
      <c r="F675" s="153"/>
      <c r="G675" s="153"/>
      <c r="H675" s="153"/>
      <c r="I675" s="153"/>
      <c r="J675" s="153"/>
      <c r="K675" s="153"/>
      <c r="L675" s="153"/>
      <c r="M675" s="153"/>
      <c r="N675" s="153"/>
      <c r="O675" s="44"/>
      <c r="P675" s="44"/>
    </row>
    <row r="676" spans="1:16" x14ac:dyDescent="0.2">
      <c r="A676" s="58" t="str">
        <v/>
      </c>
      <c r="B676" s="131" t="str">
        <f>IFERROR(TIMEVALUE(DaqBook_RAW_Data!AG666),IFERROR(TIMEVALUE(DaqBook_RAW_Data!A666),""))</f>
        <v/>
      </c>
      <c r="C676" s="153"/>
      <c r="D676" s="153"/>
      <c r="E676" s="153"/>
      <c r="F676" s="153"/>
      <c r="G676" s="153"/>
      <c r="H676" s="153"/>
      <c r="I676" s="153"/>
      <c r="J676" s="153"/>
      <c r="K676" s="153"/>
      <c r="L676" s="153"/>
      <c r="M676" s="153"/>
      <c r="N676" s="153"/>
      <c r="O676" s="44"/>
      <c r="P676" s="44"/>
    </row>
    <row r="677" spans="1:16" x14ac:dyDescent="0.2">
      <c r="A677" s="58" t="str">
        <v/>
      </c>
      <c r="B677" s="131" t="str">
        <f>IFERROR(TIMEVALUE(DaqBook_RAW_Data!AG667),IFERROR(TIMEVALUE(DaqBook_RAW_Data!A667),""))</f>
        <v/>
      </c>
      <c r="C677" s="153"/>
      <c r="D677" s="153"/>
      <c r="E677" s="153"/>
      <c r="F677" s="153"/>
      <c r="G677" s="153"/>
      <c r="H677" s="153"/>
      <c r="I677" s="153"/>
      <c r="J677" s="153"/>
      <c r="K677" s="153"/>
      <c r="L677" s="153"/>
      <c r="M677" s="153"/>
      <c r="N677" s="153"/>
      <c r="O677" s="44"/>
      <c r="P677" s="44"/>
    </row>
    <row r="678" spans="1:16" x14ac:dyDescent="0.2">
      <c r="A678" s="58" t="str">
        <v/>
      </c>
      <c r="B678" s="131" t="str">
        <f>IFERROR(TIMEVALUE(DaqBook_RAW_Data!AG668),IFERROR(TIMEVALUE(DaqBook_RAW_Data!A668),""))</f>
        <v/>
      </c>
      <c r="C678" s="153"/>
      <c r="D678" s="153"/>
      <c r="E678" s="153"/>
      <c r="F678" s="153"/>
      <c r="G678" s="153"/>
      <c r="H678" s="153"/>
      <c r="I678" s="153"/>
      <c r="J678" s="153"/>
      <c r="K678" s="153"/>
      <c r="L678" s="153"/>
      <c r="M678" s="153"/>
      <c r="N678" s="153"/>
      <c r="O678" s="44"/>
      <c r="P678" s="44"/>
    </row>
    <row r="679" spans="1:16" x14ac:dyDescent="0.2">
      <c r="A679" s="58" t="str">
        <v/>
      </c>
      <c r="B679" s="131" t="str">
        <f>IFERROR(TIMEVALUE(DaqBook_RAW_Data!AG669),IFERROR(TIMEVALUE(DaqBook_RAW_Data!A669),""))</f>
        <v/>
      </c>
      <c r="C679" s="153"/>
      <c r="D679" s="153"/>
      <c r="E679" s="153"/>
      <c r="F679" s="153"/>
      <c r="G679" s="153"/>
      <c r="H679" s="153"/>
      <c r="I679" s="153"/>
      <c r="J679" s="153"/>
      <c r="K679" s="153"/>
      <c r="L679" s="153"/>
      <c r="M679" s="153"/>
      <c r="N679" s="153"/>
      <c r="O679" s="44"/>
      <c r="P679" s="44"/>
    </row>
    <row r="680" spans="1:16" x14ac:dyDescent="0.2">
      <c r="A680" s="58" t="str">
        <v/>
      </c>
      <c r="B680" s="131" t="str">
        <f>IFERROR(TIMEVALUE(DaqBook_RAW_Data!AG670),IFERROR(TIMEVALUE(DaqBook_RAW_Data!A670),""))</f>
        <v/>
      </c>
      <c r="C680" s="153"/>
      <c r="D680" s="153"/>
      <c r="E680" s="153"/>
      <c r="F680" s="153"/>
      <c r="G680" s="153"/>
      <c r="H680" s="153"/>
      <c r="I680" s="153"/>
      <c r="J680" s="153"/>
      <c r="K680" s="153"/>
      <c r="L680" s="153"/>
      <c r="M680" s="153"/>
      <c r="N680" s="153"/>
      <c r="O680" s="44"/>
      <c r="P680" s="44"/>
    </row>
    <row r="681" spans="1:16" x14ac:dyDescent="0.2">
      <c r="A681" s="58" t="str">
        <v/>
      </c>
      <c r="B681" s="131" t="str">
        <f>IFERROR(TIMEVALUE(DaqBook_RAW_Data!AG671),IFERROR(TIMEVALUE(DaqBook_RAW_Data!A671),""))</f>
        <v/>
      </c>
      <c r="C681" s="153"/>
      <c r="D681" s="153"/>
      <c r="E681" s="153"/>
      <c r="F681" s="153"/>
      <c r="G681" s="153"/>
      <c r="H681" s="153"/>
      <c r="I681" s="153"/>
      <c r="J681" s="153"/>
      <c r="K681" s="153"/>
      <c r="L681" s="153"/>
      <c r="M681" s="153"/>
      <c r="N681" s="153"/>
      <c r="O681" s="44"/>
      <c r="P681" s="44"/>
    </row>
    <row r="682" spans="1:16" x14ac:dyDescent="0.2">
      <c r="A682" s="58" t="str">
        <v/>
      </c>
      <c r="B682" s="131" t="str">
        <f>IFERROR(TIMEVALUE(DaqBook_RAW_Data!AG672),IFERROR(TIMEVALUE(DaqBook_RAW_Data!A672),""))</f>
        <v/>
      </c>
      <c r="C682" s="153"/>
      <c r="D682" s="153"/>
      <c r="E682" s="153"/>
      <c r="F682" s="153"/>
      <c r="G682" s="153"/>
      <c r="H682" s="153"/>
      <c r="I682" s="153"/>
      <c r="J682" s="153"/>
      <c r="K682" s="153"/>
      <c r="L682" s="153"/>
      <c r="M682" s="153"/>
      <c r="N682" s="153"/>
      <c r="O682" s="44"/>
      <c r="P682" s="44"/>
    </row>
    <row r="683" spans="1:16" x14ac:dyDescent="0.2">
      <c r="A683" s="58" t="str">
        <v/>
      </c>
      <c r="B683" s="131" t="str">
        <f>IFERROR(TIMEVALUE(DaqBook_RAW_Data!AG673),IFERROR(TIMEVALUE(DaqBook_RAW_Data!A673),""))</f>
        <v/>
      </c>
      <c r="C683" s="153"/>
      <c r="D683" s="153"/>
      <c r="E683" s="153"/>
      <c r="F683" s="153"/>
      <c r="G683" s="153"/>
      <c r="H683" s="153"/>
      <c r="I683" s="153"/>
      <c r="J683" s="153"/>
      <c r="K683" s="153"/>
      <c r="L683" s="153"/>
      <c r="M683" s="153"/>
      <c r="N683" s="153"/>
      <c r="O683" s="44"/>
      <c r="P683" s="44"/>
    </row>
    <row r="684" spans="1:16" x14ac:dyDescent="0.2">
      <c r="A684" s="58" t="str">
        <v/>
      </c>
      <c r="B684" s="131" t="str">
        <f>IFERROR(TIMEVALUE(DaqBook_RAW_Data!AG674),IFERROR(TIMEVALUE(DaqBook_RAW_Data!A674),""))</f>
        <v/>
      </c>
      <c r="C684" s="153"/>
      <c r="D684" s="153"/>
      <c r="E684" s="153"/>
      <c r="F684" s="153"/>
      <c r="G684" s="153"/>
      <c r="H684" s="153"/>
      <c r="I684" s="153"/>
      <c r="J684" s="153"/>
      <c r="K684" s="153"/>
      <c r="L684" s="153"/>
      <c r="M684" s="153"/>
      <c r="N684" s="153"/>
      <c r="O684" s="44"/>
      <c r="P684" s="44"/>
    </row>
    <row r="685" spans="1:16" x14ac:dyDescent="0.2">
      <c r="A685" s="58" t="str">
        <v/>
      </c>
      <c r="B685" s="131" t="str">
        <f>IFERROR(TIMEVALUE(DaqBook_RAW_Data!AG675),IFERROR(TIMEVALUE(DaqBook_RAW_Data!A675),""))</f>
        <v/>
      </c>
      <c r="C685" s="153"/>
      <c r="D685" s="153"/>
      <c r="E685" s="153"/>
      <c r="F685" s="153"/>
      <c r="G685" s="153"/>
      <c r="H685" s="153"/>
      <c r="I685" s="153"/>
      <c r="J685" s="153"/>
      <c r="K685" s="153"/>
      <c r="L685" s="153"/>
      <c r="M685" s="153"/>
      <c r="N685" s="153"/>
      <c r="O685" s="44"/>
      <c r="P685" s="44"/>
    </row>
    <row r="686" spans="1:16" x14ac:dyDescent="0.2">
      <c r="A686" s="58" t="str">
        <v/>
      </c>
      <c r="B686" s="131" t="str">
        <f>IFERROR(TIMEVALUE(DaqBook_RAW_Data!AG676),IFERROR(TIMEVALUE(DaqBook_RAW_Data!A676),""))</f>
        <v/>
      </c>
      <c r="C686" s="153"/>
      <c r="D686" s="153"/>
      <c r="E686" s="153"/>
      <c r="F686" s="153"/>
      <c r="G686" s="153"/>
      <c r="H686" s="153"/>
      <c r="I686" s="153"/>
      <c r="J686" s="153"/>
      <c r="K686" s="153"/>
      <c r="L686" s="153"/>
      <c r="M686" s="153"/>
      <c r="N686" s="153"/>
      <c r="O686" s="44"/>
      <c r="P686" s="44"/>
    </row>
    <row r="687" spans="1:16" x14ac:dyDescent="0.2">
      <c r="A687" s="58" t="str">
        <v/>
      </c>
      <c r="B687" s="131" t="str">
        <f>IFERROR(TIMEVALUE(DaqBook_RAW_Data!AG677),IFERROR(TIMEVALUE(DaqBook_RAW_Data!A677),""))</f>
        <v/>
      </c>
      <c r="C687" s="153"/>
      <c r="D687" s="153"/>
      <c r="E687" s="153"/>
      <c r="F687" s="153"/>
      <c r="G687" s="153"/>
      <c r="H687" s="153"/>
      <c r="I687" s="153"/>
      <c r="J687" s="153"/>
      <c r="K687" s="153"/>
      <c r="L687" s="153"/>
      <c r="M687" s="153"/>
      <c r="N687" s="153"/>
      <c r="O687" s="44"/>
      <c r="P687" s="44"/>
    </row>
    <row r="688" spans="1:16" x14ac:dyDescent="0.2">
      <c r="A688" s="58" t="str">
        <v/>
      </c>
      <c r="B688" s="131" t="str">
        <f>IFERROR(TIMEVALUE(DaqBook_RAW_Data!AG678),IFERROR(TIMEVALUE(DaqBook_RAW_Data!A678),""))</f>
        <v/>
      </c>
      <c r="C688" s="153"/>
      <c r="D688" s="153"/>
      <c r="E688" s="153"/>
      <c r="F688" s="153"/>
      <c r="G688" s="153"/>
      <c r="H688" s="153"/>
      <c r="I688" s="153"/>
      <c r="J688" s="153"/>
      <c r="K688" s="153"/>
      <c r="L688" s="153"/>
      <c r="M688" s="153"/>
      <c r="N688" s="153"/>
      <c r="O688" s="44"/>
      <c r="P688" s="44"/>
    </row>
    <row r="689" spans="1:16" x14ac:dyDescent="0.2">
      <c r="A689" s="58" t="str">
        <v/>
      </c>
      <c r="B689" s="131" t="str">
        <f>IFERROR(TIMEVALUE(DaqBook_RAW_Data!AG679),IFERROR(TIMEVALUE(DaqBook_RAW_Data!A679),""))</f>
        <v/>
      </c>
      <c r="C689" s="153"/>
      <c r="D689" s="153"/>
      <c r="E689" s="153"/>
      <c r="F689" s="153"/>
      <c r="G689" s="153"/>
      <c r="H689" s="153"/>
      <c r="I689" s="153"/>
      <c r="J689" s="153"/>
      <c r="K689" s="153"/>
      <c r="L689" s="153"/>
      <c r="M689" s="153"/>
      <c r="N689" s="153"/>
      <c r="O689" s="44"/>
      <c r="P689" s="44"/>
    </row>
    <row r="690" spans="1:16" x14ac:dyDescent="0.2">
      <c r="A690" s="58" t="str">
        <v/>
      </c>
      <c r="B690" s="131" t="str">
        <f>IFERROR(TIMEVALUE(DaqBook_RAW_Data!AG680),IFERROR(TIMEVALUE(DaqBook_RAW_Data!A680),""))</f>
        <v/>
      </c>
      <c r="C690" s="153"/>
      <c r="D690" s="153"/>
      <c r="E690" s="153"/>
      <c r="F690" s="153"/>
      <c r="G690" s="153"/>
      <c r="H690" s="153"/>
      <c r="I690" s="153"/>
      <c r="J690" s="153"/>
      <c r="K690" s="153"/>
      <c r="L690" s="153"/>
      <c r="M690" s="153"/>
      <c r="N690" s="153"/>
      <c r="O690" s="44"/>
      <c r="P690" s="44"/>
    </row>
    <row r="691" spans="1:16" x14ac:dyDescent="0.2">
      <c r="A691" s="58" t="str">
        <v/>
      </c>
      <c r="B691" s="131" t="str">
        <f>IFERROR(TIMEVALUE(DaqBook_RAW_Data!AG681),IFERROR(TIMEVALUE(DaqBook_RAW_Data!A681),""))</f>
        <v/>
      </c>
      <c r="C691" s="153"/>
      <c r="D691" s="153"/>
      <c r="E691" s="153"/>
      <c r="F691" s="153"/>
      <c r="G691" s="153"/>
      <c r="H691" s="153"/>
      <c r="I691" s="153"/>
      <c r="J691" s="153"/>
      <c r="K691" s="153"/>
      <c r="L691" s="153"/>
      <c r="M691" s="153"/>
      <c r="N691" s="153"/>
      <c r="O691" s="44"/>
      <c r="P691" s="44"/>
    </row>
    <row r="692" spans="1:16" x14ac:dyDescent="0.2">
      <c r="A692" s="58" t="str">
        <v/>
      </c>
      <c r="B692" s="131" t="str">
        <f>IFERROR(TIMEVALUE(DaqBook_RAW_Data!AG682),IFERROR(TIMEVALUE(DaqBook_RAW_Data!A682),""))</f>
        <v/>
      </c>
      <c r="C692" s="153"/>
      <c r="D692" s="153"/>
      <c r="E692" s="153"/>
      <c r="F692" s="153"/>
      <c r="G692" s="153"/>
      <c r="H692" s="153"/>
      <c r="I692" s="153"/>
      <c r="J692" s="153"/>
      <c r="K692" s="153"/>
      <c r="L692" s="153"/>
      <c r="M692" s="153"/>
      <c r="N692" s="153"/>
      <c r="O692" s="44"/>
      <c r="P692" s="44"/>
    </row>
    <row r="693" spans="1:16" x14ac:dyDescent="0.2">
      <c r="A693" s="58" t="str">
        <v/>
      </c>
      <c r="B693" s="131" t="str">
        <f>IFERROR(TIMEVALUE(DaqBook_RAW_Data!AG683),IFERROR(TIMEVALUE(DaqBook_RAW_Data!A683),""))</f>
        <v/>
      </c>
      <c r="C693" s="153"/>
      <c r="D693" s="153"/>
      <c r="E693" s="153"/>
      <c r="F693" s="153"/>
      <c r="G693" s="153"/>
      <c r="H693" s="153"/>
      <c r="I693" s="153"/>
      <c r="J693" s="153"/>
      <c r="K693" s="153"/>
      <c r="L693" s="153"/>
      <c r="M693" s="153"/>
      <c r="N693" s="153"/>
      <c r="O693" s="44"/>
      <c r="P693" s="44"/>
    </row>
    <row r="694" spans="1:16" x14ac:dyDescent="0.2">
      <c r="A694" s="58" t="str">
        <v/>
      </c>
      <c r="B694" s="131" t="str">
        <f>IFERROR(TIMEVALUE(DaqBook_RAW_Data!AG684),IFERROR(TIMEVALUE(DaqBook_RAW_Data!A684),""))</f>
        <v/>
      </c>
      <c r="C694" s="153"/>
      <c r="D694" s="153"/>
      <c r="E694" s="153"/>
      <c r="F694" s="153"/>
      <c r="G694" s="153"/>
      <c r="H694" s="153"/>
      <c r="I694" s="153"/>
      <c r="J694" s="153"/>
      <c r="K694" s="153"/>
      <c r="L694" s="153"/>
      <c r="M694" s="153"/>
      <c r="N694" s="153"/>
      <c r="O694" s="44"/>
      <c r="P694" s="44"/>
    </row>
    <row r="695" spans="1:16" x14ac:dyDescent="0.2">
      <c r="A695" s="58" t="str">
        <v/>
      </c>
      <c r="B695" s="131" t="str">
        <f>IFERROR(TIMEVALUE(DaqBook_RAW_Data!AG685),IFERROR(TIMEVALUE(DaqBook_RAW_Data!A685),""))</f>
        <v/>
      </c>
      <c r="C695" s="153"/>
      <c r="D695" s="153"/>
      <c r="E695" s="153"/>
      <c r="F695" s="153"/>
      <c r="G695" s="153"/>
      <c r="H695" s="153"/>
      <c r="I695" s="153"/>
      <c r="J695" s="153"/>
      <c r="K695" s="153"/>
      <c r="L695" s="153"/>
      <c r="M695" s="153"/>
      <c r="N695" s="153"/>
      <c r="O695" s="44"/>
      <c r="P695" s="44"/>
    </row>
    <row r="696" spans="1:16" x14ac:dyDescent="0.2">
      <c r="A696" s="58" t="str">
        <v/>
      </c>
      <c r="B696" s="131" t="str">
        <f>IFERROR(TIMEVALUE(DaqBook_RAW_Data!AG686),IFERROR(TIMEVALUE(DaqBook_RAW_Data!A686),""))</f>
        <v/>
      </c>
      <c r="C696" s="153"/>
      <c r="D696" s="153"/>
      <c r="E696" s="153"/>
      <c r="F696" s="153"/>
      <c r="G696" s="153"/>
      <c r="H696" s="153"/>
      <c r="I696" s="153"/>
      <c r="J696" s="153"/>
      <c r="K696" s="153"/>
      <c r="L696" s="153"/>
      <c r="M696" s="153"/>
      <c r="N696" s="153"/>
      <c r="O696" s="44"/>
      <c r="P696" s="44"/>
    </row>
    <row r="697" spans="1:16" x14ac:dyDescent="0.2">
      <c r="A697" s="58" t="str">
        <v/>
      </c>
      <c r="B697" s="131" t="str">
        <f>IFERROR(TIMEVALUE(DaqBook_RAW_Data!AG687),IFERROR(TIMEVALUE(DaqBook_RAW_Data!A687),""))</f>
        <v/>
      </c>
      <c r="C697" s="153"/>
      <c r="D697" s="153"/>
      <c r="E697" s="153"/>
      <c r="F697" s="153"/>
      <c r="G697" s="153"/>
      <c r="H697" s="153"/>
      <c r="I697" s="153"/>
      <c r="J697" s="153"/>
      <c r="K697" s="153"/>
      <c r="L697" s="153"/>
      <c r="M697" s="153"/>
      <c r="N697" s="153"/>
      <c r="O697" s="44"/>
      <c r="P697" s="44"/>
    </row>
    <row r="698" spans="1:16" x14ac:dyDescent="0.2">
      <c r="A698" s="58" t="str">
        <v/>
      </c>
      <c r="B698" s="131" t="str">
        <f>IFERROR(TIMEVALUE(DaqBook_RAW_Data!AG688),IFERROR(TIMEVALUE(DaqBook_RAW_Data!A688),""))</f>
        <v/>
      </c>
      <c r="C698" s="153"/>
      <c r="D698" s="153"/>
      <c r="E698" s="153"/>
      <c r="F698" s="153"/>
      <c r="G698" s="153"/>
      <c r="H698" s="153"/>
      <c r="I698" s="153"/>
      <c r="J698" s="153"/>
      <c r="K698" s="153"/>
      <c r="L698" s="153"/>
      <c r="M698" s="153"/>
      <c r="N698" s="153"/>
      <c r="O698" s="44"/>
      <c r="P698" s="44"/>
    </row>
    <row r="699" spans="1:16" x14ac:dyDescent="0.2">
      <c r="A699" s="58" t="str">
        <v/>
      </c>
      <c r="B699" s="131" t="str">
        <f>IFERROR(TIMEVALUE(DaqBook_RAW_Data!AG689),IFERROR(TIMEVALUE(DaqBook_RAW_Data!A689),""))</f>
        <v/>
      </c>
      <c r="C699" s="153"/>
      <c r="D699" s="153"/>
      <c r="E699" s="153"/>
      <c r="F699" s="153"/>
      <c r="G699" s="153"/>
      <c r="H699" s="153"/>
      <c r="I699" s="153"/>
      <c r="J699" s="153"/>
      <c r="K699" s="153"/>
      <c r="L699" s="153"/>
      <c r="M699" s="153"/>
      <c r="N699" s="153"/>
      <c r="O699" s="44"/>
      <c r="P699" s="44"/>
    </row>
    <row r="700" spans="1:16" x14ac:dyDescent="0.2">
      <c r="A700" s="58" t="str">
        <v/>
      </c>
      <c r="B700" s="131" t="str">
        <f>IFERROR(TIMEVALUE(DaqBook_RAW_Data!AG690),IFERROR(TIMEVALUE(DaqBook_RAW_Data!A690),""))</f>
        <v/>
      </c>
      <c r="C700" s="153"/>
      <c r="D700" s="153"/>
      <c r="E700" s="153"/>
      <c r="F700" s="153"/>
      <c r="G700" s="153"/>
      <c r="H700" s="153"/>
      <c r="I700" s="153"/>
      <c r="J700" s="153"/>
      <c r="K700" s="153"/>
      <c r="L700" s="153"/>
      <c r="M700" s="153"/>
      <c r="N700" s="153"/>
      <c r="O700" s="44"/>
      <c r="P700" s="44"/>
    </row>
    <row r="701" spans="1:16" x14ac:dyDescent="0.2">
      <c r="A701" s="58" t="str">
        <v/>
      </c>
      <c r="B701" s="131" t="str">
        <f>IFERROR(TIMEVALUE(DaqBook_RAW_Data!AG691),IFERROR(TIMEVALUE(DaqBook_RAW_Data!A691),""))</f>
        <v/>
      </c>
      <c r="C701" s="153"/>
      <c r="D701" s="153"/>
      <c r="E701" s="153"/>
      <c r="F701" s="153"/>
      <c r="G701" s="153"/>
      <c r="H701" s="153"/>
      <c r="I701" s="153"/>
      <c r="J701" s="153"/>
      <c r="K701" s="153"/>
      <c r="L701" s="153"/>
      <c r="M701" s="153"/>
      <c r="N701" s="153"/>
      <c r="O701" s="44"/>
      <c r="P701" s="44"/>
    </row>
    <row r="702" spans="1:16" x14ac:dyDescent="0.2">
      <c r="A702" s="58" t="str">
        <v/>
      </c>
      <c r="B702" s="131" t="str">
        <f>IFERROR(TIMEVALUE(DaqBook_RAW_Data!AG692),IFERROR(TIMEVALUE(DaqBook_RAW_Data!A692),""))</f>
        <v/>
      </c>
      <c r="C702" s="153"/>
      <c r="D702" s="153"/>
      <c r="E702" s="153"/>
      <c r="F702" s="153"/>
      <c r="G702" s="153"/>
      <c r="H702" s="153"/>
      <c r="I702" s="153"/>
      <c r="J702" s="153"/>
      <c r="K702" s="153"/>
      <c r="L702" s="153"/>
      <c r="M702" s="153"/>
      <c r="N702" s="153"/>
      <c r="O702" s="44"/>
      <c r="P702" s="44"/>
    </row>
    <row r="703" spans="1:16" x14ac:dyDescent="0.2">
      <c r="A703" s="58" t="str">
        <v/>
      </c>
      <c r="B703" s="131" t="str">
        <f>IFERROR(TIMEVALUE(DaqBook_RAW_Data!AG693),IFERROR(TIMEVALUE(DaqBook_RAW_Data!A693),""))</f>
        <v/>
      </c>
      <c r="C703" s="153"/>
      <c r="D703" s="153"/>
      <c r="E703" s="153"/>
      <c r="F703" s="153"/>
      <c r="G703" s="153"/>
      <c r="H703" s="153"/>
      <c r="I703" s="153"/>
      <c r="J703" s="153"/>
      <c r="K703" s="153"/>
      <c r="L703" s="153"/>
      <c r="M703" s="153"/>
      <c r="N703" s="153"/>
      <c r="O703" s="44"/>
      <c r="P703" s="44"/>
    </row>
    <row r="704" spans="1:16" x14ac:dyDescent="0.2">
      <c r="A704" s="58" t="str">
        <v/>
      </c>
      <c r="B704" s="131" t="str">
        <f>IFERROR(TIMEVALUE(DaqBook_RAW_Data!AG694),IFERROR(TIMEVALUE(DaqBook_RAW_Data!A694),""))</f>
        <v/>
      </c>
      <c r="C704" s="153"/>
      <c r="D704" s="153"/>
      <c r="E704" s="153"/>
      <c r="F704" s="153"/>
      <c r="G704" s="153"/>
      <c r="H704" s="153"/>
      <c r="I704" s="153"/>
      <c r="J704" s="153"/>
      <c r="K704" s="153"/>
      <c r="L704" s="153"/>
      <c r="M704" s="153"/>
      <c r="N704" s="153"/>
      <c r="O704" s="44"/>
      <c r="P704" s="44"/>
    </row>
    <row r="705" spans="1:16" x14ac:dyDescent="0.2">
      <c r="A705" s="58" t="str">
        <v/>
      </c>
      <c r="B705" s="131" t="str">
        <f>IFERROR(TIMEVALUE(DaqBook_RAW_Data!AG695),IFERROR(TIMEVALUE(DaqBook_RAW_Data!A695),""))</f>
        <v/>
      </c>
      <c r="C705" s="153"/>
      <c r="D705" s="153"/>
      <c r="E705" s="153"/>
      <c r="F705" s="153"/>
      <c r="G705" s="153"/>
      <c r="H705" s="153"/>
      <c r="I705" s="153"/>
      <c r="J705" s="153"/>
      <c r="K705" s="153"/>
      <c r="L705" s="153"/>
      <c r="M705" s="153"/>
      <c r="N705" s="153"/>
      <c r="O705" s="44"/>
      <c r="P705" s="44"/>
    </row>
    <row r="706" spans="1:16" x14ac:dyDescent="0.2">
      <c r="A706" s="58" t="str">
        <v/>
      </c>
      <c r="B706" s="131" t="str">
        <f>IFERROR(TIMEVALUE(DaqBook_RAW_Data!AG696),IFERROR(TIMEVALUE(DaqBook_RAW_Data!A696),""))</f>
        <v/>
      </c>
      <c r="C706" s="153"/>
      <c r="D706" s="153"/>
      <c r="E706" s="153"/>
      <c r="F706" s="153"/>
      <c r="G706" s="153"/>
      <c r="H706" s="153"/>
      <c r="I706" s="153"/>
      <c r="J706" s="153"/>
      <c r="K706" s="153"/>
      <c r="L706" s="153"/>
      <c r="M706" s="153"/>
      <c r="N706" s="153"/>
      <c r="O706" s="44"/>
      <c r="P706" s="44"/>
    </row>
    <row r="707" spans="1:16" x14ac:dyDescent="0.2">
      <c r="A707" s="58" t="str">
        <v/>
      </c>
      <c r="B707" s="131" t="str">
        <f>IFERROR(TIMEVALUE(DaqBook_RAW_Data!AG697),IFERROR(TIMEVALUE(DaqBook_RAW_Data!A697),""))</f>
        <v/>
      </c>
      <c r="C707" s="153"/>
      <c r="D707" s="153"/>
      <c r="E707" s="153"/>
      <c r="F707" s="153"/>
      <c r="G707" s="153"/>
      <c r="H707" s="153"/>
      <c r="I707" s="153"/>
      <c r="J707" s="153"/>
      <c r="K707" s="153"/>
      <c r="L707" s="153"/>
      <c r="M707" s="153"/>
      <c r="N707" s="153"/>
      <c r="O707" s="44"/>
      <c r="P707" s="44"/>
    </row>
    <row r="708" spans="1:16" x14ac:dyDescent="0.2">
      <c r="A708" s="58" t="str">
        <v/>
      </c>
      <c r="B708" s="131" t="str">
        <f>IFERROR(TIMEVALUE(DaqBook_RAW_Data!AG698),IFERROR(TIMEVALUE(DaqBook_RAW_Data!A698),""))</f>
        <v/>
      </c>
      <c r="C708" s="153"/>
      <c r="D708" s="153"/>
      <c r="E708" s="153"/>
      <c r="F708" s="153"/>
      <c r="G708" s="153"/>
      <c r="H708" s="153"/>
      <c r="I708" s="153"/>
      <c r="J708" s="153"/>
      <c r="K708" s="153"/>
      <c r="L708" s="153"/>
      <c r="M708" s="153"/>
      <c r="N708" s="153"/>
      <c r="O708" s="44"/>
      <c r="P708" s="44"/>
    </row>
    <row r="709" spans="1:16" x14ac:dyDescent="0.2">
      <c r="A709" s="58" t="str">
        <v/>
      </c>
      <c r="B709" s="131" t="str">
        <f>IFERROR(TIMEVALUE(DaqBook_RAW_Data!AG699),IFERROR(TIMEVALUE(DaqBook_RAW_Data!A699),""))</f>
        <v/>
      </c>
      <c r="C709" s="153"/>
      <c r="D709" s="153"/>
      <c r="E709" s="153"/>
      <c r="F709" s="153"/>
      <c r="G709" s="153"/>
      <c r="H709" s="153"/>
      <c r="I709" s="153"/>
      <c r="J709" s="153"/>
      <c r="K709" s="153"/>
      <c r="L709" s="153"/>
      <c r="M709" s="153"/>
      <c r="N709" s="153"/>
      <c r="O709" s="44"/>
      <c r="P709" s="44"/>
    </row>
    <row r="710" spans="1:16" x14ac:dyDescent="0.2">
      <c r="A710" s="58" t="str">
        <v/>
      </c>
      <c r="B710" s="131" t="str">
        <f>IFERROR(TIMEVALUE(DaqBook_RAW_Data!AG700),IFERROR(TIMEVALUE(DaqBook_RAW_Data!A700),""))</f>
        <v/>
      </c>
      <c r="C710" s="153"/>
      <c r="D710" s="153"/>
      <c r="E710" s="153"/>
      <c r="F710" s="153"/>
      <c r="G710" s="153"/>
      <c r="H710" s="153"/>
      <c r="I710" s="153"/>
      <c r="J710" s="153"/>
      <c r="K710" s="153"/>
      <c r="L710" s="153"/>
      <c r="M710" s="153"/>
      <c r="N710" s="153"/>
      <c r="O710" s="44"/>
      <c r="P710" s="44"/>
    </row>
    <row r="711" spans="1:16" x14ac:dyDescent="0.2">
      <c r="A711" s="58" t="str">
        <v/>
      </c>
      <c r="B711" s="131" t="str">
        <f>IFERROR(TIMEVALUE(DaqBook_RAW_Data!AG701),IFERROR(TIMEVALUE(DaqBook_RAW_Data!A701),""))</f>
        <v/>
      </c>
      <c r="C711" s="153"/>
      <c r="D711" s="153"/>
      <c r="E711" s="153"/>
      <c r="F711" s="153"/>
      <c r="G711" s="153"/>
      <c r="H711" s="153"/>
      <c r="I711" s="153"/>
      <c r="J711" s="153"/>
      <c r="K711" s="153"/>
      <c r="L711" s="153"/>
      <c r="M711" s="153"/>
      <c r="N711" s="153"/>
      <c r="O711" s="44"/>
      <c r="P711" s="44"/>
    </row>
    <row r="712" spans="1:16" x14ac:dyDescent="0.2">
      <c r="A712" s="58" t="str">
        <v/>
      </c>
      <c r="B712" s="131" t="str">
        <f>IFERROR(TIMEVALUE(DaqBook_RAW_Data!AG702),IFERROR(TIMEVALUE(DaqBook_RAW_Data!A702),""))</f>
        <v/>
      </c>
      <c r="C712" s="153"/>
      <c r="D712" s="153"/>
      <c r="E712" s="153"/>
      <c r="F712" s="153"/>
      <c r="G712" s="153"/>
      <c r="H712" s="153"/>
      <c r="I712" s="153"/>
      <c r="J712" s="153"/>
      <c r="K712" s="153"/>
      <c r="L712" s="153"/>
      <c r="M712" s="153"/>
      <c r="N712" s="153"/>
      <c r="O712" s="44"/>
      <c r="P712" s="44"/>
    </row>
    <row r="713" spans="1:16" x14ac:dyDescent="0.2">
      <c r="A713" s="58" t="str">
        <v/>
      </c>
      <c r="B713" s="131" t="str">
        <f>IFERROR(TIMEVALUE(DaqBook_RAW_Data!AG703),IFERROR(TIMEVALUE(DaqBook_RAW_Data!A703),""))</f>
        <v/>
      </c>
      <c r="C713" s="153"/>
      <c r="D713" s="153"/>
      <c r="E713" s="153"/>
      <c r="F713" s="153"/>
      <c r="G713" s="153"/>
      <c r="H713" s="153"/>
      <c r="I713" s="153"/>
      <c r="J713" s="153"/>
      <c r="K713" s="153"/>
      <c r="L713" s="153"/>
      <c r="M713" s="153"/>
      <c r="N713" s="153"/>
      <c r="O713" s="44"/>
      <c r="P713" s="44"/>
    </row>
    <row r="714" spans="1:16" x14ac:dyDescent="0.2">
      <c r="A714" s="58" t="str">
        <v/>
      </c>
      <c r="B714" s="131" t="str">
        <f>IFERROR(TIMEVALUE(DaqBook_RAW_Data!AG704),IFERROR(TIMEVALUE(DaqBook_RAW_Data!A704),""))</f>
        <v/>
      </c>
      <c r="C714" s="153"/>
      <c r="D714" s="153"/>
      <c r="E714" s="153"/>
      <c r="F714" s="153"/>
      <c r="G714" s="153"/>
      <c r="H714" s="153"/>
      <c r="I714" s="153"/>
      <c r="J714" s="153"/>
      <c r="K714" s="153"/>
      <c r="L714" s="153"/>
      <c r="M714" s="153"/>
      <c r="N714" s="153"/>
      <c r="O714" s="44"/>
      <c r="P714" s="44"/>
    </row>
    <row r="715" spans="1:16" x14ac:dyDescent="0.2">
      <c r="A715" s="58" t="str">
        <v/>
      </c>
      <c r="B715" s="131" t="str">
        <f>IFERROR(TIMEVALUE(DaqBook_RAW_Data!AG705),IFERROR(TIMEVALUE(DaqBook_RAW_Data!A705),""))</f>
        <v/>
      </c>
      <c r="C715" s="153"/>
      <c r="D715" s="153"/>
      <c r="E715" s="153"/>
      <c r="F715" s="153"/>
      <c r="G715" s="153"/>
      <c r="H715" s="153"/>
      <c r="I715" s="153"/>
      <c r="J715" s="153"/>
      <c r="K715" s="153"/>
      <c r="L715" s="153"/>
      <c r="M715" s="153"/>
      <c r="N715" s="153"/>
      <c r="O715" s="44"/>
      <c r="P715" s="44"/>
    </row>
    <row r="716" spans="1:16" x14ac:dyDescent="0.2">
      <c r="A716" s="58" t="str">
        <v/>
      </c>
      <c r="B716" s="131" t="str">
        <f>IFERROR(TIMEVALUE(DaqBook_RAW_Data!AG706),IFERROR(TIMEVALUE(DaqBook_RAW_Data!A706),""))</f>
        <v/>
      </c>
      <c r="C716" s="153"/>
      <c r="D716" s="153"/>
      <c r="E716" s="153"/>
      <c r="F716" s="153"/>
      <c r="G716" s="153"/>
      <c r="H716" s="153"/>
      <c r="I716" s="153"/>
      <c r="J716" s="153"/>
      <c r="K716" s="153"/>
      <c r="L716" s="153"/>
      <c r="M716" s="153"/>
      <c r="N716" s="153"/>
      <c r="O716" s="44"/>
      <c r="P716" s="44"/>
    </row>
    <row r="717" spans="1:16" x14ac:dyDescent="0.2">
      <c r="A717" s="58" t="str">
        <v/>
      </c>
      <c r="B717" s="131" t="str">
        <f>IFERROR(TIMEVALUE(DaqBook_RAW_Data!AG707),IFERROR(TIMEVALUE(DaqBook_RAW_Data!A707),""))</f>
        <v/>
      </c>
      <c r="C717" s="153"/>
      <c r="D717" s="153"/>
      <c r="E717" s="153"/>
      <c r="F717" s="153"/>
      <c r="G717" s="153"/>
      <c r="H717" s="153"/>
      <c r="I717" s="153"/>
      <c r="J717" s="153"/>
      <c r="K717" s="153"/>
      <c r="L717" s="153"/>
      <c r="M717" s="153"/>
      <c r="N717" s="153"/>
      <c r="O717" s="44"/>
      <c r="P717" s="44"/>
    </row>
    <row r="718" spans="1:16" x14ac:dyDescent="0.2">
      <c r="A718" s="58" t="str">
        <v/>
      </c>
      <c r="B718" s="131" t="str">
        <f>IFERROR(TIMEVALUE(DaqBook_RAW_Data!AG708),IFERROR(TIMEVALUE(DaqBook_RAW_Data!A708),""))</f>
        <v/>
      </c>
      <c r="C718" s="153"/>
      <c r="D718" s="153"/>
      <c r="E718" s="153"/>
      <c r="F718" s="153"/>
      <c r="G718" s="153"/>
      <c r="H718" s="153"/>
      <c r="I718" s="153"/>
      <c r="J718" s="153"/>
      <c r="K718" s="153"/>
      <c r="L718" s="153"/>
      <c r="M718" s="153"/>
      <c r="N718" s="153"/>
      <c r="O718" s="44"/>
      <c r="P718" s="44"/>
    </row>
    <row r="719" spans="1:16" x14ac:dyDescent="0.2">
      <c r="A719" s="58" t="str">
        <v/>
      </c>
      <c r="B719" s="131" t="str">
        <f>IFERROR(TIMEVALUE(DaqBook_RAW_Data!AG709),IFERROR(TIMEVALUE(DaqBook_RAW_Data!A709),""))</f>
        <v/>
      </c>
      <c r="C719" s="153"/>
      <c r="D719" s="153"/>
      <c r="E719" s="153"/>
      <c r="F719" s="153"/>
      <c r="G719" s="153"/>
      <c r="H719" s="153"/>
      <c r="I719" s="153"/>
      <c r="J719" s="153"/>
      <c r="K719" s="153"/>
      <c r="L719" s="153"/>
      <c r="M719" s="153"/>
      <c r="N719" s="153"/>
      <c r="O719" s="44"/>
      <c r="P719" s="44"/>
    </row>
    <row r="720" spans="1:16" x14ac:dyDescent="0.2">
      <c r="A720" s="58" t="str">
        <v/>
      </c>
      <c r="B720" s="131" t="str">
        <f>IFERROR(TIMEVALUE(DaqBook_RAW_Data!AG710),IFERROR(TIMEVALUE(DaqBook_RAW_Data!A710),""))</f>
        <v/>
      </c>
      <c r="C720" s="153"/>
      <c r="D720" s="153"/>
      <c r="E720" s="153"/>
      <c r="F720" s="153"/>
      <c r="G720" s="153"/>
      <c r="H720" s="153"/>
      <c r="I720" s="153"/>
      <c r="J720" s="153"/>
      <c r="K720" s="153"/>
      <c r="L720" s="153"/>
      <c r="M720" s="153"/>
      <c r="N720" s="153"/>
      <c r="O720" s="44"/>
      <c r="P720" s="44"/>
    </row>
    <row r="721" spans="1:16" x14ac:dyDescent="0.2">
      <c r="A721" s="58" t="str">
        <v/>
      </c>
      <c r="B721" s="131" t="str">
        <f>IFERROR(TIMEVALUE(DaqBook_RAW_Data!AG711),IFERROR(TIMEVALUE(DaqBook_RAW_Data!A711),""))</f>
        <v/>
      </c>
      <c r="C721" s="153"/>
      <c r="D721" s="153"/>
      <c r="E721" s="153"/>
      <c r="F721" s="153"/>
      <c r="G721" s="153"/>
      <c r="H721" s="153"/>
      <c r="I721" s="153"/>
      <c r="J721" s="153"/>
      <c r="K721" s="153"/>
      <c r="L721" s="153"/>
      <c r="M721" s="153"/>
      <c r="N721" s="153"/>
      <c r="O721" s="44"/>
      <c r="P721" s="44"/>
    </row>
    <row r="722" spans="1:16" x14ac:dyDescent="0.2">
      <c r="A722" s="58" t="str">
        <v/>
      </c>
      <c r="B722" s="131" t="str">
        <f>IFERROR(TIMEVALUE(DaqBook_RAW_Data!AG712),IFERROR(TIMEVALUE(DaqBook_RAW_Data!A712),""))</f>
        <v/>
      </c>
      <c r="C722" s="153"/>
      <c r="D722" s="153"/>
      <c r="E722" s="153"/>
      <c r="F722" s="153"/>
      <c r="G722" s="153"/>
      <c r="H722" s="153"/>
      <c r="I722" s="153"/>
      <c r="J722" s="153"/>
      <c r="K722" s="153"/>
      <c r="L722" s="153"/>
      <c r="M722" s="153"/>
      <c r="N722" s="153"/>
      <c r="O722" s="44"/>
      <c r="P722" s="44"/>
    </row>
    <row r="723" spans="1:16" x14ac:dyDescent="0.2">
      <c r="A723" s="58" t="str">
        <v/>
      </c>
      <c r="B723" s="131" t="str">
        <f>IFERROR(TIMEVALUE(DaqBook_RAW_Data!AG713),IFERROR(TIMEVALUE(DaqBook_RAW_Data!A713),""))</f>
        <v/>
      </c>
      <c r="C723" s="153"/>
      <c r="D723" s="153"/>
      <c r="E723" s="153"/>
      <c r="F723" s="153"/>
      <c r="G723" s="153"/>
      <c r="H723" s="153"/>
      <c r="I723" s="153"/>
      <c r="J723" s="153"/>
      <c r="K723" s="153"/>
      <c r="L723" s="153"/>
      <c r="M723" s="153"/>
      <c r="N723" s="153"/>
      <c r="O723" s="44"/>
      <c r="P723" s="44"/>
    </row>
    <row r="724" spans="1:16" x14ac:dyDescent="0.2">
      <c r="A724" s="58" t="str">
        <v/>
      </c>
      <c r="B724" s="131" t="str">
        <f>IFERROR(TIMEVALUE(DaqBook_RAW_Data!AG714),IFERROR(TIMEVALUE(DaqBook_RAW_Data!A714),""))</f>
        <v/>
      </c>
      <c r="C724" s="153"/>
      <c r="D724" s="153"/>
      <c r="E724" s="153"/>
      <c r="F724" s="153"/>
      <c r="G724" s="153"/>
      <c r="H724" s="153"/>
      <c r="I724" s="153"/>
      <c r="J724" s="153"/>
      <c r="K724" s="153"/>
      <c r="L724" s="153"/>
      <c r="M724" s="153"/>
      <c r="N724" s="153"/>
      <c r="O724" s="44"/>
      <c r="P724" s="44"/>
    </row>
    <row r="725" spans="1:16" x14ac:dyDescent="0.2">
      <c r="A725" s="58" t="str">
        <v/>
      </c>
      <c r="B725" s="131" t="str">
        <f>IFERROR(TIMEVALUE(DaqBook_RAW_Data!AG715),IFERROR(TIMEVALUE(DaqBook_RAW_Data!A715),""))</f>
        <v/>
      </c>
      <c r="C725" s="153"/>
      <c r="D725" s="153"/>
      <c r="E725" s="153"/>
      <c r="F725" s="153"/>
      <c r="G725" s="153"/>
      <c r="H725" s="153"/>
      <c r="I725" s="153"/>
      <c r="J725" s="153"/>
      <c r="K725" s="153"/>
      <c r="L725" s="153"/>
      <c r="M725" s="153"/>
      <c r="N725" s="153"/>
      <c r="O725" s="44"/>
      <c r="P725" s="44"/>
    </row>
    <row r="726" spans="1:16" x14ac:dyDescent="0.2">
      <c r="A726" s="58" t="str">
        <v/>
      </c>
      <c r="B726" s="131" t="str">
        <f>IFERROR(TIMEVALUE(DaqBook_RAW_Data!AG716),IFERROR(TIMEVALUE(DaqBook_RAW_Data!A716),""))</f>
        <v/>
      </c>
      <c r="C726" s="153"/>
      <c r="D726" s="153"/>
      <c r="E726" s="153"/>
      <c r="F726" s="153"/>
      <c r="G726" s="153"/>
      <c r="H726" s="153"/>
      <c r="I726" s="153"/>
      <c r="J726" s="153"/>
      <c r="K726" s="153"/>
      <c r="L726" s="153"/>
      <c r="M726" s="153"/>
      <c r="N726" s="153"/>
      <c r="O726" s="44"/>
      <c r="P726" s="44"/>
    </row>
    <row r="727" spans="1:16" x14ac:dyDescent="0.2">
      <c r="A727" s="58" t="str">
        <v/>
      </c>
      <c r="B727" s="131" t="str">
        <f>IFERROR(TIMEVALUE(DaqBook_RAW_Data!AG717),IFERROR(TIMEVALUE(DaqBook_RAW_Data!A717),""))</f>
        <v/>
      </c>
      <c r="C727" s="153"/>
      <c r="D727" s="153"/>
      <c r="E727" s="153"/>
      <c r="F727" s="153"/>
      <c r="G727" s="153"/>
      <c r="H727" s="153"/>
      <c r="I727" s="153"/>
      <c r="J727" s="153"/>
      <c r="K727" s="153"/>
      <c r="L727" s="153"/>
      <c r="M727" s="153"/>
      <c r="N727" s="153"/>
      <c r="O727" s="44"/>
      <c r="P727" s="44"/>
    </row>
    <row r="728" spans="1:16" x14ac:dyDescent="0.2">
      <c r="A728" s="58" t="str">
        <v/>
      </c>
      <c r="B728" s="131" t="str">
        <f>IFERROR(TIMEVALUE(DaqBook_RAW_Data!AG718),IFERROR(TIMEVALUE(DaqBook_RAW_Data!A718),""))</f>
        <v/>
      </c>
      <c r="C728" s="153"/>
      <c r="D728" s="153"/>
      <c r="E728" s="153"/>
      <c r="F728" s="153"/>
      <c r="G728" s="153"/>
      <c r="H728" s="153"/>
      <c r="I728" s="153"/>
      <c r="J728" s="153"/>
      <c r="K728" s="153"/>
      <c r="L728" s="153"/>
      <c r="M728" s="153"/>
      <c r="N728" s="153"/>
      <c r="O728" s="44"/>
      <c r="P728" s="44"/>
    </row>
    <row r="729" spans="1:16" x14ac:dyDescent="0.2">
      <c r="A729" s="58" t="str">
        <v/>
      </c>
      <c r="B729" s="131" t="str">
        <f>IFERROR(TIMEVALUE(DaqBook_RAW_Data!AG719),IFERROR(TIMEVALUE(DaqBook_RAW_Data!A719),""))</f>
        <v/>
      </c>
      <c r="C729" s="153"/>
      <c r="D729" s="153"/>
      <c r="E729" s="153"/>
      <c r="F729" s="153"/>
      <c r="G729" s="153"/>
      <c r="H729" s="153"/>
      <c r="I729" s="153"/>
      <c r="J729" s="153"/>
      <c r="K729" s="153"/>
      <c r="L729" s="153"/>
      <c r="M729" s="153"/>
      <c r="N729" s="153"/>
      <c r="O729" s="44"/>
      <c r="P729" s="44"/>
    </row>
    <row r="730" spans="1:16" x14ac:dyDescent="0.2">
      <c r="A730" s="58" t="str">
        <v/>
      </c>
      <c r="B730" s="131" t="str">
        <f>IFERROR(TIMEVALUE(DaqBook_RAW_Data!AG720),IFERROR(TIMEVALUE(DaqBook_RAW_Data!A720),""))</f>
        <v/>
      </c>
      <c r="C730" s="153"/>
      <c r="D730" s="153"/>
      <c r="E730" s="153"/>
      <c r="F730" s="153"/>
      <c r="G730" s="153"/>
      <c r="H730" s="153"/>
      <c r="I730" s="153"/>
      <c r="J730" s="153"/>
      <c r="K730" s="153"/>
      <c r="L730" s="153"/>
      <c r="M730" s="153"/>
      <c r="N730" s="153"/>
      <c r="O730" s="44"/>
      <c r="P730" s="44"/>
    </row>
    <row r="731" spans="1:16" x14ac:dyDescent="0.2">
      <c r="A731" s="58" t="str">
        <v/>
      </c>
      <c r="B731" s="131" t="str">
        <f>IFERROR(TIMEVALUE(DaqBook_RAW_Data!AG721),IFERROR(TIMEVALUE(DaqBook_RAW_Data!A721),""))</f>
        <v/>
      </c>
      <c r="C731" s="153"/>
      <c r="D731" s="153"/>
      <c r="E731" s="153"/>
      <c r="F731" s="153"/>
      <c r="G731" s="153"/>
      <c r="H731" s="153"/>
      <c r="I731" s="153"/>
      <c r="J731" s="153"/>
      <c r="K731" s="153"/>
      <c r="L731" s="153"/>
      <c r="M731" s="153"/>
      <c r="N731" s="153"/>
      <c r="O731" s="44"/>
      <c r="P731" s="44"/>
    </row>
    <row r="732" spans="1:16" x14ac:dyDescent="0.2">
      <c r="A732" s="58" t="str">
        <v/>
      </c>
      <c r="B732" s="131" t="str">
        <f>IFERROR(TIMEVALUE(DaqBook_RAW_Data!AG722),IFERROR(TIMEVALUE(DaqBook_RAW_Data!A722),""))</f>
        <v/>
      </c>
      <c r="C732" s="153"/>
      <c r="D732" s="153"/>
      <c r="E732" s="153"/>
      <c r="F732" s="153"/>
      <c r="G732" s="153"/>
      <c r="H732" s="153"/>
      <c r="I732" s="153"/>
      <c r="J732" s="153"/>
      <c r="K732" s="153"/>
      <c r="L732" s="153"/>
      <c r="M732" s="153"/>
      <c r="N732" s="153"/>
      <c r="O732" s="44"/>
      <c r="P732" s="44"/>
    </row>
    <row r="733" spans="1:16" x14ac:dyDescent="0.2">
      <c r="A733" s="58" t="str">
        <v/>
      </c>
      <c r="B733" s="131" t="str">
        <f>IFERROR(TIMEVALUE(DaqBook_RAW_Data!AG723),IFERROR(TIMEVALUE(DaqBook_RAW_Data!A723),""))</f>
        <v/>
      </c>
      <c r="C733" s="153"/>
      <c r="D733" s="153"/>
      <c r="E733" s="153"/>
      <c r="F733" s="153"/>
      <c r="G733" s="153"/>
      <c r="H733" s="153"/>
      <c r="I733" s="153"/>
      <c r="J733" s="153"/>
      <c r="K733" s="153"/>
      <c r="L733" s="153"/>
      <c r="M733" s="153"/>
      <c r="N733" s="153"/>
      <c r="O733" s="44"/>
      <c r="P733" s="44"/>
    </row>
    <row r="734" spans="1:16" x14ac:dyDescent="0.2">
      <c r="A734" s="58" t="str">
        <v/>
      </c>
      <c r="B734" s="131" t="str">
        <f>IFERROR(TIMEVALUE(DaqBook_RAW_Data!AG724),IFERROR(TIMEVALUE(DaqBook_RAW_Data!A724),""))</f>
        <v/>
      </c>
      <c r="C734" s="153"/>
      <c r="D734" s="153"/>
      <c r="E734" s="153"/>
      <c r="F734" s="153"/>
      <c r="G734" s="153"/>
      <c r="H734" s="153"/>
      <c r="I734" s="153"/>
      <c r="J734" s="153"/>
      <c r="K734" s="153"/>
      <c r="L734" s="153"/>
      <c r="M734" s="153"/>
      <c r="N734" s="153"/>
      <c r="O734" s="44"/>
      <c r="P734" s="44"/>
    </row>
    <row r="735" spans="1:16" x14ac:dyDescent="0.2">
      <c r="A735" s="58" t="str">
        <v/>
      </c>
      <c r="B735" s="131" t="str">
        <f>IFERROR(TIMEVALUE(DaqBook_RAW_Data!AG725),IFERROR(TIMEVALUE(DaqBook_RAW_Data!A725),""))</f>
        <v/>
      </c>
      <c r="C735" s="153"/>
      <c r="D735" s="153"/>
      <c r="E735" s="153"/>
      <c r="F735" s="153"/>
      <c r="G735" s="153"/>
      <c r="H735" s="153"/>
      <c r="I735" s="153"/>
      <c r="J735" s="153"/>
      <c r="K735" s="153"/>
      <c r="L735" s="153"/>
      <c r="M735" s="153"/>
      <c r="N735" s="153"/>
      <c r="O735" s="44"/>
      <c r="P735" s="44"/>
    </row>
    <row r="736" spans="1:16" x14ac:dyDescent="0.2">
      <c r="A736" s="58" t="str">
        <v/>
      </c>
      <c r="B736" s="131" t="str">
        <f>IFERROR(TIMEVALUE(DaqBook_RAW_Data!AG726),IFERROR(TIMEVALUE(DaqBook_RAW_Data!A726),""))</f>
        <v/>
      </c>
      <c r="C736" s="153"/>
      <c r="D736" s="153"/>
      <c r="E736" s="153"/>
      <c r="F736" s="153"/>
      <c r="G736" s="153"/>
      <c r="H736" s="153"/>
      <c r="I736" s="153"/>
      <c r="J736" s="153"/>
      <c r="K736" s="153"/>
      <c r="L736" s="153"/>
      <c r="M736" s="153"/>
      <c r="N736" s="153"/>
      <c r="O736" s="44"/>
      <c r="P736" s="44"/>
    </row>
    <row r="737" spans="1:16" x14ac:dyDescent="0.2">
      <c r="A737" s="58" t="str">
        <v/>
      </c>
      <c r="B737" s="131" t="str">
        <f>IFERROR(TIMEVALUE(DaqBook_RAW_Data!AG727),IFERROR(TIMEVALUE(DaqBook_RAW_Data!A727),""))</f>
        <v/>
      </c>
      <c r="C737" s="153"/>
      <c r="D737" s="153"/>
      <c r="E737" s="153"/>
      <c r="F737" s="153"/>
      <c r="G737" s="153"/>
      <c r="H737" s="153"/>
      <c r="I737" s="153"/>
      <c r="J737" s="153"/>
      <c r="K737" s="153"/>
      <c r="L737" s="153"/>
      <c r="M737" s="153"/>
      <c r="N737" s="153"/>
      <c r="O737" s="44"/>
      <c r="P737" s="44"/>
    </row>
    <row r="738" spans="1:16" x14ac:dyDescent="0.2">
      <c r="A738" s="58" t="str">
        <v/>
      </c>
      <c r="B738" s="131" t="str">
        <f>IFERROR(TIMEVALUE(DaqBook_RAW_Data!AG728),IFERROR(TIMEVALUE(DaqBook_RAW_Data!A728),""))</f>
        <v/>
      </c>
      <c r="C738" s="153"/>
      <c r="D738" s="153"/>
      <c r="E738" s="153"/>
      <c r="F738" s="153"/>
      <c r="G738" s="153"/>
      <c r="H738" s="153"/>
      <c r="I738" s="153"/>
      <c r="J738" s="153"/>
      <c r="K738" s="153"/>
      <c r="L738" s="153"/>
      <c r="M738" s="153"/>
      <c r="N738" s="153"/>
      <c r="O738" s="44"/>
      <c r="P738" s="44"/>
    </row>
    <row r="739" spans="1:16" x14ac:dyDescent="0.2">
      <c r="A739" s="58" t="str">
        <v/>
      </c>
      <c r="B739" s="131" t="str">
        <f>IFERROR(TIMEVALUE(DaqBook_RAW_Data!AG729),IFERROR(TIMEVALUE(DaqBook_RAW_Data!A729),""))</f>
        <v/>
      </c>
      <c r="C739" s="153"/>
      <c r="D739" s="153"/>
      <c r="E739" s="153"/>
      <c r="F739" s="153"/>
      <c r="G739" s="153"/>
      <c r="H739" s="153"/>
      <c r="I739" s="153"/>
      <c r="J739" s="153"/>
      <c r="K739" s="153"/>
      <c r="L739" s="153"/>
      <c r="M739" s="153"/>
      <c r="N739" s="153"/>
      <c r="O739" s="44"/>
      <c r="P739" s="44"/>
    </row>
    <row r="740" spans="1:16" x14ac:dyDescent="0.2">
      <c r="A740" s="58" t="str">
        <v/>
      </c>
      <c r="B740" s="131" t="str">
        <f>IFERROR(TIMEVALUE(DaqBook_RAW_Data!AG730),IFERROR(TIMEVALUE(DaqBook_RAW_Data!A730),""))</f>
        <v/>
      </c>
      <c r="C740" s="153"/>
      <c r="D740" s="153"/>
      <c r="E740" s="153"/>
      <c r="F740" s="153"/>
      <c r="G740" s="153"/>
      <c r="H740" s="153"/>
      <c r="I740" s="153"/>
      <c r="J740" s="153"/>
      <c r="K740" s="153"/>
      <c r="L740" s="153"/>
      <c r="M740" s="153"/>
      <c r="N740" s="153"/>
      <c r="O740" s="44"/>
      <c r="P740" s="44"/>
    </row>
    <row r="741" spans="1:16" x14ac:dyDescent="0.2">
      <c r="A741" s="58" t="str">
        <v/>
      </c>
      <c r="B741" s="131" t="str">
        <f>IFERROR(TIMEVALUE(DaqBook_RAW_Data!AG731),IFERROR(TIMEVALUE(DaqBook_RAW_Data!A731),""))</f>
        <v/>
      </c>
      <c r="C741" s="153"/>
      <c r="D741" s="153"/>
      <c r="E741" s="153"/>
      <c r="F741" s="153"/>
      <c r="G741" s="153"/>
      <c r="H741" s="153"/>
      <c r="I741" s="153"/>
      <c r="J741" s="153"/>
      <c r="K741" s="153"/>
      <c r="L741" s="153"/>
      <c r="M741" s="153"/>
      <c r="N741" s="153"/>
      <c r="O741" s="44"/>
      <c r="P741" s="44"/>
    </row>
    <row r="742" spans="1:16" x14ac:dyDescent="0.2">
      <c r="A742" s="58" t="str">
        <v/>
      </c>
      <c r="B742" s="131" t="str">
        <f>IFERROR(TIMEVALUE(DaqBook_RAW_Data!AG732),IFERROR(TIMEVALUE(DaqBook_RAW_Data!A732),""))</f>
        <v/>
      </c>
      <c r="C742" s="153"/>
      <c r="D742" s="153"/>
      <c r="E742" s="153"/>
      <c r="F742" s="153"/>
      <c r="G742" s="153"/>
      <c r="H742" s="153"/>
      <c r="I742" s="153"/>
      <c r="J742" s="153"/>
      <c r="K742" s="153"/>
      <c r="L742" s="153"/>
      <c r="M742" s="153"/>
      <c r="N742" s="153"/>
      <c r="O742" s="44"/>
      <c r="P742" s="44"/>
    </row>
    <row r="743" spans="1:16" x14ac:dyDescent="0.2">
      <c r="A743" s="58" t="str">
        <v/>
      </c>
      <c r="B743" s="131" t="str">
        <f>IFERROR(TIMEVALUE(DaqBook_RAW_Data!AG733),IFERROR(TIMEVALUE(DaqBook_RAW_Data!A733),""))</f>
        <v/>
      </c>
      <c r="C743" s="153"/>
      <c r="D743" s="153"/>
      <c r="E743" s="153"/>
      <c r="F743" s="153"/>
      <c r="G743" s="153"/>
      <c r="H743" s="153"/>
      <c r="I743" s="153"/>
      <c r="J743" s="153"/>
      <c r="K743" s="153"/>
      <c r="L743" s="153"/>
      <c r="M743" s="153"/>
      <c r="N743" s="153"/>
      <c r="O743" s="44"/>
      <c r="P743" s="44"/>
    </row>
    <row r="744" spans="1:16" x14ac:dyDescent="0.2">
      <c r="A744" s="58" t="str">
        <v/>
      </c>
      <c r="B744" s="131" t="str">
        <f>IFERROR(TIMEVALUE(DaqBook_RAW_Data!AG734),IFERROR(TIMEVALUE(DaqBook_RAW_Data!A734),""))</f>
        <v/>
      </c>
      <c r="C744" s="153"/>
      <c r="D744" s="153"/>
      <c r="E744" s="153"/>
      <c r="F744" s="153"/>
      <c r="G744" s="153"/>
      <c r="H744" s="153"/>
      <c r="I744" s="153"/>
      <c r="J744" s="153"/>
      <c r="K744" s="153"/>
      <c r="L744" s="153"/>
      <c r="M744" s="153"/>
      <c r="N744" s="153"/>
      <c r="O744" s="44"/>
      <c r="P744" s="44"/>
    </row>
    <row r="745" spans="1:16" x14ac:dyDescent="0.2">
      <c r="A745" s="58" t="str">
        <v/>
      </c>
      <c r="B745" s="131" t="str">
        <f>IFERROR(TIMEVALUE(DaqBook_RAW_Data!AG735),IFERROR(TIMEVALUE(DaqBook_RAW_Data!A735),""))</f>
        <v/>
      </c>
      <c r="C745" s="153"/>
      <c r="D745" s="153"/>
      <c r="E745" s="153"/>
      <c r="F745" s="153"/>
      <c r="G745" s="153"/>
      <c r="H745" s="153"/>
      <c r="I745" s="153"/>
      <c r="J745" s="153"/>
      <c r="K745" s="153"/>
      <c r="L745" s="153"/>
      <c r="M745" s="153"/>
      <c r="N745" s="153"/>
      <c r="O745" s="44"/>
      <c r="P745" s="44"/>
    </row>
    <row r="746" spans="1:16" x14ac:dyDescent="0.2">
      <c r="A746" s="58" t="str">
        <v/>
      </c>
      <c r="B746" s="131" t="str">
        <f>IFERROR(TIMEVALUE(DaqBook_RAW_Data!AG736),IFERROR(TIMEVALUE(DaqBook_RAW_Data!A736),""))</f>
        <v/>
      </c>
      <c r="C746" s="153"/>
      <c r="D746" s="153"/>
      <c r="E746" s="153"/>
      <c r="F746" s="153"/>
      <c r="G746" s="153"/>
      <c r="H746" s="153"/>
      <c r="I746" s="153"/>
      <c r="J746" s="153"/>
      <c r="K746" s="153"/>
      <c r="L746" s="153"/>
      <c r="M746" s="153"/>
      <c r="N746" s="153"/>
      <c r="O746" s="44"/>
      <c r="P746" s="44"/>
    </row>
    <row r="747" spans="1:16" x14ac:dyDescent="0.2">
      <c r="A747" s="58" t="str">
        <v/>
      </c>
      <c r="B747" s="131" t="str">
        <f>IFERROR(TIMEVALUE(DaqBook_RAW_Data!AG737),IFERROR(TIMEVALUE(DaqBook_RAW_Data!A737),""))</f>
        <v/>
      </c>
      <c r="C747" s="153"/>
      <c r="D747" s="153"/>
      <c r="E747" s="153"/>
      <c r="F747" s="153"/>
      <c r="G747" s="153"/>
      <c r="H747" s="153"/>
      <c r="I747" s="153"/>
      <c r="J747" s="153"/>
      <c r="K747" s="153"/>
      <c r="L747" s="153"/>
      <c r="M747" s="153"/>
      <c r="N747" s="153"/>
      <c r="O747" s="44"/>
      <c r="P747" s="44"/>
    </row>
    <row r="748" spans="1:16" x14ac:dyDescent="0.2">
      <c r="A748" s="58" t="str">
        <v/>
      </c>
      <c r="B748" s="131" t="str">
        <f>IFERROR(TIMEVALUE(DaqBook_RAW_Data!AG738),IFERROR(TIMEVALUE(DaqBook_RAW_Data!A738),""))</f>
        <v/>
      </c>
      <c r="C748" s="153"/>
      <c r="D748" s="153"/>
      <c r="E748" s="153"/>
      <c r="F748" s="153"/>
      <c r="G748" s="153"/>
      <c r="H748" s="153"/>
      <c r="I748" s="153"/>
      <c r="J748" s="153"/>
      <c r="K748" s="153"/>
      <c r="L748" s="153"/>
      <c r="M748" s="153"/>
      <c r="N748" s="153"/>
      <c r="O748" s="44"/>
      <c r="P748" s="44"/>
    </row>
    <row r="749" spans="1:16" x14ac:dyDescent="0.2">
      <c r="A749" s="58" t="str">
        <v/>
      </c>
      <c r="B749" s="131" t="str">
        <f>IFERROR(TIMEVALUE(DaqBook_RAW_Data!AG739),IFERROR(TIMEVALUE(DaqBook_RAW_Data!A739),""))</f>
        <v/>
      </c>
      <c r="C749" s="153"/>
      <c r="D749" s="153"/>
      <c r="E749" s="153"/>
      <c r="F749" s="153"/>
      <c r="G749" s="153"/>
      <c r="H749" s="153"/>
      <c r="I749" s="153"/>
      <c r="J749" s="153"/>
      <c r="K749" s="153"/>
      <c r="L749" s="153"/>
      <c r="M749" s="153"/>
      <c r="N749" s="153"/>
      <c r="O749" s="44"/>
      <c r="P749" s="44"/>
    </row>
    <row r="750" spans="1:16" x14ac:dyDescent="0.2">
      <c r="A750" s="58" t="str">
        <v/>
      </c>
      <c r="B750" s="131" t="str">
        <f>IFERROR(TIMEVALUE(DaqBook_RAW_Data!AG740),IFERROR(TIMEVALUE(DaqBook_RAW_Data!A740),""))</f>
        <v/>
      </c>
      <c r="C750" s="153"/>
      <c r="D750" s="153"/>
      <c r="E750" s="153"/>
      <c r="F750" s="153"/>
      <c r="G750" s="153"/>
      <c r="H750" s="153"/>
      <c r="I750" s="153"/>
      <c r="J750" s="153"/>
      <c r="K750" s="153"/>
      <c r="L750" s="153"/>
      <c r="M750" s="153"/>
      <c r="N750" s="153"/>
      <c r="O750" s="44"/>
      <c r="P750" s="44"/>
    </row>
    <row r="751" spans="1:16" x14ac:dyDescent="0.2">
      <c r="A751" s="58" t="str">
        <v/>
      </c>
      <c r="B751" s="131" t="str">
        <f>IFERROR(TIMEVALUE(DaqBook_RAW_Data!AG741),IFERROR(TIMEVALUE(DaqBook_RAW_Data!A741),""))</f>
        <v/>
      </c>
      <c r="C751" s="153"/>
      <c r="D751" s="153"/>
      <c r="E751" s="153"/>
      <c r="F751" s="153"/>
      <c r="G751" s="153"/>
      <c r="H751" s="153"/>
      <c r="I751" s="153"/>
      <c r="J751" s="153"/>
      <c r="K751" s="153"/>
      <c r="L751" s="153"/>
      <c r="M751" s="153"/>
      <c r="N751" s="153"/>
      <c r="O751" s="44"/>
      <c r="P751" s="44"/>
    </row>
    <row r="752" spans="1:16" x14ac:dyDescent="0.2">
      <c r="A752" s="58" t="str">
        <v/>
      </c>
      <c r="B752" s="131" t="str">
        <f>IFERROR(TIMEVALUE(DaqBook_RAW_Data!AG742),IFERROR(TIMEVALUE(DaqBook_RAW_Data!A742),""))</f>
        <v/>
      </c>
      <c r="C752" s="153"/>
      <c r="D752" s="153"/>
      <c r="E752" s="153"/>
      <c r="F752" s="153"/>
      <c r="G752" s="153"/>
      <c r="H752" s="153"/>
      <c r="I752" s="153"/>
      <c r="J752" s="153"/>
      <c r="K752" s="153"/>
      <c r="L752" s="153"/>
      <c r="M752" s="153"/>
      <c r="N752" s="153"/>
      <c r="O752" s="44"/>
      <c r="P752" s="44"/>
    </row>
    <row r="753" spans="1:16" x14ac:dyDescent="0.2">
      <c r="A753" s="58" t="str">
        <v/>
      </c>
      <c r="B753" s="131" t="str">
        <f>IFERROR(TIMEVALUE(DaqBook_RAW_Data!AG743),IFERROR(TIMEVALUE(DaqBook_RAW_Data!A743),""))</f>
        <v/>
      </c>
      <c r="C753" s="153"/>
      <c r="D753" s="153"/>
      <c r="E753" s="153"/>
      <c r="F753" s="153"/>
      <c r="G753" s="153"/>
      <c r="H753" s="153"/>
      <c r="I753" s="153"/>
      <c r="J753" s="153"/>
      <c r="K753" s="153"/>
      <c r="L753" s="153"/>
      <c r="M753" s="153"/>
      <c r="N753" s="153"/>
      <c r="O753" s="44"/>
      <c r="P753" s="44"/>
    </row>
    <row r="754" spans="1:16" x14ac:dyDescent="0.2">
      <c r="A754" s="58" t="str">
        <v/>
      </c>
      <c r="B754" s="131" t="str">
        <f>IFERROR(TIMEVALUE(DaqBook_RAW_Data!AG744),IFERROR(TIMEVALUE(DaqBook_RAW_Data!A744),""))</f>
        <v/>
      </c>
      <c r="C754" s="153"/>
      <c r="D754" s="153"/>
      <c r="E754" s="153"/>
      <c r="F754" s="153"/>
      <c r="G754" s="153"/>
      <c r="H754" s="153"/>
      <c r="I754" s="153"/>
      <c r="J754" s="153"/>
      <c r="K754" s="153"/>
      <c r="L754" s="153"/>
      <c r="M754" s="153"/>
      <c r="N754" s="153"/>
      <c r="O754" s="44"/>
      <c r="P754" s="44"/>
    </row>
    <row r="755" spans="1:16" x14ac:dyDescent="0.2">
      <c r="A755" s="58" t="str">
        <v/>
      </c>
      <c r="B755" s="131" t="str">
        <f>IFERROR(TIMEVALUE(DaqBook_RAW_Data!AG745),IFERROR(TIMEVALUE(DaqBook_RAW_Data!A745),""))</f>
        <v/>
      </c>
      <c r="C755" s="153"/>
      <c r="D755" s="153"/>
      <c r="E755" s="153"/>
      <c r="F755" s="153"/>
      <c r="G755" s="153"/>
      <c r="H755" s="153"/>
      <c r="I755" s="153"/>
      <c r="J755" s="153"/>
      <c r="K755" s="153"/>
      <c r="L755" s="153"/>
      <c r="M755" s="153"/>
      <c r="N755" s="153"/>
      <c r="O755" s="44"/>
      <c r="P755" s="44"/>
    </row>
    <row r="756" spans="1:16" x14ac:dyDescent="0.2">
      <c r="A756" s="58" t="str">
        <v/>
      </c>
      <c r="B756" s="131" t="str">
        <f>IFERROR(TIMEVALUE(DaqBook_RAW_Data!AG746),IFERROR(TIMEVALUE(DaqBook_RAW_Data!A746),""))</f>
        <v/>
      </c>
      <c r="C756" s="153"/>
      <c r="D756" s="153"/>
      <c r="E756" s="153"/>
      <c r="F756" s="153"/>
      <c r="G756" s="153"/>
      <c r="H756" s="153"/>
      <c r="I756" s="153"/>
      <c r="J756" s="153"/>
      <c r="K756" s="153"/>
      <c r="L756" s="153"/>
      <c r="M756" s="153"/>
      <c r="N756" s="153"/>
      <c r="O756" s="44"/>
      <c r="P756" s="44"/>
    </row>
    <row r="757" spans="1:16" x14ac:dyDescent="0.2">
      <c r="A757" s="58" t="str">
        <v/>
      </c>
      <c r="B757" s="131" t="str">
        <f>IFERROR(TIMEVALUE(DaqBook_RAW_Data!AG747),IFERROR(TIMEVALUE(DaqBook_RAW_Data!A747),""))</f>
        <v/>
      </c>
      <c r="C757" s="153"/>
      <c r="D757" s="153"/>
      <c r="E757" s="153"/>
      <c r="F757" s="153"/>
      <c r="G757" s="153"/>
      <c r="H757" s="153"/>
      <c r="I757" s="153"/>
      <c r="J757" s="153"/>
      <c r="K757" s="153"/>
      <c r="L757" s="153"/>
      <c r="M757" s="153"/>
      <c r="N757" s="153"/>
      <c r="O757" s="44"/>
      <c r="P757" s="44"/>
    </row>
    <row r="758" spans="1:16" x14ac:dyDescent="0.2">
      <c r="A758" s="58" t="str">
        <v/>
      </c>
      <c r="B758" s="131" t="str">
        <f>IFERROR(TIMEVALUE(DaqBook_RAW_Data!AG748),IFERROR(TIMEVALUE(DaqBook_RAW_Data!A748),""))</f>
        <v/>
      </c>
      <c r="C758" s="153"/>
      <c r="D758" s="153"/>
      <c r="E758" s="153"/>
      <c r="F758" s="153"/>
      <c r="G758" s="153"/>
      <c r="H758" s="153"/>
      <c r="I758" s="153"/>
      <c r="J758" s="153"/>
      <c r="K758" s="153"/>
      <c r="L758" s="153"/>
      <c r="M758" s="153"/>
      <c r="N758" s="153"/>
      <c r="O758" s="44"/>
      <c r="P758" s="44"/>
    </row>
    <row r="759" spans="1:16" x14ac:dyDescent="0.2">
      <c r="A759" s="58" t="str">
        <v/>
      </c>
      <c r="B759" s="131" t="str">
        <f>IFERROR(TIMEVALUE(DaqBook_RAW_Data!AG749),IFERROR(TIMEVALUE(DaqBook_RAW_Data!A749),""))</f>
        <v/>
      </c>
      <c r="C759" s="153"/>
      <c r="D759" s="153"/>
      <c r="E759" s="153"/>
      <c r="F759" s="153"/>
      <c r="G759" s="153"/>
      <c r="H759" s="153"/>
      <c r="I759" s="153"/>
      <c r="J759" s="153"/>
      <c r="K759" s="153"/>
      <c r="L759" s="153"/>
      <c r="M759" s="153"/>
      <c r="N759" s="153"/>
      <c r="O759" s="44"/>
      <c r="P759" s="44"/>
    </row>
    <row r="760" spans="1:16" x14ac:dyDescent="0.2">
      <c r="A760" s="58" t="str">
        <v/>
      </c>
      <c r="B760" s="131" t="str">
        <f>IFERROR(TIMEVALUE(DaqBook_RAW_Data!AG750),IFERROR(TIMEVALUE(DaqBook_RAW_Data!A750),""))</f>
        <v/>
      </c>
      <c r="C760" s="153"/>
      <c r="D760" s="153"/>
      <c r="E760" s="153"/>
      <c r="F760" s="153"/>
      <c r="G760" s="153"/>
      <c r="H760" s="153"/>
      <c r="I760" s="153"/>
      <c r="J760" s="153"/>
      <c r="K760" s="153"/>
      <c r="L760" s="153"/>
      <c r="M760" s="153"/>
      <c r="N760" s="153"/>
      <c r="O760" s="44"/>
      <c r="P760" s="44"/>
    </row>
    <row r="761" spans="1:16" x14ac:dyDescent="0.2">
      <c r="A761" s="58" t="str">
        <v/>
      </c>
      <c r="B761" s="131" t="str">
        <f>IFERROR(TIMEVALUE(DaqBook_RAW_Data!AG751),IFERROR(TIMEVALUE(DaqBook_RAW_Data!A751),""))</f>
        <v/>
      </c>
      <c r="C761" s="153"/>
      <c r="D761" s="153"/>
      <c r="E761" s="153"/>
      <c r="F761" s="153"/>
      <c r="G761" s="153"/>
      <c r="H761" s="153"/>
      <c r="I761" s="153"/>
      <c r="J761" s="153"/>
      <c r="K761" s="153"/>
      <c r="L761" s="153"/>
      <c r="M761" s="153"/>
      <c r="N761" s="153"/>
      <c r="O761" s="44"/>
      <c r="P761" s="44"/>
    </row>
    <row r="762" spans="1:16" x14ac:dyDescent="0.2">
      <c r="A762" s="58" t="str">
        <v/>
      </c>
      <c r="B762" s="131" t="str">
        <f>IFERROR(TIMEVALUE(DaqBook_RAW_Data!AG752),IFERROR(TIMEVALUE(DaqBook_RAW_Data!A752),""))</f>
        <v/>
      </c>
      <c r="C762" s="153"/>
      <c r="D762" s="153"/>
      <c r="E762" s="153"/>
      <c r="F762" s="153"/>
      <c r="G762" s="153"/>
      <c r="H762" s="153"/>
      <c r="I762" s="153"/>
      <c r="J762" s="153"/>
      <c r="K762" s="153"/>
      <c r="L762" s="153"/>
      <c r="M762" s="153"/>
      <c r="N762" s="153"/>
      <c r="O762" s="44"/>
      <c r="P762" s="44"/>
    </row>
    <row r="763" spans="1:16" x14ac:dyDescent="0.2">
      <c r="A763" s="58" t="str">
        <v/>
      </c>
      <c r="B763" s="131" t="str">
        <f>IFERROR(TIMEVALUE(DaqBook_RAW_Data!AG753),IFERROR(TIMEVALUE(DaqBook_RAW_Data!A753),""))</f>
        <v/>
      </c>
      <c r="C763" s="153"/>
      <c r="D763" s="153"/>
      <c r="E763" s="153"/>
      <c r="F763" s="153"/>
      <c r="G763" s="153"/>
      <c r="H763" s="153"/>
      <c r="I763" s="153"/>
      <c r="J763" s="153"/>
      <c r="K763" s="153"/>
      <c r="L763" s="153"/>
      <c r="M763" s="153"/>
      <c r="N763" s="153"/>
      <c r="O763" s="44"/>
      <c r="P763" s="44"/>
    </row>
    <row r="764" spans="1:16" x14ac:dyDescent="0.2">
      <c r="A764" s="58" t="str">
        <v/>
      </c>
      <c r="B764" s="131" t="str">
        <f>IFERROR(TIMEVALUE(DaqBook_RAW_Data!AG754),IFERROR(TIMEVALUE(DaqBook_RAW_Data!A754),""))</f>
        <v/>
      </c>
      <c r="C764" s="153"/>
      <c r="D764" s="153"/>
      <c r="E764" s="153"/>
      <c r="F764" s="153"/>
      <c r="G764" s="153"/>
      <c r="H764" s="153"/>
      <c r="I764" s="153"/>
      <c r="J764" s="153"/>
      <c r="K764" s="153"/>
      <c r="L764" s="153"/>
      <c r="M764" s="153"/>
      <c r="N764" s="153"/>
      <c r="O764" s="44"/>
      <c r="P764" s="44"/>
    </row>
    <row r="765" spans="1:16" x14ac:dyDescent="0.2">
      <c r="A765" s="58" t="str">
        <v/>
      </c>
      <c r="B765" s="131" t="str">
        <f>IFERROR(TIMEVALUE(DaqBook_RAW_Data!AG755),IFERROR(TIMEVALUE(DaqBook_RAW_Data!A755),""))</f>
        <v/>
      </c>
      <c r="C765" s="153"/>
      <c r="D765" s="153"/>
      <c r="E765" s="153"/>
      <c r="F765" s="153"/>
      <c r="G765" s="153"/>
      <c r="H765" s="153"/>
      <c r="I765" s="153"/>
      <c r="J765" s="153"/>
      <c r="K765" s="153"/>
      <c r="L765" s="153"/>
      <c r="M765" s="153"/>
      <c r="N765" s="153"/>
      <c r="O765" s="44"/>
      <c r="P765" s="44"/>
    </row>
    <row r="766" spans="1:16" x14ac:dyDescent="0.2">
      <c r="A766" s="58" t="str">
        <v/>
      </c>
      <c r="B766" s="131" t="str">
        <f>IFERROR(TIMEVALUE(DaqBook_RAW_Data!AG756),IFERROR(TIMEVALUE(DaqBook_RAW_Data!A756),""))</f>
        <v/>
      </c>
      <c r="C766" s="153"/>
      <c r="D766" s="153"/>
      <c r="E766" s="153"/>
      <c r="F766" s="153"/>
      <c r="G766" s="153"/>
      <c r="H766" s="153"/>
      <c r="I766" s="153"/>
      <c r="J766" s="153"/>
      <c r="K766" s="153"/>
      <c r="L766" s="153"/>
      <c r="M766" s="153"/>
      <c r="N766" s="153"/>
      <c r="O766" s="44"/>
      <c r="P766" s="44"/>
    </row>
    <row r="767" spans="1:16" x14ac:dyDescent="0.2">
      <c r="A767" s="58" t="str">
        <v/>
      </c>
      <c r="B767" s="131" t="str">
        <f>IFERROR(TIMEVALUE(DaqBook_RAW_Data!AG757),IFERROR(TIMEVALUE(DaqBook_RAW_Data!A757),""))</f>
        <v/>
      </c>
      <c r="C767" s="153"/>
      <c r="D767" s="153"/>
      <c r="E767" s="153"/>
      <c r="F767" s="153"/>
      <c r="G767" s="153"/>
      <c r="H767" s="153"/>
      <c r="I767" s="153"/>
      <c r="J767" s="153"/>
      <c r="K767" s="153"/>
      <c r="L767" s="153"/>
      <c r="M767" s="153"/>
      <c r="N767" s="153"/>
      <c r="O767" s="44"/>
      <c r="P767" s="44"/>
    </row>
    <row r="768" spans="1:16" x14ac:dyDescent="0.2">
      <c r="A768" s="58" t="str">
        <v/>
      </c>
      <c r="B768" s="131" t="str">
        <f>IFERROR(TIMEVALUE(DaqBook_RAW_Data!AG758),IFERROR(TIMEVALUE(DaqBook_RAW_Data!A758),""))</f>
        <v/>
      </c>
      <c r="C768" s="153"/>
      <c r="D768" s="153"/>
      <c r="E768" s="153"/>
      <c r="F768" s="153"/>
      <c r="G768" s="153"/>
      <c r="H768" s="153"/>
      <c r="I768" s="153"/>
      <c r="J768" s="153"/>
      <c r="K768" s="153"/>
      <c r="L768" s="153"/>
      <c r="M768" s="153"/>
      <c r="N768" s="153"/>
      <c r="O768" s="44"/>
      <c r="P768" s="44"/>
    </row>
    <row r="769" spans="1:16" x14ac:dyDescent="0.2">
      <c r="A769" s="58" t="str">
        <v/>
      </c>
      <c r="B769" s="131" t="str">
        <f>IFERROR(TIMEVALUE(DaqBook_RAW_Data!AG759),IFERROR(TIMEVALUE(DaqBook_RAW_Data!A759),""))</f>
        <v/>
      </c>
      <c r="C769" s="153"/>
      <c r="D769" s="153"/>
      <c r="E769" s="153"/>
      <c r="F769" s="153"/>
      <c r="G769" s="153"/>
      <c r="H769" s="153"/>
      <c r="I769" s="153"/>
      <c r="J769" s="153"/>
      <c r="K769" s="153"/>
      <c r="L769" s="153"/>
      <c r="M769" s="153"/>
      <c r="N769" s="153"/>
      <c r="O769" s="44"/>
      <c r="P769" s="44"/>
    </row>
    <row r="770" spans="1:16" x14ac:dyDescent="0.2">
      <c r="A770" s="58" t="str">
        <v/>
      </c>
      <c r="B770" s="131" t="str">
        <f>IFERROR(TIMEVALUE(DaqBook_RAW_Data!AG760),IFERROR(TIMEVALUE(DaqBook_RAW_Data!A760),""))</f>
        <v/>
      </c>
      <c r="C770" s="153"/>
      <c r="D770" s="153"/>
      <c r="E770" s="153"/>
      <c r="F770" s="153"/>
      <c r="G770" s="153"/>
      <c r="H770" s="153"/>
      <c r="I770" s="153"/>
      <c r="J770" s="153"/>
      <c r="K770" s="153"/>
      <c r="L770" s="153"/>
      <c r="M770" s="153"/>
      <c r="N770" s="153"/>
      <c r="O770" s="44"/>
      <c r="P770" s="44"/>
    </row>
    <row r="771" spans="1:16" x14ac:dyDescent="0.2">
      <c r="A771" s="58" t="str">
        <v/>
      </c>
      <c r="B771" s="131" t="str">
        <f>IFERROR(TIMEVALUE(DaqBook_RAW_Data!AG761),IFERROR(TIMEVALUE(DaqBook_RAW_Data!A761),""))</f>
        <v/>
      </c>
      <c r="C771" s="153"/>
      <c r="D771" s="153"/>
      <c r="E771" s="153"/>
      <c r="F771" s="153"/>
      <c r="G771" s="153"/>
      <c r="H771" s="153"/>
      <c r="I771" s="153"/>
      <c r="J771" s="153"/>
      <c r="K771" s="153"/>
      <c r="L771" s="153"/>
      <c r="M771" s="153"/>
      <c r="N771" s="153"/>
      <c r="O771" s="44"/>
      <c r="P771" s="44"/>
    </row>
    <row r="772" spans="1:16" x14ac:dyDescent="0.2">
      <c r="A772" s="58" t="str">
        <v/>
      </c>
      <c r="B772" s="131" t="str">
        <f>IFERROR(TIMEVALUE(DaqBook_RAW_Data!AG762),IFERROR(TIMEVALUE(DaqBook_RAW_Data!A762),""))</f>
        <v/>
      </c>
      <c r="C772" s="153"/>
      <c r="D772" s="153"/>
      <c r="E772" s="153"/>
      <c r="F772" s="153"/>
      <c r="G772" s="153"/>
      <c r="H772" s="153"/>
      <c r="I772" s="153"/>
      <c r="J772" s="153"/>
      <c r="K772" s="153"/>
      <c r="L772" s="153"/>
      <c r="M772" s="153"/>
      <c r="N772" s="153"/>
      <c r="O772" s="44"/>
      <c r="P772" s="44"/>
    </row>
    <row r="773" spans="1:16" x14ac:dyDescent="0.2">
      <c r="A773" s="58" t="str">
        <v/>
      </c>
      <c r="B773" s="131" t="str">
        <f>IFERROR(TIMEVALUE(DaqBook_RAW_Data!AG763),IFERROR(TIMEVALUE(DaqBook_RAW_Data!A763),""))</f>
        <v/>
      </c>
      <c r="C773" s="153"/>
      <c r="D773" s="153"/>
      <c r="E773" s="153"/>
      <c r="F773" s="153"/>
      <c r="G773" s="153"/>
      <c r="H773" s="153"/>
      <c r="I773" s="153"/>
      <c r="J773" s="153"/>
      <c r="K773" s="153"/>
      <c r="L773" s="153"/>
      <c r="M773" s="153"/>
      <c r="N773" s="153"/>
      <c r="O773" s="44"/>
      <c r="P773" s="44"/>
    </row>
    <row r="774" spans="1:16" x14ac:dyDescent="0.2">
      <c r="A774" s="58" t="str">
        <v/>
      </c>
      <c r="B774" s="131" t="str">
        <f>IFERROR(TIMEVALUE(DaqBook_RAW_Data!AG764),IFERROR(TIMEVALUE(DaqBook_RAW_Data!A764),""))</f>
        <v/>
      </c>
      <c r="C774" s="153"/>
      <c r="D774" s="153"/>
      <c r="E774" s="153"/>
      <c r="F774" s="153"/>
      <c r="G774" s="153"/>
      <c r="H774" s="153"/>
      <c r="I774" s="153"/>
      <c r="J774" s="153"/>
      <c r="K774" s="153"/>
      <c r="L774" s="153"/>
      <c r="M774" s="153"/>
      <c r="N774" s="153"/>
      <c r="O774" s="44"/>
      <c r="P774" s="44"/>
    </row>
    <row r="775" spans="1:16" x14ac:dyDescent="0.2">
      <c r="A775" s="58" t="str">
        <v/>
      </c>
      <c r="B775" s="131" t="str">
        <f>IFERROR(TIMEVALUE(DaqBook_RAW_Data!AG765),IFERROR(TIMEVALUE(DaqBook_RAW_Data!A765),""))</f>
        <v/>
      </c>
      <c r="C775" s="153"/>
      <c r="D775" s="153"/>
      <c r="E775" s="153"/>
      <c r="F775" s="153"/>
      <c r="G775" s="153"/>
      <c r="H775" s="153"/>
      <c r="I775" s="153"/>
      <c r="J775" s="153"/>
      <c r="K775" s="153"/>
      <c r="L775" s="153"/>
      <c r="M775" s="153"/>
      <c r="N775" s="153"/>
      <c r="O775" s="44"/>
      <c r="P775" s="44"/>
    </row>
    <row r="776" spans="1:16" x14ac:dyDescent="0.2">
      <c r="A776" s="58" t="str">
        <v/>
      </c>
      <c r="B776" s="131" t="str">
        <f>IFERROR(TIMEVALUE(DaqBook_RAW_Data!AG766),IFERROR(TIMEVALUE(DaqBook_RAW_Data!A766),""))</f>
        <v/>
      </c>
      <c r="C776" s="153"/>
      <c r="D776" s="153"/>
      <c r="E776" s="153"/>
      <c r="F776" s="153"/>
      <c r="G776" s="153"/>
      <c r="H776" s="153"/>
      <c r="I776" s="153"/>
      <c r="J776" s="153"/>
      <c r="K776" s="153"/>
      <c r="L776" s="153"/>
      <c r="M776" s="153"/>
      <c r="N776" s="153"/>
      <c r="O776" s="44"/>
      <c r="P776" s="44"/>
    </row>
    <row r="777" spans="1:16" x14ac:dyDescent="0.2">
      <c r="A777" s="58" t="str">
        <v/>
      </c>
      <c r="B777" s="131" t="str">
        <f>IFERROR(TIMEVALUE(DaqBook_RAW_Data!AG767),IFERROR(TIMEVALUE(DaqBook_RAW_Data!A767),""))</f>
        <v/>
      </c>
      <c r="C777" s="153"/>
      <c r="D777" s="153"/>
      <c r="E777" s="153"/>
      <c r="F777" s="153"/>
      <c r="G777" s="153"/>
      <c r="H777" s="153"/>
      <c r="I777" s="153"/>
      <c r="J777" s="153"/>
      <c r="K777" s="153"/>
      <c r="L777" s="153"/>
      <c r="M777" s="153"/>
      <c r="N777" s="153"/>
      <c r="O777" s="44"/>
      <c r="P777" s="44"/>
    </row>
    <row r="778" spans="1:16" x14ac:dyDescent="0.2">
      <c r="A778" s="58" t="str">
        <v/>
      </c>
      <c r="B778" s="131" t="str">
        <f>IFERROR(TIMEVALUE(DaqBook_RAW_Data!AG768),IFERROR(TIMEVALUE(DaqBook_RAW_Data!A768),""))</f>
        <v/>
      </c>
      <c r="C778" s="153"/>
      <c r="D778" s="153"/>
      <c r="E778" s="153"/>
      <c r="F778" s="153"/>
      <c r="G778" s="153"/>
      <c r="H778" s="153"/>
      <c r="I778" s="153"/>
      <c r="J778" s="153"/>
      <c r="K778" s="153"/>
      <c r="L778" s="153"/>
      <c r="M778" s="153"/>
      <c r="N778" s="153"/>
      <c r="O778" s="44"/>
      <c r="P778" s="44"/>
    </row>
    <row r="779" spans="1:16" x14ac:dyDescent="0.2">
      <c r="A779" s="58" t="str">
        <v/>
      </c>
      <c r="B779" s="131" t="str">
        <f>IFERROR(TIMEVALUE(DaqBook_RAW_Data!AG769),IFERROR(TIMEVALUE(DaqBook_RAW_Data!A769),""))</f>
        <v/>
      </c>
      <c r="C779" s="153"/>
      <c r="D779" s="153"/>
      <c r="E779" s="153"/>
      <c r="F779" s="153"/>
      <c r="G779" s="153"/>
      <c r="H779" s="153"/>
      <c r="I779" s="153"/>
      <c r="J779" s="153"/>
      <c r="K779" s="153"/>
      <c r="L779" s="153"/>
      <c r="M779" s="153"/>
      <c r="N779" s="153"/>
      <c r="O779" s="44"/>
      <c r="P779" s="44"/>
    </row>
    <row r="780" spans="1:16" x14ac:dyDescent="0.2">
      <c r="A780" s="58" t="str">
        <v/>
      </c>
      <c r="B780" s="131" t="str">
        <f>IFERROR(TIMEVALUE(DaqBook_RAW_Data!AG770),IFERROR(TIMEVALUE(DaqBook_RAW_Data!A770),""))</f>
        <v/>
      </c>
      <c r="C780" s="153"/>
      <c r="D780" s="153"/>
      <c r="E780" s="153"/>
      <c r="F780" s="153"/>
      <c r="G780" s="153"/>
      <c r="H780" s="153"/>
      <c r="I780" s="153"/>
      <c r="J780" s="153"/>
      <c r="K780" s="153"/>
      <c r="L780" s="153"/>
      <c r="M780" s="153"/>
      <c r="N780" s="153"/>
      <c r="O780" s="44"/>
      <c r="P780" s="44"/>
    </row>
    <row r="781" spans="1:16" x14ac:dyDescent="0.2">
      <c r="A781" s="58" t="str">
        <v/>
      </c>
      <c r="B781" s="131" t="str">
        <f>IFERROR(TIMEVALUE(DaqBook_RAW_Data!AG771),IFERROR(TIMEVALUE(DaqBook_RAW_Data!A771),""))</f>
        <v/>
      </c>
      <c r="C781" s="153"/>
      <c r="D781" s="153"/>
      <c r="E781" s="153"/>
      <c r="F781" s="153"/>
      <c r="G781" s="153"/>
      <c r="H781" s="153"/>
      <c r="I781" s="153"/>
      <c r="J781" s="153"/>
      <c r="K781" s="153"/>
      <c r="L781" s="153"/>
      <c r="M781" s="153"/>
      <c r="N781" s="153"/>
      <c r="O781" s="44"/>
      <c r="P781" s="44"/>
    </row>
    <row r="782" spans="1:16" x14ac:dyDescent="0.2">
      <c r="A782" s="58" t="str">
        <v/>
      </c>
      <c r="B782" s="131" t="str">
        <f>IFERROR(TIMEVALUE(DaqBook_RAW_Data!AG772),IFERROR(TIMEVALUE(DaqBook_RAW_Data!A772),""))</f>
        <v/>
      </c>
      <c r="C782" s="153"/>
      <c r="D782" s="153"/>
      <c r="E782" s="153"/>
      <c r="F782" s="153"/>
      <c r="G782" s="153"/>
      <c r="H782" s="153"/>
      <c r="I782" s="153"/>
      <c r="J782" s="153"/>
      <c r="K782" s="153"/>
      <c r="L782" s="153"/>
      <c r="M782" s="153"/>
      <c r="N782" s="153"/>
      <c r="O782" s="44"/>
      <c r="P782" s="44"/>
    </row>
    <row r="783" spans="1:16" x14ac:dyDescent="0.2">
      <c r="A783" s="58" t="str">
        <v/>
      </c>
      <c r="B783" s="131" t="str">
        <f>IFERROR(TIMEVALUE(DaqBook_RAW_Data!AG773),IFERROR(TIMEVALUE(DaqBook_RAW_Data!A773),""))</f>
        <v/>
      </c>
      <c r="C783" s="153"/>
      <c r="D783" s="153"/>
      <c r="E783" s="153"/>
      <c r="F783" s="153"/>
      <c r="G783" s="153"/>
      <c r="H783" s="153"/>
      <c r="I783" s="153"/>
      <c r="J783" s="153"/>
      <c r="K783" s="153"/>
      <c r="L783" s="153"/>
      <c r="M783" s="153"/>
      <c r="N783" s="153"/>
      <c r="O783" s="44"/>
      <c r="P783" s="44"/>
    </row>
    <row r="784" spans="1:16" x14ac:dyDescent="0.2">
      <c r="A784" s="58" t="str">
        <v/>
      </c>
      <c r="B784" s="131" t="str">
        <f>IFERROR(TIMEVALUE(DaqBook_RAW_Data!AG774),IFERROR(TIMEVALUE(DaqBook_RAW_Data!A774),""))</f>
        <v/>
      </c>
      <c r="C784" s="153"/>
      <c r="D784" s="153"/>
      <c r="E784" s="153"/>
      <c r="F784" s="153"/>
      <c r="G784" s="153"/>
      <c r="H784" s="153"/>
      <c r="I784" s="153"/>
      <c r="J784" s="153"/>
      <c r="K784" s="153"/>
      <c r="L784" s="153"/>
      <c r="M784" s="153"/>
      <c r="N784" s="153"/>
      <c r="O784" s="44"/>
      <c r="P784" s="44"/>
    </row>
    <row r="785" spans="1:16" x14ac:dyDescent="0.2">
      <c r="A785" s="58" t="str">
        <v/>
      </c>
      <c r="B785" s="131" t="str">
        <f>IFERROR(TIMEVALUE(DaqBook_RAW_Data!AG775),IFERROR(TIMEVALUE(DaqBook_RAW_Data!A775),""))</f>
        <v/>
      </c>
      <c r="C785" s="153"/>
      <c r="D785" s="153"/>
      <c r="E785" s="153"/>
      <c r="F785" s="153"/>
      <c r="G785" s="153"/>
      <c r="H785" s="153"/>
      <c r="I785" s="153"/>
      <c r="J785" s="153"/>
      <c r="K785" s="153"/>
      <c r="L785" s="153"/>
      <c r="M785" s="153"/>
      <c r="N785" s="153"/>
      <c r="O785" s="44"/>
      <c r="P785" s="44"/>
    </row>
    <row r="786" spans="1:16" x14ac:dyDescent="0.2">
      <c r="A786" s="58" t="str">
        <v/>
      </c>
      <c r="B786" s="131" t="str">
        <f>IFERROR(TIMEVALUE(DaqBook_RAW_Data!AG776),IFERROR(TIMEVALUE(DaqBook_RAW_Data!A776),""))</f>
        <v/>
      </c>
      <c r="C786" s="153"/>
      <c r="D786" s="153"/>
      <c r="E786" s="153"/>
      <c r="F786" s="153"/>
      <c r="G786" s="153"/>
      <c r="H786" s="153"/>
      <c r="I786" s="153"/>
      <c r="J786" s="153"/>
      <c r="K786" s="153"/>
      <c r="L786" s="153"/>
      <c r="M786" s="153"/>
      <c r="N786" s="153"/>
      <c r="O786" s="44"/>
      <c r="P786" s="44"/>
    </row>
    <row r="787" spans="1:16" x14ac:dyDescent="0.2">
      <c r="A787" s="58" t="str">
        <v/>
      </c>
      <c r="B787" s="131" t="str">
        <f>IFERROR(TIMEVALUE(DaqBook_RAW_Data!AG777),IFERROR(TIMEVALUE(DaqBook_RAW_Data!A777),""))</f>
        <v/>
      </c>
      <c r="C787" s="153"/>
      <c r="D787" s="153"/>
      <c r="E787" s="153"/>
      <c r="F787" s="153"/>
      <c r="G787" s="153"/>
      <c r="H787" s="153"/>
      <c r="I787" s="153"/>
      <c r="J787" s="153"/>
      <c r="K787" s="153"/>
      <c r="L787" s="153"/>
      <c r="M787" s="153"/>
      <c r="N787" s="153"/>
      <c r="O787" s="44"/>
      <c r="P787" s="44"/>
    </row>
    <row r="788" spans="1:16" x14ac:dyDescent="0.2">
      <c r="A788" s="58" t="str">
        <v/>
      </c>
      <c r="B788" s="131" t="str">
        <f>IFERROR(TIMEVALUE(DaqBook_RAW_Data!AG778),IFERROR(TIMEVALUE(DaqBook_RAW_Data!A778),""))</f>
        <v/>
      </c>
      <c r="C788" s="153"/>
      <c r="D788" s="153"/>
      <c r="E788" s="153"/>
      <c r="F788" s="153"/>
      <c r="G788" s="153"/>
      <c r="H788" s="153"/>
      <c r="I788" s="153"/>
      <c r="J788" s="153"/>
      <c r="K788" s="153"/>
      <c r="L788" s="153"/>
      <c r="M788" s="153"/>
      <c r="N788" s="153"/>
      <c r="O788" s="44"/>
      <c r="P788" s="44"/>
    </row>
    <row r="789" spans="1:16" x14ac:dyDescent="0.2">
      <c r="A789" s="58" t="str">
        <v/>
      </c>
      <c r="B789" s="131" t="str">
        <f>IFERROR(TIMEVALUE(DaqBook_RAW_Data!AG779),IFERROR(TIMEVALUE(DaqBook_RAW_Data!A779),""))</f>
        <v/>
      </c>
      <c r="C789" s="153"/>
      <c r="D789" s="153"/>
      <c r="E789" s="153"/>
      <c r="F789" s="153"/>
      <c r="G789" s="153"/>
      <c r="H789" s="153"/>
      <c r="I789" s="153"/>
      <c r="J789" s="153"/>
      <c r="K789" s="153"/>
      <c r="L789" s="153"/>
      <c r="M789" s="153"/>
      <c r="N789" s="153"/>
      <c r="O789" s="44"/>
      <c r="P789" s="44"/>
    </row>
    <row r="790" spans="1:16" x14ac:dyDescent="0.2">
      <c r="A790" s="58" t="str">
        <v/>
      </c>
      <c r="B790" s="131" t="str">
        <f>IFERROR(TIMEVALUE(DaqBook_RAW_Data!AG780),IFERROR(TIMEVALUE(DaqBook_RAW_Data!A780),""))</f>
        <v/>
      </c>
      <c r="C790" s="153"/>
      <c r="D790" s="153"/>
      <c r="E790" s="153"/>
      <c r="F790" s="153"/>
      <c r="G790" s="153"/>
      <c r="H790" s="153"/>
      <c r="I790" s="153"/>
      <c r="J790" s="153"/>
      <c r="K790" s="153"/>
      <c r="L790" s="153"/>
      <c r="M790" s="153"/>
      <c r="N790" s="153"/>
      <c r="O790" s="44"/>
      <c r="P790" s="44"/>
    </row>
    <row r="791" spans="1:16" x14ac:dyDescent="0.2">
      <c r="A791" s="58" t="str">
        <v/>
      </c>
      <c r="B791" s="131" t="str">
        <f>IFERROR(TIMEVALUE(DaqBook_RAW_Data!AG781),IFERROR(TIMEVALUE(DaqBook_RAW_Data!A781),""))</f>
        <v/>
      </c>
      <c r="C791" s="153"/>
      <c r="D791" s="153"/>
      <c r="E791" s="153"/>
      <c r="F791" s="153"/>
      <c r="G791" s="153"/>
      <c r="H791" s="153"/>
      <c r="I791" s="153"/>
      <c r="J791" s="153"/>
      <c r="K791" s="153"/>
      <c r="L791" s="153"/>
      <c r="M791" s="153"/>
      <c r="N791" s="153"/>
      <c r="O791" s="44"/>
      <c r="P791" s="44"/>
    </row>
    <row r="792" spans="1:16" x14ac:dyDescent="0.2">
      <c r="A792" s="58" t="str">
        <v/>
      </c>
      <c r="B792" s="131" t="str">
        <f>IFERROR(TIMEVALUE(DaqBook_RAW_Data!AG782),IFERROR(TIMEVALUE(DaqBook_RAW_Data!A782),""))</f>
        <v/>
      </c>
      <c r="C792" s="153"/>
      <c r="D792" s="153"/>
      <c r="E792" s="153"/>
      <c r="F792" s="153"/>
      <c r="G792" s="153"/>
      <c r="H792" s="153"/>
      <c r="I792" s="153"/>
      <c r="J792" s="153"/>
      <c r="K792" s="153"/>
      <c r="L792" s="153"/>
      <c r="M792" s="153"/>
      <c r="N792" s="153"/>
      <c r="O792" s="44"/>
      <c r="P792" s="44"/>
    </row>
    <row r="793" spans="1:16" x14ac:dyDescent="0.2">
      <c r="A793" s="58" t="str">
        <v/>
      </c>
      <c r="B793" s="131" t="str">
        <f>IFERROR(TIMEVALUE(DaqBook_RAW_Data!AG783),IFERROR(TIMEVALUE(DaqBook_RAW_Data!A783),""))</f>
        <v/>
      </c>
      <c r="C793" s="153"/>
      <c r="D793" s="153"/>
      <c r="E793" s="153"/>
      <c r="F793" s="153"/>
      <c r="G793" s="153"/>
      <c r="H793" s="153"/>
      <c r="I793" s="153"/>
      <c r="J793" s="153"/>
      <c r="K793" s="153"/>
      <c r="L793" s="153"/>
      <c r="M793" s="153"/>
      <c r="N793" s="153"/>
      <c r="O793" s="44"/>
      <c r="P793" s="44"/>
    </row>
    <row r="794" spans="1:16" x14ac:dyDescent="0.2">
      <c r="A794" s="58" t="str">
        <v/>
      </c>
      <c r="B794" s="131" t="str">
        <f>IFERROR(TIMEVALUE(DaqBook_RAW_Data!AG784),IFERROR(TIMEVALUE(DaqBook_RAW_Data!A784),""))</f>
        <v/>
      </c>
      <c r="C794" s="153"/>
      <c r="D794" s="153"/>
      <c r="E794" s="153"/>
      <c r="F794" s="153"/>
      <c r="G794" s="153"/>
      <c r="H794" s="153"/>
      <c r="I794" s="153"/>
      <c r="J794" s="153"/>
      <c r="K794" s="153"/>
      <c r="L794" s="153"/>
      <c r="M794" s="153"/>
      <c r="N794" s="153"/>
      <c r="O794" s="44"/>
      <c r="P794" s="44"/>
    </row>
    <row r="795" spans="1:16" x14ac:dyDescent="0.2">
      <c r="A795" s="58" t="str">
        <v/>
      </c>
      <c r="B795" s="131" t="str">
        <f>IFERROR(TIMEVALUE(DaqBook_RAW_Data!AG785),IFERROR(TIMEVALUE(DaqBook_RAW_Data!A785),""))</f>
        <v/>
      </c>
      <c r="C795" s="153"/>
      <c r="D795" s="153"/>
      <c r="E795" s="153"/>
      <c r="F795" s="153"/>
      <c r="G795" s="153"/>
      <c r="H795" s="153"/>
      <c r="I795" s="153"/>
      <c r="J795" s="153"/>
      <c r="K795" s="153"/>
      <c r="L795" s="153"/>
      <c r="M795" s="153"/>
      <c r="N795" s="153"/>
      <c r="O795" s="44"/>
      <c r="P795" s="44"/>
    </row>
    <row r="796" spans="1:16" x14ac:dyDescent="0.2">
      <c r="A796" s="58" t="str">
        <v/>
      </c>
      <c r="B796" s="131" t="str">
        <f>IFERROR(TIMEVALUE(DaqBook_RAW_Data!AG786),IFERROR(TIMEVALUE(DaqBook_RAW_Data!A786),""))</f>
        <v/>
      </c>
      <c r="C796" s="153"/>
      <c r="D796" s="153"/>
      <c r="E796" s="153"/>
      <c r="F796" s="153"/>
      <c r="G796" s="153"/>
      <c r="H796" s="153"/>
      <c r="I796" s="153"/>
      <c r="J796" s="153"/>
      <c r="K796" s="153"/>
      <c r="L796" s="153"/>
      <c r="M796" s="153"/>
      <c r="N796" s="153"/>
      <c r="O796" s="44"/>
      <c r="P796" s="44"/>
    </row>
    <row r="797" spans="1:16" x14ac:dyDescent="0.2">
      <c r="A797" s="58" t="str">
        <v/>
      </c>
      <c r="B797" s="131" t="str">
        <f>IFERROR(TIMEVALUE(DaqBook_RAW_Data!AG787),IFERROR(TIMEVALUE(DaqBook_RAW_Data!A787),""))</f>
        <v/>
      </c>
      <c r="C797" s="153"/>
      <c r="D797" s="153"/>
      <c r="E797" s="153"/>
      <c r="F797" s="153"/>
      <c r="G797" s="153"/>
      <c r="H797" s="153"/>
      <c r="I797" s="153"/>
      <c r="J797" s="153"/>
      <c r="K797" s="153"/>
      <c r="L797" s="153"/>
      <c r="M797" s="153"/>
      <c r="N797" s="153"/>
      <c r="O797" s="44"/>
      <c r="P797" s="44"/>
    </row>
    <row r="798" spans="1:16" x14ac:dyDescent="0.2">
      <c r="A798" s="58" t="str">
        <v/>
      </c>
      <c r="B798" s="131" t="str">
        <f>IFERROR(TIMEVALUE(DaqBook_RAW_Data!AG788),IFERROR(TIMEVALUE(DaqBook_RAW_Data!A788),""))</f>
        <v/>
      </c>
      <c r="C798" s="153"/>
      <c r="D798" s="153"/>
      <c r="E798" s="153"/>
      <c r="F798" s="153"/>
      <c r="G798" s="153"/>
      <c r="H798" s="153"/>
      <c r="I798" s="153"/>
      <c r="J798" s="153"/>
      <c r="K798" s="153"/>
      <c r="L798" s="153"/>
      <c r="M798" s="153"/>
      <c r="N798" s="153"/>
      <c r="O798" s="44"/>
      <c r="P798" s="44"/>
    </row>
    <row r="799" spans="1:16" x14ac:dyDescent="0.2">
      <c r="A799" s="58" t="str">
        <v/>
      </c>
      <c r="B799" s="131" t="str">
        <f>IFERROR(TIMEVALUE(DaqBook_RAW_Data!AG789),IFERROR(TIMEVALUE(DaqBook_RAW_Data!A789),""))</f>
        <v/>
      </c>
      <c r="C799" s="153"/>
      <c r="D799" s="153"/>
      <c r="E799" s="153"/>
      <c r="F799" s="153"/>
      <c r="G799" s="153"/>
      <c r="H799" s="153"/>
      <c r="I799" s="153"/>
      <c r="J799" s="153"/>
      <c r="K799" s="153"/>
      <c r="L799" s="153"/>
      <c r="M799" s="153"/>
      <c r="N799" s="153"/>
      <c r="O799" s="44"/>
      <c r="P799" s="44"/>
    </row>
    <row r="800" spans="1:16" x14ac:dyDescent="0.2">
      <c r="A800" s="58" t="str">
        <v/>
      </c>
      <c r="B800" s="131" t="str">
        <f>IFERROR(TIMEVALUE(DaqBook_RAW_Data!AG790),IFERROR(TIMEVALUE(DaqBook_RAW_Data!A790),""))</f>
        <v/>
      </c>
      <c r="C800" s="153"/>
      <c r="D800" s="153"/>
      <c r="E800" s="153"/>
      <c r="F800" s="153"/>
      <c r="G800" s="153"/>
      <c r="H800" s="153"/>
      <c r="I800" s="153"/>
      <c r="J800" s="153"/>
      <c r="K800" s="153"/>
      <c r="L800" s="153"/>
      <c r="M800" s="153"/>
      <c r="N800" s="153"/>
      <c r="O800" s="44"/>
      <c r="P800" s="44"/>
    </row>
    <row r="801" spans="1:16" x14ac:dyDescent="0.2">
      <c r="A801" s="58" t="str">
        <v/>
      </c>
      <c r="B801" s="131" t="str">
        <f>IFERROR(TIMEVALUE(DaqBook_RAW_Data!AG791),IFERROR(TIMEVALUE(DaqBook_RAW_Data!A791),""))</f>
        <v/>
      </c>
      <c r="C801" s="153"/>
      <c r="D801" s="153"/>
      <c r="E801" s="153"/>
      <c r="F801" s="153"/>
      <c r="G801" s="153"/>
      <c r="H801" s="153"/>
      <c r="I801" s="153"/>
      <c r="J801" s="153"/>
      <c r="K801" s="153"/>
      <c r="L801" s="153"/>
      <c r="M801" s="153"/>
      <c r="N801" s="153"/>
      <c r="O801" s="44"/>
      <c r="P801" s="44"/>
    </row>
    <row r="802" spans="1:16" x14ac:dyDescent="0.2">
      <c r="A802" s="58" t="str">
        <v/>
      </c>
      <c r="B802" s="131" t="str">
        <f>IFERROR(TIMEVALUE(DaqBook_RAW_Data!AG792),IFERROR(TIMEVALUE(DaqBook_RAW_Data!A792),""))</f>
        <v/>
      </c>
      <c r="C802" s="153"/>
      <c r="D802" s="153"/>
      <c r="E802" s="153"/>
      <c r="F802" s="153"/>
      <c r="G802" s="153"/>
      <c r="H802" s="153"/>
      <c r="I802" s="153"/>
      <c r="J802" s="153"/>
      <c r="K802" s="153"/>
      <c r="L802" s="153"/>
      <c r="M802" s="153"/>
      <c r="N802" s="153"/>
      <c r="O802" s="44"/>
      <c r="P802" s="44"/>
    </row>
    <row r="803" spans="1:16" x14ac:dyDescent="0.2">
      <c r="A803" s="58" t="str">
        <v/>
      </c>
      <c r="B803" s="131" t="str">
        <f>IFERROR(TIMEVALUE(DaqBook_RAW_Data!AG793),IFERROR(TIMEVALUE(DaqBook_RAW_Data!A793),""))</f>
        <v/>
      </c>
      <c r="C803" s="153"/>
      <c r="D803" s="153"/>
      <c r="E803" s="153"/>
      <c r="F803" s="153"/>
      <c r="G803" s="153"/>
      <c r="H803" s="153"/>
      <c r="I803" s="153"/>
      <c r="J803" s="153"/>
      <c r="K803" s="153"/>
      <c r="L803" s="153"/>
      <c r="M803" s="153"/>
      <c r="N803" s="153"/>
      <c r="O803" s="44"/>
      <c r="P803" s="44"/>
    </row>
    <row r="804" spans="1:16" x14ac:dyDescent="0.2">
      <c r="A804" s="58" t="str">
        <v/>
      </c>
      <c r="B804" s="131" t="str">
        <f>IFERROR(TIMEVALUE(DaqBook_RAW_Data!AG794),IFERROR(TIMEVALUE(DaqBook_RAW_Data!A794),""))</f>
        <v/>
      </c>
      <c r="C804" s="153"/>
      <c r="D804" s="153"/>
      <c r="E804" s="153"/>
      <c r="F804" s="153"/>
      <c r="G804" s="153"/>
      <c r="H804" s="153"/>
      <c r="I804" s="153"/>
      <c r="J804" s="153"/>
      <c r="K804" s="153"/>
      <c r="L804" s="153"/>
      <c r="M804" s="153"/>
      <c r="N804" s="153"/>
      <c r="O804" s="44"/>
      <c r="P804" s="44"/>
    </row>
    <row r="805" spans="1:16" x14ac:dyDescent="0.2">
      <c r="A805" s="58" t="str">
        <v/>
      </c>
      <c r="B805" s="131" t="str">
        <f>IFERROR(TIMEVALUE(DaqBook_RAW_Data!AG795),IFERROR(TIMEVALUE(DaqBook_RAW_Data!A795),""))</f>
        <v/>
      </c>
      <c r="C805" s="153"/>
      <c r="D805" s="153"/>
      <c r="E805" s="153"/>
      <c r="F805" s="153"/>
      <c r="G805" s="153"/>
      <c r="H805" s="153"/>
      <c r="I805" s="153"/>
      <c r="J805" s="153"/>
      <c r="K805" s="153"/>
      <c r="L805" s="153"/>
      <c r="M805" s="153"/>
      <c r="N805" s="153"/>
      <c r="O805" s="44"/>
      <c r="P805" s="44"/>
    </row>
    <row r="806" spans="1:16" x14ac:dyDescent="0.2">
      <c r="A806" s="58" t="str">
        <v/>
      </c>
      <c r="B806" s="131" t="str">
        <f>IFERROR(TIMEVALUE(DaqBook_RAW_Data!AG796),IFERROR(TIMEVALUE(DaqBook_RAW_Data!A796),""))</f>
        <v/>
      </c>
      <c r="C806" s="153"/>
      <c r="D806" s="153"/>
      <c r="E806" s="153"/>
      <c r="F806" s="153"/>
      <c r="G806" s="153"/>
      <c r="H806" s="153"/>
      <c r="I806" s="153"/>
      <c r="J806" s="153"/>
      <c r="K806" s="153"/>
      <c r="L806" s="153"/>
      <c r="M806" s="153"/>
      <c r="N806" s="153"/>
      <c r="O806" s="44"/>
      <c r="P806" s="44"/>
    </row>
    <row r="807" spans="1:16" x14ac:dyDescent="0.2">
      <c r="A807" s="58" t="str">
        <v/>
      </c>
      <c r="B807" s="131" t="str">
        <f>IFERROR(TIMEVALUE(DaqBook_RAW_Data!AG797),IFERROR(TIMEVALUE(DaqBook_RAW_Data!A797),""))</f>
        <v/>
      </c>
      <c r="C807" s="153"/>
      <c r="D807" s="153"/>
      <c r="E807" s="153"/>
      <c r="F807" s="153"/>
      <c r="G807" s="153"/>
      <c r="H807" s="153"/>
      <c r="I807" s="153"/>
      <c r="J807" s="153"/>
      <c r="K807" s="153"/>
      <c r="L807" s="153"/>
      <c r="M807" s="153"/>
      <c r="N807" s="153"/>
      <c r="O807" s="44"/>
      <c r="P807" s="44"/>
    </row>
    <row r="808" spans="1:16" x14ac:dyDescent="0.2">
      <c r="A808" s="58" t="str">
        <v/>
      </c>
      <c r="B808" s="131" t="str">
        <f>IFERROR(TIMEVALUE(DaqBook_RAW_Data!AG798),IFERROR(TIMEVALUE(DaqBook_RAW_Data!A798),""))</f>
        <v/>
      </c>
      <c r="C808" s="153"/>
      <c r="D808" s="153"/>
      <c r="E808" s="153"/>
      <c r="F808" s="153"/>
      <c r="G808" s="153"/>
      <c r="H808" s="153"/>
      <c r="I808" s="153"/>
      <c r="J808" s="153"/>
      <c r="K808" s="153"/>
      <c r="L808" s="153"/>
      <c r="M808" s="153"/>
      <c r="N808" s="153"/>
      <c r="O808" s="44"/>
      <c r="P808" s="44"/>
    </row>
    <row r="809" spans="1:16" x14ac:dyDescent="0.2">
      <c r="A809" s="58" t="str">
        <v/>
      </c>
      <c r="B809" s="131" t="str">
        <f>IFERROR(TIMEVALUE(DaqBook_RAW_Data!AG799),IFERROR(TIMEVALUE(DaqBook_RAW_Data!A799),""))</f>
        <v/>
      </c>
      <c r="C809" s="153"/>
      <c r="D809" s="153"/>
      <c r="E809" s="153"/>
      <c r="F809" s="153"/>
      <c r="G809" s="153"/>
      <c r="H809" s="153"/>
      <c r="I809" s="153"/>
      <c r="J809" s="153"/>
      <c r="K809" s="153"/>
      <c r="L809" s="153"/>
      <c r="M809" s="153"/>
      <c r="N809" s="153"/>
      <c r="O809" s="44"/>
      <c r="P809" s="44"/>
    </row>
    <row r="810" spans="1:16" x14ac:dyDescent="0.2">
      <c r="A810" s="58" t="str">
        <v/>
      </c>
      <c r="B810" s="131" t="str">
        <f>IFERROR(TIMEVALUE(DaqBook_RAW_Data!AG800),IFERROR(TIMEVALUE(DaqBook_RAW_Data!A800),""))</f>
        <v/>
      </c>
      <c r="C810" s="153"/>
      <c r="D810" s="153"/>
      <c r="E810" s="153"/>
      <c r="F810" s="153"/>
      <c r="G810" s="153"/>
      <c r="H810" s="153"/>
      <c r="I810" s="153"/>
      <c r="J810" s="153"/>
      <c r="K810" s="153"/>
      <c r="L810" s="153"/>
      <c r="M810" s="153"/>
      <c r="N810" s="153"/>
      <c r="O810" s="44"/>
      <c r="P810" s="44"/>
    </row>
    <row r="811" spans="1:16" x14ac:dyDescent="0.2">
      <c r="A811" s="58" t="str">
        <v/>
      </c>
      <c r="B811" s="131" t="str">
        <f>IFERROR(TIMEVALUE(DaqBook_RAW_Data!AG801),IFERROR(TIMEVALUE(DaqBook_RAW_Data!A801),""))</f>
        <v/>
      </c>
      <c r="C811" s="153"/>
      <c r="D811" s="153"/>
      <c r="E811" s="153"/>
      <c r="F811" s="153"/>
      <c r="G811" s="153"/>
      <c r="H811" s="153"/>
      <c r="I811" s="153"/>
      <c r="J811" s="153"/>
      <c r="K811" s="153"/>
      <c r="L811" s="153"/>
      <c r="M811" s="153"/>
      <c r="N811" s="153"/>
      <c r="O811" s="44"/>
      <c r="P811" s="44"/>
    </row>
    <row r="812" spans="1:16" x14ac:dyDescent="0.2">
      <c r="A812" s="58" t="str">
        <v/>
      </c>
      <c r="B812" s="131" t="str">
        <f>IFERROR(TIMEVALUE(DaqBook_RAW_Data!AG802),IFERROR(TIMEVALUE(DaqBook_RAW_Data!A802),""))</f>
        <v/>
      </c>
      <c r="C812" s="153"/>
      <c r="D812" s="153"/>
      <c r="E812" s="153"/>
      <c r="F812" s="153"/>
      <c r="G812" s="153"/>
      <c r="H812" s="153"/>
      <c r="I812" s="153"/>
      <c r="J812" s="153"/>
      <c r="K812" s="153"/>
      <c r="L812" s="153"/>
      <c r="M812" s="153"/>
      <c r="N812" s="153"/>
      <c r="O812" s="44"/>
      <c r="P812" s="44"/>
    </row>
    <row r="813" spans="1:16" x14ac:dyDescent="0.2">
      <c r="A813" s="58" t="str">
        <v/>
      </c>
      <c r="B813" s="131" t="str">
        <f>IFERROR(TIMEVALUE(DaqBook_RAW_Data!AG803),IFERROR(TIMEVALUE(DaqBook_RAW_Data!A803),""))</f>
        <v/>
      </c>
      <c r="C813" s="153"/>
      <c r="D813" s="153"/>
      <c r="E813" s="153"/>
      <c r="F813" s="153"/>
      <c r="G813" s="153"/>
      <c r="H813" s="153"/>
      <c r="I813" s="153"/>
      <c r="J813" s="153"/>
      <c r="K813" s="153"/>
      <c r="L813" s="153"/>
      <c r="M813" s="153"/>
      <c r="N813" s="153"/>
      <c r="O813" s="44"/>
      <c r="P813" s="44"/>
    </row>
    <row r="814" spans="1:16" x14ac:dyDescent="0.2">
      <c r="A814" s="58" t="str">
        <v/>
      </c>
      <c r="B814" s="131" t="str">
        <f>IFERROR(TIMEVALUE(DaqBook_RAW_Data!AG804),IFERROR(TIMEVALUE(DaqBook_RAW_Data!A804),""))</f>
        <v/>
      </c>
      <c r="C814" s="153"/>
      <c r="D814" s="153"/>
      <c r="E814" s="153"/>
      <c r="F814" s="153"/>
      <c r="G814" s="153"/>
      <c r="H814" s="153"/>
      <c r="I814" s="153"/>
      <c r="J814" s="153"/>
      <c r="K814" s="153"/>
      <c r="L814" s="153"/>
      <c r="M814" s="153"/>
      <c r="N814" s="153"/>
      <c r="O814" s="44"/>
      <c r="P814" s="44"/>
    </row>
    <row r="815" spans="1:16" x14ac:dyDescent="0.2">
      <c r="A815" s="58" t="str">
        <v/>
      </c>
      <c r="B815" s="131" t="str">
        <f>IFERROR(TIMEVALUE(DaqBook_RAW_Data!AG805),IFERROR(TIMEVALUE(DaqBook_RAW_Data!A805),""))</f>
        <v/>
      </c>
      <c r="C815" s="153"/>
      <c r="D815" s="153"/>
      <c r="E815" s="153"/>
      <c r="F815" s="153"/>
      <c r="G815" s="153"/>
      <c r="H815" s="153"/>
      <c r="I815" s="153"/>
      <c r="J815" s="153"/>
      <c r="K815" s="153"/>
      <c r="L815" s="153"/>
      <c r="M815" s="153"/>
      <c r="N815" s="153"/>
      <c r="O815" s="44"/>
      <c r="P815" s="44"/>
    </row>
    <row r="816" spans="1:16" x14ac:dyDescent="0.2">
      <c r="A816" s="58" t="str">
        <v/>
      </c>
      <c r="B816" s="131" t="str">
        <f>IFERROR(TIMEVALUE(DaqBook_RAW_Data!AG806),IFERROR(TIMEVALUE(DaqBook_RAW_Data!A806),""))</f>
        <v/>
      </c>
      <c r="C816" s="153"/>
      <c r="D816" s="153"/>
      <c r="E816" s="153"/>
      <c r="F816" s="153"/>
      <c r="G816" s="153"/>
      <c r="H816" s="153"/>
      <c r="I816" s="153"/>
      <c r="J816" s="153"/>
      <c r="K816" s="153"/>
      <c r="L816" s="153"/>
      <c r="M816" s="153"/>
      <c r="N816" s="153"/>
      <c r="O816" s="44"/>
      <c r="P816" s="44"/>
    </row>
    <row r="817" spans="1:16" x14ac:dyDescent="0.2">
      <c r="A817" s="58" t="str">
        <v/>
      </c>
      <c r="B817" s="131" t="str">
        <f>IFERROR(TIMEVALUE(DaqBook_RAW_Data!AG807),IFERROR(TIMEVALUE(DaqBook_RAW_Data!A807),""))</f>
        <v/>
      </c>
      <c r="C817" s="153"/>
      <c r="D817" s="153"/>
      <c r="E817" s="153"/>
      <c r="F817" s="153"/>
      <c r="G817" s="153"/>
      <c r="H817" s="153"/>
      <c r="I817" s="153"/>
      <c r="J817" s="153"/>
      <c r="K817" s="153"/>
      <c r="L817" s="153"/>
      <c r="M817" s="153"/>
      <c r="N817" s="153"/>
      <c r="O817" s="44"/>
      <c r="P817" s="44"/>
    </row>
    <row r="818" spans="1:16" x14ac:dyDescent="0.2">
      <c r="A818" s="58" t="str">
        <v/>
      </c>
      <c r="B818" s="131" t="str">
        <f>IFERROR(TIMEVALUE(DaqBook_RAW_Data!AG808),IFERROR(TIMEVALUE(DaqBook_RAW_Data!A808),""))</f>
        <v/>
      </c>
      <c r="C818" s="153"/>
      <c r="D818" s="153"/>
      <c r="E818" s="153"/>
      <c r="F818" s="153"/>
      <c r="G818" s="153"/>
      <c r="H818" s="153"/>
      <c r="I818" s="153"/>
      <c r="J818" s="153"/>
      <c r="K818" s="153"/>
      <c r="L818" s="153"/>
      <c r="M818" s="153"/>
      <c r="N818" s="153"/>
      <c r="O818" s="44"/>
      <c r="P818" s="44"/>
    </row>
    <row r="819" spans="1:16" x14ac:dyDescent="0.2">
      <c r="A819" s="58" t="str">
        <v/>
      </c>
      <c r="B819" s="131" t="str">
        <f>IFERROR(TIMEVALUE(DaqBook_RAW_Data!AG809),IFERROR(TIMEVALUE(DaqBook_RAW_Data!A809),""))</f>
        <v/>
      </c>
      <c r="C819" s="153"/>
      <c r="D819" s="153"/>
      <c r="E819" s="153"/>
      <c r="F819" s="153"/>
      <c r="G819" s="153"/>
      <c r="H819" s="153"/>
      <c r="I819" s="153"/>
      <c r="J819" s="153"/>
      <c r="K819" s="153"/>
      <c r="L819" s="153"/>
      <c r="M819" s="153"/>
      <c r="N819" s="153"/>
      <c r="O819" s="44"/>
      <c r="P819" s="44"/>
    </row>
    <row r="820" spans="1:16" x14ac:dyDescent="0.2">
      <c r="A820" s="58" t="str">
        <v/>
      </c>
      <c r="B820" s="131" t="str">
        <f>IFERROR(TIMEVALUE(DaqBook_RAW_Data!AG810),IFERROR(TIMEVALUE(DaqBook_RAW_Data!A810),""))</f>
        <v/>
      </c>
      <c r="C820" s="153"/>
      <c r="D820" s="153"/>
      <c r="E820" s="153"/>
      <c r="F820" s="153"/>
      <c r="G820" s="153"/>
      <c r="H820" s="153"/>
      <c r="I820" s="153"/>
      <c r="J820" s="153"/>
      <c r="K820" s="153"/>
      <c r="L820" s="153"/>
      <c r="M820" s="153"/>
      <c r="N820" s="153"/>
      <c r="O820" s="44"/>
      <c r="P820" s="44"/>
    </row>
    <row r="821" spans="1:16" x14ac:dyDescent="0.2">
      <c r="A821" s="58" t="str">
        <v/>
      </c>
      <c r="B821" s="131" t="str">
        <f>IFERROR(TIMEVALUE(DaqBook_RAW_Data!AG811),IFERROR(TIMEVALUE(DaqBook_RAW_Data!A811),""))</f>
        <v/>
      </c>
      <c r="C821" s="153"/>
      <c r="D821" s="153"/>
      <c r="E821" s="153"/>
      <c r="F821" s="153"/>
      <c r="G821" s="153"/>
      <c r="H821" s="153"/>
      <c r="I821" s="153"/>
      <c r="J821" s="153"/>
      <c r="K821" s="153"/>
      <c r="L821" s="153"/>
      <c r="M821" s="153"/>
      <c r="N821" s="153"/>
      <c r="O821" s="44"/>
      <c r="P821" s="44"/>
    </row>
    <row r="822" spans="1:16" x14ac:dyDescent="0.2">
      <c r="A822" s="58" t="str">
        <v/>
      </c>
      <c r="B822" s="131" t="str">
        <f>IFERROR(TIMEVALUE(DaqBook_RAW_Data!AG812),IFERROR(TIMEVALUE(DaqBook_RAW_Data!A812),""))</f>
        <v/>
      </c>
      <c r="C822" s="153"/>
      <c r="D822" s="153"/>
      <c r="E822" s="153"/>
      <c r="F822" s="153"/>
      <c r="G822" s="153"/>
      <c r="H822" s="153"/>
      <c r="I822" s="153"/>
      <c r="J822" s="153"/>
      <c r="K822" s="153"/>
      <c r="L822" s="153"/>
      <c r="M822" s="153"/>
      <c r="N822" s="153"/>
      <c r="O822" s="44"/>
      <c r="P822" s="44"/>
    </row>
    <row r="823" spans="1:16" x14ac:dyDescent="0.2">
      <c r="A823" s="58" t="str">
        <v/>
      </c>
      <c r="B823" s="131" t="str">
        <f>IFERROR(TIMEVALUE(DaqBook_RAW_Data!AG813),IFERROR(TIMEVALUE(DaqBook_RAW_Data!A813),""))</f>
        <v/>
      </c>
      <c r="C823" s="153"/>
      <c r="D823" s="153"/>
      <c r="E823" s="153"/>
      <c r="F823" s="153"/>
      <c r="G823" s="153"/>
      <c r="H823" s="153"/>
      <c r="I823" s="153"/>
      <c r="J823" s="153"/>
      <c r="K823" s="153"/>
      <c r="L823" s="153"/>
      <c r="M823" s="153"/>
      <c r="N823" s="153"/>
      <c r="O823" s="44"/>
      <c r="P823" s="44"/>
    </row>
    <row r="824" spans="1:16" x14ac:dyDescent="0.2">
      <c r="A824" s="58" t="str">
        <v/>
      </c>
      <c r="B824" s="131" t="str">
        <f>IFERROR(TIMEVALUE(DaqBook_RAW_Data!AG814),IFERROR(TIMEVALUE(DaqBook_RAW_Data!A814),""))</f>
        <v/>
      </c>
      <c r="C824" s="153"/>
      <c r="D824" s="153"/>
      <c r="E824" s="153"/>
      <c r="F824" s="153"/>
      <c r="G824" s="153"/>
      <c r="H824" s="153"/>
      <c r="I824" s="153"/>
      <c r="J824" s="153"/>
      <c r="K824" s="153"/>
      <c r="L824" s="153"/>
      <c r="M824" s="153"/>
      <c r="N824" s="153"/>
      <c r="O824" s="44"/>
      <c r="P824" s="44"/>
    </row>
    <row r="825" spans="1:16" x14ac:dyDescent="0.2">
      <c r="A825" s="58" t="str">
        <v/>
      </c>
      <c r="B825" s="131" t="str">
        <f>IFERROR(TIMEVALUE(DaqBook_RAW_Data!AG815),IFERROR(TIMEVALUE(DaqBook_RAW_Data!A815),""))</f>
        <v/>
      </c>
      <c r="C825" s="153"/>
      <c r="D825" s="153"/>
      <c r="E825" s="153"/>
      <c r="F825" s="153"/>
      <c r="G825" s="153"/>
      <c r="H825" s="153"/>
      <c r="I825" s="153"/>
      <c r="J825" s="153"/>
      <c r="K825" s="153"/>
      <c r="L825" s="153"/>
      <c r="M825" s="153"/>
      <c r="N825" s="153"/>
      <c r="O825" s="44"/>
      <c r="P825" s="44"/>
    </row>
    <row r="826" spans="1:16" x14ac:dyDescent="0.2">
      <c r="A826" s="58" t="str">
        <v/>
      </c>
      <c r="B826" s="131" t="str">
        <f>IFERROR(TIMEVALUE(DaqBook_RAW_Data!AG816),IFERROR(TIMEVALUE(DaqBook_RAW_Data!A816),""))</f>
        <v/>
      </c>
      <c r="C826" s="153"/>
      <c r="D826" s="153"/>
      <c r="E826" s="153"/>
      <c r="F826" s="153"/>
      <c r="G826" s="153"/>
      <c r="H826" s="153"/>
      <c r="I826" s="153"/>
      <c r="J826" s="153"/>
      <c r="K826" s="153"/>
      <c r="L826" s="153"/>
      <c r="M826" s="153"/>
      <c r="N826" s="153"/>
      <c r="O826" s="44"/>
      <c r="P826" s="44"/>
    </row>
    <row r="827" spans="1:16" x14ac:dyDescent="0.2">
      <c r="A827" s="58" t="str">
        <v/>
      </c>
      <c r="B827" s="131" t="str">
        <f>IFERROR(TIMEVALUE(DaqBook_RAW_Data!AG817),IFERROR(TIMEVALUE(DaqBook_RAW_Data!A817),""))</f>
        <v/>
      </c>
      <c r="C827" s="153"/>
      <c r="D827" s="153"/>
      <c r="E827" s="153"/>
      <c r="F827" s="153"/>
      <c r="G827" s="153"/>
      <c r="H827" s="153"/>
      <c r="I827" s="153"/>
      <c r="J827" s="153"/>
      <c r="K827" s="153"/>
      <c r="L827" s="153"/>
      <c r="M827" s="153"/>
      <c r="N827" s="153"/>
      <c r="O827" s="44"/>
      <c r="P827" s="44"/>
    </row>
    <row r="828" spans="1:16" x14ac:dyDescent="0.2">
      <c r="A828" s="58" t="str">
        <v/>
      </c>
      <c r="B828" s="131" t="str">
        <f>IFERROR(TIMEVALUE(DaqBook_RAW_Data!AG818),IFERROR(TIMEVALUE(DaqBook_RAW_Data!A818),""))</f>
        <v/>
      </c>
      <c r="C828" s="153"/>
      <c r="D828" s="153"/>
      <c r="E828" s="153"/>
      <c r="F828" s="153"/>
      <c r="G828" s="153"/>
      <c r="H828" s="153"/>
      <c r="I828" s="153"/>
      <c r="J828" s="153"/>
      <c r="K828" s="153"/>
      <c r="L828" s="153"/>
      <c r="M828" s="153"/>
      <c r="N828" s="153"/>
      <c r="O828" s="44"/>
      <c r="P828" s="44"/>
    </row>
    <row r="829" spans="1:16" x14ac:dyDescent="0.2">
      <c r="A829" s="58" t="str">
        <v/>
      </c>
      <c r="B829" s="131" t="str">
        <f>IFERROR(TIMEVALUE(DaqBook_RAW_Data!AG819),IFERROR(TIMEVALUE(DaqBook_RAW_Data!A819),""))</f>
        <v/>
      </c>
      <c r="C829" s="153"/>
      <c r="D829" s="153"/>
      <c r="E829" s="153"/>
      <c r="F829" s="153"/>
      <c r="G829" s="153"/>
      <c r="H829" s="153"/>
      <c r="I829" s="153"/>
      <c r="J829" s="153"/>
      <c r="K829" s="153"/>
      <c r="L829" s="153"/>
      <c r="M829" s="153"/>
      <c r="N829" s="153"/>
      <c r="O829" s="44"/>
      <c r="P829" s="44"/>
    </row>
    <row r="830" spans="1:16" x14ac:dyDescent="0.2">
      <c r="A830" s="58" t="str">
        <v/>
      </c>
      <c r="B830" s="131" t="str">
        <f>IFERROR(TIMEVALUE(DaqBook_RAW_Data!AG820),IFERROR(TIMEVALUE(DaqBook_RAW_Data!A820),""))</f>
        <v/>
      </c>
      <c r="C830" s="153"/>
      <c r="D830" s="153"/>
      <c r="E830" s="153"/>
      <c r="F830" s="153"/>
      <c r="G830" s="153"/>
      <c r="H830" s="153"/>
      <c r="I830" s="153"/>
      <c r="J830" s="153"/>
      <c r="K830" s="153"/>
      <c r="L830" s="153"/>
      <c r="M830" s="153"/>
      <c r="N830" s="153"/>
      <c r="O830" s="44"/>
      <c r="P830" s="44"/>
    </row>
    <row r="831" spans="1:16" x14ac:dyDescent="0.2">
      <c r="A831" s="58" t="str">
        <v/>
      </c>
      <c r="B831" s="131" t="str">
        <f>IFERROR(TIMEVALUE(DaqBook_RAW_Data!AG821),IFERROR(TIMEVALUE(DaqBook_RAW_Data!A821),""))</f>
        <v/>
      </c>
      <c r="C831" s="153"/>
      <c r="D831" s="153"/>
      <c r="E831" s="153"/>
      <c r="F831" s="153"/>
      <c r="G831" s="153"/>
      <c r="H831" s="153"/>
      <c r="I831" s="153"/>
      <c r="J831" s="153"/>
      <c r="K831" s="153"/>
      <c r="L831" s="153"/>
      <c r="M831" s="153"/>
      <c r="N831" s="153"/>
      <c r="O831" s="44"/>
      <c r="P831" s="44"/>
    </row>
    <row r="832" spans="1:16" x14ac:dyDescent="0.2">
      <c r="A832" s="58" t="str">
        <v/>
      </c>
      <c r="B832" s="131" t="str">
        <f>IFERROR(TIMEVALUE(DaqBook_RAW_Data!AG822),IFERROR(TIMEVALUE(DaqBook_RAW_Data!A822),""))</f>
        <v/>
      </c>
      <c r="C832" s="153"/>
      <c r="D832" s="153"/>
      <c r="E832" s="153"/>
      <c r="F832" s="153"/>
      <c r="G832" s="153"/>
      <c r="H832" s="153"/>
      <c r="I832" s="153"/>
      <c r="J832" s="153"/>
      <c r="K832" s="153"/>
      <c r="L832" s="153"/>
      <c r="M832" s="153"/>
      <c r="N832" s="153"/>
      <c r="O832" s="44"/>
      <c r="P832" s="44"/>
    </row>
    <row r="833" spans="1:16" x14ac:dyDescent="0.2">
      <c r="A833" s="58" t="str">
        <v/>
      </c>
      <c r="B833" s="131" t="str">
        <f>IFERROR(TIMEVALUE(DaqBook_RAW_Data!AG823),IFERROR(TIMEVALUE(DaqBook_RAW_Data!A823),""))</f>
        <v/>
      </c>
      <c r="C833" s="153"/>
      <c r="D833" s="153"/>
      <c r="E833" s="153"/>
      <c r="F833" s="153"/>
      <c r="G833" s="153"/>
      <c r="H833" s="153"/>
      <c r="I833" s="153"/>
      <c r="J833" s="153"/>
      <c r="K833" s="153"/>
      <c r="L833" s="153"/>
      <c r="M833" s="153"/>
      <c r="N833" s="153"/>
      <c r="O833" s="44"/>
      <c r="P833" s="44"/>
    </row>
    <row r="834" spans="1:16" x14ac:dyDescent="0.2">
      <c r="A834" s="58" t="str">
        <v/>
      </c>
      <c r="B834" s="131" t="str">
        <f>IFERROR(TIMEVALUE(DaqBook_RAW_Data!AG824),IFERROR(TIMEVALUE(DaqBook_RAW_Data!A824),""))</f>
        <v/>
      </c>
      <c r="C834" s="153"/>
      <c r="D834" s="153"/>
      <c r="E834" s="153"/>
      <c r="F834" s="153"/>
      <c r="G834" s="153"/>
      <c r="H834" s="153"/>
      <c r="I834" s="153"/>
      <c r="J834" s="153"/>
      <c r="K834" s="153"/>
      <c r="L834" s="153"/>
      <c r="M834" s="153"/>
      <c r="N834" s="153"/>
      <c r="O834" s="44"/>
      <c r="P834" s="44"/>
    </row>
    <row r="835" spans="1:16" x14ac:dyDescent="0.2">
      <c r="A835" s="58" t="str">
        <v/>
      </c>
      <c r="B835" s="131" t="str">
        <f>IFERROR(TIMEVALUE(DaqBook_RAW_Data!AG825),IFERROR(TIMEVALUE(DaqBook_RAW_Data!A825),""))</f>
        <v/>
      </c>
      <c r="C835" s="153"/>
      <c r="D835" s="153"/>
      <c r="E835" s="153"/>
      <c r="F835" s="153"/>
      <c r="G835" s="153"/>
      <c r="H835" s="153"/>
      <c r="I835" s="153"/>
      <c r="J835" s="153"/>
      <c r="K835" s="153"/>
      <c r="L835" s="153"/>
      <c r="M835" s="153"/>
      <c r="N835" s="153"/>
      <c r="O835" s="44"/>
      <c r="P835" s="44"/>
    </row>
    <row r="836" spans="1:16" x14ac:dyDescent="0.2">
      <c r="A836" s="58" t="str">
        <v/>
      </c>
      <c r="B836" s="131" t="str">
        <f>IFERROR(TIMEVALUE(DaqBook_RAW_Data!AG826),IFERROR(TIMEVALUE(DaqBook_RAW_Data!A826),""))</f>
        <v/>
      </c>
      <c r="C836" s="153"/>
      <c r="D836" s="153"/>
      <c r="E836" s="153"/>
      <c r="F836" s="153"/>
      <c r="G836" s="153"/>
      <c r="H836" s="153"/>
      <c r="I836" s="153"/>
      <c r="J836" s="153"/>
      <c r="K836" s="153"/>
      <c r="L836" s="153"/>
      <c r="M836" s="153"/>
      <c r="N836" s="153"/>
      <c r="O836" s="44"/>
      <c r="P836" s="44"/>
    </row>
    <row r="837" spans="1:16" x14ac:dyDescent="0.2">
      <c r="A837" s="58" t="str">
        <v/>
      </c>
      <c r="B837" s="131" t="str">
        <f>IFERROR(TIMEVALUE(DaqBook_RAW_Data!AG827),IFERROR(TIMEVALUE(DaqBook_RAW_Data!A827),""))</f>
        <v/>
      </c>
      <c r="C837" s="153"/>
      <c r="D837" s="153"/>
      <c r="E837" s="153"/>
      <c r="F837" s="153"/>
      <c r="G837" s="153"/>
      <c r="H837" s="153"/>
      <c r="I837" s="153"/>
      <c r="J837" s="153"/>
      <c r="K837" s="153"/>
      <c r="L837" s="153"/>
      <c r="M837" s="153"/>
      <c r="N837" s="153"/>
      <c r="O837" s="44"/>
      <c r="P837" s="44"/>
    </row>
    <row r="838" spans="1:16" x14ac:dyDescent="0.2">
      <c r="A838" s="58" t="str">
        <v/>
      </c>
      <c r="B838" s="131" t="str">
        <f>IFERROR(TIMEVALUE(DaqBook_RAW_Data!AG828),IFERROR(TIMEVALUE(DaqBook_RAW_Data!A828),""))</f>
        <v/>
      </c>
      <c r="C838" s="153"/>
      <c r="D838" s="153"/>
      <c r="E838" s="153"/>
      <c r="F838" s="153"/>
      <c r="G838" s="153"/>
      <c r="H838" s="153"/>
      <c r="I838" s="153"/>
      <c r="J838" s="153"/>
      <c r="K838" s="153"/>
      <c r="L838" s="153"/>
      <c r="M838" s="153"/>
      <c r="N838" s="153"/>
      <c r="O838" s="44"/>
      <c r="P838" s="44"/>
    </row>
    <row r="839" spans="1:16" x14ac:dyDescent="0.2">
      <c r="A839" s="58" t="str">
        <v/>
      </c>
      <c r="B839" s="131" t="str">
        <f>IFERROR(TIMEVALUE(DaqBook_RAW_Data!AG829),IFERROR(TIMEVALUE(DaqBook_RAW_Data!A829),""))</f>
        <v/>
      </c>
      <c r="C839" s="153"/>
      <c r="D839" s="153"/>
      <c r="E839" s="153"/>
      <c r="F839" s="153"/>
      <c r="G839" s="153"/>
      <c r="H839" s="153"/>
      <c r="I839" s="153"/>
      <c r="J839" s="153"/>
      <c r="K839" s="153"/>
      <c r="L839" s="153"/>
      <c r="M839" s="153"/>
      <c r="N839" s="153"/>
      <c r="O839" s="44"/>
      <c r="P839" s="44"/>
    </row>
    <row r="840" spans="1:16" x14ac:dyDescent="0.2">
      <c r="A840" s="58" t="str">
        <v/>
      </c>
      <c r="B840" s="131" t="str">
        <f>IFERROR(TIMEVALUE(DaqBook_RAW_Data!AG830),IFERROR(TIMEVALUE(DaqBook_RAW_Data!A830),""))</f>
        <v/>
      </c>
      <c r="C840" s="153"/>
      <c r="D840" s="153"/>
      <c r="E840" s="153"/>
      <c r="F840" s="153"/>
      <c r="G840" s="153"/>
      <c r="H840" s="153"/>
      <c r="I840" s="153"/>
      <c r="J840" s="153"/>
      <c r="K840" s="153"/>
      <c r="L840" s="153"/>
      <c r="M840" s="153"/>
      <c r="N840" s="153"/>
      <c r="O840" s="44"/>
      <c r="P840" s="44"/>
    </row>
    <row r="841" spans="1:16" x14ac:dyDescent="0.2">
      <c r="A841" s="58" t="str">
        <v/>
      </c>
      <c r="B841" s="131" t="str">
        <f>IFERROR(TIMEVALUE(DaqBook_RAW_Data!AG831),IFERROR(TIMEVALUE(DaqBook_RAW_Data!A831),""))</f>
        <v/>
      </c>
      <c r="C841" s="153"/>
      <c r="D841" s="153"/>
      <c r="E841" s="153"/>
      <c r="F841" s="153"/>
      <c r="G841" s="153"/>
      <c r="H841" s="153"/>
      <c r="I841" s="153"/>
      <c r="J841" s="153"/>
      <c r="K841" s="153"/>
      <c r="L841" s="153"/>
      <c r="M841" s="153"/>
      <c r="N841" s="153"/>
      <c r="O841" s="44"/>
      <c r="P841" s="44"/>
    </row>
    <row r="842" spans="1:16" x14ac:dyDescent="0.2">
      <c r="A842" s="58" t="str">
        <v/>
      </c>
      <c r="B842" s="131" t="str">
        <f>IFERROR(TIMEVALUE(DaqBook_RAW_Data!AG832),IFERROR(TIMEVALUE(DaqBook_RAW_Data!A832),""))</f>
        <v/>
      </c>
      <c r="C842" s="153"/>
      <c r="D842" s="153"/>
      <c r="E842" s="153"/>
      <c r="F842" s="153"/>
      <c r="G842" s="153"/>
      <c r="H842" s="153"/>
      <c r="I842" s="153"/>
      <c r="J842" s="153"/>
      <c r="K842" s="153"/>
      <c r="L842" s="153"/>
      <c r="M842" s="153"/>
      <c r="N842" s="153"/>
      <c r="O842" s="44"/>
      <c r="P842" s="44"/>
    </row>
    <row r="843" spans="1:16" x14ac:dyDescent="0.2">
      <c r="A843" s="58" t="str">
        <v/>
      </c>
      <c r="B843" s="131" t="str">
        <f>IFERROR(TIMEVALUE(DaqBook_RAW_Data!AG833),IFERROR(TIMEVALUE(DaqBook_RAW_Data!A833),""))</f>
        <v/>
      </c>
      <c r="C843" s="153"/>
      <c r="D843" s="153"/>
      <c r="E843" s="153"/>
      <c r="F843" s="153"/>
      <c r="G843" s="153"/>
      <c r="H843" s="153"/>
      <c r="I843" s="153"/>
      <c r="J843" s="153"/>
      <c r="K843" s="153"/>
      <c r="L843" s="153"/>
      <c r="M843" s="153"/>
      <c r="N843" s="153"/>
      <c r="O843" s="44"/>
      <c r="P843" s="44"/>
    </row>
    <row r="844" spans="1:16" x14ac:dyDescent="0.2">
      <c r="A844" s="58" t="str">
        <v/>
      </c>
      <c r="B844" s="131" t="str">
        <f>IFERROR(TIMEVALUE(DaqBook_RAW_Data!AG834),IFERROR(TIMEVALUE(DaqBook_RAW_Data!A834),""))</f>
        <v/>
      </c>
      <c r="C844" s="153"/>
      <c r="D844" s="153"/>
      <c r="E844" s="153"/>
      <c r="F844" s="153"/>
      <c r="G844" s="153"/>
      <c r="H844" s="153"/>
      <c r="I844" s="153"/>
      <c r="J844" s="153"/>
      <c r="K844" s="153"/>
      <c r="L844" s="153"/>
      <c r="M844" s="153"/>
      <c r="N844" s="153"/>
      <c r="O844" s="44"/>
      <c r="P844" s="44"/>
    </row>
    <row r="845" spans="1:16" x14ac:dyDescent="0.2">
      <c r="A845" s="58" t="str">
        <v/>
      </c>
      <c r="B845" s="131" t="str">
        <f>IFERROR(TIMEVALUE(DaqBook_RAW_Data!AG835),IFERROR(TIMEVALUE(DaqBook_RAW_Data!A835),""))</f>
        <v/>
      </c>
      <c r="C845" s="153"/>
      <c r="D845" s="153"/>
      <c r="E845" s="153"/>
      <c r="F845" s="153"/>
      <c r="G845" s="153"/>
      <c r="H845" s="153"/>
      <c r="I845" s="153"/>
      <c r="J845" s="153"/>
      <c r="K845" s="153"/>
      <c r="L845" s="153"/>
      <c r="M845" s="153"/>
      <c r="N845" s="153"/>
      <c r="O845" s="44"/>
      <c r="P845" s="44"/>
    </row>
    <row r="846" spans="1:16" x14ac:dyDescent="0.2">
      <c r="A846" s="58" t="str">
        <v/>
      </c>
      <c r="B846" s="131" t="str">
        <f>IFERROR(TIMEVALUE(DaqBook_RAW_Data!AG836),IFERROR(TIMEVALUE(DaqBook_RAW_Data!A836),""))</f>
        <v/>
      </c>
      <c r="C846" s="153"/>
      <c r="D846" s="153"/>
      <c r="E846" s="153"/>
      <c r="F846" s="153"/>
      <c r="G846" s="153"/>
      <c r="H846" s="153"/>
      <c r="I846" s="153"/>
      <c r="J846" s="153"/>
      <c r="K846" s="153"/>
      <c r="L846" s="153"/>
      <c r="M846" s="153"/>
      <c r="N846" s="153"/>
      <c r="O846" s="44"/>
      <c r="P846" s="44"/>
    </row>
    <row r="847" spans="1:16" x14ac:dyDescent="0.2">
      <c r="A847" s="58" t="str">
        <v/>
      </c>
      <c r="B847" s="131" t="str">
        <f>IFERROR(TIMEVALUE(DaqBook_RAW_Data!AG837),IFERROR(TIMEVALUE(DaqBook_RAW_Data!A837),""))</f>
        <v/>
      </c>
      <c r="C847" s="153"/>
      <c r="D847" s="153"/>
      <c r="E847" s="153"/>
      <c r="F847" s="153"/>
      <c r="G847" s="153"/>
      <c r="H847" s="153"/>
      <c r="I847" s="153"/>
      <c r="J847" s="153"/>
      <c r="K847" s="153"/>
      <c r="L847" s="153"/>
      <c r="M847" s="153"/>
      <c r="N847" s="153"/>
      <c r="O847" s="44"/>
      <c r="P847" s="44"/>
    </row>
    <row r="848" spans="1:16" x14ac:dyDescent="0.2">
      <c r="A848" s="58" t="str">
        <v/>
      </c>
      <c r="B848" s="131" t="str">
        <f>IFERROR(TIMEVALUE(DaqBook_RAW_Data!AG838),IFERROR(TIMEVALUE(DaqBook_RAW_Data!A838),""))</f>
        <v/>
      </c>
      <c r="C848" s="153"/>
      <c r="D848" s="153"/>
      <c r="E848" s="153"/>
      <c r="F848" s="153"/>
      <c r="G848" s="153"/>
      <c r="H848" s="153"/>
      <c r="I848" s="153"/>
      <c r="J848" s="153"/>
      <c r="K848" s="153"/>
      <c r="L848" s="153"/>
      <c r="M848" s="153"/>
      <c r="N848" s="153"/>
      <c r="O848" s="44"/>
      <c r="P848" s="44"/>
    </row>
    <row r="849" spans="1:16" x14ac:dyDescent="0.2">
      <c r="A849" s="58" t="str">
        <v/>
      </c>
      <c r="B849" s="131" t="str">
        <f>IFERROR(TIMEVALUE(DaqBook_RAW_Data!AG839),IFERROR(TIMEVALUE(DaqBook_RAW_Data!A839),""))</f>
        <v/>
      </c>
      <c r="C849" s="153"/>
      <c r="D849" s="153"/>
      <c r="E849" s="153"/>
      <c r="F849" s="153"/>
      <c r="G849" s="153"/>
      <c r="H849" s="153"/>
      <c r="I849" s="153"/>
      <c r="J849" s="153"/>
      <c r="K849" s="153"/>
      <c r="L849" s="153"/>
      <c r="M849" s="153"/>
      <c r="N849" s="153"/>
      <c r="O849" s="44"/>
      <c r="P849" s="44"/>
    </row>
    <row r="850" spans="1:16" x14ac:dyDescent="0.2">
      <c r="A850" s="58" t="str">
        <v/>
      </c>
      <c r="B850" s="131" t="str">
        <f>IFERROR(TIMEVALUE(DaqBook_RAW_Data!AG840),IFERROR(TIMEVALUE(DaqBook_RAW_Data!A840),""))</f>
        <v/>
      </c>
      <c r="C850" s="153"/>
      <c r="D850" s="153"/>
      <c r="E850" s="153"/>
      <c r="F850" s="153"/>
      <c r="G850" s="153"/>
      <c r="H850" s="153"/>
      <c r="I850" s="153"/>
      <c r="J850" s="153"/>
      <c r="K850" s="153"/>
      <c r="L850" s="153"/>
      <c r="M850" s="153"/>
      <c r="N850" s="153"/>
      <c r="O850" s="44"/>
      <c r="P850" s="44"/>
    </row>
    <row r="851" spans="1:16" x14ac:dyDescent="0.2">
      <c r="A851" s="58" t="str">
        <v/>
      </c>
      <c r="B851" s="131" t="str">
        <f>IFERROR(TIMEVALUE(DaqBook_RAW_Data!AG841),IFERROR(TIMEVALUE(DaqBook_RAW_Data!A841),""))</f>
        <v/>
      </c>
      <c r="C851" s="153"/>
      <c r="D851" s="153"/>
      <c r="E851" s="153"/>
      <c r="F851" s="153"/>
      <c r="G851" s="153"/>
      <c r="H851" s="153"/>
      <c r="I851" s="153"/>
      <c r="J851" s="153"/>
      <c r="K851" s="153"/>
      <c r="L851" s="153"/>
      <c r="M851" s="153"/>
      <c r="N851" s="153"/>
      <c r="O851" s="44"/>
      <c r="P851" s="44"/>
    </row>
    <row r="852" spans="1:16" x14ac:dyDescent="0.2">
      <c r="A852" s="58" t="str">
        <v/>
      </c>
      <c r="B852" s="131" t="str">
        <f>IFERROR(TIMEVALUE(DaqBook_RAW_Data!AG842),IFERROR(TIMEVALUE(DaqBook_RAW_Data!A842),""))</f>
        <v/>
      </c>
      <c r="C852" s="153"/>
      <c r="D852" s="153"/>
      <c r="E852" s="153"/>
      <c r="F852" s="153"/>
      <c r="G852" s="153"/>
      <c r="H852" s="153"/>
      <c r="I852" s="153"/>
      <c r="J852" s="153"/>
      <c r="K852" s="153"/>
      <c r="L852" s="153"/>
      <c r="M852" s="153"/>
      <c r="N852" s="153"/>
      <c r="O852" s="44"/>
      <c r="P852" s="44"/>
    </row>
    <row r="853" spans="1:16" x14ac:dyDescent="0.2">
      <c r="A853" s="58" t="str">
        <v/>
      </c>
      <c r="B853" s="131" t="str">
        <f>IFERROR(TIMEVALUE(DaqBook_RAW_Data!AG843),IFERROR(TIMEVALUE(DaqBook_RAW_Data!A843),""))</f>
        <v/>
      </c>
      <c r="C853" s="153"/>
      <c r="D853" s="153"/>
      <c r="E853" s="153"/>
      <c r="F853" s="153"/>
      <c r="G853" s="153"/>
      <c r="H853" s="153"/>
      <c r="I853" s="153"/>
      <c r="J853" s="153"/>
      <c r="K853" s="153"/>
      <c r="L853" s="153"/>
      <c r="M853" s="153"/>
      <c r="N853" s="153"/>
      <c r="O853" s="44"/>
      <c r="P853" s="44"/>
    </row>
    <row r="854" spans="1:16" x14ac:dyDescent="0.2">
      <c r="A854" s="58" t="str">
        <v/>
      </c>
      <c r="B854" s="131" t="str">
        <f>IFERROR(TIMEVALUE(DaqBook_RAW_Data!AG844),IFERROR(TIMEVALUE(DaqBook_RAW_Data!A844),""))</f>
        <v/>
      </c>
      <c r="C854" s="153"/>
      <c r="D854" s="153"/>
      <c r="E854" s="153"/>
      <c r="F854" s="153"/>
      <c r="G854" s="153"/>
      <c r="H854" s="153"/>
      <c r="I854" s="153"/>
      <c r="J854" s="153"/>
      <c r="K854" s="153"/>
      <c r="L854" s="153"/>
      <c r="M854" s="153"/>
      <c r="N854" s="153"/>
      <c r="O854" s="44"/>
      <c r="P854" s="44"/>
    </row>
    <row r="855" spans="1:16" x14ac:dyDescent="0.2">
      <c r="A855" s="58" t="str">
        <v/>
      </c>
      <c r="B855" s="131" t="str">
        <f>IFERROR(TIMEVALUE(DaqBook_RAW_Data!AG845),IFERROR(TIMEVALUE(DaqBook_RAW_Data!A845),""))</f>
        <v/>
      </c>
      <c r="C855" s="153"/>
      <c r="D855" s="153"/>
      <c r="E855" s="153"/>
      <c r="F855" s="153"/>
      <c r="G855" s="153"/>
      <c r="H855" s="153"/>
      <c r="I855" s="153"/>
      <c r="J855" s="153"/>
      <c r="K855" s="153"/>
      <c r="L855" s="153"/>
      <c r="M855" s="153"/>
      <c r="N855" s="153"/>
      <c r="O855" s="44"/>
      <c r="P855" s="44"/>
    </row>
    <row r="856" spans="1:16" x14ac:dyDescent="0.2">
      <c r="A856" s="58" t="str">
        <v/>
      </c>
      <c r="B856" s="131" t="str">
        <f>IFERROR(TIMEVALUE(DaqBook_RAW_Data!AG846),IFERROR(TIMEVALUE(DaqBook_RAW_Data!A846),""))</f>
        <v/>
      </c>
      <c r="C856" s="153"/>
      <c r="D856" s="153"/>
      <c r="E856" s="153"/>
      <c r="F856" s="153"/>
      <c r="G856" s="153"/>
      <c r="H856" s="153"/>
      <c r="I856" s="153"/>
      <c r="J856" s="153"/>
      <c r="K856" s="153"/>
      <c r="L856" s="153"/>
      <c r="M856" s="153"/>
      <c r="N856" s="153"/>
      <c r="O856" s="44"/>
      <c r="P856" s="44"/>
    </row>
    <row r="857" spans="1:16" x14ac:dyDescent="0.2">
      <c r="A857" s="58" t="str">
        <v/>
      </c>
      <c r="B857" s="131" t="str">
        <f>IFERROR(TIMEVALUE(DaqBook_RAW_Data!AG847),IFERROR(TIMEVALUE(DaqBook_RAW_Data!A847),""))</f>
        <v/>
      </c>
      <c r="C857" s="153"/>
      <c r="D857" s="153"/>
      <c r="E857" s="153"/>
      <c r="F857" s="153"/>
      <c r="G857" s="153"/>
      <c r="H857" s="153"/>
      <c r="I857" s="153"/>
      <c r="J857" s="153"/>
      <c r="K857" s="153"/>
      <c r="L857" s="153"/>
      <c r="M857" s="153"/>
      <c r="N857" s="153"/>
      <c r="O857" s="44"/>
      <c r="P857" s="44"/>
    </row>
    <row r="858" spans="1:16" x14ac:dyDescent="0.2">
      <c r="A858" s="58" t="str">
        <v/>
      </c>
      <c r="B858" s="131" t="str">
        <f>IFERROR(TIMEVALUE(DaqBook_RAW_Data!AG848),IFERROR(TIMEVALUE(DaqBook_RAW_Data!A848),""))</f>
        <v/>
      </c>
      <c r="C858" s="153"/>
      <c r="D858" s="153"/>
      <c r="E858" s="153"/>
      <c r="F858" s="153"/>
      <c r="G858" s="153"/>
      <c r="H858" s="153"/>
      <c r="I858" s="153"/>
      <c r="J858" s="153"/>
      <c r="K858" s="153"/>
      <c r="L858" s="153"/>
      <c r="M858" s="153"/>
      <c r="N858" s="153"/>
      <c r="O858" s="44"/>
      <c r="P858" s="44"/>
    </row>
    <row r="859" spans="1:16" x14ac:dyDescent="0.2">
      <c r="A859" s="58" t="str">
        <v/>
      </c>
      <c r="B859" s="131" t="str">
        <f>IFERROR(TIMEVALUE(DaqBook_RAW_Data!AG849),IFERROR(TIMEVALUE(DaqBook_RAW_Data!A849),""))</f>
        <v/>
      </c>
      <c r="C859" s="153"/>
      <c r="D859" s="153"/>
      <c r="E859" s="153"/>
      <c r="F859" s="153"/>
      <c r="G859" s="153"/>
      <c r="H859" s="153"/>
      <c r="I859" s="153"/>
      <c r="J859" s="153"/>
      <c r="K859" s="153"/>
      <c r="L859" s="153"/>
      <c r="M859" s="153"/>
      <c r="N859" s="153"/>
      <c r="O859" s="44"/>
      <c r="P859" s="44"/>
    </row>
    <row r="860" spans="1:16" x14ac:dyDescent="0.2">
      <c r="A860" s="58" t="str">
        <v/>
      </c>
      <c r="B860" s="131" t="str">
        <f>IFERROR(TIMEVALUE(DaqBook_RAW_Data!AG850),IFERROR(TIMEVALUE(DaqBook_RAW_Data!A850),""))</f>
        <v/>
      </c>
      <c r="C860" s="153"/>
      <c r="D860" s="153"/>
      <c r="E860" s="153"/>
      <c r="F860" s="153"/>
      <c r="G860" s="153"/>
      <c r="H860" s="153"/>
      <c r="I860" s="153"/>
      <c r="J860" s="153"/>
      <c r="K860" s="153"/>
      <c r="L860" s="153"/>
      <c r="M860" s="153"/>
      <c r="N860" s="153"/>
      <c r="O860" s="44"/>
      <c r="P860" s="44"/>
    </row>
    <row r="861" spans="1:16" x14ac:dyDescent="0.2">
      <c r="A861" s="58" t="str">
        <v/>
      </c>
      <c r="B861" s="131" t="str">
        <f>IFERROR(TIMEVALUE(DaqBook_RAW_Data!AG851),IFERROR(TIMEVALUE(DaqBook_RAW_Data!A851),""))</f>
        <v/>
      </c>
      <c r="C861" s="153"/>
      <c r="D861" s="153"/>
      <c r="E861" s="153"/>
      <c r="F861" s="153"/>
      <c r="G861" s="153"/>
      <c r="H861" s="153"/>
      <c r="I861" s="153"/>
      <c r="J861" s="153"/>
      <c r="K861" s="153"/>
      <c r="L861" s="153"/>
      <c r="M861" s="153"/>
      <c r="N861" s="153"/>
      <c r="O861" s="44"/>
      <c r="P861" s="44"/>
    </row>
    <row r="862" spans="1:16" x14ac:dyDescent="0.2">
      <c r="A862" s="58" t="str">
        <v/>
      </c>
      <c r="B862" s="131" t="str">
        <f>IFERROR(TIMEVALUE(DaqBook_RAW_Data!AG852),IFERROR(TIMEVALUE(DaqBook_RAW_Data!A852),""))</f>
        <v/>
      </c>
      <c r="C862" s="153"/>
      <c r="D862" s="153"/>
      <c r="E862" s="153"/>
      <c r="F862" s="153"/>
      <c r="G862" s="153"/>
      <c r="H862" s="153"/>
      <c r="I862" s="153"/>
      <c r="J862" s="153"/>
      <c r="K862" s="153"/>
      <c r="L862" s="153"/>
      <c r="M862" s="153"/>
      <c r="N862" s="153"/>
      <c r="O862" s="44"/>
      <c r="P862" s="44"/>
    </row>
    <row r="863" spans="1:16" x14ac:dyDescent="0.2">
      <c r="A863" s="58" t="str">
        <v/>
      </c>
      <c r="B863" s="131" t="str">
        <f>IFERROR(TIMEVALUE(DaqBook_RAW_Data!AG853),IFERROR(TIMEVALUE(DaqBook_RAW_Data!A853),""))</f>
        <v/>
      </c>
      <c r="C863" s="153"/>
      <c r="D863" s="153"/>
      <c r="E863" s="153"/>
      <c r="F863" s="153"/>
      <c r="G863" s="153"/>
      <c r="H863" s="153"/>
      <c r="I863" s="153"/>
      <c r="J863" s="153"/>
      <c r="K863" s="153"/>
      <c r="L863" s="153"/>
      <c r="M863" s="153"/>
      <c r="N863" s="153"/>
      <c r="O863" s="44"/>
      <c r="P863" s="44"/>
    </row>
    <row r="864" spans="1:16" x14ac:dyDescent="0.2">
      <c r="A864" s="58" t="str">
        <v/>
      </c>
      <c r="B864" s="131" t="str">
        <f>IFERROR(TIMEVALUE(DaqBook_RAW_Data!AG854),IFERROR(TIMEVALUE(DaqBook_RAW_Data!A854),""))</f>
        <v/>
      </c>
      <c r="C864" s="153"/>
      <c r="D864" s="153"/>
      <c r="E864" s="153"/>
      <c r="F864" s="153"/>
      <c r="G864" s="153"/>
      <c r="H864" s="153"/>
      <c r="I864" s="153"/>
      <c r="J864" s="153"/>
      <c r="K864" s="153"/>
      <c r="L864" s="153"/>
      <c r="M864" s="153"/>
      <c r="N864" s="153"/>
      <c r="O864" s="44"/>
      <c r="P864" s="44"/>
    </row>
    <row r="865" spans="1:16" x14ac:dyDescent="0.2">
      <c r="A865" s="58" t="str">
        <v/>
      </c>
      <c r="B865" s="131" t="str">
        <f>IFERROR(TIMEVALUE(DaqBook_RAW_Data!AG855),IFERROR(TIMEVALUE(DaqBook_RAW_Data!A855),""))</f>
        <v/>
      </c>
      <c r="C865" s="153"/>
      <c r="D865" s="153"/>
      <c r="E865" s="153"/>
      <c r="F865" s="153"/>
      <c r="G865" s="153"/>
      <c r="H865" s="153"/>
      <c r="I865" s="153"/>
      <c r="J865" s="153"/>
      <c r="K865" s="153"/>
      <c r="L865" s="153"/>
      <c r="M865" s="153"/>
      <c r="N865" s="153"/>
      <c r="O865" s="44"/>
      <c r="P865" s="44"/>
    </row>
    <row r="866" spans="1:16" x14ac:dyDescent="0.2">
      <c r="A866" s="58" t="str">
        <v/>
      </c>
      <c r="B866" s="131" t="str">
        <f>IFERROR(TIMEVALUE(DaqBook_RAW_Data!AG856),IFERROR(TIMEVALUE(DaqBook_RAW_Data!A856),""))</f>
        <v/>
      </c>
      <c r="C866" s="153"/>
      <c r="D866" s="153"/>
      <c r="E866" s="153"/>
      <c r="F866" s="153"/>
      <c r="G866" s="153"/>
      <c r="H866" s="153"/>
      <c r="I866" s="153"/>
      <c r="J866" s="153"/>
      <c r="K866" s="153"/>
      <c r="L866" s="153"/>
      <c r="M866" s="153"/>
      <c r="N866" s="153"/>
      <c r="O866" s="44"/>
      <c r="P866" s="44"/>
    </row>
    <row r="867" spans="1:16" x14ac:dyDescent="0.2">
      <c r="A867" s="58" t="str">
        <v/>
      </c>
      <c r="B867" s="131" t="str">
        <f>IFERROR(TIMEVALUE(DaqBook_RAW_Data!AG857),IFERROR(TIMEVALUE(DaqBook_RAW_Data!A857),""))</f>
        <v/>
      </c>
      <c r="C867" s="153"/>
      <c r="D867" s="153"/>
      <c r="E867" s="153"/>
      <c r="F867" s="153"/>
      <c r="G867" s="153"/>
      <c r="H867" s="153"/>
      <c r="I867" s="153"/>
      <c r="J867" s="153"/>
      <c r="K867" s="153"/>
      <c r="L867" s="153"/>
      <c r="M867" s="153"/>
      <c r="N867" s="153"/>
      <c r="O867" s="44"/>
      <c r="P867" s="44"/>
    </row>
    <row r="868" spans="1:16" x14ac:dyDescent="0.2">
      <c r="A868" s="58" t="str">
        <v/>
      </c>
      <c r="B868" s="131" t="str">
        <f>IFERROR(TIMEVALUE(DaqBook_RAW_Data!AG858),IFERROR(TIMEVALUE(DaqBook_RAW_Data!A858),""))</f>
        <v/>
      </c>
      <c r="C868" s="153"/>
      <c r="D868" s="153"/>
      <c r="E868" s="153"/>
      <c r="F868" s="153"/>
      <c r="G868" s="153"/>
      <c r="H868" s="153"/>
      <c r="I868" s="153"/>
      <c r="J868" s="153"/>
      <c r="K868" s="153"/>
      <c r="L868" s="153"/>
      <c r="M868" s="153"/>
      <c r="N868" s="153"/>
      <c r="O868" s="44"/>
      <c r="P868" s="44"/>
    </row>
    <row r="869" spans="1:16" x14ac:dyDescent="0.2">
      <c r="A869" s="58" t="str">
        <v/>
      </c>
      <c r="B869" s="131" t="str">
        <f>IFERROR(TIMEVALUE(DaqBook_RAW_Data!AG859),IFERROR(TIMEVALUE(DaqBook_RAW_Data!A859),""))</f>
        <v/>
      </c>
      <c r="C869" s="153"/>
      <c r="D869" s="153"/>
      <c r="E869" s="153"/>
      <c r="F869" s="153"/>
      <c r="G869" s="153"/>
      <c r="H869" s="153"/>
      <c r="I869" s="153"/>
      <c r="J869" s="153"/>
      <c r="K869" s="153"/>
      <c r="L869" s="153"/>
      <c r="M869" s="153"/>
      <c r="N869" s="153"/>
      <c r="O869" s="44"/>
      <c r="P869" s="44"/>
    </row>
    <row r="870" spans="1:16" x14ac:dyDescent="0.2">
      <c r="A870" s="58" t="str">
        <v/>
      </c>
      <c r="B870" s="131" t="str">
        <f>IFERROR(TIMEVALUE(DaqBook_RAW_Data!AG860),IFERROR(TIMEVALUE(DaqBook_RAW_Data!A860),""))</f>
        <v/>
      </c>
      <c r="C870" s="153"/>
      <c r="D870" s="153"/>
      <c r="E870" s="153"/>
      <c r="F870" s="153"/>
      <c r="G870" s="153"/>
      <c r="H870" s="153"/>
      <c r="I870" s="153"/>
      <c r="J870" s="153"/>
      <c r="K870" s="153"/>
      <c r="L870" s="153"/>
      <c r="M870" s="153"/>
      <c r="N870" s="153"/>
      <c r="O870" s="44"/>
      <c r="P870" s="44"/>
    </row>
    <row r="871" spans="1:16" x14ac:dyDescent="0.2">
      <c r="A871" s="58" t="str">
        <v/>
      </c>
      <c r="B871" s="131" t="str">
        <f>IFERROR(TIMEVALUE(DaqBook_RAW_Data!AG861),IFERROR(TIMEVALUE(DaqBook_RAW_Data!A861),""))</f>
        <v/>
      </c>
      <c r="C871" s="153"/>
      <c r="D871" s="153"/>
      <c r="E871" s="153"/>
      <c r="F871" s="153"/>
      <c r="G871" s="153"/>
      <c r="H871" s="153"/>
      <c r="I871" s="153"/>
      <c r="J871" s="153"/>
      <c r="K871" s="153"/>
      <c r="L871" s="153"/>
      <c r="M871" s="153"/>
      <c r="N871" s="153"/>
      <c r="O871" s="44"/>
      <c r="P871" s="44"/>
    </row>
    <row r="872" spans="1:16" x14ac:dyDescent="0.2">
      <c r="A872" s="58" t="str">
        <v/>
      </c>
      <c r="B872" s="131" t="str">
        <f>IFERROR(TIMEVALUE(DaqBook_RAW_Data!AG862),IFERROR(TIMEVALUE(DaqBook_RAW_Data!A862),""))</f>
        <v/>
      </c>
      <c r="C872" s="153"/>
      <c r="D872" s="153"/>
      <c r="E872" s="153"/>
      <c r="F872" s="153"/>
      <c r="G872" s="153"/>
      <c r="H872" s="153"/>
      <c r="I872" s="153"/>
      <c r="J872" s="153"/>
      <c r="K872" s="153"/>
      <c r="L872" s="153"/>
      <c r="M872" s="153"/>
      <c r="N872" s="153"/>
      <c r="O872" s="44"/>
      <c r="P872" s="44"/>
    </row>
    <row r="873" spans="1:16" x14ac:dyDescent="0.2">
      <c r="A873" s="58" t="str">
        <v/>
      </c>
      <c r="B873" s="131" t="str">
        <f>IFERROR(TIMEVALUE(DaqBook_RAW_Data!AG863),IFERROR(TIMEVALUE(DaqBook_RAW_Data!A863),""))</f>
        <v/>
      </c>
      <c r="C873" s="153"/>
      <c r="D873" s="153"/>
      <c r="E873" s="153"/>
      <c r="F873" s="153"/>
      <c r="G873" s="153"/>
      <c r="H873" s="153"/>
      <c r="I873" s="153"/>
      <c r="J873" s="153"/>
      <c r="K873" s="153"/>
      <c r="L873" s="153"/>
      <c r="M873" s="153"/>
      <c r="N873" s="153"/>
      <c r="O873" s="44"/>
      <c r="P873" s="44"/>
    </row>
    <row r="874" spans="1:16" x14ac:dyDescent="0.2">
      <c r="A874" s="58" t="str">
        <v/>
      </c>
      <c r="B874" s="131" t="str">
        <f>IFERROR(TIMEVALUE(DaqBook_RAW_Data!AG864),IFERROR(TIMEVALUE(DaqBook_RAW_Data!A864),""))</f>
        <v/>
      </c>
      <c r="C874" s="153"/>
      <c r="D874" s="153"/>
      <c r="E874" s="153"/>
      <c r="F874" s="153"/>
      <c r="G874" s="153"/>
      <c r="H874" s="153"/>
      <c r="I874" s="153"/>
      <c r="J874" s="153"/>
      <c r="K874" s="153"/>
      <c r="L874" s="153"/>
      <c r="M874" s="153"/>
      <c r="N874" s="153"/>
      <c r="O874" s="44"/>
      <c r="P874" s="44"/>
    </row>
    <row r="875" spans="1:16" x14ac:dyDescent="0.2">
      <c r="A875" s="58" t="str">
        <v/>
      </c>
      <c r="B875" s="131" t="str">
        <f>IFERROR(TIMEVALUE(DaqBook_RAW_Data!AG865),IFERROR(TIMEVALUE(DaqBook_RAW_Data!A865),""))</f>
        <v/>
      </c>
      <c r="C875" s="153"/>
      <c r="D875" s="153"/>
      <c r="E875" s="153"/>
      <c r="F875" s="153"/>
      <c r="G875" s="153"/>
      <c r="H875" s="153"/>
      <c r="I875" s="153"/>
      <c r="J875" s="153"/>
      <c r="K875" s="153"/>
      <c r="L875" s="153"/>
      <c r="M875" s="153"/>
      <c r="N875" s="153"/>
      <c r="O875" s="44"/>
      <c r="P875" s="44"/>
    </row>
    <row r="876" spans="1:16" x14ac:dyDescent="0.2">
      <c r="A876" s="58" t="str">
        <v/>
      </c>
      <c r="B876" s="131" t="str">
        <f>IFERROR(TIMEVALUE(DaqBook_RAW_Data!AG866),IFERROR(TIMEVALUE(DaqBook_RAW_Data!A866),""))</f>
        <v/>
      </c>
      <c r="C876" s="153"/>
      <c r="D876" s="153"/>
      <c r="E876" s="153"/>
      <c r="F876" s="153"/>
      <c r="G876" s="153"/>
      <c r="H876" s="153"/>
      <c r="I876" s="153"/>
      <c r="J876" s="153"/>
      <c r="K876" s="153"/>
      <c r="L876" s="153"/>
      <c r="M876" s="153"/>
      <c r="N876" s="153"/>
      <c r="O876" s="44"/>
      <c r="P876" s="44"/>
    </row>
    <row r="877" spans="1:16" x14ac:dyDescent="0.2">
      <c r="A877" s="58" t="str">
        <v/>
      </c>
      <c r="B877" s="131" t="str">
        <f>IFERROR(TIMEVALUE(DaqBook_RAW_Data!AG867),IFERROR(TIMEVALUE(DaqBook_RAW_Data!A867),""))</f>
        <v/>
      </c>
      <c r="C877" s="153"/>
      <c r="D877" s="153"/>
      <c r="E877" s="153"/>
      <c r="F877" s="153"/>
      <c r="G877" s="153"/>
      <c r="H877" s="153"/>
      <c r="I877" s="153"/>
      <c r="J877" s="153"/>
      <c r="K877" s="153"/>
      <c r="L877" s="153"/>
      <c r="M877" s="153"/>
      <c r="N877" s="153"/>
      <c r="O877" s="44"/>
      <c r="P877" s="44"/>
    </row>
    <row r="878" spans="1:16" x14ac:dyDescent="0.2">
      <c r="A878" s="58" t="str">
        <v/>
      </c>
      <c r="B878" s="131" t="str">
        <f>IFERROR(TIMEVALUE(DaqBook_RAW_Data!AG868),IFERROR(TIMEVALUE(DaqBook_RAW_Data!A868),""))</f>
        <v/>
      </c>
      <c r="C878" s="153"/>
      <c r="D878" s="153"/>
      <c r="E878" s="153"/>
      <c r="F878" s="153"/>
      <c r="G878" s="153"/>
      <c r="H878" s="153"/>
      <c r="I878" s="153"/>
      <c r="J878" s="153"/>
      <c r="K878" s="153"/>
      <c r="L878" s="153"/>
      <c r="M878" s="153"/>
      <c r="N878" s="153"/>
      <c r="O878" s="44"/>
      <c r="P878" s="44"/>
    </row>
    <row r="879" spans="1:16" x14ac:dyDescent="0.2">
      <c r="A879" s="58" t="str">
        <v/>
      </c>
      <c r="B879" s="131" t="str">
        <f>IFERROR(TIMEVALUE(DaqBook_RAW_Data!AG869),IFERROR(TIMEVALUE(DaqBook_RAW_Data!A869),""))</f>
        <v/>
      </c>
      <c r="C879" s="153"/>
      <c r="D879" s="153"/>
      <c r="E879" s="153"/>
      <c r="F879" s="153"/>
      <c r="G879" s="153"/>
      <c r="H879" s="153"/>
      <c r="I879" s="153"/>
      <c r="J879" s="153"/>
      <c r="K879" s="153"/>
      <c r="L879" s="153"/>
      <c r="M879" s="153"/>
      <c r="N879" s="153"/>
      <c r="O879" s="44"/>
      <c r="P879" s="44"/>
    </row>
    <row r="880" spans="1:16" x14ac:dyDescent="0.2">
      <c r="A880" s="58" t="str">
        <v/>
      </c>
      <c r="B880" s="131" t="str">
        <f>IFERROR(TIMEVALUE(DaqBook_RAW_Data!AG870),IFERROR(TIMEVALUE(DaqBook_RAW_Data!A870),""))</f>
        <v/>
      </c>
      <c r="C880" s="153"/>
      <c r="D880" s="153"/>
      <c r="E880" s="153"/>
      <c r="F880" s="153"/>
      <c r="G880" s="153"/>
      <c r="H880" s="153"/>
      <c r="I880" s="153"/>
      <c r="J880" s="153"/>
      <c r="K880" s="153"/>
      <c r="L880" s="153"/>
      <c r="M880" s="153"/>
      <c r="N880" s="153"/>
      <c r="O880" s="44"/>
      <c r="P880" s="44"/>
    </row>
    <row r="881" spans="1:16" x14ac:dyDescent="0.2">
      <c r="A881" s="58" t="str">
        <v/>
      </c>
      <c r="B881" s="131" t="str">
        <f>IFERROR(TIMEVALUE(DaqBook_RAW_Data!AG871),IFERROR(TIMEVALUE(DaqBook_RAW_Data!A871),""))</f>
        <v/>
      </c>
      <c r="C881" s="153"/>
      <c r="D881" s="153"/>
      <c r="E881" s="153"/>
      <c r="F881" s="153"/>
      <c r="G881" s="153"/>
      <c r="H881" s="153"/>
      <c r="I881" s="153"/>
      <c r="J881" s="153"/>
      <c r="K881" s="153"/>
      <c r="L881" s="153"/>
      <c r="M881" s="153"/>
      <c r="N881" s="153"/>
      <c r="O881" s="44"/>
      <c r="P881" s="44"/>
    </row>
    <row r="882" spans="1:16" x14ac:dyDescent="0.2">
      <c r="A882" s="58" t="str">
        <v/>
      </c>
      <c r="B882" s="131" t="str">
        <f>IFERROR(TIMEVALUE(DaqBook_RAW_Data!AG872),IFERROR(TIMEVALUE(DaqBook_RAW_Data!A872),""))</f>
        <v/>
      </c>
      <c r="C882" s="153"/>
      <c r="D882" s="153"/>
      <c r="E882" s="153"/>
      <c r="F882" s="153"/>
      <c r="G882" s="153"/>
      <c r="H882" s="153"/>
      <c r="I882" s="153"/>
      <c r="J882" s="153"/>
      <c r="K882" s="153"/>
      <c r="L882" s="153"/>
      <c r="M882" s="153"/>
      <c r="N882" s="153"/>
      <c r="O882" s="44"/>
      <c r="P882" s="44"/>
    </row>
    <row r="883" spans="1:16" x14ac:dyDescent="0.2">
      <c r="A883" s="58" t="str">
        <v/>
      </c>
      <c r="B883" s="131" t="str">
        <f>IFERROR(TIMEVALUE(DaqBook_RAW_Data!AG873),IFERROR(TIMEVALUE(DaqBook_RAW_Data!A873),""))</f>
        <v/>
      </c>
      <c r="C883" s="153"/>
      <c r="D883" s="153"/>
      <c r="E883" s="153"/>
      <c r="F883" s="153"/>
      <c r="G883" s="153"/>
      <c r="H883" s="153"/>
      <c r="I883" s="153"/>
      <c r="J883" s="153"/>
      <c r="K883" s="153"/>
      <c r="L883" s="153"/>
      <c r="M883" s="153"/>
      <c r="N883" s="153"/>
      <c r="O883" s="44"/>
      <c r="P883" s="44"/>
    </row>
    <row r="884" spans="1:16" x14ac:dyDescent="0.2">
      <c r="A884" s="58" t="str">
        <v/>
      </c>
      <c r="B884" s="131" t="str">
        <f>IFERROR(TIMEVALUE(DaqBook_RAW_Data!AG874),IFERROR(TIMEVALUE(DaqBook_RAW_Data!A874),""))</f>
        <v/>
      </c>
      <c r="C884" s="153"/>
      <c r="D884" s="153"/>
      <c r="E884" s="153"/>
      <c r="F884" s="153"/>
      <c r="G884" s="153"/>
      <c r="H884" s="153"/>
      <c r="I884" s="153"/>
      <c r="J884" s="153"/>
      <c r="K884" s="153"/>
      <c r="L884" s="153"/>
      <c r="M884" s="153"/>
      <c r="N884" s="153"/>
      <c r="O884" s="44"/>
      <c r="P884" s="44"/>
    </row>
    <row r="885" spans="1:16" x14ac:dyDescent="0.2">
      <c r="A885" s="58" t="str">
        <v/>
      </c>
      <c r="B885" s="131" t="str">
        <f>IFERROR(TIMEVALUE(DaqBook_RAW_Data!AG875),IFERROR(TIMEVALUE(DaqBook_RAW_Data!A875),""))</f>
        <v/>
      </c>
      <c r="C885" s="153"/>
      <c r="D885" s="153"/>
      <c r="E885" s="153"/>
      <c r="F885" s="153"/>
      <c r="G885" s="153"/>
      <c r="H885" s="153"/>
      <c r="I885" s="153"/>
      <c r="J885" s="153"/>
      <c r="K885" s="153"/>
      <c r="L885" s="153"/>
      <c r="M885" s="153"/>
      <c r="N885" s="153"/>
      <c r="O885" s="44"/>
      <c r="P885" s="44"/>
    </row>
    <row r="886" spans="1:16" x14ac:dyDescent="0.2">
      <c r="A886" s="58" t="str">
        <v/>
      </c>
      <c r="B886" s="131" t="str">
        <f>IFERROR(TIMEVALUE(DaqBook_RAW_Data!AG876),IFERROR(TIMEVALUE(DaqBook_RAW_Data!A876),""))</f>
        <v/>
      </c>
      <c r="C886" s="153"/>
      <c r="D886" s="153"/>
      <c r="E886" s="153"/>
      <c r="F886" s="153"/>
      <c r="G886" s="153"/>
      <c r="H886" s="153"/>
      <c r="I886" s="153"/>
      <c r="J886" s="153"/>
      <c r="K886" s="153"/>
      <c r="L886" s="153"/>
      <c r="M886" s="153"/>
      <c r="N886" s="153"/>
      <c r="O886" s="44"/>
      <c r="P886" s="44"/>
    </row>
    <row r="887" spans="1:16" x14ac:dyDescent="0.2">
      <c r="A887" s="58" t="str">
        <v/>
      </c>
      <c r="B887" s="131" t="str">
        <f>IFERROR(TIMEVALUE(DaqBook_RAW_Data!AG877),IFERROR(TIMEVALUE(DaqBook_RAW_Data!A877),""))</f>
        <v/>
      </c>
      <c r="C887" s="153"/>
      <c r="D887" s="153"/>
      <c r="E887" s="153"/>
      <c r="F887" s="153"/>
      <c r="G887" s="153"/>
      <c r="H887" s="153"/>
      <c r="I887" s="153"/>
      <c r="J887" s="153"/>
      <c r="K887" s="153"/>
      <c r="L887" s="153"/>
      <c r="M887" s="153"/>
      <c r="N887" s="153"/>
      <c r="O887" s="44"/>
      <c r="P887" s="44"/>
    </row>
    <row r="888" spans="1:16" x14ac:dyDescent="0.2">
      <c r="A888" s="58" t="str">
        <v/>
      </c>
      <c r="B888" s="131" t="str">
        <f>IFERROR(TIMEVALUE(DaqBook_RAW_Data!AG878),IFERROR(TIMEVALUE(DaqBook_RAW_Data!A878),""))</f>
        <v/>
      </c>
      <c r="C888" s="153"/>
      <c r="D888" s="153"/>
      <c r="E888" s="153"/>
      <c r="F888" s="153"/>
      <c r="G888" s="153"/>
      <c r="H888" s="153"/>
      <c r="I888" s="153"/>
      <c r="J888" s="153"/>
      <c r="K888" s="153"/>
      <c r="L888" s="153"/>
      <c r="M888" s="153"/>
      <c r="N888" s="153"/>
      <c r="O888" s="44"/>
      <c r="P888" s="44"/>
    </row>
    <row r="889" spans="1:16" x14ac:dyDescent="0.2">
      <c r="A889" s="58" t="str">
        <v/>
      </c>
      <c r="B889" s="131" t="str">
        <f>IFERROR(TIMEVALUE(DaqBook_RAW_Data!AG879),IFERROR(TIMEVALUE(DaqBook_RAW_Data!A879),""))</f>
        <v/>
      </c>
      <c r="C889" s="153"/>
      <c r="D889" s="153"/>
      <c r="E889" s="153"/>
      <c r="F889" s="153"/>
      <c r="G889" s="153"/>
      <c r="H889" s="153"/>
      <c r="I889" s="153"/>
      <c r="J889" s="153"/>
      <c r="K889" s="153"/>
      <c r="L889" s="153"/>
      <c r="M889" s="153"/>
      <c r="N889" s="153"/>
      <c r="O889" s="44"/>
      <c r="P889" s="44"/>
    </row>
    <row r="890" spans="1:16" x14ac:dyDescent="0.2">
      <c r="A890" s="58" t="str">
        <v/>
      </c>
      <c r="B890" s="131" t="str">
        <f>IFERROR(TIMEVALUE(DaqBook_RAW_Data!AG880),IFERROR(TIMEVALUE(DaqBook_RAW_Data!A880),""))</f>
        <v/>
      </c>
      <c r="C890" s="153"/>
      <c r="D890" s="153"/>
      <c r="E890" s="153"/>
      <c r="F890" s="153"/>
      <c r="G890" s="153"/>
      <c r="H890" s="153"/>
      <c r="I890" s="153"/>
      <c r="J890" s="153"/>
      <c r="K890" s="153"/>
      <c r="L890" s="153"/>
      <c r="M890" s="153"/>
      <c r="N890" s="153"/>
      <c r="O890" s="44"/>
      <c r="P890" s="44"/>
    </row>
    <row r="891" spans="1:16" x14ac:dyDescent="0.2">
      <c r="A891" s="58" t="str">
        <v/>
      </c>
      <c r="B891" s="131" t="str">
        <f>IFERROR(TIMEVALUE(DaqBook_RAW_Data!AG881),IFERROR(TIMEVALUE(DaqBook_RAW_Data!A881),""))</f>
        <v/>
      </c>
      <c r="C891" s="153"/>
      <c r="D891" s="153"/>
      <c r="E891" s="153"/>
      <c r="F891" s="153"/>
      <c r="G891" s="153"/>
      <c r="H891" s="153"/>
      <c r="I891" s="153"/>
      <c r="J891" s="153"/>
      <c r="K891" s="153"/>
      <c r="L891" s="153"/>
      <c r="M891" s="153"/>
      <c r="N891" s="153"/>
      <c r="O891" s="44"/>
      <c r="P891" s="44"/>
    </row>
    <row r="892" spans="1:16" x14ac:dyDescent="0.2">
      <c r="A892" s="58" t="str">
        <v/>
      </c>
      <c r="B892" s="131" t="str">
        <f>IFERROR(TIMEVALUE(DaqBook_RAW_Data!AG882),IFERROR(TIMEVALUE(DaqBook_RAW_Data!A882),""))</f>
        <v/>
      </c>
      <c r="C892" s="153"/>
      <c r="D892" s="153"/>
      <c r="E892" s="153"/>
      <c r="F892" s="153"/>
      <c r="G892" s="153"/>
      <c r="H892" s="153"/>
      <c r="I892" s="153"/>
      <c r="J892" s="153"/>
      <c r="K892" s="153"/>
      <c r="L892" s="153"/>
      <c r="M892" s="153"/>
      <c r="N892" s="153"/>
      <c r="O892" s="44"/>
      <c r="P892" s="44"/>
    </row>
    <row r="893" spans="1:16" x14ac:dyDescent="0.2">
      <c r="A893" s="58" t="str">
        <v/>
      </c>
      <c r="B893" s="131" t="str">
        <f>IFERROR(TIMEVALUE(DaqBook_RAW_Data!AG883),IFERROR(TIMEVALUE(DaqBook_RAW_Data!A883),""))</f>
        <v/>
      </c>
      <c r="C893" s="153"/>
      <c r="D893" s="153"/>
      <c r="E893" s="153"/>
      <c r="F893" s="153"/>
      <c r="G893" s="153"/>
      <c r="H893" s="153"/>
      <c r="I893" s="153"/>
      <c r="J893" s="153"/>
      <c r="K893" s="153"/>
      <c r="L893" s="153"/>
      <c r="M893" s="153"/>
      <c r="N893" s="153"/>
      <c r="O893" s="44"/>
      <c r="P893" s="44"/>
    </row>
    <row r="894" spans="1:16" x14ac:dyDescent="0.2">
      <c r="A894" s="58" t="str">
        <v/>
      </c>
      <c r="B894" s="131" t="str">
        <f>IFERROR(TIMEVALUE(DaqBook_RAW_Data!AG884),IFERROR(TIMEVALUE(DaqBook_RAW_Data!A884),""))</f>
        <v/>
      </c>
      <c r="C894" s="153"/>
      <c r="D894" s="153"/>
      <c r="E894" s="153"/>
      <c r="F894" s="153"/>
      <c r="G894" s="153"/>
      <c r="H894" s="153"/>
      <c r="I894" s="153"/>
      <c r="J894" s="153"/>
      <c r="K894" s="153"/>
      <c r="L894" s="153"/>
      <c r="M894" s="153"/>
      <c r="N894" s="153"/>
      <c r="O894" s="44"/>
      <c r="P894" s="44"/>
    </row>
    <row r="895" spans="1:16" x14ac:dyDescent="0.2">
      <c r="A895" s="58" t="str">
        <v/>
      </c>
      <c r="B895" s="131" t="str">
        <f>IFERROR(TIMEVALUE(DaqBook_RAW_Data!AG885),IFERROR(TIMEVALUE(DaqBook_RAW_Data!A885),""))</f>
        <v/>
      </c>
      <c r="C895" s="153"/>
      <c r="D895" s="153"/>
      <c r="E895" s="153"/>
      <c r="F895" s="153"/>
      <c r="G895" s="153"/>
      <c r="H895" s="153"/>
      <c r="I895" s="153"/>
      <c r="J895" s="153"/>
      <c r="K895" s="153"/>
      <c r="L895" s="153"/>
      <c r="M895" s="153"/>
      <c r="N895" s="153"/>
      <c r="O895" s="44"/>
      <c r="P895" s="44"/>
    </row>
    <row r="896" spans="1:16" x14ac:dyDescent="0.2">
      <c r="A896" s="58" t="str">
        <v/>
      </c>
      <c r="B896" s="131" t="str">
        <f>IFERROR(TIMEVALUE(DaqBook_RAW_Data!AG886),IFERROR(TIMEVALUE(DaqBook_RAW_Data!A886),""))</f>
        <v/>
      </c>
      <c r="C896" s="153"/>
      <c r="D896" s="153"/>
      <c r="E896" s="153"/>
      <c r="F896" s="153"/>
      <c r="G896" s="153"/>
      <c r="H896" s="153"/>
      <c r="I896" s="153"/>
      <c r="J896" s="153"/>
      <c r="K896" s="153"/>
      <c r="L896" s="153"/>
      <c r="M896" s="153"/>
      <c r="N896" s="153"/>
      <c r="O896" s="44"/>
      <c r="P896" s="44"/>
    </row>
    <row r="897" spans="1:16" x14ac:dyDescent="0.2">
      <c r="A897" s="58" t="str">
        <v/>
      </c>
      <c r="B897" s="131" t="str">
        <f>IFERROR(TIMEVALUE(DaqBook_RAW_Data!AG887),IFERROR(TIMEVALUE(DaqBook_RAW_Data!A887),""))</f>
        <v/>
      </c>
      <c r="C897" s="153"/>
      <c r="D897" s="153"/>
      <c r="E897" s="153"/>
      <c r="F897" s="153"/>
      <c r="G897" s="153"/>
      <c r="H897" s="153"/>
      <c r="I897" s="153"/>
      <c r="J897" s="153"/>
      <c r="K897" s="153"/>
      <c r="L897" s="153"/>
      <c r="M897" s="153"/>
      <c r="N897" s="153"/>
      <c r="O897" s="44"/>
      <c r="P897" s="44"/>
    </row>
    <row r="898" spans="1:16" x14ac:dyDescent="0.2">
      <c r="A898" s="58" t="str">
        <v/>
      </c>
      <c r="B898" s="131" t="str">
        <f>IFERROR(TIMEVALUE(DaqBook_RAW_Data!AG888),IFERROR(TIMEVALUE(DaqBook_RAW_Data!A888),""))</f>
        <v/>
      </c>
      <c r="C898" s="153"/>
      <c r="D898" s="153"/>
      <c r="E898" s="153"/>
      <c r="F898" s="153"/>
      <c r="G898" s="153"/>
      <c r="H898" s="153"/>
      <c r="I898" s="153"/>
      <c r="J898" s="153"/>
      <c r="K898" s="153"/>
      <c r="L898" s="153"/>
      <c r="M898" s="153"/>
      <c r="N898" s="153"/>
      <c r="O898" s="44"/>
      <c r="P898" s="44"/>
    </row>
    <row r="899" spans="1:16" x14ac:dyDescent="0.2">
      <c r="A899" s="58" t="str">
        <v/>
      </c>
      <c r="B899" s="131" t="str">
        <f>IFERROR(TIMEVALUE(DaqBook_RAW_Data!AG889),IFERROR(TIMEVALUE(DaqBook_RAW_Data!A889),""))</f>
        <v/>
      </c>
      <c r="C899" s="153"/>
      <c r="D899" s="153"/>
      <c r="E899" s="153"/>
      <c r="F899" s="153"/>
      <c r="G899" s="153"/>
      <c r="H899" s="153"/>
      <c r="I899" s="153"/>
      <c r="J899" s="153"/>
      <c r="K899" s="153"/>
      <c r="L899" s="153"/>
      <c r="M899" s="153"/>
      <c r="N899" s="153"/>
      <c r="O899" s="44"/>
      <c r="P899" s="44"/>
    </row>
    <row r="900" spans="1:16" x14ac:dyDescent="0.2">
      <c r="A900" s="58" t="str">
        <v/>
      </c>
      <c r="B900" s="131" t="str">
        <f>IFERROR(TIMEVALUE(DaqBook_RAW_Data!AG890),IFERROR(TIMEVALUE(DaqBook_RAW_Data!A890),""))</f>
        <v/>
      </c>
      <c r="C900" s="153"/>
      <c r="D900" s="153"/>
      <c r="E900" s="153"/>
      <c r="F900" s="153"/>
      <c r="G900" s="153"/>
      <c r="H900" s="153"/>
      <c r="I900" s="153"/>
      <c r="J900" s="153"/>
      <c r="K900" s="153"/>
      <c r="L900" s="153"/>
      <c r="M900" s="153"/>
      <c r="N900" s="153"/>
      <c r="O900" s="44"/>
      <c r="P900" s="44"/>
    </row>
    <row r="901" spans="1:16" x14ac:dyDescent="0.2">
      <c r="A901" s="58" t="str">
        <v/>
      </c>
      <c r="B901" s="131" t="str">
        <f>IFERROR(TIMEVALUE(DaqBook_RAW_Data!AG891),IFERROR(TIMEVALUE(DaqBook_RAW_Data!A891),""))</f>
        <v/>
      </c>
      <c r="C901" s="153"/>
      <c r="D901" s="153"/>
      <c r="E901" s="153"/>
      <c r="F901" s="153"/>
      <c r="G901" s="153"/>
      <c r="H901" s="153"/>
      <c r="I901" s="153"/>
      <c r="J901" s="153"/>
      <c r="K901" s="153"/>
      <c r="L901" s="153"/>
      <c r="M901" s="153"/>
      <c r="N901" s="153"/>
      <c r="O901" s="44"/>
      <c r="P901" s="44"/>
    </row>
    <row r="902" spans="1:16" x14ac:dyDescent="0.2">
      <c r="A902" s="58" t="str">
        <v/>
      </c>
      <c r="B902" s="131" t="str">
        <f>IFERROR(TIMEVALUE(DaqBook_RAW_Data!AG892),IFERROR(TIMEVALUE(DaqBook_RAW_Data!A892),""))</f>
        <v/>
      </c>
      <c r="C902" s="153"/>
      <c r="D902" s="153"/>
      <c r="E902" s="153"/>
      <c r="F902" s="153"/>
      <c r="G902" s="153"/>
      <c r="H902" s="153"/>
      <c r="I902" s="153"/>
      <c r="J902" s="153"/>
      <c r="K902" s="153"/>
      <c r="L902" s="153"/>
      <c r="M902" s="153"/>
      <c r="N902" s="153"/>
      <c r="O902" s="44"/>
      <c r="P902" s="44"/>
    </row>
    <row r="903" spans="1:16" x14ac:dyDescent="0.2">
      <c r="A903" s="58" t="str">
        <v/>
      </c>
      <c r="B903" s="131" t="str">
        <f>IFERROR(TIMEVALUE(DaqBook_RAW_Data!AG893),IFERROR(TIMEVALUE(DaqBook_RAW_Data!A893),""))</f>
        <v/>
      </c>
      <c r="C903" s="153"/>
      <c r="D903" s="153"/>
      <c r="E903" s="153"/>
      <c r="F903" s="153"/>
      <c r="G903" s="153"/>
      <c r="H903" s="153"/>
      <c r="I903" s="153"/>
      <c r="J903" s="153"/>
      <c r="K903" s="153"/>
      <c r="L903" s="153"/>
      <c r="M903" s="153"/>
      <c r="N903" s="153"/>
      <c r="O903" s="44"/>
      <c r="P903" s="44"/>
    </row>
  </sheetData>
  <sheetProtection algorithmName="SHA-512" hashValue="Iw/PCg43HRxZwzC+zunrnxITINFCGQYQGToBXZzwi0FmgUoDZmQ9gcvwYGr00DIeofjf3oGCotubTsOoNWd/dA==" saltValue="4gMuDVoqWzjJaLA8HRBuXg==" spinCount="100000" sheet="1" objects="1" scenarios="1" selectLockedCells="1" autoFilter="0" selectUnlockedCells="1"/>
  <mergeCells count="7">
    <mergeCell ref="J7:K7"/>
    <mergeCell ref="M6:O6"/>
    <mergeCell ref="M7:O7"/>
    <mergeCell ref="M2:O2"/>
    <mergeCell ref="M3:O3"/>
    <mergeCell ref="M4:O4"/>
    <mergeCell ref="M5:O5"/>
  </mergeCells>
  <phoneticPr fontId="23" type="noConversion"/>
  <conditionalFormatting sqref="C14:P903">
    <cfRule type="cellIs" dxfId="35" priority="2" stopIfTrue="1" operator="between">
      <formula>$E$1</formula>
      <formula>$E$2</formula>
    </cfRule>
    <cfRule type="cellIs" dxfId="34" priority="3" stopIfTrue="1" operator="greaterThan">
      <formula>$C$2</formula>
    </cfRule>
    <cfRule type="cellIs" dxfId="33" priority="4" stopIfTrue="1" operator="lessThan">
      <formula>$C$1</formula>
    </cfRule>
    <cfRule type="cellIs" dxfId="32" priority="6" stopIfTrue="1" operator="greaterThanOrEqual">
      <formula>$C$1</formula>
    </cfRule>
  </conditionalFormatting>
  <conditionalFormatting sqref="B14:P903">
    <cfRule type="expression" dxfId="31" priority="1">
      <formula>AND(ROW() &gt;= $Q$1, ROW() &lt;= $Q$2)</formula>
    </cfRule>
  </conditionalFormatting>
  <pageMargins left="0.75" right="0.75" top="1" bottom="1" header="0.5" footer="0.5"/>
  <pageSetup scale="69" fitToHeight="0" orientation="portrait" r:id="rId1"/>
  <headerFooter alignWithMargins="0"/>
  <customProperties>
    <customPr name="%locator_row%" r:id="rId2"/>
    <customPr name="%startcell%" r:id="rId3"/>
  </customProperties>
</worksheet>
</file>

<file path=xl/worksheets/sheet2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2">
    <tabColor rgb="FFFFCC99"/>
  </sheetPr>
  <dimension ref="A1:AC119"/>
  <sheetViews>
    <sheetView zoomScale="90" zoomScaleNormal="90" workbookViewId="0">
      <selection activeCell="U21" sqref="U21"/>
    </sheetView>
  </sheetViews>
  <sheetFormatPr defaultColWidth="9.140625" defaultRowHeight="15" x14ac:dyDescent="0.25"/>
  <cols>
    <col min="1" max="1" width="10.7109375" style="8" customWidth="1"/>
    <col min="2" max="2" width="4.42578125" style="8" customWidth="1"/>
    <col min="3" max="3" width="9.5703125" style="8" customWidth="1"/>
    <col min="4" max="4" width="11" style="8" customWidth="1"/>
    <col min="5" max="5" width="11.7109375" style="9" customWidth="1"/>
    <col min="6" max="7" width="10.85546875" style="8" customWidth="1"/>
    <col min="8" max="8" width="12.42578125" style="9" customWidth="1"/>
    <col min="9" max="9" width="9.5703125" style="8" customWidth="1"/>
    <col min="10" max="10" width="10.85546875" style="8" customWidth="1"/>
    <col min="11" max="11" width="12" style="9" customWidth="1"/>
    <col min="12" max="12" width="9.7109375" style="8" customWidth="1"/>
    <col min="13" max="13" width="10.7109375" style="8" customWidth="1"/>
    <col min="14" max="14" width="12" style="9" customWidth="1"/>
    <col min="15" max="15" width="19.7109375" style="28" customWidth="1"/>
    <col min="16" max="16" width="9.140625" style="326"/>
    <col min="17" max="17" width="9.140625" style="328"/>
    <col min="18" max="18" width="37.85546875" style="326" bestFit="1" customWidth="1"/>
    <col min="19" max="19" width="9.85546875" style="326" bestFit="1" customWidth="1"/>
    <col min="20" max="20" width="21.85546875" style="326" bestFit="1" customWidth="1"/>
    <col min="21" max="21" width="14.42578125" style="326" customWidth="1"/>
    <col min="22" max="22" width="16" style="326" customWidth="1"/>
    <col min="23" max="23" width="9.140625" style="326"/>
    <col min="24" max="25" width="9.140625" style="16"/>
    <col min="26" max="16384" width="9.140625" style="8"/>
  </cols>
  <sheetData>
    <row r="1" spans="1:29" x14ac:dyDescent="0.25">
      <c r="G1" s="10" t="s">
        <v>0</v>
      </c>
      <c r="H1" s="8"/>
      <c r="I1" s="9"/>
      <c r="K1" s="8"/>
      <c r="M1" s="8" t="s">
        <v>19</v>
      </c>
      <c r="O1" s="240"/>
      <c r="R1" s="326" t="e">
        <f>IF(T1=0, 0, IF(T1 &gt; Main!G93 + (1-D19)*0.4, 1, ""))</f>
        <v>#VALUE!</v>
      </c>
      <c r="T1" s="326" t="e" cm="1">
        <f t="array" ref="T1">MAX(ABS(E10:E18))</f>
        <v>#VALUE!</v>
      </c>
      <c r="U1" s="326" t="e" cm="1">
        <f t="array" ref="U1">MAX(ABS(H10:H18))</f>
        <v>#VALUE!</v>
      </c>
      <c r="X1" s="240"/>
      <c r="Y1" s="240"/>
      <c r="Z1" s="242"/>
      <c r="AA1" s="242"/>
      <c r="AB1" s="242"/>
      <c r="AC1" s="242"/>
    </row>
    <row r="2" spans="1:29" ht="18.75" customHeight="1" x14ac:dyDescent="0.25">
      <c r="H2" s="11" t="s">
        <v>20</v>
      </c>
      <c r="I2" s="9"/>
      <c r="K2" s="8"/>
      <c r="M2" s="8" t="s">
        <v>33</v>
      </c>
      <c r="O2" s="240"/>
      <c r="R2" s="326" t="e">
        <f>IF(U1=0, 0, IF(U1 &gt; Main!G93 + (1-D31)*0.4, 1, ""))</f>
        <v>#VALUE!</v>
      </c>
      <c r="T2" s="326" t="e" cm="1">
        <f t="array" ref="T2">MAX(ABS(K10:K18))</f>
        <v>#VALUE!</v>
      </c>
      <c r="U2" s="326" t="e" cm="1">
        <f t="array" ref="U2">MAX(ABS(N10:N18))</f>
        <v>#VALUE!</v>
      </c>
      <c r="X2" s="240"/>
      <c r="Y2" s="240"/>
      <c r="Z2" s="242"/>
      <c r="AA2" s="242"/>
      <c r="AB2" s="242"/>
      <c r="AC2" s="242"/>
    </row>
    <row r="3" spans="1:29" ht="23.25" customHeight="1" x14ac:dyDescent="0.25">
      <c r="D3" s="35" t="s">
        <v>38</v>
      </c>
      <c r="E3" s="42">
        <f>Main!D3</f>
        <v>0</v>
      </c>
      <c r="G3" s="12"/>
      <c r="H3" s="8"/>
      <c r="J3" s="35" t="s">
        <v>53</v>
      </c>
      <c r="K3" s="13" t="e">
        <f>Main!D5</f>
        <v>#N/A</v>
      </c>
      <c r="L3" s="9"/>
      <c r="O3" s="240"/>
      <c r="R3" s="326" t="e">
        <f>IF(T2=0, 0, IF(T2 &gt; Main!G93 + (1-G19)*0.4, 1, ""))</f>
        <v>#VALUE!</v>
      </c>
      <c r="T3" s="326" t="e" cm="1">
        <f t="array" ref="T3">MAX(ABS(E22:E30))</f>
        <v>#VALUE!</v>
      </c>
      <c r="U3" s="326" t="e" cm="1">
        <f t="array" ref="U3">MAX(ABS(H22:H30))</f>
        <v>#VALUE!</v>
      </c>
      <c r="X3" s="240"/>
      <c r="Y3" s="240"/>
      <c r="Z3" s="242"/>
      <c r="AA3" s="242"/>
      <c r="AB3" s="242"/>
      <c r="AC3" s="242"/>
    </row>
    <row r="4" spans="1:29" x14ac:dyDescent="0.25">
      <c r="D4" s="36" t="s">
        <v>52</v>
      </c>
      <c r="E4" s="10" t="e">
        <f>Main!D6</f>
        <v>#N/A</v>
      </c>
      <c r="H4" s="8"/>
      <c r="J4" s="36" t="s">
        <v>54</v>
      </c>
      <c r="K4" s="14">
        <f>Main!D16</f>
        <v>0</v>
      </c>
      <c r="L4" s="9"/>
      <c r="O4" s="240"/>
      <c r="R4" s="326" t="e">
        <f>IF(U2=0, 0, IF(U2 &gt; Main!G93 + (1-G31)*0.4, 1, ""))</f>
        <v>#VALUE!</v>
      </c>
      <c r="T4" s="326" t="e" cm="1">
        <f t="array" ref="T4">MAX(ABS(K22:K30))</f>
        <v>#VALUE!</v>
      </c>
      <c r="U4" s="326" t="e" cm="1">
        <f t="array" ref="U4">MAX(ABS(N22:N30))</f>
        <v>#N/A</v>
      </c>
      <c r="X4" s="240"/>
      <c r="Y4" s="240"/>
      <c r="Z4" s="242"/>
      <c r="AA4" s="242"/>
      <c r="AB4" s="242"/>
      <c r="AC4" s="242"/>
    </row>
    <row r="5" spans="1:29" x14ac:dyDescent="0.25">
      <c r="D5" s="36" t="s">
        <v>39</v>
      </c>
      <c r="E5" s="8" t="str">
        <f>Main!D7</f>
        <v>Jeff Hall</v>
      </c>
      <c r="H5" s="8"/>
      <c r="J5" s="37" t="s">
        <v>21</v>
      </c>
      <c r="K5" s="48">
        <f>Main!D18</f>
        <v>0</v>
      </c>
      <c r="O5" s="240"/>
      <c r="R5" s="326" t="e">
        <f>IF(T3=0, 0, IF(T3 &gt; Main!G93 + (1-J19)*0.4, 1, ""))</f>
        <v>#VALUE!</v>
      </c>
      <c r="T5" s="328"/>
      <c r="X5" s="240"/>
      <c r="Y5" s="240"/>
      <c r="Z5" s="242"/>
      <c r="AA5" s="242"/>
      <c r="AB5" s="242"/>
      <c r="AC5" s="242"/>
    </row>
    <row r="6" spans="1:29" ht="15.75" customHeight="1" x14ac:dyDescent="0.25">
      <c r="D6" s="36" t="s">
        <v>22</v>
      </c>
      <c r="E6" s="300" t="e">
        <f>IF(ISBLANK(Main!G95),"",Main!G95)</f>
        <v>#N/A</v>
      </c>
      <c r="G6" s="15" t="e">
        <f>IF(OR(R1:R8),"CHECK READINGS!!!","")</f>
        <v>#VALUE!</v>
      </c>
      <c r="J6" s="16"/>
      <c r="L6" s="9"/>
      <c r="O6" s="240"/>
      <c r="R6" s="326" t="e">
        <f>IF(U3=0, 0, IF(U3 &gt; Main!G93 + (1-J31)*0.4, 1, ""))</f>
        <v>#VALUE!</v>
      </c>
      <c r="T6" s="328"/>
      <c r="X6" s="240"/>
      <c r="Y6" s="240"/>
      <c r="Z6" s="242"/>
      <c r="AA6" s="242"/>
      <c r="AB6" s="242"/>
      <c r="AC6" s="242"/>
    </row>
    <row r="7" spans="1:29" x14ac:dyDescent="0.25">
      <c r="E7" s="8"/>
      <c r="F7" s="34" t="s">
        <v>23</v>
      </c>
      <c r="O7" s="240"/>
      <c r="R7" s="326" t="e">
        <f>IF(T4=0, 0, IF(T4 &gt; Main!G93 + (1-M19)*0.4, 1, ""))</f>
        <v>#VALUE!</v>
      </c>
      <c r="T7" s="328"/>
      <c r="X7" s="240"/>
      <c r="Y7" s="240"/>
      <c r="Z7" s="242"/>
      <c r="AA7" s="242"/>
      <c r="AB7" s="242"/>
      <c r="AC7" s="242"/>
    </row>
    <row r="8" spans="1:29" x14ac:dyDescent="0.25">
      <c r="A8" s="17" t="str">
        <f>Access_Data!A9</f>
        <v xml:space="preserve">Time Abs </v>
      </c>
      <c r="C8" s="18" t="s">
        <v>24</v>
      </c>
      <c r="D8" s="18" t="s">
        <v>25</v>
      </c>
      <c r="F8" s="18" t="s">
        <v>24</v>
      </c>
      <c r="G8" s="18" t="s">
        <v>25</v>
      </c>
      <c r="H8" s="18"/>
      <c r="I8" s="18" t="s">
        <v>24</v>
      </c>
      <c r="J8" s="18" t="s">
        <v>25</v>
      </c>
      <c r="K8" s="18"/>
      <c r="L8" s="18" t="s">
        <v>24</v>
      </c>
      <c r="M8" s="18" t="s">
        <v>25</v>
      </c>
      <c r="O8" s="240"/>
      <c r="R8" s="326" t="e">
        <f>IF(U4=0, 0, IF(U4 &gt; Main!G93 + (1-M31)*0.4, 1, ""))</f>
        <v>#N/A</v>
      </c>
      <c r="T8" s="328"/>
      <c r="X8" s="240"/>
      <c r="Y8" s="240"/>
      <c r="Z8" s="242"/>
      <c r="AA8" s="242"/>
      <c r="AB8" s="242"/>
      <c r="AC8" s="242"/>
    </row>
    <row r="9" spans="1:29" ht="15.75" thickBot="1" x14ac:dyDescent="0.3">
      <c r="A9" s="19" t="s">
        <v>26</v>
      </c>
      <c r="B9" s="19"/>
      <c r="C9" s="43" t="str">
        <f>IF(ISBLANK(Main!B37),"",Main!B37)</f>
        <v/>
      </c>
      <c r="D9" s="20" t="str">
        <f>IF(ISBLANK(Main!B37),"",Main!C37)</f>
        <v/>
      </c>
      <c r="E9" s="20" t="s">
        <v>27</v>
      </c>
      <c r="F9" s="43" t="str">
        <f>IF(ISBLANK(Main!B38),"",Main!B38)</f>
        <v/>
      </c>
      <c r="G9" s="20" t="str">
        <f>IF(ISBLANK(Main!B38),"",Main!C38)</f>
        <v/>
      </c>
      <c r="H9" s="20" t="s">
        <v>27</v>
      </c>
      <c r="I9" s="43" t="str">
        <f>IF(ISBLANK(Main!B39),"",Main!B39)</f>
        <v/>
      </c>
      <c r="J9" s="20" t="str">
        <f>IF(ISBLANK(Main!C39),"",Main!C39)</f>
        <v/>
      </c>
      <c r="K9" s="20" t="s">
        <v>27</v>
      </c>
      <c r="L9" s="43" t="str">
        <f>IF(ISBLANK(Main!B40),"",Main!B40)</f>
        <v/>
      </c>
      <c r="M9" s="20" t="str">
        <f>IF(ISBLANK(Main!B40),"",Main!C40)</f>
        <v/>
      </c>
      <c r="N9" s="20" t="s">
        <v>27</v>
      </c>
      <c r="O9" s="240"/>
      <c r="T9" s="328"/>
      <c r="X9" s="240"/>
      <c r="Y9" s="240"/>
      <c r="Z9" s="242"/>
      <c r="AA9" s="242"/>
      <c r="AB9" s="242"/>
      <c r="AC9" s="242"/>
    </row>
    <row r="10" spans="1:29" x14ac:dyDescent="0.25">
      <c r="A10" s="56" t="str">
        <f>IFERROR(HLOOKUP(A$8,Access_Data!$A$9:$BA$25,Comparison_Report!$S12,FALSE),"")</f>
        <v/>
      </c>
      <c r="B10" s="21"/>
      <c r="C10" s="22" t="str">
        <f>IF(OR(C$9="",$A10=""),"",HLOOKUP(C$9,Access_Data!$A$9:$BA$25,Comparison_Report!$S12,FALSE))</f>
        <v/>
      </c>
      <c r="D10" s="45" t="str" cm="1">
        <f t="array" ref="D10">IF(ISBLANK(Main!B37),"",TRANSPOSE(Main!D37:G37))</f>
        <v/>
      </c>
      <c r="E10" s="30" t="str">
        <f t="shared" ref="E10:E17" si="0">IF(OR(C10="",D10=""),"",D10-C10)</f>
        <v/>
      </c>
      <c r="F10" s="22" t="str">
        <f>IF(OR(F$9="",$A10=""),"",HLOOKUP(F$9,Access_Data!$A$9:$BA$25,Comparison_Report!$S12,FALSE))</f>
        <v/>
      </c>
      <c r="G10" s="45" t="str" cm="1">
        <f t="array" ref="G10">IF(ISBLANK(Main!B38),"",TRANSPOSE(Main!D38:G38))</f>
        <v/>
      </c>
      <c r="H10" s="30" t="str">
        <f>IF(OR(F10="",G10=""),"",G10-F10)</f>
        <v/>
      </c>
      <c r="I10" s="22" t="str">
        <f>IF(OR(I$9="",$A10=""),"",HLOOKUP(I$9,Access_Data!$A$9:$BA$25,Comparison_Report!$S12,FALSE))</f>
        <v/>
      </c>
      <c r="J10" s="45" t="str" cm="1">
        <f t="array" ref="J10">IF(ISBLANK(Main!B39),"",TRANSPOSE(Main!D39:G39))</f>
        <v/>
      </c>
      <c r="K10" s="30" t="str">
        <f>IF(OR(I10="",J10=""),"",J10-I10)</f>
        <v/>
      </c>
      <c r="L10" s="22" t="str">
        <f>IF(OR(L$9="",$A10=""),"",HLOOKUP(L$9,Access_Data!$A$9:$BA$25,Comparison_Report!$S12,FALSE))</f>
        <v/>
      </c>
      <c r="M10" s="45" t="str" cm="1">
        <f t="array" ref="M10">IF(ISBLANK(Main!B40),"",TRANSPOSE(Main!D40:G40))</f>
        <v/>
      </c>
      <c r="N10" s="30" t="str">
        <f>IF(OR(L10="",M10=""),"",M10-L10)</f>
        <v/>
      </c>
      <c r="O10" s="240" t="e">
        <f>IF(R1,D9 &amp; " IS OOT!!!","")</f>
        <v>#VALUE!</v>
      </c>
      <c r="R10" s="327"/>
      <c r="T10" s="328"/>
      <c r="X10" s="240"/>
      <c r="Y10" s="240"/>
      <c r="Z10" s="242"/>
      <c r="AA10" s="242"/>
      <c r="AB10" s="242"/>
      <c r="AC10" s="242"/>
    </row>
    <row r="11" spans="1:29" x14ac:dyDescent="0.25">
      <c r="A11" s="56" t="str">
        <f>IFERROR(HLOOKUP(A$8,Access_Data!$A$9:$BA$25,Comparison_Report!$S13,FALSE),"")</f>
        <v/>
      </c>
      <c r="B11" s="21"/>
      <c r="C11" s="22" t="str">
        <f>IF(OR(C$9="",$A11=""),"",HLOOKUP(C$9,Access_Data!$A$9:$BA$25,Comparison_Report!$S13,FALSE))</f>
        <v/>
      </c>
      <c r="D11" s="45"/>
      <c r="E11" s="30" t="str">
        <f t="shared" si="0"/>
        <v/>
      </c>
      <c r="F11" s="22" t="str">
        <f>IF(OR(F$9="",$A11=""),"",HLOOKUP(F$9,Access_Data!$A$9:$BA$25,Comparison_Report!$S13,FALSE))</f>
        <v/>
      </c>
      <c r="G11" s="45"/>
      <c r="H11" s="30" t="str">
        <f t="shared" ref="H11:H18" si="1">IF(OR(F11="",G11=""),"",G11-F11)</f>
        <v/>
      </c>
      <c r="I11" s="22" t="str">
        <f>IF(OR(I$9="",$A11=""),"",HLOOKUP(I$9,Access_Data!$A$9:$BA$25,Comparison_Report!$S13,FALSE))</f>
        <v/>
      </c>
      <c r="J11" s="45"/>
      <c r="K11" s="30" t="str">
        <f t="shared" ref="K11:K18" si="2">IF(OR(I11="",J11=""),"",J11-I11)</f>
        <v/>
      </c>
      <c r="L11" s="22" t="str">
        <f>IF(OR(L$9="",$A11=""),"",HLOOKUP(L$9,Access_Data!$A$9:$BA$25,Comparison_Report!$S13,FALSE))</f>
        <v/>
      </c>
      <c r="M11" s="45"/>
      <c r="N11" s="30" t="str">
        <f t="shared" ref="N11:N18" si="3">IF(OR(L11="",M11=""),"",M11-L11)</f>
        <v/>
      </c>
      <c r="O11" s="240" t="e">
        <f>IF(R2, G9 &amp; " IS OOT!!!","")</f>
        <v>#VALUE!</v>
      </c>
      <c r="R11" s="328"/>
      <c r="S11" s="327"/>
      <c r="T11" s="329" t="s">
        <v>434</v>
      </c>
      <c r="U11" s="332" t="s">
        <v>435</v>
      </c>
      <c r="V11" s="332" t="s">
        <v>436</v>
      </c>
      <c r="X11" s="240"/>
      <c r="Y11" s="240"/>
      <c r="Z11" s="242"/>
      <c r="AA11" s="242"/>
      <c r="AB11" s="242"/>
      <c r="AC11" s="242"/>
    </row>
    <row r="12" spans="1:29" x14ac:dyDescent="0.25">
      <c r="A12" s="56" t="str">
        <f>IFERROR(HLOOKUP(A$8,Access_Data!$A$9:$BA$25,Comparison_Report!$S14,FALSE),"")</f>
        <v/>
      </c>
      <c r="B12" s="21"/>
      <c r="C12" s="22" t="str">
        <f>IF(OR(C$9="",$A12=""),"",HLOOKUP(C$9,Access_Data!$A$9:$BA$25,Comparison_Report!$S14,FALSE))</f>
        <v/>
      </c>
      <c r="D12" s="45"/>
      <c r="E12" s="30" t="str">
        <f t="shared" si="0"/>
        <v/>
      </c>
      <c r="F12" s="22" t="str">
        <f>IF(OR(F$9="",$A12=""),"",HLOOKUP(F$9,Access_Data!$A$9:$BA$25,Comparison_Report!$S14,FALSE))</f>
        <v/>
      </c>
      <c r="G12" s="45"/>
      <c r="H12" s="30" t="str">
        <f t="shared" si="1"/>
        <v/>
      </c>
      <c r="I12" s="22" t="str">
        <f>IF(OR(I$9="",$A12=""),"",HLOOKUP(I$9,Access_Data!$A$9:$BA$25,Comparison_Report!$S14,FALSE))</f>
        <v/>
      </c>
      <c r="J12" s="45"/>
      <c r="K12" s="30" t="str">
        <f t="shared" si="2"/>
        <v/>
      </c>
      <c r="L12" s="22" t="str">
        <f>IF(OR(L$9="",$A12=""),"",HLOOKUP(L$9,Access_Data!$A$9:$BA$25,Comparison_Report!$S14,FALSE))</f>
        <v/>
      </c>
      <c r="M12" s="45"/>
      <c r="N12" s="30" t="str">
        <f t="shared" si="3"/>
        <v/>
      </c>
      <c r="O12" s="240" t="e">
        <f>IF(R3, J9 &amp; " IS OOT!!!","")</f>
        <v>#VALUE!</v>
      </c>
      <c r="S12" s="326" t="e" cm="1">
        <f t="array" ref="S12">LOOKUP($K$5,Table7[#Headers]+0,Table7[#This Row])</f>
        <v>#N/A</v>
      </c>
      <c r="U12" s="332">
        <v>2</v>
      </c>
      <c r="V12" s="332">
        <v>2</v>
      </c>
      <c r="X12" s="240"/>
      <c r="Y12" s="240"/>
      <c r="Z12" s="242"/>
      <c r="AA12" s="242"/>
      <c r="AB12" s="242"/>
      <c r="AC12" s="242"/>
    </row>
    <row r="13" spans="1:29" x14ac:dyDescent="0.25">
      <c r="A13" s="56" t="str">
        <f>IFERROR(HLOOKUP(A$8,Access_Data!$A$9:$BA$25,Comparison_Report!$S15,FALSE),"")</f>
        <v/>
      </c>
      <c r="B13" s="21"/>
      <c r="C13" s="22" t="str">
        <f>IF(OR(C$9="",$A13=""),"",HLOOKUP(C$9,Access_Data!$A$9:$BA$25,Comparison_Report!$S15,FALSE))</f>
        <v/>
      </c>
      <c r="D13" s="45"/>
      <c r="E13" s="30" t="str">
        <f t="shared" si="0"/>
        <v/>
      </c>
      <c r="F13" s="22" t="str">
        <f>IF(OR(F$9="",$A13=""),"",HLOOKUP(F$9,Access_Data!$A$9:$BA$25,Comparison_Report!$S15,FALSE))</f>
        <v/>
      </c>
      <c r="G13" s="45"/>
      <c r="H13" s="30" t="str">
        <f t="shared" si="1"/>
        <v/>
      </c>
      <c r="I13" s="22" t="str">
        <f>IF(OR(I$9="",$A13=""),"",HLOOKUP(I$9,Access_Data!$A$9:$BA$25,Comparison_Report!$S15,FALSE))</f>
        <v/>
      </c>
      <c r="J13" s="45"/>
      <c r="K13" s="30" t="str">
        <f t="shared" si="2"/>
        <v/>
      </c>
      <c r="L13" s="22" t="str">
        <f>IF(OR(L$9="",$A13=""),"",HLOOKUP(L$9,Access_Data!$A$9:$BA$25,Comparison_Report!$S15,FALSE))</f>
        <v/>
      </c>
      <c r="M13" s="45"/>
      <c r="N13" s="30" t="str">
        <f t="shared" si="3"/>
        <v/>
      </c>
      <c r="O13" s="240" t="e">
        <f>IF(R4, M9 &amp;" IS OOT!!!","")</f>
        <v>#VALUE!</v>
      </c>
      <c r="S13" s="326" t="e" cm="1">
        <f t="array" ref="S13">LOOKUP($K$5,Table7[#Headers]+0,Table7[#This Row])</f>
        <v>#N/A</v>
      </c>
      <c r="U13" s="332">
        <v>4</v>
      </c>
      <c r="V13" s="332">
        <v>7</v>
      </c>
      <c r="X13" s="240"/>
      <c r="Y13" s="240"/>
      <c r="Z13" s="242"/>
      <c r="AA13" s="242"/>
      <c r="AB13" s="242"/>
      <c r="AC13" s="242"/>
    </row>
    <row r="14" spans="1:29" x14ac:dyDescent="0.25">
      <c r="A14" s="56" t="str">
        <f>IFERROR(HLOOKUP(A$8,Access_Data!$A$9:$BA$25,Comparison_Report!$S16,FALSE),"")</f>
        <v/>
      </c>
      <c r="B14" s="21"/>
      <c r="C14" s="22" t="str">
        <f>IF(OR(C$9="",$A14=""),"",HLOOKUP(C$9,Access_Data!$A$9:$BA$25,Comparison_Report!$S16,FALSE))</f>
        <v/>
      </c>
      <c r="D14" s="45" t="str" cm="1">
        <f t="array" ref="D14">IF(OR(ISBLANK(Main!B37),A14=""),"",TRANSPOSE(Main!H37:L37))</f>
        <v/>
      </c>
      <c r="E14" s="30" t="str">
        <f t="shared" si="0"/>
        <v/>
      </c>
      <c r="F14" s="22" t="str">
        <f>IF(OR(F$9="",$A14=""),"",HLOOKUP(F$9,Access_Data!$A$9:$BA$25,Comparison_Report!$S16,FALSE))</f>
        <v/>
      </c>
      <c r="G14" s="45" t="str" cm="1">
        <f t="array" ref="G14">IF(OR(ISBLANK(Main!B38),A14=""),"",TRANSPOSE(Main!H38:L38))</f>
        <v/>
      </c>
      <c r="H14" s="30" t="str">
        <f t="shared" si="1"/>
        <v/>
      </c>
      <c r="I14" s="22" t="str">
        <f>IF(OR(I$9="",$A14=""),"",HLOOKUP(I$9,Access_Data!$A$9:$BA$25,Comparison_Report!$S16,FALSE))</f>
        <v/>
      </c>
      <c r="J14" s="45" t="str" cm="1">
        <f t="array" ref="J14">IF(OR(ISBLANK(Main!B39),A14=""),"",TRANSPOSE(Main!H39:L39))</f>
        <v/>
      </c>
      <c r="K14" s="30" t="str">
        <f t="shared" si="2"/>
        <v/>
      </c>
      <c r="L14" s="22" t="str">
        <f>IF(OR(L$9="",$A14=""),"",HLOOKUP(L$9,Access_Data!$A$9:$BA$25,Comparison_Report!$S16,FALSE))</f>
        <v/>
      </c>
      <c r="M14" s="45" t="str" cm="1">
        <f t="array" ref="M14">IF(OR(ISBLANK(Main!B40),A14=""),"",TRANSPOSE(Main!H40:L40))</f>
        <v/>
      </c>
      <c r="N14" s="30" t="str">
        <f t="shared" si="3"/>
        <v/>
      </c>
      <c r="O14" s="241"/>
      <c r="S14" s="326" t="e" cm="1">
        <f t="array" ref="S14">LOOKUP($K$5,Table7[#Headers]+0,Table7[#This Row])</f>
        <v>#N/A</v>
      </c>
      <c r="U14" s="332">
        <v>6</v>
      </c>
      <c r="V14" s="332">
        <v>12</v>
      </c>
      <c r="X14" s="240"/>
      <c r="Y14" s="240"/>
      <c r="Z14" s="242"/>
      <c r="AA14" s="242"/>
      <c r="AB14" s="242"/>
      <c r="AC14" s="242"/>
    </row>
    <row r="15" spans="1:29" x14ac:dyDescent="0.25">
      <c r="A15" s="56" t="str">
        <f>IFERROR(HLOOKUP(A$8,Access_Data!$A$9:$BA$25,Comparison_Report!$S17,FALSE),"")</f>
        <v/>
      </c>
      <c r="B15" s="21"/>
      <c r="C15" s="22" t="str">
        <f>IF(OR(C$9="",$A15=""),"",HLOOKUP(C$9,Access_Data!$A$9:$BA$25,Comparison_Report!$S17,FALSE))</f>
        <v/>
      </c>
      <c r="D15" s="45"/>
      <c r="E15" s="30" t="str">
        <f t="shared" si="0"/>
        <v/>
      </c>
      <c r="F15" s="22" t="str">
        <f>IF(OR(F$9="",$A15=""),"",HLOOKUP(F$9,Access_Data!$A$9:$BA$25,Comparison_Report!$S17,FALSE))</f>
        <v/>
      </c>
      <c r="G15" s="45"/>
      <c r="H15" s="30" t="str">
        <f t="shared" si="1"/>
        <v/>
      </c>
      <c r="I15" s="22" t="str">
        <f>IF(OR(I$9="",$A15=""),"",HLOOKUP(I$9,Access_Data!$A$9:$BA$25,Comparison_Report!$S17,FALSE))</f>
        <v/>
      </c>
      <c r="J15" s="45"/>
      <c r="K15" s="30" t="str">
        <f t="shared" si="2"/>
        <v/>
      </c>
      <c r="L15" s="22" t="str">
        <f>IF(OR(L$9="",$A15=""),"",HLOOKUP(L$9,Access_Data!$A$9:$BA$25,Comparison_Report!$S17,FALSE))</f>
        <v/>
      </c>
      <c r="M15" s="45"/>
      <c r="N15" s="30" t="str">
        <f t="shared" si="3"/>
        <v/>
      </c>
      <c r="O15" s="241"/>
      <c r="S15" s="326" t="e" cm="1">
        <f t="array" ref="S15">LOOKUP($K$5,Table7[#Headers]+0,Table7[#This Row])</f>
        <v>#N/A</v>
      </c>
      <c r="U15" s="332">
        <v>8</v>
      </c>
      <c r="V15" s="332">
        <v>17</v>
      </c>
      <c r="X15" s="240"/>
      <c r="Y15" s="240"/>
      <c r="Z15" s="242"/>
      <c r="AA15" s="242"/>
      <c r="AB15" s="242"/>
      <c r="AC15" s="242"/>
    </row>
    <row r="16" spans="1:29" x14ac:dyDescent="0.25">
      <c r="A16" s="56" t="str">
        <f>IFERROR(HLOOKUP(A$8,Access_Data!$A$9:$BA$25,Comparison_Report!$S18,FALSE),"")</f>
        <v/>
      </c>
      <c r="B16" s="21"/>
      <c r="C16" s="22" t="str">
        <f>IF(OR(C$9="",$A16=""),"",HLOOKUP(C$9,Access_Data!$A$9:$BA$25,Comparison_Report!$S18,FALSE))</f>
        <v/>
      </c>
      <c r="D16" s="45"/>
      <c r="E16" s="30" t="str">
        <f t="shared" si="0"/>
        <v/>
      </c>
      <c r="F16" s="22" t="str">
        <f>IF(OR(F$9="",$A16=""),"",HLOOKUP(F$9,Access_Data!$A$9:$BA$25,Comparison_Report!$S18,FALSE))</f>
        <v/>
      </c>
      <c r="G16" s="45"/>
      <c r="H16" s="30" t="str">
        <f t="shared" si="1"/>
        <v/>
      </c>
      <c r="I16" s="22" t="str">
        <f>IF(OR(I$9="",$A16=""),"",HLOOKUP(I$9,Access_Data!$A$9:$BA$25,Comparison_Report!$S18,FALSE))</f>
        <v/>
      </c>
      <c r="J16" s="45"/>
      <c r="K16" s="30" t="str">
        <f t="shared" si="2"/>
        <v/>
      </c>
      <c r="L16" s="22" t="str">
        <f>IF(OR(L$9="",$A16=""),"",HLOOKUP(L$9,Access_Data!$A$9:$BA$25,Comparison_Report!$S18,FALSE))</f>
        <v/>
      </c>
      <c r="M16" s="45"/>
      <c r="N16" s="30" t="str">
        <f t="shared" si="3"/>
        <v/>
      </c>
      <c r="O16" s="241"/>
      <c r="S16" s="326" t="e" cm="1">
        <f t="array" ref="S16">LOOKUP($K$5,Table7[#Headers]+0,Table7[#This Row])</f>
        <v>#N/A</v>
      </c>
      <c r="U16" s="332">
        <v>10</v>
      </c>
      <c r="V16" s="332">
        <v>22</v>
      </c>
      <c r="X16" s="240"/>
      <c r="Y16" s="240"/>
      <c r="Z16" s="242"/>
      <c r="AA16" s="242"/>
      <c r="AB16" s="242"/>
      <c r="AC16" s="242"/>
    </row>
    <row r="17" spans="1:22" x14ac:dyDescent="0.25">
      <c r="A17" s="56" t="str">
        <f>IFERROR(HLOOKUP(A$8,Access_Data!$A$9:$BA$25,Comparison_Report!$S19,FALSE),"")</f>
        <v/>
      </c>
      <c r="B17" s="21"/>
      <c r="C17" s="22" t="str">
        <f>IF(OR(C$9="",$A17=""),"",HLOOKUP(C$9,Access_Data!$A$9:$BA$25,Comparison_Report!$S19,FALSE))</f>
        <v/>
      </c>
      <c r="D17" s="45"/>
      <c r="E17" s="30" t="str">
        <f t="shared" si="0"/>
        <v/>
      </c>
      <c r="F17" s="22" t="str">
        <f>IF(OR(F$9="",$A17=""),"",HLOOKUP(F$9,Access_Data!$A$9:$BA$25,Comparison_Report!$S19,FALSE))</f>
        <v/>
      </c>
      <c r="G17" s="45"/>
      <c r="H17" s="30" t="str">
        <f t="shared" si="1"/>
        <v/>
      </c>
      <c r="I17" s="22" t="str">
        <f>IF(OR(I$9="",$A17=""),"",HLOOKUP(I$9,Access_Data!$A$9:$BA$25,Comparison_Report!$S19,FALSE))</f>
        <v/>
      </c>
      <c r="J17" s="45"/>
      <c r="K17" s="30" t="str">
        <f t="shared" si="2"/>
        <v/>
      </c>
      <c r="L17" s="22" t="str">
        <f>IF(OR(L$9="",$A17=""),"",HLOOKUP(L$9,Access_Data!$A$9:$BA$25,Comparison_Report!$S19,FALSE))</f>
        <v/>
      </c>
      <c r="M17" s="45"/>
      <c r="N17" s="30" t="str">
        <f t="shared" si="3"/>
        <v/>
      </c>
      <c r="O17" s="29"/>
      <c r="S17" s="326" t="e" cm="1">
        <f t="array" ref="S17">LOOKUP($K$5,Table7[#Headers]+0,Table7[#This Row])</f>
        <v>#N/A</v>
      </c>
      <c r="U17" s="332">
        <v>12</v>
      </c>
      <c r="V17" s="332" t="s">
        <v>34</v>
      </c>
    </row>
    <row r="18" spans="1:22" x14ac:dyDescent="0.25">
      <c r="A18" s="56" t="str">
        <f>IFERROR(HLOOKUP(A$8,Access_Data!$A$9:$BA$25,Comparison_Report!$S20,FALSE),"")</f>
        <v/>
      </c>
      <c r="B18" s="21"/>
      <c r="C18" s="22" t="str">
        <f>IF(OR(C$9="",$A18=""),"",HLOOKUP(C$9,Access_Data!$A$9:$BA$25,Comparison_Report!$S20,FALSE))</f>
        <v/>
      </c>
      <c r="D18" s="45"/>
      <c r="E18" s="30" t="str">
        <f>IF(OR(C18="",D18=""),"",D18-C18)</f>
        <v/>
      </c>
      <c r="F18" s="22" t="str">
        <f>IF(OR(F$9="",$A18=""),"",HLOOKUP(F$9,Access_Data!$A$9:$BA$25,Comparison_Report!$S20,FALSE))</f>
        <v/>
      </c>
      <c r="G18" s="45"/>
      <c r="H18" s="30" t="str">
        <f t="shared" si="1"/>
        <v/>
      </c>
      <c r="I18" s="22" t="str">
        <f>IF(OR(I$9="",$A18=""),"",HLOOKUP(I$9,Access_Data!$A$9:$BA$25,Comparison_Report!$S20,FALSE))</f>
        <v/>
      </c>
      <c r="J18" s="45"/>
      <c r="K18" s="30" t="str">
        <f t="shared" si="2"/>
        <v/>
      </c>
      <c r="L18" s="22" t="str">
        <f>IF(OR(L$9="",$A18=""),"",HLOOKUP(L$9,Access_Data!$A$9:$BA$25,Comparison_Report!$S20,FALSE))</f>
        <v/>
      </c>
      <c r="M18" s="45"/>
      <c r="N18" s="30" t="str">
        <f t="shared" si="3"/>
        <v/>
      </c>
      <c r="O18" s="29"/>
      <c r="S18" s="326" t="e" cm="1">
        <f t="array" ref="S18">LOOKUP($K$5,Table7[#Headers]+0,Table7[#This Row])</f>
        <v>#N/A</v>
      </c>
      <c r="U18" s="332">
        <v>14</v>
      </c>
      <c r="V18" s="332" t="s">
        <v>34</v>
      </c>
    </row>
    <row r="19" spans="1:22" x14ac:dyDescent="0.25">
      <c r="A19" s="17">
        <v>0</v>
      </c>
      <c r="B19" s="17"/>
      <c r="C19" s="17"/>
      <c r="D19" s="32">
        <v>1</v>
      </c>
      <c r="E19" s="17" t="str">
        <f>IF(ISNUMBER(SEARCH(".",E10))=TRUE,".","")</f>
        <v/>
      </c>
      <c r="F19" s="17"/>
      <c r="G19" s="32">
        <v>1</v>
      </c>
      <c r="H19" s="15" t="e" cm="1">
        <f t="array" ref="H19">IF(OR(S16:S23=1),"CHECK READINGS!!!","")</f>
        <v>#N/A</v>
      </c>
      <c r="I19" s="17"/>
      <c r="J19" s="32">
        <v>1</v>
      </c>
      <c r="K19" s="17" t="str">
        <f>IF(ISNUMBER(SEARCH(".",K10))=TRUE,".","")</f>
        <v/>
      </c>
      <c r="L19" s="17"/>
      <c r="M19" s="32">
        <v>1</v>
      </c>
      <c r="N19" s="17" t="str">
        <f>IF(ISNUMBER(SEARCH(".",N10))=TRUE,".","")</f>
        <v/>
      </c>
      <c r="O19" s="29"/>
      <c r="S19" s="326" t="e" cm="1">
        <f t="array" ref="S19">LOOKUP($K$5,Table7[#Headers]+0,Table7[#This Row])</f>
        <v>#N/A</v>
      </c>
      <c r="U19" s="332">
        <v>16</v>
      </c>
      <c r="V19" s="332" t="s">
        <v>34</v>
      </c>
    </row>
    <row r="20" spans="1:22" x14ac:dyDescent="0.25">
      <c r="C20" s="18" t="s">
        <v>24</v>
      </c>
      <c r="D20" s="18" t="s">
        <v>25</v>
      </c>
      <c r="F20" s="18" t="s">
        <v>24</v>
      </c>
      <c r="G20" s="18" t="s">
        <v>25</v>
      </c>
      <c r="H20" s="18"/>
      <c r="I20" s="18" t="s">
        <v>24</v>
      </c>
      <c r="J20" s="18" t="s">
        <v>25</v>
      </c>
      <c r="K20" s="18"/>
      <c r="L20" s="18" t="s">
        <v>24</v>
      </c>
      <c r="M20" s="18" t="s">
        <v>25</v>
      </c>
      <c r="O20" s="29"/>
      <c r="S20" s="326" t="e" cm="1">
        <f t="array" ref="S20">LOOKUP($K$5,Table7[#Headers]+0,Table7[#This Row])</f>
        <v>#N/A</v>
      </c>
      <c r="U20" s="332">
        <v>17</v>
      </c>
      <c r="V20" s="332" t="s">
        <v>34</v>
      </c>
    </row>
    <row r="21" spans="1:22" ht="15.75" thickBot="1" x14ac:dyDescent="0.3">
      <c r="A21" s="19" t="s">
        <v>26</v>
      </c>
      <c r="B21" s="19"/>
      <c r="C21" s="43" t="str">
        <f>IF(ISBLANK(Main!B41),"",Main!B41)</f>
        <v/>
      </c>
      <c r="D21" s="20" t="str">
        <f>IF(ISBLANK(Main!B41),"",Main!C41)</f>
        <v/>
      </c>
      <c r="E21" s="20" t="s">
        <v>27</v>
      </c>
      <c r="F21" s="43" t="str">
        <f>IF(ISBLANK(Main!B42),"",Main!B42)</f>
        <v/>
      </c>
      <c r="G21" s="20" t="str">
        <f>IF(ISBLANK(Main!B42),"",Main!C42)</f>
        <v/>
      </c>
      <c r="H21" s="20" t="s">
        <v>27</v>
      </c>
      <c r="I21" s="43" t="str">
        <f>IF(ISBLANK(Main!B43),"",Main!B43)</f>
        <v/>
      </c>
      <c r="J21" s="20" t="str">
        <f>IF(ISBLANK(Main!B43),"",Main!C43)</f>
        <v/>
      </c>
      <c r="K21" s="20" t="s">
        <v>27</v>
      </c>
      <c r="L21" s="43" t="str">
        <f>IF(ISBLANK(Main!B44),"",Main!B44)</f>
        <v/>
      </c>
      <c r="M21" s="20" t="str">
        <f>IF(ISBLANK(Main!C44),"",Main!C44)</f>
        <v/>
      </c>
      <c r="N21" s="20" t="s">
        <v>27</v>
      </c>
      <c r="S21" s="326" t="e" cm="1">
        <f t="array" ref="S21">LOOKUP($K$5,Table7[#Headers]+0,Table7[#This Row])</f>
        <v>#N/A</v>
      </c>
      <c r="U21" s="332">
        <v>21</v>
      </c>
      <c r="V21" s="332" t="s">
        <v>34</v>
      </c>
    </row>
    <row r="22" spans="1:22" x14ac:dyDescent="0.25">
      <c r="A22" s="56" t="str">
        <f>IF(C$21="","",IFERROR(HLOOKUP(A$8,Access_Data!$A$9:$BA$25,Comparison_Report!$S12,FALSE),""))</f>
        <v/>
      </c>
      <c r="B22" s="21"/>
      <c r="C22" s="22" t="str">
        <f>IF(OR(C$21="",$A22=""),"",HLOOKUP(C$21,Access_Data!$A$9:$BA$25,Comparison_Report!$S12,FALSE))</f>
        <v/>
      </c>
      <c r="D22" s="45" t="str" cm="1">
        <f t="array" ref="D22">IF(ISBLANK(Main!B41),"",TRANSPOSE(Main!D41:G41))</f>
        <v/>
      </c>
      <c r="E22" s="30" t="str">
        <f t="shared" ref="E22:E28" si="4">IF(OR(C22="",D22=""),"",D22-C22)</f>
        <v/>
      </c>
      <c r="F22" s="22" t="str">
        <f>IF(AND(F$21&lt;&gt;"",$A22&lt;&gt;""),HLOOKUP(F$21,Access_Data!$A$9:$BA$25,Comparison_Report!$S12,FALSE),"")</f>
        <v/>
      </c>
      <c r="G22" s="45" t="str" cm="1">
        <f t="array" ref="G22">IF(ISBLANK(Main!B42),"",TRANSPOSE(Main!D42:G42))</f>
        <v/>
      </c>
      <c r="H22" s="30" t="str">
        <f>IF(OR(F22="",G22=""),"",G22-F22)</f>
        <v/>
      </c>
      <c r="I22" s="22" t="str">
        <f>IF(OR(I$21="",$A22=""),"",HLOOKUP(I$21,Access_Data!$A$9:$BA$25,Comparison_Report!$S12,FALSE))</f>
        <v/>
      </c>
      <c r="J22" s="45" t="str" cm="1">
        <f t="array" ref="J22">IF(ISBLANK(Main!B43),"",TRANSPOSE(Main!D43:G43))</f>
        <v/>
      </c>
      <c r="K22" s="30" t="str">
        <f>IF(OR(I22="",J22=""),"",J22-I22)</f>
        <v/>
      </c>
      <c r="L22" s="22" t="e">
        <f>IF(OR(L$21&lt;&gt;"",$A22&lt;&gt;""),"",HLOOKUP(L$21,Access_Data!$A$9:$BA$25,Comparison_Report!$S12,FALSE))</f>
        <v>#N/A</v>
      </c>
      <c r="M22" s="45" t="str" cm="1">
        <f t="array" ref="M22">IF(ISBLANK(Main!B44),"",TRANSPOSE(Main!D44:G44))</f>
        <v/>
      </c>
      <c r="N22" s="30" t="e">
        <f>IF(OR(L22="",M22=""),"",M22-L22)</f>
        <v>#N/A</v>
      </c>
      <c r="O22" s="28" t="e">
        <f>IF(R5, D21 &amp;" IS OOT!!!","")</f>
        <v>#VALUE!</v>
      </c>
      <c r="S22" s="326" t="e" cm="1">
        <f t="array" ref="S22">LOOKUP($K$5,Table7[#Headers]+0,Table7[#This Row])</f>
        <v>#N/A</v>
      </c>
      <c r="U22" s="332" t="s">
        <v>34</v>
      </c>
      <c r="V22" s="332" t="s">
        <v>34</v>
      </c>
    </row>
    <row r="23" spans="1:22" x14ac:dyDescent="0.25">
      <c r="A23" s="56" t="str">
        <f>IF(C$21="","",IFERROR(HLOOKUP(A$8,Access_Data!$A$9:$BA$25,Comparison_Report!$S13,FALSE),""))</f>
        <v/>
      </c>
      <c r="B23" s="21"/>
      <c r="C23" s="22" t="str">
        <f>IF(OR(C$21="",$A23=""),"",HLOOKUP(C$21,Access_Data!$A$9:$BA$25,Comparison_Report!$S13,FALSE))</f>
        <v/>
      </c>
      <c r="D23" s="45"/>
      <c r="E23" s="30" t="str">
        <f t="shared" si="4"/>
        <v/>
      </c>
      <c r="F23" s="22" t="str">
        <f>IF(AND(F$21&lt;&gt;"",$A23&lt;&gt;""),HLOOKUP(F$21,Access_Data!$A$9:$BA$25,Comparison_Report!$S13,FALSE),"")</f>
        <v/>
      </c>
      <c r="G23" s="45"/>
      <c r="H23" s="30" t="str">
        <f t="shared" ref="H23:H30" si="5">IF(OR(F23="",G23=""),"",G23-F23)</f>
        <v/>
      </c>
      <c r="I23" s="22" t="str">
        <f>IF(OR(I$21="",$A23=""),"",HLOOKUP(I$21,Access_Data!$A$9:$BA$25,Comparison_Report!$S13,FALSE))</f>
        <v/>
      </c>
      <c r="J23" s="45"/>
      <c r="K23" s="30" t="str">
        <f t="shared" ref="K23:K30" si="6">IF(OR(I23="",J23=""),"",J23-I23)</f>
        <v/>
      </c>
      <c r="L23" s="22" t="e">
        <f>IF(OR(L$21&lt;&gt;"",$A23&lt;&gt;""),"",HLOOKUP(L$21,Access_Data!$A$9:$BA$25,Comparison_Report!$S13,FALSE))</f>
        <v>#N/A</v>
      </c>
      <c r="M23" s="45"/>
      <c r="N23" s="30" t="e">
        <f t="shared" ref="N23:N30" si="7">IF(OR(L23="",M23=""),"",M23-L23)</f>
        <v>#N/A</v>
      </c>
      <c r="O23" s="28" t="e">
        <f>IF(R6, G21 &amp;" IS OOT!!!","")</f>
        <v>#VALUE!</v>
      </c>
      <c r="U23" s="332" t="s">
        <v>34</v>
      </c>
      <c r="V23" s="332" t="s">
        <v>34</v>
      </c>
    </row>
    <row r="24" spans="1:22" x14ac:dyDescent="0.25">
      <c r="A24" s="56" t="str">
        <f>IF(C$21="","",IFERROR(HLOOKUP(A$8,Access_Data!$A$9:$BA$25,Comparison_Report!$S14,FALSE),""))</f>
        <v/>
      </c>
      <c r="B24" s="21"/>
      <c r="C24" s="22" t="str">
        <f>IF(OR(C$21="",$A24=""),"",HLOOKUP(C$21,Access_Data!$A$9:$BA$25,Comparison_Report!$S14,FALSE))</f>
        <v/>
      </c>
      <c r="D24" s="45"/>
      <c r="E24" s="30" t="str">
        <f t="shared" si="4"/>
        <v/>
      </c>
      <c r="F24" s="22" t="str">
        <f>IF(AND(F$21&lt;&gt;"",$A24&lt;&gt;""),HLOOKUP(F$21,Access_Data!$A$9:$BA$25,Comparison_Report!$S14,FALSE),"")</f>
        <v/>
      </c>
      <c r="G24" s="45"/>
      <c r="H24" s="30" t="str">
        <f t="shared" si="5"/>
        <v/>
      </c>
      <c r="I24" s="22" t="str">
        <f>IF(OR(I$21="",$A24=""),"",HLOOKUP(I$21,Access_Data!$A$9:$BA$25,Comparison_Report!$S14,FALSE))</f>
        <v/>
      </c>
      <c r="J24" s="45"/>
      <c r="K24" s="30" t="str">
        <f t="shared" si="6"/>
        <v/>
      </c>
      <c r="L24" s="22" t="e">
        <f>IF(OR(L$21&lt;&gt;"",$A24&lt;&gt;""),"",HLOOKUP(L$21,Access_Data!$A$9:$BA$25,Comparison_Report!$S14,FALSE))</f>
        <v>#N/A</v>
      </c>
      <c r="M24" s="45"/>
      <c r="N24" s="30" t="e">
        <f t="shared" si="7"/>
        <v>#N/A</v>
      </c>
      <c r="O24" s="28" t="e">
        <f>IF(R7, J21 &amp; " IS OOT!!!","")</f>
        <v>#VALUE!</v>
      </c>
      <c r="S24" s="330"/>
      <c r="U24" s="332" t="s">
        <v>34</v>
      </c>
      <c r="V24" s="332" t="s">
        <v>34</v>
      </c>
    </row>
    <row r="25" spans="1:22" x14ac:dyDescent="0.25">
      <c r="A25" s="56" t="str">
        <f>IF(C$21="","",IFERROR(HLOOKUP(A$8,Access_Data!$A$9:$BA$25,Comparison_Report!$S15,FALSE),""))</f>
        <v/>
      </c>
      <c r="B25" s="21"/>
      <c r="C25" s="22" t="str">
        <f>IF(OR(C$21="",$A25=""),"",HLOOKUP(C$21,Access_Data!$A$9:$BA$25,Comparison_Report!$S15,FALSE))</f>
        <v/>
      </c>
      <c r="D25" s="45"/>
      <c r="E25" s="30" t="str">
        <f t="shared" si="4"/>
        <v/>
      </c>
      <c r="F25" s="22" t="str">
        <f>IF(AND(F$21&lt;&gt;"",$A25&lt;&gt;""),HLOOKUP(F$21,Access_Data!$A$9:$BA$25,Comparison_Report!$S15,FALSE),"")</f>
        <v/>
      </c>
      <c r="G25" s="45"/>
      <c r="H25" s="30" t="str">
        <f t="shared" si="5"/>
        <v/>
      </c>
      <c r="I25" s="22" t="str">
        <f>IF(OR(I$21="",$A25=""),"",HLOOKUP(I$21,Access_Data!$A$9:$BA$25,Comparison_Report!$S15,FALSE))</f>
        <v/>
      </c>
      <c r="J25" s="45"/>
      <c r="K25" s="30" t="str">
        <f t="shared" si="6"/>
        <v/>
      </c>
      <c r="L25" s="22" t="e">
        <f>IF(OR(L$21&lt;&gt;"",$A25&lt;&gt;""),"",HLOOKUP(L$21,Access_Data!$A$9:$BA$25,Comparison_Report!$S15,FALSE))</f>
        <v>#N/A</v>
      </c>
      <c r="M25" s="45"/>
      <c r="N25" s="30" t="e">
        <f t="shared" si="7"/>
        <v>#N/A</v>
      </c>
      <c r="O25" s="28" t="e">
        <f>IF(R8, M21 &amp; " IS OOT!!!","")</f>
        <v>#N/A</v>
      </c>
      <c r="U25" s="332" t="s">
        <v>34</v>
      </c>
      <c r="V25" s="332" t="s">
        <v>34</v>
      </c>
    </row>
    <row r="26" spans="1:22" x14ac:dyDescent="0.25">
      <c r="A26" s="56" t="str">
        <f>IF(C$21="","",IFERROR(HLOOKUP(A$8,Access_Data!$A$9:$BA$25,Comparison_Report!$S16,FALSE),""))</f>
        <v/>
      </c>
      <c r="B26" s="21"/>
      <c r="C26" s="22" t="str">
        <f>IF(OR(C$21="",$A26=""),"",HLOOKUP(C$21,Access_Data!$A$9:$BA$25,Comparison_Report!$S16,FALSE))</f>
        <v/>
      </c>
      <c r="D26" s="45" t="str" cm="1">
        <f t="array" ref="D26">IF(OR(ISBLANK(Main!B41),A26=""),"",TRANSPOSE(Main!H41:L41))</f>
        <v/>
      </c>
      <c r="E26" s="30" t="str">
        <f t="shared" si="4"/>
        <v/>
      </c>
      <c r="F26" s="22" t="str">
        <f>IF(AND(F$21&lt;&gt;"",$A26&lt;&gt;""),HLOOKUP(F$21,Access_Data!$A$9:$BA$25,Comparison_Report!$S16,FALSE),"")</f>
        <v/>
      </c>
      <c r="G26" s="45" t="str" cm="1">
        <f t="array" ref="G26">IF(OR(ISBLANK(Main!B42),A26=""),"",TRANSPOSE(Main!H42:L42))</f>
        <v/>
      </c>
      <c r="H26" s="30" t="str">
        <f t="shared" si="5"/>
        <v/>
      </c>
      <c r="I26" s="22" t="str">
        <f>IF(OR(I$21="",$A26=""),"",HLOOKUP(I$21,Access_Data!$A$9:$BA$25,Comparison_Report!$S16,FALSE))</f>
        <v/>
      </c>
      <c r="J26" s="45" t="str" cm="1">
        <f t="array" ref="J26">IF(OR(ISBLANK(Main!B43),A26=""),"",TRANSPOSE(Main!H43:L43))</f>
        <v/>
      </c>
      <c r="K26" s="30" t="str">
        <f t="shared" si="6"/>
        <v/>
      </c>
      <c r="L26" s="22" t="e">
        <f>IF(OR(L$21&lt;&gt;"",$A26&lt;&gt;""),"",HLOOKUP(L$21,Access_Data!$A$9:$BA$25,Comparison_Report!$S16,FALSE))</f>
        <v>#N/A</v>
      </c>
      <c r="M26" s="45" t="str" cm="1">
        <f t="array" ref="M26">IF(OR(ISBLANK(Main!B44),A26=""),"",TRANSPOSE(Main!H44:L44))</f>
        <v/>
      </c>
      <c r="N26" s="30" t="e">
        <f t="shared" si="7"/>
        <v>#N/A</v>
      </c>
    </row>
    <row r="27" spans="1:22" x14ac:dyDescent="0.25">
      <c r="A27" s="56" t="str">
        <f>IF(C$21="","",IFERROR(HLOOKUP(A$8,Access_Data!$A$9:$BA$25,Comparison_Report!$S17,FALSE),""))</f>
        <v/>
      </c>
      <c r="B27" s="21"/>
      <c r="C27" s="22" t="str">
        <f>IF(OR(C$21="",$A27=""),"",HLOOKUP(C$21,Access_Data!$A$9:$BA$25,Comparison_Report!$S17,FALSE))</f>
        <v/>
      </c>
      <c r="D27" s="45"/>
      <c r="E27" s="30" t="str">
        <f t="shared" si="4"/>
        <v/>
      </c>
      <c r="F27" s="22" t="str">
        <f>IF(AND(F$21&lt;&gt;"",$A27&lt;&gt;""),HLOOKUP(F$21,Access_Data!$A$9:$BA$25,Comparison_Report!$S17,FALSE),"")</f>
        <v/>
      </c>
      <c r="G27" s="45"/>
      <c r="H27" s="30" t="str">
        <f t="shared" si="5"/>
        <v/>
      </c>
      <c r="I27" s="22" t="str">
        <f>IF(OR(I$21="",$A27=""),"",HLOOKUP(I$21,Access_Data!$A$9:$BA$25,Comparison_Report!$S17,FALSE))</f>
        <v/>
      </c>
      <c r="J27" s="45"/>
      <c r="K27" s="30" t="str">
        <f t="shared" si="6"/>
        <v/>
      </c>
      <c r="L27" s="22" t="e">
        <f>IF(OR(L$21&lt;&gt;"",$A27&lt;&gt;""),"",HLOOKUP(L$21,Access_Data!$A$9:$BA$25,Comparison_Report!$S17,FALSE))</f>
        <v>#N/A</v>
      </c>
      <c r="M27" s="45"/>
      <c r="N27" s="30" t="e">
        <f t="shared" si="7"/>
        <v>#N/A</v>
      </c>
    </row>
    <row r="28" spans="1:22" x14ac:dyDescent="0.25">
      <c r="A28" s="56" t="str">
        <f>IF(C$21="","",IFERROR(HLOOKUP(A$8,Access_Data!$A$9:$BA$25,Comparison_Report!$S18,FALSE),""))</f>
        <v/>
      </c>
      <c r="B28" s="21"/>
      <c r="C28" s="22" t="str">
        <f>IF(OR(C$21="",$A28=""),"",HLOOKUP(C$21,Access_Data!$A$9:$BA$25,Comparison_Report!$S18,FALSE))</f>
        <v/>
      </c>
      <c r="D28" s="45"/>
      <c r="E28" s="30" t="str">
        <f t="shared" si="4"/>
        <v/>
      </c>
      <c r="F28" s="22" t="str">
        <f>IF(AND(F$21&lt;&gt;"",$A28&lt;&gt;""),HLOOKUP(F$21,Access_Data!$A$9:$BA$25,Comparison_Report!$S18,FALSE),"")</f>
        <v/>
      </c>
      <c r="G28" s="45"/>
      <c r="H28" s="30" t="str">
        <f t="shared" si="5"/>
        <v/>
      </c>
      <c r="I28" s="22" t="str">
        <f>IF(OR(I$21="",$A28=""),"",HLOOKUP(I$21,Access_Data!$A$9:$BA$25,Comparison_Report!$S18,FALSE))</f>
        <v/>
      </c>
      <c r="J28" s="45"/>
      <c r="K28" s="30" t="str">
        <f t="shared" si="6"/>
        <v/>
      </c>
      <c r="L28" s="22" t="e">
        <f>IF(OR(L$21&lt;&gt;"",$A28&lt;&gt;""),"",HLOOKUP(L$21,Access_Data!$A$9:$BA$25,Comparison_Report!$S18,FALSE))</f>
        <v>#N/A</v>
      </c>
      <c r="M28" s="45"/>
      <c r="N28" s="30" t="e">
        <f t="shared" si="7"/>
        <v>#N/A</v>
      </c>
    </row>
    <row r="29" spans="1:22" x14ac:dyDescent="0.25">
      <c r="A29" s="56" t="str">
        <f>IF(C$21="","",IFERROR(HLOOKUP(A$8,Access_Data!$A$9:$BA$25,Comparison_Report!$S19,FALSE),""))</f>
        <v/>
      </c>
      <c r="B29" s="21"/>
      <c r="C29" s="22" t="str">
        <f>IF(OR(C$21="",$A29=""),"",HLOOKUP(C$21,Access_Data!$A$9:$BA$25,Comparison_Report!$S19,FALSE))</f>
        <v/>
      </c>
      <c r="D29" s="45"/>
      <c r="E29" s="30" t="str">
        <f>IF(OR(C29="",D29=""),"",D29-C29)</f>
        <v/>
      </c>
      <c r="F29" s="22" t="str">
        <f>IF(AND(F$21&lt;&gt;"",$A29&lt;&gt;""),HLOOKUP(F$21,Access_Data!$A$9:$BA$25,Comparison_Report!$S19,FALSE),"")</f>
        <v/>
      </c>
      <c r="G29" s="45"/>
      <c r="H29" s="30" t="str">
        <f t="shared" si="5"/>
        <v/>
      </c>
      <c r="I29" s="22" t="str">
        <f>IF(OR(I$21="",$A29=""),"",HLOOKUP(I$21,Access_Data!$A$9:$BA$25,Comparison_Report!$S19,FALSE))</f>
        <v/>
      </c>
      <c r="J29" s="45"/>
      <c r="K29" s="30" t="str">
        <f t="shared" si="6"/>
        <v/>
      </c>
      <c r="L29" s="22" t="e">
        <f>IF(OR(L$21&lt;&gt;"",$A29&lt;&gt;""),"",HLOOKUP(L$21,Access_Data!$A$9:$BA$25,Comparison_Report!$S19,FALSE))</f>
        <v>#N/A</v>
      </c>
      <c r="M29" s="45"/>
      <c r="N29" s="30" t="e">
        <f t="shared" si="7"/>
        <v>#N/A</v>
      </c>
    </row>
    <row r="30" spans="1:22" x14ac:dyDescent="0.25">
      <c r="A30" s="56" t="str">
        <f>IF(C$21="","",IFERROR(HLOOKUP(A$8,Access_Data!$A$9:$BA$25,Comparison_Report!$S20,FALSE),""))</f>
        <v/>
      </c>
      <c r="B30" s="21"/>
      <c r="C30" s="22" t="str">
        <f>IF(OR(C$21="",$A30=""),"",HLOOKUP(C$21,Access_Data!$A$9:$BA$25,Comparison_Report!$S20,FALSE))</f>
        <v/>
      </c>
      <c r="D30" s="45"/>
      <c r="E30" s="30" t="str">
        <f>IF(OR(C30="",D30=""),"",D30-C30)</f>
        <v/>
      </c>
      <c r="F30" s="22" t="str">
        <f>IF(AND(F$21&lt;&gt;"",$A30&lt;&gt;""),HLOOKUP(F$21,Access_Data!$A$9:$BA$25,Comparison_Report!$S20,FALSE),"")</f>
        <v/>
      </c>
      <c r="G30" s="45"/>
      <c r="H30" s="30" t="str">
        <f t="shared" si="5"/>
        <v/>
      </c>
      <c r="I30" s="22" t="str">
        <f>IF(OR(I$21="",$A30=""),"",HLOOKUP(I$21,Access_Data!$A$9:$BA$25,Comparison_Report!$S20,FALSE))</f>
        <v/>
      </c>
      <c r="J30" s="45"/>
      <c r="K30" s="30" t="str">
        <f t="shared" si="6"/>
        <v/>
      </c>
      <c r="L30" s="22" t="e">
        <f>IF(OR(L$21&lt;&gt;"",$A30&lt;&gt;""),"",HLOOKUP(L$21,Access_Data!$A$9:$BA$25,Comparison_Report!$S20,FALSE))</f>
        <v>#N/A</v>
      </c>
      <c r="M30" s="45"/>
      <c r="N30" s="30" t="e">
        <f t="shared" si="7"/>
        <v>#N/A</v>
      </c>
    </row>
    <row r="31" spans="1:22" ht="15.75" thickBot="1" x14ac:dyDescent="0.3">
      <c r="A31" s="23">
        <v>0</v>
      </c>
      <c r="B31" s="23"/>
      <c r="C31" s="23"/>
      <c r="D31" s="31">
        <v>1</v>
      </c>
      <c r="E31" s="24"/>
      <c r="F31" s="23"/>
      <c r="G31" s="31">
        <v>1</v>
      </c>
      <c r="H31" s="24"/>
      <c r="I31" s="23"/>
      <c r="J31" s="31">
        <v>1</v>
      </c>
      <c r="K31" s="24"/>
      <c r="L31" s="23"/>
      <c r="M31" s="31">
        <v>1</v>
      </c>
      <c r="N31" s="24"/>
    </row>
    <row r="32" spans="1:22" x14ac:dyDescent="0.25">
      <c r="C32" s="25" t="s">
        <v>28</v>
      </c>
      <c r="D32" s="591" t="s">
        <v>29</v>
      </c>
      <c r="E32" s="591"/>
      <c r="F32" s="591"/>
      <c r="G32" s="591"/>
      <c r="H32" s="591"/>
      <c r="I32" s="591"/>
      <c r="J32" s="591"/>
      <c r="K32" s="591"/>
      <c r="L32" s="591"/>
      <c r="M32" s="591"/>
    </row>
    <row r="33" spans="1:14" ht="15" customHeight="1" x14ac:dyDescent="0.25">
      <c r="D33" s="592"/>
      <c r="E33" s="592"/>
      <c r="F33" s="592"/>
      <c r="G33" s="592"/>
      <c r="H33" s="592"/>
      <c r="I33" s="592"/>
      <c r="J33" s="592"/>
      <c r="K33" s="592"/>
      <c r="L33" s="592"/>
      <c r="M33" s="592"/>
      <c r="N33" s="26"/>
    </row>
    <row r="34" spans="1:14" x14ac:dyDescent="0.25">
      <c r="A34" s="21"/>
      <c r="B34" s="21"/>
      <c r="D34" s="592"/>
      <c r="E34" s="592"/>
      <c r="F34" s="592"/>
      <c r="G34" s="592"/>
      <c r="H34" s="592"/>
      <c r="I34" s="592"/>
      <c r="J34" s="592"/>
      <c r="K34" s="592"/>
      <c r="L34" s="592"/>
      <c r="M34" s="592"/>
    </row>
    <row r="35" spans="1:14" x14ac:dyDescent="0.25">
      <c r="A35" s="21"/>
      <c r="B35" s="21"/>
      <c r="C35" s="25" t="s">
        <v>30</v>
      </c>
      <c r="D35" s="33" t="s">
        <v>31</v>
      </c>
      <c r="E35" s="130"/>
      <c r="F35" s="33"/>
      <c r="G35" s="33"/>
      <c r="H35" s="130"/>
      <c r="I35" s="33"/>
      <c r="J35" s="33"/>
      <c r="K35" s="130"/>
      <c r="L35" s="33"/>
      <c r="M35" s="33"/>
    </row>
    <row r="36" spans="1:14" x14ac:dyDescent="0.25">
      <c r="A36" s="21"/>
      <c r="B36" s="21"/>
    </row>
    <row r="37" spans="1:14" x14ac:dyDescent="0.25">
      <c r="A37" s="21"/>
      <c r="B37" s="21"/>
      <c r="C37" s="593" t="s">
        <v>32</v>
      </c>
      <c r="D37" s="593"/>
      <c r="E37" s="593"/>
      <c r="F37" s="593"/>
      <c r="G37" s="593"/>
      <c r="H37" s="593"/>
      <c r="I37" s="593"/>
      <c r="J37" s="593"/>
      <c r="K37" s="593"/>
      <c r="L37" s="593"/>
      <c r="M37" s="593"/>
    </row>
    <row r="38" spans="1:14" x14ac:dyDescent="0.25">
      <c r="A38" s="21"/>
      <c r="B38" s="21"/>
      <c r="C38" s="593"/>
      <c r="D38" s="593"/>
      <c r="E38" s="593"/>
      <c r="F38" s="593"/>
      <c r="G38" s="593"/>
      <c r="H38" s="593"/>
      <c r="I38" s="593"/>
      <c r="J38" s="593"/>
      <c r="K38" s="593"/>
      <c r="L38" s="593"/>
      <c r="M38" s="593"/>
    </row>
    <row r="39" spans="1:14" x14ac:dyDescent="0.25">
      <c r="A39" s="21"/>
      <c r="B39" s="21"/>
      <c r="C39" s="593"/>
      <c r="D39" s="593"/>
      <c r="E39" s="593"/>
      <c r="F39" s="593"/>
      <c r="G39" s="593"/>
      <c r="H39" s="593"/>
      <c r="I39" s="593"/>
      <c r="J39" s="593"/>
      <c r="K39" s="593"/>
      <c r="L39" s="593"/>
      <c r="M39" s="593"/>
    </row>
    <row r="40" spans="1:14" x14ac:dyDescent="0.25">
      <c r="A40" s="21"/>
      <c r="B40" s="21"/>
      <c r="C40" s="593"/>
      <c r="D40" s="593"/>
      <c r="E40" s="593"/>
      <c r="F40" s="593"/>
      <c r="G40" s="593"/>
      <c r="H40" s="593"/>
      <c r="I40" s="593"/>
      <c r="J40" s="593"/>
      <c r="K40" s="593"/>
      <c r="L40" s="593"/>
      <c r="M40" s="593"/>
    </row>
    <row r="41" spans="1:14" x14ac:dyDescent="0.25">
      <c r="A41" s="21"/>
      <c r="B41" s="21"/>
      <c r="C41" s="9"/>
      <c r="D41" s="9"/>
      <c r="F41" s="9"/>
      <c r="G41" s="9"/>
      <c r="I41" s="9"/>
      <c r="J41" s="9"/>
      <c r="L41" s="9"/>
      <c r="M41" s="9"/>
    </row>
    <row r="42" spans="1:14" x14ac:dyDescent="0.25">
      <c r="A42" s="21"/>
      <c r="B42" s="21"/>
      <c r="C42" s="9"/>
      <c r="D42" s="9"/>
      <c r="F42" s="9"/>
      <c r="G42" s="9"/>
      <c r="I42" s="9"/>
      <c r="J42" s="9"/>
      <c r="L42" s="9"/>
      <c r="M42" s="9"/>
    </row>
    <row r="43" spans="1:14" x14ac:dyDescent="0.25">
      <c r="A43" s="8" t="s">
        <v>34</v>
      </c>
    </row>
    <row r="44" spans="1:14" x14ac:dyDescent="0.25">
      <c r="A44" s="8" t="s">
        <v>34</v>
      </c>
    </row>
    <row r="45" spans="1:14" x14ac:dyDescent="0.25">
      <c r="A45" s="8" t="s">
        <v>34</v>
      </c>
      <c r="C45" s="27"/>
    </row>
    <row r="46" spans="1:14" x14ac:dyDescent="0.25">
      <c r="A46" s="8" t="s">
        <v>34</v>
      </c>
    </row>
    <row r="47" spans="1:14" x14ac:dyDescent="0.25">
      <c r="A47" s="8" t="s">
        <v>34</v>
      </c>
    </row>
    <row r="48" spans="1:14" x14ac:dyDescent="0.25">
      <c r="A48" s="8" t="s">
        <v>34</v>
      </c>
    </row>
    <row r="49" spans="1:1" x14ac:dyDescent="0.25">
      <c r="A49" s="8" t="s">
        <v>34</v>
      </c>
    </row>
    <row r="50" spans="1:1" x14ac:dyDescent="0.25">
      <c r="A50" s="8" t="s">
        <v>34</v>
      </c>
    </row>
    <row r="51" spans="1:1" x14ac:dyDescent="0.25">
      <c r="A51" s="8" t="s">
        <v>34</v>
      </c>
    </row>
    <row r="52" spans="1:1" x14ac:dyDescent="0.25">
      <c r="A52" s="8" t="s">
        <v>34</v>
      </c>
    </row>
    <row r="53" spans="1:1" x14ac:dyDescent="0.25">
      <c r="A53" s="8" t="s">
        <v>34</v>
      </c>
    </row>
    <row r="54" spans="1:1" x14ac:dyDescent="0.25">
      <c r="A54" s="8" t="s">
        <v>34</v>
      </c>
    </row>
    <row r="55" spans="1:1" x14ac:dyDescent="0.25">
      <c r="A55" s="8" t="s">
        <v>34</v>
      </c>
    </row>
    <row r="56" spans="1:1" x14ac:dyDescent="0.25">
      <c r="A56" s="8" t="s">
        <v>34</v>
      </c>
    </row>
    <row r="57" spans="1:1" x14ac:dyDescent="0.25">
      <c r="A57" s="8" t="s">
        <v>34</v>
      </c>
    </row>
    <row r="58" spans="1:1" x14ac:dyDescent="0.25">
      <c r="A58" s="8" t="s">
        <v>34</v>
      </c>
    </row>
    <row r="59" spans="1:1" x14ac:dyDescent="0.25">
      <c r="A59" s="8" t="s">
        <v>34</v>
      </c>
    </row>
    <row r="60" spans="1:1" x14ac:dyDescent="0.25">
      <c r="A60" s="8" t="s">
        <v>34</v>
      </c>
    </row>
    <row r="61" spans="1:1" x14ac:dyDescent="0.25">
      <c r="A61" s="8" t="s">
        <v>34</v>
      </c>
    </row>
    <row r="62" spans="1:1" x14ac:dyDescent="0.25">
      <c r="A62" s="8" t="s">
        <v>34</v>
      </c>
    </row>
    <row r="63" spans="1:1" x14ac:dyDescent="0.25">
      <c r="A63" s="8" t="s">
        <v>34</v>
      </c>
    </row>
    <row r="64" spans="1:1" x14ac:dyDescent="0.25">
      <c r="A64" s="8" t="s">
        <v>34</v>
      </c>
    </row>
    <row r="65" spans="1:1" x14ac:dyDescent="0.25">
      <c r="A65" s="8" t="s">
        <v>34</v>
      </c>
    </row>
    <row r="66" spans="1:1" x14ac:dyDescent="0.25">
      <c r="A66" s="8" t="s">
        <v>34</v>
      </c>
    </row>
    <row r="67" spans="1:1" x14ac:dyDescent="0.25">
      <c r="A67" s="8" t="s">
        <v>34</v>
      </c>
    </row>
    <row r="68" spans="1:1" x14ac:dyDescent="0.25">
      <c r="A68" s="8" t="s">
        <v>34</v>
      </c>
    </row>
    <row r="69" spans="1:1" x14ac:dyDescent="0.25">
      <c r="A69" s="8" t="s">
        <v>34</v>
      </c>
    </row>
    <row r="70" spans="1:1" x14ac:dyDescent="0.25">
      <c r="A70" s="8" t="s">
        <v>34</v>
      </c>
    </row>
    <row r="71" spans="1:1" x14ac:dyDescent="0.25">
      <c r="A71" s="8" t="s">
        <v>34</v>
      </c>
    </row>
    <row r="72" spans="1:1" x14ac:dyDescent="0.25">
      <c r="A72" s="8" t="s">
        <v>34</v>
      </c>
    </row>
    <row r="73" spans="1:1" x14ac:dyDescent="0.25">
      <c r="A73" s="8" t="s">
        <v>34</v>
      </c>
    </row>
    <row r="74" spans="1:1" x14ac:dyDescent="0.25">
      <c r="A74" s="8" t="s">
        <v>34</v>
      </c>
    </row>
    <row r="75" spans="1:1" x14ac:dyDescent="0.25">
      <c r="A75" s="8" t="s">
        <v>34</v>
      </c>
    </row>
    <row r="76" spans="1:1" x14ac:dyDescent="0.25">
      <c r="A76" s="8" t="s">
        <v>34</v>
      </c>
    </row>
    <row r="77" spans="1:1" x14ac:dyDescent="0.25">
      <c r="A77" s="8" t="s">
        <v>34</v>
      </c>
    </row>
    <row r="78" spans="1:1" x14ac:dyDescent="0.25">
      <c r="A78" s="8" t="s">
        <v>34</v>
      </c>
    </row>
    <row r="79" spans="1:1" x14ac:dyDescent="0.25">
      <c r="A79" s="8" t="s">
        <v>34</v>
      </c>
    </row>
    <row r="80" spans="1:1" x14ac:dyDescent="0.25">
      <c r="A80" s="8" t="s">
        <v>34</v>
      </c>
    </row>
    <row r="81" spans="1:1" x14ac:dyDescent="0.25">
      <c r="A81" s="8" t="s">
        <v>34</v>
      </c>
    </row>
    <row r="82" spans="1:1" x14ac:dyDescent="0.25">
      <c r="A82" s="8" t="s">
        <v>34</v>
      </c>
    </row>
    <row r="83" spans="1:1" x14ac:dyDescent="0.25">
      <c r="A83" s="8" t="s">
        <v>34</v>
      </c>
    </row>
    <row r="84" spans="1:1" x14ac:dyDescent="0.25">
      <c r="A84" s="8" t="s">
        <v>34</v>
      </c>
    </row>
    <row r="85" spans="1:1" x14ac:dyDescent="0.25">
      <c r="A85" s="8" t="s">
        <v>34</v>
      </c>
    </row>
    <row r="86" spans="1:1" x14ac:dyDescent="0.25">
      <c r="A86" s="8" t="s">
        <v>34</v>
      </c>
    </row>
    <row r="87" spans="1:1" x14ac:dyDescent="0.25">
      <c r="A87" s="8" t="s">
        <v>34</v>
      </c>
    </row>
    <row r="88" spans="1:1" x14ac:dyDescent="0.25">
      <c r="A88" s="8" t="s">
        <v>34</v>
      </c>
    </row>
    <row r="89" spans="1:1" x14ac:dyDescent="0.25">
      <c r="A89" s="8" t="s">
        <v>34</v>
      </c>
    </row>
    <row r="90" spans="1:1" x14ac:dyDescent="0.25">
      <c r="A90" s="8" t="s">
        <v>34</v>
      </c>
    </row>
    <row r="91" spans="1:1" x14ac:dyDescent="0.25">
      <c r="A91" s="8" t="s">
        <v>34</v>
      </c>
    </row>
    <row r="92" spans="1:1" x14ac:dyDescent="0.25">
      <c r="A92" s="8" t="s">
        <v>34</v>
      </c>
    </row>
    <row r="93" spans="1:1" x14ac:dyDescent="0.25">
      <c r="A93" s="8" t="s">
        <v>34</v>
      </c>
    </row>
    <row r="94" spans="1:1" x14ac:dyDescent="0.25">
      <c r="A94" s="8" t="s">
        <v>34</v>
      </c>
    </row>
    <row r="95" spans="1:1" x14ac:dyDescent="0.25">
      <c r="A95" s="8" t="s">
        <v>34</v>
      </c>
    </row>
    <row r="96" spans="1:1" x14ac:dyDescent="0.25">
      <c r="A96" s="8" t="s">
        <v>34</v>
      </c>
    </row>
    <row r="97" spans="1:1" x14ac:dyDescent="0.25">
      <c r="A97" s="8" t="s">
        <v>34</v>
      </c>
    </row>
    <row r="98" spans="1:1" x14ac:dyDescent="0.25">
      <c r="A98" s="8" t="s">
        <v>34</v>
      </c>
    </row>
    <row r="99" spans="1:1" x14ac:dyDescent="0.25">
      <c r="A99" s="8" t="s">
        <v>34</v>
      </c>
    </row>
    <row r="100" spans="1:1" x14ac:dyDescent="0.25">
      <c r="A100" s="8" t="s">
        <v>34</v>
      </c>
    </row>
    <row r="101" spans="1:1" x14ac:dyDescent="0.25">
      <c r="A101" s="8" t="s">
        <v>34</v>
      </c>
    </row>
    <row r="102" spans="1:1" x14ac:dyDescent="0.25">
      <c r="A102" s="8" t="s">
        <v>34</v>
      </c>
    </row>
    <row r="103" spans="1:1" x14ac:dyDescent="0.25">
      <c r="A103" s="8" t="s">
        <v>34</v>
      </c>
    </row>
    <row r="104" spans="1:1" x14ac:dyDescent="0.25">
      <c r="A104" s="8" t="s">
        <v>34</v>
      </c>
    </row>
    <row r="105" spans="1:1" x14ac:dyDescent="0.25">
      <c r="A105" s="8" t="s">
        <v>34</v>
      </c>
    </row>
    <row r="106" spans="1:1" x14ac:dyDescent="0.25">
      <c r="A106" s="8" t="s">
        <v>34</v>
      </c>
    </row>
    <row r="107" spans="1:1" x14ac:dyDescent="0.25">
      <c r="A107" s="8" t="s">
        <v>34</v>
      </c>
    </row>
    <row r="108" spans="1:1" x14ac:dyDescent="0.25">
      <c r="A108" s="8" t="s">
        <v>34</v>
      </c>
    </row>
    <row r="109" spans="1:1" x14ac:dyDescent="0.25">
      <c r="A109" s="8" t="s">
        <v>34</v>
      </c>
    </row>
    <row r="110" spans="1:1" x14ac:dyDescent="0.25">
      <c r="A110" s="8" t="s">
        <v>34</v>
      </c>
    </row>
    <row r="111" spans="1:1" x14ac:dyDescent="0.25">
      <c r="A111" s="8" t="s">
        <v>34</v>
      </c>
    </row>
    <row r="112" spans="1:1" x14ac:dyDescent="0.25">
      <c r="A112" s="8" t="s">
        <v>34</v>
      </c>
    </row>
    <row r="113" spans="1:1" x14ac:dyDescent="0.25">
      <c r="A113" s="8" t="s">
        <v>34</v>
      </c>
    </row>
    <row r="114" spans="1:1" x14ac:dyDescent="0.25">
      <c r="A114" s="8" t="s">
        <v>34</v>
      </c>
    </row>
    <row r="115" spans="1:1" x14ac:dyDescent="0.25">
      <c r="A115" s="8" t="s">
        <v>34</v>
      </c>
    </row>
    <row r="116" spans="1:1" x14ac:dyDescent="0.25">
      <c r="A116" s="8" t="s">
        <v>34</v>
      </c>
    </row>
    <row r="117" spans="1:1" x14ac:dyDescent="0.25">
      <c r="A117" s="8" t="s">
        <v>34</v>
      </c>
    </row>
    <row r="118" spans="1:1" x14ac:dyDescent="0.25">
      <c r="A118" s="8" t="s">
        <v>34</v>
      </c>
    </row>
    <row r="119" spans="1:1" x14ac:dyDescent="0.25">
      <c r="A119" s="8" t="s">
        <v>34</v>
      </c>
    </row>
  </sheetData>
  <sheetProtection algorithmName="SHA-512" hashValue="6GHlTe034QsSvOunYvqJ56b/z3HFlQzQO1CW8do0Ii8spDNBC81mq7nCI7XDW/+9ufNfOuV3jqwVwLZUJ4FvrA==" saltValue="xx1nKpgIQuKFHSyIxjxjBA==" spinCount="100000" sheet="1" objects="1" scenarios="1" selectLockedCells="1" autoFilter="0"/>
  <mergeCells count="2">
    <mergeCell ref="D32:M34"/>
    <mergeCell ref="C37:M40"/>
  </mergeCells>
  <phoneticPr fontId="23" type="noConversion"/>
  <conditionalFormatting sqref="C45">
    <cfRule type="expression" dxfId="30" priority="33">
      <formula>ISNUMBER(SEARCH(".",C45))</formula>
    </cfRule>
    <cfRule type="expression" dxfId="29" priority="34">
      <formula>ISERROR(SEARCH(".",C45))</formula>
    </cfRule>
  </conditionalFormatting>
  <conditionalFormatting sqref="D10:D18">
    <cfRule type="expression" dxfId="28" priority="31">
      <formula>ISERROR(SEARCH(1,$D$19))</formula>
    </cfRule>
    <cfRule type="expression" dxfId="27" priority="32">
      <formula>ISNUMBER(SEARCH(1,$D$19))</formula>
    </cfRule>
  </conditionalFormatting>
  <conditionalFormatting sqref="G11:G18">
    <cfRule type="expression" dxfId="26" priority="29">
      <formula>ISERROR(SEARCH(1,$G$19))</formula>
    </cfRule>
    <cfRule type="expression" dxfId="25" priority="30">
      <formula>ISNUMBER(SEARCH(1,$G$19))</formula>
    </cfRule>
  </conditionalFormatting>
  <conditionalFormatting sqref="G10">
    <cfRule type="expression" dxfId="24" priority="27">
      <formula>ISERROR(SEARCH(1,$G$19))</formula>
    </cfRule>
    <cfRule type="expression" dxfId="23" priority="28">
      <formula>ISNUMBER(SEARCH(1,$G$19))</formula>
    </cfRule>
  </conditionalFormatting>
  <conditionalFormatting sqref="J11:J18">
    <cfRule type="expression" dxfId="22" priority="25">
      <formula>ISERROR(SEARCH(1,$J$19))</formula>
    </cfRule>
    <cfRule type="expression" dxfId="21" priority="26">
      <formula>ISNUMBER(SEARCH(1,$J$19))</formula>
    </cfRule>
  </conditionalFormatting>
  <conditionalFormatting sqref="J10">
    <cfRule type="expression" dxfId="20" priority="23">
      <formula>ISERROR(SEARCH(1,$J$19))</formula>
    </cfRule>
    <cfRule type="expression" dxfId="19" priority="24">
      <formula>ISNUMBER(SEARCH(1,$J$19))</formula>
    </cfRule>
  </conditionalFormatting>
  <conditionalFormatting sqref="M11:M18">
    <cfRule type="expression" dxfId="18" priority="21">
      <formula>ISERROR(SEARCH(1,$M$19))</formula>
    </cfRule>
    <cfRule type="expression" dxfId="17" priority="22">
      <formula>ISNUMBER(SEARCH(1,$M$19))</formula>
    </cfRule>
  </conditionalFormatting>
  <conditionalFormatting sqref="M10">
    <cfRule type="expression" dxfId="16" priority="19">
      <formula>ISERROR(SEARCH(1,$M$19))</formula>
    </cfRule>
    <cfRule type="expression" dxfId="15" priority="20">
      <formula>ISNUMBER(SEARCH(1,$M$19))</formula>
    </cfRule>
  </conditionalFormatting>
  <conditionalFormatting sqref="G23:G30">
    <cfRule type="expression" dxfId="14" priority="13">
      <formula>ISERROR(SEARCH(1,$G$31))</formula>
    </cfRule>
    <cfRule type="expression" dxfId="13" priority="14">
      <formula>ISNUMBER(SEARCH(1,$G$31))</formula>
    </cfRule>
  </conditionalFormatting>
  <conditionalFormatting sqref="G22">
    <cfRule type="expression" dxfId="12" priority="11">
      <formula>ISERROR(SEARCH(1,$G$31))</formula>
    </cfRule>
    <cfRule type="expression" dxfId="11" priority="12">
      <formula>ISNUMBER(SEARCH(1,$G$31))</formula>
    </cfRule>
  </conditionalFormatting>
  <conditionalFormatting sqref="J23:J30">
    <cfRule type="expression" dxfId="10" priority="9">
      <formula>ISERROR(SEARCH(1,$J$31))</formula>
    </cfRule>
    <cfRule type="expression" dxfId="9" priority="10">
      <formula>ISNUMBER(SEARCH(1,$J$31))</formula>
    </cfRule>
  </conditionalFormatting>
  <conditionalFormatting sqref="J22">
    <cfRule type="expression" dxfId="8" priority="7">
      <formula>ISERROR(SEARCH(1,$J$31))</formula>
    </cfRule>
    <cfRule type="expression" dxfId="7" priority="8">
      <formula>ISNUMBER(SEARCH(1,$J$31))</formula>
    </cfRule>
  </conditionalFormatting>
  <conditionalFormatting sqref="M23:M30">
    <cfRule type="expression" dxfId="6" priority="5">
      <formula>ISERROR(SEARCH(1,$M$31))</formula>
    </cfRule>
    <cfRule type="expression" dxfId="5" priority="6">
      <formula>ISNUMBER(SEARCH(1,$M$31))</formula>
    </cfRule>
  </conditionalFormatting>
  <conditionalFormatting sqref="M22">
    <cfRule type="expression" dxfId="4" priority="3">
      <formula>ISERROR(SEARCH(1,$M$31))</formula>
    </cfRule>
    <cfRule type="expression" dxfId="3" priority="4">
      <formula>ISNUMBER(SEARCH(1,$M$31))</formula>
    </cfRule>
  </conditionalFormatting>
  <conditionalFormatting sqref="D22:D30">
    <cfRule type="expression" dxfId="2" priority="1">
      <formula>ISERROR(SEARCH(1,$D$19))</formula>
    </cfRule>
    <cfRule type="expression" dxfId="1" priority="2">
      <formula>ISNUMBER(SEARCH(1,$D$19))</formula>
    </cfRule>
  </conditionalFormatting>
  <printOptions horizontalCentered="1"/>
  <pageMargins left="0.1" right="0.25" top="0.75" bottom="0.75" header="0.3" footer="0.3"/>
  <pageSetup scale="83" orientation="landscape" r:id="rId1"/>
  <colBreaks count="1" manualBreakCount="1">
    <brk id="14" max="1048575" man="1"/>
  </colBreaks>
  <customProperties>
    <customPr name="%locator_row%" r:id="rId2"/>
    <customPr name="%startcell%" r:id="rId3"/>
  </customProperties>
  <legacyDrawing r:id="rId4"/>
  <tableParts count="1">
    <tablePart r:id="rId5"/>
  </tableParts>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4">
    <tabColor rgb="FFFFCC99"/>
  </sheetPr>
  <dimension ref="A1:T54"/>
  <sheetViews>
    <sheetView zoomScaleNormal="100" workbookViewId="0">
      <selection activeCell="K4" sqref="K4"/>
    </sheetView>
  </sheetViews>
  <sheetFormatPr defaultRowHeight="12.75" x14ac:dyDescent="0.2"/>
  <cols>
    <col min="1" max="16" width="12.85546875" customWidth="1"/>
    <col min="17" max="17" width="13" customWidth="1"/>
  </cols>
  <sheetData>
    <row r="1" spans="1:16" ht="18" x14ac:dyDescent="0.25">
      <c r="F1" s="38" t="s">
        <v>918</v>
      </c>
      <c r="O1" t="s">
        <v>35</v>
      </c>
    </row>
    <row r="2" spans="1:16" x14ac:dyDescent="0.2">
      <c r="O2" t="s">
        <v>36</v>
      </c>
    </row>
    <row r="3" spans="1:16" x14ac:dyDescent="0.2">
      <c r="A3" s="44" t="s">
        <v>0</v>
      </c>
      <c r="B3" s="44"/>
      <c r="C3" s="44"/>
      <c r="D3" s="44"/>
      <c r="E3" s="44"/>
      <c r="F3" s="44"/>
      <c r="G3" s="44"/>
      <c r="H3" s="44"/>
      <c r="I3" s="44"/>
      <c r="J3" s="44"/>
      <c r="K3" s="44"/>
      <c r="L3" s="44"/>
      <c r="M3" s="44"/>
      <c r="N3" s="44"/>
      <c r="O3" s="44"/>
      <c r="P3" s="44"/>
    </row>
    <row r="4" spans="1:16" x14ac:dyDescent="0.2">
      <c r="A4" s="1" t="s">
        <v>37</v>
      </c>
      <c r="B4" s="1"/>
      <c r="C4" s="44"/>
      <c r="D4" s="44"/>
      <c r="E4" s="44"/>
      <c r="F4" s="44"/>
      <c r="G4" s="44"/>
      <c r="H4" s="44"/>
      <c r="I4" s="44"/>
      <c r="J4" s="44"/>
      <c r="K4" s="44"/>
      <c r="L4" s="44"/>
      <c r="M4" s="44"/>
      <c r="N4" s="44"/>
      <c r="O4" s="44"/>
      <c r="P4" s="44"/>
    </row>
    <row r="5" spans="1:16" x14ac:dyDescent="0.2">
      <c r="A5" s="79" t="s">
        <v>38</v>
      </c>
      <c r="B5" s="80" t="str">
        <f>IF(Main!D3=0,"",Main!D3)</f>
        <v/>
      </c>
      <c r="C5" s="44"/>
      <c r="D5" s="44"/>
      <c r="E5" s="44"/>
      <c r="F5" s="44"/>
      <c r="G5" s="44"/>
      <c r="H5" s="44"/>
      <c r="I5" s="78" t="s">
        <v>9</v>
      </c>
      <c r="J5" s="44" t="e">
        <f>IF(Main!D5="","",Main!D5)</f>
        <v>#N/A</v>
      </c>
      <c r="K5" s="44"/>
      <c r="L5" s="44"/>
      <c r="M5" s="44"/>
      <c r="N5" s="44"/>
      <c r="O5" s="44"/>
      <c r="P5" s="44"/>
    </row>
    <row r="6" spans="1:16" x14ac:dyDescent="0.2">
      <c r="A6" s="78" t="s">
        <v>7</v>
      </c>
      <c r="B6" s="81" t="e">
        <f>IF(Main!D6=0,"",Main!D6)</f>
        <v>#N/A</v>
      </c>
      <c r="C6" s="44"/>
      <c r="D6" s="44"/>
      <c r="E6" s="44"/>
      <c r="F6" s="44"/>
      <c r="G6" s="44"/>
      <c r="H6" s="44"/>
      <c r="I6" s="78" t="s">
        <v>10</v>
      </c>
      <c r="J6" s="77" t="str">
        <f>IF(Temperature="","",Temperature)</f>
        <v/>
      </c>
      <c r="K6" s="44"/>
      <c r="L6" s="44"/>
      <c r="M6" s="44"/>
      <c r="N6" s="44"/>
      <c r="O6" s="44"/>
      <c r="P6" s="44"/>
    </row>
    <row r="7" spans="1:16" x14ac:dyDescent="0.2">
      <c r="A7" s="78" t="s">
        <v>39</v>
      </c>
      <c r="B7" s="81" t="str">
        <f>IF(Main!D7=0,"",Main!D7)</f>
        <v>Jeff Hall</v>
      </c>
      <c r="C7" s="44"/>
      <c r="D7" s="44"/>
      <c r="E7" s="44"/>
      <c r="F7" s="44"/>
      <c r="G7" s="44"/>
      <c r="H7" s="44"/>
      <c r="I7" s="44"/>
      <c r="J7" s="44"/>
      <c r="K7" s="44"/>
      <c r="L7" s="44"/>
      <c r="M7" s="44"/>
      <c r="N7" s="44"/>
      <c r="O7" s="44"/>
      <c r="P7" s="44"/>
    </row>
    <row r="8" spans="1:16" x14ac:dyDescent="0.2">
      <c r="A8" s="78"/>
      <c r="B8" s="44"/>
      <c r="C8" s="44"/>
      <c r="D8" s="44"/>
      <c r="E8" s="44"/>
      <c r="F8" s="44"/>
      <c r="G8" s="44"/>
      <c r="H8" s="44"/>
      <c r="I8" s="44"/>
      <c r="J8" s="44"/>
      <c r="K8" s="44"/>
      <c r="L8" s="44"/>
      <c r="M8" s="44"/>
      <c r="N8" s="44"/>
      <c r="O8" s="44"/>
      <c r="P8" s="44"/>
    </row>
    <row r="9" spans="1:16" x14ac:dyDescent="0.2">
      <c r="A9" s="41" t="s">
        <v>40</v>
      </c>
      <c r="B9" s="41"/>
      <c r="C9" s="44"/>
      <c r="D9" s="44"/>
      <c r="E9" s="44"/>
      <c r="F9" s="44"/>
      <c r="G9" s="44"/>
      <c r="H9" s="44"/>
      <c r="I9" s="44"/>
      <c r="J9" s="44"/>
      <c r="K9" s="44"/>
      <c r="L9" s="44"/>
      <c r="M9" s="44"/>
      <c r="N9" s="44"/>
      <c r="O9" s="44"/>
      <c r="P9" s="44"/>
    </row>
    <row r="10" spans="1:16" x14ac:dyDescent="0.2">
      <c r="A10" s="44"/>
      <c r="B10" s="44"/>
      <c r="C10" s="82">
        <v>1</v>
      </c>
      <c r="D10" s="82">
        <v>2</v>
      </c>
      <c r="E10" s="82">
        <v>3</v>
      </c>
      <c r="F10" s="82">
        <v>4</v>
      </c>
      <c r="G10" s="82">
        <v>5</v>
      </c>
      <c r="H10" s="82">
        <v>6</v>
      </c>
      <c r="I10" s="82">
        <v>7</v>
      </c>
      <c r="J10" s="82">
        <v>8</v>
      </c>
      <c r="K10" s="82">
        <v>9</v>
      </c>
      <c r="L10" s="82">
        <v>10</v>
      </c>
      <c r="M10" s="82">
        <v>11</v>
      </c>
      <c r="N10" s="82">
        <v>12</v>
      </c>
      <c r="O10" s="82">
        <v>13</v>
      </c>
      <c r="P10" s="82">
        <v>14</v>
      </c>
    </row>
    <row r="11" spans="1:16" x14ac:dyDescent="0.2">
      <c r="A11" s="44"/>
      <c r="B11" s="83" t="s">
        <v>41</v>
      </c>
      <c r="C11" s="143" t="str" cm="1">
        <f t="array" ref="C11">IF(
  C12="",
  "",
  _xlfn.XLOOKUP(
    TEXT(Temperature, "0"),
    DaqbookOffsets[#Headers],
    _xlfn.XLOOKUP(C10, DaqbookOffsets[Point], DaqbookOffsets[]),
    "No match", 1
  )
)</f>
        <v/>
      </c>
      <c r="D11" s="143" t="str" cm="1">
        <f t="array" ref="D11">IF(
  D12="",
  "",
  _xlfn.XLOOKUP(
    TEXT(Temperature, "0"),
    DaqbookOffsets[#Headers],
    _xlfn.XLOOKUP(D10, DaqbookOffsets[Point], DaqbookOffsets[]),
    "No match", 1
  )
)</f>
        <v/>
      </c>
      <c r="E11" s="143" t="str" cm="1">
        <f t="array" ref="E11">IF(
  E12="",
  "",
  _xlfn.XLOOKUP(
    TEXT(Temperature, "0"),
    DaqbookOffsets[#Headers],
    _xlfn.XLOOKUP(E10, DaqbookOffsets[Point], DaqbookOffsets[]),
    "No match", 1
  )
)</f>
        <v/>
      </c>
      <c r="F11" s="143" t="str" cm="1">
        <f t="array" ref="F11">IF(
  F12="",
  "",
  _xlfn.XLOOKUP(
    TEXT(Temperature, "0"),
    DaqbookOffsets[#Headers],
    _xlfn.XLOOKUP(F10, DaqbookOffsets[Point], DaqbookOffsets[]),
    "No match", 1
  )
)</f>
        <v/>
      </c>
      <c r="G11" s="143" t="str" cm="1">
        <f t="array" ref="G11">IF(
  G12="",
  "",
  _xlfn.XLOOKUP(
    TEXT(Temperature, "0"),
    DaqbookOffsets[#Headers],
    _xlfn.XLOOKUP(G10, DaqbookOffsets[Point], DaqbookOffsets[]),
    "No match", 1
  )
)</f>
        <v/>
      </c>
      <c r="H11" s="143" t="str" cm="1">
        <f t="array" ref="H11">IF(
  H12="",
  "",
  _xlfn.XLOOKUP(
    TEXT(Temperature, "0"),
    DaqbookOffsets[#Headers],
    _xlfn.XLOOKUP(H10, DaqbookOffsets[Point], DaqbookOffsets[]),
    "No match", 1
  )
)</f>
        <v/>
      </c>
      <c r="I11" s="143" t="str" cm="1">
        <f t="array" ref="I11">IF(
  I12="",
  "",
  _xlfn.XLOOKUP(
    TEXT(Temperature, "0"),
    DaqbookOffsets[#Headers],
    _xlfn.XLOOKUP(I10, DaqbookOffsets[Point], DaqbookOffsets[]),
    "No match", 1
  )
)</f>
        <v/>
      </c>
      <c r="J11" s="143" t="str" cm="1">
        <f t="array" ref="J11">IF(
  J12="",
  "",
  _xlfn.XLOOKUP(
    TEXT(Temperature, "0"),
    DaqbookOffsets[#Headers],
    _xlfn.XLOOKUP(J10, DaqbookOffsets[Point], DaqbookOffsets[]),
    "No match", 1
  )
)</f>
        <v/>
      </c>
      <c r="K11" s="143" t="str" cm="1">
        <f t="array" ref="K11">IF(
  K12="",
  "",
  _xlfn.XLOOKUP(
    TEXT(Temperature, "0"),
    DaqbookOffsets[#Headers],
    _xlfn.XLOOKUP(K10, DaqbookOffsets[Point], DaqbookOffsets[]),
    "No match", 1
  )
)</f>
        <v/>
      </c>
      <c r="L11" s="143" t="str" cm="1">
        <f t="array" ref="L11">IF(
  L12="",
  "",
  _xlfn.XLOOKUP(
    TEXT(Temperature, "0"),
    DaqbookOffsets[#Headers],
    _xlfn.XLOOKUP(L10, DaqbookOffsets[Point], DaqbookOffsets[]),
    "No match", 1
  )
)</f>
        <v/>
      </c>
      <c r="M11" s="143" t="str" cm="1">
        <f t="array" ref="M11">IF(
  M12="",
  "",
  _xlfn.XLOOKUP(
    TEXT(Temperature, "0"),
    DaqbookOffsets[#Headers],
    _xlfn.XLOOKUP(M10, DaqbookOffsets[Point], DaqbookOffsets[]),
    "No match", 1
  )
)</f>
        <v/>
      </c>
      <c r="N11" s="143" t="str" cm="1">
        <f t="array" ref="N11">IF(
  N12="",
  "",
  _xlfn.XLOOKUP(
    TEXT(Temperature, "0"),
    DaqbookOffsets[#Headers],
    _xlfn.XLOOKUP(N10, DaqbookOffsets[Point], DaqbookOffsets[]),
    "No match", 1
  )
)</f>
        <v/>
      </c>
      <c r="O11" s="143" t="str" cm="1">
        <f t="array" ref="O11">IF(
  O12="",
  "",
  _xlfn.XLOOKUP(
    TEXT(Temperature, "0"),
    DaqbookOffsets[#Headers],
    _xlfn.XLOOKUP(O10, DaqbookOffsets[Point], DaqbookOffsets[]),
    "No match", 1
  )
)</f>
        <v/>
      </c>
      <c r="P11" s="143" t="str" cm="1">
        <f t="array" ref="P11">IF(
  P12="",
  "",
  _xlfn.XLOOKUP(
    TEXT(Temperature, "0"),
    DaqbookOffsets[#Headers],
    _xlfn.XLOOKUP(P10, DaqbookOffsets[Point], DaqbookOffsets[]),
    "No match", 1
  )
)</f>
        <v/>
      </c>
    </row>
    <row r="12" spans="1:16" x14ac:dyDescent="0.2">
      <c r="A12" s="44"/>
      <c r="B12" s="83" t="s">
        <v>42</v>
      </c>
      <c r="C12" s="143" t="str">
        <f>IFERROR(VLOOKUP(C10,Query1[],2,FALSE),"")</f>
        <v/>
      </c>
      <c r="D12" s="143" t="str">
        <f>IFERROR(VLOOKUP(D10,Query1[],2,FALSE),"")</f>
        <v/>
      </c>
      <c r="E12" s="143" t="str">
        <f>IFERROR(VLOOKUP(E10,Query1[],2,FALSE),"")</f>
        <v/>
      </c>
      <c r="F12" s="143" t="str">
        <f>IFERROR(VLOOKUP(F10,Query1[],2,FALSE),"")</f>
        <v/>
      </c>
      <c r="G12" s="143" t="str">
        <f>IFERROR(VLOOKUP(G10,Query1[],2,FALSE),"")</f>
        <v/>
      </c>
      <c r="H12" s="143" t="str">
        <f>IFERROR(VLOOKUP(H10,Query1[],2,FALSE),"")</f>
        <v/>
      </c>
      <c r="I12" s="143" t="str">
        <f>IFERROR(VLOOKUP(I10,Query1[],2,FALSE),"")</f>
        <v/>
      </c>
      <c r="J12" s="143" t="str">
        <f>IFERROR(VLOOKUP(J10,Query1[],2,FALSE),"")</f>
        <v/>
      </c>
      <c r="K12" s="143" t="str">
        <f>IFERROR(VLOOKUP(K10,Query1[],2,FALSE),"")</f>
        <v/>
      </c>
      <c r="L12" s="143" t="str">
        <f>IFERROR(VLOOKUP(L10,Query1[],2,FALSE),"")</f>
        <v/>
      </c>
      <c r="M12" s="143" t="str">
        <f>IFERROR(VLOOKUP(M10,Query1[],2,FALSE),"")</f>
        <v/>
      </c>
      <c r="N12" s="143" t="str">
        <f>IFERROR(VLOOKUP(N10,Query1[],2,FALSE),"")</f>
        <v/>
      </c>
      <c r="O12" s="143" t="str">
        <f>IFERROR(VLOOKUP(O10,Query1[],2,FALSE),"")</f>
        <v/>
      </c>
      <c r="P12" s="143" t="str">
        <f>IFERROR(VLOOKUP(P10,Query1[],2,FALSE),"")</f>
        <v/>
      </c>
    </row>
    <row r="13" spans="1:16" x14ac:dyDescent="0.2">
      <c r="A13" s="44"/>
      <c r="B13" s="83" t="s">
        <v>43</v>
      </c>
      <c r="C13" s="140" t="str">
        <f>IF(OR(C11="",C12=""),"",SUM(C11:C12))</f>
        <v/>
      </c>
      <c r="D13" s="140" t="str">
        <f t="shared" ref="D13:P13" si="0">IF(OR(D11="",D12=""),"",SUM(D11:D12))</f>
        <v/>
      </c>
      <c r="E13" s="140" t="str">
        <f t="shared" si="0"/>
        <v/>
      </c>
      <c r="F13" s="140" t="str">
        <f t="shared" si="0"/>
        <v/>
      </c>
      <c r="G13" s="140" t="str">
        <f t="shared" si="0"/>
        <v/>
      </c>
      <c r="H13" s="140" t="str">
        <f t="shared" si="0"/>
        <v/>
      </c>
      <c r="I13" s="140" t="str">
        <f t="shared" si="0"/>
        <v/>
      </c>
      <c r="J13" s="140" t="str">
        <f t="shared" si="0"/>
        <v/>
      </c>
      <c r="K13" s="140" t="str">
        <f t="shared" si="0"/>
        <v/>
      </c>
      <c r="L13" s="140" t="str">
        <f t="shared" si="0"/>
        <v/>
      </c>
      <c r="M13" s="140" t="str">
        <f t="shared" si="0"/>
        <v/>
      </c>
      <c r="N13" s="140" t="str">
        <f t="shared" si="0"/>
        <v/>
      </c>
      <c r="O13" s="140" t="str">
        <f t="shared" si="0"/>
        <v/>
      </c>
      <c r="P13" s="140" t="str">
        <f t="shared" si="0"/>
        <v/>
      </c>
    </row>
    <row r="14" spans="1:16" x14ac:dyDescent="0.2">
      <c r="A14" s="44"/>
      <c r="B14" s="44"/>
      <c r="C14" s="44"/>
      <c r="D14" s="44"/>
      <c r="E14" s="44"/>
      <c r="F14" s="44"/>
      <c r="G14" s="44"/>
      <c r="H14" s="44"/>
      <c r="I14" s="44"/>
      <c r="J14" s="44"/>
      <c r="K14" s="44"/>
      <c r="L14" s="44"/>
      <c r="M14" s="44"/>
      <c r="N14" s="44"/>
      <c r="O14" s="44"/>
      <c r="P14" s="44"/>
    </row>
    <row r="15" spans="1:16" x14ac:dyDescent="0.2">
      <c r="A15" s="44"/>
      <c r="B15" s="44"/>
      <c r="C15" s="44"/>
      <c r="D15" s="44"/>
      <c r="E15" s="44"/>
      <c r="F15" s="44"/>
      <c r="G15" s="44"/>
      <c r="H15" s="44"/>
      <c r="I15" s="44"/>
      <c r="J15" s="44"/>
      <c r="K15" s="44"/>
      <c r="L15" s="44"/>
      <c r="M15" s="44"/>
      <c r="N15" s="44"/>
      <c r="O15" s="44"/>
      <c r="P15" s="44"/>
    </row>
    <row r="16" spans="1:16" x14ac:dyDescent="0.2">
      <c r="A16" s="44"/>
      <c r="B16" s="44"/>
      <c r="C16" s="82">
        <v>15</v>
      </c>
      <c r="D16" s="82">
        <v>16</v>
      </c>
      <c r="E16" s="82">
        <v>17</v>
      </c>
      <c r="F16" s="82">
        <v>18</v>
      </c>
      <c r="G16" s="82">
        <v>19</v>
      </c>
      <c r="H16" s="82">
        <v>20</v>
      </c>
      <c r="I16" s="82">
        <v>21</v>
      </c>
      <c r="J16" s="82">
        <v>22</v>
      </c>
      <c r="K16" s="82">
        <v>23</v>
      </c>
      <c r="L16" s="82">
        <v>24</v>
      </c>
      <c r="M16" s="82">
        <v>25</v>
      </c>
      <c r="N16" s="82">
        <v>26</v>
      </c>
      <c r="O16" s="82">
        <v>27</v>
      </c>
      <c r="P16" s="82">
        <v>28</v>
      </c>
    </row>
    <row r="17" spans="1:20" x14ac:dyDescent="0.2">
      <c r="A17" s="44"/>
      <c r="B17" s="83" t="s">
        <v>41</v>
      </c>
      <c r="C17" s="143" t="str" cm="1">
        <f t="array" ref="C17">IF(
  C18="",
  "",
  _xlfn.XLOOKUP(
    TEXT(Temperature, "0"),
    DaqbookOffsets[#Headers],
    _xlfn.XLOOKUP(C16, DaqbookOffsets[Point], DaqbookOffsets[]),
    "No match", 1
  )
)</f>
        <v/>
      </c>
      <c r="D17" s="143" t="str" cm="1">
        <f t="array" ref="D17">IF(
  D18="",
  "",
  _xlfn.XLOOKUP(
    TEXT(Temperature, "0"),
    DaqbookOffsets[#Headers],
    _xlfn.XLOOKUP(D16, DaqbookOffsets[Point], DaqbookOffsets[]),
    "No match", 1
  )
)</f>
        <v/>
      </c>
      <c r="E17" s="143" t="str" cm="1">
        <f t="array" ref="E17">IF(
  E18="",
  "",
  _xlfn.XLOOKUP(
    TEXT(Temperature, "0"),
    DaqbookOffsets[#Headers],
    _xlfn.XLOOKUP(E16, DaqbookOffsets[Point], DaqbookOffsets[]),
    "No match", 1
  )
)</f>
        <v/>
      </c>
      <c r="F17" s="143" t="str" cm="1">
        <f t="array" ref="F17">IF(
  F18="",
  "",
  _xlfn.XLOOKUP(
    TEXT(Temperature, "0"),
    DaqbookOffsets[#Headers],
    _xlfn.XLOOKUP(F16, DaqbookOffsets[Point], DaqbookOffsets[]),
    "No match", 1
  )
)</f>
        <v/>
      </c>
      <c r="G17" s="143" t="str" cm="1">
        <f t="array" ref="G17">IF(
  G18="",
  "",
  _xlfn.XLOOKUP(
    TEXT(Temperature, "0"),
    DaqbookOffsets[#Headers],
    _xlfn.XLOOKUP(G16, DaqbookOffsets[Point], DaqbookOffsets[]),
    "No match", 1
  )
)</f>
        <v/>
      </c>
      <c r="H17" s="143" t="str" cm="1">
        <f t="array" ref="H17">IF(
  H18="",
  "",
  _xlfn.XLOOKUP(
    TEXT(Temperature, "0"),
    DaqbookOffsets[#Headers],
    _xlfn.XLOOKUP(H16, DaqbookOffsets[Point], DaqbookOffsets[]),
    "No match", 1
  )
)</f>
        <v/>
      </c>
      <c r="I17" s="143" t="str" cm="1">
        <f t="array" ref="I17">IF(
  I18="",
  "",
  _xlfn.XLOOKUP(
    TEXT(Temperature, "0"),
    DaqbookOffsets[#Headers],
    _xlfn.XLOOKUP(I16, DaqbookOffsets[Point], DaqbookOffsets[]),
    "No match", 1
  )
)</f>
        <v/>
      </c>
      <c r="J17" s="143" t="str" cm="1">
        <f t="array" ref="J17">IF(
  J18="",
  "",
  _xlfn.XLOOKUP(
    TEXT(Temperature, "0"),
    DaqbookOffsets[#Headers],
    _xlfn.XLOOKUP(J16, DaqbookOffsets[Point], DaqbookOffsets[]),
    "No match", 1
  )
)</f>
        <v/>
      </c>
      <c r="K17" s="143" t="str" cm="1">
        <f t="array" ref="K17">IF(
  K18="",
  "",
  _xlfn.XLOOKUP(
    TEXT(Temperature, "0"),
    DaqbookOffsets[#Headers],
    _xlfn.XLOOKUP(K16, DaqbookOffsets[Point], DaqbookOffsets[]),
    "No match", 1
  )
)</f>
        <v/>
      </c>
      <c r="L17" s="143" t="str" cm="1">
        <f t="array" ref="L17">IF(
  L18="",
  "",
  _xlfn.XLOOKUP(
    TEXT(Temperature, "0"),
    DaqbookOffsets[#Headers],
    _xlfn.XLOOKUP(L16, DaqbookOffsets[Point], DaqbookOffsets[]),
    "No match", 1
  )
)</f>
        <v/>
      </c>
      <c r="M17" s="143" t="str" cm="1">
        <f t="array" ref="M17">IF(
  M18="",
  "",
  _xlfn.XLOOKUP(
    TEXT(Temperature, "0"),
    DaqbookOffsets[#Headers],
    _xlfn.XLOOKUP(M16, DaqbookOffsets[Point], DaqbookOffsets[]),
    "No match", 1
  )
)</f>
        <v/>
      </c>
      <c r="N17" s="143" t="str" cm="1">
        <f t="array" ref="N17">IF(
  N18="",
  "",
  _xlfn.XLOOKUP(
    TEXT(Temperature, "0"),
    DaqbookOffsets[#Headers],
    _xlfn.XLOOKUP(N16, DaqbookOffsets[Point], DaqbookOffsets[]),
    "No match", 1
  )
)</f>
        <v/>
      </c>
      <c r="O17" s="143" t="str" cm="1">
        <f t="array" ref="O17">IF(
  O18="",
  "",
  _xlfn.XLOOKUP(
    TEXT(Temperature, "0"),
    DaqbookOffsets[#Headers],
    _xlfn.XLOOKUP(O16, DaqbookOffsets[Point], DaqbookOffsets[]),
    "No match", 1
  )
)</f>
        <v/>
      </c>
      <c r="P17" s="143" t="str" cm="1">
        <f t="array" ref="P17">IF(
  P18="",
  "",
  _xlfn.XLOOKUP(
    TEXT(Temperature, "0"),
    DaqbookOffsets[#Headers],
    _xlfn.XLOOKUP(P16, DaqbookOffsets[Point], DaqbookOffsets[]),
    "No match", 1
  )
)</f>
        <v/>
      </c>
    </row>
    <row r="18" spans="1:20" x14ac:dyDescent="0.2">
      <c r="A18" s="44"/>
      <c r="B18" s="83" t="s">
        <v>42</v>
      </c>
      <c r="C18" s="143" t="str">
        <f>IFERROR(VLOOKUP(C16,Query1[],2,FALSE),"")</f>
        <v/>
      </c>
      <c r="D18" s="143" t="str">
        <f>IFERROR(VLOOKUP(D16,Query1[],2,FALSE),"")</f>
        <v/>
      </c>
      <c r="E18" s="143" t="str">
        <f>IFERROR(VLOOKUP(E16,Query1[],2,FALSE),"")</f>
        <v/>
      </c>
      <c r="F18" s="143" t="str">
        <f>IFERROR(VLOOKUP(F16,Query1[],2,FALSE),"")</f>
        <v/>
      </c>
      <c r="G18" s="143" t="str">
        <f>IFERROR(VLOOKUP(G16,Query1[],2,FALSE),"")</f>
        <v/>
      </c>
      <c r="H18" s="143" t="str">
        <f>IFERROR(VLOOKUP(H16,Query1[],2,FALSE),"")</f>
        <v/>
      </c>
      <c r="I18" s="143" t="str">
        <f>IFERROR(VLOOKUP(I16,Query1[],2,FALSE),"")</f>
        <v/>
      </c>
      <c r="J18" s="143" t="str">
        <f>IFERROR(VLOOKUP(J16,Query1[],2,FALSE),"")</f>
        <v/>
      </c>
      <c r="K18" s="143" t="str">
        <f>IFERROR(VLOOKUP(K16,Query1[],2,FALSE),"")</f>
        <v/>
      </c>
      <c r="L18" s="143" t="str">
        <f>IFERROR(VLOOKUP(L16,Query1[],2,FALSE),"")</f>
        <v/>
      </c>
      <c r="M18" s="143" t="str">
        <f>IFERROR(VLOOKUP(M16,Query1[],2,FALSE),"")</f>
        <v/>
      </c>
      <c r="N18" s="143" t="str">
        <f>IFERROR(VLOOKUP(N16,Query1[],2,FALSE),"")</f>
        <v/>
      </c>
      <c r="O18" s="143" t="str">
        <f>IFERROR(VLOOKUP(O16,Query1[],2,FALSE),"")</f>
        <v/>
      </c>
      <c r="P18" s="143" t="str">
        <f>IFERROR(VLOOKUP(P16,Query1[],2,FALSE),"")</f>
        <v/>
      </c>
    </row>
    <row r="19" spans="1:20" x14ac:dyDescent="0.2">
      <c r="A19" s="44"/>
      <c r="B19" s="83" t="s">
        <v>43</v>
      </c>
      <c r="C19" s="140" t="str">
        <f>IF(OR(C17="",C18=""),"",SUM(C17:C18))</f>
        <v/>
      </c>
      <c r="D19" s="140" t="str">
        <f t="shared" ref="D19:P19" si="1">IF(OR(D17="",D18=""),"",SUM(D17:D18))</f>
        <v/>
      </c>
      <c r="E19" s="140" t="str">
        <f t="shared" si="1"/>
        <v/>
      </c>
      <c r="F19" s="140" t="str">
        <f t="shared" si="1"/>
        <v/>
      </c>
      <c r="G19" s="140" t="str">
        <f t="shared" si="1"/>
        <v/>
      </c>
      <c r="H19" s="140" t="str">
        <f t="shared" si="1"/>
        <v/>
      </c>
      <c r="I19" s="140" t="str">
        <f t="shared" si="1"/>
        <v/>
      </c>
      <c r="J19" s="140" t="str">
        <f t="shared" si="1"/>
        <v/>
      </c>
      <c r="K19" s="140" t="str">
        <f t="shared" si="1"/>
        <v/>
      </c>
      <c r="L19" s="140" t="str">
        <f t="shared" si="1"/>
        <v/>
      </c>
      <c r="M19" s="140" t="str">
        <f t="shared" si="1"/>
        <v/>
      </c>
      <c r="N19" s="140" t="str">
        <f t="shared" si="1"/>
        <v/>
      </c>
      <c r="O19" s="140" t="str">
        <f t="shared" si="1"/>
        <v/>
      </c>
      <c r="P19" s="140" t="str">
        <f t="shared" si="1"/>
        <v/>
      </c>
    </row>
    <row r="20" spans="1:20" x14ac:dyDescent="0.2">
      <c r="A20" s="44"/>
      <c r="B20" s="44"/>
      <c r="C20" s="44"/>
      <c r="D20" s="44"/>
      <c r="E20" s="44"/>
      <c r="F20" s="44"/>
      <c r="G20" s="44"/>
      <c r="H20" s="44"/>
      <c r="I20" s="44"/>
      <c r="J20" s="44"/>
      <c r="K20" s="44"/>
      <c r="L20" s="44"/>
      <c r="M20" s="44"/>
      <c r="N20" s="44"/>
      <c r="O20" s="44"/>
      <c r="P20" s="44"/>
    </row>
    <row r="21" spans="1:20" x14ac:dyDescent="0.2">
      <c r="A21" s="44"/>
      <c r="B21" s="44"/>
      <c r="C21" s="44"/>
      <c r="D21" s="44"/>
      <c r="E21" s="44"/>
      <c r="F21" s="44"/>
      <c r="G21" s="44"/>
      <c r="H21" s="44"/>
      <c r="I21" s="44"/>
      <c r="J21" s="44"/>
      <c r="K21" s="44"/>
      <c r="L21" s="44"/>
      <c r="M21" s="44"/>
      <c r="N21" s="44"/>
      <c r="O21" s="44"/>
      <c r="P21" s="44"/>
    </row>
    <row r="22" spans="1:20" x14ac:dyDescent="0.2">
      <c r="A22" s="44" t="s">
        <v>44</v>
      </c>
      <c r="B22" s="44"/>
      <c r="C22" s="82">
        <v>29</v>
      </c>
      <c r="D22" s="82">
        <v>30</v>
      </c>
      <c r="E22" s="82">
        <v>31</v>
      </c>
      <c r="F22" s="82">
        <v>32</v>
      </c>
      <c r="G22" s="82">
        <v>33</v>
      </c>
      <c r="H22" s="82">
        <v>34</v>
      </c>
      <c r="I22" s="82">
        <v>35</v>
      </c>
      <c r="J22" s="82">
        <v>36</v>
      </c>
      <c r="K22" s="82">
        <v>37</v>
      </c>
      <c r="L22" s="82">
        <v>38</v>
      </c>
      <c r="M22" s="82">
        <v>39</v>
      </c>
      <c r="N22" s="82">
        <v>40</v>
      </c>
      <c r="O22" s="1"/>
      <c r="P22" s="1"/>
    </row>
    <row r="23" spans="1:20" x14ac:dyDescent="0.2">
      <c r="A23" s="44"/>
      <c r="B23" s="83" t="s">
        <v>41</v>
      </c>
      <c r="C23" s="143" t="str" cm="1">
        <f t="array" ref="C23">IF(
  C24="",
  "",
  _xlfn.XLOOKUP(
    TEXT(Temperature, "0"),
    DaqbookOffsets[#Headers],
    _xlfn.XLOOKUP(C22, DaqbookOffsets[Point], DaqbookOffsets[]),
    "No match", 1
  )
)</f>
        <v/>
      </c>
      <c r="D23" s="143" t="str" cm="1">
        <f t="array" ref="D23">IF(
  D24="",
  "",
  _xlfn.XLOOKUP(
    TEXT(Temperature, "0"),
    DaqbookOffsets[#Headers],
    _xlfn.XLOOKUP(D22, DaqbookOffsets[Point], DaqbookOffsets[]),
    "No match", 1
  )
)</f>
        <v/>
      </c>
      <c r="E23" s="143" t="str" cm="1">
        <f t="array" ref="E23">IF(
  E24="",
  "",
  _xlfn.XLOOKUP(
    TEXT(Temperature, "0"),
    DaqbookOffsets[#Headers],
    _xlfn.XLOOKUP(E22, DaqbookOffsets[Point], DaqbookOffsets[]),
    "No match", 1
  )
)</f>
        <v/>
      </c>
      <c r="F23" s="143" t="str" cm="1">
        <f t="array" ref="F23">IF(
  F24="",
  "",
  _xlfn.XLOOKUP(
    TEXT(Temperature, "0"),
    DaqbookOffsets[#Headers],
    _xlfn.XLOOKUP(F22, DaqbookOffsets[Point], DaqbookOffsets[]),
    "No match", 1
  )
)</f>
        <v/>
      </c>
      <c r="G23" s="143" t="str" cm="1">
        <f t="array" ref="G23">IF(
  G24="",
  "",
  _xlfn.XLOOKUP(
    TEXT(Temperature, "0"),
    DaqbookOffsets[#Headers],
    _xlfn.XLOOKUP(G22, DaqbookOffsets[Point], DaqbookOffsets[]),
    "No match", 1
  )
)</f>
        <v/>
      </c>
      <c r="H23" s="143" t="str" cm="1">
        <f t="array" ref="H23">IF(
  H24="",
  "",
  _xlfn.XLOOKUP(
    TEXT(Temperature, "0"),
    DaqbookOffsets[#Headers],
    _xlfn.XLOOKUP(H22, DaqbookOffsets[Point], DaqbookOffsets[]),
    "No match", 1
  )
)</f>
        <v/>
      </c>
      <c r="I23" s="143" t="str" cm="1">
        <f t="array" ref="I23">IF(
  I24="",
  "",
  _xlfn.XLOOKUP(
    TEXT(Temperature, "0"),
    DaqbookOffsets[#Headers],
    _xlfn.XLOOKUP(I22, DaqbookOffsets[Point], DaqbookOffsets[]),
    "No match", 1
  )
)</f>
        <v/>
      </c>
      <c r="J23" s="143" t="str" cm="1">
        <f t="array" ref="J23">IF(
  J24="",
  "",
  _xlfn.XLOOKUP(
    TEXT(Temperature, "0"),
    DaqbookOffsets[#Headers],
    _xlfn.XLOOKUP(J22, DaqbookOffsets[Point], DaqbookOffsets[]),
    "No match", 1
  )
)</f>
        <v/>
      </c>
      <c r="K23" s="143" t="str" cm="1">
        <f t="array" ref="K23">IF(
  K24="",
  "",
  _xlfn.XLOOKUP(
    TEXT(Temperature, "0"),
    DaqbookOffsets[#Headers],
    _xlfn.XLOOKUP(K22, DaqbookOffsets[Point], DaqbookOffsets[]),
    "No match", 1
  )
)</f>
        <v/>
      </c>
      <c r="L23" s="143" t="str" cm="1">
        <f t="array" ref="L23">IF(
  L24="",
  "",
  _xlfn.XLOOKUP(
    TEXT(Temperature, "0"),
    DaqbookOffsets[#Headers],
    _xlfn.XLOOKUP(L22, DaqbookOffsets[Point], DaqbookOffsets[]),
    "No match", 1
  )
)</f>
        <v/>
      </c>
      <c r="M23" s="143" t="str" cm="1">
        <f t="array" ref="M23">IF(
  M24="",
  "",
  _xlfn.XLOOKUP(
    TEXT(Temperature, "0"),
    DaqbookOffsets[#Headers],
    _xlfn.XLOOKUP(M22, DaqbookOffsets[Point], DaqbookOffsets[]),
    "No match", 1
  )
)</f>
        <v/>
      </c>
      <c r="N23" s="143" t="str" cm="1">
        <f t="array" ref="N23">IF(
  N24="",
  "",
  _xlfn.XLOOKUP(
    TEXT(Temperature, "0"),
    DaqbookOffsets[#Headers],
    _xlfn.XLOOKUP(N22, DaqbookOffsets[Point], DaqbookOffsets[]),
    "No match", 1
  )
)</f>
        <v/>
      </c>
      <c r="O23" s="44"/>
      <c r="P23" s="44"/>
    </row>
    <row r="24" spans="1:20" x14ac:dyDescent="0.2">
      <c r="A24" s="44"/>
      <c r="B24" s="83" t="s">
        <v>42</v>
      </c>
      <c r="C24" s="143" t="str">
        <f>IFERROR(VLOOKUP(C22,Query1[],2,FALSE),"")</f>
        <v/>
      </c>
      <c r="D24" s="143" t="str">
        <f>IFERROR(VLOOKUP(D22,Query1[],2,FALSE),"")</f>
        <v/>
      </c>
      <c r="E24" s="143" t="str">
        <f>IFERROR(VLOOKUP(E22,Query1[],2,FALSE),"")</f>
        <v/>
      </c>
      <c r="F24" s="143" t="str">
        <f>IFERROR(VLOOKUP(F22,Query1[],2,FALSE),"")</f>
        <v/>
      </c>
      <c r="G24" s="143" t="str">
        <f>IFERROR(VLOOKUP(G22,Query1[],2,FALSE),"")</f>
        <v/>
      </c>
      <c r="H24" s="143" t="str">
        <f>IFERROR(VLOOKUP(H22,Query1[],2,FALSE),"")</f>
        <v/>
      </c>
      <c r="I24" s="143" t="str">
        <f>IFERROR(VLOOKUP(I22,Query1[],2,FALSE),"")</f>
        <v/>
      </c>
      <c r="J24" s="143" t="str">
        <f>IFERROR(VLOOKUP(J22,Query1[],2,FALSE),"")</f>
        <v/>
      </c>
      <c r="K24" s="143" t="str">
        <f>IFERROR(VLOOKUP(K22,Query1[],2,FALSE),"")</f>
        <v/>
      </c>
      <c r="L24" s="143" t="str">
        <f>IFERROR(VLOOKUP(L22,Query1[],2,FALSE),"")</f>
        <v/>
      </c>
      <c r="M24" s="143" t="str">
        <f>IFERROR(VLOOKUP(M22,Query1[],2,FALSE),"")</f>
        <v/>
      </c>
      <c r="N24" s="143" t="str">
        <f>IFERROR(VLOOKUP(N22,Query1[],2,FALSE),"")</f>
        <v/>
      </c>
    </row>
    <row r="25" spans="1:20" x14ac:dyDescent="0.2">
      <c r="A25" s="44"/>
      <c r="B25" s="83" t="s">
        <v>43</v>
      </c>
      <c r="C25" s="140" t="str">
        <f>IF(OR(C23="",C24=""),"",SUM(C23:C24))</f>
        <v/>
      </c>
      <c r="D25" s="140" t="str">
        <f t="shared" ref="D25:N25" si="2">IF(OR(D23="",D24=""),"",SUM(D23:D24))</f>
        <v/>
      </c>
      <c r="E25" s="140" t="str">
        <f t="shared" si="2"/>
        <v/>
      </c>
      <c r="F25" s="140" t="str">
        <f t="shared" si="2"/>
        <v/>
      </c>
      <c r="G25" s="140" t="str">
        <f t="shared" si="2"/>
        <v/>
      </c>
      <c r="H25" s="140" t="str">
        <f t="shared" si="2"/>
        <v/>
      </c>
      <c r="I25" s="140" t="str">
        <f t="shared" si="2"/>
        <v/>
      </c>
      <c r="J25" s="140" t="str">
        <f t="shared" si="2"/>
        <v/>
      </c>
      <c r="K25" s="140" t="str">
        <f t="shared" si="2"/>
        <v/>
      </c>
      <c r="L25" s="140" t="str">
        <f t="shared" si="2"/>
        <v/>
      </c>
      <c r="M25" s="140" t="str">
        <f t="shared" si="2"/>
        <v/>
      </c>
      <c r="N25" s="140" t="str">
        <f t="shared" si="2"/>
        <v/>
      </c>
      <c r="O25" s="44"/>
      <c r="P25" s="44"/>
    </row>
    <row r="27" spans="1:20" x14ac:dyDescent="0.2">
      <c r="A27" s="1"/>
      <c r="B27" s="1"/>
      <c r="C27" s="2"/>
      <c r="D27" s="2"/>
      <c r="E27" s="2"/>
      <c r="F27" s="2"/>
      <c r="G27" s="2"/>
      <c r="H27" s="2"/>
      <c r="I27" s="2"/>
      <c r="J27" s="2"/>
      <c r="K27" s="2"/>
      <c r="L27" s="2"/>
      <c r="M27" s="2"/>
      <c r="N27" s="2"/>
      <c r="O27" s="2"/>
      <c r="P27" s="2"/>
    </row>
    <row r="28" spans="1:20" ht="12.75" customHeight="1" x14ac:dyDescent="0.25">
      <c r="A28" s="41" t="s">
        <v>45</v>
      </c>
      <c r="B28" s="1"/>
      <c r="C28" s="2"/>
      <c r="D28" s="2"/>
      <c r="E28" s="2"/>
      <c r="F28" s="2"/>
      <c r="G28" s="2"/>
      <c r="H28" s="611" t="s">
        <v>376</v>
      </c>
      <c r="I28" s="611"/>
      <c r="J28" s="611"/>
      <c r="K28" s="611"/>
      <c r="L28" s="611"/>
      <c r="M28" s="611"/>
      <c r="N28" s="611"/>
      <c r="O28" s="611"/>
      <c r="P28" s="611"/>
      <c r="Q28" s="611"/>
      <c r="R28" s="611"/>
    </row>
    <row r="29" spans="1:20" x14ac:dyDescent="0.2">
      <c r="A29" s="600" t="s">
        <v>46</v>
      </c>
      <c r="B29" s="601"/>
      <c r="C29" s="65" t="str">
        <f>IF(Main!D48="","",Main!D48)</f>
        <v/>
      </c>
      <c r="D29" s="65" t="str">
        <f>IF(Main!E48="","",Main!E48)</f>
        <v/>
      </c>
      <c r="E29" s="65" t="str">
        <f>IF(Main!F48="","",Main!F48)</f>
        <v/>
      </c>
      <c r="F29" s="65" t="str">
        <f>IF(Main!G48="","",Main!G48)</f>
        <v/>
      </c>
      <c r="G29" s="314"/>
      <c r="H29" s="311" t="s">
        <v>377</v>
      </c>
      <c r="I29" s="143" t="str">
        <f>IF(Main!N47="","",Main!N47)</f>
        <v>Periodic</v>
      </c>
      <c r="J29" s="619" t="s">
        <v>378</v>
      </c>
      <c r="K29" s="620"/>
      <c r="L29" s="143" t="str">
        <f>IF(Main!R47="","",Main!R47)</f>
        <v>Air</v>
      </c>
    </row>
    <row r="30" spans="1:20" x14ac:dyDescent="0.2">
      <c r="A30" s="600" t="s">
        <v>47</v>
      </c>
      <c r="B30" s="601"/>
      <c r="C30" s="66" t="str">
        <f>IF(Main!D49="","",Main!D49)</f>
        <v/>
      </c>
      <c r="D30" s="66" t="str">
        <f>IF(Main!E49="","",Main!E49)</f>
        <v/>
      </c>
      <c r="E30" s="66" t="str">
        <f>IF(Main!F49="","",Main!F49)</f>
        <v/>
      </c>
      <c r="F30" s="66" t="str">
        <f>IF(Main!G49="","",Main!G49)</f>
        <v/>
      </c>
      <c r="G30" s="316"/>
      <c r="H30" s="612" t="s">
        <v>364</v>
      </c>
      <c r="I30" s="612"/>
      <c r="J30" s="621" t="s">
        <v>420</v>
      </c>
      <c r="K30" s="622"/>
      <c r="L30" s="623"/>
      <c r="M30" s="308"/>
      <c r="O30" s="613" t="s">
        <v>423</v>
      </c>
      <c r="P30" s="614"/>
      <c r="Q30" s="615"/>
      <c r="T30" s="44"/>
    </row>
    <row r="31" spans="1:20" x14ac:dyDescent="0.2">
      <c r="A31" s="600" t="s">
        <v>48</v>
      </c>
      <c r="B31" s="601"/>
      <c r="C31" s="66" t="str">
        <f>IF(Main!D50="","",Main!D50)</f>
        <v/>
      </c>
      <c r="D31" s="66" t="str">
        <f>IF(Main!E50="","",Main!E50)</f>
        <v/>
      </c>
      <c r="E31" s="66" t="str">
        <f>IF(Main!F50="","",Main!F50)</f>
        <v/>
      </c>
      <c r="F31" s="66" t="str">
        <f>IF(Main!G50="","",Main!G50)</f>
        <v/>
      </c>
      <c r="G31" s="316"/>
      <c r="H31" s="296" t="s">
        <v>379</v>
      </c>
      <c r="I31" s="298" t="str">
        <f>IF(Main!N49="","",Main!N49)</f>
        <v/>
      </c>
      <c r="J31" s="602" t="s">
        <v>428</v>
      </c>
      <c r="K31" s="603"/>
      <c r="L31" s="604"/>
      <c r="M31" s="309" t="str">
        <f>IF(Main!S49="","",Main!S49)</f>
        <v/>
      </c>
      <c r="O31" s="616" t="s">
        <v>430</v>
      </c>
      <c r="P31" s="617"/>
      <c r="Q31" s="618"/>
      <c r="R31" s="82" t="str">
        <f>IF(Main!X49="","",Main!X49)</f>
        <v/>
      </c>
      <c r="T31" s="44"/>
    </row>
    <row r="32" spans="1:20" ht="12.75" customHeight="1" x14ac:dyDescent="0.2">
      <c r="A32" s="600" t="s">
        <v>49</v>
      </c>
      <c r="B32" s="601"/>
      <c r="C32" s="65" t="str">
        <f>IF(Main!D51="","",Main!D51)</f>
        <v/>
      </c>
      <c r="D32" s="65" t="str">
        <f>IF(Main!E51="","",Main!E51)</f>
        <v/>
      </c>
      <c r="E32" s="65" t="str">
        <f>IF(Main!F51="","",Main!F51)</f>
        <v/>
      </c>
      <c r="F32" s="65" t="str">
        <f>IF(Main!G51="","",Main!G51)</f>
        <v/>
      </c>
      <c r="G32" s="314"/>
      <c r="H32" s="296" t="s">
        <v>395</v>
      </c>
      <c r="I32" s="298" t="str">
        <f>IF(Main!N50="","",Main!N50)</f>
        <v/>
      </c>
      <c r="J32" s="605" t="s">
        <v>367</v>
      </c>
      <c r="K32" s="606"/>
      <c r="L32" s="607"/>
      <c r="M32" s="304"/>
      <c r="O32" s="605" t="s">
        <v>367</v>
      </c>
      <c r="P32" s="606"/>
      <c r="Q32" s="607"/>
      <c r="T32" s="44"/>
    </row>
    <row r="33" spans="1:20" ht="12.75" customHeight="1" x14ac:dyDescent="0.2">
      <c r="A33" s="600" t="s">
        <v>380</v>
      </c>
      <c r="B33" s="601"/>
      <c r="C33" s="65" t="str">
        <f>IF(Main!D52="","",Main!D52)</f>
        <v/>
      </c>
      <c r="D33" s="65" t="str">
        <f>IF(Main!E52="","",Main!E52)</f>
        <v/>
      </c>
      <c r="E33" s="65" t="str">
        <f>IF(Main!F52="","",Main!F52)</f>
        <v/>
      </c>
      <c r="F33" s="65" t="str">
        <f>IF(Main!G52="","",Main!G52)</f>
        <v/>
      </c>
      <c r="G33" s="314"/>
      <c r="H33" s="296" t="s">
        <v>381</v>
      </c>
      <c r="I33" s="298" t="str">
        <f>IF(Main!N51="","",Main!N51)</f>
        <v/>
      </c>
      <c r="J33" s="608" t="s">
        <v>429</v>
      </c>
      <c r="K33" s="609"/>
      <c r="L33" s="610"/>
      <c r="M33" s="303" t="str">
        <f>IF(Main!S51="","",Main!S51)</f>
        <v/>
      </c>
      <c r="O33" s="608" t="s">
        <v>431</v>
      </c>
      <c r="P33" s="609"/>
      <c r="Q33" s="610"/>
      <c r="R33" s="82" t="str">
        <f>IF(Main!X51="","",Main!X51)</f>
        <v/>
      </c>
      <c r="T33" s="44"/>
    </row>
    <row r="34" spans="1:20" ht="12.75" customHeight="1" x14ac:dyDescent="0.2">
      <c r="A34" s="600" t="s">
        <v>50</v>
      </c>
      <c r="B34" s="601"/>
      <c r="C34" s="67" t="str">
        <f>IF(Main!D53="","",Main!D53)</f>
        <v/>
      </c>
      <c r="D34" s="67" t="str">
        <f>IF(Main!E53="","",Main!E53)</f>
        <v/>
      </c>
      <c r="E34" s="67" t="str">
        <f>IF(Main!F53="","",Main!F53)</f>
        <v/>
      </c>
      <c r="F34" s="67" t="str">
        <f>IF(Main!G53="","",Main!G53)</f>
        <v/>
      </c>
      <c r="G34" s="317"/>
      <c r="H34" s="296" t="s">
        <v>382</v>
      </c>
      <c r="I34" s="295" t="str">
        <f>IF(Main!N52="","",Main!N52)</f>
        <v/>
      </c>
      <c r="J34" s="605" t="s">
        <v>367</v>
      </c>
      <c r="K34" s="606"/>
      <c r="L34" s="607"/>
      <c r="O34" s="605" t="s">
        <v>367</v>
      </c>
      <c r="P34" s="606"/>
      <c r="Q34" s="607"/>
      <c r="T34" s="44"/>
    </row>
    <row r="35" spans="1:20" ht="12.75" customHeight="1" x14ac:dyDescent="0.2">
      <c r="A35" s="83"/>
      <c r="B35" s="85" t="s">
        <v>106</v>
      </c>
      <c r="C35" s="96" t="str">
        <f>IF(Main!D54="","",Main!D54)</f>
        <v/>
      </c>
      <c r="D35" s="96" t="str">
        <f>IF(Main!E54="","",Main!E54)</f>
        <v/>
      </c>
      <c r="E35" s="96" t="str">
        <f>IF(Main!F54="","",Main!F54)</f>
        <v/>
      </c>
      <c r="F35" s="96" t="str">
        <f>IF(Main!G54="","",Main!G54)</f>
        <v/>
      </c>
      <c r="G35" s="318"/>
      <c r="H35" s="296" t="s">
        <v>382</v>
      </c>
      <c r="I35" s="295" t="str">
        <f>IF(Main!N53="","",Main!N53)</f>
        <v/>
      </c>
      <c r="J35" s="594" t="s">
        <v>432</v>
      </c>
      <c r="K35" s="595"/>
      <c r="L35" s="596"/>
      <c r="M35" s="312" t="str">
        <f>IF(Main!S53="","",Main!S53)</f>
        <v/>
      </c>
      <c r="O35" s="594" t="s">
        <v>433</v>
      </c>
      <c r="P35" s="595"/>
      <c r="Q35" s="596"/>
      <c r="R35" s="313" t="str">
        <f>IF(Main!X53="","",Main!X53)</f>
        <v/>
      </c>
    </row>
    <row r="36" spans="1:20" ht="13.5" thickBot="1" x14ac:dyDescent="0.25">
      <c r="B36" s="85" t="s">
        <v>383</v>
      </c>
      <c r="C36" s="65" t="str">
        <f>IF(Main!D56="","",Main!D56)</f>
        <v/>
      </c>
      <c r="D36" s="65" t="str">
        <f>IF(Main!E56="","",Main!E56)</f>
        <v/>
      </c>
      <c r="E36" s="65" t="str">
        <f>IF(Main!F56="","",Main!F56)</f>
        <v/>
      </c>
      <c r="F36" s="65" t="str">
        <f>IF(Main!G56="","",Main!G56)</f>
        <v/>
      </c>
      <c r="G36" s="314"/>
      <c r="H36" s="315"/>
      <c r="J36" s="597"/>
      <c r="K36" s="598"/>
      <c r="L36" s="599"/>
      <c r="M36" s="307"/>
      <c r="O36" s="597"/>
      <c r="P36" s="598"/>
      <c r="Q36" s="599"/>
      <c r="T36" s="44"/>
    </row>
    <row r="37" spans="1:20" ht="13.5" thickBot="1" x14ac:dyDescent="0.25">
      <c r="B37" s="83" t="s">
        <v>384</v>
      </c>
      <c r="C37" s="65" t="str">
        <f>IF(Main!D57="","",Main!D57)</f>
        <v/>
      </c>
      <c r="D37" s="65" t="str">
        <f>IF(Main!E57="","",Main!E57)</f>
        <v/>
      </c>
      <c r="E37" s="65" t="str">
        <f>IF(Main!F57="","",Main!F57)</f>
        <v/>
      </c>
      <c r="F37" s="65" t="str">
        <f>IF(Main!G57="","",Main!G57)</f>
        <v/>
      </c>
      <c r="G37" s="314"/>
      <c r="H37" s="315"/>
      <c r="J37" s="322" t="s">
        <v>370</v>
      </c>
      <c r="K37" s="323" t="s">
        <v>26</v>
      </c>
      <c r="L37" s="324" t="s">
        <v>371</v>
      </c>
      <c r="M37" s="307"/>
      <c r="O37" s="322" t="s">
        <v>372</v>
      </c>
      <c r="P37" s="323" t="s">
        <v>26</v>
      </c>
      <c r="Q37" s="324" t="s">
        <v>373</v>
      </c>
    </row>
    <row r="38" spans="1:20" ht="13.5" thickBot="1" x14ac:dyDescent="0.25">
      <c r="B38" s="52" t="s">
        <v>51</v>
      </c>
      <c r="J38" s="319" t="str">
        <f>IF(Main!P56="","",Main!P56)</f>
        <v/>
      </c>
      <c r="K38" s="320" t="str">
        <f>IF(Main!Q56="","",Main!Q56)</f>
        <v/>
      </c>
      <c r="L38" s="321" t="str">
        <f>IF(Main!R56="","",Main!R56)</f>
        <v/>
      </c>
      <c r="O38" s="319" t="str">
        <f>IF(Main!U56="","",Main!U56)</f>
        <v/>
      </c>
      <c r="P38" s="320" t="str">
        <f>IF(Main!V56="","",Main!V56)</f>
        <v/>
      </c>
      <c r="Q38" s="321" t="str">
        <f>IF(Main!W56="","",Main!W56)</f>
        <v/>
      </c>
    </row>
    <row r="39" spans="1:20" x14ac:dyDescent="0.2">
      <c r="B39" s="52" t="s">
        <v>393</v>
      </c>
      <c r="M39" s="325"/>
    </row>
    <row r="40" spans="1:20" ht="15.75" x14ac:dyDescent="0.25">
      <c r="B40" s="306"/>
      <c r="C40" s="306"/>
      <c r="D40" s="306"/>
      <c r="E40" s="306"/>
      <c r="K40" s="83" t="s">
        <v>397</v>
      </c>
      <c r="L40">
        <f>IF(Main!N54="","",Main!N54)</f>
        <v>0</v>
      </c>
      <c r="O40" s="83" t="s">
        <v>399</v>
      </c>
      <c r="P40">
        <f>IF(Main!N56="","",Main!N56)</f>
        <v>0</v>
      </c>
    </row>
    <row r="41" spans="1:20" x14ac:dyDescent="0.2">
      <c r="K41" s="83" t="s">
        <v>398</v>
      </c>
      <c r="L41">
        <f>IF(Main!N55="","",Main!N55)</f>
        <v>0</v>
      </c>
      <c r="O41" s="83" t="s">
        <v>400</v>
      </c>
      <c r="P41">
        <f>IF(Main!N57="","",Main!N57)</f>
        <v>0</v>
      </c>
    </row>
    <row r="42" spans="1:20" ht="15.75" x14ac:dyDescent="0.25">
      <c r="C42" s="306"/>
      <c r="D42" s="306"/>
      <c r="E42" s="306"/>
      <c r="F42" s="306"/>
      <c r="G42" s="306"/>
      <c r="H42" s="306"/>
      <c r="I42" s="306"/>
      <c r="J42" s="306"/>
    </row>
    <row r="44" spans="1:20" x14ac:dyDescent="0.2">
      <c r="F44" s="2"/>
      <c r="G44" s="2"/>
    </row>
    <row r="45" spans="1:20" ht="12.75" customHeight="1" x14ac:dyDescent="0.2">
      <c r="F45" s="308"/>
    </row>
    <row r="46" spans="1:20" x14ac:dyDescent="0.2">
      <c r="F46" s="156"/>
    </row>
    <row r="47" spans="1:20" ht="12.75" customHeight="1" x14ac:dyDescent="0.2">
      <c r="F47" s="304"/>
    </row>
    <row r="48" spans="1:20" ht="12.75" customHeight="1" x14ac:dyDescent="0.2">
      <c r="F48" s="307"/>
    </row>
    <row r="50" spans="6:6" ht="15.75" customHeight="1" x14ac:dyDescent="0.2">
      <c r="F50" s="304"/>
    </row>
    <row r="51" spans="6:6" x14ac:dyDescent="0.2">
      <c r="F51" s="307"/>
    </row>
    <row r="52" spans="6:6" x14ac:dyDescent="0.2">
      <c r="F52" s="307"/>
    </row>
    <row r="54" spans="6:6" x14ac:dyDescent="0.2">
      <c r="F54" s="310"/>
    </row>
  </sheetData>
  <sheetProtection algorithmName="SHA-512" hashValue="JwgqG8XQP9hVfAU4jnsty22z4HS5Q1sogWjnn/dFUYgGiEgfKo8pBV10pREJq8vmc5g6afcBQMmdiso1/KpheQ==" saltValue="ul92R9YmJZf6cpPMh4TjJA==" spinCount="100000" sheet="1" objects="1" scenarios="1" selectLockedCells="1" autoFilter="0" selectUnlockedCells="1"/>
  <mergeCells count="21">
    <mergeCell ref="H28:R28"/>
    <mergeCell ref="H30:I30"/>
    <mergeCell ref="O30:Q30"/>
    <mergeCell ref="O31:Q31"/>
    <mergeCell ref="A34:B34"/>
    <mergeCell ref="J29:K29"/>
    <mergeCell ref="J30:L30"/>
    <mergeCell ref="O33:Q33"/>
    <mergeCell ref="O32:Q32"/>
    <mergeCell ref="O34:Q34"/>
    <mergeCell ref="J35:L36"/>
    <mergeCell ref="O35:Q36"/>
    <mergeCell ref="A29:B29"/>
    <mergeCell ref="A30:B30"/>
    <mergeCell ref="A31:B31"/>
    <mergeCell ref="A32:B32"/>
    <mergeCell ref="A33:B33"/>
    <mergeCell ref="J31:L31"/>
    <mergeCell ref="J32:L32"/>
    <mergeCell ref="J33:L33"/>
    <mergeCell ref="J34:L34"/>
  </mergeCells>
  <phoneticPr fontId="23" type="noConversion"/>
  <pageMargins left="0.25" right="0.75" top="1" bottom="1" header="0.5" footer="0.5"/>
  <pageSetup scale="57" fitToWidth="0" orientation="landscape" r:id="rId1"/>
  <headerFooter alignWithMargins="0"/>
  <customProperties>
    <customPr name="%locator_row%" r:id="rId2"/>
    <customPr name="%startcell%" r:id="rId3"/>
  </customProperties>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14">
    <tabColor rgb="FFFFCC99"/>
  </sheetPr>
  <dimension ref="A1:N29"/>
  <sheetViews>
    <sheetView workbookViewId="0">
      <selection activeCell="J6" sqref="J6"/>
    </sheetView>
  </sheetViews>
  <sheetFormatPr defaultRowHeight="12.75" x14ac:dyDescent="0.2"/>
  <cols>
    <col min="4" max="4" width="9.140625" style="137"/>
  </cols>
  <sheetData>
    <row r="1" spans="1:14" ht="15.75" x14ac:dyDescent="0.25">
      <c r="A1" s="138"/>
      <c r="B1" s="118"/>
      <c r="C1" s="118"/>
      <c r="D1" s="135"/>
      <c r="E1" s="119"/>
      <c r="F1" s="128" t="s">
        <v>167</v>
      </c>
      <c r="G1" s="129"/>
      <c r="H1" s="129"/>
      <c r="I1" s="129"/>
      <c r="J1" s="119"/>
      <c r="K1" s="118"/>
      <c r="L1" s="118"/>
      <c r="M1" s="118"/>
      <c r="N1" s="118"/>
    </row>
    <row r="2" spans="1:14" ht="15.75" x14ac:dyDescent="0.25">
      <c r="A2" s="118"/>
      <c r="B2" s="118"/>
      <c r="C2" s="118"/>
      <c r="D2" s="135"/>
      <c r="E2" s="120" t="s">
        <v>168</v>
      </c>
      <c r="F2" s="129"/>
      <c r="G2" s="129"/>
      <c r="H2" s="129"/>
      <c r="I2" s="129"/>
      <c r="J2" s="119"/>
      <c r="K2" s="118"/>
      <c r="L2" s="118"/>
      <c r="M2" s="118"/>
      <c r="N2" s="118"/>
    </row>
    <row r="3" spans="1:14" x14ac:dyDescent="0.2">
      <c r="A3" s="118"/>
      <c r="B3" s="118"/>
      <c r="C3" s="118"/>
      <c r="D3" s="135"/>
      <c r="E3" s="118"/>
      <c r="F3" s="118"/>
      <c r="G3" s="118"/>
      <c r="H3" s="118"/>
      <c r="I3" s="118"/>
      <c r="J3" s="118"/>
      <c r="K3" s="118"/>
      <c r="L3" s="118"/>
      <c r="M3" s="118"/>
      <c r="N3" s="118"/>
    </row>
    <row r="4" spans="1:14" x14ac:dyDescent="0.2">
      <c r="A4" s="118"/>
      <c r="B4" s="121" t="s">
        <v>0</v>
      </c>
      <c r="C4" s="121"/>
      <c r="D4" s="136"/>
      <c r="E4" s="118"/>
      <c r="F4" s="121"/>
      <c r="G4" s="121"/>
      <c r="H4" s="121"/>
      <c r="I4" s="121"/>
      <c r="J4" s="121"/>
      <c r="K4" s="121"/>
      <c r="L4" s="121"/>
      <c r="M4" s="118"/>
      <c r="N4" s="118"/>
    </row>
    <row r="5" spans="1:14" x14ac:dyDescent="0.2">
      <c r="A5" s="118"/>
      <c r="B5" s="122" t="s">
        <v>37</v>
      </c>
      <c r="C5" s="122"/>
      <c r="D5" s="136"/>
      <c r="E5" s="118"/>
      <c r="F5" s="121"/>
      <c r="G5" s="121"/>
      <c r="H5" s="121"/>
      <c r="I5" s="121"/>
      <c r="J5" s="121"/>
      <c r="K5" s="121"/>
      <c r="L5" s="121"/>
      <c r="M5" s="118"/>
      <c r="N5" s="118"/>
    </row>
    <row r="6" spans="1:14" x14ac:dyDescent="0.2">
      <c r="A6" s="118"/>
      <c r="B6" s="123" t="s">
        <v>38</v>
      </c>
      <c r="C6" s="124">
        <f>Main!D3</f>
        <v>0</v>
      </c>
      <c r="D6" s="135"/>
      <c r="E6" s="121"/>
      <c r="F6" s="121"/>
      <c r="G6" s="121"/>
      <c r="H6" s="121"/>
      <c r="I6" s="125" t="s">
        <v>9</v>
      </c>
      <c r="J6" s="121" t="e">
        <f>Main!D5</f>
        <v>#N/A</v>
      </c>
      <c r="K6" s="118"/>
      <c r="L6" s="118"/>
    </row>
    <row r="7" spans="1:14" x14ac:dyDescent="0.2">
      <c r="A7" s="118"/>
      <c r="B7" s="125" t="s">
        <v>7</v>
      </c>
      <c r="C7" s="126" t="e">
        <f>Main!D6</f>
        <v>#N/A</v>
      </c>
      <c r="D7" s="135"/>
      <c r="E7" s="121"/>
      <c r="F7" s="121"/>
      <c r="G7" s="121"/>
      <c r="H7" s="121"/>
      <c r="I7" s="125" t="s">
        <v>10</v>
      </c>
      <c r="J7" s="127">
        <f>Temperature</f>
        <v>0</v>
      </c>
      <c r="K7" s="118"/>
      <c r="L7" s="118"/>
    </row>
    <row r="8" spans="1:14" x14ac:dyDescent="0.2">
      <c r="A8" s="118"/>
      <c r="B8" s="125" t="s">
        <v>39</v>
      </c>
      <c r="C8" s="126" t="str">
        <f>Main!D7</f>
        <v>Jeff Hall</v>
      </c>
      <c r="D8" s="135"/>
      <c r="E8" s="121"/>
      <c r="F8" s="121"/>
      <c r="G8" s="121"/>
      <c r="H8" s="121"/>
      <c r="I8" s="121"/>
      <c r="J8" s="121"/>
      <c r="K8" s="121"/>
      <c r="L8" s="121"/>
      <c r="M8" s="118"/>
      <c r="N8" s="118"/>
    </row>
    <row r="10" spans="1:14" x14ac:dyDescent="0.2">
      <c r="B10" t="s">
        <v>177</v>
      </c>
      <c r="D10" s="137" t="s">
        <v>178</v>
      </c>
    </row>
    <row r="11" spans="1:14" x14ac:dyDescent="0.2">
      <c r="D11" s="6"/>
    </row>
    <row r="12" spans="1:14" x14ac:dyDescent="0.2">
      <c r="D12" s="6"/>
    </row>
    <row r="13" spans="1:14" x14ac:dyDescent="0.2">
      <c r="D13" s="6"/>
    </row>
    <row r="14" spans="1:14" x14ac:dyDescent="0.2">
      <c r="D14" s="6"/>
    </row>
    <row r="15" spans="1:14" x14ac:dyDescent="0.2">
      <c r="D15" s="6"/>
    </row>
    <row r="16" spans="1:14" x14ac:dyDescent="0.2">
      <c r="D16" s="6"/>
    </row>
    <row r="17" spans="4:9" x14ac:dyDescent="0.2">
      <c r="D17" s="6"/>
    </row>
    <row r="18" spans="4:9" x14ac:dyDescent="0.2">
      <c r="D18" s="6"/>
    </row>
    <row r="19" spans="4:9" x14ac:dyDescent="0.2">
      <c r="D19" s="6"/>
    </row>
    <row r="20" spans="4:9" x14ac:dyDescent="0.2">
      <c r="D20" s="6"/>
    </row>
    <row r="21" spans="4:9" x14ac:dyDescent="0.2">
      <c r="D21" s="6"/>
    </row>
    <row r="22" spans="4:9" x14ac:dyDescent="0.2">
      <c r="D22" s="6"/>
    </row>
    <row r="23" spans="4:9" x14ac:dyDescent="0.2">
      <c r="D23" s="6"/>
    </row>
    <row r="24" spans="4:9" x14ac:dyDescent="0.2">
      <c r="D24" s="6"/>
    </row>
    <row r="25" spans="4:9" x14ac:dyDescent="0.2">
      <c r="D25" s="6"/>
    </row>
    <row r="26" spans="4:9" x14ac:dyDescent="0.2">
      <c r="D26" s="6"/>
    </row>
    <row r="27" spans="4:9" x14ac:dyDescent="0.2">
      <c r="D27" s="6"/>
    </row>
    <row r="29" spans="4:9" x14ac:dyDescent="0.2">
      <c r="I29" s="44"/>
    </row>
  </sheetData>
  <sheetProtection algorithmName="SHA-512" hashValue="JxFU0D1y4dEwBQKfCw5LtxEbaFnbbqxH4SsihFj05MpUVjE4OXfdsq0owYDCJZcdeZQ2OZcGLV9DPkYQiBlwvw==" saltValue="bRDZ0Cm8f4DPIsxl+gHw9w==" spinCount="100000" sheet="1" objects="1" scenarios="1" selectLockedCells="1" autoFilter="0" selectUnlockedCells="1"/>
  <pageMargins left="0.7" right="0.7" top="0.75" bottom="0.75" header="0.3" footer="0.3"/>
  <pageSetup orientation="landscape" r:id="rId1"/>
  <customProperties>
    <customPr name="%locator_row%" r:id="rId2"/>
    <customPr name="%startcell%" r:id="rId3"/>
  </customProperties>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
  <dimension ref="A1:BC77"/>
  <sheetViews>
    <sheetView zoomScale="90" zoomScaleNormal="90" workbookViewId="0">
      <selection activeCell="A32" sqref="A32"/>
    </sheetView>
  </sheetViews>
  <sheetFormatPr defaultRowHeight="12.75" x14ac:dyDescent="0.2"/>
  <cols>
    <col min="1" max="1" width="20.28515625" bestFit="1" customWidth="1"/>
    <col min="2" max="2" width="10.7109375" customWidth="1"/>
    <col min="3" max="3" width="10.140625" bestFit="1" customWidth="1"/>
    <col min="5" max="5" width="26.5703125" bestFit="1" customWidth="1"/>
    <col min="9" max="9" width="10.85546875" customWidth="1"/>
    <col min="10" max="10" width="13.140625" customWidth="1"/>
    <col min="12" max="12" width="10.28515625" bestFit="1" customWidth="1"/>
    <col min="21" max="21" width="9.42578125" bestFit="1" customWidth="1"/>
    <col min="22" max="22" width="11" customWidth="1"/>
    <col min="41" max="41" width="9.42578125" bestFit="1" customWidth="1"/>
    <col min="42" max="42" width="10.85546875" customWidth="1"/>
  </cols>
  <sheetData>
    <row r="1" spans="1:55" ht="15" x14ac:dyDescent="0.25">
      <c r="A1" s="361">
        <f>Main!D16</f>
        <v>0</v>
      </c>
      <c r="B1" s="362">
        <f>Main!D17</f>
        <v>0</v>
      </c>
      <c r="C1" s="165"/>
      <c r="D1" s="4"/>
      <c r="E1" s="4" t="s">
        <v>63</v>
      </c>
      <c r="F1" s="4"/>
      <c r="G1" s="4"/>
      <c r="H1" s="4"/>
      <c r="I1" s="4"/>
      <c r="J1" s="4"/>
      <c r="K1" s="4"/>
      <c r="L1" s="4"/>
      <c r="M1" s="4"/>
      <c r="N1" s="4"/>
      <c r="O1" s="4"/>
      <c r="P1" s="4"/>
      <c r="Q1" s="4"/>
      <c r="R1" s="4"/>
      <c r="S1" s="4"/>
      <c r="T1" s="4"/>
      <c r="U1" s="4"/>
      <c r="V1" s="4"/>
      <c r="W1" s="4"/>
      <c r="X1" s="4"/>
      <c r="Y1" s="4" t="s">
        <v>63</v>
      </c>
      <c r="Z1" s="4"/>
      <c r="AA1" s="4"/>
      <c r="AB1" s="4"/>
      <c r="AC1" s="4"/>
      <c r="AD1" s="4"/>
      <c r="AE1" s="4"/>
      <c r="AF1" s="4"/>
      <c r="AG1" s="4"/>
      <c r="AH1" s="4"/>
      <c r="AI1" s="4"/>
      <c r="AJ1" s="4"/>
      <c r="AK1" s="4"/>
      <c r="AL1" s="4"/>
      <c r="AM1" s="4"/>
      <c r="AN1" s="4"/>
      <c r="AO1" s="4"/>
      <c r="AP1" s="4"/>
      <c r="AQ1" s="4"/>
      <c r="AR1" s="4"/>
      <c r="AS1" s="4" t="s">
        <v>63</v>
      </c>
      <c r="AT1" s="4"/>
      <c r="AU1" s="4"/>
      <c r="AV1" s="4"/>
      <c r="AW1" s="4"/>
      <c r="AX1" s="4"/>
      <c r="AY1" s="4"/>
      <c r="AZ1" s="4"/>
      <c r="BA1" s="4"/>
      <c r="BB1" s="4"/>
      <c r="BC1" s="4"/>
    </row>
    <row r="2" spans="1:55" ht="15" x14ac:dyDescent="0.25">
      <c r="A2" s="363">
        <f>Main!D19</f>
        <v>0</v>
      </c>
      <c r="B2" s="362">
        <f>IF(OR(ISBLANK(A1),ISBLANK(A2)),0,A1+A2)</f>
        <v>0</v>
      </c>
      <c r="C2" s="4"/>
      <c r="D2" s="4"/>
      <c r="E2" s="4"/>
      <c r="F2" s="171"/>
      <c r="G2" s="4"/>
      <c r="H2" s="4"/>
      <c r="I2" s="4"/>
      <c r="J2" s="4"/>
      <c r="K2" s="4"/>
      <c r="L2" s="4"/>
      <c r="M2" s="4"/>
      <c r="N2" s="4" t="s">
        <v>64</v>
      </c>
      <c r="O2" s="4"/>
      <c r="P2" s="4"/>
      <c r="Q2" s="4"/>
      <c r="R2" s="4"/>
      <c r="S2" s="4"/>
      <c r="T2" s="4"/>
      <c r="U2" s="4"/>
      <c r="V2" s="4"/>
      <c r="W2" s="4"/>
      <c r="X2" s="4"/>
      <c r="Y2" s="4"/>
      <c r="Z2" s="4"/>
      <c r="AA2" s="4"/>
      <c r="AB2" s="4"/>
      <c r="AC2" s="4"/>
      <c r="AD2" s="4"/>
      <c r="AE2" s="4"/>
      <c r="AF2" s="4"/>
      <c r="AG2" s="4"/>
      <c r="AH2" s="4" t="s">
        <v>65</v>
      </c>
      <c r="AI2" s="4"/>
      <c r="AJ2" s="4"/>
      <c r="AK2" s="4"/>
      <c r="AL2" s="4"/>
      <c r="AM2" s="4"/>
      <c r="AN2" s="4"/>
      <c r="AO2" s="4"/>
      <c r="AP2" s="4"/>
      <c r="AQ2" s="4"/>
      <c r="AR2" s="4"/>
      <c r="AS2" s="4"/>
      <c r="AT2" s="4"/>
      <c r="AU2" s="4"/>
      <c r="AV2" s="4"/>
      <c r="AW2" s="4"/>
      <c r="AX2" s="4"/>
      <c r="AY2" s="4"/>
      <c r="AZ2" s="4"/>
      <c r="BA2" s="4"/>
      <c r="BB2" s="4" t="s">
        <v>66</v>
      </c>
      <c r="BC2" s="4"/>
    </row>
    <row r="3" spans="1:55" ht="15" x14ac:dyDescent="0.25">
      <c r="A3" s="4" t="s">
        <v>0</v>
      </c>
      <c r="L3" s="4"/>
      <c r="M3" s="4"/>
      <c r="N3" s="4"/>
      <c r="O3" s="4"/>
      <c r="P3" s="4"/>
      <c r="Q3" s="4"/>
      <c r="R3" s="4"/>
      <c r="S3" s="4"/>
      <c r="T3" s="4"/>
      <c r="U3" s="4" t="s">
        <v>0</v>
      </c>
      <c r="V3" s="4"/>
      <c r="W3" s="4"/>
      <c r="X3" s="4"/>
      <c r="Y3" s="4"/>
      <c r="Z3" s="4"/>
      <c r="AA3" s="4"/>
      <c r="AB3" s="4"/>
      <c r="AC3" s="4"/>
      <c r="AD3" s="4"/>
      <c r="AE3" s="4"/>
      <c r="AF3" s="4"/>
      <c r="AG3" s="4"/>
      <c r="AH3" s="4"/>
      <c r="AI3" s="4"/>
      <c r="AJ3" s="4"/>
      <c r="AK3" s="4"/>
      <c r="AL3" s="4"/>
      <c r="AM3" s="4"/>
      <c r="AN3" s="4"/>
      <c r="AO3" s="4" t="s">
        <v>0</v>
      </c>
      <c r="AP3" s="4"/>
      <c r="AQ3" s="4"/>
      <c r="AR3" s="4"/>
      <c r="AS3" s="4"/>
      <c r="AT3" s="4"/>
      <c r="AU3" s="4"/>
      <c r="AV3" s="4"/>
      <c r="AW3" s="4"/>
      <c r="AX3" s="4"/>
      <c r="AY3" s="4"/>
      <c r="AZ3" s="4"/>
      <c r="BA3" s="4"/>
      <c r="BB3" s="4"/>
      <c r="BC3" s="4"/>
    </row>
    <row r="4" spans="1:55" ht="15" x14ac:dyDescent="0.25">
      <c r="A4" s="5" t="s">
        <v>18</v>
      </c>
      <c r="L4" s="4"/>
      <c r="M4" s="4"/>
      <c r="N4" s="4"/>
      <c r="O4" s="4"/>
      <c r="P4" s="4"/>
      <c r="Q4" s="4"/>
      <c r="R4" s="4"/>
      <c r="S4" s="4"/>
      <c r="T4" s="4"/>
      <c r="U4" s="5" t="s">
        <v>18</v>
      </c>
      <c r="V4" s="4"/>
      <c r="W4" s="4"/>
      <c r="X4" s="4"/>
      <c r="Y4" s="4"/>
      <c r="Z4" s="4"/>
      <c r="AA4" s="4"/>
      <c r="AB4" s="4"/>
      <c r="AC4" s="4"/>
      <c r="AD4" s="4"/>
      <c r="AE4" s="4"/>
      <c r="AF4" s="4"/>
      <c r="AG4" s="4"/>
      <c r="AH4" s="4"/>
      <c r="AI4" s="4"/>
      <c r="AJ4" s="4"/>
      <c r="AK4" s="4"/>
      <c r="AL4" s="4"/>
      <c r="AM4" s="4"/>
      <c r="AN4" s="4"/>
      <c r="AO4" s="5" t="s">
        <v>18</v>
      </c>
      <c r="AP4" s="4"/>
      <c r="AQ4" s="4"/>
      <c r="AR4" s="4"/>
      <c r="AS4" s="4"/>
      <c r="AT4" s="4"/>
      <c r="AU4" s="4"/>
      <c r="AV4" s="4"/>
      <c r="AW4" s="4"/>
      <c r="AX4" s="4"/>
      <c r="AY4" s="4"/>
      <c r="AZ4" s="4"/>
      <c r="BA4" s="4"/>
      <c r="BB4" s="4"/>
      <c r="BC4" s="4"/>
    </row>
    <row r="5" spans="1:55" ht="15" x14ac:dyDescent="0.25">
      <c r="A5" s="7" t="s">
        <v>6</v>
      </c>
      <c r="B5" s="59">
        <f>Main!D3</f>
        <v>0</v>
      </c>
      <c r="D5">
        <f>MATCH(Main!$E$30,Data_Sheet!$A$11:$A$900,0)</f>
        <v>4</v>
      </c>
      <c r="G5" s="44"/>
      <c r="I5" s="7" t="s">
        <v>9</v>
      </c>
      <c r="J5" t="e">
        <f>Main!D5</f>
        <v>#N/A</v>
      </c>
      <c r="L5" s="4"/>
      <c r="M5" s="4"/>
      <c r="N5" s="4"/>
      <c r="O5" s="4"/>
      <c r="P5" s="4"/>
      <c r="Q5" s="54"/>
      <c r="R5" s="4"/>
      <c r="S5" s="4"/>
      <c r="T5" s="4"/>
      <c r="U5" s="4" t="s">
        <v>6</v>
      </c>
      <c r="V5" s="39">
        <f>B5</f>
        <v>0</v>
      </c>
      <c r="W5" s="4"/>
      <c r="X5" s="4"/>
      <c r="Y5" s="4"/>
      <c r="AA5" s="7" t="s">
        <v>9</v>
      </c>
      <c r="AB5" s="51" t="e">
        <f>J5</f>
        <v>#N/A</v>
      </c>
      <c r="AC5" s="4"/>
      <c r="AD5" s="4"/>
      <c r="AE5" s="4"/>
      <c r="AF5" s="4"/>
      <c r="AG5" s="4"/>
      <c r="AH5" s="4"/>
      <c r="AI5" s="4"/>
      <c r="AJ5" s="4"/>
      <c r="AK5" s="4"/>
      <c r="AL5" s="4"/>
      <c r="AM5" s="4"/>
      <c r="AN5" s="4"/>
      <c r="AO5" s="4" t="s">
        <v>6</v>
      </c>
      <c r="AP5" s="39">
        <f>V5</f>
        <v>0</v>
      </c>
      <c r="AQ5" s="4"/>
      <c r="AR5" s="4"/>
      <c r="AS5" s="4"/>
      <c r="AU5" s="7" t="s">
        <v>9</v>
      </c>
      <c r="AV5" s="51" t="e">
        <f>AB5</f>
        <v>#N/A</v>
      </c>
      <c r="AW5" s="4"/>
      <c r="AX5" s="4"/>
      <c r="AY5" s="4"/>
      <c r="AZ5" s="4"/>
      <c r="BA5" s="4"/>
      <c r="BB5" s="4"/>
      <c r="BC5" s="4"/>
    </row>
    <row r="6" spans="1:55" ht="15" x14ac:dyDescent="0.25">
      <c r="A6" s="7" t="s">
        <v>7</v>
      </c>
      <c r="B6" s="4" t="e">
        <f>Main!D6</f>
        <v>#N/A</v>
      </c>
      <c r="I6" s="7" t="s">
        <v>10</v>
      </c>
      <c r="J6" s="46">
        <f>Main!D16</f>
        <v>0</v>
      </c>
      <c r="L6" s="68"/>
      <c r="M6" s="68" t="str">
        <f>VLOOKUP(Main!$E$30,Data_Sheet!$A$11:$A$900,TRUE)</f>
        <v/>
      </c>
      <c r="N6" s="68"/>
      <c r="O6" s="4"/>
      <c r="P6" s="4"/>
      <c r="Q6" s="4"/>
      <c r="R6" s="4"/>
      <c r="S6" s="4"/>
      <c r="T6" s="4"/>
      <c r="U6" s="4" t="s">
        <v>7</v>
      </c>
      <c r="V6" s="4" t="e">
        <f>B6</f>
        <v>#N/A</v>
      </c>
      <c r="W6" s="4"/>
      <c r="X6" s="4"/>
      <c r="Y6" s="4"/>
      <c r="AA6" s="7" t="s">
        <v>10</v>
      </c>
      <c r="AB6" s="60">
        <f>J6</f>
        <v>0</v>
      </c>
      <c r="AC6" s="4"/>
      <c r="AD6" s="4"/>
      <c r="AE6" s="4"/>
      <c r="AF6" s="4"/>
      <c r="AG6" s="4"/>
      <c r="AH6" s="4"/>
      <c r="AI6" s="4"/>
      <c r="AJ6" s="4"/>
      <c r="AK6" s="4"/>
      <c r="AL6" s="4"/>
      <c r="AM6" s="4"/>
      <c r="AN6" s="4"/>
      <c r="AO6" s="4" t="s">
        <v>7</v>
      </c>
      <c r="AP6" s="4" t="e">
        <f>V6</f>
        <v>#N/A</v>
      </c>
      <c r="AQ6" s="4"/>
      <c r="AR6" s="4"/>
      <c r="AS6" s="4"/>
      <c r="AU6" s="7" t="s">
        <v>10</v>
      </c>
      <c r="AV6" s="60">
        <f>AB6</f>
        <v>0</v>
      </c>
      <c r="AW6" s="4"/>
      <c r="AX6" s="4"/>
      <c r="AY6" s="4"/>
      <c r="AZ6" s="4"/>
      <c r="BA6" s="4"/>
      <c r="BB6" s="4"/>
      <c r="BC6" s="4"/>
    </row>
    <row r="7" spans="1:55" ht="15" x14ac:dyDescent="0.25">
      <c r="A7" s="7" t="s">
        <v>8</v>
      </c>
      <c r="B7" s="4" t="str">
        <f>Main!D7</f>
        <v>Jeff Hall</v>
      </c>
      <c r="H7" s="57"/>
      <c r="K7" s="53"/>
      <c r="L7" s="4"/>
      <c r="M7" s="4"/>
      <c r="N7" s="4"/>
      <c r="O7" s="4"/>
      <c r="P7" s="4"/>
      <c r="Q7" s="4"/>
      <c r="R7" s="4"/>
      <c r="S7" s="4"/>
      <c r="T7" s="4"/>
      <c r="U7" s="4" t="s">
        <v>8</v>
      </c>
      <c r="V7" s="4" t="str">
        <f>B7</f>
        <v>Jeff Hall</v>
      </c>
      <c r="W7" s="4"/>
      <c r="X7" s="4"/>
      <c r="Y7" s="4"/>
      <c r="Z7" s="4"/>
      <c r="AA7" s="4"/>
      <c r="AB7" s="4"/>
      <c r="AC7" s="4"/>
      <c r="AD7" s="4"/>
      <c r="AE7" s="4"/>
      <c r="AF7" s="4"/>
      <c r="AG7" s="4"/>
      <c r="AH7" s="4"/>
      <c r="AI7" s="4"/>
      <c r="AJ7" s="4"/>
      <c r="AK7" s="4"/>
      <c r="AL7" s="4"/>
      <c r="AM7" s="4"/>
      <c r="AN7" s="4"/>
      <c r="AO7" s="4" t="s">
        <v>8</v>
      </c>
      <c r="AP7" s="4" t="str">
        <f>V7</f>
        <v>Jeff Hall</v>
      </c>
      <c r="AQ7" s="4"/>
      <c r="AR7" s="4"/>
      <c r="AS7" s="4"/>
      <c r="AT7" s="4"/>
      <c r="AU7" s="4"/>
      <c r="AV7" s="4"/>
      <c r="AW7" s="4"/>
      <c r="AX7" s="4"/>
      <c r="AY7" s="4"/>
      <c r="AZ7" s="4"/>
      <c r="BA7" s="4"/>
      <c r="BB7" s="4"/>
      <c r="BC7" s="4"/>
    </row>
    <row r="8" spans="1:55" x14ac:dyDescent="0.2">
      <c r="C8" s="53"/>
    </row>
    <row r="9" spans="1:55" x14ac:dyDescent="0.2">
      <c r="A9" t="s">
        <v>67</v>
      </c>
      <c r="B9">
        <v>1</v>
      </c>
      <c r="C9">
        <v>2</v>
      </c>
      <c r="D9">
        <v>3</v>
      </c>
      <c r="E9">
        <v>4</v>
      </c>
      <c r="F9">
        <v>5</v>
      </c>
      <c r="G9">
        <v>6</v>
      </c>
      <c r="H9">
        <v>7</v>
      </c>
      <c r="I9">
        <v>8</v>
      </c>
      <c r="J9">
        <v>9</v>
      </c>
      <c r="K9">
        <v>10</v>
      </c>
      <c r="L9">
        <v>11</v>
      </c>
      <c r="M9">
        <v>12</v>
      </c>
      <c r="N9">
        <v>13</v>
      </c>
      <c r="O9">
        <v>14</v>
      </c>
      <c r="U9" t="s">
        <v>67</v>
      </c>
      <c r="V9">
        <v>15</v>
      </c>
      <c r="W9">
        <v>16</v>
      </c>
      <c r="X9">
        <v>17</v>
      </c>
      <c r="Y9">
        <v>18</v>
      </c>
      <c r="Z9">
        <v>19</v>
      </c>
      <c r="AA9">
        <v>20</v>
      </c>
      <c r="AB9">
        <v>21</v>
      </c>
      <c r="AC9">
        <v>22</v>
      </c>
      <c r="AD9">
        <v>23</v>
      </c>
      <c r="AE9">
        <v>24</v>
      </c>
      <c r="AF9">
        <v>25</v>
      </c>
      <c r="AG9">
        <v>26</v>
      </c>
      <c r="AH9">
        <v>27</v>
      </c>
      <c r="AI9">
        <v>28</v>
      </c>
      <c r="AO9" t="s">
        <v>67</v>
      </c>
      <c r="AP9">
        <v>29</v>
      </c>
      <c r="AQ9">
        <v>30</v>
      </c>
      <c r="AR9">
        <v>31</v>
      </c>
      <c r="AS9">
        <v>32</v>
      </c>
      <c r="AT9">
        <v>33</v>
      </c>
      <c r="AU9">
        <v>34</v>
      </c>
      <c r="AV9">
        <v>35</v>
      </c>
      <c r="AW9">
        <v>36</v>
      </c>
      <c r="AX9">
        <v>37</v>
      </c>
      <c r="AY9">
        <v>38</v>
      </c>
      <c r="AZ9">
        <v>39</v>
      </c>
      <c r="BA9">
        <v>40</v>
      </c>
    </row>
    <row r="10" spans="1:55" ht="15" x14ac:dyDescent="0.25">
      <c r="A10" s="54" t="str">
        <f ca="1">INDIRECT("Data_Sheet!B"&amp;10+$D$5)</f>
        <v/>
      </c>
      <c r="B10" s="49" t="str">
        <f ca="1">INDIRECT("Data_Sheet!C"&amp;10+$D$5)</f>
        <v/>
      </c>
      <c r="C10" s="49" t="str">
        <f ca="1">INDIRECT("Data_Sheet!D"&amp;10+$D$5)</f>
        <v/>
      </c>
      <c r="D10" s="49" t="str">
        <f ca="1">INDIRECT("Data_Sheet!E"&amp;10+$D$5)</f>
        <v/>
      </c>
      <c r="E10" s="49" t="str">
        <f ca="1">INDIRECT("Data_Sheet!F"&amp;10+$D$5)</f>
        <v/>
      </c>
      <c r="F10" s="49" t="str">
        <f ca="1">INDIRECT("Data_Sheet!G"&amp;10+$D$5)</f>
        <v/>
      </c>
      <c r="G10" s="49" t="str">
        <f ca="1">INDIRECT("Data_Sheet!H"&amp;10+$D$5)</f>
        <v/>
      </c>
      <c r="H10" s="49" t="str">
        <f ca="1">INDIRECT("Data_Sheet!I"&amp;10+$D$5)</f>
        <v/>
      </c>
      <c r="I10" s="49" t="str">
        <f ca="1">INDIRECT("Data_Sheet!J"&amp;10+$D$5)</f>
        <v/>
      </c>
      <c r="J10" s="49" t="str">
        <f ca="1">INDIRECT("Data_Sheet!K"&amp;10+$D$5)</f>
        <v/>
      </c>
      <c r="K10" s="49" t="str">
        <f ca="1">INDIRECT("Data_Sheet!L"&amp;10+$D$5)</f>
        <v/>
      </c>
      <c r="L10" s="49" t="str">
        <f ca="1">INDIRECT("Data_Sheet!M"&amp;10+$D$5)</f>
        <v/>
      </c>
      <c r="M10" s="49" t="str">
        <f ca="1">INDIRECT("Data_Sheet!N"&amp;10+$D$5)</f>
        <v/>
      </c>
      <c r="N10" s="49" t="str">
        <f ca="1">INDIRECT("Data_Sheet!O"&amp;10+$D$5)</f>
        <v/>
      </c>
      <c r="O10" s="49" t="str">
        <f ca="1">INDIRECT("Data_Sheet!P"&amp;10+$D$5)</f>
        <v/>
      </c>
      <c r="P10" s="49"/>
      <c r="U10" s="54" t="str">
        <f ca="1">INDIRECT("Data_Sheet_15_28!B"&amp;10+(MATCH(Main!$E$30,Data_Sheet_15_28!$A$11:$A$900,0)))</f>
        <v/>
      </c>
      <c r="V10" s="49" t="str">
        <f ca="1">INDIRECT("Data_Sheet_15_28!c"&amp;10+(MATCH(Main!$E$30,Data_Sheet_15_28!$A$11:$A$900,0)))</f>
        <v/>
      </c>
      <c r="W10" s="49" t="str">
        <f ca="1">INDIRECT("Data_Sheet_15_28!D"&amp;10+(MATCH(Main!$E$30,Data_Sheet_15_28!$A$11:$A$900,0)))</f>
        <v/>
      </c>
      <c r="X10" s="49" t="str">
        <f ca="1">INDIRECT("Data_Sheet_15_28!E"&amp;10+(MATCH(Main!$E$30,Data_Sheet_15_28!$A$11:$A$900,0)))</f>
        <v/>
      </c>
      <c r="Y10" s="49" t="str">
        <f ca="1">INDIRECT("Data_Sheet_15_28!F"&amp;10+(MATCH(Main!$E$30,Data_Sheet_15_28!$A$11:$A$900,0)))</f>
        <v/>
      </c>
      <c r="Z10" s="49" t="str">
        <f ca="1">INDIRECT("Data_Sheet_15_28!G"&amp;10+(MATCH(Main!$E$30,Data_Sheet_15_28!$A$11:$A$900,0)))</f>
        <v/>
      </c>
      <c r="AA10" s="49" t="str">
        <f ca="1">INDIRECT("Data_Sheet_15_28!H"&amp;10+(MATCH(Main!$E$30,Data_Sheet_15_28!$A$11:$A$900,0)))</f>
        <v/>
      </c>
      <c r="AB10" s="49" t="str">
        <f ca="1">INDIRECT("Data_Sheet_15_28!I"&amp;10+(MATCH(Main!$E$30,Data_Sheet_15_28!$A$11:$A$900,0)))</f>
        <v/>
      </c>
      <c r="AC10" s="49" t="str">
        <f ca="1">INDIRECT("Data_Sheet_15_28!J"&amp;10+(MATCH(Main!$E$30,Data_Sheet_15_28!$A$11:$A$900,0)))</f>
        <v/>
      </c>
      <c r="AD10" s="49" t="str">
        <f ca="1">INDIRECT("Data_Sheet_15_28!K"&amp;10+(MATCH(Main!$E$30,Data_Sheet_15_28!$A$11:$A$900,0)))</f>
        <v/>
      </c>
      <c r="AE10" s="49" t="str">
        <f ca="1">INDIRECT("Data_Sheet_15_28!L"&amp;10+(MATCH(Main!$E$30,Data_Sheet_15_28!$A$11:$A$900,0)))</f>
        <v/>
      </c>
      <c r="AF10" s="49" t="str">
        <f ca="1">INDIRECT("Data_Sheet_15_28!M"&amp;10+(MATCH(Main!$E$30,Data_Sheet_15_28!$A$11:$A$900,0)))</f>
        <v/>
      </c>
      <c r="AG10" s="49" t="str">
        <f ca="1">INDIRECT("Data_Sheet_15_28!N"&amp;10+(MATCH(Main!$E$30,Data_Sheet_15_28!$A$11:$A$900,0)))</f>
        <v/>
      </c>
      <c r="AH10" s="49" t="str">
        <f ca="1">INDIRECT("Data_Sheet_15_28!O"&amp;10+(MATCH(Main!$E$30,Data_Sheet_15_28!$A$11:$A$900,0)))</f>
        <v/>
      </c>
      <c r="AI10" s="49" t="str">
        <f ca="1">INDIRECT("Data_Sheet_15_28!P"&amp;10+(MATCH(Main!$E$30,Data_Sheet_15_28!$A$11:$A$900,0)))</f>
        <v/>
      </c>
      <c r="AO10" s="54" t="str">
        <f ca="1">INDIRECT("Data_Sheet_29_40!B"&amp;10+(MATCH(Main!$E$30,Data_Sheet_29_40!$A$11:$A$900,0)))</f>
        <v/>
      </c>
      <c r="AP10" s="49" t="str">
        <f ca="1">INDIRECT("Data_Sheet_29_40!c"&amp;10+(MATCH(Main!$E$30,Data_Sheet_29_40!$A$11:$A$900,0)))</f>
        <v/>
      </c>
      <c r="AQ10" s="49">
        <f ca="1">INDIRECT("Data_Sheet_29_40!D"&amp;10+(MATCH(Main!$E$30,Data_Sheet_29_40!$A$11:$A$900,0)))</f>
        <v>0</v>
      </c>
      <c r="AR10" s="49">
        <f ca="1">INDIRECT("Data_Sheet_29_40!E"&amp;10+(MATCH(Main!$E$30,Data_Sheet_29_40!$A$11:$A$900,0)))</f>
        <v>0</v>
      </c>
      <c r="AS10" s="49">
        <f ca="1">INDIRECT("Data_Sheet_29_40!F"&amp;10+(MATCH(Main!$E$30,Data_Sheet_29_40!$A$11:$A$900,0)))</f>
        <v>0</v>
      </c>
      <c r="AT10" s="49">
        <f ca="1">INDIRECT("Data_Sheet_29_40!G"&amp;10+(MATCH(Main!$E$30,Data_Sheet_29_40!$A$11:$A$900,0)))</f>
        <v>0</v>
      </c>
      <c r="AU10" s="49">
        <f ca="1">INDIRECT("Data_Sheet_29_40!H"&amp;10+(MATCH(Main!$E$30,Data_Sheet_29_40!$A$11:$A$900,0)))</f>
        <v>0</v>
      </c>
      <c r="AV10" s="49">
        <f ca="1">INDIRECT("Data_Sheet_29_40!I"&amp;10+(MATCH(Main!$E$30,Data_Sheet_29_40!$A$11:$A$900,0)))</f>
        <v>0</v>
      </c>
      <c r="AW10" s="49">
        <f ca="1">INDIRECT("Data_Sheet_29_40!J"&amp;10+(MATCH(Main!$E$30,Data_Sheet_29_40!$A$11:$A$900,0)))</f>
        <v>0</v>
      </c>
      <c r="AX10" s="49">
        <f ca="1">INDIRECT("Data_Sheet_29_40!K"&amp;10+(MATCH(Main!$E$30,Data_Sheet_29_40!$A$11:$A$900,0)))</f>
        <v>0</v>
      </c>
      <c r="AY10" s="49">
        <f ca="1">INDIRECT("Data_Sheet_29_40!L"&amp;10+(MATCH(Main!$E$30,Data_Sheet_29_40!$A$11:$A$900,0)))</f>
        <v>0</v>
      </c>
      <c r="AZ10" s="49">
        <f ca="1">INDIRECT("Data_Sheet_29_40!M"&amp;10+(MATCH(Main!$E$30,Data_Sheet_29_40!$A$11:$A$900,0)))</f>
        <v>0</v>
      </c>
      <c r="BA10" s="49">
        <f ca="1">INDIRECT("Data_Sheet_29_40!N"&amp;10+(MATCH(Main!$E$30,Data_Sheet_29_40!$A$11:$A$900,0)))</f>
        <v>0</v>
      </c>
    </row>
    <row r="11" spans="1:55" ht="15" x14ac:dyDescent="0.25">
      <c r="A11" s="54" t="str">
        <f ca="1">INDIRECT("Data_Sheet!B"&amp;11+$D$5)</f>
        <v/>
      </c>
      <c r="B11" s="49" t="str">
        <f ca="1">INDIRECT("Data_Sheet!C"&amp;11+$D$5)</f>
        <v/>
      </c>
      <c r="C11" s="49" t="str">
        <f ca="1">INDIRECT("Data_Sheet!D"&amp;11+$D$5)</f>
        <v/>
      </c>
      <c r="D11" s="49" t="str">
        <f ca="1">INDIRECT("Data_Sheet!E"&amp;11+$D$5)</f>
        <v/>
      </c>
      <c r="E11" s="49" t="str">
        <f ca="1">INDIRECT("Data_Sheet!F"&amp;11+$D$5)</f>
        <v/>
      </c>
      <c r="F11" s="49" t="str">
        <f ca="1">INDIRECT("Data_Sheet!G"&amp;11+$D$5)</f>
        <v/>
      </c>
      <c r="G11" s="49" t="str">
        <f ca="1">INDIRECT("Data_Sheet!H"&amp;11+$D$5)</f>
        <v/>
      </c>
      <c r="H11" s="49" t="str">
        <f ca="1">INDIRECT("Data_Sheet!I"&amp;11+$D$5)</f>
        <v/>
      </c>
      <c r="I11" s="49" t="str">
        <f ca="1">INDIRECT("Data_Sheet!J"&amp;11+$D$5)</f>
        <v/>
      </c>
      <c r="J11" s="49" t="str">
        <f ca="1">INDIRECT("Data_Sheet!K"&amp;11+$D$5)</f>
        <v/>
      </c>
      <c r="K11" s="49" t="str">
        <f ca="1">INDIRECT("Data_Sheet!L"&amp;11+$D$5)</f>
        <v/>
      </c>
      <c r="L11" s="49" t="str">
        <f ca="1">INDIRECT("Data_Sheet!M"&amp;11+$D$5)</f>
        <v/>
      </c>
      <c r="M11" s="49" t="str">
        <f ca="1">INDIRECT("Data_Sheet!N"&amp;11+$D$5)</f>
        <v/>
      </c>
      <c r="N11" s="49" t="str">
        <f ca="1">INDIRECT("Data_Sheet!O"&amp;11+$D$5)</f>
        <v/>
      </c>
      <c r="O11" s="49" t="str">
        <f ca="1">INDIRECT("Data_Sheet!P"&amp;11+$D$5)</f>
        <v/>
      </c>
      <c r="P11" s="55"/>
      <c r="R11" s="4"/>
      <c r="U11" s="54" t="str">
        <f ca="1">INDIRECT("Data_Sheet_15_28!B"&amp;11+(MATCH(Main!$E$30,Data_Sheet_15_28!$A$11:$A$900,0)))</f>
        <v/>
      </c>
      <c r="V11" s="49" t="str">
        <f ca="1">INDIRECT("Data_Sheet_15_28!c"&amp;11+(MATCH(Main!$E$30,Data_Sheet_15_28!$A$11:$A$900,0)))</f>
        <v/>
      </c>
      <c r="W11" s="49" t="str">
        <f ca="1">INDIRECT("Data_Sheet_15_28!D"&amp;11+(MATCH(Main!$E$30,Data_Sheet_15_28!$A$11:$A$900,0)))</f>
        <v/>
      </c>
      <c r="X11" s="49" t="str">
        <f ca="1">INDIRECT("Data_Sheet_15_28!E"&amp;11+(MATCH(Main!$E$30,Data_Sheet_15_28!$A$11:$A$900,0)))</f>
        <v/>
      </c>
      <c r="Y11" s="49" t="str">
        <f ca="1">INDIRECT("Data_Sheet_15_28!F"&amp;11+(MATCH(Main!$E$30,Data_Sheet_15_28!$A$11:$A$900,0)))</f>
        <v/>
      </c>
      <c r="Z11" s="49" t="str">
        <f ca="1">INDIRECT("Data_Sheet_15_28!G"&amp;11+(MATCH(Main!$E$30,Data_Sheet_15_28!$A$11:$A$900,0)))</f>
        <v/>
      </c>
      <c r="AA11" s="49" t="str">
        <f ca="1">INDIRECT("Data_Sheet_15_28!H"&amp;11+(MATCH(Main!$E$30,Data_Sheet_15_28!$A$11:$A$900,0)))</f>
        <v/>
      </c>
      <c r="AB11" s="49" t="str">
        <f ca="1">INDIRECT("Data_Sheet_15_28!I"&amp;11+(MATCH(Main!$E$30,Data_Sheet_15_28!$A$11:$A$900,0)))</f>
        <v/>
      </c>
      <c r="AC11" s="49" t="str">
        <f ca="1">INDIRECT("Data_Sheet_15_28!J"&amp;11+(MATCH(Main!$E$30,Data_Sheet_15_28!$A$11:$A$900,0)))</f>
        <v/>
      </c>
      <c r="AD11" s="49" t="str">
        <f ca="1">INDIRECT("Data_Sheet_15_28!K"&amp;11+(MATCH(Main!$E$30,Data_Sheet_15_28!$A$11:$A$900,0)))</f>
        <v/>
      </c>
      <c r="AE11" s="49" t="str">
        <f ca="1">INDIRECT("Data_Sheet_15_28!L"&amp;11+(MATCH(Main!$E$30,Data_Sheet_15_28!$A$11:$A$900,0)))</f>
        <v/>
      </c>
      <c r="AF11" s="49" t="str">
        <f ca="1">INDIRECT("Data_Sheet_15_28!M"&amp;11+(MATCH(Main!$E$30,Data_Sheet_15_28!$A$11:$A$900,0)))</f>
        <v/>
      </c>
      <c r="AG11" s="49" t="str">
        <f ca="1">INDIRECT("Data_Sheet_15_28!N"&amp;11+(MATCH(Main!$E$30,Data_Sheet_15_28!$A$11:$A$900,0)))</f>
        <v/>
      </c>
      <c r="AH11" s="49" t="str">
        <f ca="1">INDIRECT("Data_Sheet_15_28!O"&amp;11+(MATCH(Main!$E$30,Data_Sheet_15_28!$A$11:$A$900,0)))</f>
        <v/>
      </c>
      <c r="AI11" s="49" t="str">
        <f ca="1">INDIRECT("Data_Sheet_15_28!P"&amp;11+(MATCH(Main!$E$30,Data_Sheet_15_28!$A$11:$A$900,0)))</f>
        <v/>
      </c>
      <c r="AO11" s="54" t="str">
        <f ca="1">INDIRECT("Data_Sheet_29_40!B"&amp;11+(MATCH(Main!$E$30,Data_Sheet_29_40!$A$11:$A$900,0)))</f>
        <v/>
      </c>
      <c r="AP11" s="49">
        <f ca="1">INDIRECT("Data_Sheet_29_40!c"&amp;11+(MATCH(Main!$E$30,Data_Sheet_29_40!$A$11:$A$900,0)))</f>
        <v>0</v>
      </c>
      <c r="AQ11" s="49">
        <f ca="1">INDIRECT("Data_Sheet_29_40!D"&amp;11+(MATCH(Main!$E$30,Data_Sheet_29_40!$A$11:$A$900,0)))</f>
        <v>0</v>
      </c>
      <c r="AR11" s="49">
        <f ca="1">INDIRECT("Data_Sheet_29_40!E"&amp;11+(MATCH(Main!$E$30,Data_Sheet_29_40!$A$11:$A$900,0)))</f>
        <v>0</v>
      </c>
      <c r="AS11" s="49">
        <f ca="1">INDIRECT("Data_Sheet_29_40!F"&amp;11+(MATCH(Main!$E$30,Data_Sheet_29_40!$A$11:$A$900,0)))</f>
        <v>0</v>
      </c>
      <c r="AT11" s="49">
        <f ca="1">INDIRECT("Data_Sheet_29_40!G"&amp;11+(MATCH(Main!$E$30,Data_Sheet_29_40!$A$11:$A$900,0)))</f>
        <v>0</v>
      </c>
      <c r="AU11" s="49">
        <f ca="1">INDIRECT("Data_Sheet_29_40!H"&amp;11+(MATCH(Main!$E$30,Data_Sheet_29_40!$A$11:$A$900,0)))</f>
        <v>0</v>
      </c>
      <c r="AV11" s="49">
        <f ca="1">INDIRECT("Data_Sheet_29_40!I"&amp;11+(MATCH(Main!$E$30,Data_Sheet_29_40!$A$11:$A$900,0)))</f>
        <v>0</v>
      </c>
      <c r="AW11" s="49">
        <f ca="1">INDIRECT("Data_Sheet_29_40!J"&amp;11+(MATCH(Main!$E$30,Data_Sheet_29_40!$A$11:$A$900,0)))</f>
        <v>0</v>
      </c>
      <c r="AX11" s="49">
        <f ca="1">INDIRECT("Data_Sheet_29_40!K"&amp;11+(MATCH(Main!$E$30,Data_Sheet_29_40!$A$11:$A$900,0)))</f>
        <v>0</v>
      </c>
      <c r="AY11" s="49">
        <f ca="1">INDIRECT("Data_Sheet_29_40!L"&amp;11+(MATCH(Main!$E$30,Data_Sheet_29_40!$A$11:$A$900,0)))</f>
        <v>0</v>
      </c>
      <c r="AZ11" s="49">
        <f ca="1">INDIRECT("Data_Sheet_29_40!M"&amp;11+(MATCH(Main!$E$30,Data_Sheet_29_40!$A$11:$A$900,0)))</f>
        <v>0</v>
      </c>
      <c r="BA11" s="49">
        <f ca="1">INDIRECT("Data_Sheet_29_40!N"&amp;11+(MATCH(Main!$E$30,Data_Sheet_29_40!$A$11:$A$900,0)))</f>
        <v>0</v>
      </c>
    </row>
    <row r="12" spans="1:55" ht="15" x14ac:dyDescent="0.25">
      <c r="A12" s="54" t="str">
        <f ca="1">INDIRECT("Data_Sheet!B"&amp;12+$D$5)</f>
        <v/>
      </c>
      <c r="B12" s="49" t="str">
        <f ca="1">INDIRECT("Data_Sheet!C"&amp;12+$D$5)</f>
        <v/>
      </c>
      <c r="C12" s="49" t="str">
        <f ca="1">INDIRECT("Data_Sheet!D"&amp;12+$D$5)</f>
        <v/>
      </c>
      <c r="D12" s="49" t="str">
        <f ca="1">INDIRECT("Data_Sheet!E"&amp;12+$D$5)</f>
        <v/>
      </c>
      <c r="E12" s="49" t="str">
        <f ca="1">INDIRECT("Data_Sheet!F"&amp;12+$D$5)</f>
        <v/>
      </c>
      <c r="F12" s="49" t="str">
        <f ca="1">INDIRECT("Data_Sheet!G"&amp;12+$D$5)</f>
        <v/>
      </c>
      <c r="G12" s="49" t="str">
        <f ca="1">INDIRECT("Data_Sheet!H"&amp;12+$D$5)</f>
        <v/>
      </c>
      <c r="H12" s="49" t="str">
        <f ca="1">INDIRECT("Data_Sheet!I"&amp;12+$D$5)</f>
        <v/>
      </c>
      <c r="I12" s="49" t="str">
        <f ca="1">INDIRECT("Data_Sheet!J"&amp;12+$D$5)</f>
        <v/>
      </c>
      <c r="J12" s="49" t="str">
        <f ca="1">INDIRECT("Data_Sheet!K"&amp;12+$D$5)</f>
        <v/>
      </c>
      <c r="K12" s="49" t="str">
        <f ca="1">INDIRECT("Data_Sheet!L"&amp;12+$D$5)</f>
        <v/>
      </c>
      <c r="L12" s="49" t="str">
        <f ca="1">INDIRECT("Data_Sheet!M"&amp;12+$D$5)</f>
        <v/>
      </c>
      <c r="M12" s="49" t="str">
        <f ca="1">INDIRECT("Data_Sheet!N"&amp;12+$D$5)</f>
        <v/>
      </c>
      <c r="N12" s="49" t="str">
        <f ca="1">INDIRECT("Data_Sheet!O"&amp;12+$D$5)</f>
        <v/>
      </c>
      <c r="O12" s="49" t="str">
        <f ca="1">INDIRECT("Data_Sheet!P"&amp;12+$D$5)</f>
        <v/>
      </c>
      <c r="P12" s="55"/>
      <c r="Q12" s="4"/>
      <c r="R12" s="4"/>
      <c r="U12" s="54" t="str">
        <f ca="1">INDIRECT("Data_Sheet_15_28!B"&amp;12+(MATCH(Main!$E$30,Data_Sheet_15_28!$A$11:$A$900,0)))</f>
        <v/>
      </c>
      <c r="V12" s="49" t="str">
        <f ca="1">INDIRECT("Data_Sheet_15_28!c"&amp;12+(MATCH(Main!$E$30,Data_Sheet_15_28!$A$11:$A$900,0)))</f>
        <v/>
      </c>
      <c r="W12" s="49" t="str">
        <f ca="1">INDIRECT("Data_Sheet_15_28!D"&amp;12+(MATCH(Main!$E$30,Data_Sheet_15_28!$A$11:$A$900,0)))</f>
        <v/>
      </c>
      <c r="X12" s="49" t="str">
        <f ca="1">INDIRECT("Data_Sheet_15_28!E"&amp;12+(MATCH(Main!$E$30,Data_Sheet_15_28!$A$11:$A$900,0)))</f>
        <v/>
      </c>
      <c r="Y12" s="49" t="str">
        <f ca="1">INDIRECT("Data_Sheet_15_28!F"&amp;12+(MATCH(Main!$E$30,Data_Sheet_15_28!$A$11:$A$900,0)))</f>
        <v/>
      </c>
      <c r="Z12" s="49" t="str">
        <f ca="1">INDIRECT("Data_Sheet_15_28!G"&amp;12+(MATCH(Main!$E$30,Data_Sheet_15_28!$A$11:$A$900,0)))</f>
        <v/>
      </c>
      <c r="AA12" s="49" t="str">
        <f ca="1">INDIRECT("Data_Sheet_15_28!H"&amp;12+(MATCH(Main!$E$30,Data_Sheet_15_28!$A$11:$A$900,0)))</f>
        <v/>
      </c>
      <c r="AB12" s="49" t="str">
        <f ca="1">INDIRECT("Data_Sheet_15_28!I"&amp;12+(MATCH(Main!$E$30,Data_Sheet_15_28!$A$11:$A$900,0)))</f>
        <v/>
      </c>
      <c r="AC12" s="49" t="str">
        <f ca="1">INDIRECT("Data_Sheet_15_28!J"&amp;12+(MATCH(Main!$E$30,Data_Sheet_15_28!$A$11:$A$900,0)))</f>
        <v/>
      </c>
      <c r="AD12" s="49" t="str">
        <f ca="1">INDIRECT("Data_Sheet_15_28!K"&amp;12+(MATCH(Main!$E$30,Data_Sheet_15_28!$A$11:$A$900,0)))</f>
        <v/>
      </c>
      <c r="AE12" s="49" t="str">
        <f ca="1">INDIRECT("Data_Sheet_15_28!L"&amp;12+(MATCH(Main!$E$30,Data_Sheet_15_28!$A$11:$A$900,0)))</f>
        <v/>
      </c>
      <c r="AF12" s="49" t="str">
        <f ca="1">INDIRECT("Data_Sheet_15_28!M"&amp;12+(MATCH(Main!$E$30,Data_Sheet_15_28!$A$11:$A$900,0)))</f>
        <v/>
      </c>
      <c r="AG12" s="49" t="str">
        <f ca="1">INDIRECT("Data_Sheet_15_28!N"&amp;12+(MATCH(Main!$E$30,Data_Sheet_15_28!$A$11:$A$900,0)))</f>
        <v/>
      </c>
      <c r="AH12" s="49" t="str">
        <f ca="1">INDIRECT("Data_Sheet_15_28!O"&amp;12+(MATCH(Main!$E$30,Data_Sheet_15_28!$A$11:$A$900,0)))</f>
        <v/>
      </c>
      <c r="AI12" s="49" t="str">
        <f ca="1">INDIRECT("Data_Sheet_15_28!P"&amp;12+(MATCH(Main!$E$30,Data_Sheet_15_28!$A$11:$A$900,0)))</f>
        <v/>
      </c>
      <c r="AO12" s="54" t="str">
        <f ca="1">INDIRECT("Data_Sheet_29_40!B"&amp;12+(MATCH(Main!$E$30,Data_Sheet_29_40!$A$11:$A$900,0)))</f>
        <v/>
      </c>
      <c r="AP12" s="49">
        <f ca="1">INDIRECT("Data_Sheet_29_40!c"&amp;12+(MATCH(Main!$E$30,Data_Sheet_29_40!$A$11:$A$900,0)))</f>
        <v>0</v>
      </c>
      <c r="AQ12" s="49">
        <f ca="1">INDIRECT("Data_Sheet_29_40!D"&amp;12+(MATCH(Main!$E$30,Data_Sheet_29_40!$A$11:$A$900,0)))</f>
        <v>0</v>
      </c>
      <c r="AR12" s="49">
        <f ca="1">INDIRECT("Data_Sheet_29_40!E"&amp;12+(MATCH(Main!$E$30,Data_Sheet_29_40!$A$11:$A$900,0)))</f>
        <v>0</v>
      </c>
      <c r="AS12" s="49">
        <f ca="1">INDIRECT("Data_Sheet_29_40!F"&amp;12+(MATCH(Main!$E$30,Data_Sheet_29_40!$A$11:$A$900,0)))</f>
        <v>0</v>
      </c>
      <c r="AT12" s="49">
        <f ca="1">INDIRECT("Data_Sheet_29_40!G"&amp;12+(MATCH(Main!$E$30,Data_Sheet_29_40!$A$11:$A$900,0)))</f>
        <v>0</v>
      </c>
      <c r="AU12" s="49">
        <f ca="1">INDIRECT("Data_Sheet_29_40!H"&amp;12+(MATCH(Main!$E$30,Data_Sheet_29_40!$A$11:$A$900,0)))</f>
        <v>0</v>
      </c>
      <c r="AV12" s="49">
        <f ca="1">INDIRECT("Data_Sheet_29_40!I"&amp;12+(MATCH(Main!$E$30,Data_Sheet_29_40!$A$11:$A$900,0)))</f>
        <v>0</v>
      </c>
      <c r="AW12" s="49">
        <f ca="1">INDIRECT("Data_Sheet_29_40!J"&amp;12+(MATCH(Main!$E$30,Data_Sheet_29_40!$A$11:$A$900,0)))</f>
        <v>0</v>
      </c>
      <c r="AX12" s="49">
        <f ca="1">INDIRECT("Data_Sheet_29_40!K"&amp;12+(MATCH(Main!$E$30,Data_Sheet_29_40!$A$11:$A$900,0)))</f>
        <v>0</v>
      </c>
      <c r="AY12" s="49">
        <f ca="1">INDIRECT("Data_Sheet_29_40!L"&amp;12+(MATCH(Main!$E$30,Data_Sheet_29_40!$A$11:$A$900,0)))</f>
        <v>0</v>
      </c>
      <c r="AZ12" s="49">
        <f ca="1">INDIRECT("Data_Sheet_29_40!M"&amp;12+(MATCH(Main!$E$30,Data_Sheet_29_40!$A$11:$A$900,0)))</f>
        <v>0</v>
      </c>
      <c r="BA12" s="49">
        <f ca="1">INDIRECT("Data_Sheet_29_40!N"&amp;12+(MATCH(Main!$E$30,Data_Sheet_29_40!$A$11:$A$900,0)))</f>
        <v>0</v>
      </c>
    </row>
    <row r="13" spans="1:55" ht="15" x14ac:dyDescent="0.25">
      <c r="A13" s="54" t="str">
        <f ca="1">INDIRECT("Data_Sheet!B"&amp;13+$D$5)</f>
        <v/>
      </c>
      <c r="B13" s="49" t="str">
        <f ca="1">INDIRECT("Data_Sheet!C"&amp;13+$D$5)</f>
        <v/>
      </c>
      <c r="C13" s="49" t="str">
        <f ca="1">INDIRECT("Data_Sheet!D"&amp;13+$D$5)</f>
        <v/>
      </c>
      <c r="D13" s="49" t="str">
        <f ca="1">INDIRECT("Data_Sheet!E"&amp;13+$D$5)</f>
        <v/>
      </c>
      <c r="E13" s="49" t="str">
        <f ca="1">INDIRECT("Data_Sheet!F"&amp;13+$D$5)</f>
        <v/>
      </c>
      <c r="F13" s="49" t="str">
        <f ca="1">INDIRECT("Data_Sheet!G"&amp;13+$D$5)</f>
        <v/>
      </c>
      <c r="G13" s="49" t="str">
        <f ca="1">INDIRECT("Data_Sheet!H"&amp;13+$D$5)</f>
        <v/>
      </c>
      <c r="H13" s="49" t="str">
        <f ca="1">INDIRECT("Data_Sheet!I"&amp;13+$D$5)</f>
        <v/>
      </c>
      <c r="I13" s="49" t="str">
        <f ca="1">INDIRECT("Data_Sheet!J"&amp;13+$D$5)</f>
        <v/>
      </c>
      <c r="J13" s="49" t="str">
        <f ca="1">INDIRECT("Data_Sheet!K"&amp;13+$D$5)</f>
        <v/>
      </c>
      <c r="K13" s="49" t="str">
        <f ca="1">INDIRECT("Data_Sheet!L"&amp;13+$D$5)</f>
        <v/>
      </c>
      <c r="L13" s="49" t="str">
        <f ca="1">INDIRECT("Data_Sheet!M"&amp;13+$D$5)</f>
        <v/>
      </c>
      <c r="M13" s="49" t="str">
        <f ca="1">INDIRECT("Data_Sheet!N"&amp;13+$D$5)</f>
        <v/>
      </c>
      <c r="N13" s="49" t="str">
        <f ca="1">INDIRECT("Data_Sheet!O"&amp;13+$D$5)</f>
        <v/>
      </c>
      <c r="O13" s="49" t="str">
        <f ca="1">INDIRECT("Data_Sheet!P"&amp;13+$D$5)</f>
        <v/>
      </c>
      <c r="P13" s="55"/>
      <c r="Q13" s="4"/>
      <c r="R13" s="4"/>
      <c r="U13" s="54" t="str">
        <f ca="1">INDIRECT("Data_Sheet_15_28!B"&amp;13+(MATCH(Main!$E$30,Data_Sheet_15_28!$A$11:$A$900,0)))</f>
        <v/>
      </c>
      <c r="V13" s="49" t="str">
        <f ca="1">INDIRECT("Data_Sheet_15_28!C"&amp;13+(MATCH(Main!$E$30,Data_Sheet_15_28!$A$11:$A$900,0)))</f>
        <v/>
      </c>
      <c r="W13" s="49" t="str">
        <f ca="1">INDIRECT("Data_Sheet_15_28!D"&amp;13+(MATCH(Main!$E$30,Data_Sheet_15_28!$A$11:$A$900,0)))</f>
        <v/>
      </c>
      <c r="X13" s="49" t="str">
        <f ca="1">INDIRECT("Data_Sheet_15_28!E"&amp;13+(MATCH(Main!$E$30,Data_Sheet_15_28!$A$11:$A$900,0)))</f>
        <v/>
      </c>
      <c r="Y13" s="49" t="str">
        <f ca="1">INDIRECT("Data_Sheet_15_28!F"&amp;13+(MATCH(Main!$E$30,Data_Sheet_15_28!$A$11:$A$900,0)))</f>
        <v/>
      </c>
      <c r="Z13" s="49" t="str">
        <f ca="1">INDIRECT("Data_Sheet_15_28!G"&amp;13+(MATCH(Main!$E$30,Data_Sheet_15_28!$A$11:$A$900,0)))</f>
        <v/>
      </c>
      <c r="AA13" s="49" t="str">
        <f ca="1">INDIRECT("Data_Sheet_15_28!H"&amp;13+(MATCH(Main!$E$30,Data_Sheet_15_28!$A$11:$A$900,0)))</f>
        <v/>
      </c>
      <c r="AB13" s="49" t="str">
        <f ca="1">INDIRECT("Data_Sheet_15_28!I"&amp;13+(MATCH(Main!$E$30,Data_Sheet_15_28!$A$11:$A$900,0)))</f>
        <v/>
      </c>
      <c r="AC13" s="49" t="str">
        <f ca="1">INDIRECT("Data_Sheet_15_28!J"&amp;13+(MATCH(Main!$E$30,Data_Sheet_15_28!$A$11:$A$900,0)))</f>
        <v/>
      </c>
      <c r="AD13" s="49" t="str">
        <f ca="1">INDIRECT("Data_Sheet_15_28!K"&amp;13+(MATCH(Main!$E$30,Data_Sheet_15_28!$A$11:$A$900,0)))</f>
        <v/>
      </c>
      <c r="AE13" s="49" t="str">
        <f ca="1">INDIRECT("Data_Sheet_15_28!L"&amp;13+(MATCH(Main!$E$30,Data_Sheet_15_28!$A$11:$A$900,0)))</f>
        <v/>
      </c>
      <c r="AF13" s="49" t="str">
        <f ca="1">INDIRECT("Data_Sheet_15_28!M"&amp;13+(MATCH(Main!$E$30,Data_Sheet_15_28!$A$11:$A$900,0)))</f>
        <v/>
      </c>
      <c r="AG13" s="49" t="str">
        <f ca="1">INDIRECT("Data_Sheet_15_28!N"&amp;13+(MATCH(Main!$E$30,Data_Sheet_15_28!$A$11:$A$900,0)))</f>
        <v/>
      </c>
      <c r="AH13" s="49" t="str">
        <f ca="1">INDIRECT("Data_Sheet_15_28!O"&amp;13+(MATCH(Main!$E$30,Data_Sheet_15_28!$A$11:$A$900,0)))</f>
        <v/>
      </c>
      <c r="AI13" s="49" t="str">
        <f ca="1">INDIRECT("Data_Sheet_15_28!P"&amp;13+(MATCH(Main!$E$30,Data_Sheet_15_28!$A$11:$A$900,0)))</f>
        <v/>
      </c>
      <c r="AO13" s="54" t="str">
        <f ca="1">INDIRECT("Data_Sheet_29_40!B"&amp;13+(MATCH(Main!$E$30,Data_Sheet_29_40!$A$11:$A$900,0)))</f>
        <v/>
      </c>
      <c r="AP13" s="49">
        <f ca="1">INDIRECT("Data_Sheet_29_40!C"&amp;13+(MATCH(Main!$E$30,Data_Sheet_29_40!$A$11:$A$900,0)))</f>
        <v>0</v>
      </c>
      <c r="AQ13" s="49">
        <f ca="1">INDIRECT("Data_Sheet_29_40!D"&amp;13+(MATCH(Main!$E$30,Data_Sheet_29_40!$A$11:$A$900,0)))</f>
        <v>0</v>
      </c>
      <c r="AR13" s="49">
        <f ca="1">INDIRECT("Data_Sheet_29_40!E"&amp;13+(MATCH(Main!$E$30,Data_Sheet_29_40!$A$11:$A$900,0)))</f>
        <v>0</v>
      </c>
      <c r="AS13" s="49">
        <f ca="1">INDIRECT("Data_Sheet_29_40!F"&amp;13+(MATCH(Main!$E$30,Data_Sheet_29_40!$A$11:$A$900,0)))</f>
        <v>0</v>
      </c>
      <c r="AT13" s="49">
        <f ca="1">INDIRECT("Data_Sheet_29_40!G"&amp;13+(MATCH(Main!$E$30,Data_Sheet_29_40!$A$11:$A$900,0)))</f>
        <v>0</v>
      </c>
      <c r="AU13" s="49">
        <f ca="1">INDIRECT("Data_Sheet_29_40!H"&amp;13+(MATCH(Main!$E$30,Data_Sheet_29_40!$A$11:$A$900,0)))</f>
        <v>0</v>
      </c>
      <c r="AV13" s="49">
        <f ca="1">INDIRECT("Data_Sheet_29_40!I"&amp;13+(MATCH(Main!$E$30,Data_Sheet_29_40!$A$11:$A$900,0)))</f>
        <v>0</v>
      </c>
      <c r="AW13" s="49">
        <f ca="1">INDIRECT("Data_Sheet_29_40!J"&amp;13+(MATCH(Main!$E$30,Data_Sheet_29_40!$A$11:$A$900,0)))</f>
        <v>0</v>
      </c>
      <c r="AX13" s="49">
        <f ca="1">INDIRECT("Data_Sheet_29_40!K"&amp;13+(MATCH(Main!$E$30,Data_Sheet_29_40!$A$11:$A$900,0)))</f>
        <v>0</v>
      </c>
      <c r="AY13" s="49">
        <f ca="1">INDIRECT("Data_Sheet_29_40!L"&amp;13+(MATCH(Main!$E$30,Data_Sheet_29_40!$A$11:$A$900,0)))</f>
        <v>0</v>
      </c>
      <c r="AZ13" s="49">
        <f ca="1">INDIRECT("Data_Sheet_29_40!M"&amp;13+(MATCH(Main!$E$30,Data_Sheet_29_40!$A$11:$A$900,0)))</f>
        <v>0</v>
      </c>
      <c r="BA13" s="49">
        <f ca="1">INDIRECT("Data_Sheet_29_40!N"&amp;13+(MATCH(Main!$E$30,Data_Sheet_29_40!$A$11:$A$900,0)))</f>
        <v>0</v>
      </c>
    </row>
    <row r="14" spans="1:55" ht="15" x14ac:dyDescent="0.25">
      <c r="A14" s="54" t="str">
        <f ca="1">INDIRECT("Data_Sheet!B"&amp;14+$D$5)</f>
        <v/>
      </c>
      <c r="B14" s="49" t="str">
        <f ca="1">INDIRECT("Data_Sheet!C"&amp;14+$D$5)</f>
        <v/>
      </c>
      <c r="C14" s="49" t="str">
        <f ca="1">INDIRECT("Data_Sheet!D"&amp;14+$D$5)</f>
        <v/>
      </c>
      <c r="D14" s="49" t="str">
        <f ca="1">INDIRECT("Data_Sheet!E"&amp;14+$D$5)</f>
        <v/>
      </c>
      <c r="E14" s="49" t="str">
        <f ca="1">INDIRECT("Data_Sheet!F"&amp;14+$D$5)</f>
        <v/>
      </c>
      <c r="F14" s="49" t="str">
        <f ca="1">INDIRECT("Data_Sheet!G"&amp;14+$D$5)</f>
        <v/>
      </c>
      <c r="G14" s="49" t="str">
        <f ca="1">INDIRECT("Data_Sheet!H"&amp;14+$D$5)</f>
        <v/>
      </c>
      <c r="H14" s="49" t="str">
        <f ca="1">INDIRECT("Data_Sheet!I"&amp;14+$D$5)</f>
        <v/>
      </c>
      <c r="I14" s="49" t="str">
        <f ca="1">INDIRECT("Data_Sheet!J"&amp;14+$D$5)</f>
        <v/>
      </c>
      <c r="J14" s="49" t="str">
        <f ca="1">INDIRECT("Data_Sheet!K"&amp;14+$D$5)</f>
        <v/>
      </c>
      <c r="K14" s="49" t="str">
        <f ca="1">INDIRECT("Data_Sheet!L"&amp;14+$D$5)</f>
        <v/>
      </c>
      <c r="L14" s="49" t="str">
        <f ca="1">INDIRECT("Data_Sheet!M"&amp;14+$D$5)</f>
        <v/>
      </c>
      <c r="M14" s="49" t="str">
        <f ca="1">INDIRECT("Data_Sheet!N"&amp;14+$D$5)</f>
        <v/>
      </c>
      <c r="N14" s="49" t="str">
        <f ca="1">INDIRECT("Data_Sheet!O"&amp;14+$D$5)</f>
        <v/>
      </c>
      <c r="O14" s="49" t="str">
        <f ca="1">INDIRECT("Data_Sheet!P"&amp;14+$D$5)</f>
        <v/>
      </c>
      <c r="P14" s="55"/>
      <c r="Q14" s="4"/>
      <c r="R14" s="4"/>
      <c r="U14" s="54" t="str">
        <f ca="1">INDIRECT("Data_Sheet_15_28!B"&amp;14+(MATCH(Main!$E$30,Data_Sheet_15_28!$A$11:$A$900,0)))</f>
        <v/>
      </c>
      <c r="V14" s="49" t="str">
        <f ca="1">INDIRECT("Data_Sheet_15_28!C"&amp;14+(MATCH(Main!$E$30,Data_Sheet_15_28!$A$11:$A$900,0)))</f>
        <v/>
      </c>
      <c r="W14" s="49" t="str">
        <f ca="1">INDIRECT("Data_Sheet_15_28!D"&amp;14+(MATCH(Main!$E$30,Data_Sheet_15_28!$A$11:$A$900,0)))</f>
        <v/>
      </c>
      <c r="X14" s="49" t="str">
        <f ca="1">INDIRECT("Data_Sheet_15_28!E"&amp;14+(MATCH(Main!$E$30,Data_Sheet_15_28!$A$11:$A$900,0)))</f>
        <v/>
      </c>
      <c r="Y14" s="49" t="str">
        <f ca="1">INDIRECT("Data_Sheet_15_28!F"&amp;14+(MATCH(Main!$E$30,Data_Sheet_15_28!$A$11:$A$900,0)))</f>
        <v/>
      </c>
      <c r="Z14" s="49" t="str">
        <f ca="1">INDIRECT("Data_Sheet_15_28!G"&amp;14+(MATCH(Main!$E$30,Data_Sheet_15_28!$A$11:$A$900,0)))</f>
        <v/>
      </c>
      <c r="AA14" s="49" t="str">
        <f ca="1">INDIRECT("Data_Sheet_15_28!H"&amp;14+(MATCH(Main!$E$30,Data_Sheet_15_28!$A$11:$A$900,0)))</f>
        <v/>
      </c>
      <c r="AB14" s="49" t="str">
        <f ca="1">INDIRECT("Data_Sheet_15_28!I"&amp;14+(MATCH(Main!$E$30,Data_Sheet_15_28!$A$11:$A$900,0)))</f>
        <v/>
      </c>
      <c r="AC14" s="49" t="str">
        <f ca="1">INDIRECT("Data_Sheet_15_28!J"&amp;14+(MATCH(Main!$E$30,Data_Sheet_15_28!$A$11:$A$900,0)))</f>
        <v/>
      </c>
      <c r="AD14" s="49" t="str">
        <f ca="1">INDIRECT("Data_Sheet_15_28!K"&amp;14+(MATCH(Main!$E$30,Data_Sheet_15_28!$A$11:$A$900,0)))</f>
        <v/>
      </c>
      <c r="AE14" s="49" t="str">
        <f ca="1">INDIRECT("Data_Sheet_15_28!L"&amp;14+(MATCH(Main!$E$30,Data_Sheet_15_28!$A$11:$A$900,0)))</f>
        <v/>
      </c>
      <c r="AF14" s="49" t="str">
        <f ca="1">INDIRECT("Data_Sheet_15_28!M"&amp;14+(MATCH(Main!$E$30,Data_Sheet_15_28!$A$11:$A$900,0)))</f>
        <v/>
      </c>
      <c r="AG14" s="49" t="str">
        <f ca="1">INDIRECT("Data_Sheet_15_28!N"&amp;14+(MATCH(Main!$E$30,Data_Sheet_15_28!$A$11:$A$900,0)))</f>
        <v/>
      </c>
      <c r="AH14" s="49" t="str">
        <f ca="1">INDIRECT("Data_Sheet_15_28!O"&amp;14+(MATCH(Main!$E$30,Data_Sheet_15_28!$A$11:$A$900,0)))</f>
        <v/>
      </c>
      <c r="AI14" s="49" t="str">
        <f ca="1">INDIRECT("Data_Sheet_15_28!P"&amp;14+(MATCH(Main!$E$30,Data_Sheet_15_28!$A$11:$A$900,0)))</f>
        <v/>
      </c>
      <c r="AO14" s="54" t="str">
        <f ca="1">INDIRECT("Data_Sheet_29_40!B"&amp;14+(MATCH(Main!$E$30,Data_Sheet_29_40!$A$11:$A$900,0)))</f>
        <v/>
      </c>
      <c r="AP14" s="49">
        <f ca="1">INDIRECT("Data_Sheet_29_40!C"&amp;14+(MATCH(Main!$E$30,Data_Sheet_29_40!$A$11:$A$900,0)))</f>
        <v>0</v>
      </c>
      <c r="AQ14" s="49">
        <f ca="1">INDIRECT("Data_Sheet_29_40!D"&amp;14+(MATCH(Main!$E$30,Data_Sheet_29_40!$A$11:$A$900,0)))</f>
        <v>0</v>
      </c>
      <c r="AR14" s="49">
        <f ca="1">INDIRECT("Data_Sheet_29_40!E"&amp;14+(MATCH(Main!$E$30,Data_Sheet_29_40!$A$11:$A$900,0)))</f>
        <v>0</v>
      </c>
      <c r="AS14" s="49">
        <f ca="1">INDIRECT("Data_Sheet_29_40!F"&amp;14+(MATCH(Main!$E$30,Data_Sheet_29_40!$A$11:$A$900,0)))</f>
        <v>0</v>
      </c>
      <c r="AT14" s="49">
        <f ca="1">INDIRECT("Data_Sheet_29_40!G"&amp;14+(MATCH(Main!$E$30,Data_Sheet_29_40!$A$11:$A$900,0)))</f>
        <v>0</v>
      </c>
      <c r="AU14" s="49">
        <f ca="1">INDIRECT("Data_Sheet_29_40!H"&amp;14+(MATCH(Main!$E$30,Data_Sheet_29_40!$A$11:$A$900,0)))</f>
        <v>0</v>
      </c>
      <c r="AV14" s="49">
        <f ca="1">INDIRECT("Data_Sheet_29_40!I"&amp;14+(MATCH(Main!$E$30,Data_Sheet_29_40!$A$11:$A$900,0)))</f>
        <v>0</v>
      </c>
      <c r="AW14" s="49">
        <f ca="1">INDIRECT("Data_Sheet_29_40!J"&amp;14+(MATCH(Main!$E$30,Data_Sheet_29_40!$A$11:$A$900,0)))</f>
        <v>0</v>
      </c>
      <c r="AX14" s="49">
        <f ca="1">INDIRECT("Data_Sheet_29_40!K"&amp;14+(MATCH(Main!$E$30,Data_Sheet_29_40!$A$11:$A$900,0)))</f>
        <v>0</v>
      </c>
      <c r="AY14" s="49">
        <f ca="1">INDIRECT("Data_Sheet_29_40!L"&amp;14+(MATCH(Main!$E$30,Data_Sheet_29_40!$A$11:$A$900,0)))</f>
        <v>0</v>
      </c>
      <c r="AZ14" s="49">
        <f ca="1">INDIRECT("Data_Sheet_29_40!M"&amp;14+(MATCH(Main!$E$30,Data_Sheet_29_40!$A$11:$A$900,0)))</f>
        <v>0</v>
      </c>
      <c r="BA14" s="49">
        <f ca="1">INDIRECT("Data_Sheet_29_40!N"&amp;14+(MATCH(Main!$E$30,Data_Sheet_29_40!$A$11:$A$900,0)))</f>
        <v>0</v>
      </c>
    </row>
    <row r="15" spans="1:55" ht="15" x14ac:dyDescent="0.25">
      <c r="A15" s="54" t="str">
        <f ca="1">INDIRECT("Data_Sheet!B"&amp;15+$D$5)</f>
        <v/>
      </c>
      <c r="B15" s="49" t="str">
        <f ca="1">INDIRECT("Data_Sheet!C"&amp;15+$D$5)</f>
        <v/>
      </c>
      <c r="C15" s="49" t="str">
        <f ca="1">INDIRECT("Data_Sheet!D"&amp;15+$D$5)</f>
        <v/>
      </c>
      <c r="D15" s="49" t="str">
        <f ca="1">INDIRECT("Data_Sheet!E"&amp;15+$D$5)</f>
        <v/>
      </c>
      <c r="E15" s="49" t="str">
        <f ca="1">INDIRECT("Data_Sheet!F"&amp;15+$D$5)</f>
        <v/>
      </c>
      <c r="F15" s="49" t="str">
        <f ca="1">INDIRECT("Data_Sheet!G"&amp;15+$D$5)</f>
        <v/>
      </c>
      <c r="G15" s="49" t="str">
        <f ca="1">INDIRECT("Data_Sheet!H"&amp;15+$D$5)</f>
        <v/>
      </c>
      <c r="H15" s="49" t="str">
        <f ca="1">INDIRECT("Data_Sheet!I"&amp;15+$D$5)</f>
        <v/>
      </c>
      <c r="I15" s="49" t="str">
        <f ca="1">INDIRECT("Data_Sheet!J"&amp;15+$D$5)</f>
        <v/>
      </c>
      <c r="J15" s="49" t="str">
        <f ca="1">INDIRECT("Data_Sheet!K"&amp;15+$D$5)</f>
        <v/>
      </c>
      <c r="K15" s="49" t="str">
        <f ca="1">INDIRECT("Data_Sheet!L"&amp;15+$D$5)</f>
        <v/>
      </c>
      <c r="L15" s="49" t="str">
        <f ca="1">INDIRECT("Data_Sheet!M"&amp;15+$D$5)</f>
        <v/>
      </c>
      <c r="M15" s="49" t="str">
        <f ca="1">INDIRECT("Data_Sheet!N"&amp;15+$D$5)</f>
        <v/>
      </c>
      <c r="N15" s="49" t="str">
        <f ca="1">INDIRECT("Data_Sheet!O"&amp;15+$D$5)</f>
        <v/>
      </c>
      <c r="O15" s="49" t="str">
        <f ca="1">INDIRECT("Data_Sheet!P"&amp;15+$D$5)</f>
        <v/>
      </c>
      <c r="P15" s="55"/>
      <c r="Q15" s="4"/>
      <c r="U15" s="54" t="str">
        <f ca="1">INDIRECT("Data_Sheet_15_28!B"&amp;15+(MATCH(Main!$E$30,Data_Sheet_15_28!$A$11:$A$900,0)))</f>
        <v/>
      </c>
      <c r="V15" s="49" t="str">
        <f ca="1">INDIRECT("Data_Sheet_15_28!C"&amp;15+(MATCH(Main!$E$30,Data_Sheet_15_28!$A$11:$A$900,0)))</f>
        <v/>
      </c>
      <c r="W15" s="49" t="str">
        <f ca="1">INDIRECT("Data_Sheet_15_28!D"&amp;15+(MATCH(Main!$E$30,Data_Sheet_15_28!$A$11:$A$900,0)))</f>
        <v/>
      </c>
      <c r="X15" s="49" t="str">
        <f ca="1">INDIRECT("Data_Sheet_15_28!E"&amp;15+(MATCH(Main!$E$30,Data_Sheet_15_28!$A$11:$A$900,0)))</f>
        <v/>
      </c>
      <c r="Y15" s="49" t="str">
        <f ca="1">INDIRECT("Data_Sheet_15_28!F"&amp;15+(MATCH(Main!$E$30,Data_Sheet_15_28!$A$11:$A$900,0)))</f>
        <v/>
      </c>
      <c r="Z15" s="49" t="str">
        <f ca="1">INDIRECT("Data_Sheet_15_28!G"&amp;15+(MATCH(Main!$E$30,Data_Sheet_15_28!$A$11:$A$900,0)))</f>
        <v/>
      </c>
      <c r="AA15" s="49" t="str">
        <f ca="1">INDIRECT("Data_Sheet_15_28!H"&amp;15+(MATCH(Main!$E$30,Data_Sheet_15_28!$A$11:$A$900,0)))</f>
        <v/>
      </c>
      <c r="AB15" s="49" t="str">
        <f ca="1">INDIRECT("Data_Sheet_15_28!I"&amp;15+(MATCH(Main!$E$30,Data_Sheet_15_28!$A$11:$A$900,0)))</f>
        <v/>
      </c>
      <c r="AC15" s="49" t="str">
        <f ca="1">INDIRECT("Data_Sheet_15_28!J"&amp;15+(MATCH(Main!$E$30,Data_Sheet_15_28!$A$11:$A$900,0)))</f>
        <v/>
      </c>
      <c r="AD15" s="49" t="str">
        <f ca="1">INDIRECT("Data_Sheet_15_28!K"&amp;15+(MATCH(Main!$E$30,Data_Sheet_15_28!$A$11:$A$900,0)))</f>
        <v/>
      </c>
      <c r="AE15" s="49" t="str">
        <f ca="1">INDIRECT("Data_Sheet_15_28!L"&amp;15+(MATCH(Main!$E$30,Data_Sheet_15_28!$A$11:$A$900,0)))</f>
        <v/>
      </c>
      <c r="AF15" s="49" t="str">
        <f ca="1">INDIRECT("Data_Sheet_15_28!M"&amp;15+(MATCH(Main!$E$30,Data_Sheet_15_28!$A$11:$A$900,0)))</f>
        <v/>
      </c>
      <c r="AG15" s="49" t="str">
        <f ca="1">INDIRECT("Data_Sheet_15_28!N"&amp;15+(MATCH(Main!$E$30,Data_Sheet_15_28!$A$11:$A$900,0)))</f>
        <v/>
      </c>
      <c r="AH15" s="49" t="str">
        <f ca="1">INDIRECT("Data_Sheet_15_28!O"&amp;15+(MATCH(Main!$E$30,Data_Sheet_15_28!$A$11:$A$900,0)))</f>
        <v/>
      </c>
      <c r="AI15" s="49" t="str">
        <f ca="1">INDIRECT("Data_Sheet_15_28!P"&amp;15+(MATCH(Main!$E$30,Data_Sheet_15_28!$A$11:$A$900,0)))</f>
        <v/>
      </c>
      <c r="AO15" s="54" t="str">
        <f ca="1">INDIRECT("Data_Sheet_29_40!B"&amp;15+(MATCH(Main!$E$30,Data_Sheet_29_40!$A$11:$A$900,0)))</f>
        <v/>
      </c>
      <c r="AP15" s="49">
        <f ca="1">INDIRECT("Data_Sheet_29_40!C"&amp;15+(MATCH(Main!$E$30,Data_Sheet_29_40!$A$11:$A$900,0)))</f>
        <v>0</v>
      </c>
      <c r="AQ15" s="49">
        <f ca="1">INDIRECT("Data_Sheet_29_40!D"&amp;15+(MATCH(Main!$E$30,Data_Sheet_29_40!$A$11:$A$900,0)))</f>
        <v>0</v>
      </c>
      <c r="AR15" s="49">
        <f ca="1">INDIRECT("Data_Sheet_29_40!E"&amp;15+(MATCH(Main!$E$30,Data_Sheet_29_40!$A$11:$A$900,0)))</f>
        <v>0</v>
      </c>
      <c r="AS15" s="49">
        <f ca="1">INDIRECT("Data_Sheet_29_40!F"&amp;15+(MATCH(Main!$E$30,Data_Sheet_29_40!$A$11:$A$900,0)))</f>
        <v>0</v>
      </c>
      <c r="AT15" s="49">
        <f ca="1">INDIRECT("Data_Sheet_29_40!G"&amp;15+(MATCH(Main!$E$30,Data_Sheet_29_40!$A$11:$A$900,0)))</f>
        <v>0</v>
      </c>
      <c r="AU15" s="49">
        <f ca="1">INDIRECT("Data_Sheet_29_40!H"&amp;15+(MATCH(Main!$E$30,Data_Sheet_29_40!$A$11:$A$900,0)))</f>
        <v>0</v>
      </c>
      <c r="AV15" s="49">
        <f ca="1">INDIRECT("Data_Sheet_29_40!I"&amp;15+(MATCH(Main!$E$30,Data_Sheet_29_40!$A$11:$A$900,0)))</f>
        <v>0</v>
      </c>
      <c r="AW15" s="49">
        <f ca="1">INDIRECT("Data_Sheet_29_40!J"&amp;15+(MATCH(Main!$E$30,Data_Sheet_29_40!$A$11:$A$900,0)))</f>
        <v>0</v>
      </c>
      <c r="AX15" s="49">
        <f ca="1">INDIRECT("Data_Sheet_29_40!K"&amp;15+(MATCH(Main!$E$30,Data_Sheet_29_40!$A$11:$A$900,0)))</f>
        <v>0</v>
      </c>
      <c r="AY15" s="49">
        <f ca="1">INDIRECT("Data_Sheet_29_40!L"&amp;15+(MATCH(Main!$E$30,Data_Sheet_29_40!$A$11:$A$900,0)))</f>
        <v>0</v>
      </c>
      <c r="AZ15" s="49">
        <f ca="1">INDIRECT("Data_Sheet_29_40!M"&amp;15+(MATCH(Main!$E$30,Data_Sheet_29_40!$A$11:$A$900,0)))</f>
        <v>0</v>
      </c>
      <c r="BA15" s="49">
        <f ca="1">INDIRECT("Data_Sheet_29_40!N"&amp;15+(MATCH(Main!$E$30,Data_Sheet_29_40!$A$11:$A$900,0)))</f>
        <v>0</v>
      </c>
    </row>
    <row r="16" spans="1:55" ht="15" x14ac:dyDescent="0.25">
      <c r="A16" s="54" t="str">
        <f ca="1">INDIRECT("Data_Sheet!B"&amp;16+$D$5)</f>
        <v/>
      </c>
      <c r="B16" s="49" t="str">
        <f ca="1">INDIRECT("Data_Sheet!C"&amp;16+$D$5)</f>
        <v/>
      </c>
      <c r="C16" s="49" t="str">
        <f ca="1">INDIRECT("Data_Sheet!D"&amp;16+$D$5)</f>
        <v/>
      </c>
      <c r="D16" s="49" t="str">
        <f ca="1">INDIRECT("Data_Sheet!E"&amp;16+$D$5)</f>
        <v/>
      </c>
      <c r="E16" s="49" t="str">
        <f ca="1">INDIRECT("Data_Sheet!F"&amp;16+$D$5)</f>
        <v/>
      </c>
      <c r="F16" s="49" t="str">
        <f ca="1">INDIRECT("Data_Sheet!G"&amp;16+$D$5)</f>
        <v/>
      </c>
      <c r="G16" s="49" t="str">
        <f ca="1">INDIRECT("Data_Sheet!H"&amp;16+$D$5)</f>
        <v/>
      </c>
      <c r="H16" s="49" t="str">
        <f ca="1">INDIRECT("Data_Sheet!I"&amp;16+$D$5)</f>
        <v/>
      </c>
      <c r="I16" s="49" t="str">
        <f ca="1">INDIRECT("Data_Sheet!J"&amp;16+$D$5)</f>
        <v/>
      </c>
      <c r="J16" s="49" t="str">
        <f ca="1">INDIRECT("Data_Sheet!K"&amp;16+$D$5)</f>
        <v/>
      </c>
      <c r="K16" s="49" t="str">
        <f ca="1">INDIRECT("Data_Sheet!L"&amp;16+$D$5)</f>
        <v/>
      </c>
      <c r="L16" s="49" t="str">
        <f ca="1">INDIRECT("Data_Sheet!M"&amp;16+$D$5)</f>
        <v/>
      </c>
      <c r="M16" s="49" t="str">
        <f ca="1">INDIRECT("Data_Sheet!N"&amp;16+$D$5)</f>
        <v/>
      </c>
      <c r="N16" s="49" t="str">
        <f ca="1">INDIRECT("Data_Sheet!O"&amp;16+$D$5)</f>
        <v/>
      </c>
      <c r="O16" s="49" t="str">
        <f ca="1">INDIRECT("Data_Sheet!P"&amp;16+$D$5)</f>
        <v/>
      </c>
      <c r="P16" s="55"/>
      <c r="Q16" s="4"/>
      <c r="R16" s="4"/>
      <c r="U16" s="54" t="str">
        <f ca="1">INDIRECT("Data_Sheet_15_28!B"&amp;16+(MATCH(Main!$E$30,Data_Sheet_15_28!$A$11:$A$900,0)))</f>
        <v/>
      </c>
      <c r="V16" s="49" t="str">
        <f ca="1">INDIRECT("Data_Sheet_15_28!C"&amp;16+(MATCH(Main!$E$30,Data_Sheet_15_28!$A$11:$A$900,0)))</f>
        <v/>
      </c>
      <c r="W16" s="49" t="str">
        <f ca="1">INDIRECT("Data_Sheet_15_28!D"&amp;16+(MATCH(Main!$E$30,Data_Sheet_15_28!$A$11:$A$900,0)))</f>
        <v/>
      </c>
      <c r="X16" s="49" t="str">
        <f ca="1">INDIRECT("Data_Sheet_15_28!E"&amp;16+(MATCH(Main!$E$30,Data_Sheet_15_28!$A$11:$A$900,0)))</f>
        <v/>
      </c>
      <c r="Y16" s="49" t="str">
        <f ca="1">INDIRECT("Data_Sheet_15_28!F"&amp;16+(MATCH(Main!$E$30,Data_Sheet_15_28!$A$11:$A$900,0)))</f>
        <v/>
      </c>
      <c r="Z16" s="49" t="str">
        <f ca="1">INDIRECT("Data_Sheet_15_28!G"&amp;16+(MATCH(Main!$E$30,Data_Sheet_15_28!$A$11:$A$900,0)))</f>
        <v/>
      </c>
      <c r="AA16" s="49" t="str">
        <f ca="1">INDIRECT("Data_Sheet_15_28!H"&amp;16+(MATCH(Main!$E$30,Data_Sheet_15_28!$A$11:$A$900,0)))</f>
        <v/>
      </c>
      <c r="AB16" s="49" t="str">
        <f ca="1">INDIRECT("Data_Sheet_15_28!I"&amp;16+(MATCH(Main!$E$30,Data_Sheet_15_28!$A$11:$A$900,0)))</f>
        <v/>
      </c>
      <c r="AC16" s="49" t="str">
        <f ca="1">INDIRECT("Data_Sheet_15_28!J"&amp;16+(MATCH(Main!$E$30,Data_Sheet_15_28!$A$11:$A$900,0)))</f>
        <v/>
      </c>
      <c r="AD16" s="49" t="str">
        <f ca="1">INDIRECT("Data_Sheet_15_28!K"&amp;16+(MATCH(Main!$E$30,Data_Sheet_15_28!$A$11:$A$900,0)))</f>
        <v/>
      </c>
      <c r="AE16" s="49" t="str">
        <f ca="1">INDIRECT("Data_Sheet_15_28!L"&amp;16+(MATCH(Main!$E$30,Data_Sheet_15_28!$A$11:$A$900,0)))</f>
        <v/>
      </c>
      <c r="AF16" s="49" t="str">
        <f ca="1">INDIRECT("Data_Sheet_15_28!M"&amp;16+(MATCH(Main!$E$30,Data_Sheet_15_28!$A$11:$A$900,0)))</f>
        <v/>
      </c>
      <c r="AG16" s="49" t="str">
        <f ca="1">INDIRECT("Data_Sheet_15_28!N"&amp;16+(MATCH(Main!$E$30,Data_Sheet_15_28!$A$11:$A$900,0)))</f>
        <v/>
      </c>
      <c r="AH16" s="49" t="str">
        <f ca="1">INDIRECT("Data_Sheet_15_28!O"&amp;16+(MATCH(Main!$E$30,Data_Sheet_15_28!$A$11:$A$900,0)))</f>
        <v/>
      </c>
      <c r="AI16" s="49" t="str">
        <f ca="1">INDIRECT("Data_Sheet_15_28!P"&amp;16+(MATCH(Main!$E$30,Data_Sheet_15_28!$A$11:$A$900,0)))</f>
        <v/>
      </c>
      <c r="AO16" s="54" t="str">
        <f ca="1">INDIRECT("Data_Sheet_29_40!B"&amp;16+(MATCH(Main!$E$30,Data_Sheet_29_40!$A$11:$A$900,0)))</f>
        <v/>
      </c>
      <c r="AP16" s="49">
        <f ca="1">INDIRECT("Data_Sheet_29_40!C"&amp;16+(MATCH(Main!$E$30,Data_Sheet_29_40!$A$11:$A$900,0)))</f>
        <v>0</v>
      </c>
      <c r="AQ16" s="49">
        <f ca="1">INDIRECT("Data_Sheet_29_40!D"&amp;16+(MATCH(Main!$E$30,Data_Sheet_29_40!$A$11:$A$900,0)))</f>
        <v>0</v>
      </c>
      <c r="AR16" s="49">
        <f ca="1">INDIRECT("Data_Sheet_29_40!E"&amp;16+(MATCH(Main!$E$30,Data_Sheet_29_40!$A$11:$A$900,0)))</f>
        <v>0</v>
      </c>
      <c r="AS16" s="49">
        <f ca="1">INDIRECT("Data_Sheet_29_40!F"&amp;16+(MATCH(Main!$E$30,Data_Sheet_29_40!$A$11:$A$900,0)))</f>
        <v>0</v>
      </c>
      <c r="AT16" s="49">
        <f ca="1">INDIRECT("Data_Sheet_29_40!G"&amp;16+(MATCH(Main!$E$30,Data_Sheet_29_40!$A$11:$A$900,0)))</f>
        <v>0</v>
      </c>
      <c r="AU16" s="49">
        <f ca="1">INDIRECT("Data_Sheet_29_40!H"&amp;16+(MATCH(Main!$E$30,Data_Sheet_29_40!$A$11:$A$900,0)))</f>
        <v>0</v>
      </c>
      <c r="AV16" s="49">
        <f ca="1">INDIRECT("Data_Sheet_29_40!I"&amp;16+(MATCH(Main!$E$30,Data_Sheet_29_40!$A$11:$A$900,0)))</f>
        <v>0</v>
      </c>
      <c r="AW16" s="49">
        <f ca="1">INDIRECT("Data_Sheet_29_40!J"&amp;16+(MATCH(Main!$E$30,Data_Sheet_29_40!$A$11:$A$900,0)))</f>
        <v>0</v>
      </c>
      <c r="AX16" s="49">
        <f ca="1">INDIRECT("Data_Sheet_29_40!K"&amp;16+(MATCH(Main!$E$30,Data_Sheet_29_40!$A$11:$A$900,0)))</f>
        <v>0</v>
      </c>
      <c r="AY16" s="49">
        <f ca="1">INDIRECT("Data_Sheet_29_40!L"&amp;16+(MATCH(Main!$E$30,Data_Sheet_29_40!$A$11:$A$900,0)))</f>
        <v>0</v>
      </c>
      <c r="AZ16" s="49">
        <f ca="1">INDIRECT("Data_Sheet_29_40!M"&amp;16+(MATCH(Main!$E$30,Data_Sheet_29_40!$A$11:$A$900,0)))</f>
        <v>0</v>
      </c>
      <c r="BA16" s="49">
        <f ca="1">INDIRECT("Data_Sheet_29_40!N"&amp;16+(MATCH(Main!$E$30,Data_Sheet_29_40!$A$11:$A$900,0)))</f>
        <v>0</v>
      </c>
    </row>
    <row r="17" spans="1:55" ht="15" x14ac:dyDescent="0.25">
      <c r="A17" s="54" t="str">
        <f ca="1">INDIRECT("Data_Sheet!B"&amp;17+$D$5)</f>
        <v/>
      </c>
      <c r="B17" s="49" t="str">
        <f ca="1">INDIRECT("Data_Sheet!C"&amp;17+$D$5)</f>
        <v/>
      </c>
      <c r="C17" s="49" t="str">
        <f ca="1">INDIRECT("Data_Sheet!D"&amp;17+$D$5)</f>
        <v/>
      </c>
      <c r="D17" s="49" t="str">
        <f ca="1">INDIRECT("Data_Sheet!E"&amp;17+$D$5)</f>
        <v/>
      </c>
      <c r="E17" s="49" t="str">
        <f ca="1">INDIRECT("Data_Sheet!F"&amp;17+$D$5)</f>
        <v/>
      </c>
      <c r="F17" s="49" t="str">
        <f ca="1">INDIRECT("Data_Sheet!G"&amp;17+$D$5)</f>
        <v/>
      </c>
      <c r="G17" s="49" t="str">
        <f ca="1">INDIRECT("Data_Sheet!H"&amp;17+$D$5)</f>
        <v/>
      </c>
      <c r="H17" s="49" t="str">
        <f ca="1">INDIRECT("Data_Sheet!I"&amp;17+$D$5)</f>
        <v/>
      </c>
      <c r="I17" s="49" t="str">
        <f ca="1">INDIRECT("Data_Sheet!J"&amp;17+$D$5)</f>
        <v/>
      </c>
      <c r="J17" s="49" t="str">
        <f ca="1">INDIRECT("Data_Sheet!K"&amp;17+$D$5)</f>
        <v/>
      </c>
      <c r="K17" s="49" t="str">
        <f ca="1">INDIRECT("Data_Sheet!L"&amp;17+$D$5)</f>
        <v/>
      </c>
      <c r="L17" s="49" t="str">
        <f ca="1">INDIRECT("Data_Sheet!M"&amp;17+$D$5)</f>
        <v/>
      </c>
      <c r="M17" s="49" t="str">
        <f ca="1">INDIRECT("Data_Sheet!N"&amp;17+$D$5)</f>
        <v/>
      </c>
      <c r="N17" s="49" t="str">
        <f ca="1">INDIRECT("Data_Sheet!O"&amp;17+$D$5)</f>
        <v/>
      </c>
      <c r="O17" s="49" t="str">
        <f ca="1">INDIRECT("Data_Sheet!P"&amp;17+$D$5)</f>
        <v/>
      </c>
      <c r="P17" s="55"/>
      <c r="Q17" s="4"/>
      <c r="R17" s="4"/>
      <c r="U17" s="54" t="str">
        <f ca="1">INDIRECT("Data_Sheet_15_28!B"&amp;17+(MATCH(Main!$E$30,Data_Sheet_15_28!$A$11:$A$900,0)))</f>
        <v/>
      </c>
      <c r="V17" s="49" t="str">
        <f ca="1">INDIRECT("Data_Sheet_15_28!C"&amp;17+(MATCH(Main!$E$30,Data_Sheet_15_28!$A$11:$A$900,0)))</f>
        <v/>
      </c>
      <c r="W17" s="49" t="str">
        <f ca="1">INDIRECT("Data_Sheet_15_28!D"&amp;17+(MATCH(Main!$E$30,Data_Sheet_15_28!$A$11:$A$900,0)))</f>
        <v/>
      </c>
      <c r="X17" s="49" t="str">
        <f ca="1">INDIRECT("Data_Sheet_15_28!E"&amp;17+(MATCH(Main!$E$30,Data_Sheet_15_28!$A$11:$A$900,0)))</f>
        <v/>
      </c>
      <c r="Y17" s="49" t="str">
        <f ca="1">INDIRECT("Data_Sheet_15_28!F"&amp;17+(MATCH(Main!$E$30,Data_Sheet_15_28!$A$11:$A$900,0)))</f>
        <v/>
      </c>
      <c r="Z17" s="49" t="str">
        <f ca="1">INDIRECT("Data_Sheet_15_28!G"&amp;17+(MATCH(Main!$E$30,Data_Sheet_15_28!$A$11:$A$900,0)))</f>
        <v/>
      </c>
      <c r="AA17" s="49" t="str">
        <f ca="1">INDIRECT("Data_Sheet_15_28!H"&amp;17+(MATCH(Main!$E$30,Data_Sheet_15_28!$A$11:$A$900,0)))</f>
        <v/>
      </c>
      <c r="AB17" s="49" t="str">
        <f ca="1">INDIRECT("Data_Sheet_15_28!I"&amp;17+(MATCH(Main!$E$30,Data_Sheet_15_28!$A$11:$A$900,0)))</f>
        <v/>
      </c>
      <c r="AC17" s="49" t="str">
        <f ca="1">INDIRECT("Data_Sheet_15_28!J"&amp;17+(MATCH(Main!$E$30,Data_Sheet_15_28!$A$11:$A$900,0)))</f>
        <v/>
      </c>
      <c r="AD17" s="49" t="str">
        <f ca="1">INDIRECT("Data_Sheet_15_28!K"&amp;17+(MATCH(Main!$E$30,Data_Sheet_15_28!$A$11:$A$900,0)))</f>
        <v/>
      </c>
      <c r="AE17" s="49" t="str">
        <f ca="1">INDIRECT("Data_Sheet_15_28!L"&amp;17+(MATCH(Main!$E$30,Data_Sheet_15_28!$A$11:$A$900,0)))</f>
        <v/>
      </c>
      <c r="AF17" s="49" t="str">
        <f ca="1">INDIRECT("Data_Sheet_15_28!M"&amp;17+(MATCH(Main!$E$30,Data_Sheet_15_28!$A$11:$A$900,0)))</f>
        <v/>
      </c>
      <c r="AG17" s="49" t="str">
        <f ca="1">INDIRECT("Data_Sheet_15_28!N"&amp;17+(MATCH(Main!$E$30,Data_Sheet_15_28!$A$11:$A$900,0)))</f>
        <v/>
      </c>
      <c r="AH17" s="49" t="str">
        <f ca="1">INDIRECT("Data_Sheet_15_28!O"&amp;17+(MATCH(Main!$E$30,Data_Sheet_15_28!$A$11:$A$900,0)))</f>
        <v/>
      </c>
      <c r="AI17" s="49" t="str">
        <f ca="1">INDIRECT("Data_Sheet_15_28!P"&amp;17+(MATCH(Main!$E$30,Data_Sheet_15_28!$A$11:$A$900,0)))</f>
        <v/>
      </c>
      <c r="AO17" s="54" t="str">
        <f ca="1">INDIRECT("Data_Sheet_29_40!B"&amp;17+(MATCH(Main!$E$30,Data_Sheet_29_40!$A$11:$A$900,0)))</f>
        <v/>
      </c>
      <c r="AP17" s="49">
        <f ca="1">INDIRECT("Data_Sheet_29_40!C"&amp;17+(MATCH(Main!$E$30,Data_Sheet_29_40!$A$11:$A$900,0)))</f>
        <v>0</v>
      </c>
      <c r="AQ17" s="49">
        <f ca="1">INDIRECT("Data_Sheet_29_40!D"&amp;17+(MATCH(Main!$E$30,Data_Sheet_29_40!$A$11:$A$900,0)))</f>
        <v>0</v>
      </c>
      <c r="AR17" s="49">
        <f ca="1">INDIRECT("Data_Sheet_29_40!E"&amp;17+(MATCH(Main!$E$30,Data_Sheet_29_40!$A$11:$A$900,0)))</f>
        <v>0</v>
      </c>
      <c r="AS17" s="49">
        <f ca="1">INDIRECT("Data_Sheet_29_40!F"&amp;17+(MATCH(Main!$E$30,Data_Sheet_29_40!$A$11:$A$900,0)))</f>
        <v>0</v>
      </c>
      <c r="AT17" s="49">
        <f ca="1">INDIRECT("Data_Sheet_29_40!G"&amp;17+(MATCH(Main!$E$30,Data_Sheet_29_40!$A$11:$A$900,0)))</f>
        <v>0</v>
      </c>
      <c r="AU17" s="49">
        <f ca="1">INDIRECT("Data_Sheet_29_40!H"&amp;17+(MATCH(Main!$E$30,Data_Sheet_29_40!$A$11:$A$900,0)))</f>
        <v>0</v>
      </c>
      <c r="AV17" s="49">
        <f ca="1">INDIRECT("Data_Sheet_29_40!I"&amp;17+(MATCH(Main!$E$30,Data_Sheet_29_40!$A$11:$A$900,0)))</f>
        <v>0</v>
      </c>
      <c r="AW17" s="49">
        <f ca="1">INDIRECT("Data_Sheet_29_40!J"&amp;17+(MATCH(Main!$E$30,Data_Sheet_29_40!$A$11:$A$900,0)))</f>
        <v>0</v>
      </c>
      <c r="AX17" s="49">
        <f ca="1">INDIRECT("Data_Sheet_29_40!K"&amp;17+(MATCH(Main!$E$30,Data_Sheet_29_40!$A$11:$A$900,0)))</f>
        <v>0</v>
      </c>
      <c r="AY17" s="49">
        <f ca="1">INDIRECT("Data_Sheet_29_40!L"&amp;17+(MATCH(Main!$E$30,Data_Sheet_29_40!$A$11:$A$900,0)))</f>
        <v>0</v>
      </c>
      <c r="AZ17" s="49">
        <f ca="1">INDIRECT("Data_Sheet_29_40!M"&amp;17+(MATCH(Main!$E$30,Data_Sheet_29_40!$A$11:$A$900,0)))</f>
        <v>0</v>
      </c>
      <c r="BA17" s="49">
        <f ca="1">INDIRECT("Data_Sheet_29_40!N"&amp;17+(MATCH(Main!$E$30,Data_Sheet_29_40!$A$11:$A$900,0)))</f>
        <v>0</v>
      </c>
    </row>
    <row r="18" spans="1:55" ht="15" x14ac:dyDescent="0.25">
      <c r="A18" s="54" t="str">
        <f ca="1">INDIRECT("Data_Sheet!B"&amp;18+$D$5)</f>
        <v/>
      </c>
      <c r="B18" s="49" t="str">
        <f ca="1">INDIRECT("Data_Sheet!C"&amp;18+$D$5)</f>
        <v/>
      </c>
      <c r="C18" s="49" t="str">
        <f ca="1">INDIRECT("Data_Sheet!D"&amp;18+$D$5)</f>
        <v/>
      </c>
      <c r="D18" s="49" t="str">
        <f ca="1">INDIRECT("Data_Sheet!E"&amp;18+$D$5)</f>
        <v/>
      </c>
      <c r="E18" s="49" t="str">
        <f ca="1">INDIRECT("Data_Sheet!F"&amp;18+$D$5)</f>
        <v/>
      </c>
      <c r="F18" s="49" t="str">
        <f ca="1">INDIRECT("Data_Sheet!G"&amp;18+$D$5)</f>
        <v/>
      </c>
      <c r="G18" s="49" t="str">
        <f ca="1">INDIRECT("Data_Sheet!H"&amp;18+$D$5)</f>
        <v/>
      </c>
      <c r="H18" s="49" t="str">
        <f ca="1">INDIRECT("Data_Sheet!I"&amp;18+$D$5)</f>
        <v/>
      </c>
      <c r="I18" s="49" t="str">
        <f ca="1">INDIRECT("Data_Sheet!J"&amp;18+$D$5)</f>
        <v/>
      </c>
      <c r="J18" s="49" t="str">
        <f ca="1">INDIRECT("Data_Sheet!K"&amp;18+$D$5)</f>
        <v/>
      </c>
      <c r="K18" s="49" t="str">
        <f ca="1">INDIRECT("Data_Sheet!L"&amp;18+$D$5)</f>
        <v/>
      </c>
      <c r="L18" s="49" t="str">
        <f ca="1">INDIRECT("Data_Sheet!M"&amp;18+$D$5)</f>
        <v/>
      </c>
      <c r="M18" s="49" t="str">
        <f ca="1">INDIRECT("Data_Sheet!N"&amp;18+$D$5)</f>
        <v/>
      </c>
      <c r="N18" s="49" t="str">
        <f ca="1">INDIRECT("Data_Sheet!O"&amp;18+$D$5)</f>
        <v/>
      </c>
      <c r="O18" s="49" t="str">
        <f ca="1">INDIRECT("Data_Sheet!P"&amp;18+$D$5)</f>
        <v/>
      </c>
      <c r="P18" s="55"/>
      <c r="Q18" s="4"/>
      <c r="R18" s="4"/>
      <c r="U18" s="54" t="str">
        <f ca="1">INDIRECT("Data_Sheet_15_28!B"&amp;18+(MATCH(Main!$E$30,Data_Sheet_15_28!$A$11:$A$900,0)))</f>
        <v/>
      </c>
      <c r="V18" s="49" t="str">
        <f ca="1">INDIRECT("Data_Sheet_15_28!C"&amp;18+(MATCH(Main!$E$30,Data_Sheet_15_28!$A$11:$A$900,0)))</f>
        <v/>
      </c>
      <c r="W18" s="49" t="str">
        <f ca="1">INDIRECT("Data_Sheet_15_28!D"&amp;18+(MATCH(Main!$E$30,Data_Sheet_15_28!$A$11:$A$900,0)))</f>
        <v/>
      </c>
      <c r="X18" s="49" t="str">
        <f ca="1">INDIRECT("Data_Sheet_15_28!E"&amp;18+(MATCH(Main!$E$30,Data_Sheet_15_28!$A$11:$A$900,0)))</f>
        <v/>
      </c>
      <c r="Y18" s="49" t="str">
        <f ca="1">INDIRECT("Data_Sheet_15_28!F"&amp;18+(MATCH(Main!$E$30,Data_Sheet_15_28!$A$11:$A$900,0)))</f>
        <v/>
      </c>
      <c r="Z18" s="49" t="str">
        <f ca="1">INDIRECT("Data_Sheet_15_28!G"&amp;18+(MATCH(Main!$E$30,Data_Sheet_15_28!$A$11:$A$900,0)))</f>
        <v/>
      </c>
      <c r="AA18" s="49" t="str">
        <f ca="1">INDIRECT("Data_Sheet_15_28!H"&amp;18+(MATCH(Main!$E$30,Data_Sheet_15_28!$A$11:$A$900,0)))</f>
        <v/>
      </c>
      <c r="AB18" s="49" t="str">
        <f ca="1">INDIRECT("Data_Sheet_15_28!I"&amp;18+(MATCH(Main!$E$30,Data_Sheet_15_28!$A$11:$A$900,0)))</f>
        <v/>
      </c>
      <c r="AC18" s="49" t="str">
        <f ca="1">INDIRECT("Data_Sheet_15_28!J"&amp;18+(MATCH(Main!$E$30,Data_Sheet_15_28!$A$11:$A$900,0)))</f>
        <v/>
      </c>
      <c r="AD18" s="49" t="str">
        <f ca="1">INDIRECT("Data_Sheet_15_28!K"&amp;18+(MATCH(Main!$E$30,Data_Sheet_15_28!$A$11:$A$900,0)))</f>
        <v/>
      </c>
      <c r="AE18" s="49" t="str">
        <f ca="1">INDIRECT("Data_Sheet_15_28!L"&amp;18+(MATCH(Main!$E$30,Data_Sheet_15_28!$A$11:$A$900,0)))</f>
        <v/>
      </c>
      <c r="AF18" s="49" t="str">
        <f ca="1">INDIRECT("Data_Sheet_15_28!M"&amp;18+(MATCH(Main!$E$30,Data_Sheet_15_28!$A$11:$A$900,0)))</f>
        <v/>
      </c>
      <c r="AG18" s="49" t="str">
        <f ca="1">INDIRECT("Data_Sheet_15_28!N"&amp;18+(MATCH(Main!$E$30,Data_Sheet_15_28!$A$11:$A$900,0)))</f>
        <v/>
      </c>
      <c r="AH18" s="49" t="str">
        <f ca="1">INDIRECT("Data_Sheet_15_28!O"&amp;18+(MATCH(Main!$E$30,Data_Sheet_15_28!$A$11:$A$900,0)))</f>
        <v/>
      </c>
      <c r="AI18" s="49" t="str">
        <f ca="1">INDIRECT("Data_Sheet_15_28!P"&amp;18+(MATCH(Main!$E$30,Data_Sheet_15_28!$A$11:$A$900,0)))</f>
        <v/>
      </c>
      <c r="AO18" s="54" t="str">
        <f ca="1">INDIRECT("Data_Sheet_29_40!B"&amp;18+(MATCH(Main!$E$30,Data_Sheet_29_40!$A$11:$A$900,0)))</f>
        <v/>
      </c>
      <c r="AP18" s="49">
        <f ca="1">INDIRECT("Data_Sheet_29_40!C"&amp;18+(MATCH(Main!$E$30,Data_Sheet_29_40!$A$11:$A$900,0)))</f>
        <v>0</v>
      </c>
      <c r="AQ18" s="49">
        <f ca="1">INDIRECT("Data_Sheet_29_40!D"&amp;18+(MATCH(Main!$E$30,Data_Sheet_29_40!$A$11:$A$900,0)))</f>
        <v>0</v>
      </c>
      <c r="AR18" s="49">
        <f ca="1">INDIRECT("Data_Sheet_29_40!E"&amp;18+(MATCH(Main!$E$30,Data_Sheet_29_40!$A$11:$A$900,0)))</f>
        <v>0</v>
      </c>
      <c r="AS18" s="49">
        <f ca="1">INDIRECT("Data_Sheet_29_40!F"&amp;18+(MATCH(Main!$E$30,Data_Sheet_29_40!$A$11:$A$900,0)))</f>
        <v>0</v>
      </c>
      <c r="AT18" s="49">
        <f ca="1">INDIRECT("Data_Sheet_29_40!G"&amp;18+(MATCH(Main!$E$30,Data_Sheet_29_40!$A$11:$A$900,0)))</f>
        <v>0</v>
      </c>
      <c r="AU18" s="49">
        <f ca="1">INDIRECT("Data_Sheet_29_40!H"&amp;18+(MATCH(Main!$E$30,Data_Sheet_29_40!$A$11:$A$900,0)))</f>
        <v>0</v>
      </c>
      <c r="AV18" s="49">
        <f ca="1">INDIRECT("Data_Sheet_29_40!I"&amp;18+(MATCH(Main!$E$30,Data_Sheet_29_40!$A$11:$A$900,0)))</f>
        <v>0</v>
      </c>
      <c r="AW18" s="49">
        <f ca="1">INDIRECT("Data_Sheet_29_40!J"&amp;18+(MATCH(Main!$E$30,Data_Sheet_29_40!$A$11:$A$900,0)))</f>
        <v>0</v>
      </c>
      <c r="AX18" s="49">
        <f ca="1">INDIRECT("Data_Sheet_29_40!K"&amp;18+(MATCH(Main!$E$30,Data_Sheet_29_40!$A$11:$A$900,0)))</f>
        <v>0</v>
      </c>
      <c r="AY18" s="49">
        <f ca="1">INDIRECT("Data_Sheet_29_40!L"&amp;18+(MATCH(Main!$E$30,Data_Sheet_29_40!$A$11:$A$900,0)))</f>
        <v>0</v>
      </c>
      <c r="AZ18" s="49">
        <f ca="1">INDIRECT("Data_Sheet_29_40!M"&amp;18+(MATCH(Main!$E$30,Data_Sheet_29_40!$A$11:$A$900,0)))</f>
        <v>0</v>
      </c>
      <c r="BA18" s="49">
        <f ca="1">INDIRECT("Data_Sheet_29_40!N"&amp;18+(MATCH(Main!$E$30,Data_Sheet_29_40!$A$11:$A$900,0)))</f>
        <v>0</v>
      </c>
    </row>
    <row r="19" spans="1:55" ht="15" x14ac:dyDescent="0.25">
      <c r="A19" s="54" t="str">
        <f ca="1">INDIRECT("Data_Sheet!B"&amp;19+$D$5)</f>
        <v/>
      </c>
      <c r="B19" s="49" t="str">
        <f ca="1">INDIRECT("Data_Sheet!C"&amp;19+$D$5)</f>
        <v/>
      </c>
      <c r="C19" s="49" t="str">
        <f ca="1">INDIRECT("Data_Sheet!D"&amp;19+$D$5)</f>
        <v/>
      </c>
      <c r="D19" s="49" t="str">
        <f ca="1">INDIRECT("Data_Sheet!E"&amp;19+$D$5)</f>
        <v/>
      </c>
      <c r="E19" s="49" t="str">
        <f ca="1">INDIRECT("Data_Sheet!F"&amp;19+$D$5)</f>
        <v/>
      </c>
      <c r="F19" s="49" t="str">
        <f ca="1">INDIRECT("Data_Sheet!G"&amp;19+$D$5)</f>
        <v/>
      </c>
      <c r="G19" s="49" t="str">
        <f ca="1">INDIRECT("Data_Sheet!H"&amp;19+$D$5)</f>
        <v/>
      </c>
      <c r="H19" s="49" t="str">
        <f ca="1">INDIRECT("Data_Sheet!I"&amp;19+$D$5)</f>
        <v/>
      </c>
      <c r="I19" s="49" t="str">
        <f ca="1">INDIRECT("Data_Sheet!J"&amp;19+$D$5)</f>
        <v/>
      </c>
      <c r="J19" s="49" t="str">
        <f ca="1">INDIRECT("Data_Sheet!K"&amp;19+$D$5)</f>
        <v/>
      </c>
      <c r="K19" s="49" t="str">
        <f ca="1">INDIRECT("Data_Sheet!L"&amp;19+$D$5)</f>
        <v/>
      </c>
      <c r="L19" s="49" t="str">
        <f ca="1">INDIRECT("Data_Sheet!M"&amp;19+$D$5)</f>
        <v/>
      </c>
      <c r="M19" s="49" t="str">
        <f ca="1">INDIRECT("Data_Sheet!N"&amp;19+$D$5)</f>
        <v/>
      </c>
      <c r="N19" s="49" t="str">
        <f ca="1">INDIRECT("Data_Sheet!O"&amp;19+$D$5)</f>
        <v/>
      </c>
      <c r="O19" s="49" t="str">
        <f ca="1">INDIRECT("Data_Sheet!P"&amp;19+$D$5)</f>
        <v/>
      </c>
      <c r="P19" s="55"/>
      <c r="Q19" s="4"/>
      <c r="R19" s="4"/>
      <c r="U19" s="54" t="str">
        <f ca="1">INDIRECT("Data_Sheet_15_28!B"&amp;19+(MATCH(Main!$E$30,Data_Sheet_15_28!$A$11:$A$900,0)))</f>
        <v/>
      </c>
      <c r="V19" s="49" t="str">
        <f ca="1">INDIRECT("Data_Sheet_15_28!C"&amp;19+(MATCH(Main!$E$30,Data_Sheet_15_28!$A$11:$A$900,0)))</f>
        <v/>
      </c>
      <c r="W19" s="49" t="str">
        <f ca="1">INDIRECT("Data_Sheet_15_28!D"&amp;19+(MATCH(Main!$E$30,Data_Sheet_15_28!$A$11:$A$900,0)))</f>
        <v/>
      </c>
      <c r="X19" s="49" t="str">
        <f ca="1">INDIRECT("Data_Sheet_15_28!E"&amp;19+(MATCH(Main!$E$30,Data_Sheet_15_28!$A$11:$A$900,0)))</f>
        <v/>
      </c>
      <c r="Y19" s="49" t="str">
        <f ca="1">INDIRECT("Data_Sheet_15_28!F"&amp;19+(MATCH(Main!$E$30,Data_Sheet_15_28!$A$11:$A$900,0)))</f>
        <v/>
      </c>
      <c r="Z19" s="49" t="str">
        <f ca="1">INDIRECT("Data_Sheet_15_28!G"&amp;19+(MATCH(Main!$E$30,Data_Sheet_15_28!$A$11:$A$900,0)))</f>
        <v/>
      </c>
      <c r="AA19" s="49" t="str">
        <f ca="1">INDIRECT("Data_Sheet_15_28!H"&amp;19+(MATCH(Main!$E$30,Data_Sheet_15_28!$A$11:$A$900,0)))</f>
        <v/>
      </c>
      <c r="AB19" s="49" t="str">
        <f ca="1">INDIRECT("Data_Sheet_15_28!I"&amp;19+(MATCH(Main!$E$30,Data_Sheet_15_28!$A$11:$A$900,0)))</f>
        <v/>
      </c>
      <c r="AC19" s="49" t="str">
        <f ca="1">INDIRECT("Data_Sheet_15_28!J"&amp;19+(MATCH(Main!$E$30,Data_Sheet_15_28!$A$11:$A$900,0)))</f>
        <v/>
      </c>
      <c r="AD19" s="49" t="str">
        <f ca="1">INDIRECT("Data_Sheet_15_28!K"&amp;19+(MATCH(Main!$E$30,Data_Sheet_15_28!$A$11:$A$900,0)))</f>
        <v/>
      </c>
      <c r="AE19" s="49" t="str">
        <f ca="1">INDIRECT("Data_Sheet_15_28!L"&amp;19+(MATCH(Main!$E$30,Data_Sheet_15_28!$A$11:$A$900,0)))</f>
        <v/>
      </c>
      <c r="AF19" s="49" t="str">
        <f ca="1">INDIRECT("Data_Sheet_15_28!M"&amp;19+(MATCH(Main!$E$30,Data_Sheet_15_28!$A$11:$A$900,0)))</f>
        <v/>
      </c>
      <c r="AG19" s="49" t="str">
        <f ca="1">INDIRECT("Data_Sheet_15_28!N"&amp;19+(MATCH(Main!$E$30,Data_Sheet_15_28!$A$11:$A$900,0)))</f>
        <v/>
      </c>
      <c r="AH19" s="49" t="str">
        <f ca="1">INDIRECT("Data_Sheet_15_28!O"&amp;19+(MATCH(Main!$E$30,Data_Sheet_15_28!$A$11:$A$900,0)))</f>
        <v/>
      </c>
      <c r="AI19" s="49" t="str">
        <f ca="1">INDIRECT("Data_Sheet_15_28!P"&amp;19+(MATCH(Main!$E$30,Data_Sheet_15_28!$A$11:$A$900,0)))</f>
        <v/>
      </c>
      <c r="AO19" s="54" t="str">
        <f ca="1">INDIRECT("Data_Sheet_29_40!B"&amp;19+(MATCH(Main!$E$30,Data_Sheet_29_40!$A$11:$A$900,0)))</f>
        <v/>
      </c>
      <c r="AP19" s="49">
        <f ca="1">INDIRECT("Data_Sheet_29_40!C"&amp;19+(MATCH(Main!$E$30,Data_Sheet_29_40!$A$11:$A$900,0)))</f>
        <v>0</v>
      </c>
      <c r="AQ19" s="49">
        <f ca="1">INDIRECT("Data_Sheet_29_40!D"&amp;19+(MATCH(Main!$E$30,Data_Sheet_29_40!$A$11:$A$900,0)))</f>
        <v>0</v>
      </c>
      <c r="AR19" s="49">
        <f ca="1">INDIRECT("Data_Sheet_29_40!E"&amp;19+(MATCH(Main!$E$30,Data_Sheet_29_40!$A$11:$A$900,0)))</f>
        <v>0</v>
      </c>
      <c r="AS19" s="49">
        <f ca="1">INDIRECT("Data_Sheet_29_40!F"&amp;19+(MATCH(Main!$E$30,Data_Sheet_29_40!$A$11:$A$900,0)))</f>
        <v>0</v>
      </c>
      <c r="AT19" s="49">
        <f ca="1">INDIRECT("Data_Sheet_29_40!G"&amp;19+(MATCH(Main!$E$30,Data_Sheet_29_40!$A$11:$A$900,0)))</f>
        <v>0</v>
      </c>
      <c r="AU19" s="49">
        <f ca="1">INDIRECT("Data_Sheet_29_40!H"&amp;19+(MATCH(Main!$E$30,Data_Sheet_29_40!$A$11:$A$900,0)))</f>
        <v>0</v>
      </c>
      <c r="AV19" s="49">
        <f ca="1">INDIRECT("Data_Sheet_29_40!I"&amp;19+(MATCH(Main!$E$30,Data_Sheet_29_40!$A$11:$A$900,0)))</f>
        <v>0</v>
      </c>
      <c r="AW19" s="49">
        <f ca="1">INDIRECT("Data_Sheet_29_40!J"&amp;19+(MATCH(Main!$E$30,Data_Sheet_29_40!$A$11:$A$900,0)))</f>
        <v>0</v>
      </c>
      <c r="AX19" s="49">
        <f ca="1">INDIRECT("Data_Sheet_29_40!K"&amp;19+(MATCH(Main!$E$30,Data_Sheet_29_40!$A$11:$A$900,0)))</f>
        <v>0</v>
      </c>
      <c r="AY19" s="49">
        <f ca="1">INDIRECT("Data_Sheet_29_40!L"&amp;19+(MATCH(Main!$E$30,Data_Sheet_29_40!$A$11:$A$900,0)))</f>
        <v>0</v>
      </c>
      <c r="AZ19" s="49">
        <f ca="1">INDIRECT("Data_Sheet_29_40!M"&amp;19+(MATCH(Main!$E$30,Data_Sheet_29_40!$A$11:$A$900,0)))</f>
        <v>0</v>
      </c>
      <c r="BA19" s="49">
        <f ca="1">INDIRECT("Data_Sheet_29_40!N"&amp;19+(MATCH(Main!$E$30,Data_Sheet_29_40!$A$11:$A$900,0)))</f>
        <v>0</v>
      </c>
    </row>
    <row r="20" spans="1:55" ht="15" x14ac:dyDescent="0.25">
      <c r="A20" s="54" t="str">
        <f ca="1">INDIRECT("Data_Sheet!B"&amp;20+$D$5)</f>
        <v/>
      </c>
      <c r="B20" s="49" t="str">
        <f ca="1">INDIRECT("Data_Sheet!C"&amp;20+$D$5)</f>
        <v/>
      </c>
      <c r="C20" s="49" t="str">
        <f ca="1">INDIRECT("Data_Sheet!D"&amp;20+$D$5)</f>
        <v/>
      </c>
      <c r="D20" s="49" t="str">
        <f ca="1">INDIRECT("Data_Sheet!E"&amp;20+$D$5)</f>
        <v/>
      </c>
      <c r="E20" s="49" t="str">
        <f ca="1">INDIRECT("Data_Sheet!F"&amp;20+$D$5)</f>
        <v/>
      </c>
      <c r="F20" s="49" t="str">
        <f ca="1">INDIRECT("Data_Sheet!G"&amp;20+$D$5)</f>
        <v/>
      </c>
      <c r="G20" s="49" t="str">
        <f ca="1">INDIRECT("Data_Sheet!H"&amp;20+$D$5)</f>
        <v/>
      </c>
      <c r="H20" s="49" t="str">
        <f ca="1">INDIRECT("Data_Sheet!I"&amp;20+$D$5)</f>
        <v/>
      </c>
      <c r="I20" s="49" t="str">
        <f ca="1">INDIRECT("Data_Sheet!J"&amp;20+$D$5)</f>
        <v/>
      </c>
      <c r="J20" s="49" t="str">
        <f ca="1">INDIRECT("Data_Sheet!K"&amp;20+$D$5)</f>
        <v/>
      </c>
      <c r="K20" s="49" t="str">
        <f ca="1">INDIRECT("Data_Sheet!L"&amp;20+$D$5)</f>
        <v/>
      </c>
      <c r="L20" s="49" t="str">
        <f ca="1">INDIRECT("Data_Sheet!M"&amp;20+$D$5)</f>
        <v/>
      </c>
      <c r="M20" s="49" t="str">
        <f ca="1">INDIRECT("Data_Sheet!N"&amp;20+$D$5)</f>
        <v/>
      </c>
      <c r="N20" s="49" t="str">
        <f ca="1">INDIRECT("Data_Sheet!O"&amp;20+$D$5)</f>
        <v/>
      </c>
      <c r="O20" s="49" t="str">
        <f ca="1">INDIRECT("Data_Sheet!P"&amp;20+$D$5)</f>
        <v/>
      </c>
      <c r="P20" s="55"/>
      <c r="Q20" s="4"/>
      <c r="R20" s="4"/>
      <c r="U20" s="54" t="str">
        <f ca="1">INDIRECT("Data_Sheet_15_28!B"&amp;20+(MATCH(Main!$E$30,Data_Sheet_15_28!$A$11:$A$900,0)))</f>
        <v/>
      </c>
      <c r="V20" s="49" t="str">
        <f ca="1">INDIRECT("Data_Sheet_15_28!C"&amp;20+(MATCH(Main!$E$30,Data_Sheet_15_28!$A$11:$A$900,0)))</f>
        <v/>
      </c>
      <c r="W20" s="49" t="str">
        <f ca="1">INDIRECT("Data_Sheet_15_28!D"&amp;20+(MATCH(Main!$E$30,Data_Sheet_15_28!$A$11:$A$900,0)))</f>
        <v/>
      </c>
      <c r="X20" s="49" t="str">
        <f ca="1">INDIRECT("Data_Sheet_15_28!E"&amp;20+(MATCH(Main!$E$30,Data_Sheet_15_28!$A$11:$A$900,0)))</f>
        <v/>
      </c>
      <c r="Y20" s="49" t="str">
        <f ca="1">INDIRECT("Data_Sheet_15_28!F"&amp;20+(MATCH(Main!$E$30,Data_Sheet_15_28!$A$11:$A$900,0)))</f>
        <v/>
      </c>
      <c r="Z20" s="49" t="str">
        <f ca="1">INDIRECT("Data_Sheet_15_28!G"&amp;20+(MATCH(Main!$E$30,Data_Sheet_15_28!$A$11:$A$900,0)))</f>
        <v/>
      </c>
      <c r="AA20" s="49" t="str">
        <f ca="1">INDIRECT("Data_Sheet_15_28!H"&amp;20+(MATCH(Main!$E$30,Data_Sheet_15_28!$A$11:$A$900,0)))</f>
        <v/>
      </c>
      <c r="AB20" s="49" t="str">
        <f ca="1">INDIRECT("Data_Sheet_15_28!I"&amp;20+(MATCH(Main!$E$30,Data_Sheet_15_28!$A$11:$A$900,0)))</f>
        <v/>
      </c>
      <c r="AC20" s="49" t="str">
        <f ca="1">INDIRECT("Data_Sheet_15_28!J"&amp;20+(MATCH(Main!$E$30,Data_Sheet_15_28!$A$11:$A$900,0)))</f>
        <v/>
      </c>
      <c r="AD20" s="49" t="str">
        <f ca="1">INDIRECT("Data_Sheet_15_28!K"&amp;20+(MATCH(Main!$E$30,Data_Sheet_15_28!$A$11:$A$900,0)))</f>
        <v/>
      </c>
      <c r="AE20" s="49" t="str">
        <f ca="1">INDIRECT("Data_Sheet_15_28!L"&amp;20+(MATCH(Main!$E$30,Data_Sheet_15_28!$A$11:$A$900,0)))</f>
        <v/>
      </c>
      <c r="AF20" s="49" t="str">
        <f ca="1">INDIRECT("Data_Sheet_15_28!M"&amp;20+(MATCH(Main!$E$30,Data_Sheet_15_28!$A$11:$A$900,0)))</f>
        <v/>
      </c>
      <c r="AG20" s="49" t="str">
        <f ca="1">INDIRECT("Data_Sheet_15_28!N"&amp;20+(MATCH(Main!$E$30,Data_Sheet_15_28!$A$11:$A$900,0)))</f>
        <v/>
      </c>
      <c r="AH20" s="49" t="str">
        <f ca="1">INDIRECT("Data_Sheet_15_28!O"&amp;20+(MATCH(Main!$E$30,Data_Sheet_15_28!$A$11:$A$900,0)))</f>
        <v/>
      </c>
      <c r="AI20" s="49" t="str">
        <f ca="1">INDIRECT("Data_Sheet_15_28!P"&amp;20+(MATCH(Main!$E$30,Data_Sheet_15_28!$A$11:$A$900,0)))</f>
        <v/>
      </c>
      <c r="AO20" s="54" t="str">
        <f ca="1">INDIRECT("Data_Sheet_29_40!B"&amp;20+(MATCH(Main!$E$30,Data_Sheet_29_40!$A$11:$A$900,0)))</f>
        <v/>
      </c>
      <c r="AP20" s="49">
        <f ca="1">INDIRECT("Data_Sheet_29_40!C"&amp;20+(MATCH(Main!$E$30,Data_Sheet_29_40!$A$11:$A$900,0)))</f>
        <v>0</v>
      </c>
      <c r="AQ20" s="49">
        <f ca="1">INDIRECT("Data_Sheet_29_40!D"&amp;20+(MATCH(Main!$E$30,Data_Sheet_29_40!$A$11:$A$900,0)))</f>
        <v>0</v>
      </c>
      <c r="AR20" s="49">
        <f ca="1">INDIRECT("Data_Sheet_29_40!E"&amp;20+(MATCH(Main!$E$30,Data_Sheet_29_40!$A$11:$A$900,0)))</f>
        <v>0</v>
      </c>
      <c r="AS20" s="49">
        <f ca="1">INDIRECT("Data_Sheet_29_40!F"&amp;20+(MATCH(Main!$E$30,Data_Sheet_29_40!$A$11:$A$900,0)))</f>
        <v>0</v>
      </c>
      <c r="AT20" s="49">
        <f ca="1">INDIRECT("Data_Sheet_29_40!G"&amp;20+(MATCH(Main!$E$30,Data_Sheet_29_40!$A$11:$A$900,0)))</f>
        <v>0</v>
      </c>
      <c r="AU20" s="49">
        <f ca="1">INDIRECT("Data_Sheet_29_40!H"&amp;20+(MATCH(Main!$E$30,Data_Sheet_29_40!$A$11:$A$900,0)))</f>
        <v>0</v>
      </c>
      <c r="AV20" s="49">
        <f ca="1">INDIRECT("Data_Sheet_29_40!I"&amp;20+(MATCH(Main!$E$30,Data_Sheet_29_40!$A$11:$A$900,0)))</f>
        <v>0</v>
      </c>
      <c r="AW20" s="49">
        <f ca="1">INDIRECT("Data_Sheet_29_40!J"&amp;20+(MATCH(Main!$E$30,Data_Sheet_29_40!$A$11:$A$900,0)))</f>
        <v>0</v>
      </c>
      <c r="AX20" s="49">
        <f ca="1">INDIRECT("Data_Sheet_29_40!K"&amp;20+(MATCH(Main!$E$30,Data_Sheet_29_40!$A$11:$A$900,0)))</f>
        <v>0</v>
      </c>
      <c r="AY20" s="49">
        <f ca="1">INDIRECT("Data_Sheet_29_40!L"&amp;20+(MATCH(Main!$E$30,Data_Sheet_29_40!$A$11:$A$900,0)))</f>
        <v>0</v>
      </c>
      <c r="AZ20" s="49">
        <f ca="1">INDIRECT("Data_Sheet_29_40!M"&amp;20+(MATCH(Main!$E$30,Data_Sheet_29_40!$A$11:$A$900,0)))</f>
        <v>0</v>
      </c>
      <c r="BA20" s="49">
        <f ca="1">INDIRECT("Data_Sheet_29_40!N"&amp;20+(MATCH(Main!$E$30,Data_Sheet_29_40!$A$11:$A$900,0)))</f>
        <v>0</v>
      </c>
    </row>
    <row r="21" spans="1:55" ht="15" x14ac:dyDescent="0.25">
      <c r="A21" s="54" t="str">
        <f ca="1">INDIRECT("Data_Sheet!B"&amp;21+$D$5)</f>
        <v/>
      </c>
      <c r="B21" s="49" t="str">
        <f ca="1">INDIRECT("Data_Sheet!C"&amp;21+$D$5)</f>
        <v/>
      </c>
      <c r="C21" s="49" t="str">
        <f ca="1">INDIRECT("Data_Sheet!D"&amp;21+$D$5)</f>
        <v/>
      </c>
      <c r="D21" s="49" t="str">
        <f ca="1">INDIRECT("Data_Sheet!E"&amp;21+$D$5)</f>
        <v/>
      </c>
      <c r="E21" s="49" t="str">
        <f ca="1">INDIRECT("Data_Sheet!F"&amp;21+$D$5)</f>
        <v/>
      </c>
      <c r="F21" s="49" t="str">
        <f ca="1">INDIRECT("Data_Sheet!G"&amp;21+$D$5)</f>
        <v/>
      </c>
      <c r="G21" s="49" t="str">
        <f ca="1">INDIRECT("Data_Sheet!H"&amp;21+$D$5)</f>
        <v/>
      </c>
      <c r="H21" s="49" t="str">
        <f ca="1">INDIRECT("Data_Sheet!I"&amp;21+$D$5)</f>
        <v/>
      </c>
      <c r="I21" s="49" t="str">
        <f ca="1">INDIRECT("Data_Sheet!J"&amp;21+$D$5)</f>
        <v/>
      </c>
      <c r="J21" s="49" t="str">
        <f ca="1">INDIRECT("Data_Sheet!K"&amp;21+$D$5)</f>
        <v/>
      </c>
      <c r="K21" s="49" t="str">
        <f ca="1">INDIRECT("Data_Sheet!L"&amp;21+$D$5)</f>
        <v/>
      </c>
      <c r="L21" s="49" t="str">
        <f ca="1">INDIRECT("Data_Sheet!M"&amp;21+$D$5)</f>
        <v/>
      </c>
      <c r="M21" s="49" t="str">
        <f ca="1">INDIRECT("Data_Sheet!N"&amp;21+$D$5)</f>
        <v/>
      </c>
      <c r="N21" s="49" t="str">
        <f ca="1">INDIRECT("Data_Sheet!O"&amp;21+$D$5)</f>
        <v/>
      </c>
      <c r="O21" s="49" t="str">
        <f ca="1">INDIRECT("Data_Sheet!P"&amp;21+$D$5)</f>
        <v/>
      </c>
      <c r="P21" s="55"/>
      <c r="Q21" s="4"/>
      <c r="R21" s="4"/>
      <c r="U21" s="54" t="str">
        <f ca="1">INDIRECT("Data_Sheet_15_28!B"&amp;21+(MATCH(Main!$E$30,Data_Sheet_15_28!$A$11:$A$900,0)))</f>
        <v/>
      </c>
      <c r="V21" s="49" t="str">
        <f ca="1">INDIRECT("Data_Sheet_15_28!C"&amp;21+(MATCH(Main!$E$30,Data_Sheet_15_28!$A$11:$A$900,0)))</f>
        <v/>
      </c>
      <c r="W21" s="49" t="str">
        <f ca="1">INDIRECT("Data_Sheet_15_28!D"&amp;21+(MATCH(Main!$E$30,Data_Sheet_15_28!$A$11:$A$900,0)))</f>
        <v/>
      </c>
      <c r="X21" s="49" t="str">
        <f ca="1">INDIRECT("Data_Sheet_15_28!E"&amp;21+(MATCH(Main!$E$30,Data_Sheet_15_28!$A$11:$A$900,0)))</f>
        <v/>
      </c>
      <c r="Y21" s="49" t="str">
        <f ca="1">INDIRECT("Data_Sheet_15_28!F"&amp;21+(MATCH(Main!$E$30,Data_Sheet_15_28!$A$11:$A$900,0)))</f>
        <v/>
      </c>
      <c r="Z21" s="49" t="str">
        <f ca="1">INDIRECT("Data_Sheet_15_28!G"&amp;21+(MATCH(Main!$E$30,Data_Sheet_15_28!$A$11:$A$900,0)))</f>
        <v/>
      </c>
      <c r="AA21" s="49" t="str">
        <f ca="1">INDIRECT("Data_Sheet_15_28!H"&amp;21+(MATCH(Main!$E$30,Data_Sheet_15_28!$A$11:$A$900,0)))</f>
        <v/>
      </c>
      <c r="AB21" s="49" t="str">
        <f ca="1">INDIRECT("Data_Sheet_15_28!I"&amp;21+(MATCH(Main!$E$30,Data_Sheet_15_28!$A$11:$A$900,0)))</f>
        <v/>
      </c>
      <c r="AC21" s="49" t="str">
        <f ca="1">INDIRECT("Data_Sheet_15_28!J"&amp;21+(MATCH(Main!$E$30,Data_Sheet_15_28!$A$11:$A$900,0)))</f>
        <v/>
      </c>
      <c r="AD21" s="49" t="str">
        <f ca="1">INDIRECT("Data_Sheet_15_28!K"&amp;21+(MATCH(Main!$E$30,Data_Sheet_15_28!$A$11:$A$900,0)))</f>
        <v/>
      </c>
      <c r="AE21" s="49" t="str">
        <f ca="1">INDIRECT("Data_Sheet_15_28!L"&amp;21+(MATCH(Main!$E$30,Data_Sheet_15_28!$A$11:$A$900,0)))</f>
        <v/>
      </c>
      <c r="AF21" s="49" t="str">
        <f ca="1">INDIRECT("Data_Sheet_15_28!M"&amp;21+(MATCH(Main!$E$30,Data_Sheet_15_28!$A$11:$A$900,0)))</f>
        <v/>
      </c>
      <c r="AG21" s="49" t="str">
        <f ca="1">INDIRECT("Data_Sheet_15_28!N"&amp;21+(MATCH(Main!$E$30,Data_Sheet_15_28!$A$11:$A$900,0)))</f>
        <v/>
      </c>
      <c r="AH21" s="49" t="str">
        <f ca="1">INDIRECT("Data_Sheet_15_28!O"&amp;21+(MATCH(Main!$E$30,Data_Sheet_15_28!$A$11:$A$900,0)))</f>
        <v/>
      </c>
      <c r="AI21" s="49" t="str">
        <f ca="1">INDIRECT("Data_Sheet_15_28!P"&amp;21+(MATCH(Main!$E$30,Data_Sheet_15_28!$A$11:$A$900,0)))</f>
        <v/>
      </c>
      <c r="AO21" s="54" t="str">
        <f ca="1">INDIRECT("Data_Sheet_29_40!B"&amp;21+(MATCH(Main!$E$30,Data_Sheet_29_40!$A$11:$A$900,0)))</f>
        <v/>
      </c>
      <c r="AP21" s="49">
        <f ca="1">INDIRECT("Data_Sheet_29_40!C"&amp;21+(MATCH(Main!$E$30,Data_Sheet_29_40!$A$11:$A$900,0)))</f>
        <v>0</v>
      </c>
      <c r="AQ21" s="49">
        <f ca="1">INDIRECT("Data_Sheet_29_40!D"&amp;21+(MATCH(Main!$E$30,Data_Sheet_29_40!$A$11:$A$900,0)))</f>
        <v>0</v>
      </c>
      <c r="AR21" s="49">
        <f ca="1">INDIRECT("Data_Sheet_29_40!E"&amp;21+(MATCH(Main!$E$30,Data_Sheet_29_40!$A$11:$A$900,0)))</f>
        <v>0</v>
      </c>
      <c r="AS21" s="49">
        <f ca="1">INDIRECT("Data_Sheet_29_40!F"&amp;21+(MATCH(Main!$E$30,Data_Sheet_29_40!$A$11:$A$900,0)))</f>
        <v>0</v>
      </c>
      <c r="AT21" s="49">
        <f ca="1">INDIRECT("Data_Sheet_29_40!G"&amp;21+(MATCH(Main!$E$30,Data_Sheet_29_40!$A$11:$A$900,0)))</f>
        <v>0</v>
      </c>
      <c r="AU21" s="49">
        <f ca="1">INDIRECT("Data_Sheet_29_40!H"&amp;21+(MATCH(Main!$E$30,Data_Sheet_29_40!$A$11:$A$900,0)))</f>
        <v>0</v>
      </c>
      <c r="AV21" s="49">
        <f ca="1">INDIRECT("Data_Sheet_29_40!I"&amp;21+(MATCH(Main!$E$30,Data_Sheet_29_40!$A$11:$A$900,0)))</f>
        <v>0</v>
      </c>
      <c r="AW21" s="49">
        <f ca="1">INDIRECT("Data_Sheet_29_40!J"&amp;21+(MATCH(Main!$E$30,Data_Sheet_29_40!$A$11:$A$900,0)))</f>
        <v>0</v>
      </c>
      <c r="AX21" s="49">
        <f ca="1">INDIRECT("Data_Sheet_29_40!K"&amp;21+(MATCH(Main!$E$30,Data_Sheet_29_40!$A$11:$A$900,0)))</f>
        <v>0</v>
      </c>
      <c r="AY21" s="49">
        <f ca="1">INDIRECT("Data_Sheet_29_40!L"&amp;21+(MATCH(Main!$E$30,Data_Sheet_29_40!$A$11:$A$900,0)))</f>
        <v>0</v>
      </c>
      <c r="AZ21" s="49">
        <f ca="1">INDIRECT("Data_Sheet_29_40!M"&amp;21+(MATCH(Main!$E$30,Data_Sheet_29_40!$A$11:$A$900,0)))</f>
        <v>0</v>
      </c>
      <c r="BA21" s="49">
        <f ca="1">INDIRECT("Data_Sheet_29_40!N"&amp;21+(MATCH(Main!$E$30,Data_Sheet_29_40!$A$11:$A$900,0)))</f>
        <v>0</v>
      </c>
    </row>
    <row r="22" spans="1:55" ht="15" x14ac:dyDescent="0.25">
      <c r="A22" s="54" t="str">
        <f ca="1">INDIRECT("Data_Sheet!B"&amp;22+$D$5)</f>
        <v/>
      </c>
      <c r="B22" s="49" t="str">
        <f ca="1">INDIRECT("Data_Sheet!C"&amp;22+$D$5)</f>
        <v/>
      </c>
      <c r="C22" s="49" t="str">
        <f ca="1">INDIRECT("Data_Sheet!D"&amp;22+$D$5)</f>
        <v/>
      </c>
      <c r="D22" s="49" t="str">
        <f ca="1">INDIRECT("Data_Sheet!E"&amp;22+$D$5)</f>
        <v/>
      </c>
      <c r="E22" s="49" t="str">
        <f ca="1">INDIRECT("Data_Sheet!F"&amp;22+$D$5)</f>
        <v/>
      </c>
      <c r="F22" s="49" t="str">
        <f ca="1">INDIRECT("Data_Sheet!G"&amp;22+$D$5)</f>
        <v/>
      </c>
      <c r="G22" s="49" t="str">
        <f ca="1">INDIRECT("Data_Sheet!H"&amp;22+$D$5)</f>
        <v/>
      </c>
      <c r="H22" s="49" t="str">
        <f ca="1">INDIRECT("Data_Sheet!I"&amp;22+$D$5)</f>
        <v/>
      </c>
      <c r="I22" s="49" t="str">
        <f ca="1">INDIRECT("Data_Sheet!J"&amp;22+$D$5)</f>
        <v/>
      </c>
      <c r="J22" s="49" t="str">
        <f ca="1">INDIRECT("Data_Sheet!K"&amp;22+$D$5)</f>
        <v/>
      </c>
      <c r="K22" s="49" t="str">
        <f ca="1">INDIRECT("Data_Sheet!L"&amp;22+$D$5)</f>
        <v/>
      </c>
      <c r="L22" s="49" t="str">
        <f ca="1">INDIRECT("Data_Sheet!M"&amp;22+$D$5)</f>
        <v/>
      </c>
      <c r="M22" s="49" t="str">
        <f ca="1">INDIRECT("Data_Sheet!N"&amp;22+$D$5)</f>
        <v/>
      </c>
      <c r="N22" s="49" t="str">
        <f ca="1">INDIRECT("Data_Sheet!O"&amp;22+$D$5)</f>
        <v/>
      </c>
      <c r="O22" s="49" t="str">
        <f ca="1">INDIRECT("Data_Sheet!P"&amp;22+$D$5)</f>
        <v/>
      </c>
      <c r="P22" s="55"/>
      <c r="Q22" s="4"/>
      <c r="R22" s="4"/>
      <c r="U22" s="54" t="str">
        <f ca="1">INDIRECT("Data_Sheet_15_28!B"&amp;22+(MATCH(Main!$E$30,Data_Sheet_15_28!$A$11:$A$900,0)))</f>
        <v/>
      </c>
      <c r="V22" s="49" t="str">
        <f ca="1">INDIRECT("Data_Sheet_15_28!C"&amp;22+(MATCH(Main!$E$30,Data_Sheet_15_28!$A$11:$A$900,0)))</f>
        <v/>
      </c>
      <c r="W22" s="49" t="str">
        <f ca="1">INDIRECT("Data_Sheet_15_28!D"&amp;22+(MATCH(Main!$E$30,Data_Sheet_15_28!$A$11:$A$900,0)))</f>
        <v/>
      </c>
      <c r="X22" s="49" t="str">
        <f ca="1">INDIRECT("Data_Sheet_15_28!E"&amp;22+(MATCH(Main!$E$30,Data_Sheet_15_28!$A$11:$A$900,0)))</f>
        <v/>
      </c>
      <c r="Y22" s="49" t="str">
        <f ca="1">INDIRECT("Data_Sheet_15_28!F"&amp;22+(MATCH(Main!$E$30,Data_Sheet_15_28!$A$11:$A$900,0)))</f>
        <v/>
      </c>
      <c r="Z22" s="49" t="str">
        <f ca="1">INDIRECT("Data_Sheet_15_28!G"&amp;22+(MATCH(Main!$E$30,Data_Sheet_15_28!$A$11:$A$900,0)))</f>
        <v/>
      </c>
      <c r="AA22" s="49" t="str">
        <f ca="1">INDIRECT("Data_Sheet_15_28!H"&amp;22+(MATCH(Main!$E$30,Data_Sheet_15_28!$A$11:$A$900,0)))</f>
        <v/>
      </c>
      <c r="AB22" s="49" t="str">
        <f ca="1">INDIRECT("Data_Sheet_15_28!I"&amp;22+(MATCH(Main!$E$30,Data_Sheet_15_28!$A$11:$A$900,0)))</f>
        <v/>
      </c>
      <c r="AC22" s="49" t="str">
        <f ca="1">INDIRECT("Data_Sheet_15_28!J"&amp;22+(MATCH(Main!$E$30,Data_Sheet_15_28!$A$11:$A$900,0)))</f>
        <v/>
      </c>
      <c r="AD22" s="49" t="str">
        <f ca="1">INDIRECT("Data_Sheet_15_28!K"&amp;22+(MATCH(Main!$E$30,Data_Sheet_15_28!$A$11:$A$900,0)))</f>
        <v/>
      </c>
      <c r="AE22" s="49" t="str">
        <f ca="1">INDIRECT("Data_Sheet_15_28!L"&amp;22+(MATCH(Main!$E$30,Data_Sheet_15_28!$A$11:$A$900,0)))</f>
        <v/>
      </c>
      <c r="AF22" s="49" t="str">
        <f ca="1">INDIRECT("Data_Sheet_15_28!M"&amp;22+(MATCH(Main!$E$30,Data_Sheet_15_28!$A$11:$A$900,0)))</f>
        <v/>
      </c>
      <c r="AG22" s="49" t="str">
        <f ca="1">INDIRECT("Data_Sheet_15_28!N"&amp;22+(MATCH(Main!$E$30,Data_Sheet_15_28!$A$11:$A$900,0)))</f>
        <v/>
      </c>
      <c r="AH22" s="49" t="str">
        <f ca="1">INDIRECT("Data_Sheet_15_28!O"&amp;22+(MATCH(Main!$E$30,Data_Sheet_15_28!$A$11:$A$900,0)))</f>
        <v/>
      </c>
      <c r="AI22" s="49" t="str">
        <f ca="1">INDIRECT("Data_Sheet_15_28!P"&amp;22+(MATCH(Main!$E$30,Data_Sheet_15_28!$A$11:$A$900,0)))</f>
        <v/>
      </c>
      <c r="AO22" s="54" t="str">
        <f ca="1">INDIRECT("Data_Sheet_29_40!B"&amp;22+(MATCH(Main!$E$30,Data_Sheet_29_40!$A$11:$A$900,0)))</f>
        <v/>
      </c>
      <c r="AP22" s="49">
        <f ca="1">INDIRECT("Data_Sheet_29_40!C"&amp;22+(MATCH(Main!$E$30,Data_Sheet_29_40!$A$11:$A$900,0)))</f>
        <v>0</v>
      </c>
      <c r="AQ22" s="49">
        <f ca="1">INDIRECT("Data_Sheet_29_40!D"&amp;22+(MATCH(Main!$E$30,Data_Sheet_29_40!$A$11:$A$900,0)))</f>
        <v>0</v>
      </c>
      <c r="AR22" s="49">
        <f ca="1">INDIRECT("Data_Sheet_29_40!E"&amp;22+(MATCH(Main!$E$30,Data_Sheet_29_40!$A$11:$A$900,0)))</f>
        <v>0</v>
      </c>
      <c r="AS22" s="49">
        <f ca="1">INDIRECT("Data_Sheet_29_40!F"&amp;22+(MATCH(Main!$E$30,Data_Sheet_29_40!$A$11:$A$900,0)))</f>
        <v>0</v>
      </c>
      <c r="AT22" s="49">
        <f ca="1">INDIRECT("Data_Sheet_29_40!G"&amp;22+(MATCH(Main!$E$30,Data_Sheet_29_40!$A$11:$A$900,0)))</f>
        <v>0</v>
      </c>
      <c r="AU22" s="49">
        <f ca="1">INDIRECT("Data_Sheet_29_40!H"&amp;22+(MATCH(Main!$E$30,Data_Sheet_29_40!$A$11:$A$900,0)))</f>
        <v>0</v>
      </c>
      <c r="AV22" s="49">
        <f ca="1">INDIRECT("Data_Sheet_29_40!I"&amp;22+(MATCH(Main!$E$30,Data_Sheet_29_40!$A$11:$A$900,0)))</f>
        <v>0</v>
      </c>
      <c r="AW22" s="49">
        <f ca="1">INDIRECT("Data_Sheet_29_40!J"&amp;22+(MATCH(Main!$E$30,Data_Sheet_29_40!$A$11:$A$900,0)))</f>
        <v>0</v>
      </c>
      <c r="AX22" s="49">
        <f ca="1">INDIRECT("Data_Sheet_29_40!K"&amp;22+(MATCH(Main!$E$30,Data_Sheet_29_40!$A$11:$A$900,0)))</f>
        <v>0</v>
      </c>
      <c r="AY22" s="49">
        <f ca="1">INDIRECT("Data_Sheet_29_40!L"&amp;22+(MATCH(Main!$E$30,Data_Sheet_29_40!$A$11:$A$900,0)))</f>
        <v>0</v>
      </c>
      <c r="AZ22" s="49">
        <f ca="1">INDIRECT("Data_Sheet_29_40!M"&amp;22+(MATCH(Main!$E$30,Data_Sheet_29_40!$A$11:$A$900,0)))</f>
        <v>0</v>
      </c>
      <c r="BA22" s="49">
        <f ca="1">INDIRECT("Data_Sheet_29_40!N"&amp;22+(MATCH(Main!$E$30,Data_Sheet_29_40!$A$11:$A$900,0)))</f>
        <v>0</v>
      </c>
    </row>
    <row r="23" spans="1:55" ht="15" x14ac:dyDescent="0.25">
      <c r="A23" s="54" t="str">
        <f ca="1">INDIRECT("Data_Sheet!B"&amp;23+$D$5)</f>
        <v/>
      </c>
      <c r="B23" s="49" t="str">
        <f ca="1">INDIRECT("Data_Sheet!C"&amp;23+$D$5)</f>
        <v/>
      </c>
      <c r="C23" s="49" t="str">
        <f ca="1">INDIRECT("Data_Sheet!D"&amp;23+$D$5)</f>
        <v/>
      </c>
      <c r="D23" s="49" t="str">
        <f ca="1">INDIRECT("Data_Sheet!E"&amp;23+$D$5)</f>
        <v/>
      </c>
      <c r="E23" s="49" t="str">
        <f ca="1">INDIRECT("Data_Sheet!F"&amp;23+$D$5)</f>
        <v/>
      </c>
      <c r="F23" s="49" t="str">
        <f ca="1">INDIRECT("Data_Sheet!G"&amp;23+$D$5)</f>
        <v/>
      </c>
      <c r="G23" s="49" t="str">
        <f ca="1">INDIRECT("Data_Sheet!H"&amp;23+$D$5)</f>
        <v/>
      </c>
      <c r="H23" s="49" t="str">
        <f ca="1">INDIRECT("Data_Sheet!I"&amp;23+$D$5)</f>
        <v/>
      </c>
      <c r="I23" s="49" t="str">
        <f ca="1">INDIRECT("Data_Sheet!J"&amp;23+$D$5)</f>
        <v/>
      </c>
      <c r="J23" s="49" t="str">
        <f ca="1">INDIRECT("Data_Sheet!K"&amp;23+$D$5)</f>
        <v/>
      </c>
      <c r="K23" s="49" t="str">
        <f ca="1">INDIRECT("Data_Sheet!L"&amp;23+$D$5)</f>
        <v/>
      </c>
      <c r="L23" s="49" t="str">
        <f ca="1">INDIRECT("Data_Sheet!M"&amp;23+$D$5)</f>
        <v/>
      </c>
      <c r="M23" s="49" t="str">
        <f ca="1">INDIRECT("Data_Sheet!N"&amp;23+$D$5)</f>
        <v/>
      </c>
      <c r="N23" s="49" t="str">
        <f ca="1">INDIRECT("Data_Sheet!O"&amp;23+$D$5)</f>
        <v/>
      </c>
      <c r="O23" s="49" t="str">
        <f ca="1">INDIRECT("Data_Sheet!P"&amp;23+$D$5)</f>
        <v/>
      </c>
      <c r="P23" s="55"/>
      <c r="Q23" s="4"/>
      <c r="R23" s="4"/>
      <c r="U23" s="54" t="str">
        <f ca="1">INDIRECT("Data_Sheet_15_28!B"&amp;23+(MATCH(Main!$E$30,Data_Sheet_15_28!$A$11:$A$900,0)))</f>
        <v/>
      </c>
      <c r="V23" s="49" t="str">
        <f ca="1">INDIRECT("Data_Sheet_15_28!C"&amp;23+(MATCH(Main!$E$30,Data_Sheet_15_28!$A$11:$A$900,0)))</f>
        <v/>
      </c>
      <c r="W23" s="49" t="str">
        <f ca="1">INDIRECT("Data_Sheet_15_28!D"&amp;23+(MATCH(Main!$E$30,Data_Sheet_15_28!$A$11:$A$900,0)))</f>
        <v/>
      </c>
      <c r="X23" s="49" t="str">
        <f ca="1">INDIRECT("Data_Sheet_15_28!E"&amp;23+(MATCH(Main!$E$30,Data_Sheet_15_28!$A$11:$A$900,0)))</f>
        <v/>
      </c>
      <c r="Y23" s="49" t="str">
        <f ca="1">INDIRECT("Data_Sheet_15_28!F"&amp;23+(MATCH(Main!$E$30,Data_Sheet_15_28!$A$11:$A$900,0)))</f>
        <v/>
      </c>
      <c r="Z23" s="49" t="str">
        <f ca="1">INDIRECT("Data_Sheet_15_28!G"&amp;23+(MATCH(Main!$E$30,Data_Sheet_15_28!$A$11:$A$900,0)))</f>
        <v/>
      </c>
      <c r="AA23" s="49" t="str">
        <f ca="1">INDIRECT("Data_Sheet_15_28!H"&amp;23+(MATCH(Main!$E$30,Data_Sheet_15_28!$A$11:$A$900,0)))</f>
        <v/>
      </c>
      <c r="AB23" s="49" t="str">
        <f ca="1">INDIRECT("Data_Sheet_15_28!I"&amp;23+(MATCH(Main!$E$30,Data_Sheet_15_28!$A$11:$A$900,0)))</f>
        <v/>
      </c>
      <c r="AC23" s="49" t="str">
        <f ca="1">INDIRECT("Data_Sheet_15_28!J"&amp;23+(MATCH(Main!$E$30,Data_Sheet_15_28!$A$11:$A$900,0)))</f>
        <v/>
      </c>
      <c r="AD23" s="49" t="str">
        <f ca="1">INDIRECT("Data_Sheet_15_28!K"&amp;23+(MATCH(Main!$E$30,Data_Sheet_15_28!$A$11:$A$900,0)))</f>
        <v/>
      </c>
      <c r="AE23" s="49" t="str">
        <f ca="1">INDIRECT("Data_Sheet_15_28!L"&amp;23+(MATCH(Main!$E$30,Data_Sheet_15_28!$A$11:$A$900,0)))</f>
        <v/>
      </c>
      <c r="AF23" s="49" t="str">
        <f ca="1">INDIRECT("Data_Sheet_15_28!M"&amp;23+(MATCH(Main!$E$30,Data_Sheet_15_28!$A$11:$A$900,0)))</f>
        <v/>
      </c>
      <c r="AG23" s="49" t="str">
        <f ca="1">INDIRECT("Data_Sheet_15_28!N"&amp;23+(MATCH(Main!$E$30,Data_Sheet_15_28!$A$11:$A$900,0)))</f>
        <v/>
      </c>
      <c r="AH23" s="49" t="str">
        <f ca="1">INDIRECT("Data_Sheet_15_28!O"&amp;23+(MATCH(Main!$E$30,Data_Sheet_15_28!$A$11:$A$900,0)))</f>
        <v/>
      </c>
      <c r="AI23" s="49" t="str">
        <f ca="1">INDIRECT("Data_Sheet_15_28!P"&amp;23+(MATCH(Main!$E$30,Data_Sheet_15_28!$A$11:$A$900,0)))</f>
        <v/>
      </c>
      <c r="AO23" s="54" t="str">
        <f ca="1">INDIRECT("Data_Sheet_29_40!B"&amp;23+(MATCH(Main!$E$30,Data_Sheet_29_40!$A$11:$A$900,0)))</f>
        <v/>
      </c>
      <c r="AP23" s="49">
        <f ca="1">INDIRECT("Data_Sheet_29_40!C"&amp;23+(MATCH(Main!$E$30,Data_Sheet_29_40!$A$11:$A$900,0)))</f>
        <v>0</v>
      </c>
      <c r="AQ23" s="49">
        <f ca="1">INDIRECT("Data_Sheet_29_40!D"&amp;23+(MATCH(Main!$E$30,Data_Sheet_29_40!$A$11:$A$900,0)))</f>
        <v>0</v>
      </c>
      <c r="AR23" s="49">
        <f ca="1">INDIRECT("Data_Sheet_29_40!E"&amp;23+(MATCH(Main!$E$30,Data_Sheet_29_40!$A$11:$A$900,0)))</f>
        <v>0</v>
      </c>
      <c r="AS23" s="49">
        <f ca="1">INDIRECT("Data_Sheet_29_40!F"&amp;23+(MATCH(Main!$E$30,Data_Sheet_29_40!$A$11:$A$900,0)))</f>
        <v>0</v>
      </c>
      <c r="AT23" s="49">
        <f ca="1">INDIRECT("Data_Sheet_29_40!G"&amp;23+(MATCH(Main!$E$30,Data_Sheet_29_40!$A$11:$A$900,0)))</f>
        <v>0</v>
      </c>
      <c r="AU23" s="49">
        <f ca="1">INDIRECT("Data_Sheet_29_40!H"&amp;23+(MATCH(Main!$E$30,Data_Sheet_29_40!$A$11:$A$900,0)))</f>
        <v>0</v>
      </c>
      <c r="AV23" s="49">
        <f ca="1">INDIRECT("Data_Sheet_29_40!I"&amp;23+(MATCH(Main!$E$30,Data_Sheet_29_40!$A$11:$A$900,0)))</f>
        <v>0</v>
      </c>
      <c r="AW23" s="49">
        <f ca="1">INDIRECT("Data_Sheet_29_40!J"&amp;23+(MATCH(Main!$E$30,Data_Sheet_29_40!$A$11:$A$900,0)))</f>
        <v>0</v>
      </c>
      <c r="AX23" s="49">
        <f ca="1">INDIRECT("Data_Sheet_29_40!K"&amp;23+(MATCH(Main!$E$30,Data_Sheet_29_40!$A$11:$A$900,0)))</f>
        <v>0</v>
      </c>
      <c r="AY23" s="49">
        <f ca="1">INDIRECT("Data_Sheet_29_40!L"&amp;23+(MATCH(Main!$E$30,Data_Sheet_29_40!$A$11:$A$900,0)))</f>
        <v>0</v>
      </c>
      <c r="AZ23" s="49">
        <f ca="1">INDIRECT("Data_Sheet_29_40!M"&amp;23+(MATCH(Main!$E$30,Data_Sheet_29_40!$A$11:$A$900,0)))</f>
        <v>0</v>
      </c>
      <c r="BA23" s="49">
        <f ca="1">INDIRECT("Data_Sheet_29_40!N"&amp;23+(MATCH(Main!$E$30,Data_Sheet_29_40!$A$11:$A$900,0)))</f>
        <v>0</v>
      </c>
    </row>
    <row r="24" spans="1:55" ht="15" x14ac:dyDescent="0.25">
      <c r="A24" s="54" t="str">
        <f ca="1">INDIRECT("Data_Sheet!B"&amp;24+$D$5)</f>
        <v/>
      </c>
      <c r="B24" s="49" t="str">
        <f ca="1">INDIRECT("Data_Sheet!C"&amp;24+$D$5)</f>
        <v/>
      </c>
      <c r="C24" s="49" t="str">
        <f ca="1">INDIRECT("Data_Sheet!D"&amp;24+$D$5)</f>
        <v/>
      </c>
      <c r="D24" s="49" t="str">
        <f ca="1">INDIRECT("Data_Sheet!E"&amp;24+$D$5)</f>
        <v/>
      </c>
      <c r="E24" s="49" t="str">
        <f ca="1">INDIRECT("Data_Sheet!F"&amp;24+$D$5)</f>
        <v/>
      </c>
      <c r="F24" s="49" t="str">
        <f ca="1">INDIRECT("Data_Sheet!G"&amp;24+$D$5)</f>
        <v/>
      </c>
      <c r="G24" s="49" t="str">
        <f ca="1">INDIRECT("Data_Sheet!H"&amp;24+$D$5)</f>
        <v/>
      </c>
      <c r="H24" s="49" t="str">
        <f ca="1">INDIRECT("Data_Sheet!I"&amp;24+$D$5)</f>
        <v/>
      </c>
      <c r="I24" s="49" t="str">
        <f ca="1">INDIRECT("Data_Sheet!J"&amp;24+$D$5)</f>
        <v/>
      </c>
      <c r="J24" s="49" t="str">
        <f ca="1">INDIRECT("Data_Sheet!K"&amp;24+$D$5)</f>
        <v/>
      </c>
      <c r="K24" s="49" t="str">
        <f ca="1">INDIRECT("Data_Sheet!L"&amp;24+$D$5)</f>
        <v/>
      </c>
      <c r="L24" s="49" t="str">
        <f ca="1">INDIRECT("Data_Sheet!M"&amp;24+$D$5)</f>
        <v/>
      </c>
      <c r="M24" s="49" t="str">
        <f ca="1">INDIRECT("Data_Sheet!N"&amp;24+$D$5)</f>
        <v/>
      </c>
      <c r="N24" s="49" t="str">
        <f ca="1">INDIRECT("Data_Sheet!O"&amp;24+$D$5)</f>
        <v/>
      </c>
      <c r="O24" s="49" t="str">
        <f ca="1">INDIRECT("Data_Sheet!P"&amp;24+$D$5)</f>
        <v/>
      </c>
      <c r="P24" s="55"/>
      <c r="Q24" s="4"/>
      <c r="R24" s="4"/>
      <c r="U24" s="54" t="str">
        <f ca="1">INDIRECT("Data_Sheet_15_28!B"&amp;24+(MATCH(Main!$E$30,Data_Sheet_15_28!$A$11:$A$900,0)))</f>
        <v/>
      </c>
      <c r="V24" s="49" t="str">
        <f ca="1">INDIRECT("Data_Sheet_15_28!C"&amp;24+(MATCH(Main!$E$30,Data_Sheet_15_28!$A$11:$A$900,0)))</f>
        <v/>
      </c>
      <c r="W24" s="49" t="str">
        <f ca="1">INDIRECT("Data_Sheet_15_28!D"&amp;24+(MATCH(Main!$E$30,Data_Sheet_15_28!$A$11:$A$900,0)))</f>
        <v/>
      </c>
      <c r="X24" s="49" t="str">
        <f ca="1">INDIRECT("Data_Sheet_15_28!E"&amp;24+(MATCH(Main!$E$30,Data_Sheet_15_28!$A$11:$A$900,0)))</f>
        <v/>
      </c>
      <c r="Y24" s="49" t="str">
        <f ca="1">INDIRECT("Data_Sheet_15_28!F"&amp;24+(MATCH(Main!$E$30,Data_Sheet_15_28!$A$11:$A$900,0)))</f>
        <v/>
      </c>
      <c r="Z24" s="49" t="str">
        <f ca="1">INDIRECT("Data_Sheet_15_28!G"&amp;24+(MATCH(Main!$E$30,Data_Sheet_15_28!$A$11:$A$900,0)))</f>
        <v/>
      </c>
      <c r="AA24" s="49" t="str">
        <f ca="1">INDIRECT("Data_Sheet_15_28!H"&amp;24+(MATCH(Main!$E$30,Data_Sheet_15_28!$A$11:$A$900,0)))</f>
        <v/>
      </c>
      <c r="AB24" s="49" t="str">
        <f ca="1">INDIRECT("Data_Sheet_15_28!I"&amp;24+(MATCH(Main!$E$30,Data_Sheet_15_28!$A$11:$A$900,0)))</f>
        <v/>
      </c>
      <c r="AC24" s="49" t="str">
        <f ca="1">INDIRECT("Data_Sheet_15_28!J"&amp;24+(MATCH(Main!$E$30,Data_Sheet_15_28!$A$11:$A$900,0)))</f>
        <v/>
      </c>
      <c r="AD24" s="49" t="str">
        <f ca="1">INDIRECT("Data_Sheet_15_28!K"&amp;24+(MATCH(Main!$E$30,Data_Sheet_15_28!$A$11:$A$900,0)))</f>
        <v/>
      </c>
      <c r="AE24" s="49" t="str">
        <f ca="1">INDIRECT("Data_Sheet_15_28!L"&amp;24+(MATCH(Main!$E$30,Data_Sheet_15_28!$A$11:$A$900,0)))</f>
        <v/>
      </c>
      <c r="AF24" s="49" t="str">
        <f ca="1">INDIRECT("Data_Sheet_15_28!M"&amp;24+(MATCH(Main!$E$30,Data_Sheet_15_28!$A$11:$A$900,0)))</f>
        <v/>
      </c>
      <c r="AG24" s="49" t="str">
        <f ca="1">INDIRECT("Data_Sheet_15_28!N"&amp;24+(MATCH(Main!$E$30,Data_Sheet_15_28!$A$11:$A$900,0)))</f>
        <v/>
      </c>
      <c r="AH24" s="49" t="str">
        <f ca="1">INDIRECT("Data_Sheet_15_28!O"&amp;24+(MATCH(Main!$E$30,Data_Sheet_15_28!$A$11:$A$900,0)))</f>
        <v/>
      </c>
      <c r="AI24" s="49" t="str">
        <f ca="1">INDIRECT("Data_Sheet_15_28!P"&amp;24+(MATCH(Main!$E$30,Data_Sheet_15_28!$A$11:$A$900,0)))</f>
        <v/>
      </c>
      <c r="AO24" s="54" t="str">
        <f ca="1">INDIRECT("Data_Sheet_29_40!B"&amp;24+(MATCH(Main!$E$30,Data_Sheet_29_40!$A$11:$A$900,0)))</f>
        <v/>
      </c>
      <c r="AP24" s="49">
        <f ca="1">INDIRECT("Data_Sheet_29_40!C"&amp;24+(MATCH(Main!$E$30,Data_Sheet_29_40!$A$11:$A$900,0)))</f>
        <v>0</v>
      </c>
      <c r="AQ24" s="49">
        <f ca="1">INDIRECT("Data_Sheet_29_40!D"&amp;24+(MATCH(Main!$E$30,Data_Sheet_29_40!$A$11:$A$900,0)))</f>
        <v>0</v>
      </c>
      <c r="AR24" s="49">
        <f ca="1">INDIRECT("Data_Sheet_29_40!E"&amp;24+(MATCH(Main!$E$30,Data_Sheet_29_40!$A$11:$A$900,0)))</f>
        <v>0</v>
      </c>
      <c r="AS24" s="49">
        <f ca="1">INDIRECT("Data_Sheet_29_40!F"&amp;24+(MATCH(Main!$E$30,Data_Sheet_29_40!$A$11:$A$900,0)))</f>
        <v>0</v>
      </c>
      <c r="AT24" s="49">
        <f ca="1">INDIRECT("Data_Sheet_29_40!G"&amp;24+(MATCH(Main!$E$30,Data_Sheet_29_40!$A$11:$A$900,0)))</f>
        <v>0</v>
      </c>
      <c r="AU24" s="49">
        <f ca="1">INDIRECT("Data_Sheet_29_40!H"&amp;24+(MATCH(Main!$E$30,Data_Sheet_29_40!$A$11:$A$900,0)))</f>
        <v>0</v>
      </c>
      <c r="AV24" s="49">
        <f ca="1">INDIRECT("Data_Sheet_29_40!I"&amp;24+(MATCH(Main!$E$30,Data_Sheet_29_40!$A$11:$A$900,0)))</f>
        <v>0</v>
      </c>
      <c r="AW24" s="49">
        <f ca="1">INDIRECT("Data_Sheet_29_40!J"&amp;24+(MATCH(Main!$E$30,Data_Sheet_29_40!$A$11:$A$900,0)))</f>
        <v>0</v>
      </c>
      <c r="AX24" s="49">
        <f ca="1">INDIRECT("Data_Sheet_29_40!K"&amp;24+(MATCH(Main!$E$30,Data_Sheet_29_40!$A$11:$A$900,0)))</f>
        <v>0</v>
      </c>
      <c r="AY24" s="49">
        <f ca="1">INDIRECT("Data_Sheet_29_40!L"&amp;24+(MATCH(Main!$E$30,Data_Sheet_29_40!$A$11:$A$900,0)))</f>
        <v>0</v>
      </c>
      <c r="AZ24" s="49">
        <f ca="1">INDIRECT("Data_Sheet_29_40!M"&amp;24+(MATCH(Main!$E$30,Data_Sheet_29_40!$A$11:$A$900,0)))</f>
        <v>0</v>
      </c>
      <c r="BA24" s="49">
        <f ca="1">INDIRECT("Data_Sheet_29_40!N"&amp;24+(MATCH(Main!$E$30,Data_Sheet_29_40!$A$11:$A$900,0)))</f>
        <v>0</v>
      </c>
    </row>
    <row r="25" spans="1:55" ht="15" x14ac:dyDescent="0.25">
      <c r="A25" s="54" t="str">
        <f ca="1">INDIRECT("Data_Sheet!B"&amp;25+$D$5)</f>
        <v/>
      </c>
      <c r="B25" s="49" t="str">
        <f ca="1">INDIRECT("Data_Sheet!C"&amp;25+$D$5)</f>
        <v/>
      </c>
      <c r="C25" s="49" t="str">
        <f ca="1">INDIRECT("Data_Sheet!D"&amp;25+$D$5)</f>
        <v/>
      </c>
      <c r="D25" s="49" t="str">
        <f ca="1">INDIRECT("Data_Sheet!E"&amp;25+$D$5)</f>
        <v/>
      </c>
      <c r="E25" s="49" t="str">
        <f ca="1">INDIRECT("Data_Sheet!F"&amp;25+$D$5)</f>
        <v/>
      </c>
      <c r="F25" s="49" t="str">
        <f ca="1">INDIRECT("Data_Sheet!G"&amp;25+$D$5)</f>
        <v/>
      </c>
      <c r="G25" s="49" t="str">
        <f ca="1">INDIRECT("Data_Sheet!H"&amp;25+$D$5)</f>
        <v/>
      </c>
      <c r="H25" s="49" t="str">
        <f ca="1">INDIRECT("Data_Sheet!I"&amp;25+$D$5)</f>
        <v/>
      </c>
      <c r="I25" s="49" t="str">
        <f ca="1">INDIRECT("Data_Sheet!J"&amp;25+$D$5)</f>
        <v/>
      </c>
      <c r="J25" s="49" t="str">
        <f ca="1">INDIRECT("Data_Sheet!K"&amp;25+$D$5)</f>
        <v/>
      </c>
      <c r="K25" s="49" t="str">
        <f ca="1">INDIRECT("Data_Sheet!L"&amp;25+$D$5)</f>
        <v/>
      </c>
      <c r="L25" s="49" t="str">
        <f ca="1">INDIRECT("Data_Sheet!M"&amp;25+$D$5)</f>
        <v/>
      </c>
      <c r="M25" s="49" t="str">
        <f ca="1">INDIRECT("Data_Sheet!N"&amp;25+$D$5)</f>
        <v/>
      </c>
      <c r="N25" s="49" t="str">
        <f ca="1">INDIRECT("Data_Sheet!O"&amp;25+$D$5)</f>
        <v/>
      </c>
      <c r="O25" s="49" t="str">
        <f ca="1">INDIRECT("Data_Sheet!P"&amp;25+$D$5)</f>
        <v/>
      </c>
      <c r="P25" s="55"/>
      <c r="Q25" s="4"/>
      <c r="R25" s="4"/>
      <c r="U25" s="54" t="str">
        <f ca="1">INDIRECT("Data_Sheet_15_28!B"&amp;25+(MATCH(Main!$E$30,Data_Sheet_15_28!$A$11:$A$900,0)))</f>
        <v/>
      </c>
      <c r="V25" s="49" t="str">
        <f ca="1">INDIRECT("Data_Sheet_15_28!C"&amp;25+(MATCH(Main!$E$30,Data_Sheet_15_28!$A$11:$A$900,0)))</f>
        <v/>
      </c>
      <c r="W25" s="49" t="str">
        <f ca="1">INDIRECT("Data_Sheet_15_28!D"&amp;25+(MATCH(Main!$E$30,Data_Sheet_15_28!$A$11:$A$900,0)))</f>
        <v/>
      </c>
      <c r="X25" s="49" t="str">
        <f ca="1">INDIRECT("Data_Sheet_15_28!E"&amp;25+(MATCH(Main!$E$30,Data_Sheet_15_28!$A$11:$A$900,0)))</f>
        <v/>
      </c>
      <c r="Y25" s="49" t="str">
        <f ca="1">INDIRECT("Data_Sheet_15_28!F"&amp;25+(MATCH(Main!$E$30,Data_Sheet_15_28!$A$11:$A$900,0)))</f>
        <v/>
      </c>
      <c r="Z25" s="49" t="str">
        <f ca="1">INDIRECT("Data_Sheet_15_28!G"&amp;25+(MATCH(Main!$E$30,Data_Sheet_15_28!$A$11:$A$900,0)))</f>
        <v/>
      </c>
      <c r="AA25" s="49" t="str">
        <f ca="1">INDIRECT("Data_Sheet_15_28!H"&amp;25+(MATCH(Main!$E$30,Data_Sheet_15_28!$A$11:$A$900,0)))</f>
        <v/>
      </c>
      <c r="AB25" s="49" t="str">
        <f ca="1">INDIRECT("Data_Sheet_15_28!I"&amp;25+(MATCH(Main!$E$30,Data_Sheet_15_28!$A$11:$A$900,0)))</f>
        <v/>
      </c>
      <c r="AC25" s="49" t="str">
        <f ca="1">INDIRECT("Data_Sheet_15_28!J"&amp;25+(MATCH(Main!$E$30,Data_Sheet_15_28!$A$11:$A$900,0)))</f>
        <v/>
      </c>
      <c r="AD25" s="49" t="str">
        <f ca="1">INDIRECT("Data_Sheet_15_28!K"&amp;25+(MATCH(Main!$E$30,Data_Sheet_15_28!$A$11:$A$900,0)))</f>
        <v/>
      </c>
      <c r="AE25" s="49" t="str">
        <f ca="1">INDIRECT("Data_Sheet_15_28!L"&amp;25+(MATCH(Main!$E$30,Data_Sheet_15_28!$A$11:$A$900,0)))</f>
        <v/>
      </c>
      <c r="AF25" s="49" t="str">
        <f ca="1">INDIRECT("Data_Sheet_15_28!M"&amp;25+(MATCH(Main!$E$30,Data_Sheet_15_28!$A$11:$A$900,0)))</f>
        <v/>
      </c>
      <c r="AG25" s="49" t="str">
        <f ca="1">INDIRECT("Data_Sheet_15_28!N"&amp;25+(MATCH(Main!$E$30,Data_Sheet_15_28!$A$11:$A$900,0)))</f>
        <v/>
      </c>
      <c r="AH25" s="49" t="str">
        <f ca="1">INDIRECT("Data_Sheet_15_28!O"&amp;25+(MATCH(Main!$E$30,Data_Sheet_15_28!$A$11:$A$900,0)))</f>
        <v/>
      </c>
      <c r="AI25" s="49" t="str">
        <f ca="1">INDIRECT("Data_Sheet_15_28!P"&amp;25+(MATCH(Main!$E$30,Data_Sheet_15_28!$A$11:$A$900,0)))</f>
        <v/>
      </c>
      <c r="AO25" s="54" t="str">
        <f ca="1">INDIRECT("Data_Sheet_29_40!B"&amp;25+(MATCH(Main!$E$30,Data_Sheet_29_40!$A$11:$A$900,0)))</f>
        <v/>
      </c>
      <c r="AP25" s="49">
        <f ca="1">INDIRECT("Data_Sheet_29_40!C"&amp;25+(MATCH(Main!$E$30,Data_Sheet_29_40!$A$11:$A$900,0)))</f>
        <v>0</v>
      </c>
      <c r="AQ25" s="49">
        <f ca="1">INDIRECT("Data_Sheet_29_40!D"&amp;25+(MATCH(Main!$E$30,Data_Sheet_29_40!$A$11:$A$900,0)))</f>
        <v>0</v>
      </c>
      <c r="AR25" s="49">
        <f ca="1">INDIRECT("Data_Sheet_29_40!E"&amp;25+(MATCH(Main!$E$30,Data_Sheet_29_40!$A$11:$A$900,0)))</f>
        <v>0</v>
      </c>
      <c r="AS25" s="49">
        <f ca="1">INDIRECT("Data_Sheet_29_40!F"&amp;25+(MATCH(Main!$E$30,Data_Sheet_29_40!$A$11:$A$900,0)))</f>
        <v>0</v>
      </c>
      <c r="AT25" s="49">
        <f ca="1">INDIRECT("Data_Sheet_29_40!G"&amp;25+(MATCH(Main!$E$30,Data_Sheet_29_40!$A$11:$A$900,0)))</f>
        <v>0</v>
      </c>
      <c r="AU25" s="49">
        <f ca="1">INDIRECT("Data_Sheet_29_40!H"&amp;25+(MATCH(Main!$E$30,Data_Sheet_29_40!$A$11:$A$900,0)))</f>
        <v>0</v>
      </c>
      <c r="AV25" s="49">
        <f ca="1">INDIRECT("Data_Sheet_29_40!I"&amp;25+(MATCH(Main!$E$30,Data_Sheet_29_40!$A$11:$A$900,0)))</f>
        <v>0</v>
      </c>
      <c r="AW25" s="49">
        <f ca="1">INDIRECT("Data_Sheet_29_40!J"&amp;25+(MATCH(Main!$E$30,Data_Sheet_29_40!$A$11:$A$900,0)))</f>
        <v>0</v>
      </c>
      <c r="AX25" s="49">
        <f ca="1">INDIRECT("Data_Sheet_29_40!K"&amp;25+(MATCH(Main!$E$30,Data_Sheet_29_40!$A$11:$A$900,0)))</f>
        <v>0</v>
      </c>
      <c r="AY25" s="49">
        <f ca="1">INDIRECT("Data_Sheet_29_40!L"&amp;25+(MATCH(Main!$E$30,Data_Sheet_29_40!$A$11:$A$900,0)))</f>
        <v>0</v>
      </c>
      <c r="AZ25" s="49">
        <f ca="1">INDIRECT("Data_Sheet_29_40!M"&amp;25+(MATCH(Main!$E$30,Data_Sheet_29_40!$A$11:$A$900,0)))</f>
        <v>0</v>
      </c>
      <c r="BA25" s="49">
        <f ca="1">INDIRECT("Data_Sheet_29_40!N"&amp;25+(MATCH(Main!$E$30,Data_Sheet_29_40!$A$11:$A$900,0)))</f>
        <v>0</v>
      </c>
    </row>
    <row r="26" spans="1:55" x14ac:dyDescent="0.2">
      <c r="B26" s="6"/>
      <c r="C26" s="6"/>
      <c r="D26" s="6"/>
      <c r="E26" s="6"/>
      <c r="F26" s="6"/>
      <c r="G26" s="6"/>
      <c r="H26" s="6"/>
      <c r="I26" s="6"/>
      <c r="J26" s="6"/>
      <c r="K26" s="6"/>
      <c r="L26" s="6"/>
      <c r="M26" s="6"/>
      <c r="N26" s="6"/>
      <c r="O26" s="6"/>
      <c r="P26" s="6"/>
      <c r="Q26" s="6"/>
      <c r="V26" s="3"/>
      <c r="AP26" s="3"/>
    </row>
    <row r="27" spans="1:55" ht="15" x14ac:dyDescent="0.2">
      <c r="A27" t="s">
        <v>1</v>
      </c>
      <c r="B27" s="159" t="str">
        <f t="shared" ref="B27:N27" ca="1" si="0">IF(OR(B30&gt;7,MIN(B10:B25)=0),"",MIN(B10:B25))</f>
        <v/>
      </c>
      <c r="C27" s="159" t="str">
        <f t="shared" ca="1" si="0"/>
        <v/>
      </c>
      <c r="D27" s="159" t="str">
        <f t="shared" ca="1" si="0"/>
        <v/>
      </c>
      <c r="E27" s="159" t="str">
        <f t="shared" ca="1" si="0"/>
        <v/>
      </c>
      <c r="F27" s="159" t="str">
        <f t="shared" ca="1" si="0"/>
        <v/>
      </c>
      <c r="G27" s="159" t="str">
        <f t="shared" ca="1" si="0"/>
        <v/>
      </c>
      <c r="H27" s="159" t="str">
        <f t="shared" ca="1" si="0"/>
        <v/>
      </c>
      <c r="I27" s="159" t="str">
        <f t="shared" ca="1" si="0"/>
        <v/>
      </c>
      <c r="J27" s="159" t="str">
        <f t="shared" ca="1" si="0"/>
        <v/>
      </c>
      <c r="K27" s="159" t="str">
        <f t="shared" ca="1" si="0"/>
        <v/>
      </c>
      <c r="L27" s="159" t="str">
        <f t="shared" ca="1" si="0"/>
        <v/>
      </c>
      <c r="M27" s="159" t="str">
        <f t="shared" ca="1" si="0"/>
        <v/>
      </c>
      <c r="N27" s="159" t="str">
        <f t="shared" ca="1" si="0"/>
        <v/>
      </c>
      <c r="O27" s="159" t="str">
        <f ca="1">IF(OR(O30&gt;7,MIN(O10:O25)=0),"",MIN(O10:O25))</f>
        <v/>
      </c>
      <c r="P27" s="6"/>
      <c r="Q27" s="6"/>
      <c r="U27" t="s">
        <v>1</v>
      </c>
      <c r="V27" s="159" t="str">
        <f ca="1">IF(OR(V30&gt;7,MIN(V10:V25)=0),"",MIN(V10:V25))</f>
        <v/>
      </c>
      <c r="W27" s="159" t="str">
        <f t="shared" ref="W27:AI27" ca="1" si="1">IF(OR(W30&gt;7,MIN(W10:W25)=0),"",MIN(W10:W25))</f>
        <v/>
      </c>
      <c r="X27" s="159" t="str">
        <f t="shared" ca="1" si="1"/>
        <v/>
      </c>
      <c r="Y27" s="159" t="str">
        <f t="shared" ca="1" si="1"/>
        <v/>
      </c>
      <c r="Z27" s="159" t="str">
        <f t="shared" ca="1" si="1"/>
        <v/>
      </c>
      <c r="AA27" s="159" t="str">
        <f t="shared" ca="1" si="1"/>
        <v/>
      </c>
      <c r="AB27" s="159" t="str">
        <f t="shared" ca="1" si="1"/>
        <v/>
      </c>
      <c r="AC27" s="159" t="str">
        <f t="shared" ca="1" si="1"/>
        <v/>
      </c>
      <c r="AD27" s="159" t="str">
        <f t="shared" ca="1" si="1"/>
        <v/>
      </c>
      <c r="AE27" s="159" t="str">
        <f t="shared" ca="1" si="1"/>
        <v/>
      </c>
      <c r="AF27" s="159" t="str">
        <f t="shared" ca="1" si="1"/>
        <v/>
      </c>
      <c r="AG27" s="159" t="str">
        <f t="shared" ca="1" si="1"/>
        <v/>
      </c>
      <c r="AH27" s="159" t="str">
        <f t="shared" ca="1" si="1"/>
        <v/>
      </c>
      <c r="AI27" s="159" t="str">
        <f t="shared" ca="1" si="1"/>
        <v/>
      </c>
      <c r="AO27" t="s">
        <v>1</v>
      </c>
      <c r="AP27" s="159" t="str">
        <f t="shared" ref="AP27:BA27" ca="1" si="2">IF(OR(AP30&gt;7,MIN(AP10:AP25)=0),"",MIN(AP10:AP25))</f>
        <v/>
      </c>
      <c r="AQ27" s="159" t="str">
        <f t="shared" ca="1" si="2"/>
        <v/>
      </c>
      <c r="AR27" s="159" t="str">
        <f t="shared" ca="1" si="2"/>
        <v/>
      </c>
      <c r="AS27" s="159" t="str">
        <f t="shared" ca="1" si="2"/>
        <v/>
      </c>
      <c r="AT27" s="159" t="str">
        <f t="shared" ca="1" si="2"/>
        <v/>
      </c>
      <c r="AU27" s="159" t="str">
        <f t="shared" ca="1" si="2"/>
        <v/>
      </c>
      <c r="AV27" s="159" t="str">
        <f t="shared" ca="1" si="2"/>
        <v/>
      </c>
      <c r="AW27" s="159" t="str">
        <f t="shared" ca="1" si="2"/>
        <v/>
      </c>
      <c r="AX27" s="159" t="str">
        <f t="shared" ca="1" si="2"/>
        <v/>
      </c>
      <c r="AY27" s="159" t="str">
        <f t="shared" ca="1" si="2"/>
        <v/>
      </c>
      <c r="AZ27" s="159" t="str">
        <f t="shared" ca="1" si="2"/>
        <v/>
      </c>
      <c r="BA27" s="159" t="str">
        <f t="shared" ca="1" si="2"/>
        <v/>
      </c>
    </row>
    <row r="28" spans="1:55" x14ac:dyDescent="0.2">
      <c r="A28" s="3"/>
      <c r="B28" s="50" t="str">
        <f ca="1">IF(B27&lt;&gt;"",B27-$A$1,"")</f>
        <v/>
      </c>
      <c r="C28" s="50" t="str">
        <f t="shared" ref="C28:O28" ca="1" si="3">IF(C27&lt;&gt;"",C27-$A$1,"")</f>
        <v/>
      </c>
      <c r="D28" s="50" t="str">
        <f t="shared" ca="1" si="3"/>
        <v/>
      </c>
      <c r="E28" s="50" t="str">
        <f t="shared" ca="1" si="3"/>
        <v/>
      </c>
      <c r="F28" s="50" t="str">
        <f t="shared" ca="1" si="3"/>
        <v/>
      </c>
      <c r="G28" s="50" t="str">
        <f t="shared" ca="1" si="3"/>
        <v/>
      </c>
      <c r="H28" s="50" t="str">
        <f t="shared" ca="1" si="3"/>
        <v/>
      </c>
      <c r="I28" s="50" t="str">
        <f t="shared" ca="1" si="3"/>
        <v/>
      </c>
      <c r="J28" s="50" t="str">
        <f t="shared" ca="1" si="3"/>
        <v/>
      </c>
      <c r="K28" s="50" t="str">
        <f t="shared" ca="1" si="3"/>
        <v/>
      </c>
      <c r="L28" s="50" t="str">
        <f t="shared" ca="1" si="3"/>
        <v/>
      </c>
      <c r="M28" s="50" t="str">
        <f t="shared" ca="1" si="3"/>
        <v/>
      </c>
      <c r="N28" s="50" t="str">
        <f t="shared" ca="1" si="3"/>
        <v/>
      </c>
      <c r="O28" s="50" t="str">
        <f t="shared" ca="1" si="3"/>
        <v/>
      </c>
      <c r="P28" s="50"/>
      <c r="Q28" s="50"/>
      <c r="R28" s="50"/>
      <c r="S28" s="50"/>
      <c r="T28" s="50"/>
      <c r="U28" s="50"/>
      <c r="V28" s="50" t="str">
        <f ca="1">IF(V27&lt;&gt;"",V27-$A$1,"")</f>
        <v/>
      </c>
      <c r="W28" s="50" t="str">
        <f t="shared" ref="W28:AI28" ca="1" si="4">IF(W27&lt;&gt;"",W27-$A$1,"")</f>
        <v/>
      </c>
      <c r="X28" s="50" t="str">
        <f t="shared" ca="1" si="4"/>
        <v/>
      </c>
      <c r="Y28" s="50" t="str">
        <f t="shared" ca="1" si="4"/>
        <v/>
      </c>
      <c r="Z28" s="50" t="str">
        <f t="shared" ca="1" si="4"/>
        <v/>
      </c>
      <c r="AA28" s="50" t="str">
        <f t="shared" ca="1" si="4"/>
        <v/>
      </c>
      <c r="AB28" s="50" t="str">
        <f t="shared" ca="1" si="4"/>
        <v/>
      </c>
      <c r="AC28" s="50" t="str">
        <f t="shared" ca="1" si="4"/>
        <v/>
      </c>
      <c r="AD28" s="50" t="str">
        <f t="shared" ca="1" si="4"/>
        <v/>
      </c>
      <c r="AE28" s="50" t="str">
        <f t="shared" ca="1" si="4"/>
        <v/>
      </c>
      <c r="AF28" s="50" t="str">
        <f t="shared" ca="1" si="4"/>
        <v/>
      </c>
      <c r="AG28" s="50" t="str">
        <f t="shared" ca="1" si="4"/>
        <v/>
      </c>
      <c r="AH28" s="50" t="str">
        <f t="shared" ca="1" si="4"/>
        <v/>
      </c>
      <c r="AI28" s="50" t="str">
        <f t="shared" ca="1" si="4"/>
        <v/>
      </c>
      <c r="AJ28" s="50"/>
      <c r="AK28" s="50"/>
      <c r="AL28" s="50"/>
      <c r="AM28" s="50"/>
      <c r="AN28" s="50"/>
      <c r="AO28" s="50"/>
      <c r="AP28" s="50" t="str">
        <f ca="1">IF(AP27&lt;&gt;"",AP27-$A$1,"")</f>
        <v/>
      </c>
      <c r="AQ28" s="50" t="str">
        <f t="shared" ref="AQ28:BA28" ca="1" si="5">IF(AQ27&lt;&gt;"",AQ27-$A$1,"")</f>
        <v/>
      </c>
      <c r="AR28" s="50" t="str">
        <f t="shared" ca="1" si="5"/>
        <v/>
      </c>
      <c r="AS28" s="50" t="str">
        <f t="shared" ca="1" si="5"/>
        <v/>
      </c>
      <c r="AT28" s="50" t="str">
        <f t="shared" ca="1" si="5"/>
        <v/>
      </c>
      <c r="AU28" s="50" t="str">
        <f t="shared" ca="1" si="5"/>
        <v/>
      </c>
      <c r="AV28" s="50" t="str">
        <f t="shared" ca="1" si="5"/>
        <v/>
      </c>
      <c r="AW28" s="50" t="str">
        <f t="shared" ca="1" si="5"/>
        <v/>
      </c>
      <c r="AX28" s="50" t="str">
        <f t="shared" ca="1" si="5"/>
        <v/>
      </c>
      <c r="AY28" s="50" t="str">
        <f t="shared" ca="1" si="5"/>
        <v/>
      </c>
      <c r="AZ28" s="50" t="str">
        <f t="shared" ca="1" si="5"/>
        <v/>
      </c>
      <c r="BA28" s="50" t="str">
        <f t="shared" ca="1" si="5"/>
        <v/>
      </c>
      <c r="BB28" s="3"/>
      <c r="BC28" s="3"/>
    </row>
    <row r="29" spans="1:55" ht="15" x14ac:dyDescent="0.2">
      <c r="A29" t="s">
        <v>2</v>
      </c>
      <c r="B29" s="159" t="str">
        <f t="shared" ref="B29:N29" ca="1" si="6">IF(OR(B30&gt;7,B27=""),"",LARGE(B10:B25,B30))</f>
        <v/>
      </c>
      <c r="C29" s="159" t="str">
        <f t="shared" ca="1" si="6"/>
        <v/>
      </c>
      <c r="D29" s="159" t="str">
        <f t="shared" ca="1" si="6"/>
        <v/>
      </c>
      <c r="E29" s="159" t="str">
        <f t="shared" ca="1" si="6"/>
        <v/>
      </c>
      <c r="F29" s="159" t="str">
        <f t="shared" ca="1" si="6"/>
        <v/>
      </c>
      <c r="G29" s="159" t="str">
        <f t="shared" ca="1" si="6"/>
        <v/>
      </c>
      <c r="H29" s="159" t="str">
        <f t="shared" ca="1" si="6"/>
        <v/>
      </c>
      <c r="I29" s="159" t="str">
        <f t="shared" ca="1" si="6"/>
        <v/>
      </c>
      <c r="J29" s="159" t="str">
        <f t="shared" ca="1" si="6"/>
        <v/>
      </c>
      <c r="K29" s="159" t="str">
        <f t="shared" ca="1" si="6"/>
        <v/>
      </c>
      <c r="L29" s="159" t="str">
        <f t="shared" ca="1" si="6"/>
        <v/>
      </c>
      <c r="M29" s="159" t="str">
        <f t="shared" ca="1" si="6"/>
        <v/>
      </c>
      <c r="N29" s="159" t="str">
        <f t="shared" ca="1" si="6"/>
        <v/>
      </c>
      <c r="O29" s="159" t="str">
        <f ca="1">IF(OR(O30&gt;7,O27=""),"",LARGE(O10:O25,O30))</f>
        <v/>
      </c>
      <c r="P29" s="6"/>
      <c r="Q29" s="6"/>
      <c r="R29" s="149"/>
      <c r="U29" t="s">
        <v>2</v>
      </c>
      <c r="V29" s="159" t="str">
        <f ca="1">IF(OR(V30&gt;7,V27=""),"",LARGE(V10:V25,V30))</f>
        <v/>
      </c>
      <c r="W29" s="159" t="str">
        <f t="shared" ref="W29:AI29" ca="1" si="7">IF(OR(W30&gt;7,W27=""),"",LARGE(W10:W25,W30))</f>
        <v/>
      </c>
      <c r="X29" s="159" t="str">
        <f t="shared" ca="1" si="7"/>
        <v/>
      </c>
      <c r="Y29" s="159" t="str">
        <f t="shared" ca="1" si="7"/>
        <v/>
      </c>
      <c r="Z29" s="159" t="str">
        <f t="shared" ca="1" si="7"/>
        <v/>
      </c>
      <c r="AA29" s="159" t="str">
        <f t="shared" ca="1" si="7"/>
        <v/>
      </c>
      <c r="AB29" s="159" t="str">
        <f t="shared" ca="1" si="7"/>
        <v/>
      </c>
      <c r="AC29" s="159" t="str">
        <f t="shared" ca="1" si="7"/>
        <v/>
      </c>
      <c r="AD29" s="159" t="str">
        <f t="shared" ca="1" si="7"/>
        <v/>
      </c>
      <c r="AE29" s="159" t="str">
        <f t="shared" ca="1" si="7"/>
        <v/>
      </c>
      <c r="AF29" s="159" t="str">
        <f t="shared" ca="1" si="7"/>
        <v/>
      </c>
      <c r="AG29" s="159" t="str">
        <f t="shared" ca="1" si="7"/>
        <v/>
      </c>
      <c r="AH29" s="159" t="str">
        <f t="shared" ca="1" si="7"/>
        <v/>
      </c>
      <c r="AI29" s="159" t="str">
        <f t="shared" ca="1" si="7"/>
        <v/>
      </c>
      <c r="AO29" t="s">
        <v>2</v>
      </c>
      <c r="AP29" s="159" t="str">
        <f t="shared" ref="AP29" ca="1" si="8">IF(OR(AP30&gt;7,AP27=""),"",LARGE(AP10:AP25,AP30))</f>
        <v/>
      </c>
      <c r="AQ29" s="159" t="str">
        <f t="shared" ref="AQ29" ca="1" si="9">IF(OR(AQ30&gt;7,AQ27=""),"",LARGE(AQ10:AQ25,AQ30))</f>
        <v/>
      </c>
      <c r="AR29" s="159" t="str">
        <f t="shared" ref="AR29" ca="1" si="10">IF(OR(AR30&gt;7,AR27=""),"",LARGE(AR10:AR25,AR30))</f>
        <v/>
      </c>
      <c r="AS29" s="159" t="str">
        <f t="shared" ref="AS29" ca="1" si="11">IF(OR(AS30&gt;7,AS27=""),"",LARGE(AS10:AS25,AS30))</f>
        <v/>
      </c>
      <c r="AT29" s="159" t="str">
        <f t="shared" ref="AT29" ca="1" si="12">IF(OR(AT30&gt;7,AT27=""),"",LARGE(AT10:AT25,AT30))</f>
        <v/>
      </c>
      <c r="AU29" s="159" t="str">
        <f t="shared" ref="AU29" ca="1" si="13">IF(OR(AU30&gt;7,AU27=""),"",LARGE(AU10:AU25,AU30))</f>
        <v/>
      </c>
      <c r="AV29" s="159" t="str">
        <f t="shared" ref="AV29" ca="1" si="14">IF(OR(AV30&gt;7,AV27=""),"",LARGE(AV10:AV25,AV30))</f>
        <v/>
      </c>
      <c r="AW29" s="159" t="str">
        <f t="shared" ref="AW29" ca="1" si="15">IF(OR(AW30&gt;7,AW27=""),"",LARGE(AW10:AW25,AW30))</f>
        <v/>
      </c>
      <c r="AX29" s="159" t="str">
        <f t="shared" ref="AX29" ca="1" si="16">IF(OR(AX30&gt;7,AX27=""),"",LARGE(AX10:AX25,AX30))</f>
        <v/>
      </c>
      <c r="AY29" s="159" t="str">
        <f t="shared" ref="AY29" ca="1" si="17">IF(OR(AY30&gt;7,AY27=""),"",LARGE(AY10:AY25,AY30))</f>
        <v/>
      </c>
      <c r="AZ29" s="159" t="str">
        <f t="shared" ref="AZ29" ca="1" si="18">IF(OR(AZ30&gt;7,AZ27=""),"",LARGE(AZ10:AZ25,AZ30))</f>
        <v/>
      </c>
      <c r="BA29" s="159" t="str">
        <f t="shared" ref="BA29" ca="1" si="19">IF(OR(BA30&gt;7,BA27=""),"",LARGE(BA10:BA25,BA30))</f>
        <v/>
      </c>
    </row>
    <row r="30" spans="1:55" s="142" customFormat="1" ht="15" x14ac:dyDescent="0.25">
      <c r="B30" s="160">
        <f ca="1">COUNTIF(B10:B25,"&gt;"&amp;$A$1+200)+1</f>
        <v>1</v>
      </c>
      <c r="C30" s="160">
        <f t="shared" ref="C30:O30" ca="1" si="20">COUNTIF(C10:C25,"&gt;"&amp;$A$1+200)+1</f>
        <v>1</v>
      </c>
      <c r="D30" s="160">
        <f t="shared" ca="1" si="20"/>
        <v>1</v>
      </c>
      <c r="E30" s="160">
        <f t="shared" ca="1" si="20"/>
        <v>1</v>
      </c>
      <c r="F30" s="160">
        <f t="shared" ca="1" si="20"/>
        <v>1</v>
      </c>
      <c r="G30" s="160">
        <f t="shared" ca="1" si="20"/>
        <v>1</v>
      </c>
      <c r="H30" s="160">
        <f t="shared" ca="1" si="20"/>
        <v>1</v>
      </c>
      <c r="I30" s="160">
        <f t="shared" ca="1" si="20"/>
        <v>1</v>
      </c>
      <c r="J30" s="160">
        <f t="shared" ca="1" si="20"/>
        <v>1</v>
      </c>
      <c r="K30" s="160">
        <f t="shared" ca="1" si="20"/>
        <v>1</v>
      </c>
      <c r="L30" s="160">
        <f t="shared" ca="1" si="20"/>
        <v>1</v>
      </c>
      <c r="M30" s="160">
        <f t="shared" ca="1" si="20"/>
        <v>1</v>
      </c>
      <c r="N30" s="160">
        <f t="shared" ca="1" si="20"/>
        <v>1</v>
      </c>
      <c r="O30" s="160">
        <f t="shared" ca="1" si="20"/>
        <v>1</v>
      </c>
      <c r="P30" s="161"/>
      <c r="Q30" s="161"/>
      <c r="R30" s="134"/>
      <c r="V30" s="160">
        <f t="shared" ref="V30:AI30" ca="1" si="21">COUNTIF(V10:V25,"&gt;"&amp;$A$1+200)+1</f>
        <v>1</v>
      </c>
      <c r="W30" s="160">
        <f t="shared" ca="1" si="21"/>
        <v>1</v>
      </c>
      <c r="X30" s="160">
        <f t="shared" ca="1" si="21"/>
        <v>1</v>
      </c>
      <c r="Y30" s="160">
        <f t="shared" ca="1" si="21"/>
        <v>1</v>
      </c>
      <c r="Z30" s="160">
        <f t="shared" ca="1" si="21"/>
        <v>1</v>
      </c>
      <c r="AA30" s="160">
        <f t="shared" ca="1" si="21"/>
        <v>1</v>
      </c>
      <c r="AB30" s="160">
        <f t="shared" ca="1" si="21"/>
        <v>1</v>
      </c>
      <c r="AC30" s="160">
        <f t="shared" ca="1" si="21"/>
        <v>1</v>
      </c>
      <c r="AD30" s="160">
        <f t="shared" ca="1" si="21"/>
        <v>1</v>
      </c>
      <c r="AE30" s="160">
        <f t="shared" ca="1" si="21"/>
        <v>1</v>
      </c>
      <c r="AF30" s="160">
        <f t="shared" ca="1" si="21"/>
        <v>1</v>
      </c>
      <c r="AG30" s="160">
        <f t="shared" ca="1" si="21"/>
        <v>1</v>
      </c>
      <c r="AH30" s="160">
        <f t="shared" ca="1" si="21"/>
        <v>1</v>
      </c>
      <c r="AI30" s="160">
        <f t="shared" ca="1" si="21"/>
        <v>1</v>
      </c>
      <c r="AP30" s="160">
        <f t="shared" ref="AP30:BA30" ca="1" si="22">COUNTIF(AP10:AP25,"&gt;"&amp;$A$1+200)+1</f>
        <v>1</v>
      </c>
      <c r="AQ30" s="160">
        <f t="shared" ca="1" si="22"/>
        <v>1</v>
      </c>
      <c r="AR30" s="160">
        <f t="shared" ca="1" si="22"/>
        <v>1</v>
      </c>
      <c r="AS30" s="160">
        <f t="shared" ca="1" si="22"/>
        <v>1</v>
      </c>
      <c r="AT30" s="160">
        <f t="shared" ca="1" si="22"/>
        <v>1</v>
      </c>
      <c r="AU30" s="160">
        <f t="shared" ca="1" si="22"/>
        <v>1</v>
      </c>
      <c r="AV30" s="160">
        <f t="shared" ca="1" si="22"/>
        <v>1</v>
      </c>
      <c r="AW30" s="160">
        <f t="shared" ca="1" si="22"/>
        <v>1</v>
      </c>
      <c r="AX30" s="160">
        <f t="shared" ca="1" si="22"/>
        <v>1</v>
      </c>
      <c r="AY30" s="160">
        <f t="shared" ca="1" si="22"/>
        <v>1</v>
      </c>
      <c r="AZ30" s="160">
        <f t="shared" ca="1" si="22"/>
        <v>1</v>
      </c>
      <c r="BA30" s="160">
        <f t="shared" ca="1" si="22"/>
        <v>1</v>
      </c>
    </row>
    <row r="31" spans="1:55" x14ac:dyDescent="0.2">
      <c r="A31" t="s">
        <v>3</v>
      </c>
      <c r="B31" s="6" t="str">
        <f ca="1">IF(B10="","",AVERAGEIF(B10:B25,"&lt;"&amp;$A$1+200))</f>
        <v/>
      </c>
      <c r="C31" s="6" t="str">
        <f ca="1">IF(C10="","",AVERAGEIF(C10:C25,"&lt;"&amp;$A$1+200))</f>
        <v/>
      </c>
      <c r="D31" s="6" t="str">
        <f t="shared" ref="D31:O31" ca="1" si="23">IF(D10="","",AVERAGEIF(D10:D25,"&lt;"&amp;$A$1+200))</f>
        <v/>
      </c>
      <c r="E31" s="6" t="str">
        <f t="shared" ca="1" si="23"/>
        <v/>
      </c>
      <c r="F31" s="6" t="str">
        <f t="shared" ca="1" si="23"/>
        <v/>
      </c>
      <c r="G31" s="6" t="str">
        <f t="shared" ca="1" si="23"/>
        <v/>
      </c>
      <c r="H31" s="6" t="str">
        <f t="shared" ca="1" si="23"/>
        <v/>
      </c>
      <c r="I31" s="6" t="str">
        <f t="shared" ca="1" si="23"/>
        <v/>
      </c>
      <c r="J31" s="6" t="str">
        <f t="shared" ca="1" si="23"/>
        <v/>
      </c>
      <c r="K31" s="6" t="str">
        <f t="shared" ca="1" si="23"/>
        <v/>
      </c>
      <c r="L31" s="6" t="str">
        <f t="shared" ca="1" si="23"/>
        <v/>
      </c>
      <c r="M31" s="6" t="str">
        <f t="shared" ca="1" si="23"/>
        <v/>
      </c>
      <c r="N31" s="6" t="str">
        <f t="shared" ca="1" si="23"/>
        <v/>
      </c>
      <c r="O31" s="6" t="str">
        <f t="shared" ca="1" si="23"/>
        <v/>
      </c>
      <c r="P31" s="6"/>
      <c r="Q31" s="6"/>
      <c r="U31" t="s">
        <v>3</v>
      </c>
      <c r="V31" s="6" t="str">
        <f t="shared" ref="V31:AI31" ca="1" si="24">IF(V10="","",AVERAGEIF(V10:V25,"&lt;"&amp;$A$1+200))</f>
        <v/>
      </c>
      <c r="W31" s="6" t="str">
        <f t="shared" ca="1" si="24"/>
        <v/>
      </c>
      <c r="X31" s="6" t="str">
        <f t="shared" ca="1" si="24"/>
        <v/>
      </c>
      <c r="Y31" s="6" t="str">
        <f t="shared" ca="1" si="24"/>
        <v/>
      </c>
      <c r="Z31" s="6" t="str">
        <f t="shared" ca="1" si="24"/>
        <v/>
      </c>
      <c r="AA31" s="6" t="str">
        <f t="shared" ca="1" si="24"/>
        <v/>
      </c>
      <c r="AB31" s="6" t="str">
        <f t="shared" ca="1" si="24"/>
        <v/>
      </c>
      <c r="AC31" s="6" t="str">
        <f t="shared" ca="1" si="24"/>
        <v/>
      </c>
      <c r="AD31" s="6" t="str">
        <f t="shared" ca="1" si="24"/>
        <v/>
      </c>
      <c r="AE31" s="6" t="str">
        <f t="shared" ca="1" si="24"/>
        <v/>
      </c>
      <c r="AF31" s="6" t="str">
        <f t="shared" ca="1" si="24"/>
        <v/>
      </c>
      <c r="AG31" s="6" t="str">
        <f t="shared" ca="1" si="24"/>
        <v/>
      </c>
      <c r="AH31" s="6" t="str">
        <f t="shared" ca="1" si="24"/>
        <v/>
      </c>
      <c r="AI31" s="6" t="str">
        <f t="shared" ca="1" si="24"/>
        <v/>
      </c>
      <c r="AO31" t="s">
        <v>3</v>
      </c>
      <c r="AP31" s="6" t="str">
        <f t="shared" ref="AP31:BA31" ca="1" si="25">IF(AP10="","",AVERAGEIF(AP10:AP25,"&lt;"&amp;$A$1+200))</f>
        <v/>
      </c>
      <c r="AQ31" s="6">
        <f t="shared" ca="1" si="25"/>
        <v>0</v>
      </c>
      <c r="AR31" s="6">
        <f t="shared" ca="1" si="25"/>
        <v>0</v>
      </c>
      <c r="AS31" s="6">
        <f t="shared" ca="1" si="25"/>
        <v>0</v>
      </c>
      <c r="AT31" s="6">
        <f t="shared" ca="1" si="25"/>
        <v>0</v>
      </c>
      <c r="AU31" s="6">
        <f t="shared" ca="1" si="25"/>
        <v>0</v>
      </c>
      <c r="AV31" s="6">
        <f t="shared" ca="1" si="25"/>
        <v>0</v>
      </c>
      <c r="AW31" s="6">
        <f t="shared" ca="1" si="25"/>
        <v>0</v>
      </c>
      <c r="AX31" s="6">
        <f t="shared" ca="1" si="25"/>
        <v>0</v>
      </c>
      <c r="AY31" s="6">
        <f t="shared" ca="1" si="25"/>
        <v>0</v>
      </c>
      <c r="AZ31" s="6">
        <f t="shared" ca="1" si="25"/>
        <v>0</v>
      </c>
      <c r="BA31" s="6">
        <f t="shared" ca="1" si="25"/>
        <v>0</v>
      </c>
    </row>
    <row r="32" spans="1:55" x14ac:dyDescent="0.2">
      <c r="B32" s="670"/>
      <c r="C32" s="670"/>
      <c r="D32" s="670"/>
      <c r="E32" s="670"/>
      <c r="F32" s="670"/>
      <c r="G32" s="670"/>
      <c r="H32" s="670"/>
      <c r="I32" s="670"/>
      <c r="J32" s="670"/>
      <c r="K32" s="670"/>
      <c r="L32" s="670"/>
      <c r="M32" s="670"/>
      <c r="N32" s="670"/>
      <c r="O32" s="670"/>
      <c r="P32" s="670"/>
      <c r="Q32" s="670"/>
      <c r="R32" s="670"/>
      <c r="S32" s="670"/>
      <c r="T32" s="670"/>
      <c r="U32" s="670"/>
      <c r="V32" s="670"/>
      <c r="W32" s="670"/>
      <c r="X32" s="670"/>
      <c r="Y32" s="670"/>
      <c r="Z32" s="670"/>
      <c r="AA32" s="670"/>
      <c r="AB32" s="670"/>
      <c r="AC32" s="670"/>
      <c r="AD32" s="670"/>
      <c r="AE32" s="670"/>
      <c r="AF32" s="670"/>
      <c r="AG32" s="670"/>
      <c r="AH32" s="670"/>
      <c r="AI32" s="670"/>
      <c r="AJ32" s="670"/>
      <c r="AK32" s="670"/>
      <c r="AL32" s="670"/>
      <c r="AM32" s="670"/>
      <c r="AN32" s="670"/>
      <c r="AO32" s="670"/>
      <c r="AP32" s="670"/>
      <c r="AQ32" s="670"/>
      <c r="AR32" s="670"/>
      <c r="AS32" s="670"/>
      <c r="AT32" s="670"/>
      <c r="AU32" s="670"/>
      <c r="AV32" s="670"/>
      <c r="AW32" s="670"/>
      <c r="AX32" s="670"/>
      <c r="AY32" s="670"/>
      <c r="AZ32" s="670"/>
      <c r="BA32" s="670"/>
    </row>
    <row r="33" spans="1:41" x14ac:dyDescent="0.2">
      <c r="A33" s="161">
        <f ca="1">MAX(B29:O29)</f>
        <v>0</v>
      </c>
      <c r="B33" t="s">
        <v>4</v>
      </c>
      <c r="D33" s="6">
        <f ca="1">SUM(MAX(J37:J76),-A1)</f>
        <v>0</v>
      </c>
      <c r="F33" t="s">
        <v>5</v>
      </c>
      <c r="H33" s="6">
        <f ca="1">SUM(MIN(L37:L76),-A1)</f>
        <v>0</v>
      </c>
      <c r="J33" s="1" t="s">
        <v>14</v>
      </c>
      <c r="K33" s="2" t="e">
        <f ca="1">MAX(B40,B48)</f>
        <v>#VALUE!</v>
      </c>
      <c r="U33" s="161">
        <f ca="1">MAX(V29:AI29)</f>
        <v>0</v>
      </c>
      <c r="AO33" s="50">
        <f ca="1">MAX(AP29:BA29)</f>
        <v>0</v>
      </c>
    </row>
    <row r="34" spans="1:41" x14ac:dyDescent="0.2">
      <c r="A34" s="161">
        <f ca="1">MIN(B27:O27)</f>
        <v>0</v>
      </c>
      <c r="F34" s="161">
        <f ca="1">IF(SIGN(A1)=-1,MIN(A33,IF(ISERROR(U33),0,U33),IF(ISERROR(AO33),0,AO33)),MAX(A33,IF(ISERROR(U33),0,U33),IF(ISERROR(AO33),0,AO33)))</f>
        <v>0</v>
      </c>
      <c r="G34" s="142"/>
      <c r="H34" s="142"/>
      <c r="I34" s="142"/>
      <c r="J34" s="161">
        <f ca="1">MIN(A34,U34)</f>
        <v>0</v>
      </c>
      <c r="K34" s="142">
        <f ca="1">MIN(A34,U34,AO34)</f>
        <v>0</v>
      </c>
      <c r="L34" s="142"/>
      <c r="M34" s="142"/>
      <c r="N34" s="142"/>
      <c r="O34" s="142"/>
      <c r="P34" s="142"/>
      <c r="Q34" s="142"/>
      <c r="R34" s="142"/>
      <c r="S34" s="142"/>
      <c r="T34" s="142"/>
      <c r="U34" s="161">
        <f ca="1">MIN(V27:AI27)</f>
        <v>0</v>
      </c>
      <c r="V34" s="142"/>
      <c r="AO34" s="50">
        <f ca="1">MIN(AP27:BA27)</f>
        <v>0</v>
      </c>
    </row>
    <row r="35" spans="1:41" x14ac:dyDescent="0.2">
      <c r="H35" s="44" t="s">
        <v>396</v>
      </c>
      <c r="J35">
        <f ca="1">SUM(H36:L36)</f>
        <v>0</v>
      </c>
      <c r="M35" s="6"/>
    </row>
    <row r="36" spans="1:41" x14ac:dyDescent="0.2">
      <c r="B36" t="str">
        <f ca="1">IF(B10="","",STDEV(B10:B25))</f>
        <v/>
      </c>
      <c r="C36" t="str">
        <f t="shared" ref="C36:F36" ca="1" si="26">IF(C10="","",STDEV(C10:C25))</f>
        <v/>
      </c>
      <c r="D36" t="str">
        <f t="shared" ca="1" si="26"/>
        <v/>
      </c>
      <c r="E36" t="str">
        <f t="shared" ca="1" si="26"/>
        <v/>
      </c>
      <c r="F36" t="str">
        <f t="shared" ca="1" si="26"/>
        <v/>
      </c>
      <c r="H36">
        <f ca="1">IF(B36="",0,1)</f>
        <v>0</v>
      </c>
      <c r="I36">
        <f t="shared" ref="I36:L36" ca="1" si="27">IF(C36="",0,1)</f>
        <v>0</v>
      </c>
      <c r="J36">
        <f t="shared" ca="1" si="27"/>
        <v>0</v>
      </c>
      <c r="K36">
        <f t="shared" ca="1" si="27"/>
        <v>0</v>
      </c>
      <c r="L36">
        <f t="shared" ca="1" si="27"/>
        <v>0</v>
      </c>
      <c r="M36" s="6"/>
    </row>
    <row r="37" spans="1:41" x14ac:dyDescent="0.2">
      <c r="A37" s="44" t="s">
        <v>11</v>
      </c>
      <c r="B37" t="str">
        <f ca="1">IF(F10="",B36,AVERAGE(B36:F36))</f>
        <v/>
      </c>
      <c r="J37" s="6" t="str" cm="1">
        <f t="array" aca="1" ref="J37:J50" ca="1">IFERROR(TRANSPOSE(B29:O29),"-")</f>
        <v/>
      </c>
      <c r="K37" s="94" t="s">
        <v>34</v>
      </c>
      <c r="L37" s="6" t="str" cm="1">
        <f t="array" aca="1" ref="L37:L50" ca="1">IFERROR(TRANSPOSE(B27:O27),"-")</f>
        <v/>
      </c>
      <c r="M37" s="64"/>
    </row>
    <row r="38" spans="1:41" x14ac:dyDescent="0.2">
      <c r="A38" s="44" t="s">
        <v>201</v>
      </c>
      <c r="B38" t="e">
        <f ca="1">F40</f>
        <v>#VALUE!</v>
      </c>
      <c r="E38" t="s">
        <v>198</v>
      </c>
      <c r="F38" t="e">
        <f ca="1">B37/SQRT(5)</f>
        <v>#VALUE!</v>
      </c>
      <c r="I38" s="6"/>
      <c r="J38" s="6" t="str">
        <f ca="1"/>
        <v/>
      </c>
      <c r="K38" s="94" t="s">
        <v>34</v>
      </c>
      <c r="L38" s="6" t="str">
        <f ca="1"/>
        <v/>
      </c>
      <c r="M38" s="64"/>
    </row>
    <row r="39" spans="1:41" x14ac:dyDescent="0.2">
      <c r="E39" t="s">
        <v>199</v>
      </c>
      <c r="F39">
        <f ca="1">IF(J35=1,6.9,IF(J35=2,6.9,IF(J35=3,2.27,IF(J35=4,1.66,1.43))))</f>
        <v>1.43</v>
      </c>
      <c r="I39" s="6"/>
      <c r="J39" s="6" t="str">
        <f ca="1"/>
        <v/>
      </c>
      <c r="K39" s="94" t="s">
        <v>34</v>
      </c>
      <c r="L39" s="6" t="str">
        <f ca="1"/>
        <v/>
      </c>
      <c r="M39" s="64"/>
    </row>
    <row r="40" spans="1:41" x14ac:dyDescent="0.2">
      <c r="A40" s="44" t="s">
        <v>17</v>
      </c>
      <c r="B40" s="1" t="e">
        <f ca="1">(SQRT(B45)*2)</f>
        <v>#VALUE!</v>
      </c>
      <c r="E40" s="44" t="s">
        <v>200</v>
      </c>
      <c r="F40" t="e">
        <f ca="1">(F38*F39)</f>
        <v>#VALUE!</v>
      </c>
      <c r="I40" s="6"/>
      <c r="J40" s="6" t="str">
        <f ca="1"/>
        <v/>
      </c>
      <c r="K40" s="94" t="s">
        <v>34</v>
      </c>
      <c r="L40" s="6" t="str">
        <f ca="1"/>
        <v/>
      </c>
      <c r="M40" s="64"/>
    </row>
    <row r="41" spans="1:41" x14ac:dyDescent="0.2">
      <c r="I41" s="6"/>
      <c r="J41" s="6" t="str">
        <f ca="1"/>
        <v/>
      </c>
      <c r="K41" s="94" t="s">
        <v>34</v>
      </c>
      <c r="L41" s="6" t="str">
        <f ca="1"/>
        <v/>
      </c>
      <c r="M41" s="64"/>
    </row>
    <row r="42" spans="1:41" x14ac:dyDescent="0.2">
      <c r="A42" t="s">
        <v>15</v>
      </c>
      <c r="B42">
        <f>IF($A$1&lt;32.1,0.618,IF(A1&lt;392.1,0.71,IF(A1&lt;752.1,3.09,IF(A1&lt;1200.1,1.65,IF(A1&lt;1800.1,2.69,IF(A1&lt;2372.1,4.08))))))</f>
        <v>0.61799999999999999</v>
      </c>
      <c r="C42">
        <f>VALUE(B42)</f>
        <v>0.61799999999999999</v>
      </c>
      <c r="I42" s="6"/>
      <c r="J42" s="6" t="str">
        <f ca="1"/>
        <v/>
      </c>
      <c r="K42" s="94" t="s">
        <v>34</v>
      </c>
      <c r="L42" s="6" t="str">
        <f ca="1"/>
        <v/>
      </c>
      <c r="M42" s="64"/>
    </row>
    <row r="43" spans="1:41" x14ac:dyDescent="0.2">
      <c r="I43" s="6"/>
      <c r="J43" s="6" t="str">
        <f ca="1"/>
        <v/>
      </c>
      <c r="K43" s="94" t="s">
        <v>34</v>
      </c>
      <c r="L43" s="6" t="str">
        <f ca="1"/>
        <v/>
      </c>
      <c r="M43" s="64"/>
    </row>
    <row r="44" spans="1:41" x14ac:dyDescent="0.2">
      <c r="A44" t="s">
        <v>12</v>
      </c>
      <c r="B44">
        <f>C42/2</f>
        <v>0.309</v>
      </c>
      <c r="I44" s="6"/>
      <c r="J44" s="6" t="str">
        <f ca="1"/>
        <v/>
      </c>
      <c r="K44" s="94" t="s">
        <v>34</v>
      </c>
      <c r="L44" s="6" t="str">
        <f ca="1"/>
        <v/>
      </c>
      <c r="M44" s="64"/>
    </row>
    <row r="45" spans="1:41" x14ac:dyDescent="0.2">
      <c r="A45" t="s">
        <v>13</v>
      </c>
      <c r="B45" t="e">
        <f ca="1">(B38*B38)+(B44*B44)</f>
        <v>#VALUE!</v>
      </c>
      <c r="I45" s="6"/>
      <c r="J45" s="6" t="str">
        <f ca="1"/>
        <v/>
      </c>
      <c r="K45" s="94" t="s">
        <v>34</v>
      </c>
      <c r="L45" s="6" t="str">
        <f ca="1"/>
        <v/>
      </c>
      <c r="M45" s="64"/>
    </row>
    <row r="46" spans="1:41" x14ac:dyDescent="0.2">
      <c r="I46" s="6"/>
      <c r="J46" s="6" t="str">
        <f ca="1"/>
        <v/>
      </c>
      <c r="K46" s="94" t="s">
        <v>34</v>
      </c>
      <c r="L46" s="6" t="str">
        <f ca="1"/>
        <v/>
      </c>
      <c r="M46" s="64"/>
    </row>
    <row r="47" spans="1:41" x14ac:dyDescent="0.2">
      <c r="A47" s="44" t="s">
        <v>16</v>
      </c>
      <c r="B47" s="1">
        <f>IF(A1&lt;MIN(CMCs[Min]),NA(),_xlfn.XLOOKUP(A1,CMCs[Max],CMCs[CMC],NA(),1,1))</f>
        <v>1.6</v>
      </c>
      <c r="I47" s="6"/>
      <c r="J47" s="6" t="str">
        <f ca="1"/>
        <v/>
      </c>
      <c r="K47" s="94" t="s">
        <v>34</v>
      </c>
      <c r="L47" s="6" t="str">
        <f ca="1"/>
        <v/>
      </c>
      <c r="M47" s="64"/>
    </row>
    <row r="48" spans="1:41" x14ac:dyDescent="0.2">
      <c r="B48">
        <f>VALUE(B47)</f>
        <v>1.6</v>
      </c>
      <c r="I48" s="6"/>
      <c r="J48" s="6" t="str">
        <f ca="1"/>
        <v/>
      </c>
      <c r="K48" s="94" t="s">
        <v>34</v>
      </c>
      <c r="L48" s="6" t="str">
        <f ca="1"/>
        <v/>
      </c>
      <c r="M48" s="64"/>
    </row>
    <row r="49" spans="1:13" x14ac:dyDescent="0.2">
      <c r="I49" s="6"/>
      <c r="J49" s="6" t="str">
        <f ca="1"/>
        <v/>
      </c>
      <c r="K49" s="94" t="s">
        <v>34</v>
      </c>
      <c r="L49" s="6" t="str">
        <f ca="1"/>
        <v/>
      </c>
      <c r="M49" s="64"/>
    </row>
    <row r="50" spans="1:13" x14ac:dyDescent="0.2">
      <c r="I50" s="6"/>
      <c r="J50" s="6" t="str">
        <f ca="1"/>
        <v/>
      </c>
      <c r="K50" s="94" t="s">
        <v>34</v>
      </c>
      <c r="L50" s="6" t="str">
        <f ca="1"/>
        <v/>
      </c>
      <c r="M50" s="64"/>
    </row>
    <row r="51" spans="1:13" x14ac:dyDescent="0.2">
      <c r="I51" s="6"/>
      <c r="J51" s="6" t="str" cm="1">
        <f t="array" aca="1" ref="J51:J64" ca="1">IFERROR(TRANSPOSE(V29:AI29),"-")</f>
        <v/>
      </c>
      <c r="K51" s="94" t="s">
        <v>34</v>
      </c>
      <c r="L51" s="6" t="str" cm="1">
        <f t="array" aca="1" ref="L51:L64" ca="1">IFERROR(TRANSPOSE(V27:AI27),"-")</f>
        <v/>
      </c>
      <c r="M51" s="64"/>
    </row>
    <row r="52" spans="1:13" x14ac:dyDescent="0.2">
      <c r="A52" s="61">
        <v>0</v>
      </c>
      <c r="B52">
        <f>IF(COUNTIFS(Data_Sheet!$C$14:'Data_Sheet'!$P$900,"&gt;"&amp;B2,Data_Sheet!$C$14:'Data_Sheet'!$P$900,"&lt;"&amp;(B2+200))&gt;0,1,0)</f>
        <v>0</v>
      </c>
      <c r="C52">
        <f>IF(COUNTIFS(Data_Sheet_15_28!$C$14:'Data_Sheet_15_28'!$P$900,"&gt;"&amp;B2,Data_Sheet_15_28!$C$14:'Data_Sheet_15_28'!$P$900,"&lt;"&amp;(B2+200))&gt;0,1,0)</f>
        <v>0</v>
      </c>
      <c r="D52">
        <f>IF(COUNTIFS(Data_Sheet_29_40!$C$14:'Data_Sheet_29_40'!$P$900,"&gt;"&amp;B2,Data_Sheet_29_40!$C$14:'Data_Sheet_29_40'!$P$900,"&lt;"&amp;(B2+200))&gt;0,1,0)</f>
        <v>0</v>
      </c>
      <c r="I52" s="6"/>
      <c r="J52" s="6" t="str">
        <f ca="1"/>
        <v/>
      </c>
      <c r="K52" s="94" t="s">
        <v>34</v>
      </c>
      <c r="L52" s="6" t="str">
        <f ca="1"/>
        <v/>
      </c>
      <c r="M52" s="64"/>
    </row>
    <row r="53" spans="1:13" x14ac:dyDescent="0.2">
      <c r="A53" s="53"/>
      <c r="I53" s="6"/>
      <c r="J53" s="6" t="str">
        <f ca="1"/>
        <v/>
      </c>
      <c r="K53" s="94" t="s">
        <v>34</v>
      </c>
      <c r="L53" s="6" t="str">
        <f ca="1"/>
        <v/>
      </c>
      <c r="M53" s="64"/>
    </row>
    <row r="54" spans="1:13" x14ac:dyDescent="0.2">
      <c r="I54" s="6"/>
      <c r="J54" s="6" t="str">
        <f ca="1"/>
        <v/>
      </c>
      <c r="K54" s="94" t="s">
        <v>34</v>
      </c>
      <c r="L54" s="6" t="str">
        <f ca="1"/>
        <v/>
      </c>
      <c r="M54" s="64"/>
    </row>
    <row r="55" spans="1:13" x14ac:dyDescent="0.2">
      <c r="I55" s="6"/>
      <c r="J55" s="6" t="str">
        <f ca="1"/>
        <v/>
      </c>
      <c r="K55" s="94" t="s">
        <v>34</v>
      </c>
      <c r="L55" s="6" t="str">
        <f ca="1"/>
        <v/>
      </c>
      <c r="M55" s="64"/>
    </row>
    <row r="56" spans="1:13" x14ac:dyDescent="0.2">
      <c r="I56" s="6"/>
      <c r="J56" s="6" t="str">
        <f ca="1"/>
        <v/>
      </c>
      <c r="K56" s="94" t="s">
        <v>34</v>
      </c>
      <c r="L56" s="6" t="str">
        <f ca="1"/>
        <v/>
      </c>
      <c r="M56" s="64"/>
    </row>
    <row r="57" spans="1:13" x14ac:dyDescent="0.2">
      <c r="I57" s="6"/>
      <c r="J57" s="6" t="str">
        <f ca="1"/>
        <v/>
      </c>
      <c r="K57" s="94" t="s">
        <v>34</v>
      </c>
      <c r="L57" s="6" t="str">
        <f ca="1"/>
        <v/>
      </c>
      <c r="M57" s="64"/>
    </row>
    <row r="58" spans="1:13" x14ac:dyDescent="0.2">
      <c r="I58" s="6"/>
      <c r="J58" s="6" t="str">
        <f ca="1"/>
        <v/>
      </c>
      <c r="K58" s="94" t="s">
        <v>34</v>
      </c>
      <c r="L58" s="6" t="str">
        <f ca="1"/>
        <v/>
      </c>
      <c r="M58" s="64"/>
    </row>
    <row r="59" spans="1:13" x14ac:dyDescent="0.2">
      <c r="I59" s="6"/>
      <c r="J59" s="6" t="str">
        <f ca="1"/>
        <v/>
      </c>
      <c r="K59" s="94" t="s">
        <v>34</v>
      </c>
      <c r="L59" s="6" t="str">
        <f ca="1"/>
        <v/>
      </c>
      <c r="M59" s="64"/>
    </row>
    <row r="60" spans="1:13" x14ac:dyDescent="0.2">
      <c r="I60" s="6"/>
      <c r="J60" s="6" t="str">
        <f ca="1"/>
        <v/>
      </c>
      <c r="K60" s="94" t="s">
        <v>34</v>
      </c>
      <c r="L60" s="6" t="str">
        <f ca="1"/>
        <v/>
      </c>
      <c r="M60" s="64"/>
    </row>
    <row r="61" spans="1:13" x14ac:dyDescent="0.2">
      <c r="I61" s="6"/>
      <c r="J61" s="6" t="str">
        <f ca="1"/>
        <v/>
      </c>
      <c r="K61" s="94" t="s">
        <v>34</v>
      </c>
      <c r="L61" s="6" t="str">
        <f ca="1"/>
        <v/>
      </c>
      <c r="M61" s="64"/>
    </row>
    <row r="62" spans="1:13" x14ac:dyDescent="0.2">
      <c r="I62" s="6"/>
      <c r="J62" s="6" t="str">
        <f ca="1"/>
        <v/>
      </c>
      <c r="K62" s="94" t="s">
        <v>34</v>
      </c>
      <c r="L62" s="6" t="str">
        <f ca="1"/>
        <v/>
      </c>
      <c r="M62" s="64"/>
    </row>
    <row r="63" spans="1:13" x14ac:dyDescent="0.2">
      <c r="I63" s="6"/>
      <c r="J63" s="6" t="str">
        <f ca="1"/>
        <v/>
      </c>
      <c r="K63" s="94" t="s">
        <v>34</v>
      </c>
      <c r="L63" s="6" t="str">
        <f ca="1"/>
        <v/>
      </c>
      <c r="M63" s="64"/>
    </row>
    <row r="64" spans="1:13" x14ac:dyDescent="0.2">
      <c r="I64" s="6"/>
      <c r="J64" s="6" t="str">
        <f ca="1"/>
        <v/>
      </c>
      <c r="K64" s="94" t="s">
        <v>34</v>
      </c>
      <c r="L64" s="6" t="str">
        <f ca="1"/>
        <v/>
      </c>
      <c r="M64" s="64"/>
    </row>
    <row r="65" spans="9:13" x14ac:dyDescent="0.2">
      <c r="I65" s="6"/>
      <c r="J65" s="6" t="str" cm="1">
        <f t="array" aca="1" ref="J65:J76" ca="1">IFERROR(TRANSPOSE(AP29:BA29),"-")</f>
        <v/>
      </c>
      <c r="K65" s="94" t="s">
        <v>34</v>
      </c>
      <c r="L65" s="6" t="str" cm="1">
        <f t="array" aca="1" ref="L65:L76" ca="1">IFERROR(TRANSPOSE(AP27:BA27),"-")</f>
        <v/>
      </c>
      <c r="M65" s="64"/>
    </row>
    <row r="66" spans="9:13" x14ac:dyDescent="0.2">
      <c r="I66" s="6"/>
      <c r="J66" s="6" t="str">
        <f ca="1"/>
        <v/>
      </c>
      <c r="K66" s="94" t="s">
        <v>34</v>
      </c>
      <c r="L66" s="6" t="str">
        <f ca="1"/>
        <v/>
      </c>
      <c r="M66" s="64"/>
    </row>
    <row r="67" spans="9:13" x14ac:dyDescent="0.2">
      <c r="I67" s="6"/>
      <c r="J67" s="6" t="str">
        <f ca="1"/>
        <v/>
      </c>
      <c r="K67" s="94" t="s">
        <v>34</v>
      </c>
      <c r="L67" s="6" t="str">
        <f ca="1"/>
        <v/>
      </c>
      <c r="M67" s="64"/>
    </row>
    <row r="68" spans="9:13" x14ac:dyDescent="0.2">
      <c r="I68" s="6"/>
      <c r="J68" s="6" t="str">
        <f ca="1"/>
        <v/>
      </c>
      <c r="K68" s="94" t="s">
        <v>34</v>
      </c>
      <c r="L68" s="6" t="str">
        <f ca="1"/>
        <v/>
      </c>
      <c r="M68" s="64"/>
    </row>
    <row r="69" spans="9:13" x14ac:dyDescent="0.2">
      <c r="I69" s="6"/>
      <c r="J69" s="6" t="str">
        <f ca="1"/>
        <v/>
      </c>
      <c r="K69" s="94" t="s">
        <v>34</v>
      </c>
      <c r="L69" s="6" t="str">
        <f ca="1"/>
        <v/>
      </c>
      <c r="M69" s="64"/>
    </row>
    <row r="70" spans="9:13" x14ac:dyDescent="0.2">
      <c r="I70" s="6"/>
      <c r="J70" s="6" t="str">
        <f ca="1"/>
        <v/>
      </c>
      <c r="K70" s="94" t="s">
        <v>34</v>
      </c>
      <c r="L70" s="6" t="str">
        <f ca="1"/>
        <v/>
      </c>
      <c r="M70" s="64"/>
    </row>
    <row r="71" spans="9:13" x14ac:dyDescent="0.2">
      <c r="I71" s="6"/>
      <c r="J71" s="6" t="str">
        <f ca="1"/>
        <v/>
      </c>
      <c r="K71" s="94" t="s">
        <v>34</v>
      </c>
      <c r="L71" s="6" t="str">
        <f ca="1"/>
        <v/>
      </c>
      <c r="M71" s="64"/>
    </row>
    <row r="72" spans="9:13" x14ac:dyDescent="0.2">
      <c r="I72" s="6"/>
      <c r="J72" s="6" t="str">
        <f ca="1"/>
        <v/>
      </c>
      <c r="K72" s="94" t="s">
        <v>34</v>
      </c>
      <c r="L72" s="6" t="str">
        <f ca="1"/>
        <v/>
      </c>
      <c r="M72" s="64"/>
    </row>
    <row r="73" spans="9:13" x14ac:dyDescent="0.2">
      <c r="I73" s="6"/>
      <c r="J73" s="6" t="str">
        <f ca="1"/>
        <v/>
      </c>
      <c r="K73" s="94" t="s">
        <v>34</v>
      </c>
      <c r="L73" s="6" t="str">
        <f ca="1"/>
        <v/>
      </c>
      <c r="M73" s="64"/>
    </row>
    <row r="74" spans="9:13" x14ac:dyDescent="0.2">
      <c r="I74" s="6"/>
      <c r="J74" s="6" t="str">
        <f ca="1"/>
        <v/>
      </c>
      <c r="K74" s="94" t="s">
        <v>34</v>
      </c>
      <c r="L74" s="6" t="str">
        <f ca="1"/>
        <v/>
      </c>
      <c r="M74" s="64"/>
    </row>
    <row r="75" spans="9:13" x14ac:dyDescent="0.2">
      <c r="I75" s="6"/>
      <c r="J75" s="6" t="str">
        <f ca="1"/>
        <v/>
      </c>
      <c r="K75" s="94" t="s">
        <v>34</v>
      </c>
      <c r="L75" s="6" t="str">
        <f ca="1"/>
        <v/>
      </c>
      <c r="M75" s="64"/>
    </row>
    <row r="76" spans="9:13" x14ac:dyDescent="0.2">
      <c r="I76" s="6"/>
      <c r="J76" s="6" t="str">
        <f ca="1"/>
        <v/>
      </c>
      <c r="K76" s="94" t="s">
        <v>34</v>
      </c>
      <c r="L76" s="6" t="str">
        <f ca="1"/>
        <v/>
      </c>
      <c r="M76" s="64"/>
    </row>
    <row r="77" spans="9:13" x14ac:dyDescent="0.2">
      <c r="I77" s="6"/>
      <c r="M77" s="53"/>
    </row>
  </sheetData>
  <sheetProtection algorithmName="SHA-512" hashValue="fLAEZkPCjzRaIOJsDnW9psVZ4TpS0v22X2ulxDgpwzDpTyADg1G8wB+RPqvbtRvn974YRePZ9iflRi0HI7OXNQ==" saltValue="CBud5vLtdJ0qcf6lQluPeg==" spinCount="100000" sheet="1" objects="1" scenarios="1" selectLockedCells="1" autoFilter="0" selectUnlockedCells="1"/>
  <phoneticPr fontId="0" type="noConversion"/>
  <pageMargins left="0.75" right="0.75" top="1" bottom="1" header="0.5" footer="0.5"/>
  <pageSetup orientation="portrait" horizontalDpi="4294967293" r:id="rId1"/>
  <headerFooter alignWithMargins="0"/>
  <customProperties>
    <customPr name="%locator_row%" r:id="rId2"/>
    <customPr name="%startcell%" r:id="rId3"/>
  </customProperties>
  <legacyDrawing r:id="rId4"/>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0E69536-6425-4D9D-A789-D8A8DC5BAEB8}">
  <sheetPr codeName="Sheet15"/>
  <dimension ref="A1:C8"/>
  <sheetViews>
    <sheetView workbookViewId="0">
      <selection activeCell="F9" sqref="F9"/>
    </sheetView>
  </sheetViews>
  <sheetFormatPr defaultRowHeight="12.75" x14ac:dyDescent="0.2"/>
  <cols>
    <col min="3" max="3" width="9.42578125" customWidth="1"/>
  </cols>
  <sheetData>
    <row r="1" spans="1:3" x14ac:dyDescent="0.2">
      <c r="A1" s="44" t="s">
        <v>915</v>
      </c>
      <c r="B1" s="477" t="s">
        <v>916</v>
      </c>
    </row>
    <row r="2" spans="1:3" x14ac:dyDescent="0.2">
      <c r="A2" s="44"/>
      <c r="B2" s="44"/>
    </row>
    <row r="3" spans="1:3" x14ac:dyDescent="0.2">
      <c r="A3" s="44" t="s">
        <v>605</v>
      </c>
      <c r="B3" s="44" t="s">
        <v>606</v>
      </c>
      <c r="C3" s="44" t="s">
        <v>917</v>
      </c>
    </row>
    <row r="4" spans="1:3" x14ac:dyDescent="0.2">
      <c r="A4" s="476">
        <v>-100</v>
      </c>
      <c r="B4" s="476">
        <v>392</v>
      </c>
      <c r="C4" s="475">
        <v>1.6</v>
      </c>
    </row>
    <row r="5" spans="1:3" x14ac:dyDescent="0.2">
      <c r="A5" s="476">
        <v>392</v>
      </c>
      <c r="B5" s="476">
        <v>752</v>
      </c>
      <c r="C5" s="475">
        <v>4</v>
      </c>
    </row>
    <row r="6" spans="1:3" x14ac:dyDescent="0.2">
      <c r="A6" s="476">
        <v>752</v>
      </c>
      <c r="B6" s="476">
        <v>1200</v>
      </c>
      <c r="C6" s="475">
        <v>3</v>
      </c>
    </row>
    <row r="7" spans="1:3" x14ac:dyDescent="0.2">
      <c r="A7" s="476">
        <v>1200</v>
      </c>
      <c r="B7" s="476">
        <v>2000</v>
      </c>
      <c r="C7" s="475">
        <v>4.0999999999999996</v>
      </c>
    </row>
    <row r="8" spans="1:3" x14ac:dyDescent="0.2">
      <c r="A8" s="476">
        <v>1800</v>
      </c>
      <c r="B8" s="476">
        <v>2200</v>
      </c>
      <c r="C8" s="475">
        <v>4.0999999999999996</v>
      </c>
    </row>
  </sheetData>
  <sheetProtection algorithmName="SHA-512" hashValue="jeASK6kamvU80pLDckarJ8PfPjcNp/yFl38tOQjGEe6jWJNWEBFNOyppf5XNpST4heEHkLdol8X/r2CBVoVh8g==" saltValue="ZgU9KBjAY9vMscbWbFJnZg==" spinCount="100000" sheet="1" objects="1" scenarios="1" autoFilter="0"/>
  <hyperlinks>
    <hyperlink ref="B1" r:id="rId1" xr:uid="{E674B706-57A9-4B5E-8386-74233A24E240}"/>
  </hyperlinks>
  <pageMargins left="0.7" right="0.7" top="0.75" bottom="0.75" header="0.3" footer="0.3"/>
  <tableParts count="1">
    <tablePart r:id="rId2"/>
  </tableParts>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A6C57C3-19A3-4DB7-932A-A8E97AE6634B}">
  <sheetPr codeName="Sheet16"/>
  <dimension ref="A1:L13"/>
  <sheetViews>
    <sheetView workbookViewId="0"/>
  </sheetViews>
  <sheetFormatPr defaultRowHeight="12.75" x14ac:dyDescent="0.2"/>
  <cols>
    <col min="1" max="1" width="12" bestFit="1" customWidth="1"/>
    <col min="2" max="2" width="11.5703125" bestFit="1" customWidth="1"/>
    <col min="3" max="3" width="6.5703125" bestFit="1" customWidth="1"/>
    <col min="4" max="4" width="13" bestFit="1" customWidth="1"/>
    <col min="5" max="5" width="14.140625" bestFit="1" customWidth="1"/>
    <col min="6" max="6" width="12" bestFit="1" customWidth="1"/>
    <col min="7" max="7" width="7.140625" bestFit="1" customWidth="1"/>
    <col min="8" max="8" width="9.28515625" bestFit="1" customWidth="1"/>
    <col min="9" max="9" width="8.7109375" bestFit="1" customWidth="1"/>
  </cols>
  <sheetData>
    <row r="1" spans="1:12" x14ac:dyDescent="0.2">
      <c r="A1"/>
      <c r="B1"/>
      <c r="C1"/>
      <c r="D1"/>
      <c r="E1"/>
      <c r="F1"/>
      <c r="G1"/>
      <c r="H1"/>
      <c r="I1"/>
    </row>
    <row r="2" spans="1:12" x14ac:dyDescent="0.2">
      <c r="A2"/>
      <c r="B2"/>
      <c r="C2"/>
      <c r="D2" s="669"/>
      <c r="E2" s="669"/>
      <c r="F2"/>
      <c r="G2"/>
      <c r="H2" s="670"/>
      <c r="I2"/>
    </row>
    <row r="3" spans="1:12" x14ac:dyDescent="0.2">
      <c r="A3"/>
      <c r="B3"/>
      <c r="C3"/>
      <c r="D3" s="669"/>
      <c r="E3" s="669"/>
      <c r="F3"/>
      <c r="G3"/>
      <c r="H3" s="137"/>
      <c r="I3"/>
    </row>
    <row r="4" spans="1:12" x14ac:dyDescent="0.2">
      <c r="A4"/>
      <c r="B4"/>
      <c r="C4"/>
      <c r="D4" s="669"/>
      <c r="E4" s="669"/>
      <c r="F4"/>
      <c r="G4"/>
      <c r="H4" s="137"/>
      <c r="I4"/>
    </row>
    <row r="5" spans="1:12" x14ac:dyDescent="0.2">
      <c r="A5"/>
      <c r="B5"/>
      <c r="C5"/>
      <c r="D5" s="669"/>
      <c r="E5" s="669"/>
      <c r="F5"/>
      <c r="G5"/>
      <c r="H5" s="137"/>
      <c r="I5"/>
    </row>
    <row r="6" spans="1:12" x14ac:dyDescent="0.2">
      <c r="A6"/>
      <c r="B6"/>
      <c r="C6"/>
      <c r="D6" s="669"/>
      <c r="E6" s="669"/>
      <c r="F6"/>
      <c r="G6"/>
      <c r="H6" s="137"/>
      <c r="I6"/>
    </row>
    <row r="7" spans="1:12" x14ac:dyDescent="0.2">
      <c r="A7"/>
      <c r="B7"/>
      <c r="C7"/>
      <c r="D7" s="669"/>
      <c r="E7" s="669"/>
      <c r="F7"/>
      <c r="G7"/>
      <c r="H7" s="137"/>
      <c r="I7"/>
      <c r="L7" s="44"/>
    </row>
    <row r="8" spans="1:12" x14ac:dyDescent="0.2">
      <c r="A8"/>
      <c r="B8"/>
      <c r="C8"/>
      <c r="D8" s="669"/>
      <c r="E8" s="669"/>
      <c r="F8"/>
      <c r="G8"/>
      <c r="H8" s="137"/>
      <c r="I8"/>
    </row>
    <row r="9" spans="1:12" x14ac:dyDescent="0.2">
      <c r="A9"/>
      <c r="B9"/>
      <c r="C9"/>
      <c r="D9" s="669"/>
      <c r="E9" s="669"/>
      <c r="F9"/>
      <c r="G9"/>
      <c r="H9" s="137"/>
      <c r="I9"/>
    </row>
    <row r="10" spans="1:12" x14ac:dyDescent="0.2">
      <c r="A10"/>
      <c r="B10"/>
      <c r="C10"/>
      <c r="D10" s="669"/>
      <c r="E10" s="669"/>
      <c r="F10"/>
      <c r="G10"/>
      <c r="H10" s="137"/>
      <c r="I10"/>
    </row>
    <row r="11" spans="1:12" x14ac:dyDescent="0.2">
      <c r="A11"/>
      <c r="B11"/>
      <c r="C11"/>
      <c r="D11" s="669"/>
      <c r="E11" s="669"/>
      <c r="F11"/>
      <c r="G11"/>
      <c r="H11" s="137"/>
      <c r="I11"/>
    </row>
    <row r="12" spans="1:12" x14ac:dyDescent="0.2">
      <c r="A12"/>
      <c r="B12"/>
      <c r="C12"/>
      <c r="D12" s="669"/>
      <c r="E12" s="669"/>
      <c r="F12"/>
      <c r="G12"/>
      <c r="H12" s="137"/>
      <c r="I12"/>
    </row>
    <row r="13" spans="1:12" x14ac:dyDescent="0.2">
      <c r="A13"/>
      <c r="B13"/>
      <c r="C13"/>
      <c r="D13" s="669"/>
      <c r="E13" s="669"/>
      <c r="F13"/>
      <c r="G13"/>
      <c r="H13" s="137"/>
      <c r="I13"/>
    </row>
  </sheetData>
  <phoneticPr fontId="23" type="noConversion"/>
  <pageMargins left="0.7" right="0.7" top="0.75" bottom="0.75" header="0.3" footer="0.3"/>
  <tableParts count="1">
    <tablePart r:id="rId1"/>
  </tableParts>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8"/>
  <dimension ref="A1:AH35"/>
  <sheetViews>
    <sheetView workbookViewId="0">
      <selection activeCell="Q12" sqref="Q12"/>
    </sheetView>
  </sheetViews>
  <sheetFormatPr defaultRowHeight="12.75" x14ac:dyDescent="0.2"/>
  <cols>
    <col min="1" max="1" width="3.28515625" bestFit="1" customWidth="1"/>
    <col min="2" max="2" width="15.140625" bestFit="1" customWidth="1"/>
    <col min="4" max="4" width="21.85546875" bestFit="1" customWidth="1"/>
    <col min="5" max="5" width="11.42578125" customWidth="1"/>
    <col min="6" max="6" width="18.5703125" customWidth="1"/>
    <col min="7" max="7" width="3.7109375" bestFit="1" customWidth="1"/>
    <col min="8" max="8" width="21.85546875" bestFit="1" customWidth="1"/>
    <col min="9" max="10" width="2" customWidth="1"/>
    <col min="11" max="11" width="24.42578125" bestFit="1" customWidth="1"/>
    <col min="12" max="12" width="2" customWidth="1"/>
    <col min="13" max="13" width="29.28515625" bestFit="1" customWidth="1"/>
    <col min="14" max="14" width="2" customWidth="1"/>
    <col min="15" max="15" width="34" bestFit="1" customWidth="1"/>
    <col min="16" max="16" width="2" customWidth="1"/>
    <col min="17" max="17" width="12.28515625" bestFit="1" customWidth="1"/>
    <col min="18" max="18" width="2" customWidth="1"/>
    <col min="19" max="19" width="16.42578125" bestFit="1" customWidth="1"/>
    <col min="20" max="20" width="2" customWidth="1"/>
    <col min="21" max="21" width="13.7109375" customWidth="1"/>
    <col min="22" max="22" width="2" customWidth="1"/>
    <col min="23" max="23" width="27" bestFit="1" customWidth="1"/>
    <col min="24" max="24" width="2" customWidth="1"/>
    <col min="25" max="25" width="16.28515625" bestFit="1" customWidth="1"/>
    <col min="26" max="26" width="2" customWidth="1"/>
    <col min="27" max="27" width="11.5703125" bestFit="1" customWidth="1"/>
    <col min="28" max="28" width="2" customWidth="1"/>
    <col min="30" max="30" width="2" customWidth="1"/>
    <col min="33" max="33" width="12.140625" bestFit="1" customWidth="1"/>
    <col min="34" max="34" width="12.140625" customWidth="1"/>
  </cols>
  <sheetData>
    <row r="1" spans="1:34" x14ac:dyDescent="0.2">
      <c r="A1" s="624" t="s">
        <v>72</v>
      </c>
      <c r="B1" s="556"/>
      <c r="C1" s="556"/>
      <c r="D1" s="556"/>
      <c r="E1" s="40" t="s">
        <v>179</v>
      </c>
      <c r="G1" s="556" t="s">
        <v>85</v>
      </c>
      <c r="H1" s="556"/>
      <c r="K1" t="s">
        <v>113</v>
      </c>
      <c r="M1" t="s">
        <v>114</v>
      </c>
      <c r="O1" t="s">
        <v>144</v>
      </c>
      <c r="Q1" t="s">
        <v>153</v>
      </c>
      <c r="S1" t="s">
        <v>159</v>
      </c>
      <c r="U1" s="44" t="s">
        <v>193</v>
      </c>
      <c r="W1" s="44" t="s">
        <v>197</v>
      </c>
      <c r="Y1" s="44" t="s">
        <v>252</v>
      </c>
      <c r="AA1" s="44" t="s">
        <v>253</v>
      </c>
      <c r="AC1" s="44" t="s">
        <v>286</v>
      </c>
      <c r="AE1" s="88" t="s">
        <v>385</v>
      </c>
      <c r="AG1" s="41" t="s">
        <v>392</v>
      </c>
      <c r="AH1" s="41"/>
    </row>
    <row r="2" spans="1:34" x14ac:dyDescent="0.2">
      <c r="A2" s="40" t="str" cm="1">
        <f t="array" ref="A2:A9">_xlfn._xlws.FILTER(AssetPool[asset_tag], AssetPool[root_category_name]="DAQ Modules")</f>
        <v>J1</v>
      </c>
      <c r="B2" s="40" t="str" cm="1">
        <f t="array" ref="B2:B9">_xlfn._xlws.FILTER(AssetPool[manufacturer_part_number], AssetPool[root_category_name]="DAQ Modules")</f>
        <v>DaqBook/2005</v>
      </c>
      <c r="C2" s="40" t="str" cm="1">
        <f t="array" ref="C2:C9">_xlfn._xlws.FILTER(AssetPool[serial_number], AssetPool[root_category_name]="DAQ Modules")</f>
        <v>807408</v>
      </c>
      <c r="D2" s="40" t="str">
        <f>VLOOKUP(LEFT(A2,1),G$2:H$4,2,FALSE)</f>
        <v>"J" IRON-CONSTANTAN</v>
      </c>
      <c r="E2" s="40">
        <v>40</v>
      </c>
      <c r="G2" s="44" t="s">
        <v>598</v>
      </c>
      <c r="H2" t="s">
        <v>88</v>
      </c>
      <c r="K2" t="s">
        <v>104</v>
      </c>
      <c r="M2" t="s">
        <v>115</v>
      </c>
      <c r="Q2" t="s">
        <v>154</v>
      </c>
      <c r="S2" t="s">
        <v>101</v>
      </c>
      <c r="U2" s="44" t="s">
        <v>194</v>
      </c>
      <c r="W2">
        <f>IF(Main!D32 = 10, 5, IF(Main!D32 = 30, 15, IF(Main!D32 = 40, 20, 0)))</f>
        <v>0</v>
      </c>
      <c r="Y2" t="s">
        <v>227</v>
      </c>
      <c r="AC2" s="44" t="s">
        <v>288</v>
      </c>
      <c r="AE2" s="44" t="s">
        <v>386</v>
      </c>
      <c r="AG2" s="44" t="str" cm="1">
        <f t="array" ref="AG2:AG11">_xlfn._xlws.FILTER(Employees[Name],Employees[departments.name]="Pyrometry Department")</f>
        <v>Danny Turkali</v>
      </c>
      <c r="AH2" s="44"/>
    </row>
    <row r="3" spans="1:34" x14ac:dyDescent="0.2">
      <c r="A3" s="40" t="str">
        <v>J2</v>
      </c>
      <c r="B3" s="40" t="str">
        <v>DaqBook/2005</v>
      </c>
      <c r="C3" s="40" t="str">
        <v>806337</v>
      </c>
      <c r="D3" s="40" t="str">
        <f t="shared" ref="D3:D9" si="0">VLOOKUP(LEFT(A3,1),G$2:H$4,2,FALSE)</f>
        <v>"J" IRON-CONSTANTAN</v>
      </c>
      <c r="E3" s="40">
        <v>28</v>
      </c>
      <c r="G3" s="44" t="s">
        <v>599</v>
      </c>
      <c r="H3" t="s">
        <v>86</v>
      </c>
      <c r="K3" t="s">
        <v>105</v>
      </c>
      <c r="M3" t="s">
        <v>116</v>
      </c>
      <c r="O3" t="s">
        <v>145</v>
      </c>
      <c r="Q3" s="44" t="s">
        <v>190</v>
      </c>
      <c r="S3" t="s">
        <v>161</v>
      </c>
      <c r="U3" s="44" t="s">
        <v>353</v>
      </c>
      <c r="Y3" t="s">
        <v>228</v>
      </c>
      <c r="AC3" s="44" t="s">
        <v>287</v>
      </c>
      <c r="AE3" s="44" t="s">
        <v>419</v>
      </c>
      <c r="AG3" s="44" t="str">
        <v>James Haven</v>
      </c>
      <c r="AH3" s="44"/>
    </row>
    <row r="4" spans="1:34" x14ac:dyDescent="0.2">
      <c r="A4" s="40" t="str">
        <v>J3</v>
      </c>
      <c r="B4" s="40" t="str">
        <v>DaqBook/2005</v>
      </c>
      <c r="C4" s="40" t="str">
        <v>807705</v>
      </c>
      <c r="D4" s="40" t="str">
        <f t="shared" si="0"/>
        <v>"J" IRON-CONSTANTAN</v>
      </c>
      <c r="E4" s="40">
        <v>28</v>
      </c>
      <c r="G4" s="44" t="s">
        <v>597</v>
      </c>
      <c r="H4" t="s">
        <v>87</v>
      </c>
      <c r="K4" t="s">
        <v>116</v>
      </c>
      <c r="M4" t="s">
        <v>126</v>
      </c>
      <c r="O4" t="s">
        <v>151</v>
      </c>
      <c r="Q4" t="s">
        <v>155</v>
      </c>
      <c r="S4" t="s">
        <v>160</v>
      </c>
      <c r="U4" s="44" t="s">
        <v>195</v>
      </c>
      <c r="Y4" t="s">
        <v>229</v>
      </c>
      <c r="AE4" s="44" t="s">
        <v>361</v>
      </c>
      <c r="AG4" s="44" t="str">
        <v>Jesse Regehr</v>
      </c>
      <c r="AH4" s="44"/>
    </row>
    <row r="5" spans="1:34" x14ac:dyDescent="0.2">
      <c r="A5" s="40" t="str">
        <v>K4</v>
      </c>
      <c r="B5" s="40" t="str">
        <v>DaqBook/2005</v>
      </c>
      <c r="C5" s="40" t="str">
        <v>807409</v>
      </c>
      <c r="D5" s="40" t="str">
        <f t="shared" si="0"/>
        <v>"K" CHROMEL-ALUMEL</v>
      </c>
      <c r="E5" s="40">
        <v>40</v>
      </c>
      <c r="K5" s="95">
        <v>283372</v>
      </c>
      <c r="M5" t="s">
        <v>129</v>
      </c>
      <c r="O5" t="s">
        <v>170</v>
      </c>
      <c r="Q5" t="s">
        <v>156</v>
      </c>
      <c r="U5" s="44" t="s">
        <v>131</v>
      </c>
      <c r="Y5" t="s">
        <v>230</v>
      </c>
      <c r="AG5" s="44" t="str">
        <v>Joey Craig</v>
      </c>
      <c r="AH5" s="44"/>
    </row>
    <row r="6" spans="1:34" x14ac:dyDescent="0.2">
      <c r="A6" s="40" t="str">
        <v>K5</v>
      </c>
      <c r="B6" s="40" t="str">
        <v>DaqBook/2005</v>
      </c>
      <c r="C6" s="40" t="str">
        <v>808005</v>
      </c>
      <c r="D6" s="40" t="str">
        <f t="shared" si="0"/>
        <v>"K" CHROMEL-ALUMEL</v>
      </c>
      <c r="E6" s="40">
        <v>28</v>
      </c>
      <c r="K6" t="s">
        <v>135</v>
      </c>
      <c r="O6" t="s">
        <v>127</v>
      </c>
      <c r="Q6" s="44" t="s">
        <v>416</v>
      </c>
      <c r="U6" s="44" t="s">
        <v>132</v>
      </c>
      <c r="Y6" t="s">
        <v>231</v>
      </c>
      <c r="AG6" s="44" t="str">
        <v>Joey Knutson</v>
      </c>
      <c r="AH6" s="44"/>
    </row>
    <row r="7" spans="1:34" x14ac:dyDescent="0.2">
      <c r="A7" s="40" t="str">
        <v>K6</v>
      </c>
      <c r="B7" s="40" t="str">
        <v>DaqBook/2005</v>
      </c>
      <c r="C7" s="40" t="str">
        <v>808173</v>
      </c>
      <c r="D7" s="40" t="str">
        <f t="shared" si="0"/>
        <v>"K" CHROMEL-ALUMEL</v>
      </c>
      <c r="E7" s="40">
        <v>40</v>
      </c>
      <c r="O7" t="s">
        <v>148</v>
      </c>
      <c r="Q7" s="44" t="s">
        <v>417</v>
      </c>
      <c r="U7" s="44" t="s">
        <v>196</v>
      </c>
      <c r="Y7" t="s">
        <v>232</v>
      </c>
      <c r="AG7" s="44" t="str">
        <v>Kevin Ferrante</v>
      </c>
      <c r="AH7" s="44"/>
    </row>
    <row r="8" spans="1:34" x14ac:dyDescent="0.2">
      <c r="A8" s="40" t="str">
        <v>K7</v>
      </c>
      <c r="B8" s="97" t="str">
        <v>DaqBook/2005</v>
      </c>
      <c r="C8" s="97" t="str">
        <v>22500C0</v>
      </c>
      <c r="D8" s="40" t="str">
        <f t="shared" si="0"/>
        <v>"K" CHROMEL-ALUMEL</v>
      </c>
      <c r="E8" s="40">
        <v>28</v>
      </c>
      <c r="O8" t="s">
        <v>147</v>
      </c>
      <c r="Q8" s="44" t="s">
        <v>418</v>
      </c>
      <c r="U8" t="str">
        <f>IF(AND(Main!D17&lt;&gt;"",Main!D17&gt;14),"Data_Sheet_15_28","")</f>
        <v/>
      </c>
      <c r="Y8" t="s">
        <v>233</v>
      </c>
      <c r="AE8" s="88" t="s">
        <v>387</v>
      </c>
      <c r="AG8" s="44" t="str">
        <v>Matt Coleman</v>
      </c>
      <c r="AH8" s="44"/>
    </row>
    <row r="9" spans="1:34" x14ac:dyDescent="0.2">
      <c r="A9" s="139" t="str">
        <v>N2</v>
      </c>
      <c r="B9" s="84" t="str">
        <v>DaqBook/2005</v>
      </c>
      <c r="C9" s="40" t="str">
        <v>808004</v>
      </c>
      <c r="D9" s="40" t="str">
        <f t="shared" si="0"/>
        <v>"N" NICROSIL-NISIL</v>
      </c>
      <c r="E9" s="84">
        <v>28</v>
      </c>
      <c r="O9" t="s">
        <v>18</v>
      </c>
      <c r="U9" t="str">
        <f>IF(AND(Main!D17&lt;&gt;"",Main!D17&gt;28),"Data_Sheet_29_40","")</f>
        <v/>
      </c>
      <c r="Y9" t="s">
        <v>234</v>
      </c>
      <c r="AE9" s="44" t="s">
        <v>363</v>
      </c>
      <c r="AG9" s="44" t="str">
        <v>Mike Ragonese</v>
      </c>
      <c r="AH9" s="44"/>
    </row>
    <row r="10" spans="1:34" x14ac:dyDescent="0.2">
      <c r="O10" t="s">
        <v>146</v>
      </c>
      <c r="Y10" t="s">
        <v>236</v>
      </c>
      <c r="AE10" s="44" t="s">
        <v>388</v>
      </c>
      <c r="AG10" s="44" t="str">
        <v>Nick Nolte</v>
      </c>
      <c r="AH10" s="44"/>
    </row>
    <row r="11" spans="1:34" x14ac:dyDescent="0.2">
      <c r="O11" t="s">
        <v>150</v>
      </c>
      <c r="Y11" s="44" t="s">
        <v>262</v>
      </c>
      <c r="AE11" s="44" t="s">
        <v>156</v>
      </c>
      <c r="AG11" t="str">
        <v>Ryan Byars</v>
      </c>
    </row>
    <row r="12" spans="1:34" x14ac:dyDescent="0.2">
      <c r="O12" t="s">
        <v>149</v>
      </c>
      <c r="Y12" s="44" t="s">
        <v>402</v>
      </c>
      <c r="AE12" s="44" t="s">
        <v>389</v>
      </c>
    </row>
    <row r="13" spans="1:34" x14ac:dyDescent="0.2">
      <c r="O13" s="44" t="s">
        <v>413</v>
      </c>
      <c r="Y13" t="s">
        <v>237</v>
      </c>
      <c r="AE13" s="44" t="s">
        <v>390</v>
      </c>
    </row>
    <row r="14" spans="1:34" x14ac:dyDescent="0.2">
      <c r="Y14" t="s">
        <v>238</v>
      </c>
      <c r="AE14" s="44" t="s">
        <v>391</v>
      </c>
    </row>
    <row r="15" spans="1:34" x14ac:dyDescent="0.2">
      <c r="Y15" t="s">
        <v>239</v>
      </c>
      <c r="AE15" s="44" t="s">
        <v>412</v>
      </c>
    </row>
    <row r="16" spans="1:34" x14ac:dyDescent="0.2">
      <c r="F16" s="47"/>
      <c r="G16" s="47"/>
      <c r="H16" s="47"/>
      <c r="I16" s="47"/>
      <c r="J16" s="47"/>
      <c r="K16" s="47"/>
      <c r="L16" s="47"/>
      <c r="M16" s="47"/>
      <c r="O16" s="47"/>
      <c r="Y16" t="s">
        <v>240</v>
      </c>
    </row>
    <row r="17" spans="25:25" x14ac:dyDescent="0.2">
      <c r="Y17" s="44" t="s">
        <v>292</v>
      </c>
    </row>
    <row r="18" spans="25:25" x14ac:dyDescent="0.2">
      <c r="Y18" t="s">
        <v>241</v>
      </c>
    </row>
    <row r="19" spans="25:25" x14ac:dyDescent="0.2">
      <c r="Y19" t="s">
        <v>242</v>
      </c>
    </row>
    <row r="20" spans="25:25" x14ac:dyDescent="0.2">
      <c r="Y20" t="s">
        <v>243</v>
      </c>
    </row>
    <row r="21" spans="25:25" x14ac:dyDescent="0.2">
      <c r="Y21" t="s">
        <v>244</v>
      </c>
    </row>
    <row r="22" spans="25:25" x14ac:dyDescent="0.2">
      <c r="Y22" t="s">
        <v>245</v>
      </c>
    </row>
    <row r="23" spans="25:25" x14ac:dyDescent="0.2">
      <c r="Y23" s="44" t="s">
        <v>272</v>
      </c>
    </row>
    <row r="24" spans="25:25" x14ac:dyDescent="0.2">
      <c r="Y24" s="44" t="s">
        <v>284</v>
      </c>
    </row>
    <row r="25" spans="25:25" x14ac:dyDescent="0.2">
      <c r="Y25" s="44" t="s">
        <v>358</v>
      </c>
    </row>
    <row r="26" spans="25:25" x14ac:dyDescent="0.2">
      <c r="Y26" t="s">
        <v>246</v>
      </c>
    </row>
    <row r="27" spans="25:25" x14ac:dyDescent="0.2">
      <c r="Y27" t="s">
        <v>247</v>
      </c>
    </row>
    <row r="28" spans="25:25" x14ac:dyDescent="0.2">
      <c r="Y28" s="44" t="s">
        <v>285</v>
      </c>
    </row>
    <row r="29" spans="25:25" x14ac:dyDescent="0.2">
      <c r="Y29" t="s">
        <v>217</v>
      </c>
    </row>
    <row r="30" spans="25:25" x14ac:dyDescent="0.2">
      <c r="Y30" s="44" t="s">
        <v>296</v>
      </c>
    </row>
    <row r="31" spans="25:25" x14ac:dyDescent="0.2">
      <c r="Y31" t="s">
        <v>219</v>
      </c>
    </row>
    <row r="32" spans="25:25" x14ac:dyDescent="0.2">
      <c r="Y32" t="s">
        <v>222</v>
      </c>
    </row>
    <row r="33" spans="25:25" x14ac:dyDescent="0.2">
      <c r="Y33" t="s">
        <v>225</v>
      </c>
    </row>
    <row r="34" spans="25:25" x14ac:dyDescent="0.2">
      <c r="Y34" t="s">
        <v>226</v>
      </c>
    </row>
    <row r="35" spans="25:25" x14ac:dyDescent="0.2">
      <c r="Y35" s="44" t="s">
        <v>289</v>
      </c>
    </row>
  </sheetData>
  <sheetProtection algorithmName="SHA-512" hashValue="I40hQCE1X1Tbk+47PhVpsccIn5d7wjswWUf+huQWdY1AH0T0m1U+KTJSrOCTDOhEC1aRT7Z1ZcFhDJqs6kdFjA==" saltValue="nwssFJzeBr3SwNp9ff9tqw==" spinCount="100000" sheet="1" objects="1" scenarios="1" selectLockedCells="1" autoFilter="0" selectUnlockedCells="1"/>
  <sortState xmlns:xlrd2="http://schemas.microsoft.com/office/spreadsheetml/2017/richdata2" ref="AG2:AG10">
    <sortCondition ref="AG2:AG10"/>
  </sortState>
  <mergeCells count="2">
    <mergeCell ref="G1:H1"/>
    <mergeCell ref="A1:D1"/>
  </mergeCells>
  <phoneticPr fontId="23" type="noConversion"/>
  <pageMargins left="0.75" right="0.75" top="1" bottom="1" header="0.5" footer="0.5"/>
  <pageSetup orientation="portrait" r:id="rId1"/>
  <headerFooter alignWithMargins="0"/>
  <customProperties>
    <customPr name="%locator_row%" r:id="rId2"/>
    <customPr name="%startcell%" r:id="rId3"/>
  </customProperties>
  <cellWatches>
    <cellWatch r="K6"/>
  </cellWatches>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5821B9-9962-451E-85B5-57679C157888}">
  <sheetPr codeName="Sheet11"/>
  <dimension ref="A1:D7556"/>
  <sheetViews>
    <sheetView workbookViewId="0">
      <selection activeCell="C1" sqref="C1"/>
    </sheetView>
  </sheetViews>
  <sheetFormatPr defaultRowHeight="12.75" x14ac:dyDescent="0.2"/>
  <cols>
    <col min="1" max="1" width="7.85546875" bestFit="1" customWidth="1"/>
    <col min="2" max="2" width="10.28515625" bestFit="1" customWidth="1"/>
    <col min="3" max="3" width="7.85546875" bestFit="1" customWidth="1"/>
    <col min="4" max="4" width="8.28515625" bestFit="1" customWidth="1"/>
  </cols>
  <sheetData>
    <row r="1" spans="1:4" x14ac:dyDescent="0.2">
      <c r="A1"/>
      <c r="B1"/>
      <c r="C1"/>
      <c r="D1"/>
    </row>
    <row r="2" spans="1:4" x14ac:dyDescent="0.2">
      <c r="A2"/>
      <c r="B2"/>
      <c r="C2"/>
      <c r="D2"/>
    </row>
    <row r="3" spans="1:4" x14ac:dyDescent="0.2">
      <c r="A3"/>
      <c r="B3"/>
      <c r="C3"/>
      <c r="D3"/>
    </row>
    <row r="4" spans="1:4" x14ac:dyDescent="0.2">
      <c r="A4"/>
      <c r="B4"/>
      <c r="C4"/>
      <c r="D4"/>
    </row>
    <row r="5" spans="1:4" x14ac:dyDescent="0.2">
      <c r="A5"/>
      <c r="B5"/>
      <c r="C5"/>
      <c r="D5"/>
    </row>
    <row r="6" spans="1:4" x14ac:dyDescent="0.2">
      <c r="A6"/>
      <c r="B6"/>
      <c r="C6"/>
      <c r="D6"/>
    </row>
    <row r="7" spans="1:4" x14ac:dyDescent="0.2">
      <c r="A7"/>
      <c r="B7"/>
      <c r="C7"/>
      <c r="D7"/>
    </row>
    <row r="8" spans="1:4" x14ac:dyDescent="0.2">
      <c r="A8"/>
      <c r="B8"/>
      <c r="C8"/>
      <c r="D8"/>
    </row>
    <row r="9" spans="1:4" x14ac:dyDescent="0.2">
      <c r="A9"/>
      <c r="B9"/>
      <c r="C9"/>
      <c r="D9"/>
    </row>
    <row r="10" spans="1:4" x14ac:dyDescent="0.2">
      <c r="A10"/>
      <c r="B10"/>
      <c r="C10"/>
      <c r="D10"/>
    </row>
    <row r="11" spans="1:4" x14ac:dyDescent="0.2">
      <c r="A11"/>
      <c r="B11"/>
      <c r="C11"/>
      <c r="D11"/>
    </row>
    <row r="12" spans="1:4" x14ac:dyDescent="0.2">
      <c r="A12"/>
      <c r="B12"/>
      <c r="C12"/>
      <c r="D12"/>
    </row>
    <row r="13" spans="1:4" x14ac:dyDescent="0.2">
      <c r="A13"/>
      <c r="B13"/>
      <c r="C13"/>
      <c r="D13"/>
    </row>
    <row r="14" spans="1:4" x14ac:dyDescent="0.2">
      <c r="A14"/>
      <c r="B14"/>
      <c r="C14"/>
      <c r="D14"/>
    </row>
    <row r="15" spans="1:4" x14ac:dyDescent="0.2">
      <c r="A15"/>
      <c r="B15"/>
      <c r="C15"/>
      <c r="D15"/>
    </row>
    <row r="16" spans="1:4" x14ac:dyDescent="0.2">
      <c r="A16"/>
      <c r="B16"/>
      <c r="C16"/>
      <c r="D16"/>
    </row>
    <row r="17" spans="1:4" x14ac:dyDescent="0.2">
      <c r="A17"/>
      <c r="B17"/>
      <c r="C17"/>
      <c r="D17"/>
    </row>
    <row r="18" spans="1:4" x14ac:dyDescent="0.2">
      <c r="A18"/>
      <c r="B18"/>
      <c r="C18"/>
      <c r="D18"/>
    </row>
    <row r="19" spans="1:4" x14ac:dyDescent="0.2">
      <c r="A19"/>
      <c r="B19"/>
      <c r="C19"/>
      <c r="D19"/>
    </row>
    <row r="20" spans="1:4" x14ac:dyDescent="0.2">
      <c r="A20"/>
      <c r="B20"/>
      <c r="C20"/>
      <c r="D20"/>
    </row>
    <row r="21" spans="1:4" x14ac:dyDescent="0.2">
      <c r="A21"/>
      <c r="B21"/>
      <c r="C21"/>
      <c r="D21"/>
    </row>
    <row r="22" spans="1:4" x14ac:dyDescent="0.2">
      <c r="A22"/>
      <c r="B22"/>
      <c r="C22"/>
      <c r="D22"/>
    </row>
    <row r="23" spans="1:4" x14ac:dyDescent="0.2">
      <c r="A23"/>
      <c r="B23"/>
      <c r="C23"/>
      <c r="D23"/>
    </row>
    <row r="24" spans="1:4" x14ac:dyDescent="0.2">
      <c r="A24"/>
      <c r="B24"/>
      <c r="C24"/>
      <c r="D24"/>
    </row>
    <row r="25" spans="1:4" x14ac:dyDescent="0.2">
      <c r="A25"/>
      <c r="B25"/>
      <c r="C25"/>
      <c r="D25"/>
    </row>
    <row r="26" spans="1:4" x14ac:dyDescent="0.2">
      <c r="A26"/>
      <c r="B26"/>
      <c r="C26"/>
      <c r="D26"/>
    </row>
    <row r="27" spans="1:4" x14ac:dyDescent="0.2">
      <c r="A27"/>
      <c r="B27"/>
      <c r="C27"/>
      <c r="D27"/>
    </row>
    <row r="28" spans="1:4" x14ac:dyDescent="0.2">
      <c r="A28"/>
      <c r="B28"/>
      <c r="C28"/>
      <c r="D28"/>
    </row>
    <row r="29" spans="1:4" x14ac:dyDescent="0.2">
      <c r="A29"/>
      <c r="B29"/>
      <c r="C29"/>
      <c r="D29"/>
    </row>
    <row r="30" spans="1:4" x14ac:dyDescent="0.2">
      <c r="A30"/>
      <c r="B30"/>
      <c r="C30"/>
      <c r="D30"/>
    </row>
    <row r="31" spans="1:4" x14ac:dyDescent="0.2">
      <c r="A31"/>
      <c r="B31"/>
      <c r="C31"/>
      <c r="D31"/>
    </row>
    <row r="32" spans="1:4" x14ac:dyDescent="0.2">
      <c r="A32"/>
      <c r="B32"/>
      <c r="C32"/>
      <c r="D32"/>
    </row>
    <row r="33" spans="1:4" x14ac:dyDescent="0.2">
      <c r="A33"/>
      <c r="B33"/>
      <c r="C33"/>
      <c r="D33"/>
    </row>
    <row r="34" spans="1:4" x14ac:dyDescent="0.2">
      <c r="A34"/>
      <c r="B34"/>
      <c r="C34"/>
      <c r="D34"/>
    </row>
    <row r="35" spans="1:4" x14ac:dyDescent="0.2">
      <c r="A35"/>
      <c r="B35"/>
      <c r="C35"/>
      <c r="D35"/>
    </row>
    <row r="36" spans="1:4" x14ac:dyDescent="0.2">
      <c r="A36"/>
      <c r="B36"/>
      <c r="C36"/>
      <c r="D36"/>
    </row>
    <row r="37" spans="1:4" x14ac:dyDescent="0.2">
      <c r="A37"/>
      <c r="B37"/>
      <c r="C37"/>
      <c r="D37"/>
    </row>
    <row r="38" spans="1:4" x14ac:dyDescent="0.2">
      <c r="A38"/>
      <c r="B38"/>
      <c r="C38"/>
      <c r="D38"/>
    </row>
    <row r="39" spans="1:4" x14ac:dyDescent="0.2">
      <c r="A39"/>
      <c r="B39"/>
      <c r="C39"/>
      <c r="D39"/>
    </row>
    <row r="40" spans="1:4" x14ac:dyDescent="0.2">
      <c r="A40"/>
      <c r="B40"/>
      <c r="C40"/>
      <c r="D40"/>
    </row>
    <row r="41" spans="1:4" x14ac:dyDescent="0.2">
      <c r="A41"/>
      <c r="B41"/>
      <c r="C41"/>
      <c r="D41"/>
    </row>
    <row r="42" spans="1:4" x14ac:dyDescent="0.2">
      <c r="A42"/>
      <c r="B42"/>
      <c r="C42"/>
      <c r="D42"/>
    </row>
    <row r="43" spans="1:4" x14ac:dyDescent="0.2">
      <c r="A43"/>
      <c r="B43"/>
      <c r="C43"/>
      <c r="D43"/>
    </row>
    <row r="44" spans="1:4" x14ac:dyDescent="0.2">
      <c r="A44"/>
      <c r="B44"/>
      <c r="C44"/>
      <c r="D44"/>
    </row>
    <row r="45" spans="1:4" x14ac:dyDescent="0.2">
      <c r="A45"/>
      <c r="B45"/>
      <c r="C45"/>
      <c r="D45"/>
    </row>
    <row r="46" spans="1:4" x14ac:dyDescent="0.2">
      <c r="A46"/>
      <c r="B46"/>
      <c r="C46"/>
      <c r="D46"/>
    </row>
    <row r="47" spans="1:4" x14ac:dyDescent="0.2">
      <c r="A47"/>
      <c r="B47"/>
      <c r="C47"/>
      <c r="D47"/>
    </row>
    <row r="48" spans="1:4" x14ac:dyDescent="0.2">
      <c r="A48"/>
      <c r="B48"/>
      <c r="C48"/>
      <c r="D48"/>
    </row>
    <row r="49" spans="1:4" x14ac:dyDescent="0.2">
      <c r="A49"/>
      <c r="B49"/>
      <c r="C49"/>
      <c r="D49"/>
    </row>
    <row r="50" spans="1:4" x14ac:dyDescent="0.2">
      <c r="A50"/>
      <c r="B50"/>
      <c r="C50"/>
      <c r="D50"/>
    </row>
    <row r="51" spans="1:4" x14ac:dyDescent="0.2">
      <c r="A51"/>
      <c r="B51"/>
      <c r="C51"/>
      <c r="D51"/>
    </row>
    <row r="52" spans="1:4" x14ac:dyDescent="0.2">
      <c r="A52"/>
      <c r="B52"/>
      <c r="C52"/>
      <c r="D52"/>
    </row>
    <row r="53" spans="1:4" x14ac:dyDescent="0.2">
      <c r="A53"/>
      <c r="B53"/>
      <c r="C53"/>
      <c r="D53"/>
    </row>
    <row r="54" spans="1:4" x14ac:dyDescent="0.2">
      <c r="A54"/>
      <c r="B54"/>
      <c r="C54"/>
      <c r="D54"/>
    </row>
    <row r="55" spans="1:4" x14ac:dyDescent="0.2">
      <c r="A55"/>
      <c r="B55"/>
      <c r="C55"/>
      <c r="D55"/>
    </row>
    <row r="56" spans="1:4" x14ac:dyDescent="0.2">
      <c r="A56"/>
      <c r="B56"/>
      <c r="C56"/>
      <c r="D56"/>
    </row>
    <row r="57" spans="1:4" x14ac:dyDescent="0.2">
      <c r="A57"/>
      <c r="B57"/>
      <c r="C57"/>
      <c r="D57"/>
    </row>
    <row r="58" spans="1:4" x14ac:dyDescent="0.2">
      <c r="A58"/>
      <c r="B58"/>
      <c r="C58"/>
      <c r="D58"/>
    </row>
    <row r="59" spans="1:4" x14ac:dyDescent="0.2">
      <c r="A59"/>
      <c r="B59"/>
      <c r="C59"/>
      <c r="D59"/>
    </row>
    <row r="60" spans="1:4" x14ac:dyDescent="0.2">
      <c r="A60"/>
      <c r="B60"/>
      <c r="C60"/>
      <c r="D60"/>
    </row>
    <row r="61" spans="1:4" x14ac:dyDescent="0.2">
      <c r="A61"/>
      <c r="B61"/>
      <c r="C61"/>
      <c r="D61"/>
    </row>
    <row r="62" spans="1:4" x14ac:dyDescent="0.2">
      <c r="A62"/>
      <c r="B62"/>
      <c r="C62"/>
      <c r="D62"/>
    </row>
    <row r="63" spans="1:4" x14ac:dyDescent="0.2">
      <c r="A63"/>
      <c r="B63"/>
      <c r="C63"/>
      <c r="D63"/>
    </row>
    <row r="64" spans="1:4" x14ac:dyDescent="0.2">
      <c r="A64"/>
      <c r="B64"/>
      <c r="C64"/>
      <c r="D64"/>
    </row>
    <row r="65" spans="1:4" x14ac:dyDescent="0.2">
      <c r="A65"/>
      <c r="B65"/>
      <c r="C65"/>
      <c r="D65"/>
    </row>
    <row r="66" spans="1:4" x14ac:dyDescent="0.2">
      <c r="A66"/>
      <c r="B66"/>
      <c r="C66"/>
      <c r="D66"/>
    </row>
    <row r="67" spans="1:4" x14ac:dyDescent="0.2">
      <c r="A67"/>
      <c r="B67"/>
      <c r="C67"/>
      <c r="D67"/>
    </row>
    <row r="68" spans="1:4" x14ac:dyDescent="0.2">
      <c r="A68"/>
      <c r="B68"/>
      <c r="C68"/>
      <c r="D68"/>
    </row>
    <row r="69" spans="1:4" x14ac:dyDescent="0.2">
      <c r="A69"/>
      <c r="B69"/>
      <c r="C69"/>
      <c r="D69"/>
    </row>
    <row r="70" spans="1:4" x14ac:dyDescent="0.2">
      <c r="A70"/>
      <c r="B70"/>
      <c r="C70"/>
      <c r="D70"/>
    </row>
    <row r="71" spans="1:4" x14ac:dyDescent="0.2">
      <c r="A71"/>
      <c r="B71"/>
      <c r="C71"/>
      <c r="D71"/>
    </row>
    <row r="72" spans="1:4" x14ac:dyDescent="0.2">
      <c r="A72"/>
      <c r="B72"/>
      <c r="C72"/>
      <c r="D72"/>
    </row>
    <row r="73" spans="1:4" x14ac:dyDescent="0.2">
      <c r="A73"/>
      <c r="B73"/>
      <c r="C73"/>
      <c r="D73"/>
    </row>
    <row r="74" spans="1:4" x14ac:dyDescent="0.2">
      <c r="A74"/>
      <c r="B74"/>
      <c r="C74"/>
      <c r="D74"/>
    </row>
    <row r="75" spans="1:4" x14ac:dyDescent="0.2">
      <c r="A75"/>
      <c r="B75"/>
      <c r="C75"/>
      <c r="D75"/>
    </row>
    <row r="76" spans="1:4" x14ac:dyDescent="0.2">
      <c r="A76"/>
      <c r="B76"/>
      <c r="C76"/>
      <c r="D76"/>
    </row>
    <row r="77" spans="1:4" x14ac:dyDescent="0.2">
      <c r="A77"/>
      <c r="B77"/>
      <c r="C77"/>
      <c r="D77"/>
    </row>
    <row r="78" spans="1:4" x14ac:dyDescent="0.2">
      <c r="A78"/>
      <c r="B78"/>
      <c r="C78"/>
      <c r="D78"/>
    </row>
    <row r="79" spans="1:4" x14ac:dyDescent="0.2">
      <c r="A79"/>
      <c r="B79"/>
      <c r="C79"/>
      <c r="D79"/>
    </row>
    <row r="80" spans="1:4" x14ac:dyDescent="0.2">
      <c r="A80"/>
      <c r="B80"/>
      <c r="C80"/>
      <c r="D80"/>
    </row>
    <row r="81" spans="1:4" x14ac:dyDescent="0.2">
      <c r="A81"/>
      <c r="B81"/>
      <c r="C81"/>
      <c r="D81"/>
    </row>
    <row r="82" spans="1:4" x14ac:dyDescent="0.2">
      <c r="A82"/>
      <c r="B82"/>
      <c r="C82"/>
      <c r="D82"/>
    </row>
    <row r="83" spans="1:4" x14ac:dyDescent="0.2">
      <c r="A83"/>
      <c r="B83"/>
      <c r="C83"/>
      <c r="D83"/>
    </row>
    <row r="84" spans="1:4" x14ac:dyDescent="0.2">
      <c r="A84"/>
      <c r="B84"/>
      <c r="C84"/>
      <c r="D84"/>
    </row>
    <row r="85" spans="1:4" x14ac:dyDescent="0.2">
      <c r="A85"/>
      <c r="B85"/>
      <c r="C85"/>
      <c r="D85"/>
    </row>
    <row r="86" spans="1:4" x14ac:dyDescent="0.2">
      <c r="A86"/>
      <c r="B86"/>
      <c r="C86"/>
      <c r="D86"/>
    </row>
    <row r="87" spans="1:4" x14ac:dyDescent="0.2">
      <c r="A87"/>
      <c r="B87"/>
      <c r="C87"/>
      <c r="D87"/>
    </row>
    <row r="88" spans="1:4" x14ac:dyDescent="0.2">
      <c r="A88"/>
      <c r="B88"/>
      <c r="C88"/>
      <c r="D88"/>
    </row>
    <row r="89" spans="1:4" x14ac:dyDescent="0.2">
      <c r="A89"/>
      <c r="B89"/>
      <c r="C89"/>
      <c r="D89"/>
    </row>
    <row r="90" spans="1:4" x14ac:dyDescent="0.2">
      <c r="A90"/>
      <c r="B90"/>
      <c r="C90"/>
      <c r="D90"/>
    </row>
    <row r="91" spans="1:4" x14ac:dyDescent="0.2">
      <c r="A91"/>
      <c r="B91"/>
      <c r="C91"/>
      <c r="D91"/>
    </row>
    <row r="92" spans="1:4" x14ac:dyDescent="0.2">
      <c r="A92"/>
      <c r="B92"/>
      <c r="C92"/>
      <c r="D92"/>
    </row>
    <row r="93" spans="1:4" x14ac:dyDescent="0.2">
      <c r="A93"/>
      <c r="B93"/>
      <c r="C93"/>
      <c r="D93"/>
    </row>
    <row r="94" spans="1:4" x14ac:dyDescent="0.2">
      <c r="A94"/>
      <c r="B94"/>
      <c r="C94"/>
      <c r="D94"/>
    </row>
    <row r="95" spans="1:4" x14ac:dyDescent="0.2">
      <c r="A95"/>
      <c r="B95"/>
      <c r="C95"/>
      <c r="D95"/>
    </row>
    <row r="96" spans="1:4" x14ac:dyDescent="0.2">
      <c r="A96"/>
      <c r="B96"/>
      <c r="C96"/>
      <c r="D96"/>
    </row>
    <row r="97" spans="1:4" x14ac:dyDescent="0.2">
      <c r="A97"/>
      <c r="B97"/>
      <c r="C97"/>
      <c r="D97"/>
    </row>
    <row r="98" spans="1:4" x14ac:dyDescent="0.2">
      <c r="A98"/>
      <c r="B98"/>
      <c r="C98"/>
      <c r="D98"/>
    </row>
    <row r="99" spans="1:4" x14ac:dyDescent="0.2">
      <c r="A99"/>
      <c r="B99"/>
      <c r="C99"/>
      <c r="D99"/>
    </row>
    <row r="100" spans="1:4" x14ac:dyDescent="0.2">
      <c r="A100"/>
      <c r="B100"/>
      <c r="C100"/>
      <c r="D100"/>
    </row>
    <row r="101" spans="1:4" x14ac:dyDescent="0.2">
      <c r="A101"/>
      <c r="B101"/>
      <c r="C101"/>
      <c r="D101"/>
    </row>
    <row r="102" spans="1:4" x14ac:dyDescent="0.2">
      <c r="A102"/>
      <c r="B102"/>
      <c r="C102"/>
      <c r="D102"/>
    </row>
    <row r="103" spans="1:4" x14ac:dyDescent="0.2">
      <c r="A103"/>
      <c r="B103"/>
      <c r="C103"/>
      <c r="D103"/>
    </row>
    <row r="104" spans="1:4" x14ac:dyDescent="0.2">
      <c r="A104"/>
      <c r="B104"/>
      <c r="C104"/>
      <c r="D104"/>
    </row>
    <row r="105" spans="1:4" x14ac:dyDescent="0.2">
      <c r="A105"/>
      <c r="B105"/>
      <c r="C105"/>
      <c r="D105"/>
    </row>
    <row r="106" spans="1:4" x14ac:dyDescent="0.2">
      <c r="A106"/>
      <c r="B106"/>
      <c r="C106"/>
      <c r="D106"/>
    </row>
    <row r="107" spans="1:4" x14ac:dyDescent="0.2">
      <c r="A107"/>
      <c r="B107"/>
      <c r="C107"/>
      <c r="D107"/>
    </row>
    <row r="108" spans="1:4" x14ac:dyDescent="0.2">
      <c r="A108"/>
      <c r="B108"/>
      <c r="C108"/>
      <c r="D108"/>
    </row>
    <row r="109" spans="1:4" x14ac:dyDescent="0.2">
      <c r="A109"/>
      <c r="B109"/>
      <c r="C109"/>
      <c r="D109"/>
    </row>
    <row r="110" spans="1:4" x14ac:dyDescent="0.2">
      <c r="A110"/>
      <c r="B110"/>
      <c r="C110"/>
      <c r="D110"/>
    </row>
    <row r="111" spans="1:4" x14ac:dyDescent="0.2">
      <c r="A111"/>
      <c r="B111"/>
      <c r="C111"/>
      <c r="D111"/>
    </row>
    <row r="112" spans="1:4" x14ac:dyDescent="0.2">
      <c r="A112"/>
      <c r="B112"/>
      <c r="C112"/>
      <c r="D112"/>
    </row>
    <row r="113" spans="1:4" x14ac:dyDescent="0.2">
      <c r="A113"/>
      <c r="B113"/>
      <c r="C113"/>
      <c r="D113"/>
    </row>
    <row r="114" spans="1:4" x14ac:dyDescent="0.2">
      <c r="A114"/>
      <c r="B114"/>
      <c r="C114"/>
      <c r="D114"/>
    </row>
    <row r="115" spans="1:4" x14ac:dyDescent="0.2">
      <c r="A115"/>
      <c r="B115"/>
      <c r="C115"/>
      <c r="D115"/>
    </row>
    <row r="116" spans="1:4" x14ac:dyDescent="0.2">
      <c r="A116"/>
      <c r="B116"/>
      <c r="C116"/>
      <c r="D116"/>
    </row>
    <row r="117" spans="1:4" x14ac:dyDescent="0.2">
      <c r="A117"/>
      <c r="B117"/>
      <c r="C117"/>
      <c r="D117"/>
    </row>
    <row r="118" spans="1:4" x14ac:dyDescent="0.2">
      <c r="A118"/>
      <c r="B118"/>
      <c r="C118"/>
      <c r="D118"/>
    </row>
    <row r="119" spans="1:4" x14ac:dyDescent="0.2">
      <c r="A119"/>
      <c r="B119"/>
      <c r="C119"/>
      <c r="D119"/>
    </row>
    <row r="120" spans="1:4" x14ac:dyDescent="0.2">
      <c r="A120"/>
      <c r="B120"/>
      <c r="C120"/>
      <c r="D120"/>
    </row>
    <row r="121" spans="1:4" x14ac:dyDescent="0.2">
      <c r="A121"/>
      <c r="B121"/>
      <c r="C121"/>
      <c r="D121"/>
    </row>
    <row r="122" spans="1:4" x14ac:dyDescent="0.2">
      <c r="A122"/>
      <c r="B122"/>
      <c r="C122"/>
      <c r="D122"/>
    </row>
    <row r="123" spans="1:4" x14ac:dyDescent="0.2">
      <c r="A123"/>
      <c r="B123"/>
      <c r="C123"/>
      <c r="D123"/>
    </row>
    <row r="124" spans="1:4" x14ac:dyDescent="0.2">
      <c r="A124"/>
      <c r="B124"/>
      <c r="C124"/>
      <c r="D124"/>
    </row>
    <row r="125" spans="1:4" x14ac:dyDescent="0.2">
      <c r="A125"/>
      <c r="B125"/>
      <c r="C125"/>
      <c r="D125"/>
    </row>
    <row r="126" spans="1:4" x14ac:dyDescent="0.2">
      <c r="A126"/>
      <c r="B126"/>
      <c r="C126"/>
      <c r="D126"/>
    </row>
    <row r="127" spans="1:4" x14ac:dyDescent="0.2">
      <c r="A127"/>
      <c r="B127"/>
      <c r="C127"/>
      <c r="D127"/>
    </row>
    <row r="128" spans="1:4" x14ac:dyDescent="0.2">
      <c r="A128"/>
      <c r="B128"/>
      <c r="C128"/>
      <c r="D128"/>
    </row>
    <row r="129" spans="1:4" x14ac:dyDescent="0.2">
      <c r="A129"/>
      <c r="B129"/>
      <c r="C129"/>
      <c r="D129"/>
    </row>
    <row r="130" spans="1:4" x14ac:dyDescent="0.2">
      <c r="A130"/>
      <c r="B130"/>
      <c r="C130"/>
      <c r="D130"/>
    </row>
    <row r="131" spans="1:4" x14ac:dyDescent="0.2">
      <c r="A131"/>
      <c r="B131"/>
      <c r="C131"/>
      <c r="D131"/>
    </row>
    <row r="132" spans="1:4" x14ac:dyDescent="0.2">
      <c r="A132"/>
      <c r="B132"/>
      <c r="C132"/>
      <c r="D132"/>
    </row>
    <row r="133" spans="1:4" x14ac:dyDescent="0.2">
      <c r="A133"/>
      <c r="B133"/>
      <c r="C133"/>
      <c r="D133"/>
    </row>
    <row r="134" spans="1:4" x14ac:dyDescent="0.2">
      <c r="A134"/>
      <c r="B134"/>
      <c r="C134"/>
      <c r="D134"/>
    </row>
    <row r="135" spans="1:4" x14ac:dyDescent="0.2">
      <c r="A135"/>
      <c r="B135"/>
      <c r="C135"/>
      <c r="D135"/>
    </row>
    <row r="136" spans="1:4" x14ac:dyDescent="0.2">
      <c r="A136"/>
      <c r="B136"/>
      <c r="C136"/>
      <c r="D136"/>
    </row>
    <row r="137" spans="1:4" x14ac:dyDescent="0.2">
      <c r="A137"/>
      <c r="B137"/>
      <c r="C137"/>
      <c r="D137"/>
    </row>
    <row r="138" spans="1:4" x14ac:dyDescent="0.2">
      <c r="A138"/>
      <c r="B138"/>
      <c r="C138"/>
      <c r="D138"/>
    </row>
    <row r="139" spans="1:4" x14ac:dyDescent="0.2">
      <c r="A139"/>
      <c r="B139"/>
      <c r="C139"/>
      <c r="D139"/>
    </row>
    <row r="140" spans="1:4" x14ac:dyDescent="0.2">
      <c r="A140"/>
      <c r="B140"/>
      <c r="C140"/>
      <c r="D140"/>
    </row>
    <row r="141" spans="1:4" x14ac:dyDescent="0.2">
      <c r="A141"/>
      <c r="B141"/>
      <c r="C141"/>
      <c r="D141"/>
    </row>
    <row r="142" spans="1:4" x14ac:dyDescent="0.2">
      <c r="A142"/>
      <c r="B142"/>
      <c r="C142"/>
      <c r="D142"/>
    </row>
    <row r="143" spans="1:4" x14ac:dyDescent="0.2">
      <c r="A143"/>
      <c r="B143"/>
      <c r="C143"/>
      <c r="D143"/>
    </row>
    <row r="144" spans="1:4" x14ac:dyDescent="0.2">
      <c r="A144"/>
      <c r="B144"/>
      <c r="C144"/>
      <c r="D144"/>
    </row>
    <row r="145" spans="1:4" x14ac:dyDescent="0.2">
      <c r="A145"/>
      <c r="B145"/>
      <c r="C145"/>
      <c r="D145"/>
    </row>
    <row r="146" spans="1:4" x14ac:dyDescent="0.2">
      <c r="A146"/>
      <c r="B146"/>
      <c r="C146"/>
      <c r="D146"/>
    </row>
    <row r="147" spans="1:4" x14ac:dyDescent="0.2">
      <c r="A147"/>
      <c r="B147"/>
      <c r="C147"/>
      <c r="D147"/>
    </row>
    <row r="148" spans="1:4" x14ac:dyDescent="0.2">
      <c r="A148"/>
      <c r="B148"/>
      <c r="C148"/>
      <c r="D148"/>
    </row>
    <row r="149" spans="1:4" x14ac:dyDescent="0.2">
      <c r="A149"/>
      <c r="B149"/>
      <c r="C149"/>
      <c r="D149"/>
    </row>
    <row r="150" spans="1:4" x14ac:dyDescent="0.2">
      <c r="A150"/>
      <c r="B150"/>
      <c r="C150"/>
      <c r="D150"/>
    </row>
    <row r="151" spans="1:4" x14ac:dyDescent="0.2">
      <c r="A151"/>
      <c r="B151"/>
      <c r="C151"/>
      <c r="D151"/>
    </row>
    <row r="152" spans="1:4" x14ac:dyDescent="0.2">
      <c r="A152"/>
      <c r="B152"/>
      <c r="C152"/>
      <c r="D152"/>
    </row>
    <row r="153" spans="1:4" x14ac:dyDescent="0.2">
      <c r="A153"/>
      <c r="B153"/>
      <c r="C153"/>
      <c r="D153"/>
    </row>
    <row r="154" spans="1:4" x14ac:dyDescent="0.2">
      <c r="A154"/>
      <c r="B154"/>
      <c r="C154"/>
      <c r="D154"/>
    </row>
    <row r="155" spans="1:4" x14ac:dyDescent="0.2">
      <c r="A155"/>
      <c r="B155"/>
      <c r="C155"/>
      <c r="D155"/>
    </row>
    <row r="156" spans="1:4" x14ac:dyDescent="0.2">
      <c r="A156"/>
      <c r="B156"/>
      <c r="C156"/>
      <c r="D156"/>
    </row>
    <row r="157" spans="1:4" x14ac:dyDescent="0.2">
      <c r="A157"/>
      <c r="B157"/>
      <c r="C157"/>
      <c r="D157"/>
    </row>
    <row r="158" spans="1:4" x14ac:dyDescent="0.2">
      <c r="A158"/>
      <c r="B158"/>
      <c r="C158"/>
      <c r="D158"/>
    </row>
    <row r="159" spans="1:4" x14ac:dyDescent="0.2">
      <c r="A159"/>
      <c r="B159"/>
      <c r="C159"/>
      <c r="D159"/>
    </row>
    <row r="160" spans="1:4" x14ac:dyDescent="0.2">
      <c r="A160"/>
      <c r="B160"/>
      <c r="C160"/>
      <c r="D160"/>
    </row>
    <row r="161" spans="1:4" x14ac:dyDescent="0.2">
      <c r="A161"/>
      <c r="B161"/>
      <c r="C161"/>
      <c r="D161"/>
    </row>
    <row r="162" spans="1:4" x14ac:dyDescent="0.2">
      <c r="A162"/>
      <c r="B162"/>
      <c r="C162"/>
      <c r="D162"/>
    </row>
    <row r="163" spans="1:4" x14ac:dyDescent="0.2">
      <c r="A163"/>
      <c r="B163"/>
      <c r="C163"/>
      <c r="D163"/>
    </row>
    <row r="164" spans="1:4" x14ac:dyDescent="0.2">
      <c r="A164"/>
      <c r="B164"/>
      <c r="C164"/>
      <c r="D164"/>
    </row>
    <row r="165" spans="1:4" x14ac:dyDescent="0.2">
      <c r="A165"/>
      <c r="B165"/>
      <c r="C165"/>
      <c r="D165"/>
    </row>
    <row r="166" spans="1:4" x14ac:dyDescent="0.2">
      <c r="A166"/>
      <c r="B166"/>
      <c r="C166"/>
      <c r="D166"/>
    </row>
    <row r="167" spans="1:4" x14ac:dyDescent="0.2">
      <c r="A167"/>
      <c r="B167"/>
      <c r="C167"/>
      <c r="D167"/>
    </row>
    <row r="168" spans="1:4" x14ac:dyDescent="0.2">
      <c r="A168"/>
      <c r="B168"/>
      <c r="C168"/>
      <c r="D168"/>
    </row>
    <row r="169" spans="1:4" x14ac:dyDescent="0.2">
      <c r="A169"/>
      <c r="B169"/>
      <c r="C169"/>
      <c r="D169"/>
    </row>
    <row r="170" spans="1:4" x14ac:dyDescent="0.2">
      <c r="A170"/>
      <c r="B170"/>
      <c r="C170"/>
      <c r="D170"/>
    </row>
    <row r="171" spans="1:4" x14ac:dyDescent="0.2">
      <c r="A171"/>
      <c r="B171"/>
      <c r="C171"/>
      <c r="D171"/>
    </row>
    <row r="172" spans="1:4" x14ac:dyDescent="0.2">
      <c r="A172"/>
      <c r="B172"/>
      <c r="C172"/>
      <c r="D172"/>
    </row>
    <row r="173" spans="1:4" x14ac:dyDescent="0.2">
      <c r="A173"/>
      <c r="B173"/>
      <c r="C173"/>
      <c r="D173"/>
    </row>
    <row r="174" spans="1:4" x14ac:dyDescent="0.2">
      <c r="A174"/>
      <c r="B174"/>
      <c r="C174"/>
      <c r="D174"/>
    </row>
    <row r="175" spans="1:4" x14ac:dyDescent="0.2">
      <c r="A175"/>
      <c r="B175"/>
      <c r="C175"/>
      <c r="D175"/>
    </row>
    <row r="176" spans="1:4" x14ac:dyDescent="0.2">
      <c r="A176"/>
      <c r="B176"/>
      <c r="C176"/>
      <c r="D176"/>
    </row>
    <row r="177" spans="1:4" x14ac:dyDescent="0.2">
      <c r="A177"/>
      <c r="B177"/>
      <c r="C177"/>
      <c r="D177"/>
    </row>
    <row r="178" spans="1:4" x14ac:dyDescent="0.2">
      <c r="A178"/>
      <c r="B178"/>
      <c r="C178"/>
      <c r="D178"/>
    </row>
    <row r="179" spans="1:4" x14ac:dyDescent="0.2">
      <c r="A179"/>
      <c r="B179"/>
      <c r="C179"/>
      <c r="D179"/>
    </row>
    <row r="180" spans="1:4" x14ac:dyDescent="0.2">
      <c r="A180"/>
      <c r="B180"/>
      <c r="C180"/>
      <c r="D180"/>
    </row>
    <row r="181" spans="1:4" x14ac:dyDescent="0.2">
      <c r="A181"/>
      <c r="B181"/>
      <c r="C181"/>
      <c r="D181"/>
    </row>
    <row r="182" spans="1:4" x14ac:dyDescent="0.2">
      <c r="A182"/>
      <c r="B182"/>
      <c r="C182"/>
      <c r="D182"/>
    </row>
    <row r="183" spans="1:4" x14ac:dyDescent="0.2">
      <c r="A183"/>
      <c r="B183"/>
      <c r="C183"/>
      <c r="D183"/>
    </row>
    <row r="184" spans="1:4" x14ac:dyDescent="0.2">
      <c r="A184"/>
      <c r="B184"/>
      <c r="C184"/>
      <c r="D184"/>
    </row>
    <row r="185" spans="1:4" x14ac:dyDescent="0.2">
      <c r="A185"/>
      <c r="B185"/>
      <c r="C185"/>
      <c r="D185"/>
    </row>
    <row r="186" spans="1:4" x14ac:dyDescent="0.2">
      <c r="A186"/>
      <c r="B186"/>
      <c r="C186"/>
      <c r="D186"/>
    </row>
    <row r="187" spans="1:4" x14ac:dyDescent="0.2">
      <c r="A187"/>
      <c r="B187"/>
      <c r="C187"/>
      <c r="D187"/>
    </row>
    <row r="188" spans="1:4" x14ac:dyDescent="0.2">
      <c r="A188"/>
      <c r="B188"/>
      <c r="C188"/>
      <c r="D188"/>
    </row>
    <row r="189" spans="1:4" x14ac:dyDescent="0.2">
      <c r="A189"/>
      <c r="B189"/>
      <c r="C189"/>
      <c r="D189"/>
    </row>
    <row r="190" spans="1:4" x14ac:dyDescent="0.2">
      <c r="A190"/>
      <c r="B190"/>
      <c r="C190"/>
      <c r="D190"/>
    </row>
    <row r="191" spans="1:4" x14ac:dyDescent="0.2">
      <c r="A191"/>
      <c r="B191"/>
      <c r="C191"/>
      <c r="D191"/>
    </row>
    <row r="192" spans="1:4" x14ac:dyDescent="0.2">
      <c r="A192"/>
      <c r="B192"/>
      <c r="C192"/>
      <c r="D192"/>
    </row>
    <row r="193" spans="1:4" x14ac:dyDescent="0.2">
      <c r="A193"/>
      <c r="B193"/>
      <c r="C193"/>
      <c r="D193"/>
    </row>
    <row r="194" spans="1:4" x14ac:dyDescent="0.2">
      <c r="A194"/>
      <c r="B194"/>
      <c r="C194"/>
      <c r="D194"/>
    </row>
    <row r="195" spans="1:4" x14ac:dyDescent="0.2">
      <c r="A195"/>
      <c r="B195"/>
      <c r="C195"/>
      <c r="D195"/>
    </row>
    <row r="196" spans="1:4" x14ac:dyDescent="0.2">
      <c r="A196"/>
      <c r="B196"/>
      <c r="C196"/>
      <c r="D196"/>
    </row>
    <row r="197" spans="1:4" x14ac:dyDescent="0.2">
      <c r="A197"/>
      <c r="B197"/>
      <c r="C197"/>
      <c r="D197"/>
    </row>
    <row r="198" spans="1:4" x14ac:dyDescent="0.2">
      <c r="A198"/>
      <c r="B198"/>
      <c r="C198"/>
      <c r="D198"/>
    </row>
    <row r="199" spans="1:4" x14ac:dyDescent="0.2">
      <c r="A199"/>
      <c r="B199"/>
      <c r="C199"/>
      <c r="D199"/>
    </row>
    <row r="200" spans="1:4" x14ac:dyDescent="0.2">
      <c r="A200"/>
      <c r="B200"/>
      <c r="C200"/>
      <c r="D200"/>
    </row>
    <row r="201" spans="1:4" x14ac:dyDescent="0.2">
      <c r="A201"/>
      <c r="B201"/>
      <c r="C201"/>
      <c r="D201"/>
    </row>
    <row r="202" spans="1:4" x14ac:dyDescent="0.2">
      <c r="A202"/>
      <c r="B202"/>
      <c r="C202"/>
      <c r="D202"/>
    </row>
    <row r="203" spans="1:4" x14ac:dyDescent="0.2">
      <c r="A203"/>
      <c r="B203"/>
      <c r="C203"/>
      <c r="D203"/>
    </row>
    <row r="204" spans="1:4" x14ac:dyDescent="0.2">
      <c r="A204"/>
      <c r="B204"/>
      <c r="C204"/>
      <c r="D204"/>
    </row>
    <row r="205" spans="1:4" x14ac:dyDescent="0.2">
      <c r="A205"/>
      <c r="B205"/>
      <c r="C205"/>
      <c r="D205"/>
    </row>
    <row r="206" spans="1:4" x14ac:dyDescent="0.2">
      <c r="A206"/>
      <c r="B206"/>
      <c r="C206"/>
      <c r="D206"/>
    </row>
    <row r="207" spans="1:4" x14ac:dyDescent="0.2">
      <c r="A207"/>
      <c r="B207"/>
      <c r="C207"/>
      <c r="D207"/>
    </row>
    <row r="208" spans="1:4" x14ac:dyDescent="0.2">
      <c r="A208"/>
      <c r="B208"/>
      <c r="C208"/>
      <c r="D208"/>
    </row>
    <row r="209" spans="1:4" x14ac:dyDescent="0.2">
      <c r="A209"/>
      <c r="B209"/>
      <c r="C209"/>
      <c r="D209"/>
    </row>
    <row r="210" spans="1:4" x14ac:dyDescent="0.2">
      <c r="A210"/>
      <c r="B210"/>
      <c r="C210"/>
      <c r="D210"/>
    </row>
    <row r="211" spans="1:4" x14ac:dyDescent="0.2">
      <c r="A211"/>
      <c r="B211"/>
      <c r="C211"/>
      <c r="D211"/>
    </row>
    <row r="212" spans="1:4" x14ac:dyDescent="0.2">
      <c r="A212"/>
      <c r="B212"/>
      <c r="C212"/>
      <c r="D212"/>
    </row>
    <row r="213" spans="1:4" x14ac:dyDescent="0.2">
      <c r="A213"/>
      <c r="B213"/>
      <c r="C213"/>
      <c r="D213"/>
    </row>
    <row r="214" spans="1:4" x14ac:dyDescent="0.2">
      <c r="A214"/>
      <c r="B214"/>
      <c r="C214"/>
      <c r="D214"/>
    </row>
    <row r="215" spans="1:4" x14ac:dyDescent="0.2">
      <c r="A215"/>
      <c r="B215"/>
      <c r="C215"/>
      <c r="D215"/>
    </row>
    <row r="216" spans="1:4" x14ac:dyDescent="0.2">
      <c r="A216"/>
      <c r="B216"/>
      <c r="C216"/>
      <c r="D216"/>
    </row>
    <row r="217" spans="1:4" x14ac:dyDescent="0.2">
      <c r="A217"/>
      <c r="B217"/>
      <c r="C217"/>
      <c r="D217"/>
    </row>
    <row r="218" spans="1:4" x14ac:dyDescent="0.2">
      <c r="A218"/>
      <c r="B218"/>
      <c r="C218"/>
      <c r="D218"/>
    </row>
    <row r="219" spans="1:4" x14ac:dyDescent="0.2">
      <c r="A219"/>
      <c r="B219"/>
      <c r="C219"/>
      <c r="D219"/>
    </row>
    <row r="220" spans="1:4" x14ac:dyDescent="0.2">
      <c r="A220"/>
      <c r="B220"/>
      <c r="C220"/>
      <c r="D220"/>
    </row>
    <row r="221" spans="1:4" x14ac:dyDescent="0.2">
      <c r="A221"/>
      <c r="B221"/>
      <c r="C221"/>
      <c r="D221"/>
    </row>
    <row r="222" spans="1:4" x14ac:dyDescent="0.2">
      <c r="A222"/>
      <c r="B222"/>
      <c r="C222"/>
      <c r="D222"/>
    </row>
    <row r="223" spans="1:4" x14ac:dyDescent="0.2">
      <c r="A223"/>
      <c r="B223"/>
      <c r="C223"/>
      <c r="D223"/>
    </row>
    <row r="224" spans="1:4" x14ac:dyDescent="0.2">
      <c r="A224"/>
      <c r="B224"/>
      <c r="C224"/>
      <c r="D224"/>
    </row>
    <row r="225" spans="1:4" x14ac:dyDescent="0.2">
      <c r="A225"/>
      <c r="B225"/>
      <c r="C225"/>
      <c r="D225"/>
    </row>
    <row r="226" spans="1:4" x14ac:dyDescent="0.2">
      <c r="A226"/>
      <c r="B226"/>
      <c r="C226"/>
      <c r="D226"/>
    </row>
    <row r="227" spans="1:4" x14ac:dyDescent="0.2">
      <c r="A227"/>
      <c r="B227"/>
      <c r="C227"/>
      <c r="D227"/>
    </row>
    <row r="228" spans="1:4" x14ac:dyDescent="0.2">
      <c r="A228"/>
      <c r="B228"/>
      <c r="C228"/>
      <c r="D228"/>
    </row>
    <row r="229" spans="1:4" x14ac:dyDescent="0.2">
      <c r="A229"/>
      <c r="B229"/>
      <c r="C229"/>
      <c r="D229"/>
    </row>
    <row r="230" spans="1:4" x14ac:dyDescent="0.2">
      <c r="A230"/>
      <c r="B230"/>
      <c r="C230"/>
      <c r="D230"/>
    </row>
    <row r="231" spans="1:4" x14ac:dyDescent="0.2">
      <c r="A231"/>
      <c r="B231"/>
      <c r="C231"/>
      <c r="D231"/>
    </row>
    <row r="232" spans="1:4" x14ac:dyDescent="0.2">
      <c r="A232"/>
      <c r="B232"/>
      <c r="C232"/>
      <c r="D232"/>
    </row>
    <row r="233" spans="1:4" x14ac:dyDescent="0.2">
      <c r="A233"/>
      <c r="B233"/>
      <c r="C233"/>
      <c r="D233"/>
    </row>
    <row r="234" spans="1:4" x14ac:dyDescent="0.2">
      <c r="A234"/>
      <c r="B234"/>
      <c r="C234"/>
      <c r="D234"/>
    </row>
    <row r="235" spans="1:4" x14ac:dyDescent="0.2">
      <c r="A235"/>
      <c r="B235"/>
      <c r="C235"/>
      <c r="D235"/>
    </row>
    <row r="236" spans="1:4" x14ac:dyDescent="0.2">
      <c r="A236"/>
      <c r="B236"/>
      <c r="C236"/>
      <c r="D236"/>
    </row>
    <row r="237" spans="1:4" x14ac:dyDescent="0.2">
      <c r="A237"/>
      <c r="B237"/>
      <c r="C237"/>
      <c r="D237"/>
    </row>
    <row r="238" spans="1:4" x14ac:dyDescent="0.2">
      <c r="A238"/>
      <c r="B238"/>
      <c r="C238"/>
      <c r="D238"/>
    </row>
    <row r="239" spans="1:4" x14ac:dyDescent="0.2">
      <c r="A239"/>
      <c r="B239"/>
      <c r="C239"/>
      <c r="D239"/>
    </row>
    <row r="240" spans="1:4" x14ac:dyDescent="0.2">
      <c r="A240"/>
      <c r="B240"/>
      <c r="C240"/>
      <c r="D240"/>
    </row>
    <row r="241" spans="1:4" x14ac:dyDescent="0.2">
      <c r="A241"/>
      <c r="B241"/>
      <c r="C241"/>
      <c r="D241"/>
    </row>
    <row r="242" spans="1:4" x14ac:dyDescent="0.2">
      <c r="A242"/>
      <c r="B242"/>
      <c r="C242"/>
      <c r="D242"/>
    </row>
    <row r="243" spans="1:4" x14ac:dyDescent="0.2">
      <c r="A243"/>
      <c r="B243"/>
      <c r="C243"/>
      <c r="D243"/>
    </row>
    <row r="244" spans="1:4" x14ac:dyDescent="0.2">
      <c r="A244"/>
      <c r="B244"/>
      <c r="C244"/>
      <c r="D244"/>
    </row>
    <row r="245" spans="1:4" x14ac:dyDescent="0.2">
      <c r="A245"/>
      <c r="B245"/>
      <c r="C245"/>
      <c r="D245"/>
    </row>
    <row r="246" spans="1:4" x14ac:dyDescent="0.2">
      <c r="A246"/>
      <c r="B246"/>
      <c r="C246"/>
      <c r="D246"/>
    </row>
    <row r="247" spans="1:4" x14ac:dyDescent="0.2">
      <c r="A247"/>
      <c r="B247"/>
      <c r="C247"/>
      <c r="D247"/>
    </row>
    <row r="248" spans="1:4" x14ac:dyDescent="0.2">
      <c r="A248"/>
      <c r="B248"/>
      <c r="C248"/>
      <c r="D248"/>
    </row>
    <row r="249" spans="1:4" x14ac:dyDescent="0.2">
      <c r="A249"/>
      <c r="B249"/>
      <c r="C249"/>
      <c r="D249"/>
    </row>
    <row r="250" spans="1:4" x14ac:dyDescent="0.2">
      <c r="A250"/>
      <c r="B250"/>
      <c r="C250"/>
      <c r="D250"/>
    </row>
    <row r="251" spans="1:4" x14ac:dyDescent="0.2">
      <c r="A251"/>
      <c r="B251"/>
      <c r="C251"/>
      <c r="D251"/>
    </row>
    <row r="252" spans="1:4" x14ac:dyDescent="0.2">
      <c r="A252"/>
      <c r="B252"/>
      <c r="C252"/>
      <c r="D252"/>
    </row>
    <row r="253" spans="1:4" x14ac:dyDescent="0.2">
      <c r="A253"/>
      <c r="B253"/>
      <c r="C253"/>
      <c r="D253"/>
    </row>
    <row r="254" spans="1:4" x14ac:dyDescent="0.2">
      <c r="A254"/>
      <c r="B254"/>
      <c r="C254"/>
      <c r="D254"/>
    </row>
    <row r="255" spans="1:4" x14ac:dyDescent="0.2">
      <c r="A255"/>
      <c r="B255"/>
      <c r="C255"/>
      <c r="D255"/>
    </row>
    <row r="256" spans="1:4" x14ac:dyDescent="0.2">
      <c r="A256"/>
      <c r="B256"/>
      <c r="C256"/>
      <c r="D256"/>
    </row>
    <row r="257" spans="1:4" x14ac:dyDescent="0.2">
      <c r="A257"/>
      <c r="B257"/>
      <c r="C257"/>
      <c r="D257"/>
    </row>
    <row r="258" spans="1:4" x14ac:dyDescent="0.2">
      <c r="A258"/>
      <c r="B258"/>
      <c r="C258"/>
      <c r="D258"/>
    </row>
    <row r="259" spans="1:4" x14ac:dyDescent="0.2">
      <c r="A259"/>
      <c r="B259"/>
      <c r="C259"/>
      <c r="D259"/>
    </row>
    <row r="260" spans="1:4" x14ac:dyDescent="0.2">
      <c r="A260"/>
      <c r="B260"/>
      <c r="C260"/>
      <c r="D260"/>
    </row>
    <row r="261" spans="1:4" x14ac:dyDescent="0.2">
      <c r="A261"/>
      <c r="B261"/>
      <c r="C261"/>
      <c r="D261"/>
    </row>
    <row r="262" spans="1:4" x14ac:dyDescent="0.2">
      <c r="A262"/>
      <c r="B262"/>
      <c r="C262"/>
      <c r="D262"/>
    </row>
    <row r="263" spans="1:4" x14ac:dyDescent="0.2">
      <c r="A263"/>
      <c r="B263"/>
      <c r="C263"/>
      <c r="D263"/>
    </row>
    <row r="264" spans="1:4" x14ac:dyDescent="0.2">
      <c r="A264"/>
      <c r="B264"/>
      <c r="C264"/>
      <c r="D264"/>
    </row>
    <row r="265" spans="1:4" x14ac:dyDescent="0.2">
      <c r="A265"/>
      <c r="B265"/>
      <c r="C265"/>
      <c r="D265"/>
    </row>
    <row r="266" spans="1:4" x14ac:dyDescent="0.2">
      <c r="A266"/>
      <c r="B266"/>
      <c r="C266"/>
      <c r="D266"/>
    </row>
    <row r="267" spans="1:4" x14ac:dyDescent="0.2">
      <c r="A267"/>
      <c r="B267"/>
      <c r="C267"/>
      <c r="D267"/>
    </row>
    <row r="268" spans="1:4" x14ac:dyDescent="0.2">
      <c r="A268"/>
      <c r="B268"/>
      <c r="C268"/>
      <c r="D268"/>
    </row>
    <row r="269" spans="1:4" x14ac:dyDescent="0.2">
      <c r="A269"/>
      <c r="B269"/>
      <c r="C269"/>
      <c r="D269"/>
    </row>
    <row r="270" spans="1:4" x14ac:dyDescent="0.2">
      <c r="A270"/>
      <c r="B270"/>
      <c r="C270"/>
      <c r="D270"/>
    </row>
    <row r="271" spans="1:4" x14ac:dyDescent="0.2">
      <c r="A271"/>
      <c r="B271"/>
      <c r="C271"/>
      <c r="D271"/>
    </row>
    <row r="272" spans="1:4" x14ac:dyDescent="0.2">
      <c r="A272"/>
      <c r="B272"/>
      <c r="C272"/>
      <c r="D272"/>
    </row>
    <row r="273" spans="1:4" x14ac:dyDescent="0.2">
      <c r="A273"/>
      <c r="B273"/>
      <c r="C273"/>
      <c r="D273"/>
    </row>
    <row r="274" spans="1:4" x14ac:dyDescent="0.2">
      <c r="A274"/>
      <c r="B274"/>
      <c r="C274"/>
      <c r="D274"/>
    </row>
    <row r="275" spans="1:4" x14ac:dyDescent="0.2">
      <c r="A275"/>
      <c r="B275"/>
      <c r="C275"/>
      <c r="D275"/>
    </row>
    <row r="276" spans="1:4" x14ac:dyDescent="0.2">
      <c r="A276"/>
      <c r="B276"/>
      <c r="C276"/>
      <c r="D276"/>
    </row>
    <row r="277" spans="1:4" x14ac:dyDescent="0.2">
      <c r="A277"/>
      <c r="B277"/>
      <c r="C277"/>
      <c r="D277"/>
    </row>
    <row r="278" spans="1:4" x14ac:dyDescent="0.2">
      <c r="A278"/>
      <c r="B278"/>
      <c r="C278"/>
      <c r="D278"/>
    </row>
    <row r="279" spans="1:4" x14ac:dyDescent="0.2">
      <c r="A279"/>
      <c r="B279"/>
      <c r="C279"/>
      <c r="D279"/>
    </row>
    <row r="280" spans="1:4" x14ac:dyDescent="0.2">
      <c r="A280"/>
      <c r="B280"/>
      <c r="C280"/>
      <c r="D280"/>
    </row>
    <row r="281" spans="1:4" x14ac:dyDescent="0.2">
      <c r="A281"/>
      <c r="B281"/>
      <c r="C281"/>
      <c r="D281"/>
    </row>
    <row r="282" spans="1:4" x14ac:dyDescent="0.2">
      <c r="A282"/>
      <c r="B282"/>
      <c r="C282"/>
      <c r="D282"/>
    </row>
    <row r="283" spans="1:4" x14ac:dyDescent="0.2">
      <c r="A283"/>
      <c r="B283"/>
      <c r="C283"/>
      <c r="D283"/>
    </row>
    <row r="284" spans="1:4" x14ac:dyDescent="0.2">
      <c r="A284"/>
      <c r="B284"/>
      <c r="C284"/>
      <c r="D284"/>
    </row>
    <row r="285" spans="1:4" x14ac:dyDescent="0.2">
      <c r="A285"/>
      <c r="B285"/>
      <c r="C285"/>
      <c r="D285"/>
    </row>
    <row r="286" spans="1:4" x14ac:dyDescent="0.2">
      <c r="A286"/>
      <c r="B286"/>
      <c r="C286"/>
      <c r="D286"/>
    </row>
    <row r="287" spans="1:4" x14ac:dyDescent="0.2">
      <c r="A287"/>
      <c r="B287"/>
      <c r="C287"/>
      <c r="D287"/>
    </row>
    <row r="288" spans="1:4" x14ac:dyDescent="0.2">
      <c r="A288"/>
      <c r="B288"/>
      <c r="C288"/>
      <c r="D288"/>
    </row>
    <row r="289" spans="1:4" x14ac:dyDescent="0.2">
      <c r="A289"/>
      <c r="B289"/>
      <c r="C289"/>
      <c r="D289"/>
    </row>
    <row r="290" spans="1:4" x14ac:dyDescent="0.2">
      <c r="A290"/>
      <c r="B290"/>
      <c r="C290"/>
      <c r="D290"/>
    </row>
    <row r="291" spans="1:4" x14ac:dyDescent="0.2">
      <c r="A291"/>
      <c r="B291"/>
      <c r="C291"/>
      <c r="D291"/>
    </row>
    <row r="292" spans="1:4" x14ac:dyDescent="0.2">
      <c r="A292"/>
      <c r="B292"/>
      <c r="C292"/>
      <c r="D292"/>
    </row>
    <row r="293" spans="1:4" x14ac:dyDescent="0.2">
      <c r="A293"/>
      <c r="B293"/>
      <c r="C293"/>
      <c r="D293"/>
    </row>
    <row r="294" spans="1:4" x14ac:dyDescent="0.2">
      <c r="A294"/>
      <c r="B294"/>
      <c r="C294"/>
      <c r="D294"/>
    </row>
    <row r="295" spans="1:4" x14ac:dyDescent="0.2">
      <c r="A295"/>
      <c r="B295"/>
      <c r="C295"/>
      <c r="D295"/>
    </row>
    <row r="296" spans="1:4" x14ac:dyDescent="0.2">
      <c r="A296"/>
      <c r="B296"/>
      <c r="C296"/>
      <c r="D296"/>
    </row>
    <row r="297" spans="1:4" x14ac:dyDescent="0.2">
      <c r="A297"/>
      <c r="B297"/>
      <c r="C297"/>
      <c r="D297"/>
    </row>
    <row r="298" spans="1:4" x14ac:dyDescent="0.2">
      <c r="A298"/>
      <c r="B298"/>
      <c r="C298"/>
      <c r="D298"/>
    </row>
    <row r="299" spans="1:4" x14ac:dyDescent="0.2">
      <c r="A299"/>
      <c r="B299"/>
      <c r="C299"/>
      <c r="D299"/>
    </row>
    <row r="300" spans="1:4" x14ac:dyDescent="0.2">
      <c r="A300"/>
      <c r="B300"/>
      <c r="C300"/>
      <c r="D300"/>
    </row>
    <row r="301" spans="1:4" x14ac:dyDescent="0.2">
      <c r="A301"/>
      <c r="B301"/>
      <c r="C301"/>
      <c r="D301"/>
    </row>
    <row r="302" spans="1:4" x14ac:dyDescent="0.2">
      <c r="A302"/>
      <c r="B302"/>
      <c r="C302"/>
      <c r="D302"/>
    </row>
    <row r="303" spans="1:4" x14ac:dyDescent="0.2">
      <c r="A303"/>
      <c r="B303"/>
      <c r="C303"/>
      <c r="D303"/>
    </row>
    <row r="304" spans="1:4" x14ac:dyDescent="0.2">
      <c r="A304"/>
      <c r="B304"/>
      <c r="C304"/>
      <c r="D304"/>
    </row>
    <row r="305" spans="1:4" x14ac:dyDescent="0.2">
      <c r="A305"/>
      <c r="B305"/>
      <c r="C305"/>
      <c r="D305"/>
    </row>
    <row r="306" spans="1:4" x14ac:dyDescent="0.2">
      <c r="A306"/>
      <c r="B306"/>
      <c r="C306"/>
      <c r="D306"/>
    </row>
    <row r="307" spans="1:4" x14ac:dyDescent="0.2">
      <c r="A307"/>
      <c r="B307"/>
      <c r="C307"/>
      <c r="D307"/>
    </row>
    <row r="308" spans="1:4" x14ac:dyDescent="0.2">
      <c r="A308"/>
      <c r="B308"/>
      <c r="C308"/>
      <c r="D308"/>
    </row>
    <row r="309" spans="1:4" x14ac:dyDescent="0.2">
      <c r="A309"/>
      <c r="B309"/>
      <c r="C309"/>
      <c r="D309"/>
    </row>
    <row r="310" spans="1:4" x14ac:dyDescent="0.2">
      <c r="A310"/>
      <c r="B310"/>
      <c r="C310"/>
      <c r="D310"/>
    </row>
    <row r="311" spans="1:4" x14ac:dyDescent="0.2">
      <c r="A311"/>
      <c r="B311"/>
      <c r="C311"/>
      <c r="D311"/>
    </row>
    <row r="312" spans="1:4" x14ac:dyDescent="0.2">
      <c r="A312"/>
      <c r="B312"/>
      <c r="C312"/>
      <c r="D312"/>
    </row>
    <row r="313" spans="1:4" x14ac:dyDescent="0.2">
      <c r="A313"/>
      <c r="B313"/>
      <c r="C313"/>
      <c r="D313"/>
    </row>
    <row r="314" spans="1:4" x14ac:dyDescent="0.2">
      <c r="A314"/>
      <c r="B314"/>
      <c r="C314"/>
      <c r="D314"/>
    </row>
    <row r="315" spans="1:4" x14ac:dyDescent="0.2">
      <c r="A315"/>
      <c r="B315"/>
      <c r="C315"/>
      <c r="D315"/>
    </row>
    <row r="316" spans="1:4" x14ac:dyDescent="0.2">
      <c r="A316"/>
      <c r="B316"/>
      <c r="C316"/>
      <c r="D316"/>
    </row>
    <row r="317" spans="1:4" x14ac:dyDescent="0.2">
      <c r="A317"/>
      <c r="B317"/>
      <c r="C317"/>
      <c r="D317"/>
    </row>
    <row r="318" spans="1:4" x14ac:dyDescent="0.2">
      <c r="A318"/>
      <c r="B318"/>
      <c r="C318"/>
      <c r="D318"/>
    </row>
    <row r="319" spans="1:4" x14ac:dyDescent="0.2">
      <c r="A319"/>
      <c r="B319"/>
      <c r="C319"/>
      <c r="D319"/>
    </row>
    <row r="320" spans="1:4" x14ac:dyDescent="0.2">
      <c r="A320"/>
      <c r="B320"/>
      <c r="C320"/>
      <c r="D320"/>
    </row>
    <row r="321" spans="1:4" x14ac:dyDescent="0.2">
      <c r="A321"/>
      <c r="B321"/>
      <c r="C321"/>
      <c r="D321"/>
    </row>
    <row r="322" spans="1:4" x14ac:dyDescent="0.2">
      <c r="A322"/>
      <c r="B322"/>
      <c r="C322"/>
      <c r="D322"/>
    </row>
    <row r="323" spans="1:4" x14ac:dyDescent="0.2">
      <c r="A323"/>
      <c r="B323"/>
      <c r="C323"/>
      <c r="D323"/>
    </row>
    <row r="324" spans="1:4" x14ac:dyDescent="0.2">
      <c r="A324"/>
      <c r="B324"/>
      <c r="C324"/>
      <c r="D324"/>
    </row>
    <row r="325" spans="1:4" x14ac:dyDescent="0.2">
      <c r="A325"/>
      <c r="B325"/>
      <c r="C325"/>
      <c r="D325"/>
    </row>
    <row r="326" spans="1:4" x14ac:dyDescent="0.2">
      <c r="A326"/>
      <c r="B326"/>
      <c r="C326"/>
      <c r="D326"/>
    </row>
    <row r="327" spans="1:4" x14ac:dyDescent="0.2">
      <c r="A327"/>
      <c r="B327"/>
      <c r="C327"/>
      <c r="D327"/>
    </row>
    <row r="328" spans="1:4" x14ac:dyDescent="0.2">
      <c r="A328"/>
      <c r="B328"/>
      <c r="C328"/>
      <c r="D328"/>
    </row>
    <row r="329" spans="1:4" x14ac:dyDescent="0.2">
      <c r="A329"/>
      <c r="B329"/>
      <c r="C329"/>
      <c r="D329"/>
    </row>
    <row r="330" spans="1:4" x14ac:dyDescent="0.2">
      <c r="A330"/>
      <c r="B330"/>
      <c r="C330"/>
      <c r="D330"/>
    </row>
    <row r="331" spans="1:4" x14ac:dyDescent="0.2">
      <c r="A331"/>
      <c r="B331"/>
      <c r="C331"/>
      <c r="D331"/>
    </row>
    <row r="332" spans="1:4" x14ac:dyDescent="0.2">
      <c r="A332"/>
      <c r="B332"/>
      <c r="C332"/>
      <c r="D332"/>
    </row>
    <row r="333" spans="1:4" x14ac:dyDescent="0.2">
      <c r="A333"/>
      <c r="B333"/>
      <c r="C333"/>
      <c r="D333"/>
    </row>
    <row r="334" spans="1:4" x14ac:dyDescent="0.2">
      <c r="A334"/>
      <c r="B334"/>
      <c r="C334"/>
      <c r="D334"/>
    </row>
    <row r="335" spans="1:4" x14ac:dyDescent="0.2">
      <c r="A335"/>
      <c r="B335"/>
      <c r="C335"/>
      <c r="D335"/>
    </row>
    <row r="336" spans="1:4" x14ac:dyDescent="0.2">
      <c r="A336"/>
      <c r="B336"/>
      <c r="C336"/>
      <c r="D336"/>
    </row>
    <row r="337" spans="1:4" x14ac:dyDescent="0.2">
      <c r="A337"/>
      <c r="B337"/>
      <c r="C337"/>
      <c r="D337"/>
    </row>
    <row r="338" spans="1:4" x14ac:dyDescent="0.2">
      <c r="A338"/>
      <c r="B338"/>
      <c r="C338"/>
      <c r="D338"/>
    </row>
    <row r="339" spans="1:4" x14ac:dyDescent="0.2">
      <c r="A339"/>
      <c r="B339"/>
      <c r="C339"/>
      <c r="D339"/>
    </row>
    <row r="340" spans="1:4" x14ac:dyDescent="0.2">
      <c r="A340"/>
      <c r="B340"/>
      <c r="C340"/>
      <c r="D340"/>
    </row>
    <row r="341" spans="1:4" x14ac:dyDescent="0.2">
      <c r="A341"/>
      <c r="B341"/>
      <c r="C341"/>
      <c r="D341"/>
    </row>
    <row r="342" spans="1:4" x14ac:dyDescent="0.2">
      <c r="A342"/>
      <c r="B342"/>
      <c r="C342"/>
      <c r="D342"/>
    </row>
    <row r="343" spans="1:4" x14ac:dyDescent="0.2">
      <c r="A343"/>
      <c r="B343"/>
      <c r="C343"/>
      <c r="D343"/>
    </row>
    <row r="344" spans="1:4" x14ac:dyDescent="0.2">
      <c r="A344"/>
      <c r="B344"/>
      <c r="C344"/>
      <c r="D344"/>
    </row>
    <row r="345" spans="1:4" x14ac:dyDescent="0.2">
      <c r="A345"/>
      <c r="B345"/>
      <c r="C345"/>
      <c r="D345"/>
    </row>
    <row r="346" spans="1:4" x14ac:dyDescent="0.2">
      <c r="A346"/>
      <c r="B346"/>
      <c r="C346"/>
      <c r="D346"/>
    </row>
    <row r="347" spans="1:4" x14ac:dyDescent="0.2">
      <c r="A347"/>
      <c r="B347"/>
      <c r="C347"/>
      <c r="D347"/>
    </row>
    <row r="348" spans="1:4" x14ac:dyDescent="0.2">
      <c r="A348"/>
      <c r="B348"/>
      <c r="C348"/>
      <c r="D348"/>
    </row>
    <row r="349" spans="1:4" x14ac:dyDescent="0.2">
      <c r="A349"/>
      <c r="B349"/>
      <c r="C349"/>
      <c r="D349"/>
    </row>
    <row r="350" spans="1:4" x14ac:dyDescent="0.2">
      <c r="A350"/>
      <c r="B350"/>
      <c r="C350"/>
      <c r="D350"/>
    </row>
    <row r="351" spans="1:4" x14ac:dyDescent="0.2">
      <c r="A351"/>
      <c r="B351"/>
      <c r="C351"/>
      <c r="D351"/>
    </row>
    <row r="352" spans="1:4" x14ac:dyDescent="0.2">
      <c r="A352"/>
      <c r="B352"/>
      <c r="C352"/>
      <c r="D352"/>
    </row>
    <row r="353" spans="1:4" x14ac:dyDescent="0.2">
      <c r="A353"/>
      <c r="B353"/>
      <c r="C353"/>
      <c r="D353"/>
    </row>
    <row r="354" spans="1:4" x14ac:dyDescent="0.2">
      <c r="A354"/>
      <c r="B354"/>
      <c r="C354"/>
      <c r="D354"/>
    </row>
    <row r="355" spans="1:4" x14ac:dyDescent="0.2">
      <c r="A355"/>
      <c r="B355"/>
      <c r="C355"/>
      <c r="D355"/>
    </row>
    <row r="356" spans="1:4" x14ac:dyDescent="0.2">
      <c r="A356"/>
      <c r="B356"/>
      <c r="C356"/>
      <c r="D356"/>
    </row>
    <row r="357" spans="1:4" x14ac:dyDescent="0.2">
      <c r="A357"/>
      <c r="B357"/>
      <c r="C357"/>
      <c r="D357"/>
    </row>
    <row r="358" spans="1:4" x14ac:dyDescent="0.2">
      <c r="A358"/>
      <c r="B358"/>
      <c r="C358"/>
      <c r="D358"/>
    </row>
    <row r="359" spans="1:4" x14ac:dyDescent="0.2">
      <c r="A359"/>
      <c r="B359"/>
      <c r="C359"/>
      <c r="D359"/>
    </row>
    <row r="360" spans="1:4" x14ac:dyDescent="0.2">
      <c r="A360"/>
      <c r="B360"/>
      <c r="C360"/>
      <c r="D360"/>
    </row>
    <row r="361" spans="1:4" x14ac:dyDescent="0.2">
      <c r="A361"/>
      <c r="B361"/>
      <c r="C361"/>
      <c r="D361"/>
    </row>
    <row r="362" spans="1:4" x14ac:dyDescent="0.2">
      <c r="A362"/>
      <c r="B362"/>
      <c r="C362"/>
      <c r="D362"/>
    </row>
    <row r="363" spans="1:4" x14ac:dyDescent="0.2">
      <c r="A363"/>
      <c r="B363"/>
      <c r="C363"/>
      <c r="D363"/>
    </row>
    <row r="364" spans="1:4" x14ac:dyDescent="0.2">
      <c r="A364"/>
      <c r="B364"/>
      <c r="C364"/>
      <c r="D364"/>
    </row>
    <row r="365" spans="1:4" x14ac:dyDescent="0.2">
      <c r="A365"/>
      <c r="B365"/>
      <c r="C365"/>
      <c r="D365"/>
    </row>
    <row r="366" spans="1:4" x14ac:dyDescent="0.2">
      <c r="A366"/>
      <c r="B366"/>
      <c r="C366"/>
      <c r="D366"/>
    </row>
    <row r="367" spans="1:4" x14ac:dyDescent="0.2">
      <c r="A367"/>
      <c r="B367"/>
      <c r="C367"/>
      <c r="D367"/>
    </row>
    <row r="368" spans="1:4" x14ac:dyDescent="0.2">
      <c r="A368"/>
      <c r="B368"/>
      <c r="C368"/>
      <c r="D368"/>
    </row>
    <row r="369" spans="1:4" x14ac:dyDescent="0.2">
      <c r="A369"/>
      <c r="B369"/>
      <c r="C369"/>
      <c r="D369"/>
    </row>
    <row r="370" spans="1:4" x14ac:dyDescent="0.2">
      <c r="A370"/>
      <c r="B370"/>
      <c r="C370"/>
      <c r="D370"/>
    </row>
    <row r="371" spans="1:4" x14ac:dyDescent="0.2">
      <c r="A371"/>
      <c r="B371"/>
      <c r="C371"/>
      <c r="D371"/>
    </row>
    <row r="372" spans="1:4" x14ac:dyDescent="0.2">
      <c r="A372"/>
      <c r="B372"/>
      <c r="C372"/>
      <c r="D372"/>
    </row>
    <row r="373" spans="1:4" x14ac:dyDescent="0.2">
      <c r="A373"/>
      <c r="B373"/>
      <c r="C373"/>
      <c r="D373"/>
    </row>
    <row r="374" spans="1:4" x14ac:dyDescent="0.2">
      <c r="A374"/>
      <c r="B374"/>
      <c r="C374"/>
      <c r="D374"/>
    </row>
    <row r="375" spans="1:4" x14ac:dyDescent="0.2">
      <c r="A375"/>
      <c r="B375"/>
      <c r="C375"/>
      <c r="D375"/>
    </row>
    <row r="376" spans="1:4" x14ac:dyDescent="0.2">
      <c r="A376"/>
      <c r="B376"/>
      <c r="C376"/>
      <c r="D376"/>
    </row>
    <row r="377" spans="1:4" x14ac:dyDescent="0.2">
      <c r="A377"/>
      <c r="B377"/>
      <c r="C377"/>
      <c r="D377"/>
    </row>
    <row r="378" spans="1:4" x14ac:dyDescent="0.2">
      <c r="A378"/>
      <c r="B378"/>
      <c r="C378"/>
      <c r="D378"/>
    </row>
    <row r="379" spans="1:4" x14ac:dyDescent="0.2">
      <c r="A379"/>
      <c r="B379"/>
      <c r="C379"/>
      <c r="D379"/>
    </row>
    <row r="380" spans="1:4" x14ac:dyDescent="0.2">
      <c r="A380"/>
      <c r="B380"/>
      <c r="C380"/>
      <c r="D380"/>
    </row>
    <row r="381" spans="1:4" x14ac:dyDescent="0.2">
      <c r="A381"/>
      <c r="B381"/>
      <c r="C381"/>
      <c r="D381"/>
    </row>
    <row r="382" spans="1:4" x14ac:dyDescent="0.2">
      <c r="A382"/>
      <c r="B382"/>
      <c r="C382"/>
      <c r="D382"/>
    </row>
    <row r="383" spans="1:4" x14ac:dyDescent="0.2">
      <c r="A383"/>
      <c r="B383"/>
      <c r="C383"/>
      <c r="D383"/>
    </row>
    <row r="384" spans="1:4" x14ac:dyDescent="0.2">
      <c r="A384"/>
      <c r="B384"/>
      <c r="C384"/>
      <c r="D384"/>
    </row>
    <row r="385" spans="1:4" x14ac:dyDescent="0.2">
      <c r="A385"/>
      <c r="B385"/>
      <c r="C385"/>
      <c r="D385"/>
    </row>
    <row r="386" spans="1:4" x14ac:dyDescent="0.2">
      <c r="A386"/>
      <c r="B386"/>
      <c r="C386"/>
      <c r="D386"/>
    </row>
    <row r="387" spans="1:4" x14ac:dyDescent="0.2">
      <c r="A387"/>
      <c r="B387"/>
      <c r="C387"/>
      <c r="D387"/>
    </row>
    <row r="388" spans="1:4" x14ac:dyDescent="0.2">
      <c r="A388"/>
      <c r="B388"/>
      <c r="C388"/>
      <c r="D388"/>
    </row>
    <row r="389" spans="1:4" x14ac:dyDescent="0.2">
      <c r="A389"/>
      <c r="B389"/>
      <c r="C389"/>
      <c r="D389"/>
    </row>
    <row r="390" spans="1:4" x14ac:dyDescent="0.2">
      <c r="A390"/>
      <c r="B390"/>
      <c r="C390"/>
      <c r="D390"/>
    </row>
    <row r="391" spans="1:4" x14ac:dyDescent="0.2">
      <c r="A391"/>
      <c r="B391"/>
      <c r="C391"/>
      <c r="D391"/>
    </row>
    <row r="392" spans="1:4" x14ac:dyDescent="0.2">
      <c r="A392"/>
      <c r="B392"/>
      <c r="C392"/>
      <c r="D392"/>
    </row>
    <row r="393" spans="1:4" x14ac:dyDescent="0.2">
      <c r="A393"/>
      <c r="B393"/>
      <c r="C393"/>
      <c r="D393"/>
    </row>
    <row r="394" spans="1:4" x14ac:dyDescent="0.2">
      <c r="A394"/>
      <c r="B394"/>
      <c r="C394"/>
      <c r="D394"/>
    </row>
    <row r="395" spans="1:4" x14ac:dyDescent="0.2">
      <c r="A395"/>
      <c r="B395"/>
      <c r="C395"/>
      <c r="D395"/>
    </row>
    <row r="396" spans="1:4" x14ac:dyDescent="0.2">
      <c r="A396"/>
      <c r="B396"/>
      <c r="C396"/>
      <c r="D396"/>
    </row>
    <row r="397" spans="1:4" x14ac:dyDescent="0.2">
      <c r="A397"/>
      <c r="B397"/>
      <c r="C397"/>
      <c r="D397"/>
    </row>
    <row r="398" spans="1:4" x14ac:dyDescent="0.2">
      <c r="A398"/>
      <c r="B398"/>
      <c r="C398"/>
      <c r="D398"/>
    </row>
    <row r="399" spans="1:4" x14ac:dyDescent="0.2">
      <c r="A399"/>
      <c r="B399"/>
      <c r="C399"/>
      <c r="D399"/>
    </row>
    <row r="400" spans="1:4" x14ac:dyDescent="0.2">
      <c r="A400"/>
      <c r="B400"/>
      <c r="C400"/>
      <c r="D400"/>
    </row>
    <row r="401" spans="1:4" x14ac:dyDescent="0.2">
      <c r="A401"/>
      <c r="B401"/>
      <c r="C401"/>
      <c r="D401"/>
    </row>
    <row r="402" spans="1:4" x14ac:dyDescent="0.2">
      <c r="A402"/>
      <c r="B402"/>
      <c r="C402"/>
      <c r="D402"/>
    </row>
    <row r="403" spans="1:4" x14ac:dyDescent="0.2">
      <c r="A403"/>
      <c r="B403"/>
      <c r="C403"/>
      <c r="D403"/>
    </row>
    <row r="404" spans="1:4" x14ac:dyDescent="0.2">
      <c r="A404"/>
      <c r="B404"/>
      <c r="C404"/>
      <c r="D404"/>
    </row>
    <row r="405" spans="1:4" x14ac:dyDescent="0.2">
      <c r="A405"/>
      <c r="B405"/>
      <c r="C405"/>
      <c r="D405"/>
    </row>
    <row r="406" spans="1:4" x14ac:dyDescent="0.2">
      <c r="A406"/>
      <c r="B406"/>
      <c r="C406"/>
      <c r="D406"/>
    </row>
    <row r="407" spans="1:4" x14ac:dyDescent="0.2">
      <c r="A407"/>
      <c r="B407"/>
      <c r="C407"/>
      <c r="D407"/>
    </row>
    <row r="408" spans="1:4" x14ac:dyDescent="0.2">
      <c r="A408"/>
      <c r="B408"/>
      <c r="C408"/>
      <c r="D408"/>
    </row>
    <row r="409" spans="1:4" x14ac:dyDescent="0.2">
      <c r="A409"/>
      <c r="B409"/>
      <c r="C409"/>
      <c r="D409"/>
    </row>
    <row r="410" spans="1:4" x14ac:dyDescent="0.2">
      <c r="A410"/>
      <c r="B410"/>
      <c r="C410"/>
      <c r="D410"/>
    </row>
    <row r="411" spans="1:4" x14ac:dyDescent="0.2">
      <c r="A411"/>
      <c r="B411"/>
      <c r="C411"/>
      <c r="D411"/>
    </row>
    <row r="412" spans="1:4" x14ac:dyDescent="0.2">
      <c r="A412"/>
      <c r="B412"/>
      <c r="C412"/>
      <c r="D412"/>
    </row>
    <row r="413" spans="1:4" x14ac:dyDescent="0.2">
      <c r="A413"/>
      <c r="B413"/>
      <c r="C413"/>
      <c r="D413"/>
    </row>
    <row r="414" spans="1:4" x14ac:dyDescent="0.2">
      <c r="A414"/>
      <c r="B414"/>
      <c r="C414"/>
      <c r="D414"/>
    </row>
    <row r="415" spans="1:4" x14ac:dyDescent="0.2">
      <c r="A415"/>
      <c r="B415"/>
      <c r="C415"/>
      <c r="D415"/>
    </row>
    <row r="416" spans="1:4" x14ac:dyDescent="0.2">
      <c r="A416"/>
      <c r="B416"/>
      <c r="C416"/>
      <c r="D416"/>
    </row>
    <row r="417" spans="1:4" x14ac:dyDescent="0.2">
      <c r="A417"/>
      <c r="B417"/>
      <c r="C417"/>
      <c r="D417"/>
    </row>
    <row r="418" spans="1:4" x14ac:dyDescent="0.2">
      <c r="A418"/>
      <c r="B418"/>
      <c r="C418"/>
      <c r="D418"/>
    </row>
    <row r="419" spans="1:4" x14ac:dyDescent="0.2">
      <c r="A419"/>
      <c r="B419"/>
      <c r="C419"/>
      <c r="D419"/>
    </row>
    <row r="420" spans="1:4" x14ac:dyDescent="0.2">
      <c r="A420"/>
      <c r="B420"/>
      <c r="C420"/>
      <c r="D420"/>
    </row>
    <row r="421" spans="1:4" x14ac:dyDescent="0.2">
      <c r="A421"/>
      <c r="B421"/>
      <c r="C421"/>
      <c r="D421"/>
    </row>
    <row r="422" spans="1:4" x14ac:dyDescent="0.2">
      <c r="A422"/>
      <c r="B422"/>
      <c r="C422"/>
      <c r="D422"/>
    </row>
    <row r="423" spans="1:4" x14ac:dyDescent="0.2">
      <c r="A423"/>
      <c r="B423"/>
      <c r="C423"/>
      <c r="D423"/>
    </row>
    <row r="424" spans="1:4" x14ac:dyDescent="0.2">
      <c r="A424"/>
      <c r="B424"/>
      <c r="C424"/>
      <c r="D424"/>
    </row>
    <row r="425" spans="1:4" x14ac:dyDescent="0.2">
      <c r="A425"/>
      <c r="B425"/>
      <c r="C425"/>
      <c r="D425"/>
    </row>
    <row r="426" spans="1:4" x14ac:dyDescent="0.2">
      <c r="A426"/>
      <c r="B426"/>
      <c r="C426"/>
      <c r="D426"/>
    </row>
    <row r="427" spans="1:4" x14ac:dyDescent="0.2">
      <c r="A427"/>
      <c r="B427"/>
      <c r="C427"/>
      <c r="D427"/>
    </row>
    <row r="428" spans="1:4" x14ac:dyDescent="0.2">
      <c r="A428"/>
      <c r="B428"/>
      <c r="C428"/>
      <c r="D428"/>
    </row>
    <row r="429" spans="1:4" x14ac:dyDescent="0.2">
      <c r="A429"/>
      <c r="B429"/>
      <c r="C429"/>
      <c r="D429"/>
    </row>
    <row r="430" spans="1:4" x14ac:dyDescent="0.2">
      <c r="A430"/>
      <c r="B430"/>
      <c r="C430"/>
      <c r="D430"/>
    </row>
    <row r="431" spans="1:4" x14ac:dyDescent="0.2">
      <c r="A431"/>
      <c r="B431"/>
      <c r="C431"/>
      <c r="D431"/>
    </row>
    <row r="432" spans="1:4" x14ac:dyDescent="0.2">
      <c r="A432"/>
      <c r="B432"/>
      <c r="C432"/>
      <c r="D432"/>
    </row>
    <row r="433" spans="1:4" x14ac:dyDescent="0.2">
      <c r="A433"/>
      <c r="B433"/>
      <c r="C433"/>
      <c r="D433"/>
    </row>
    <row r="434" spans="1:4" x14ac:dyDescent="0.2">
      <c r="A434"/>
      <c r="B434"/>
      <c r="C434"/>
      <c r="D434"/>
    </row>
    <row r="435" spans="1:4" x14ac:dyDescent="0.2">
      <c r="A435"/>
      <c r="B435"/>
      <c r="C435"/>
      <c r="D435"/>
    </row>
    <row r="436" spans="1:4" x14ac:dyDescent="0.2">
      <c r="A436"/>
      <c r="B436"/>
      <c r="C436"/>
      <c r="D436"/>
    </row>
    <row r="437" spans="1:4" x14ac:dyDescent="0.2">
      <c r="A437"/>
      <c r="B437"/>
      <c r="C437"/>
      <c r="D437"/>
    </row>
    <row r="438" spans="1:4" x14ac:dyDescent="0.2">
      <c r="A438"/>
      <c r="B438"/>
      <c r="C438"/>
      <c r="D438"/>
    </row>
    <row r="439" spans="1:4" x14ac:dyDescent="0.2">
      <c r="A439"/>
      <c r="B439"/>
      <c r="C439"/>
      <c r="D439"/>
    </row>
    <row r="440" spans="1:4" x14ac:dyDescent="0.2">
      <c r="A440"/>
      <c r="B440"/>
      <c r="C440"/>
      <c r="D440"/>
    </row>
    <row r="441" spans="1:4" x14ac:dyDescent="0.2">
      <c r="A441"/>
      <c r="B441"/>
      <c r="C441"/>
      <c r="D441"/>
    </row>
    <row r="442" spans="1:4" x14ac:dyDescent="0.2">
      <c r="A442"/>
      <c r="B442"/>
      <c r="C442"/>
      <c r="D442"/>
    </row>
    <row r="443" spans="1:4" x14ac:dyDescent="0.2">
      <c r="A443"/>
      <c r="B443"/>
      <c r="C443"/>
      <c r="D443"/>
    </row>
    <row r="444" spans="1:4" x14ac:dyDescent="0.2">
      <c r="A444"/>
      <c r="B444"/>
      <c r="C444"/>
      <c r="D444"/>
    </row>
    <row r="445" spans="1:4" x14ac:dyDescent="0.2">
      <c r="A445"/>
      <c r="B445"/>
      <c r="C445"/>
      <c r="D445"/>
    </row>
    <row r="446" spans="1:4" x14ac:dyDescent="0.2">
      <c r="A446"/>
      <c r="B446"/>
      <c r="C446"/>
      <c r="D446"/>
    </row>
    <row r="447" spans="1:4" x14ac:dyDescent="0.2">
      <c r="A447"/>
      <c r="B447"/>
      <c r="C447"/>
      <c r="D447"/>
    </row>
    <row r="448" spans="1:4" x14ac:dyDescent="0.2">
      <c r="A448"/>
      <c r="B448"/>
      <c r="C448"/>
      <c r="D448"/>
    </row>
    <row r="449" spans="1:4" x14ac:dyDescent="0.2">
      <c r="A449"/>
      <c r="B449"/>
      <c r="C449"/>
      <c r="D449"/>
    </row>
    <row r="450" spans="1:4" x14ac:dyDescent="0.2">
      <c r="A450"/>
      <c r="B450"/>
      <c r="C450"/>
      <c r="D450"/>
    </row>
    <row r="451" spans="1:4" x14ac:dyDescent="0.2">
      <c r="A451"/>
      <c r="B451"/>
      <c r="C451"/>
      <c r="D451"/>
    </row>
    <row r="452" spans="1:4" x14ac:dyDescent="0.2">
      <c r="A452"/>
      <c r="B452"/>
      <c r="C452"/>
      <c r="D452"/>
    </row>
    <row r="453" spans="1:4" x14ac:dyDescent="0.2">
      <c r="A453"/>
      <c r="B453"/>
      <c r="C453"/>
      <c r="D453"/>
    </row>
    <row r="454" spans="1:4" x14ac:dyDescent="0.2">
      <c r="A454"/>
      <c r="B454"/>
      <c r="C454"/>
      <c r="D454"/>
    </row>
    <row r="455" spans="1:4" x14ac:dyDescent="0.2">
      <c r="A455"/>
      <c r="B455"/>
      <c r="C455"/>
      <c r="D455"/>
    </row>
    <row r="456" spans="1:4" x14ac:dyDescent="0.2">
      <c r="A456"/>
      <c r="B456"/>
      <c r="C456"/>
      <c r="D456"/>
    </row>
    <row r="457" spans="1:4" x14ac:dyDescent="0.2">
      <c r="A457"/>
      <c r="B457"/>
      <c r="C457"/>
      <c r="D457"/>
    </row>
    <row r="458" spans="1:4" x14ac:dyDescent="0.2">
      <c r="A458"/>
      <c r="B458"/>
      <c r="C458"/>
      <c r="D458"/>
    </row>
    <row r="459" spans="1:4" x14ac:dyDescent="0.2">
      <c r="A459"/>
      <c r="B459"/>
      <c r="C459"/>
      <c r="D459"/>
    </row>
    <row r="460" spans="1:4" x14ac:dyDescent="0.2">
      <c r="A460"/>
      <c r="B460"/>
      <c r="C460"/>
      <c r="D460"/>
    </row>
    <row r="461" spans="1:4" x14ac:dyDescent="0.2">
      <c r="A461"/>
      <c r="B461"/>
      <c r="C461"/>
      <c r="D461"/>
    </row>
    <row r="462" spans="1:4" x14ac:dyDescent="0.2">
      <c r="A462"/>
      <c r="B462"/>
      <c r="C462"/>
      <c r="D462"/>
    </row>
    <row r="463" spans="1:4" x14ac:dyDescent="0.2">
      <c r="A463"/>
      <c r="B463"/>
      <c r="C463"/>
      <c r="D463"/>
    </row>
    <row r="464" spans="1:4" x14ac:dyDescent="0.2">
      <c r="A464"/>
      <c r="B464"/>
      <c r="C464"/>
      <c r="D464"/>
    </row>
    <row r="465" spans="1:4" x14ac:dyDescent="0.2">
      <c r="A465"/>
      <c r="B465"/>
      <c r="C465"/>
      <c r="D465"/>
    </row>
    <row r="466" spans="1:4" x14ac:dyDescent="0.2">
      <c r="A466"/>
      <c r="B466"/>
      <c r="C466"/>
      <c r="D466"/>
    </row>
    <row r="467" spans="1:4" x14ac:dyDescent="0.2">
      <c r="A467"/>
      <c r="B467"/>
      <c r="C467"/>
      <c r="D467"/>
    </row>
    <row r="468" spans="1:4" x14ac:dyDescent="0.2">
      <c r="A468"/>
      <c r="B468"/>
      <c r="C468"/>
      <c r="D468"/>
    </row>
    <row r="469" spans="1:4" x14ac:dyDescent="0.2">
      <c r="A469"/>
      <c r="B469"/>
      <c r="C469"/>
      <c r="D469"/>
    </row>
    <row r="470" spans="1:4" x14ac:dyDescent="0.2">
      <c r="A470"/>
      <c r="B470"/>
      <c r="C470"/>
      <c r="D470"/>
    </row>
    <row r="471" spans="1:4" x14ac:dyDescent="0.2">
      <c r="A471"/>
      <c r="B471"/>
      <c r="C471"/>
      <c r="D471"/>
    </row>
    <row r="472" spans="1:4" x14ac:dyDescent="0.2">
      <c r="A472"/>
      <c r="B472"/>
      <c r="C472"/>
      <c r="D472"/>
    </row>
    <row r="473" spans="1:4" x14ac:dyDescent="0.2">
      <c r="A473"/>
      <c r="B473"/>
      <c r="C473"/>
      <c r="D473"/>
    </row>
    <row r="474" spans="1:4" x14ac:dyDescent="0.2">
      <c r="A474"/>
      <c r="B474"/>
      <c r="C474"/>
      <c r="D474"/>
    </row>
    <row r="475" spans="1:4" x14ac:dyDescent="0.2">
      <c r="A475"/>
      <c r="B475"/>
      <c r="C475"/>
      <c r="D475"/>
    </row>
    <row r="476" spans="1:4" x14ac:dyDescent="0.2">
      <c r="A476"/>
      <c r="B476"/>
      <c r="C476"/>
      <c r="D476"/>
    </row>
    <row r="477" spans="1:4" x14ac:dyDescent="0.2">
      <c r="A477"/>
      <c r="B477"/>
      <c r="C477"/>
      <c r="D477"/>
    </row>
    <row r="478" spans="1:4" x14ac:dyDescent="0.2">
      <c r="A478"/>
      <c r="B478"/>
      <c r="C478"/>
      <c r="D478"/>
    </row>
    <row r="479" spans="1:4" x14ac:dyDescent="0.2">
      <c r="A479"/>
      <c r="B479"/>
      <c r="C479"/>
      <c r="D479"/>
    </row>
    <row r="480" spans="1:4" x14ac:dyDescent="0.2">
      <c r="A480"/>
      <c r="B480"/>
      <c r="C480"/>
      <c r="D480"/>
    </row>
    <row r="481" spans="1:4" x14ac:dyDescent="0.2">
      <c r="A481"/>
      <c r="B481"/>
      <c r="C481"/>
      <c r="D481"/>
    </row>
    <row r="482" spans="1:4" x14ac:dyDescent="0.2">
      <c r="A482"/>
      <c r="B482"/>
      <c r="C482"/>
      <c r="D482"/>
    </row>
    <row r="483" spans="1:4" x14ac:dyDescent="0.2">
      <c r="A483"/>
      <c r="B483"/>
      <c r="C483"/>
      <c r="D483"/>
    </row>
    <row r="484" spans="1:4" x14ac:dyDescent="0.2">
      <c r="A484"/>
      <c r="B484"/>
      <c r="C484"/>
      <c r="D484"/>
    </row>
    <row r="485" spans="1:4" x14ac:dyDescent="0.2">
      <c r="A485"/>
      <c r="B485"/>
      <c r="C485"/>
      <c r="D485"/>
    </row>
    <row r="486" spans="1:4" x14ac:dyDescent="0.2">
      <c r="A486"/>
      <c r="B486"/>
      <c r="C486"/>
      <c r="D486"/>
    </row>
    <row r="487" spans="1:4" x14ac:dyDescent="0.2">
      <c r="A487"/>
      <c r="B487"/>
      <c r="C487"/>
      <c r="D487"/>
    </row>
    <row r="488" spans="1:4" x14ac:dyDescent="0.2">
      <c r="A488"/>
      <c r="B488"/>
      <c r="C488"/>
      <c r="D488"/>
    </row>
    <row r="489" spans="1:4" x14ac:dyDescent="0.2">
      <c r="A489"/>
      <c r="B489"/>
      <c r="C489"/>
      <c r="D489"/>
    </row>
    <row r="490" spans="1:4" x14ac:dyDescent="0.2">
      <c r="A490"/>
      <c r="B490"/>
      <c r="C490"/>
      <c r="D490"/>
    </row>
    <row r="491" spans="1:4" x14ac:dyDescent="0.2">
      <c r="A491"/>
      <c r="B491"/>
      <c r="C491"/>
      <c r="D491"/>
    </row>
    <row r="492" spans="1:4" x14ac:dyDescent="0.2">
      <c r="A492"/>
      <c r="B492"/>
      <c r="C492"/>
      <c r="D492"/>
    </row>
    <row r="493" spans="1:4" x14ac:dyDescent="0.2">
      <c r="A493"/>
      <c r="B493"/>
      <c r="C493"/>
      <c r="D493"/>
    </row>
    <row r="494" spans="1:4" x14ac:dyDescent="0.2">
      <c r="A494"/>
      <c r="B494"/>
      <c r="C494"/>
      <c r="D494"/>
    </row>
    <row r="495" spans="1:4" x14ac:dyDescent="0.2">
      <c r="A495"/>
      <c r="B495"/>
      <c r="C495"/>
      <c r="D495"/>
    </row>
    <row r="496" spans="1:4" x14ac:dyDescent="0.2">
      <c r="A496"/>
      <c r="B496"/>
      <c r="C496"/>
      <c r="D496"/>
    </row>
    <row r="497" spans="1:4" x14ac:dyDescent="0.2">
      <c r="A497"/>
      <c r="B497"/>
      <c r="C497"/>
      <c r="D497"/>
    </row>
    <row r="498" spans="1:4" x14ac:dyDescent="0.2">
      <c r="A498"/>
      <c r="B498"/>
      <c r="C498"/>
      <c r="D498"/>
    </row>
    <row r="499" spans="1:4" x14ac:dyDescent="0.2">
      <c r="A499"/>
      <c r="B499"/>
      <c r="C499"/>
      <c r="D499"/>
    </row>
    <row r="500" spans="1:4" x14ac:dyDescent="0.2">
      <c r="A500"/>
      <c r="B500"/>
      <c r="C500"/>
      <c r="D500"/>
    </row>
    <row r="501" spans="1:4" x14ac:dyDescent="0.2">
      <c r="A501"/>
      <c r="B501"/>
      <c r="C501"/>
      <c r="D501"/>
    </row>
    <row r="502" spans="1:4" x14ac:dyDescent="0.2">
      <c r="A502"/>
      <c r="B502"/>
      <c r="C502"/>
      <c r="D502"/>
    </row>
    <row r="503" spans="1:4" x14ac:dyDescent="0.2">
      <c r="A503"/>
      <c r="B503"/>
      <c r="C503"/>
      <c r="D503"/>
    </row>
    <row r="504" spans="1:4" x14ac:dyDescent="0.2">
      <c r="A504"/>
      <c r="B504"/>
      <c r="C504"/>
      <c r="D504"/>
    </row>
    <row r="505" spans="1:4" x14ac:dyDescent="0.2">
      <c r="A505"/>
      <c r="B505"/>
      <c r="C505"/>
      <c r="D505"/>
    </row>
    <row r="506" spans="1:4" x14ac:dyDescent="0.2">
      <c r="A506"/>
      <c r="B506"/>
      <c r="C506"/>
      <c r="D506"/>
    </row>
    <row r="507" spans="1:4" x14ac:dyDescent="0.2">
      <c r="A507"/>
      <c r="B507"/>
      <c r="C507"/>
      <c r="D507"/>
    </row>
    <row r="508" spans="1:4" x14ac:dyDescent="0.2">
      <c r="A508"/>
      <c r="B508"/>
      <c r="C508"/>
      <c r="D508"/>
    </row>
    <row r="509" spans="1:4" x14ac:dyDescent="0.2">
      <c r="A509"/>
      <c r="B509"/>
      <c r="C509"/>
      <c r="D509"/>
    </row>
    <row r="510" spans="1:4" x14ac:dyDescent="0.2">
      <c r="A510"/>
      <c r="B510"/>
      <c r="C510"/>
      <c r="D510"/>
    </row>
    <row r="511" spans="1:4" x14ac:dyDescent="0.2">
      <c r="A511"/>
      <c r="B511"/>
      <c r="C511"/>
      <c r="D511"/>
    </row>
    <row r="512" spans="1:4" x14ac:dyDescent="0.2">
      <c r="A512"/>
      <c r="B512"/>
      <c r="C512"/>
      <c r="D512"/>
    </row>
    <row r="513" spans="1:4" x14ac:dyDescent="0.2">
      <c r="A513"/>
      <c r="B513"/>
      <c r="C513"/>
      <c r="D513"/>
    </row>
    <row r="514" spans="1:4" x14ac:dyDescent="0.2">
      <c r="A514"/>
      <c r="B514"/>
      <c r="C514"/>
      <c r="D514"/>
    </row>
    <row r="515" spans="1:4" x14ac:dyDescent="0.2">
      <c r="A515"/>
      <c r="B515"/>
      <c r="C515"/>
      <c r="D515"/>
    </row>
    <row r="516" spans="1:4" x14ac:dyDescent="0.2">
      <c r="A516"/>
      <c r="B516"/>
      <c r="C516"/>
      <c r="D516"/>
    </row>
    <row r="517" spans="1:4" x14ac:dyDescent="0.2">
      <c r="A517"/>
      <c r="B517"/>
      <c r="C517"/>
      <c r="D517"/>
    </row>
    <row r="518" spans="1:4" x14ac:dyDescent="0.2">
      <c r="A518"/>
      <c r="B518"/>
      <c r="C518"/>
      <c r="D518"/>
    </row>
    <row r="519" spans="1:4" x14ac:dyDescent="0.2">
      <c r="A519"/>
      <c r="B519"/>
      <c r="C519"/>
      <c r="D519"/>
    </row>
    <row r="520" spans="1:4" x14ac:dyDescent="0.2">
      <c r="A520"/>
      <c r="B520"/>
      <c r="C520"/>
      <c r="D520"/>
    </row>
    <row r="521" spans="1:4" x14ac:dyDescent="0.2">
      <c r="A521"/>
      <c r="B521"/>
      <c r="C521"/>
      <c r="D521"/>
    </row>
    <row r="522" spans="1:4" x14ac:dyDescent="0.2">
      <c r="A522"/>
      <c r="B522"/>
      <c r="C522"/>
      <c r="D522"/>
    </row>
    <row r="523" spans="1:4" x14ac:dyDescent="0.2">
      <c r="A523"/>
      <c r="B523"/>
      <c r="C523"/>
      <c r="D523"/>
    </row>
    <row r="524" spans="1:4" x14ac:dyDescent="0.2">
      <c r="A524"/>
      <c r="B524"/>
      <c r="C524"/>
      <c r="D524"/>
    </row>
    <row r="525" spans="1:4" x14ac:dyDescent="0.2">
      <c r="A525"/>
      <c r="B525"/>
      <c r="C525"/>
      <c r="D525"/>
    </row>
    <row r="526" spans="1:4" x14ac:dyDescent="0.2">
      <c r="A526"/>
      <c r="B526"/>
      <c r="C526"/>
      <c r="D526"/>
    </row>
    <row r="527" spans="1:4" x14ac:dyDescent="0.2">
      <c r="A527"/>
      <c r="B527"/>
      <c r="C527"/>
      <c r="D527"/>
    </row>
    <row r="528" spans="1:4" x14ac:dyDescent="0.2">
      <c r="A528"/>
      <c r="B528"/>
      <c r="C528"/>
      <c r="D528"/>
    </row>
    <row r="529" spans="1:4" x14ac:dyDescent="0.2">
      <c r="A529"/>
      <c r="B529"/>
      <c r="C529"/>
      <c r="D529"/>
    </row>
    <row r="530" spans="1:4" x14ac:dyDescent="0.2">
      <c r="A530"/>
      <c r="B530"/>
      <c r="C530"/>
      <c r="D530"/>
    </row>
    <row r="531" spans="1:4" x14ac:dyDescent="0.2">
      <c r="A531"/>
      <c r="B531"/>
      <c r="C531"/>
      <c r="D531"/>
    </row>
    <row r="532" spans="1:4" x14ac:dyDescent="0.2">
      <c r="A532"/>
      <c r="B532"/>
      <c r="C532"/>
      <c r="D532"/>
    </row>
    <row r="533" spans="1:4" x14ac:dyDescent="0.2">
      <c r="A533"/>
      <c r="B533"/>
      <c r="C533"/>
      <c r="D533"/>
    </row>
    <row r="534" spans="1:4" x14ac:dyDescent="0.2">
      <c r="A534"/>
      <c r="B534"/>
      <c r="C534"/>
      <c r="D534"/>
    </row>
    <row r="535" spans="1:4" x14ac:dyDescent="0.2">
      <c r="A535"/>
      <c r="B535"/>
      <c r="C535"/>
      <c r="D535"/>
    </row>
    <row r="536" spans="1:4" x14ac:dyDescent="0.2">
      <c r="A536"/>
      <c r="B536"/>
      <c r="C536"/>
      <c r="D536"/>
    </row>
    <row r="537" spans="1:4" x14ac:dyDescent="0.2">
      <c r="A537"/>
      <c r="B537"/>
      <c r="C537"/>
      <c r="D537"/>
    </row>
    <row r="538" spans="1:4" x14ac:dyDescent="0.2">
      <c r="A538"/>
      <c r="B538"/>
      <c r="C538"/>
      <c r="D538"/>
    </row>
    <row r="539" spans="1:4" x14ac:dyDescent="0.2">
      <c r="A539"/>
      <c r="B539"/>
      <c r="C539"/>
      <c r="D539"/>
    </row>
    <row r="540" spans="1:4" x14ac:dyDescent="0.2">
      <c r="A540"/>
      <c r="B540"/>
      <c r="C540"/>
      <c r="D540"/>
    </row>
    <row r="541" spans="1:4" x14ac:dyDescent="0.2">
      <c r="A541"/>
      <c r="B541"/>
      <c r="C541"/>
      <c r="D541"/>
    </row>
    <row r="542" spans="1:4" x14ac:dyDescent="0.2">
      <c r="A542"/>
      <c r="B542"/>
      <c r="C542"/>
      <c r="D542"/>
    </row>
    <row r="543" spans="1:4" x14ac:dyDescent="0.2">
      <c r="A543"/>
      <c r="B543"/>
      <c r="C543"/>
      <c r="D543"/>
    </row>
    <row r="544" spans="1:4" x14ac:dyDescent="0.2">
      <c r="A544"/>
      <c r="B544"/>
      <c r="C544"/>
      <c r="D544"/>
    </row>
    <row r="545" spans="1:4" x14ac:dyDescent="0.2">
      <c r="A545"/>
      <c r="B545"/>
      <c r="C545"/>
      <c r="D545"/>
    </row>
    <row r="546" spans="1:4" x14ac:dyDescent="0.2">
      <c r="A546"/>
      <c r="B546"/>
      <c r="C546"/>
      <c r="D546"/>
    </row>
    <row r="547" spans="1:4" x14ac:dyDescent="0.2">
      <c r="A547"/>
      <c r="B547"/>
      <c r="C547"/>
      <c r="D547"/>
    </row>
    <row r="548" spans="1:4" x14ac:dyDescent="0.2">
      <c r="A548"/>
      <c r="B548"/>
      <c r="C548"/>
      <c r="D548"/>
    </row>
    <row r="549" spans="1:4" x14ac:dyDescent="0.2">
      <c r="A549"/>
      <c r="B549"/>
      <c r="C549"/>
      <c r="D549"/>
    </row>
    <row r="550" spans="1:4" x14ac:dyDescent="0.2">
      <c r="A550"/>
      <c r="B550"/>
      <c r="C550"/>
      <c r="D550"/>
    </row>
    <row r="551" spans="1:4" x14ac:dyDescent="0.2">
      <c r="A551"/>
      <c r="B551"/>
      <c r="C551"/>
      <c r="D551"/>
    </row>
    <row r="552" spans="1:4" x14ac:dyDescent="0.2">
      <c r="A552"/>
      <c r="B552"/>
      <c r="C552"/>
      <c r="D552"/>
    </row>
    <row r="553" spans="1:4" x14ac:dyDescent="0.2">
      <c r="A553"/>
      <c r="B553"/>
      <c r="C553"/>
      <c r="D553"/>
    </row>
    <row r="554" spans="1:4" x14ac:dyDescent="0.2">
      <c r="A554"/>
      <c r="B554"/>
      <c r="C554"/>
      <c r="D554"/>
    </row>
    <row r="555" spans="1:4" x14ac:dyDescent="0.2">
      <c r="A555"/>
      <c r="B555"/>
      <c r="C555"/>
      <c r="D555"/>
    </row>
    <row r="556" spans="1:4" x14ac:dyDescent="0.2">
      <c r="A556"/>
      <c r="B556"/>
      <c r="C556"/>
      <c r="D556"/>
    </row>
    <row r="557" spans="1:4" x14ac:dyDescent="0.2">
      <c r="A557"/>
      <c r="B557"/>
      <c r="C557"/>
      <c r="D557"/>
    </row>
    <row r="558" spans="1:4" x14ac:dyDescent="0.2">
      <c r="A558"/>
      <c r="B558"/>
      <c r="C558"/>
      <c r="D558"/>
    </row>
    <row r="559" spans="1:4" x14ac:dyDescent="0.2">
      <c r="A559"/>
      <c r="B559"/>
      <c r="C559"/>
      <c r="D559"/>
    </row>
    <row r="560" spans="1:4" x14ac:dyDescent="0.2">
      <c r="A560"/>
      <c r="B560"/>
      <c r="C560"/>
      <c r="D560"/>
    </row>
    <row r="561" spans="1:4" x14ac:dyDescent="0.2">
      <c r="A561"/>
      <c r="B561"/>
      <c r="C561"/>
      <c r="D561"/>
    </row>
    <row r="562" spans="1:4" x14ac:dyDescent="0.2">
      <c r="A562"/>
      <c r="B562"/>
      <c r="C562"/>
      <c r="D562"/>
    </row>
    <row r="563" spans="1:4" x14ac:dyDescent="0.2">
      <c r="A563"/>
      <c r="B563"/>
      <c r="C563"/>
      <c r="D563"/>
    </row>
    <row r="564" spans="1:4" x14ac:dyDescent="0.2">
      <c r="A564"/>
      <c r="B564"/>
      <c r="C564"/>
      <c r="D564"/>
    </row>
    <row r="565" spans="1:4" x14ac:dyDescent="0.2">
      <c r="A565"/>
      <c r="B565"/>
      <c r="C565"/>
      <c r="D565"/>
    </row>
    <row r="566" spans="1:4" x14ac:dyDescent="0.2">
      <c r="A566"/>
      <c r="B566"/>
      <c r="C566"/>
      <c r="D566"/>
    </row>
    <row r="567" spans="1:4" x14ac:dyDescent="0.2">
      <c r="A567"/>
      <c r="B567"/>
      <c r="C567"/>
      <c r="D567"/>
    </row>
    <row r="568" spans="1:4" x14ac:dyDescent="0.2">
      <c r="A568"/>
      <c r="B568"/>
      <c r="C568"/>
      <c r="D568"/>
    </row>
    <row r="569" spans="1:4" x14ac:dyDescent="0.2">
      <c r="A569"/>
      <c r="B569"/>
      <c r="C569"/>
      <c r="D569"/>
    </row>
    <row r="570" spans="1:4" x14ac:dyDescent="0.2">
      <c r="A570"/>
      <c r="B570"/>
      <c r="C570"/>
      <c r="D570"/>
    </row>
    <row r="571" spans="1:4" x14ac:dyDescent="0.2">
      <c r="A571"/>
      <c r="B571"/>
      <c r="C571"/>
      <c r="D571"/>
    </row>
    <row r="572" spans="1:4" x14ac:dyDescent="0.2">
      <c r="A572"/>
      <c r="B572"/>
      <c r="C572"/>
      <c r="D572"/>
    </row>
    <row r="573" spans="1:4" x14ac:dyDescent="0.2">
      <c r="A573"/>
      <c r="B573"/>
      <c r="C573"/>
      <c r="D573"/>
    </row>
    <row r="574" spans="1:4" x14ac:dyDescent="0.2">
      <c r="A574"/>
      <c r="B574"/>
      <c r="C574"/>
      <c r="D574"/>
    </row>
    <row r="575" spans="1:4" x14ac:dyDescent="0.2">
      <c r="A575"/>
      <c r="B575"/>
      <c r="C575"/>
      <c r="D575"/>
    </row>
    <row r="576" spans="1:4" x14ac:dyDescent="0.2">
      <c r="A576"/>
      <c r="B576"/>
      <c r="C576"/>
      <c r="D576"/>
    </row>
    <row r="577" spans="1:4" x14ac:dyDescent="0.2">
      <c r="A577"/>
      <c r="B577"/>
      <c r="C577"/>
      <c r="D577"/>
    </row>
    <row r="578" spans="1:4" x14ac:dyDescent="0.2">
      <c r="A578"/>
      <c r="B578"/>
      <c r="C578"/>
      <c r="D578"/>
    </row>
    <row r="579" spans="1:4" x14ac:dyDescent="0.2">
      <c r="A579"/>
      <c r="B579"/>
      <c r="C579"/>
      <c r="D579"/>
    </row>
    <row r="580" spans="1:4" x14ac:dyDescent="0.2">
      <c r="A580"/>
      <c r="B580"/>
      <c r="C580"/>
      <c r="D580"/>
    </row>
    <row r="581" spans="1:4" x14ac:dyDescent="0.2">
      <c r="A581"/>
      <c r="B581"/>
      <c r="C581"/>
      <c r="D581"/>
    </row>
    <row r="582" spans="1:4" x14ac:dyDescent="0.2">
      <c r="A582"/>
      <c r="B582"/>
      <c r="C582"/>
      <c r="D582"/>
    </row>
    <row r="583" spans="1:4" x14ac:dyDescent="0.2">
      <c r="A583"/>
      <c r="B583"/>
      <c r="C583"/>
      <c r="D583"/>
    </row>
    <row r="584" spans="1:4" x14ac:dyDescent="0.2">
      <c r="A584"/>
      <c r="B584"/>
      <c r="C584"/>
      <c r="D584"/>
    </row>
    <row r="585" spans="1:4" x14ac:dyDescent="0.2">
      <c r="A585"/>
      <c r="B585"/>
      <c r="C585"/>
      <c r="D585"/>
    </row>
    <row r="586" spans="1:4" x14ac:dyDescent="0.2">
      <c r="A586"/>
      <c r="B586"/>
      <c r="C586"/>
      <c r="D586"/>
    </row>
    <row r="587" spans="1:4" x14ac:dyDescent="0.2">
      <c r="A587"/>
      <c r="B587"/>
      <c r="C587"/>
      <c r="D587"/>
    </row>
    <row r="588" spans="1:4" x14ac:dyDescent="0.2">
      <c r="A588"/>
      <c r="B588"/>
      <c r="C588"/>
      <c r="D588"/>
    </row>
    <row r="589" spans="1:4" x14ac:dyDescent="0.2">
      <c r="A589"/>
      <c r="B589"/>
      <c r="C589"/>
      <c r="D589"/>
    </row>
    <row r="590" spans="1:4" x14ac:dyDescent="0.2">
      <c r="A590"/>
      <c r="B590"/>
      <c r="C590"/>
      <c r="D590"/>
    </row>
    <row r="591" spans="1:4" x14ac:dyDescent="0.2">
      <c r="A591"/>
      <c r="B591"/>
      <c r="C591"/>
      <c r="D591"/>
    </row>
    <row r="592" spans="1:4" x14ac:dyDescent="0.2">
      <c r="A592"/>
      <c r="B592"/>
      <c r="C592"/>
      <c r="D592"/>
    </row>
    <row r="593" spans="1:4" x14ac:dyDescent="0.2">
      <c r="A593"/>
      <c r="B593"/>
      <c r="C593"/>
      <c r="D593"/>
    </row>
    <row r="594" spans="1:4" x14ac:dyDescent="0.2">
      <c r="A594"/>
      <c r="B594"/>
      <c r="C594"/>
      <c r="D594"/>
    </row>
    <row r="595" spans="1:4" x14ac:dyDescent="0.2">
      <c r="A595"/>
      <c r="B595"/>
      <c r="C595"/>
      <c r="D595"/>
    </row>
    <row r="596" spans="1:4" x14ac:dyDescent="0.2">
      <c r="A596"/>
      <c r="B596"/>
      <c r="C596"/>
      <c r="D596"/>
    </row>
    <row r="597" spans="1:4" x14ac:dyDescent="0.2">
      <c r="A597"/>
      <c r="B597"/>
      <c r="C597"/>
      <c r="D597"/>
    </row>
    <row r="598" spans="1:4" x14ac:dyDescent="0.2">
      <c r="A598"/>
      <c r="B598"/>
      <c r="C598"/>
      <c r="D598"/>
    </row>
    <row r="599" spans="1:4" x14ac:dyDescent="0.2">
      <c r="A599"/>
      <c r="B599"/>
      <c r="C599"/>
      <c r="D599"/>
    </row>
    <row r="600" spans="1:4" x14ac:dyDescent="0.2">
      <c r="A600"/>
      <c r="B600"/>
      <c r="C600"/>
      <c r="D600"/>
    </row>
    <row r="601" spans="1:4" x14ac:dyDescent="0.2">
      <c r="A601"/>
      <c r="B601"/>
      <c r="C601"/>
      <c r="D601"/>
    </row>
    <row r="602" spans="1:4" x14ac:dyDescent="0.2">
      <c r="A602"/>
      <c r="B602"/>
      <c r="C602"/>
      <c r="D602"/>
    </row>
    <row r="603" spans="1:4" x14ac:dyDescent="0.2">
      <c r="A603"/>
      <c r="B603"/>
      <c r="C603"/>
      <c r="D603"/>
    </row>
    <row r="604" spans="1:4" x14ac:dyDescent="0.2">
      <c r="A604"/>
      <c r="B604"/>
      <c r="C604"/>
      <c r="D604"/>
    </row>
    <row r="605" spans="1:4" x14ac:dyDescent="0.2">
      <c r="A605"/>
      <c r="B605"/>
      <c r="C605"/>
      <c r="D605"/>
    </row>
    <row r="606" spans="1:4" x14ac:dyDescent="0.2">
      <c r="A606"/>
      <c r="B606"/>
      <c r="C606"/>
      <c r="D606"/>
    </row>
    <row r="607" spans="1:4" x14ac:dyDescent="0.2">
      <c r="A607"/>
      <c r="B607"/>
      <c r="C607"/>
      <c r="D607"/>
    </row>
    <row r="608" spans="1:4" x14ac:dyDescent="0.2">
      <c r="A608"/>
      <c r="B608"/>
      <c r="C608"/>
      <c r="D608"/>
    </row>
    <row r="609" spans="1:4" x14ac:dyDescent="0.2">
      <c r="A609"/>
      <c r="B609"/>
      <c r="C609"/>
      <c r="D609"/>
    </row>
    <row r="610" spans="1:4" x14ac:dyDescent="0.2">
      <c r="A610"/>
      <c r="B610"/>
      <c r="C610"/>
      <c r="D610"/>
    </row>
    <row r="611" spans="1:4" x14ac:dyDescent="0.2">
      <c r="A611"/>
      <c r="B611"/>
      <c r="C611"/>
      <c r="D611"/>
    </row>
    <row r="612" spans="1:4" x14ac:dyDescent="0.2">
      <c r="A612"/>
      <c r="B612"/>
      <c r="C612"/>
      <c r="D612"/>
    </row>
    <row r="613" spans="1:4" x14ac:dyDescent="0.2">
      <c r="A613"/>
      <c r="B613"/>
      <c r="C613"/>
      <c r="D613"/>
    </row>
    <row r="614" spans="1:4" x14ac:dyDescent="0.2">
      <c r="A614"/>
      <c r="B614"/>
      <c r="C614"/>
      <c r="D614"/>
    </row>
    <row r="615" spans="1:4" x14ac:dyDescent="0.2">
      <c r="A615"/>
      <c r="B615"/>
      <c r="C615"/>
      <c r="D615"/>
    </row>
    <row r="616" spans="1:4" x14ac:dyDescent="0.2">
      <c r="A616"/>
      <c r="B616"/>
      <c r="C616"/>
      <c r="D616"/>
    </row>
    <row r="617" spans="1:4" x14ac:dyDescent="0.2">
      <c r="A617"/>
      <c r="B617"/>
      <c r="C617"/>
      <c r="D617"/>
    </row>
    <row r="618" spans="1:4" x14ac:dyDescent="0.2">
      <c r="A618"/>
      <c r="B618"/>
      <c r="C618"/>
      <c r="D618"/>
    </row>
    <row r="619" spans="1:4" x14ac:dyDescent="0.2">
      <c r="A619"/>
      <c r="B619"/>
      <c r="C619"/>
      <c r="D619"/>
    </row>
    <row r="620" spans="1:4" x14ac:dyDescent="0.2">
      <c r="A620"/>
      <c r="B620"/>
      <c r="C620"/>
      <c r="D620"/>
    </row>
    <row r="621" spans="1:4" x14ac:dyDescent="0.2">
      <c r="A621"/>
      <c r="B621"/>
      <c r="C621"/>
      <c r="D621"/>
    </row>
    <row r="622" spans="1:4" x14ac:dyDescent="0.2">
      <c r="A622"/>
      <c r="B622"/>
      <c r="C622"/>
      <c r="D622"/>
    </row>
    <row r="623" spans="1:4" x14ac:dyDescent="0.2">
      <c r="A623"/>
      <c r="B623"/>
      <c r="C623"/>
      <c r="D623"/>
    </row>
    <row r="624" spans="1:4" x14ac:dyDescent="0.2">
      <c r="A624"/>
      <c r="B624"/>
      <c r="C624"/>
      <c r="D624"/>
    </row>
    <row r="625" spans="1:4" x14ac:dyDescent="0.2">
      <c r="A625"/>
      <c r="B625"/>
      <c r="C625"/>
      <c r="D625"/>
    </row>
    <row r="626" spans="1:4" x14ac:dyDescent="0.2">
      <c r="A626"/>
      <c r="B626"/>
      <c r="C626"/>
      <c r="D626"/>
    </row>
    <row r="627" spans="1:4" x14ac:dyDescent="0.2">
      <c r="A627"/>
      <c r="B627"/>
      <c r="C627"/>
      <c r="D627"/>
    </row>
    <row r="628" spans="1:4" x14ac:dyDescent="0.2">
      <c r="A628"/>
      <c r="B628"/>
      <c r="C628"/>
      <c r="D628"/>
    </row>
    <row r="629" spans="1:4" x14ac:dyDescent="0.2">
      <c r="A629"/>
      <c r="B629"/>
      <c r="C629"/>
      <c r="D629"/>
    </row>
    <row r="630" spans="1:4" x14ac:dyDescent="0.2">
      <c r="A630"/>
      <c r="B630"/>
      <c r="C630"/>
      <c r="D630"/>
    </row>
    <row r="631" spans="1:4" x14ac:dyDescent="0.2">
      <c r="A631"/>
      <c r="B631"/>
      <c r="C631"/>
      <c r="D631"/>
    </row>
    <row r="632" spans="1:4" x14ac:dyDescent="0.2">
      <c r="A632"/>
      <c r="B632"/>
      <c r="C632"/>
      <c r="D632"/>
    </row>
    <row r="633" spans="1:4" x14ac:dyDescent="0.2">
      <c r="A633"/>
      <c r="B633"/>
      <c r="C633"/>
      <c r="D633"/>
    </row>
    <row r="634" spans="1:4" x14ac:dyDescent="0.2">
      <c r="A634"/>
      <c r="B634"/>
      <c r="C634"/>
      <c r="D634"/>
    </row>
    <row r="635" spans="1:4" x14ac:dyDescent="0.2">
      <c r="A635"/>
      <c r="B635"/>
      <c r="C635"/>
      <c r="D635"/>
    </row>
    <row r="636" spans="1:4" x14ac:dyDescent="0.2">
      <c r="A636"/>
      <c r="B636"/>
      <c r="C636"/>
      <c r="D636"/>
    </row>
    <row r="637" spans="1:4" x14ac:dyDescent="0.2">
      <c r="A637"/>
      <c r="B637"/>
      <c r="C637"/>
      <c r="D637"/>
    </row>
    <row r="638" spans="1:4" x14ac:dyDescent="0.2">
      <c r="A638"/>
      <c r="B638"/>
      <c r="C638"/>
      <c r="D638"/>
    </row>
    <row r="639" spans="1:4" x14ac:dyDescent="0.2">
      <c r="A639"/>
      <c r="B639"/>
      <c r="C639"/>
      <c r="D639"/>
    </row>
    <row r="640" spans="1:4" x14ac:dyDescent="0.2">
      <c r="A640"/>
      <c r="B640"/>
      <c r="C640"/>
      <c r="D640"/>
    </row>
    <row r="641" spans="1:4" x14ac:dyDescent="0.2">
      <c r="A641"/>
      <c r="B641"/>
      <c r="C641"/>
      <c r="D641"/>
    </row>
    <row r="642" spans="1:4" x14ac:dyDescent="0.2">
      <c r="A642"/>
      <c r="B642"/>
      <c r="C642"/>
      <c r="D642"/>
    </row>
    <row r="643" spans="1:4" x14ac:dyDescent="0.2">
      <c r="A643"/>
      <c r="B643"/>
      <c r="C643"/>
      <c r="D643"/>
    </row>
    <row r="644" spans="1:4" x14ac:dyDescent="0.2">
      <c r="A644"/>
      <c r="B644"/>
      <c r="C644"/>
      <c r="D644"/>
    </row>
    <row r="645" spans="1:4" x14ac:dyDescent="0.2">
      <c r="A645"/>
      <c r="B645"/>
      <c r="C645"/>
      <c r="D645"/>
    </row>
    <row r="646" spans="1:4" x14ac:dyDescent="0.2">
      <c r="A646"/>
      <c r="B646"/>
      <c r="C646"/>
      <c r="D646"/>
    </row>
    <row r="647" spans="1:4" x14ac:dyDescent="0.2">
      <c r="A647"/>
      <c r="B647"/>
      <c r="C647"/>
      <c r="D647"/>
    </row>
    <row r="648" spans="1:4" x14ac:dyDescent="0.2">
      <c r="A648"/>
      <c r="B648"/>
      <c r="C648"/>
      <c r="D648"/>
    </row>
    <row r="649" spans="1:4" x14ac:dyDescent="0.2">
      <c r="A649"/>
      <c r="B649"/>
      <c r="C649"/>
      <c r="D649"/>
    </row>
    <row r="650" spans="1:4" x14ac:dyDescent="0.2">
      <c r="A650"/>
      <c r="B650"/>
      <c r="C650"/>
      <c r="D650"/>
    </row>
    <row r="651" spans="1:4" x14ac:dyDescent="0.2">
      <c r="A651"/>
      <c r="B651"/>
      <c r="C651"/>
      <c r="D651"/>
    </row>
    <row r="652" spans="1:4" x14ac:dyDescent="0.2">
      <c r="A652"/>
      <c r="B652"/>
      <c r="C652"/>
      <c r="D652"/>
    </row>
    <row r="653" spans="1:4" x14ac:dyDescent="0.2">
      <c r="A653"/>
      <c r="B653"/>
      <c r="C653"/>
      <c r="D653"/>
    </row>
    <row r="654" spans="1:4" x14ac:dyDescent="0.2">
      <c r="A654"/>
      <c r="B654"/>
      <c r="C654"/>
      <c r="D654"/>
    </row>
    <row r="655" spans="1:4" x14ac:dyDescent="0.2">
      <c r="A655"/>
      <c r="B655"/>
      <c r="C655"/>
      <c r="D655"/>
    </row>
    <row r="656" spans="1:4" x14ac:dyDescent="0.2">
      <c r="A656"/>
      <c r="B656"/>
      <c r="C656"/>
      <c r="D656"/>
    </row>
    <row r="657" spans="1:4" x14ac:dyDescent="0.2">
      <c r="A657"/>
      <c r="B657"/>
      <c r="C657"/>
      <c r="D657"/>
    </row>
    <row r="658" spans="1:4" x14ac:dyDescent="0.2">
      <c r="A658"/>
      <c r="B658"/>
      <c r="C658"/>
      <c r="D658"/>
    </row>
    <row r="659" spans="1:4" x14ac:dyDescent="0.2">
      <c r="A659"/>
      <c r="B659"/>
      <c r="C659"/>
      <c r="D659"/>
    </row>
    <row r="660" spans="1:4" x14ac:dyDescent="0.2">
      <c r="A660"/>
      <c r="B660"/>
      <c r="C660"/>
      <c r="D660"/>
    </row>
    <row r="661" spans="1:4" x14ac:dyDescent="0.2">
      <c r="A661"/>
      <c r="B661"/>
      <c r="C661"/>
      <c r="D661"/>
    </row>
    <row r="662" spans="1:4" x14ac:dyDescent="0.2">
      <c r="A662"/>
      <c r="B662"/>
      <c r="C662"/>
      <c r="D662"/>
    </row>
    <row r="663" spans="1:4" x14ac:dyDescent="0.2">
      <c r="A663"/>
      <c r="B663"/>
      <c r="C663"/>
      <c r="D663"/>
    </row>
    <row r="664" spans="1:4" x14ac:dyDescent="0.2">
      <c r="A664"/>
      <c r="B664"/>
      <c r="C664"/>
      <c r="D664"/>
    </row>
    <row r="665" spans="1:4" x14ac:dyDescent="0.2">
      <c r="A665"/>
      <c r="B665"/>
      <c r="C665"/>
      <c r="D665"/>
    </row>
    <row r="666" spans="1:4" x14ac:dyDescent="0.2">
      <c r="A666"/>
      <c r="B666"/>
      <c r="C666"/>
      <c r="D666"/>
    </row>
    <row r="667" spans="1:4" x14ac:dyDescent="0.2">
      <c r="A667"/>
      <c r="B667"/>
      <c r="C667"/>
      <c r="D667"/>
    </row>
    <row r="668" spans="1:4" x14ac:dyDescent="0.2">
      <c r="A668"/>
      <c r="B668"/>
      <c r="C668"/>
      <c r="D668"/>
    </row>
    <row r="669" spans="1:4" x14ac:dyDescent="0.2">
      <c r="A669"/>
      <c r="B669"/>
      <c r="C669"/>
      <c r="D669"/>
    </row>
    <row r="670" spans="1:4" x14ac:dyDescent="0.2">
      <c r="A670"/>
      <c r="B670"/>
      <c r="C670"/>
      <c r="D670"/>
    </row>
    <row r="671" spans="1:4" x14ac:dyDescent="0.2">
      <c r="A671"/>
      <c r="B671"/>
      <c r="C671"/>
      <c r="D671"/>
    </row>
    <row r="672" spans="1:4" x14ac:dyDescent="0.2">
      <c r="A672"/>
      <c r="B672"/>
      <c r="C672"/>
      <c r="D672"/>
    </row>
    <row r="673" spans="1:4" x14ac:dyDescent="0.2">
      <c r="A673"/>
      <c r="B673"/>
      <c r="C673"/>
      <c r="D673"/>
    </row>
    <row r="674" spans="1:4" x14ac:dyDescent="0.2">
      <c r="A674"/>
      <c r="B674"/>
      <c r="C674"/>
      <c r="D674"/>
    </row>
    <row r="675" spans="1:4" x14ac:dyDescent="0.2">
      <c r="A675"/>
      <c r="B675"/>
      <c r="C675"/>
      <c r="D675"/>
    </row>
    <row r="676" spans="1:4" x14ac:dyDescent="0.2">
      <c r="A676"/>
      <c r="B676"/>
      <c r="C676"/>
      <c r="D676"/>
    </row>
    <row r="677" spans="1:4" x14ac:dyDescent="0.2">
      <c r="A677"/>
      <c r="B677"/>
      <c r="C677"/>
      <c r="D677"/>
    </row>
    <row r="678" spans="1:4" x14ac:dyDescent="0.2">
      <c r="A678"/>
      <c r="B678"/>
      <c r="C678"/>
      <c r="D678"/>
    </row>
    <row r="679" spans="1:4" x14ac:dyDescent="0.2">
      <c r="A679"/>
      <c r="B679"/>
      <c r="C679"/>
      <c r="D679"/>
    </row>
    <row r="680" spans="1:4" x14ac:dyDescent="0.2">
      <c r="A680"/>
      <c r="B680"/>
      <c r="C680"/>
      <c r="D680"/>
    </row>
    <row r="681" spans="1:4" x14ac:dyDescent="0.2">
      <c r="A681"/>
      <c r="B681"/>
      <c r="C681"/>
      <c r="D681"/>
    </row>
    <row r="682" spans="1:4" x14ac:dyDescent="0.2">
      <c r="A682"/>
      <c r="B682"/>
      <c r="C682"/>
      <c r="D682"/>
    </row>
    <row r="683" spans="1:4" x14ac:dyDescent="0.2">
      <c r="A683"/>
      <c r="B683"/>
      <c r="C683"/>
      <c r="D683"/>
    </row>
    <row r="684" spans="1:4" x14ac:dyDescent="0.2">
      <c r="A684"/>
      <c r="B684"/>
      <c r="C684"/>
      <c r="D684"/>
    </row>
    <row r="685" spans="1:4" x14ac:dyDescent="0.2">
      <c r="A685"/>
      <c r="B685"/>
      <c r="C685"/>
      <c r="D685"/>
    </row>
    <row r="686" spans="1:4" x14ac:dyDescent="0.2">
      <c r="A686"/>
      <c r="B686"/>
      <c r="C686"/>
      <c r="D686"/>
    </row>
    <row r="687" spans="1:4" x14ac:dyDescent="0.2">
      <c r="A687"/>
      <c r="B687"/>
      <c r="C687"/>
      <c r="D687"/>
    </row>
    <row r="688" spans="1:4" x14ac:dyDescent="0.2">
      <c r="A688"/>
      <c r="B688"/>
      <c r="C688"/>
      <c r="D688"/>
    </row>
    <row r="689" spans="1:4" x14ac:dyDescent="0.2">
      <c r="A689"/>
      <c r="B689"/>
      <c r="C689"/>
      <c r="D689"/>
    </row>
    <row r="690" spans="1:4" x14ac:dyDescent="0.2">
      <c r="A690"/>
      <c r="B690"/>
      <c r="C690"/>
      <c r="D690"/>
    </row>
    <row r="691" spans="1:4" x14ac:dyDescent="0.2">
      <c r="A691"/>
      <c r="B691"/>
      <c r="C691"/>
      <c r="D691"/>
    </row>
    <row r="692" spans="1:4" x14ac:dyDescent="0.2">
      <c r="A692"/>
      <c r="B692"/>
      <c r="C692"/>
      <c r="D692"/>
    </row>
    <row r="693" spans="1:4" x14ac:dyDescent="0.2">
      <c r="A693"/>
      <c r="B693"/>
      <c r="C693"/>
      <c r="D693"/>
    </row>
    <row r="694" spans="1:4" x14ac:dyDescent="0.2">
      <c r="A694"/>
      <c r="B694"/>
      <c r="C694"/>
      <c r="D694"/>
    </row>
    <row r="695" spans="1:4" x14ac:dyDescent="0.2">
      <c r="A695"/>
      <c r="B695"/>
      <c r="C695"/>
      <c r="D695"/>
    </row>
    <row r="696" spans="1:4" x14ac:dyDescent="0.2">
      <c r="A696"/>
      <c r="B696"/>
      <c r="C696"/>
      <c r="D696"/>
    </row>
    <row r="697" spans="1:4" x14ac:dyDescent="0.2">
      <c r="A697"/>
      <c r="B697"/>
      <c r="C697"/>
      <c r="D697"/>
    </row>
    <row r="698" spans="1:4" x14ac:dyDescent="0.2">
      <c r="A698"/>
      <c r="B698"/>
      <c r="C698"/>
      <c r="D698"/>
    </row>
    <row r="699" spans="1:4" x14ac:dyDescent="0.2">
      <c r="A699"/>
      <c r="B699"/>
      <c r="C699"/>
      <c r="D699"/>
    </row>
    <row r="700" spans="1:4" x14ac:dyDescent="0.2">
      <c r="A700"/>
      <c r="B700"/>
      <c r="C700"/>
      <c r="D700"/>
    </row>
    <row r="701" spans="1:4" x14ac:dyDescent="0.2">
      <c r="A701"/>
      <c r="B701"/>
      <c r="C701"/>
      <c r="D701"/>
    </row>
    <row r="702" spans="1:4" x14ac:dyDescent="0.2">
      <c r="A702"/>
      <c r="B702"/>
      <c r="C702"/>
      <c r="D702"/>
    </row>
    <row r="703" spans="1:4" x14ac:dyDescent="0.2">
      <c r="A703"/>
      <c r="B703"/>
      <c r="C703"/>
      <c r="D703"/>
    </row>
    <row r="704" spans="1:4" x14ac:dyDescent="0.2">
      <c r="A704"/>
      <c r="B704"/>
      <c r="C704"/>
      <c r="D704"/>
    </row>
    <row r="705" spans="1:4" x14ac:dyDescent="0.2">
      <c r="A705"/>
      <c r="B705"/>
      <c r="C705"/>
      <c r="D705"/>
    </row>
    <row r="706" spans="1:4" x14ac:dyDescent="0.2">
      <c r="A706"/>
      <c r="B706"/>
      <c r="C706"/>
      <c r="D706"/>
    </row>
    <row r="707" spans="1:4" x14ac:dyDescent="0.2">
      <c r="A707"/>
      <c r="B707"/>
      <c r="C707"/>
      <c r="D707"/>
    </row>
    <row r="708" spans="1:4" x14ac:dyDescent="0.2">
      <c r="A708"/>
      <c r="B708"/>
      <c r="C708"/>
      <c r="D708"/>
    </row>
    <row r="709" spans="1:4" x14ac:dyDescent="0.2">
      <c r="A709"/>
      <c r="B709"/>
      <c r="C709"/>
      <c r="D709"/>
    </row>
    <row r="710" spans="1:4" x14ac:dyDescent="0.2">
      <c r="A710"/>
      <c r="B710"/>
      <c r="C710"/>
      <c r="D710"/>
    </row>
    <row r="711" spans="1:4" x14ac:dyDescent="0.2">
      <c r="A711"/>
      <c r="B711"/>
      <c r="C711"/>
      <c r="D711"/>
    </row>
    <row r="712" spans="1:4" x14ac:dyDescent="0.2">
      <c r="A712"/>
      <c r="B712"/>
      <c r="C712"/>
      <c r="D712"/>
    </row>
    <row r="713" spans="1:4" x14ac:dyDescent="0.2">
      <c r="A713"/>
      <c r="B713"/>
      <c r="C713"/>
      <c r="D713"/>
    </row>
    <row r="714" spans="1:4" x14ac:dyDescent="0.2">
      <c r="A714"/>
      <c r="B714"/>
      <c r="C714"/>
      <c r="D714"/>
    </row>
    <row r="715" spans="1:4" x14ac:dyDescent="0.2">
      <c r="A715"/>
      <c r="B715"/>
      <c r="C715"/>
      <c r="D715"/>
    </row>
    <row r="716" spans="1:4" x14ac:dyDescent="0.2">
      <c r="A716"/>
      <c r="B716"/>
      <c r="C716"/>
      <c r="D716"/>
    </row>
    <row r="717" spans="1:4" x14ac:dyDescent="0.2">
      <c r="A717"/>
      <c r="B717"/>
      <c r="C717"/>
      <c r="D717"/>
    </row>
    <row r="718" spans="1:4" x14ac:dyDescent="0.2">
      <c r="A718"/>
      <c r="B718"/>
      <c r="C718"/>
      <c r="D718"/>
    </row>
    <row r="719" spans="1:4" x14ac:dyDescent="0.2">
      <c r="A719"/>
      <c r="B719"/>
      <c r="C719"/>
      <c r="D719"/>
    </row>
    <row r="720" spans="1:4" x14ac:dyDescent="0.2">
      <c r="A720"/>
      <c r="B720"/>
      <c r="C720"/>
      <c r="D720"/>
    </row>
    <row r="721" spans="1:4" x14ac:dyDescent="0.2">
      <c r="A721"/>
      <c r="B721"/>
      <c r="C721"/>
      <c r="D721"/>
    </row>
    <row r="722" spans="1:4" x14ac:dyDescent="0.2">
      <c r="A722"/>
      <c r="B722"/>
      <c r="C722"/>
      <c r="D722"/>
    </row>
    <row r="723" spans="1:4" x14ac:dyDescent="0.2">
      <c r="A723"/>
      <c r="B723"/>
      <c r="C723"/>
      <c r="D723"/>
    </row>
    <row r="724" spans="1:4" x14ac:dyDescent="0.2">
      <c r="A724"/>
      <c r="B724"/>
      <c r="C724"/>
      <c r="D724"/>
    </row>
    <row r="725" spans="1:4" x14ac:dyDescent="0.2">
      <c r="A725"/>
      <c r="B725"/>
      <c r="C725"/>
      <c r="D725"/>
    </row>
    <row r="726" spans="1:4" x14ac:dyDescent="0.2">
      <c r="A726"/>
      <c r="B726"/>
      <c r="C726"/>
      <c r="D726"/>
    </row>
    <row r="727" spans="1:4" x14ac:dyDescent="0.2">
      <c r="A727"/>
      <c r="B727"/>
      <c r="C727"/>
      <c r="D727"/>
    </row>
    <row r="728" spans="1:4" x14ac:dyDescent="0.2">
      <c r="A728"/>
      <c r="B728"/>
      <c r="C728"/>
      <c r="D728"/>
    </row>
    <row r="729" spans="1:4" x14ac:dyDescent="0.2">
      <c r="A729"/>
      <c r="B729"/>
      <c r="C729"/>
      <c r="D729"/>
    </row>
    <row r="730" spans="1:4" x14ac:dyDescent="0.2">
      <c r="A730"/>
      <c r="B730"/>
      <c r="C730"/>
      <c r="D730"/>
    </row>
    <row r="731" spans="1:4" x14ac:dyDescent="0.2">
      <c r="A731"/>
      <c r="B731"/>
      <c r="C731"/>
      <c r="D731"/>
    </row>
    <row r="732" spans="1:4" x14ac:dyDescent="0.2">
      <c r="A732"/>
      <c r="B732"/>
      <c r="C732"/>
      <c r="D732"/>
    </row>
    <row r="733" spans="1:4" x14ac:dyDescent="0.2">
      <c r="A733"/>
      <c r="B733"/>
      <c r="C733"/>
      <c r="D733"/>
    </row>
    <row r="734" spans="1:4" x14ac:dyDescent="0.2">
      <c r="A734"/>
      <c r="B734"/>
      <c r="C734"/>
      <c r="D734"/>
    </row>
    <row r="735" spans="1:4" x14ac:dyDescent="0.2">
      <c r="A735"/>
      <c r="B735"/>
      <c r="C735"/>
      <c r="D735"/>
    </row>
    <row r="736" spans="1:4" x14ac:dyDescent="0.2">
      <c r="A736"/>
      <c r="B736"/>
      <c r="C736"/>
      <c r="D736"/>
    </row>
    <row r="737" spans="1:4" x14ac:dyDescent="0.2">
      <c r="A737"/>
      <c r="B737"/>
      <c r="C737"/>
      <c r="D737"/>
    </row>
    <row r="738" spans="1:4" x14ac:dyDescent="0.2">
      <c r="A738"/>
      <c r="B738"/>
      <c r="C738"/>
      <c r="D738"/>
    </row>
    <row r="739" spans="1:4" x14ac:dyDescent="0.2">
      <c r="A739"/>
      <c r="B739"/>
      <c r="C739"/>
      <c r="D739"/>
    </row>
    <row r="740" spans="1:4" x14ac:dyDescent="0.2">
      <c r="A740"/>
      <c r="B740"/>
      <c r="C740"/>
      <c r="D740"/>
    </row>
    <row r="741" spans="1:4" x14ac:dyDescent="0.2">
      <c r="A741"/>
      <c r="B741"/>
      <c r="C741"/>
      <c r="D741"/>
    </row>
    <row r="742" spans="1:4" x14ac:dyDescent="0.2">
      <c r="A742"/>
      <c r="B742"/>
      <c r="C742"/>
      <c r="D742"/>
    </row>
    <row r="743" spans="1:4" x14ac:dyDescent="0.2">
      <c r="A743"/>
      <c r="B743"/>
      <c r="C743"/>
      <c r="D743"/>
    </row>
    <row r="744" spans="1:4" x14ac:dyDescent="0.2">
      <c r="A744"/>
      <c r="B744"/>
      <c r="C744"/>
      <c r="D744"/>
    </row>
    <row r="745" spans="1:4" x14ac:dyDescent="0.2">
      <c r="A745"/>
      <c r="B745"/>
      <c r="C745"/>
      <c r="D745"/>
    </row>
    <row r="746" spans="1:4" x14ac:dyDescent="0.2">
      <c r="A746"/>
      <c r="B746"/>
      <c r="C746"/>
      <c r="D746"/>
    </row>
    <row r="747" spans="1:4" x14ac:dyDescent="0.2">
      <c r="A747"/>
      <c r="B747"/>
      <c r="C747"/>
      <c r="D747"/>
    </row>
    <row r="748" spans="1:4" x14ac:dyDescent="0.2">
      <c r="A748"/>
      <c r="B748"/>
      <c r="C748"/>
      <c r="D748"/>
    </row>
    <row r="749" spans="1:4" x14ac:dyDescent="0.2">
      <c r="A749"/>
      <c r="B749"/>
      <c r="C749"/>
      <c r="D749"/>
    </row>
    <row r="750" spans="1:4" x14ac:dyDescent="0.2">
      <c r="A750"/>
      <c r="B750"/>
      <c r="C750"/>
      <c r="D750"/>
    </row>
    <row r="751" spans="1:4" x14ac:dyDescent="0.2">
      <c r="A751"/>
      <c r="B751"/>
      <c r="C751"/>
      <c r="D751"/>
    </row>
    <row r="752" spans="1:4" x14ac:dyDescent="0.2">
      <c r="A752"/>
      <c r="B752"/>
      <c r="C752"/>
      <c r="D752"/>
    </row>
    <row r="753" spans="1:4" x14ac:dyDescent="0.2">
      <c r="A753"/>
      <c r="B753"/>
      <c r="C753"/>
      <c r="D753"/>
    </row>
    <row r="754" spans="1:4" x14ac:dyDescent="0.2">
      <c r="A754"/>
      <c r="B754"/>
      <c r="C754"/>
      <c r="D754"/>
    </row>
    <row r="755" spans="1:4" x14ac:dyDescent="0.2">
      <c r="A755"/>
      <c r="B755"/>
      <c r="C755"/>
      <c r="D755"/>
    </row>
    <row r="756" spans="1:4" x14ac:dyDescent="0.2">
      <c r="A756"/>
      <c r="B756"/>
      <c r="C756"/>
      <c r="D756"/>
    </row>
    <row r="757" spans="1:4" x14ac:dyDescent="0.2">
      <c r="A757"/>
      <c r="B757"/>
      <c r="C757"/>
      <c r="D757"/>
    </row>
    <row r="758" spans="1:4" x14ac:dyDescent="0.2">
      <c r="A758"/>
      <c r="B758"/>
      <c r="C758"/>
      <c r="D758"/>
    </row>
    <row r="759" spans="1:4" x14ac:dyDescent="0.2">
      <c r="A759"/>
      <c r="B759"/>
      <c r="C759"/>
      <c r="D759"/>
    </row>
    <row r="760" spans="1:4" x14ac:dyDescent="0.2">
      <c r="A760"/>
      <c r="B760"/>
      <c r="C760"/>
      <c r="D760"/>
    </row>
    <row r="761" spans="1:4" x14ac:dyDescent="0.2">
      <c r="A761"/>
      <c r="B761"/>
      <c r="C761"/>
      <c r="D761"/>
    </row>
    <row r="762" spans="1:4" x14ac:dyDescent="0.2">
      <c r="A762"/>
      <c r="B762"/>
      <c r="C762"/>
      <c r="D762"/>
    </row>
    <row r="763" spans="1:4" x14ac:dyDescent="0.2">
      <c r="A763"/>
      <c r="B763"/>
      <c r="C763"/>
      <c r="D763"/>
    </row>
    <row r="764" spans="1:4" x14ac:dyDescent="0.2">
      <c r="A764"/>
      <c r="B764"/>
      <c r="C764"/>
      <c r="D764"/>
    </row>
    <row r="765" spans="1:4" x14ac:dyDescent="0.2">
      <c r="A765"/>
      <c r="B765"/>
      <c r="C765"/>
      <c r="D765"/>
    </row>
    <row r="766" spans="1:4" x14ac:dyDescent="0.2">
      <c r="A766"/>
      <c r="B766"/>
      <c r="C766"/>
      <c r="D766"/>
    </row>
    <row r="767" spans="1:4" x14ac:dyDescent="0.2">
      <c r="A767"/>
      <c r="B767"/>
      <c r="C767"/>
      <c r="D767"/>
    </row>
    <row r="768" spans="1:4" x14ac:dyDescent="0.2">
      <c r="A768"/>
      <c r="B768"/>
      <c r="C768"/>
      <c r="D768"/>
    </row>
    <row r="769" spans="1:4" x14ac:dyDescent="0.2">
      <c r="A769"/>
      <c r="B769"/>
      <c r="C769"/>
      <c r="D769"/>
    </row>
    <row r="770" spans="1:4" x14ac:dyDescent="0.2">
      <c r="A770"/>
      <c r="B770"/>
      <c r="C770"/>
      <c r="D770"/>
    </row>
    <row r="771" spans="1:4" x14ac:dyDescent="0.2">
      <c r="A771"/>
      <c r="B771"/>
      <c r="C771"/>
      <c r="D771"/>
    </row>
    <row r="772" spans="1:4" x14ac:dyDescent="0.2">
      <c r="A772"/>
      <c r="B772"/>
      <c r="C772"/>
      <c r="D772"/>
    </row>
    <row r="773" spans="1:4" x14ac:dyDescent="0.2">
      <c r="A773"/>
      <c r="B773"/>
      <c r="C773"/>
      <c r="D773"/>
    </row>
    <row r="774" spans="1:4" x14ac:dyDescent="0.2">
      <c r="A774"/>
      <c r="B774"/>
      <c r="C774"/>
      <c r="D774"/>
    </row>
    <row r="775" spans="1:4" x14ac:dyDescent="0.2">
      <c r="A775"/>
      <c r="B775"/>
      <c r="C775"/>
      <c r="D775"/>
    </row>
    <row r="776" spans="1:4" x14ac:dyDescent="0.2">
      <c r="A776"/>
      <c r="B776"/>
      <c r="C776"/>
      <c r="D776"/>
    </row>
    <row r="777" spans="1:4" x14ac:dyDescent="0.2">
      <c r="A777"/>
      <c r="B777"/>
      <c r="C777"/>
      <c r="D777"/>
    </row>
    <row r="778" spans="1:4" x14ac:dyDescent="0.2">
      <c r="A778"/>
      <c r="B778"/>
      <c r="C778"/>
      <c r="D778"/>
    </row>
    <row r="779" spans="1:4" x14ac:dyDescent="0.2">
      <c r="A779"/>
      <c r="B779"/>
      <c r="C779"/>
      <c r="D779"/>
    </row>
    <row r="780" spans="1:4" x14ac:dyDescent="0.2">
      <c r="A780"/>
      <c r="B780"/>
      <c r="C780"/>
      <c r="D780"/>
    </row>
    <row r="781" spans="1:4" x14ac:dyDescent="0.2">
      <c r="A781"/>
      <c r="B781"/>
      <c r="C781"/>
      <c r="D781"/>
    </row>
    <row r="782" spans="1:4" x14ac:dyDescent="0.2">
      <c r="A782"/>
      <c r="B782"/>
      <c r="C782"/>
      <c r="D782"/>
    </row>
    <row r="783" spans="1:4" x14ac:dyDescent="0.2">
      <c r="A783"/>
      <c r="B783"/>
      <c r="C783"/>
      <c r="D783"/>
    </row>
    <row r="784" spans="1:4" x14ac:dyDescent="0.2">
      <c r="A784"/>
      <c r="B784"/>
      <c r="C784"/>
      <c r="D784"/>
    </row>
    <row r="785" spans="1:4" x14ac:dyDescent="0.2">
      <c r="A785"/>
      <c r="B785"/>
      <c r="C785"/>
      <c r="D785"/>
    </row>
    <row r="786" spans="1:4" x14ac:dyDescent="0.2">
      <c r="A786"/>
      <c r="B786"/>
      <c r="C786"/>
      <c r="D786"/>
    </row>
    <row r="787" spans="1:4" x14ac:dyDescent="0.2">
      <c r="A787"/>
      <c r="B787"/>
      <c r="C787"/>
      <c r="D787"/>
    </row>
    <row r="788" spans="1:4" x14ac:dyDescent="0.2">
      <c r="A788"/>
      <c r="B788"/>
      <c r="C788"/>
      <c r="D788"/>
    </row>
    <row r="789" spans="1:4" x14ac:dyDescent="0.2">
      <c r="A789"/>
      <c r="B789"/>
      <c r="C789"/>
      <c r="D789"/>
    </row>
    <row r="790" spans="1:4" x14ac:dyDescent="0.2">
      <c r="A790"/>
      <c r="B790"/>
      <c r="C790"/>
      <c r="D790"/>
    </row>
    <row r="791" spans="1:4" x14ac:dyDescent="0.2">
      <c r="A791"/>
      <c r="B791"/>
      <c r="C791"/>
      <c r="D791"/>
    </row>
    <row r="792" spans="1:4" x14ac:dyDescent="0.2">
      <c r="A792"/>
      <c r="B792"/>
      <c r="C792"/>
      <c r="D792"/>
    </row>
    <row r="793" spans="1:4" x14ac:dyDescent="0.2">
      <c r="A793"/>
      <c r="B793"/>
      <c r="C793"/>
      <c r="D793"/>
    </row>
    <row r="794" spans="1:4" x14ac:dyDescent="0.2">
      <c r="A794"/>
      <c r="B794"/>
      <c r="C794"/>
      <c r="D794"/>
    </row>
    <row r="795" spans="1:4" x14ac:dyDescent="0.2">
      <c r="A795"/>
      <c r="B795"/>
      <c r="C795"/>
      <c r="D795"/>
    </row>
    <row r="796" spans="1:4" x14ac:dyDescent="0.2">
      <c r="A796"/>
      <c r="B796"/>
      <c r="C796"/>
      <c r="D796"/>
    </row>
    <row r="797" spans="1:4" x14ac:dyDescent="0.2">
      <c r="A797"/>
      <c r="B797"/>
      <c r="C797"/>
      <c r="D797"/>
    </row>
    <row r="798" spans="1:4" x14ac:dyDescent="0.2">
      <c r="A798"/>
      <c r="B798"/>
      <c r="C798"/>
      <c r="D798"/>
    </row>
    <row r="799" spans="1:4" x14ac:dyDescent="0.2">
      <c r="A799"/>
      <c r="B799"/>
      <c r="C799"/>
      <c r="D799"/>
    </row>
    <row r="800" spans="1:4" x14ac:dyDescent="0.2">
      <c r="A800"/>
      <c r="B800"/>
      <c r="C800"/>
      <c r="D800"/>
    </row>
    <row r="801" spans="1:4" x14ac:dyDescent="0.2">
      <c r="A801"/>
      <c r="B801"/>
      <c r="C801"/>
      <c r="D801"/>
    </row>
    <row r="802" spans="1:4" x14ac:dyDescent="0.2">
      <c r="A802"/>
      <c r="B802"/>
      <c r="C802"/>
      <c r="D802"/>
    </row>
    <row r="803" spans="1:4" x14ac:dyDescent="0.2">
      <c r="A803"/>
      <c r="B803"/>
      <c r="C803"/>
      <c r="D803"/>
    </row>
    <row r="804" spans="1:4" x14ac:dyDescent="0.2">
      <c r="A804"/>
      <c r="B804"/>
      <c r="C804"/>
      <c r="D804"/>
    </row>
    <row r="805" spans="1:4" x14ac:dyDescent="0.2">
      <c r="A805"/>
      <c r="B805"/>
      <c r="C805"/>
      <c r="D805"/>
    </row>
    <row r="806" spans="1:4" x14ac:dyDescent="0.2">
      <c r="A806"/>
      <c r="B806"/>
      <c r="C806"/>
      <c r="D806"/>
    </row>
    <row r="807" spans="1:4" x14ac:dyDescent="0.2">
      <c r="A807"/>
      <c r="B807"/>
      <c r="C807"/>
      <c r="D807"/>
    </row>
    <row r="808" spans="1:4" x14ac:dyDescent="0.2">
      <c r="A808"/>
      <c r="B808"/>
      <c r="C808"/>
      <c r="D808"/>
    </row>
    <row r="809" spans="1:4" x14ac:dyDescent="0.2">
      <c r="A809"/>
      <c r="B809"/>
      <c r="C809"/>
      <c r="D809"/>
    </row>
    <row r="810" spans="1:4" x14ac:dyDescent="0.2">
      <c r="A810"/>
      <c r="B810"/>
      <c r="C810"/>
      <c r="D810"/>
    </row>
    <row r="811" spans="1:4" x14ac:dyDescent="0.2">
      <c r="A811"/>
      <c r="B811"/>
      <c r="C811"/>
      <c r="D811"/>
    </row>
    <row r="812" spans="1:4" x14ac:dyDescent="0.2">
      <c r="A812"/>
      <c r="B812"/>
      <c r="C812"/>
      <c r="D812"/>
    </row>
    <row r="813" spans="1:4" x14ac:dyDescent="0.2">
      <c r="A813"/>
      <c r="B813"/>
      <c r="C813"/>
      <c r="D813"/>
    </row>
    <row r="814" spans="1:4" x14ac:dyDescent="0.2">
      <c r="A814"/>
      <c r="B814"/>
      <c r="C814"/>
      <c r="D814"/>
    </row>
    <row r="815" spans="1:4" x14ac:dyDescent="0.2">
      <c r="A815"/>
      <c r="B815"/>
      <c r="C815"/>
      <c r="D815"/>
    </row>
    <row r="816" spans="1:4" x14ac:dyDescent="0.2">
      <c r="A816"/>
      <c r="B816"/>
      <c r="C816"/>
      <c r="D816"/>
    </row>
    <row r="817" spans="1:4" x14ac:dyDescent="0.2">
      <c r="A817"/>
      <c r="B817"/>
      <c r="C817"/>
      <c r="D817"/>
    </row>
    <row r="818" spans="1:4" x14ac:dyDescent="0.2">
      <c r="A818"/>
      <c r="B818"/>
      <c r="C818"/>
      <c r="D818"/>
    </row>
    <row r="819" spans="1:4" x14ac:dyDescent="0.2">
      <c r="A819"/>
      <c r="B819"/>
      <c r="C819"/>
      <c r="D819"/>
    </row>
    <row r="820" spans="1:4" x14ac:dyDescent="0.2">
      <c r="A820"/>
      <c r="B820"/>
      <c r="C820"/>
      <c r="D820"/>
    </row>
    <row r="821" spans="1:4" x14ac:dyDescent="0.2">
      <c r="A821"/>
      <c r="B821"/>
      <c r="C821"/>
      <c r="D821"/>
    </row>
    <row r="822" spans="1:4" x14ac:dyDescent="0.2">
      <c r="A822"/>
      <c r="B822"/>
      <c r="C822"/>
      <c r="D822"/>
    </row>
    <row r="823" spans="1:4" x14ac:dyDescent="0.2">
      <c r="A823"/>
      <c r="B823"/>
      <c r="C823"/>
      <c r="D823"/>
    </row>
    <row r="824" spans="1:4" x14ac:dyDescent="0.2">
      <c r="A824"/>
      <c r="B824"/>
      <c r="C824"/>
      <c r="D824"/>
    </row>
    <row r="825" spans="1:4" x14ac:dyDescent="0.2">
      <c r="A825"/>
      <c r="B825"/>
      <c r="C825"/>
      <c r="D825"/>
    </row>
    <row r="826" spans="1:4" x14ac:dyDescent="0.2">
      <c r="A826"/>
      <c r="B826"/>
      <c r="C826"/>
      <c r="D826"/>
    </row>
    <row r="827" spans="1:4" x14ac:dyDescent="0.2">
      <c r="A827"/>
      <c r="B827"/>
      <c r="C827"/>
      <c r="D827"/>
    </row>
    <row r="828" spans="1:4" x14ac:dyDescent="0.2">
      <c r="A828"/>
      <c r="B828"/>
      <c r="C828"/>
      <c r="D828"/>
    </row>
    <row r="829" spans="1:4" x14ac:dyDescent="0.2">
      <c r="A829"/>
      <c r="B829"/>
      <c r="C829"/>
      <c r="D829"/>
    </row>
    <row r="830" spans="1:4" x14ac:dyDescent="0.2">
      <c r="A830"/>
      <c r="B830"/>
      <c r="C830"/>
      <c r="D830"/>
    </row>
    <row r="831" spans="1:4" x14ac:dyDescent="0.2">
      <c r="A831"/>
      <c r="B831"/>
      <c r="C831"/>
      <c r="D831"/>
    </row>
    <row r="832" spans="1:4" x14ac:dyDescent="0.2">
      <c r="A832"/>
      <c r="B832"/>
      <c r="C832"/>
      <c r="D832"/>
    </row>
    <row r="833" spans="1:4" x14ac:dyDescent="0.2">
      <c r="A833"/>
      <c r="B833"/>
      <c r="C833"/>
      <c r="D833"/>
    </row>
    <row r="834" spans="1:4" x14ac:dyDescent="0.2">
      <c r="A834"/>
      <c r="B834"/>
      <c r="C834"/>
      <c r="D834"/>
    </row>
    <row r="835" spans="1:4" x14ac:dyDescent="0.2">
      <c r="A835"/>
      <c r="B835"/>
      <c r="C835"/>
      <c r="D835"/>
    </row>
    <row r="836" spans="1:4" x14ac:dyDescent="0.2">
      <c r="A836"/>
      <c r="B836"/>
      <c r="C836"/>
      <c r="D836"/>
    </row>
    <row r="837" spans="1:4" x14ac:dyDescent="0.2">
      <c r="A837"/>
      <c r="B837"/>
      <c r="C837"/>
      <c r="D837"/>
    </row>
    <row r="838" spans="1:4" x14ac:dyDescent="0.2">
      <c r="A838"/>
      <c r="B838"/>
      <c r="C838"/>
      <c r="D838"/>
    </row>
    <row r="839" spans="1:4" x14ac:dyDescent="0.2">
      <c r="A839"/>
      <c r="B839"/>
      <c r="C839"/>
      <c r="D839"/>
    </row>
    <row r="840" spans="1:4" x14ac:dyDescent="0.2">
      <c r="A840"/>
      <c r="B840"/>
      <c r="C840"/>
      <c r="D840"/>
    </row>
    <row r="841" spans="1:4" x14ac:dyDescent="0.2">
      <c r="A841"/>
      <c r="B841"/>
      <c r="C841"/>
      <c r="D841"/>
    </row>
    <row r="842" spans="1:4" x14ac:dyDescent="0.2">
      <c r="A842"/>
      <c r="B842"/>
      <c r="C842"/>
      <c r="D842"/>
    </row>
    <row r="843" spans="1:4" x14ac:dyDescent="0.2">
      <c r="A843"/>
      <c r="B843"/>
      <c r="C843"/>
      <c r="D843"/>
    </row>
    <row r="844" spans="1:4" x14ac:dyDescent="0.2">
      <c r="A844"/>
      <c r="B844"/>
      <c r="C844"/>
      <c r="D844"/>
    </row>
    <row r="845" spans="1:4" x14ac:dyDescent="0.2">
      <c r="A845"/>
      <c r="B845"/>
      <c r="C845"/>
      <c r="D845"/>
    </row>
    <row r="846" spans="1:4" x14ac:dyDescent="0.2">
      <c r="A846"/>
      <c r="B846"/>
      <c r="C846"/>
      <c r="D846"/>
    </row>
    <row r="847" spans="1:4" x14ac:dyDescent="0.2">
      <c r="A847"/>
      <c r="B847"/>
      <c r="C847"/>
      <c r="D847"/>
    </row>
    <row r="848" spans="1:4" x14ac:dyDescent="0.2">
      <c r="A848"/>
      <c r="B848"/>
      <c r="C848"/>
      <c r="D848"/>
    </row>
    <row r="849" spans="1:4" x14ac:dyDescent="0.2">
      <c r="A849"/>
      <c r="B849"/>
      <c r="C849"/>
      <c r="D849"/>
    </row>
    <row r="850" spans="1:4" x14ac:dyDescent="0.2">
      <c r="A850"/>
      <c r="B850"/>
      <c r="C850"/>
      <c r="D850"/>
    </row>
    <row r="851" spans="1:4" x14ac:dyDescent="0.2">
      <c r="A851"/>
      <c r="B851"/>
      <c r="C851"/>
      <c r="D851"/>
    </row>
    <row r="852" spans="1:4" x14ac:dyDescent="0.2">
      <c r="A852"/>
      <c r="B852"/>
      <c r="C852"/>
      <c r="D852"/>
    </row>
    <row r="853" spans="1:4" x14ac:dyDescent="0.2">
      <c r="A853"/>
      <c r="B853"/>
      <c r="C853"/>
      <c r="D853"/>
    </row>
    <row r="854" spans="1:4" x14ac:dyDescent="0.2">
      <c r="A854"/>
      <c r="B854"/>
      <c r="C854"/>
      <c r="D854"/>
    </row>
    <row r="855" spans="1:4" x14ac:dyDescent="0.2">
      <c r="A855"/>
      <c r="B855"/>
      <c r="C855"/>
      <c r="D855"/>
    </row>
    <row r="856" spans="1:4" x14ac:dyDescent="0.2">
      <c r="A856"/>
      <c r="B856"/>
      <c r="C856"/>
      <c r="D856"/>
    </row>
    <row r="857" spans="1:4" x14ac:dyDescent="0.2">
      <c r="A857"/>
      <c r="B857"/>
      <c r="C857"/>
      <c r="D857"/>
    </row>
    <row r="858" spans="1:4" x14ac:dyDescent="0.2">
      <c r="A858"/>
      <c r="B858"/>
      <c r="C858"/>
      <c r="D858"/>
    </row>
    <row r="859" spans="1:4" x14ac:dyDescent="0.2">
      <c r="A859"/>
      <c r="B859"/>
      <c r="C859"/>
      <c r="D859"/>
    </row>
    <row r="860" spans="1:4" x14ac:dyDescent="0.2">
      <c r="A860"/>
      <c r="B860"/>
      <c r="C860"/>
      <c r="D860"/>
    </row>
    <row r="861" spans="1:4" x14ac:dyDescent="0.2">
      <c r="A861"/>
      <c r="B861"/>
      <c r="C861"/>
      <c r="D861"/>
    </row>
    <row r="862" spans="1:4" x14ac:dyDescent="0.2">
      <c r="A862"/>
      <c r="B862"/>
      <c r="C862"/>
      <c r="D862"/>
    </row>
    <row r="863" spans="1:4" x14ac:dyDescent="0.2">
      <c r="A863"/>
      <c r="B863"/>
      <c r="C863"/>
      <c r="D863"/>
    </row>
    <row r="864" spans="1:4" x14ac:dyDescent="0.2">
      <c r="A864"/>
      <c r="B864"/>
      <c r="C864"/>
      <c r="D864"/>
    </row>
    <row r="865" spans="1:4" x14ac:dyDescent="0.2">
      <c r="A865"/>
      <c r="B865"/>
      <c r="C865"/>
      <c r="D865"/>
    </row>
    <row r="866" spans="1:4" x14ac:dyDescent="0.2">
      <c r="A866"/>
      <c r="B866"/>
      <c r="C866"/>
      <c r="D866"/>
    </row>
    <row r="867" spans="1:4" x14ac:dyDescent="0.2">
      <c r="A867"/>
      <c r="B867"/>
      <c r="C867"/>
      <c r="D867"/>
    </row>
    <row r="868" spans="1:4" x14ac:dyDescent="0.2">
      <c r="A868"/>
      <c r="B868"/>
      <c r="C868"/>
      <c r="D868"/>
    </row>
    <row r="869" spans="1:4" x14ac:dyDescent="0.2">
      <c r="A869"/>
      <c r="B869"/>
      <c r="C869"/>
      <c r="D869"/>
    </row>
    <row r="870" spans="1:4" x14ac:dyDescent="0.2">
      <c r="A870"/>
      <c r="B870"/>
      <c r="C870"/>
      <c r="D870"/>
    </row>
    <row r="871" spans="1:4" x14ac:dyDescent="0.2">
      <c r="A871"/>
      <c r="B871"/>
      <c r="C871"/>
      <c r="D871"/>
    </row>
    <row r="872" spans="1:4" x14ac:dyDescent="0.2">
      <c r="A872"/>
      <c r="B872"/>
      <c r="C872"/>
      <c r="D872"/>
    </row>
    <row r="873" spans="1:4" x14ac:dyDescent="0.2">
      <c r="A873"/>
      <c r="B873"/>
      <c r="C873"/>
      <c r="D873"/>
    </row>
    <row r="874" spans="1:4" x14ac:dyDescent="0.2">
      <c r="A874"/>
      <c r="B874"/>
      <c r="C874"/>
      <c r="D874"/>
    </row>
    <row r="875" spans="1:4" x14ac:dyDescent="0.2">
      <c r="A875"/>
      <c r="B875"/>
      <c r="C875"/>
      <c r="D875"/>
    </row>
    <row r="876" spans="1:4" x14ac:dyDescent="0.2">
      <c r="A876"/>
      <c r="B876"/>
      <c r="C876"/>
      <c r="D876"/>
    </row>
    <row r="877" spans="1:4" x14ac:dyDescent="0.2">
      <c r="A877"/>
      <c r="B877"/>
      <c r="C877"/>
      <c r="D877"/>
    </row>
    <row r="878" spans="1:4" x14ac:dyDescent="0.2">
      <c r="A878"/>
      <c r="B878"/>
      <c r="C878"/>
      <c r="D878"/>
    </row>
    <row r="879" spans="1:4" x14ac:dyDescent="0.2">
      <c r="A879"/>
      <c r="B879"/>
      <c r="C879"/>
      <c r="D879"/>
    </row>
    <row r="880" spans="1:4" x14ac:dyDescent="0.2">
      <c r="A880"/>
      <c r="B880"/>
      <c r="C880"/>
      <c r="D880"/>
    </row>
    <row r="881" spans="1:4" x14ac:dyDescent="0.2">
      <c r="A881"/>
      <c r="B881"/>
      <c r="C881"/>
      <c r="D881"/>
    </row>
    <row r="882" spans="1:4" x14ac:dyDescent="0.2">
      <c r="A882"/>
      <c r="B882"/>
      <c r="C882"/>
      <c r="D882"/>
    </row>
    <row r="883" spans="1:4" x14ac:dyDescent="0.2">
      <c r="A883"/>
      <c r="B883"/>
      <c r="C883"/>
      <c r="D883"/>
    </row>
    <row r="884" spans="1:4" x14ac:dyDescent="0.2">
      <c r="A884"/>
      <c r="B884"/>
      <c r="C884"/>
      <c r="D884"/>
    </row>
    <row r="885" spans="1:4" x14ac:dyDescent="0.2">
      <c r="A885"/>
      <c r="B885"/>
      <c r="C885"/>
      <c r="D885"/>
    </row>
    <row r="886" spans="1:4" x14ac:dyDescent="0.2">
      <c r="A886"/>
      <c r="B886"/>
      <c r="C886"/>
      <c r="D886"/>
    </row>
    <row r="887" spans="1:4" x14ac:dyDescent="0.2">
      <c r="A887"/>
      <c r="B887"/>
      <c r="C887"/>
      <c r="D887"/>
    </row>
    <row r="888" spans="1:4" x14ac:dyDescent="0.2">
      <c r="A888"/>
      <c r="B888"/>
      <c r="C888"/>
      <c r="D888"/>
    </row>
    <row r="889" spans="1:4" x14ac:dyDescent="0.2">
      <c r="A889"/>
      <c r="B889"/>
      <c r="C889"/>
      <c r="D889"/>
    </row>
    <row r="890" spans="1:4" x14ac:dyDescent="0.2">
      <c r="A890"/>
      <c r="B890"/>
      <c r="C890"/>
      <c r="D890"/>
    </row>
    <row r="891" spans="1:4" x14ac:dyDescent="0.2">
      <c r="A891"/>
      <c r="B891"/>
      <c r="C891"/>
      <c r="D891"/>
    </row>
    <row r="892" spans="1:4" x14ac:dyDescent="0.2">
      <c r="A892"/>
      <c r="B892"/>
      <c r="C892"/>
      <c r="D892"/>
    </row>
    <row r="893" spans="1:4" x14ac:dyDescent="0.2">
      <c r="A893"/>
      <c r="B893"/>
      <c r="C893"/>
      <c r="D893"/>
    </row>
    <row r="894" spans="1:4" x14ac:dyDescent="0.2">
      <c r="A894"/>
      <c r="B894"/>
      <c r="C894"/>
      <c r="D894"/>
    </row>
    <row r="895" spans="1:4" x14ac:dyDescent="0.2">
      <c r="A895"/>
      <c r="B895"/>
      <c r="C895"/>
      <c r="D895"/>
    </row>
    <row r="896" spans="1:4" x14ac:dyDescent="0.2">
      <c r="A896"/>
      <c r="B896"/>
      <c r="C896"/>
      <c r="D896"/>
    </row>
    <row r="897" spans="1:4" x14ac:dyDescent="0.2">
      <c r="A897"/>
      <c r="B897"/>
      <c r="C897"/>
      <c r="D897"/>
    </row>
    <row r="898" spans="1:4" x14ac:dyDescent="0.2">
      <c r="A898"/>
      <c r="B898"/>
      <c r="C898"/>
      <c r="D898"/>
    </row>
    <row r="899" spans="1:4" x14ac:dyDescent="0.2">
      <c r="A899"/>
      <c r="B899"/>
      <c r="C899"/>
      <c r="D899"/>
    </row>
    <row r="900" spans="1:4" x14ac:dyDescent="0.2">
      <c r="A900"/>
      <c r="B900"/>
      <c r="C900"/>
      <c r="D900"/>
    </row>
    <row r="901" spans="1:4" x14ac:dyDescent="0.2">
      <c r="A901"/>
      <c r="B901"/>
      <c r="C901"/>
      <c r="D901"/>
    </row>
    <row r="902" spans="1:4" x14ac:dyDescent="0.2">
      <c r="A902"/>
      <c r="B902"/>
      <c r="C902"/>
      <c r="D902"/>
    </row>
    <row r="903" spans="1:4" x14ac:dyDescent="0.2">
      <c r="A903"/>
      <c r="B903"/>
      <c r="C903"/>
      <c r="D903"/>
    </row>
    <row r="904" spans="1:4" x14ac:dyDescent="0.2">
      <c r="A904"/>
      <c r="B904"/>
      <c r="C904"/>
      <c r="D904"/>
    </row>
    <row r="905" spans="1:4" x14ac:dyDescent="0.2">
      <c r="A905"/>
      <c r="B905"/>
      <c r="C905"/>
      <c r="D905"/>
    </row>
    <row r="906" spans="1:4" x14ac:dyDescent="0.2">
      <c r="A906"/>
      <c r="B906"/>
      <c r="C906"/>
      <c r="D906"/>
    </row>
    <row r="907" spans="1:4" x14ac:dyDescent="0.2">
      <c r="A907"/>
      <c r="B907"/>
      <c r="C907"/>
      <c r="D907"/>
    </row>
    <row r="908" spans="1:4" x14ac:dyDescent="0.2">
      <c r="A908"/>
      <c r="B908"/>
      <c r="C908"/>
      <c r="D908"/>
    </row>
    <row r="909" spans="1:4" x14ac:dyDescent="0.2">
      <c r="A909"/>
      <c r="B909"/>
      <c r="C909"/>
      <c r="D909"/>
    </row>
    <row r="910" spans="1:4" x14ac:dyDescent="0.2">
      <c r="A910"/>
      <c r="B910"/>
      <c r="C910"/>
      <c r="D910"/>
    </row>
    <row r="911" spans="1:4" x14ac:dyDescent="0.2">
      <c r="A911"/>
      <c r="B911"/>
      <c r="C911"/>
      <c r="D911"/>
    </row>
    <row r="912" spans="1:4" x14ac:dyDescent="0.2">
      <c r="A912"/>
      <c r="B912"/>
      <c r="C912"/>
      <c r="D912"/>
    </row>
    <row r="913" spans="1:4" x14ac:dyDescent="0.2">
      <c r="A913"/>
      <c r="B913"/>
      <c r="C913"/>
      <c r="D913"/>
    </row>
    <row r="914" spans="1:4" x14ac:dyDescent="0.2">
      <c r="A914"/>
      <c r="B914"/>
      <c r="C914"/>
      <c r="D914"/>
    </row>
    <row r="915" spans="1:4" x14ac:dyDescent="0.2">
      <c r="A915"/>
      <c r="B915"/>
      <c r="C915"/>
      <c r="D915"/>
    </row>
    <row r="916" spans="1:4" x14ac:dyDescent="0.2">
      <c r="A916"/>
      <c r="B916"/>
      <c r="C916"/>
      <c r="D916"/>
    </row>
    <row r="917" spans="1:4" x14ac:dyDescent="0.2">
      <c r="A917"/>
      <c r="B917"/>
      <c r="C917"/>
      <c r="D917"/>
    </row>
    <row r="918" spans="1:4" x14ac:dyDescent="0.2">
      <c r="A918"/>
      <c r="B918"/>
      <c r="C918"/>
      <c r="D918"/>
    </row>
    <row r="919" spans="1:4" x14ac:dyDescent="0.2">
      <c r="A919"/>
      <c r="B919"/>
      <c r="C919"/>
      <c r="D919"/>
    </row>
    <row r="920" spans="1:4" x14ac:dyDescent="0.2">
      <c r="A920"/>
      <c r="B920"/>
      <c r="C920"/>
      <c r="D920"/>
    </row>
    <row r="921" spans="1:4" x14ac:dyDescent="0.2">
      <c r="A921"/>
      <c r="B921"/>
      <c r="C921"/>
      <c r="D921"/>
    </row>
    <row r="922" spans="1:4" x14ac:dyDescent="0.2">
      <c r="A922"/>
      <c r="B922"/>
      <c r="C922"/>
      <c r="D922"/>
    </row>
    <row r="923" spans="1:4" x14ac:dyDescent="0.2">
      <c r="A923"/>
      <c r="B923"/>
      <c r="C923"/>
      <c r="D923"/>
    </row>
    <row r="924" spans="1:4" x14ac:dyDescent="0.2">
      <c r="A924"/>
      <c r="B924"/>
      <c r="C924"/>
      <c r="D924"/>
    </row>
    <row r="925" spans="1:4" x14ac:dyDescent="0.2">
      <c r="A925"/>
      <c r="B925"/>
      <c r="C925"/>
      <c r="D925"/>
    </row>
    <row r="926" spans="1:4" x14ac:dyDescent="0.2">
      <c r="A926"/>
      <c r="B926"/>
      <c r="C926"/>
      <c r="D926"/>
    </row>
    <row r="927" spans="1:4" x14ac:dyDescent="0.2">
      <c r="A927"/>
      <c r="B927"/>
      <c r="C927"/>
      <c r="D927"/>
    </row>
    <row r="928" spans="1:4" x14ac:dyDescent="0.2">
      <c r="A928"/>
      <c r="B928"/>
      <c r="C928"/>
      <c r="D928"/>
    </row>
    <row r="929" spans="1:4" x14ac:dyDescent="0.2">
      <c r="A929"/>
      <c r="B929"/>
      <c r="C929"/>
      <c r="D929"/>
    </row>
    <row r="930" spans="1:4" x14ac:dyDescent="0.2">
      <c r="A930"/>
      <c r="B930"/>
      <c r="C930"/>
      <c r="D930"/>
    </row>
    <row r="931" spans="1:4" x14ac:dyDescent="0.2">
      <c r="A931"/>
      <c r="B931"/>
      <c r="C931"/>
      <c r="D931"/>
    </row>
    <row r="932" spans="1:4" x14ac:dyDescent="0.2">
      <c r="A932"/>
      <c r="B932"/>
      <c r="C932"/>
      <c r="D932"/>
    </row>
    <row r="933" spans="1:4" x14ac:dyDescent="0.2">
      <c r="A933"/>
      <c r="B933"/>
      <c r="C933"/>
      <c r="D933"/>
    </row>
    <row r="934" spans="1:4" x14ac:dyDescent="0.2">
      <c r="A934"/>
      <c r="B934"/>
      <c r="C934"/>
      <c r="D934"/>
    </row>
    <row r="935" spans="1:4" x14ac:dyDescent="0.2">
      <c r="A935"/>
      <c r="B935"/>
      <c r="C935"/>
      <c r="D935"/>
    </row>
    <row r="936" spans="1:4" x14ac:dyDescent="0.2">
      <c r="A936"/>
      <c r="B936"/>
      <c r="C936"/>
      <c r="D936"/>
    </row>
    <row r="937" spans="1:4" x14ac:dyDescent="0.2">
      <c r="A937"/>
      <c r="B937"/>
      <c r="C937"/>
      <c r="D937"/>
    </row>
    <row r="938" spans="1:4" x14ac:dyDescent="0.2">
      <c r="A938"/>
      <c r="B938"/>
      <c r="C938"/>
      <c r="D938"/>
    </row>
    <row r="939" spans="1:4" x14ac:dyDescent="0.2">
      <c r="A939"/>
      <c r="B939"/>
      <c r="C939"/>
      <c r="D939"/>
    </row>
    <row r="940" spans="1:4" x14ac:dyDescent="0.2">
      <c r="A940"/>
      <c r="B940"/>
      <c r="C940"/>
      <c r="D940"/>
    </row>
    <row r="941" spans="1:4" x14ac:dyDescent="0.2">
      <c r="A941"/>
      <c r="B941"/>
      <c r="C941"/>
      <c r="D941"/>
    </row>
    <row r="942" spans="1:4" x14ac:dyDescent="0.2">
      <c r="A942"/>
      <c r="B942"/>
      <c r="C942"/>
      <c r="D942"/>
    </row>
    <row r="943" spans="1:4" x14ac:dyDescent="0.2">
      <c r="A943"/>
      <c r="B943"/>
      <c r="C943"/>
      <c r="D943"/>
    </row>
    <row r="944" spans="1:4" x14ac:dyDescent="0.2">
      <c r="A944"/>
      <c r="B944"/>
      <c r="C944"/>
      <c r="D944"/>
    </row>
    <row r="945" spans="1:4" x14ac:dyDescent="0.2">
      <c r="A945"/>
      <c r="B945"/>
      <c r="C945"/>
      <c r="D945"/>
    </row>
    <row r="946" spans="1:4" x14ac:dyDescent="0.2">
      <c r="A946"/>
      <c r="B946"/>
      <c r="C946"/>
      <c r="D946"/>
    </row>
    <row r="947" spans="1:4" x14ac:dyDescent="0.2">
      <c r="A947"/>
      <c r="B947"/>
      <c r="C947"/>
      <c r="D947"/>
    </row>
    <row r="948" spans="1:4" x14ac:dyDescent="0.2">
      <c r="A948"/>
      <c r="B948"/>
      <c r="C948"/>
      <c r="D948"/>
    </row>
    <row r="949" spans="1:4" x14ac:dyDescent="0.2">
      <c r="A949"/>
      <c r="B949"/>
      <c r="C949"/>
      <c r="D949"/>
    </row>
    <row r="950" spans="1:4" x14ac:dyDescent="0.2">
      <c r="A950"/>
      <c r="B950"/>
      <c r="C950"/>
      <c r="D950"/>
    </row>
    <row r="951" spans="1:4" x14ac:dyDescent="0.2">
      <c r="A951"/>
      <c r="B951"/>
      <c r="C951"/>
      <c r="D951"/>
    </row>
    <row r="952" spans="1:4" x14ac:dyDescent="0.2">
      <c r="A952"/>
      <c r="B952"/>
      <c r="C952"/>
      <c r="D952"/>
    </row>
    <row r="953" spans="1:4" x14ac:dyDescent="0.2">
      <c r="A953"/>
      <c r="B953"/>
      <c r="C953"/>
      <c r="D953"/>
    </row>
    <row r="954" spans="1:4" x14ac:dyDescent="0.2">
      <c r="A954"/>
      <c r="B954"/>
      <c r="C954"/>
      <c r="D954"/>
    </row>
    <row r="955" spans="1:4" x14ac:dyDescent="0.2">
      <c r="A955"/>
      <c r="B955"/>
      <c r="C955"/>
      <c r="D955"/>
    </row>
    <row r="956" spans="1:4" x14ac:dyDescent="0.2">
      <c r="A956"/>
      <c r="B956"/>
      <c r="C956"/>
      <c r="D956"/>
    </row>
    <row r="957" spans="1:4" x14ac:dyDescent="0.2">
      <c r="A957"/>
      <c r="B957"/>
      <c r="C957"/>
      <c r="D957"/>
    </row>
    <row r="958" spans="1:4" x14ac:dyDescent="0.2">
      <c r="A958"/>
      <c r="B958"/>
      <c r="C958"/>
      <c r="D958"/>
    </row>
    <row r="959" spans="1:4" x14ac:dyDescent="0.2">
      <c r="A959"/>
      <c r="B959"/>
      <c r="C959"/>
      <c r="D959"/>
    </row>
    <row r="960" spans="1:4" x14ac:dyDescent="0.2">
      <c r="A960"/>
      <c r="B960"/>
      <c r="C960"/>
      <c r="D960"/>
    </row>
    <row r="961" spans="1:4" x14ac:dyDescent="0.2">
      <c r="A961"/>
      <c r="B961"/>
      <c r="C961"/>
      <c r="D961"/>
    </row>
    <row r="962" spans="1:4" x14ac:dyDescent="0.2">
      <c r="A962"/>
      <c r="B962"/>
      <c r="C962"/>
      <c r="D962"/>
    </row>
    <row r="963" spans="1:4" x14ac:dyDescent="0.2">
      <c r="A963"/>
      <c r="B963"/>
      <c r="C963"/>
      <c r="D963"/>
    </row>
    <row r="964" spans="1:4" x14ac:dyDescent="0.2">
      <c r="A964"/>
      <c r="B964"/>
      <c r="C964"/>
      <c r="D964"/>
    </row>
    <row r="965" spans="1:4" x14ac:dyDescent="0.2">
      <c r="A965"/>
      <c r="B965"/>
      <c r="C965"/>
      <c r="D965"/>
    </row>
    <row r="966" spans="1:4" x14ac:dyDescent="0.2">
      <c r="A966"/>
      <c r="B966"/>
      <c r="C966"/>
      <c r="D966"/>
    </row>
    <row r="967" spans="1:4" x14ac:dyDescent="0.2">
      <c r="A967"/>
      <c r="B967"/>
      <c r="C967"/>
      <c r="D967"/>
    </row>
    <row r="968" spans="1:4" x14ac:dyDescent="0.2">
      <c r="A968"/>
      <c r="B968"/>
      <c r="C968"/>
      <c r="D968"/>
    </row>
    <row r="969" spans="1:4" x14ac:dyDescent="0.2">
      <c r="A969"/>
      <c r="B969"/>
      <c r="C969"/>
      <c r="D969"/>
    </row>
    <row r="970" spans="1:4" x14ac:dyDescent="0.2">
      <c r="A970"/>
      <c r="B970"/>
      <c r="C970"/>
      <c r="D970"/>
    </row>
    <row r="971" spans="1:4" x14ac:dyDescent="0.2">
      <c r="A971"/>
      <c r="B971"/>
      <c r="C971"/>
      <c r="D971"/>
    </row>
    <row r="972" spans="1:4" x14ac:dyDescent="0.2">
      <c r="A972"/>
      <c r="B972"/>
      <c r="C972"/>
      <c r="D972"/>
    </row>
    <row r="973" spans="1:4" x14ac:dyDescent="0.2">
      <c r="A973"/>
      <c r="B973"/>
      <c r="C973"/>
      <c r="D973"/>
    </row>
    <row r="974" spans="1:4" x14ac:dyDescent="0.2">
      <c r="A974"/>
      <c r="B974"/>
      <c r="C974"/>
      <c r="D974"/>
    </row>
    <row r="975" spans="1:4" x14ac:dyDescent="0.2">
      <c r="A975"/>
      <c r="B975"/>
      <c r="C975"/>
      <c r="D975"/>
    </row>
    <row r="976" spans="1:4" x14ac:dyDescent="0.2">
      <c r="A976"/>
      <c r="B976"/>
      <c r="C976"/>
      <c r="D976"/>
    </row>
    <row r="977" spans="1:4" x14ac:dyDescent="0.2">
      <c r="A977"/>
      <c r="B977"/>
      <c r="C977"/>
      <c r="D977"/>
    </row>
    <row r="978" spans="1:4" x14ac:dyDescent="0.2">
      <c r="A978"/>
      <c r="B978"/>
      <c r="C978"/>
      <c r="D978"/>
    </row>
    <row r="979" spans="1:4" x14ac:dyDescent="0.2">
      <c r="A979"/>
      <c r="B979"/>
      <c r="C979"/>
      <c r="D979"/>
    </row>
    <row r="980" spans="1:4" x14ac:dyDescent="0.2">
      <c r="A980"/>
      <c r="B980"/>
      <c r="C980"/>
      <c r="D980"/>
    </row>
    <row r="981" spans="1:4" x14ac:dyDescent="0.2">
      <c r="A981"/>
      <c r="B981"/>
      <c r="C981"/>
      <c r="D981"/>
    </row>
    <row r="982" spans="1:4" x14ac:dyDescent="0.2">
      <c r="A982"/>
      <c r="B982"/>
      <c r="C982"/>
      <c r="D982"/>
    </row>
    <row r="983" spans="1:4" x14ac:dyDescent="0.2">
      <c r="A983"/>
      <c r="B983"/>
      <c r="C983"/>
      <c r="D983"/>
    </row>
    <row r="984" spans="1:4" x14ac:dyDescent="0.2">
      <c r="A984"/>
      <c r="B984"/>
      <c r="C984"/>
      <c r="D984"/>
    </row>
    <row r="985" spans="1:4" x14ac:dyDescent="0.2">
      <c r="A985"/>
      <c r="B985"/>
      <c r="C985"/>
      <c r="D985"/>
    </row>
    <row r="986" spans="1:4" x14ac:dyDescent="0.2">
      <c r="A986"/>
      <c r="B986"/>
      <c r="C986"/>
      <c r="D986"/>
    </row>
    <row r="987" spans="1:4" x14ac:dyDescent="0.2">
      <c r="A987"/>
      <c r="B987"/>
      <c r="C987"/>
      <c r="D987"/>
    </row>
    <row r="988" spans="1:4" x14ac:dyDescent="0.2">
      <c r="A988"/>
      <c r="B988"/>
      <c r="C988"/>
      <c r="D988"/>
    </row>
    <row r="989" spans="1:4" x14ac:dyDescent="0.2">
      <c r="A989"/>
      <c r="B989"/>
      <c r="C989"/>
      <c r="D989"/>
    </row>
    <row r="990" spans="1:4" x14ac:dyDescent="0.2">
      <c r="A990"/>
      <c r="B990"/>
      <c r="C990"/>
      <c r="D990"/>
    </row>
    <row r="991" spans="1:4" x14ac:dyDescent="0.2">
      <c r="A991"/>
      <c r="B991"/>
      <c r="C991"/>
      <c r="D991"/>
    </row>
    <row r="992" spans="1:4" x14ac:dyDescent="0.2">
      <c r="A992"/>
      <c r="B992"/>
      <c r="C992"/>
      <c r="D992"/>
    </row>
    <row r="993" spans="1:4" x14ac:dyDescent="0.2">
      <c r="A993"/>
      <c r="B993"/>
      <c r="C993"/>
      <c r="D993"/>
    </row>
    <row r="994" spans="1:4" x14ac:dyDescent="0.2">
      <c r="A994"/>
      <c r="B994"/>
      <c r="C994"/>
      <c r="D994"/>
    </row>
    <row r="995" spans="1:4" x14ac:dyDescent="0.2">
      <c r="A995"/>
      <c r="B995"/>
      <c r="C995"/>
      <c r="D995"/>
    </row>
    <row r="996" spans="1:4" x14ac:dyDescent="0.2">
      <c r="A996"/>
      <c r="B996"/>
      <c r="C996"/>
      <c r="D996"/>
    </row>
    <row r="997" spans="1:4" x14ac:dyDescent="0.2">
      <c r="A997"/>
      <c r="B997"/>
      <c r="C997"/>
      <c r="D997"/>
    </row>
    <row r="998" spans="1:4" x14ac:dyDescent="0.2">
      <c r="A998"/>
      <c r="B998"/>
      <c r="C998"/>
      <c r="D998"/>
    </row>
    <row r="999" spans="1:4" x14ac:dyDescent="0.2">
      <c r="A999"/>
      <c r="B999"/>
      <c r="C999"/>
      <c r="D999"/>
    </row>
    <row r="1000" spans="1:4" x14ac:dyDescent="0.2">
      <c r="A1000"/>
      <c r="B1000"/>
      <c r="C1000"/>
      <c r="D1000"/>
    </row>
    <row r="1001" spans="1:4" x14ac:dyDescent="0.2">
      <c r="A1001"/>
      <c r="B1001"/>
      <c r="C1001"/>
      <c r="D1001"/>
    </row>
    <row r="1002" spans="1:4" x14ac:dyDescent="0.2">
      <c r="A1002"/>
      <c r="B1002"/>
      <c r="C1002"/>
      <c r="D1002"/>
    </row>
    <row r="1003" spans="1:4" x14ac:dyDescent="0.2">
      <c r="A1003"/>
      <c r="B1003"/>
      <c r="C1003"/>
      <c r="D1003"/>
    </row>
    <row r="1004" spans="1:4" x14ac:dyDescent="0.2">
      <c r="A1004"/>
      <c r="B1004"/>
      <c r="C1004"/>
      <c r="D1004"/>
    </row>
    <row r="1005" spans="1:4" x14ac:dyDescent="0.2">
      <c r="A1005"/>
      <c r="B1005"/>
      <c r="C1005"/>
      <c r="D1005"/>
    </row>
    <row r="1006" spans="1:4" x14ac:dyDescent="0.2">
      <c r="A1006"/>
      <c r="B1006"/>
      <c r="C1006"/>
      <c r="D1006"/>
    </row>
    <row r="1007" spans="1:4" x14ac:dyDescent="0.2">
      <c r="A1007"/>
      <c r="B1007"/>
      <c r="C1007"/>
      <c r="D1007"/>
    </row>
    <row r="1008" spans="1:4" x14ac:dyDescent="0.2">
      <c r="A1008"/>
      <c r="B1008"/>
      <c r="C1008"/>
      <c r="D1008"/>
    </row>
    <row r="1009" spans="1:4" x14ac:dyDescent="0.2">
      <c r="A1009"/>
      <c r="B1009"/>
      <c r="C1009"/>
      <c r="D1009"/>
    </row>
    <row r="1010" spans="1:4" x14ac:dyDescent="0.2">
      <c r="A1010"/>
      <c r="B1010"/>
      <c r="C1010"/>
      <c r="D1010"/>
    </row>
    <row r="1011" spans="1:4" x14ac:dyDescent="0.2">
      <c r="A1011"/>
      <c r="B1011"/>
      <c r="C1011"/>
      <c r="D1011"/>
    </row>
    <row r="1012" spans="1:4" x14ac:dyDescent="0.2">
      <c r="A1012"/>
      <c r="B1012"/>
      <c r="C1012"/>
      <c r="D1012"/>
    </row>
    <row r="1013" spans="1:4" x14ac:dyDescent="0.2">
      <c r="A1013"/>
      <c r="B1013"/>
      <c r="C1013"/>
      <c r="D1013"/>
    </row>
    <row r="1014" spans="1:4" x14ac:dyDescent="0.2">
      <c r="A1014"/>
      <c r="B1014"/>
      <c r="C1014"/>
      <c r="D1014"/>
    </row>
    <row r="1015" spans="1:4" x14ac:dyDescent="0.2">
      <c r="A1015"/>
      <c r="B1015"/>
      <c r="C1015"/>
      <c r="D1015"/>
    </row>
    <row r="1016" spans="1:4" x14ac:dyDescent="0.2">
      <c r="A1016"/>
      <c r="B1016"/>
      <c r="C1016"/>
      <c r="D1016"/>
    </row>
    <row r="1017" spans="1:4" x14ac:dyDescent="0.2">
      <c r="A1017"/>
      <c r="B1017"/>
      <c r="C1017"/>
      <c r="D1017"/>
    </row>
    <row r="1018" spans="1:4" x14ac:dyDescent="0.2">
      <c r="A1018"/>
      <c r="B1018"/>
      <c r="C1018"/>
      <c r="D1018"/>
    </row>
    <row r="1019" spans="1:4" x14ac:dyDescent="0.2">
      <c r="A1019"/>
      <c r="B1019"/>
      <c r="C1019"/>
      <c r="D1019"/>
    </row>
    <row r="1020" spans="1:4" x14ac:dyDescent="0.2">
      <c r="A1020"/>
      <c r="B1020"/>
      <c r="C1020"/>
      <c r="D1020"/>
    </row>
    <row r="1021" spans="1:4" x14ac:dyDescent="0.2">
      <c r="A1021"/>
      <c r="B1021"/>
      <c r="C1021"/>
      <c r="D1021"/>
    </row>
    <row r="1022" spans="1:4" x14ac:dyDescent="0.2">
      <c r="A1022"/>
      <c r="B1022"/>
      <c r="C1022"/>
      <c r="D1022"/>
    </row>
    <row r="1023" spans="1:4" x14ac:dyDescent="0.2">
      <c r="A1023"/>
      <c r="B1023"/>
      <c r="C1023"/>
      <c r="D1023"/>
    </row>
    <row r="1024" spans="1:4" x14ac:dyDescent="0.2">
      <c r="A1024"/>
      <c r="B1024"/>
      <c r="C1024"/>
      <c r="D1024"/>
    </row>
    <row r="1025" spans="1:4" x14ac:dyDescent="0.2">
      <c r="A1025"/>
      <c r="B1025"/>
      <c r="C1025"/>
      <c r="D1025"/>
    </row>
    <row r="1026" spans="1:4" x14ac:dyDescent="0.2">
      <c r="A1026"/>
      <c r="B1026"/>
      <c r="C1026"/>
      <c r="D1026"/>
    </row>
    <row r="1027" spans="1:4" x14ac:dyDescent="0.2">
      <c r="A1027"/>
      <c r="B1027"/>
      <c r="C1027"/>
      <c r="D1027"/>
    </row>
    <row r="1028" spans="1:4" x14ac:dyDescent="0.2">
      <c r="A1028"/>
      <c r="B1028"/>
      <c r="C1028"/>
      <c r="D1028"/>
    </row>
    <row r="1029" spans="1:4" x14ac:dyDescent="0.2">
      <c r="A1029"/>
      <c r="B1029"/>
      <c r="C1029"/>
      <c r="D1029"/>
    </row>
    <row r="1030" spans="1:4" x14ac:dyDescent="0.2">
      <c r="A1030"/>
      <c r="B1030"/>
      <c r="C1030"/>
      <c r="D1030"/>
    </row>
    <row r="1031" spans="1:4" x14ac:dyDescent="0.2">
      <c r="A1031"/>
      <c r="B1031"/>
      <c r="C1031"/>
      <c r="D1031"/>
    </row>
    <row r="1032" spans="1:4" x14ac:dyDescent="0.2">
      <c r="A1032"/>
      <c r="B1032"/>
      <c r="C1032"/>
      <c r="D1032"/>
    </row>
    <row r="1033" spans="1:4" x14ac:dyDescent="0.2">
      <c r="A1033"/>
      <c r="B1033"/>
      <c r="C1033"/>
      <c r="D1033"/>
    </row>
    <row r="1034" spans="1:4" x14ac:dyDescent="0.2">
      <c r="A1034"/>
      <c r="B1034"/>
      <c r="C1034"/>
      <c r="D1034"/>
    </row>
    <row r="1035" spans="1:4" x14ac:dyDescent="0.2">
      <c r="A1035"/>
      <c r="B1035"/>
      <c r="C1035"/>
      <c r="D1035"/>
    </row>
    <row r="1036" spans="1:4" x14ac:dyDescent="0.2">
      <c r="A1036"/>
      <c r="B1036"/>
      <c r="C1036"/>
      <c r="D1036"/>
    </row>
    <row r="1037" spans="1:4" x14ac:dyDescent="0.2">
      <c r="A1037"/>
      <c r="B1037"/>
      <c r="C1037"/>
      <c r="D1037"/>
    </row>
    <row r="1038" spans="1:4" x14ac:dyDescent="0.2">
      <c r="A1038"/>
      <c r="B1038"/>
      <c r="C1038"/>
      <c r="D1038"/>
    </row>
    <row r="1039" spans="1:4" x14ac:dyDescent="0.2">
      <c r="A1039"/>
      <c r="B1039"/>
      <c r="C1039"/>
      <c r="D1039"/>
    </row>
    <row r="1040" spans="1:4" x14ac:dyDescent="0.2">
      <c r="A1040"/>
      <c r="B1040"/>
      <c r="C1040"/>
      <c r="D1040"/>
    </row>
    <row r="1041" spans="1:4" x14ac:dyDescent="0.2">
      <c r="A1041"/>
      <c r="B1041"/>
      <c r="C1041"/>
      <c r="D1041"/>
    </row>
    <row r="1042" spans="1:4" x14ac:dyDescent="0.2">
      <c r="A1042"/>
      <c r="B1042"/>
      <c r="C1042"/>
      <c r="D1042"/>
    </row>
    <row r="1043" spans="1:4" x14ac:dyDescent="0.2">
      <c r="A1043"/>
      <c r="B1043"/>
      <c r="C1043"/>
      <c r="D1043"/>
    </row>
    <row r="1044" spans="1:4" x14ac:dyDescent="0.2">
      <c r="A1044"/>
      <c r="B1044"/>
      <c r="C1044"/>
      <c r="D1044"/>
    </row>
    <row r="1045" spans="1:4" x14ac:dyDescent="0.2">
      <c r="A1045"/>
      <c r="B1045"/>
      <c r="C1045"/>
      <c r="D1045"/>
    </row>
    <row r="1046" spans="1:4" x14ac:dyDescent="0.2">
      <c r="A1046"/>
      <c r="B1046"/>
      <c r="C1046"/>
      <c r="D1046"/>
    </row>
    <row r="1047" spans="1:4" x14ac:dyDescent="0.2">
      <c r="A1047"/>
      <c r="B1047"/>
      <c r="C1047"/>
      <c r="D1047"/>
    </row>
    <row r="1048" spans="1:4" x14ac:dyDescent="0.2">
      <c r="A1048"/>
      <c r="B1048"/>
      <c r="C1048"/>
      <c r="D1048"/>
    </row>
    <row r="1049" spans="1:4" x14ac:dyDescent="0.2">
      <c r="A1049"/>
      <c r="B1049"/>
      <c r="C1049"/>
      <c r="D1049"/>
    </row>
    <row r="1050" spans="1:4" x14ac:dyDescent="0.2">
      <c r="A1050"/>
      <c r="B1050"/>
      <c r="C1050"/>
      <c r="D1050"/>
    </row>
    <row r="1051" spans="1:4" x14ac:dyDescent="0.2">
      <c r="A1051"/>
      <c r="B1051"/>
      <c r="C1051"/>
      <c r="D1051"/>
    </row>
    <row r="1052" spans="1:4" x14ac:dyDescent="0.2">
      <c r="A1052"/>
      <c r="B1052"/>
      <c r="C1052"/>
      <c r="D1052"/>
    </row>
    <row r="1053" spans="1:4" x14ac:dyDescent="0.2">
      <c r="A1053"/>
      <c r="B1053"/>
      <c r="C1053"/>
      <c r="D1053"/>
    </row>
    <row r="1054" spans="1:4" x14ac:dyDescent="0.2">
      <c r="A1054"/>
      <c r="B1054"/>
      <c r="C1054"/>
      <c r="D1054"/>
    </row>
    <row r="1055" spans="1:4" x14ac:dyDescent="0.2">
      <c r="A1055"/>
      <c r="B1055"/>
      <c r="C1055"/>
      <c r="D1055"/>
    </row>
    <row r="1056" spans="1:4" x14ac:dyDescent="0.2">
      <c r="A1056"/>
      <c r="B1056"/>
      <c r="C1056"/>
      <c r="D1056"/>
    </row>
    <row r="1057" spans="1:4" x14ac:dyDescent="0.2">
      <c r="A1057"/>
      <c r="B1057"/>
      <c r="C1057"/>
      <c r="D1057"/>
    </row>
    <row r="1058" spans="1:4" x14ac:dyDescent="0.2">
      <c r="A1058"/>
      <c r="B1058"/>
      <c r="C1058"/>
      <c r="D1058"/>
    </row>
    <row r="1059" spans="1:4" x14ac:dyDescent="0.2">
      <c r="A1059"/>
      <c r="B1059"/>
      <c r="C1059"/>
      <c r="D1059"/>
    </row>
    <row r="1060" spans="1:4" x14ac:dyDescent="0.2">
      <c r="A1060"/>
      <c r="B1060"/>
      <c r="C1060"/>
      <c r="D1060"/>
    </row>
    <row r="1061" spans="1:4" x14ac:dyDescent="0.2">
      <c r="A1061"/>
      <c r="B1061"/>
      <c r="C1061"/>
      <c r="D1061"/>
    </row>
    <row r="1062" spans="1:4" x14ac:dyDescent="0.2">
      <c r="A1062"/>
      <c r="B1062"/>
      <c r="C1062"/>
      <c r="D1062"/>
    </row>
    <row r="1063" spans="1:4" x14ac:dyDescent="0.2">
      <c r="A1063"/>
      <c r="B1063"/>
      <c r="C1063"/>
      <c r="D1063"/>
    </row>
    <row r="1064" spans="1:4" x14ac:dyDescent="0.2">
      <c r="A1064"/>
      <c r="B1064"/>
      <c r="C1064"/>
      <c r="D1064"/>
    </row>
    <row r="1065" spans="1:4" x14ac:dyDescent="0.2">
      <c r="A1065"/>
      <c r="B1065"/>
      <c r="C1065"/>
      <c r="D1065"/>
    </row>
    <row r="1066" spans="1:4" x14ac:dyDescent="0.2">
      <c r="A1066"/>
      <c r="B1066"/>
      <c r="C1066"/>
      <c r="D1066"/>
    </row>
    <row r="1067" spans="1:4" x14ac:dyDescent="0.2">
      <c r="A1067"/>
      <c r="B1067"/>
      <c r="C1067"/>
      <c r="D1067"/>
    </row>
    <row r="1068" spans="1:4" x14ac:dyDescent="0.2">
      <c r="A1068"/>
      <c r="B1068"/>
      <c r="C1068"/>
      <c r="D1068"/>
    </row>
    <row r="1069" spans="1:4" x14ac:dyDescent="0.2">
      <c r="A1069"/>
      <c r="B1069"/>
      <c r="C1069"/>
      <c r="D1069"/>
    </row>
    <row r="1070" spans="1:4" x14ac:dyDescent="0.2">
      <c r="A1070"/>
      <c r="B1070"/>
      <c r="C1070"/>
      <c r="D1070"/>
    </row>
    <row r="1071" spans="1:4" x14ac:dyDescent="0.2">
      <c r="A1071"/>
      <c r="B1071"/>
      <c r="C1071"/>
      <c r="D1071"/>
    </row>
    <row r="1072" spans="1:4" x14ac:dyDescent="0.2">
      <c r="A1072"/>
      <c r="B1072"/>
      <c r="C1072"/>
      <c r="D1072"/>
    </row>
    <row r="1073" spans="1:4" x14ac:dyDescent="0.2">
      <c r="A1073"/>
      <c r="B1073"/>
      <c r="C1073"/>
      <c r="D1073"/>
    </row>
    <row r="1074" spans="1:4" x14ac:dyDescent="0.2">
      <c r="A1074"/>
      <c r="B1074"/>
      <c r="C1074"/>
      <c r="D1074"/>
    </row>
    <row r="1075" spans="1:4" x14ac:dyDescent="0.2">
      <c r="A1075"/>
      <c r="B1075"/>
      <c r="C1075"/>
      <c r="D1075"/>
    </row>
    <row r="1076" spans="1:4" x14ac:dyDescent="0.2">
      <c r="A1076"/>
      <c r="B1076"/>
      <c r="C1076"/>
      <c r="D1076"/>
    </row>
    <row r="1077" spans="1:4" x14ac:dyDescent="0.2">
      <c r="A1077"/>
      <c r="B1077"/>
      <c r="C1077"/>
      <c r="D1077"/>
    </row>
    <row r="1078" spans="1:4" x14ac:dyDescent="0.2">
      <c r="A1078"/>
      <c r="B1078"/>
      <c r="C1078"/>
      <c r="D1078"/>
    </row>
    <row r="1079" spans="1:4" x14ac:dyDescent="0.2">
      <c r="A1079"/>
      <c r="B1079"/>
      <c r="C1079"/>
      <c r="D1079"/>
    </row>
    <row r="1080" spans="1:4" x14ac:dyDescent="0.2">
      <c r="A1080"/>
      <c r="B1080"/>
      <c r="C1080"/>
      <c r="D1080"/>
    </row>
    <row r="1081" spans="1:4" x14ac:dyDescent="0.2">
      <c r="A1081"/>
      <c r="B1081"/>
      <c r="C1081"/>
      <c r="D1081"/>
    </row>
    <row r="1082" spans="1:4" x14ac:dyDescent="0.2">
      <c r="A1082"/>
      <c r="B1082"/>
      <c r="C1082"/>
      <c r="D1082"/>
    </row>
    <row r="1083" spans="1:4" x14ac:dyDescent="0.2">
      <c r="A1083"/>
      <c r="B1083"/>
      <c r="C1083"/>
      <c r="D1083"/>
    </row>
    <row r="1084" spans="1:4" x14ac:dyDescent="0.2">
      <c r="A1084"/>
      <c r="B1084"/>
      <c r="C1084"/>
      <c r="D1084"/>
    </row>
    <row r="1085" spans="1:4" x14ac:dyDescent="0.2">
      <c r="A1085"/>
      <c r="B1085"/>
      <c r="C1085"/>
      <c r="D1085"/>
    </row>
    <row r="1086" spans="1:4" x14ac:dyDescent="0.2">
      <c r="A1086"/>
      <c r="B1086"/>
      <c r="C1086"/>
      <c r="D1086"/>
    </row>
    <row r="1087" spans="1:4" x14ac:dyDescent="0.2">
      <c r="A1087"/>
      <c r="B1087"/>
      <c r="C1087"/>
      <c r="D1087"/>
    </row>
    <row r="1088" spans="1:4" x14ac:dyDescent="0.2">
      <c r="A1088"/>
      <c r="B1088"/>
      <c r="C1088"/>
      <c r="D1088"/>
    </row>
    <row r="1089" spans="1:4" x14ac:dyDescent="0.2">
      <c r="A1089"/>
      <c r="B1089"/>
      <c r="C1089"/>
      <c r="D1089"/>
    </row>
    <row r="1090" spans="1:4" x14ac:dyDescent="0.2">
      <c r="A1090"/>
      <c r="B1090"/>
      <c r="C1090"/>
      <c r="D1090"/>
    </row>
    <row r="1091" spans="1:4" x14ac:dyDescent="0.2">
      <c r="A1091"/>
      <c r="B1091"/>
      <c r="C1091"/>
      <c r="D1091"/>
    </row>
    <row r="1092" spans="1:4" x14ac:dyDescent="0.2">
      <c r="A1092"/>
      <c r="B1092"/>
      <c r="C1092"/>
      <c r="D1092"/>
    </row>
    <row r="1093" spans="1:4" x14ac:dyDescent="0.2">
      <c r="A1093"/>
      <c r="B1093"/>
      <c r="C1093"/>
      <c r="D1093"/>
    </row>
    <row r="1094" spans="1:4" x14ac:dyDescent="0.2">
      <c r="A1094"/>
      <c r="B1094"/>
      <c r="C1094"/>
      <c r="D1094"/>
    </row>
    <row r="1095" spans="1:4" x14ac:dyDescent="0.2">
      <c r="A1095"/>
      <c r="B1095"/>
      <c r="C1095"/>
      <c r="D1095"/>
    </row>
    <row r="1096" spans="1:4" x14ac:dyDescent="0.2">
      <c r="A1096"/>
      <c r="B1096"/>
      <c r="C1096"/>
      <c r="D1096"/>
    </row>
    <row r="1097" spans="1:4" x14ac:dyDescent="0.2">
      <c r="A1097"/>
      <c r="B1097"/>
      <c r="C1097"/>
      <c r="D1097"/>
    </row>
    <row r="1098" spans="1:4" x14ac:dyDescent="0.2">
      <c r="A1098"/>
      <c r="B1098"/>
      <c r="C1098"/>
      <c r="D1098"/>
    </row>
    <row r="1099" spans="1:4" x14ac:dyDescent="0.2">
      <c r="A1099"/>
      <c r="B1099"/>
      <c r="C1099"/>
      <c r="D1099"/>
    </row>
    <row r="1100" spans="1:4" x14ac:dyDescent="0.2">
      <c r="A1100"/>
      <c r="B1100"/>
      <c r="C1100"/>
      <c r="D1100"/>
    </row>
    <row r="1101" spans="1:4" x14ac:dyDescent="0.2">
      <c r="A1101"/>
      <c r="B1101"/>
      <c r="C1101"/>
      <c r="D1101"/>
    </row>
    <row r="1102" spans="1:4" x14ac:dyDescent="0.2">
      <c r="A1102"/>
      <c r="B1102"/>
      <c r="C1102"/>
      <c r="D1102"/>
    </row>
    <row r="1103" spans="1:4" x14ac:dyDescent="0.2">
      <c r="A1103"/>
      <c r="B1103"/>
      <c r="C1103"/>
      <c r="D1103"/>
    </row>
    <row r="1104" spans="1:4" x14ac:dyDescent="0.2">
      <c r="A1104"/>
      <c r="B1104"/>
      <c r="C1104"/>
      <c r="D1104"/>
    </row>
    <row r="1105" spans="1:4" x14ac:dyDescent="0.2">
      <c r="A1105"/>
      <c r="B1105"/>
      <c r="C1105"/>
      <c r="D1105"/>
    </row>
    <row r="1106" spans="1:4" x14ac:dyDescent="0.2">
      <c r="A1106"/>
      <c r="B1106"/>
      <c r="C1106"/>
      <c r="D1106"/>
    </row>
    <row r="1107" spans="1:4" x14ac:dyDescent="0.2">
      <c r="A1107"/>
      <c r="B1107"/>
      <c r="C1107"/>
      <c r="D1107"/>
    </row>
    <row r="1108" spans="1:4" x14ac:dyDescent="0.2">
      <c r="A1108"/>
      <c r="B1108"/>
      <c r="C1108"/>
      <c r="D1108"/>
    </row>
    <row r="1109" spans="1:4" x14ac:dyDescent="0.2">
      <c r="A1109"/>
      <c r="B1109"/>
      <c r="C1109"/>
      <c r="D1109"/>
    </row>
    <row r="1110" spans="1:4" x14ac:dyDescent="0.2">
      <c r="A1110"/>
      <c r="B1110"/>
      <c r="C1110"/>
      <c r="D1110"/>
    </row>
    <row r="1111" spans="1:4" x14ac:dyDescent="0.2">
      <c r="A1111"/>
      <c r="B1111"/>
      <c r="C1111"/>
      <c r="D1111"/>
    </row>
    <row r="1112" spans="1:4" x14ac:dyDescent="0.2">
      <c r="A1112"/>
      <c r="B1112"/>
      <c r="C1112"/>
      <c r="D1112"/>
    </row>
    <row r="1113" spans="1:4" x14ac:dyDescent="0.2">
      <c r="A1113"/>
      <c r="B1113"/>
      <c r="C1113"/>
      <c r="D1113"/>
    </row>
    <row r="1114" spans="1:4" x14ac:dyDescent="0.2">
      <c r="A1114"/>
      <c r="B1114"/>
      <c r="C1114"/>
      <c r="D1114"/>
    </row>
    <row r="1115" spans="1:4" x14ac:dyDescent="0.2">
      <c r="A1115"/>
      <c r="B1115"/>
      <c r="C1115"/>
      <c r="D1115"/>
    </row>
    <row r="1116" spans="1:4" x14ac:dyDescent="0.2">
      <c r="A1116"/>
      <c r="B1116"/>
      <c r="C1116"/>
      <c r="D1116"/>
    </row>
    <row r="1117" spans="1:4" x14ac:dyDescent="0.2">
      <c r="A1117"/>
      <c r="B1117"/>
      <c r="C1117"/>
      <c r="D1117"/>
    </row>
    <row r="1118" spans="1:4" x14ac:dyDescent="0.2">
      <c r="A1118"/>
      <c r="B1118"/>
      <c r="C1118"/>
      <c r="D1118"/>
    </row>
    <row r="1119" spans="1:4" x14ac:dyDescent="0.2">
      <c r="A1119"/>
      <c r="B1119"/>
      <c r="C1119"/>
      <c r="D1119"/>
    </row>
    <row r="1120" spans="1:4" x14ac:dyDescent="0.2">
      <c r="A1120"/>
      <c r="B1120"/>
      <c r="C1120"/>
      <c r="D1120"/>
    </row>
    <row r="1121" spans="1:4" x14ac:dyDescent="0.2">
      <c r="A1121"/>
      <c r="B1121"/>
      <c r="C1121"/>
      <c r="D1121"/>
    </row>
    <row r="1122" spans="1:4" x14ac:dyDescent="0.2">
      <c r="A1122"/>
      <c r="B1122"/>
      <c r="C1122"/>
      <c r="D1122"/>
    </row>
    <row r="1123" spans="1:4" x14ac:dyDescent="0.2">
      <c r="A1123"/>
      <c r="B1123"/>
      <c r="C1123"/>
      <c r="D1123"/>
    </row>
    <row r="1124" spans="1:4" x14ac:dyDescent="0.2">
      <c r="A1124"/>
      <c r="B1124"/>
      <c r="C1124"/>
      <c r="D1124"/>
    </row>
    <row r="1125" spans="1:4" x14ac:dyDescent="0.2">
      <c r="A1125"/>
      <c r="B1125"/>
      <c r="C1125"/>
      <c r="D1125"/>
    </row>
    <row r="1126" spans="1:4" x14ac:dyDescent="0.2">
      <c r="A1126"/>
      <c r="B1126"/>
      <c r="C1126"/>
      <c r="D1126"/>
    </row>
    <row r="1127" spans="1:4" x14ac:dyDescent="0.2">
      <c r="A1127"/>
      <c r="B1127"/>
      <c r="C1127"/>
      <c r="D1127"/>
    </row>
    <row r="1128" spans="1:4" x14ac:dyDescent="0.2">
      <c r="A1128"/>
      <c r="B1128"/>
      <c r="C1128"/>
      <c r="D1128"/>
    </row>
    <row r="1129" spans="1:4" x14ac:dyDescent="0.2">
      <c r="A1129"/>
      <c r="B1129"/>
      <c r="C1129"/>
      <c r="D1129"/>
    </row>
    <row r="1130" spans="1:4" x14ac:dyDescent="0.2">
      <c r="A1130"/>
      <c r="B1130"/>
      <c r="C1130"/>
      <c r="D1130"/>
    </row>
    <row r="1131" spans="1:4" x14ac:dyDescent="0.2">
      <c r="A1131"/>
      <c r="B1131"/>
      <c r="C1131"/>
      <c r="D1131"/>
    </row>
    <row r="1132" spans="1:4" x14ac:dyDescent="0.2">
      <c r="A1132"/>
      <c r="B1132"/>
      <c r="C1132"/>
      <c r="D1132"/>
    </row>
    <row r="1133" spans="1:4" x14ac:dyDescent="0.2">
      <c r="A1133"/>
      <c r="B1133"/>
      <c r="C1133"/>
      <c r="D1133"/>
    </row>
    <row r="1134" spans="1:4" x14ac:dyDescent="0.2">
      <c r="A1134"/>
      <c r="B1134"/>
      <c r="C1134"/>
      <c r="D1134"/>
    </row>
    <row r="1135" spans="1:4" x14ac:dyDescent="0.2">
      <c r="A1135"/>
      <c r="B1135"/>
      <c r="C1135"/>
      <c r="D1135"/>
    </row>
    <row r="1136" spans="1:4" x14ac:dyDescent="0.2">
      <c r="A1136"/>
      <c r="B1136"/>
      <c r="C1136"/>
      <c r="D1136"/>
    </row>
    <row r="1137" spans="1:4" x14ac:dyDescent="0.2">
      <c r="A1137"/>
      <c r="B1137"/>
      <c r="C1137"/>
      <c r="D1137"/>
    </row>
    <row r="1138" spans="1:4" x14ac:dyDescent="0.2">
      <c r="A1138"/>
      <c r="B1138"/>
      <c r="C1138"/>
      <c r="D1138"/>
    </row>
    <row r="1139" spans="1:4" x14ac:dyDescent="0.2">
      <c r="A1139"/>
      <c r="B1139"/>
      <c r="C1139"/>
      <c r="D1139"/>
    </row>
    <row r="1140" spans="1:4" x14ac:dyDescent="0.2">
      <c r="A1140"/>
      <c r="B1140"/>
      <c r="C1140"/>
      <c r="D1140"/>
    </row>
    <row r="1141" spans="1:4" x14ac:dyDescent="0.2">
      <c r="A1141"/>
      <c r="B1141"/>
      <c r="C1141"/>
      <c r="D1141"/>
    </row>
    <row r="1142" spans="1:4" x14ac:dyDescent="0.2">
      <c r="A1142"/>
      <c r="B1142"/>
      <c r="C1142"/>
      <c r="D1142"/>
    </row>
    <row r="1143" spans="1:4" x14ac:dyDescent="0.2">
      <c r="A1143"/>
      <c r="B1143"/>
      <c r="C1143"/>
      <c r="D1143"/>
    </row>
    <row r="1144" spans="1:4" x14ac:dyDescent="0.2">
      <c r="A1144"/>
      <c r="B1144"/>
      <c r="C1144"/>
      <c r="D1144"/>
    </row>
    <row r="1145" spans="1:4" x14ac:dyDescent="0.2">
      <c r="A1145"/>
      <c r="B1145"/>
      <c r="C1145"/>
      <c r="D1145"/>
    </row>
    <row r="1146" spans="1:4" x14ac:dyDescent="0.2">
      <c r="A1146"/>
      <c r="B1146"/>
      <c r="C1146"/>
      <c r="D1146"/>
    </row>
    <row r="1147" spans="1:4" x14ac:dyDescent="0.2">
      <c r="A1147"/>
      <c r="B1147"/>
      <c r="C1147"/>
      <c r="D1147"/>
    </row>
    <row r="1148" spans="1:4" x14ac:dyDescent="0.2">
      <c r="A1148"/>
      <c r="B1148"/>
      <c r="C1148"/>
      <c r="D1148"/>
    </row>
    <row r="1149" spans="1:4" x14ac:dyDescent="0.2">
      <c r="A1149"/>
      <c r="B1149"/>
      <c r="C1149"/>
      <c r="D1149"/>
    </row>
    <row r="1150" spans="1:4" x14ac:dyDescent="0.2">
      <c r="A1150"/>
      <c r="B1150"/>
      <c r="C1150"/>
      <c r="D1150"/>
    </row>
    <row r="1151" spans="1:4" x14ac:dyDescent="0.2">
      <c r="A1151"/>
      <c r="B1151"/>
      <c r="C1151"/>
      <c r="D1151"/>
    </row>
    <row r="1152" spans="1:4" x14ac:dyDescent="0.2">
      <c r="A1152"/>
      <c r="B1152"/>
      <c r="C1152"/>
      <c r="D1152"/>
    </row>
    <row r="1153" spans="1:4" x14ac:dyDescent="0.2">
      <c r="A1153"/>
      <c r="B1153"/>
      <c r="C1153"/>
      <c r="D1153"/>
    </row>
    <row r="1154" spans="1:4" x14ac:dyDescent="0.2">
      <c r="A1154"/>
      <c r="B1154"/>
      <c r="C1154"/>
      <c r="D1154"/>
    </row>
    <row r="1155" spans="1:4" x14ac:dyDescent="0.2">
      <c r="A1155"/>
      <c r="B1155"/>
      <c r="C1155"/>
      <c r="D1155"/>
    </row>
    <row r="1156" spans="1:4" x14ac:dyDescent="0.2">
      <c r="A1156"/>
      <c r="B1156"/>
      <c r="C1156"/>
      <c r="D1156"/>
    </row>
    <row r="1157" spans="1:4" x14ac:dyDescent="0.2">
      <c r="A1157"/>
      <c r="B1157"/>
      <c r="C1157"/>
      <c r="D1157"/>
    </row>
    <row r="1158" spans="1:4" x14ac:dyDescent="0.2">
      <c r="A1158"/>
      <c r="B1158"/>
      <c r="C1158"/>
      <c r="D1158"/>
    </row>
    <row r="1159" spans="1:4" x14ac:dyDescent="0.2">
      <c r="A1159"/>
      <c r="B1159"/>
      <c r="C1159"/>
      <c r="D1159"/>
    </row>
    <row r="1160" spans="1:4" x14ac:dyDescent="0.2">
      <c r="A1160"/>
      <c r="B1160"/>
      <c r="C1160"/>
      <c r="D1160"/>
    </row>
    <row r="1161" spans="1:4" x14ac:dyDescent="0.2">
      <c r="A1161"/>
      <c r="B1161"/>
      <c r="C1161"/>
      <c r="D1161"/>
    </row>
    <row r="1162" spans="1:4" x14ac:dyDescent="0.2">
      <c r="A1162"/>
      <c r="B1162"/>
      <c r="C1162"/>
      <c r="D1162"/>
    </row>
    <row r="1163" spans="1:4" x14ac:dyDescent="0.2">
      <c r="A1163"/>
      <c r="B1163"/>
      <c r="C1163"/>
      <c r="D1163"/>
    </row>
    <row r="1164" spans="1:4" x14ac:dyDescent="0.2">
      <c r="A1164"/>
      <c r="B1164"/>
      <c r="C1164"/>
      <c r="D1164"/>
    </row>
    <row r="1165" spans="1:4" x14ac:dyDescent="0.2">
      <c r="A1165"/>
      <c r="B1165"/>
      <c r="C1165"/>
      <c r="D1165"/>
    </row>
    <row r="1166" spans="1:4" x14ac:dyDescent="0.2">
      <c r="A1166"/>
      <c r="B1166"/>
      <c r="C1166"/>
      <c r="D1166"/>
    </row>
    <row r="1167" spans="1:4" x14ac:dyDescent="0.2">
      <c r="A1167"/>
      <c r="B1167"/>
      <c r="C1167"/>
      <c r="D1167"/>
    </row>
    <row r="1168" spans="1:4" x14ac:dyDescent="0.2">
      <c r="A1168"/>
      <c r="B1168"/>
      <c r="C1168"/>
      <c r="D1168"/>
    </row>
    <row r="1169" spans="1:4" x14ac:dyDescent="0.2">
      <c r="A1169"/>
      <c r="B1169"/>
      <c r="C1169"/>
      <c r="D1169"/>
    </row>
    <row r="1170" spans="1:4" x14ac:dyDescent="0.2">
      <c r="A1170"/>
      <c r="B1170"/>
      <c r="C1170"/>
      <c r="D1170"/>
    </row>
    <row r="1171" spans="1:4" x14ac:dyDescent="0.2">
      <c r="A1171"/>
      <c r="B1171"/>
      <c r="C1171"/>
      <c r="D1171"/>
    </row>
    <row r="1172" spans="1:4" x14ac:dyDescent="0.2">
      <c r="A1172"/>
      <c r="B1172"/>
      <c r="C1172"/>
      <c r="D1172"/>
    </row>
    <row r="1173" spans="1:4" x14ac:dyDescent="0.2">
      <c r="A1173"/>
      <c r="B1173"/>
      <c r="C1173"/>
      <c r="D1173"/>
    </row>
    <row r="1174" spans="1:4" x14ac:dyDescent="0.2">
      <c r="A1174"/>
      <c r="B1174"/>
      <c r="C1174"/>
      <c r="D1174"/>
    </row>
    <row r="1175" spans="1:4" x14ac:dyDescent="0.2">
      <c r="A1175"/>
      <c r="B1175"/>
      <c r="C1175"/>
      <c r="D1175"/>
    </row>
    <row r="1176" spans="1:4" x14ac:dyDescent="0.2">
      <c r="A1176"/>
      <c r="B1176"/>
      <c r="C1176"/>
      <c r="D1176"/>
    </row>
    <row r="1177" spans="1:4" x14ac:dyDescent="0.2">
      <c r="A1177"/>
      <c r="B1177"/>
      <c r="C1177"/>
      <c r="D1177"/>
    </row>
    <row r="1178" spans="1:4" x14ac:dyDescent="0.2">
      <c r="A1178"/>
      <c r="B1178"/>
      <c r="C1178"/>
      <c r="D1178"/>
    </row>
    <row r="1179" spans="1:4" x14ac:dyDescent="0.2">
      <c r="A1179"/>
      <c r="B1179"/>
      <c r="C1179"/>
      <c r="D1179"/>
    </row>
    <row r="1180" spans="1:4" x14ac:dyDescent="0.2">
      <c r="A1180"/>
      <c r="B1180"/>
      <c r="C1180"/>
      <c r="D1180"/>
    </row>
    <row r="1181" spans="1:4" x14ac:dyDescent="0.2">
      <c r="A1181"/>
      <c r="B1181"/>
      <c r="C1181"/>
      <c r="D1181"/>
    </row>
    <row r="1182" spans="1:4" x14ac:dyDescent="0.2">
      <c r="A1182"/>
      <c r="B1182"/>
      <c r="C1182"/>
      <c r="D1182"/>
    </row>
    <row r="1183" spans="1:4" x14ac:dyDescent="0.2">
      <c r="A1183"/>
      <c r="B1183"/>
      <c r="C1183"/>
      <c r="D1183"/>
    </row>
    <row r="1184" spans="1:4" x14ac:dyDescent="0.2">
      <c r="A1184"/>
      <c r="B1184"/>
      <c r="C1184"/>
      <c r="D1184"/>
    </row>
    <row r="1185" spans="1:4" x14ac:dyDescent="0.2">
      <c r="A1185"/>
      <c r="B1185"/>
      <c r="C1185"/>
      <c r="D1185"/>
    </row>
    <row r="1186" spans="1:4" x14ac:dyDescent="0.2">
      <c r="A1186"/>
      <c r="B1186"/>
      <c r="C1186"/>
      <c r="D1186"/>
    </row>
    <row r="1187" spans="1:4" x14ac:dyDescent="0.2">
      <c r="A1187"/>
      <c r="B1187"/>
      <c r="C1187"/>
      <c r="D1187"/>
    </row>
    <row r="1188" spans="1:4" x14ac:dyDescent="0.2">
      <c r="A1188"/>
      <c r="B1188"/>
      <c r="C1188"/>
      <c r="D1188"/>
    </row>
    <row r="1189" spans="1:4" x14ac:dyDescent="0.2">
      <c r="A1189"/>
      <c r="B1189"/>
      <c r="C1189"/>
      <c r="D1189"/>
    </row>
    <row r="1190" spans="1:4" x14ac:dyDescent="0.2">
      <c r="A1190"/>
      <c r="B1190"/>
      <c r="C1190"/>
      <c r="D1190"/>
    </row>
    <row r="1191" spans="1:4" x14ac:dyDescent="0.2">
      <c r="A1191"/>
      <c r="B1191"/>
      <c r="C1191"/>
      <c r="D1191"/>
    </row>
    <row r="1192" spans="1:4" x14ac:dyDescent="0.2">
      <c r="A1192"/>
      <c r="B1192"/>
      <c r="C1192"/>
      <c r="D1192"/>
    </row>
    <row r="1193" spans="1:4" x14ac:dyDescent="0.2">
      <c r="A1193"/>
      <c r="B1193"/>
      <c r="C1193"/>
      <c r="D1193"/>
    </row>
    <row r="1194" spans="1:4" x14ac:dyDescent="0.2">
      <c r="A1194"/>
      <c r="B1194"/>
      <c r="C1194"/>
      <c r="D1194"/>
    </row>
    <row r="1195" spans="1:4" x14ac:dyDescent="0.2">
      <c r="A1195"/>
      <c r="B1195"/>
      <c r="C1195"/>
      <c r="D1195"/>
    </row>
    <row r="1196" spans="1:4" x14ac:dyDescent="0.2">
      <c r="A1196"/>
      <c r="B1196"/>
      <c r="C1196"/>
      <c r="D1196"/>
    </row>
    <row r="1197" spans="1:4" x14ac:dyDescent="0.2">
      <c r="A1197"/>
      <c r="B1197"/>
      <c r="C1197"/>
      <c r="D1197"/>
    </row>
    <row r="1198" spans="1:4" x14ac:dyDescent="0.2">
      <c r="A1198"/>
      <c r="B1198"/>
      <c r="C1198"/>
      <c r="D1198"/>
    </row>
    <row r="1199" spans="1:4" x14ac:dyDescent="0.2">
      <c r="A1199"/>
      <c r="B1199"/>
      <c r="C1199"/>
      <c r="D1199"/>
    </row>
    <row r="1200" spans="1:4" x14ac:dyDescent="0.2">
      <c r="A1200"/>
      <c r="B1200"/>
      <c r="C1200"/>
      <c r="D1200"/>
    </row>
    <row r="1201" spans="1:4" x14ac:dyDescent="0.2">
      <c r="A1201"/>
      <c r="B1201"/>
      <c r="C1201"/>
      <c r="D1201"/>
    </row>
    <row r="1202" spans="1:4" x14ac:dyDescent="0.2">
      <c r="A1202"/>
      <c r="B1202"/>
      <c r="C1202"/>
      <c r="D1202"/>
    </row>
    <row r="1203" spans="1:4" x14ac:dyDescent="0.2">
      <c r="A1203"/>
      <c r="B1203"/>
      <c r="C1203"/>
      <c r="D1203"/>
    </row>
    <row r="1204" spans="1:4" x14ac:dyDescent="0.2">
      <c r="A1204"/>
      <c r="B1204"/>
      <c r="C1204"/>
      <c r="D1204"/>
    </row>
    <row r="1205" spans="1:4" x14ac:dyDescent="0.2">
      <c r="A1205"/>
      <c r="B1205"/>
      <c r="C1205"/>
      <c r="D1205"/>
    </row>
    <row r="1206" spans="1:4" x14ac:dyDescent="0.2">
      <c r="A1206"/>
      <c r="B1206"/>
      <c r="C1206"/>
      <c r="D1206"/>
    </row>
    <row r="1207" spans="1:4" x14ac:dyDescent="0.2">
      <c r="A1207"/>
      <c r="B1207"/>
      <c r="C1207"/>
      <c r="D1207"/>
    </row>
    <row r="1208" spans="1:4" x14ac:dyDescent="0.2">
      <c r="A1208"/>
      <c r="B1208"/>
      <c r="C1208"/>
      <c r="D1208"/>
    </row>
    <row r="1209" spans="1:4" x14ac:dyDescent="0.2">
      <c r="A1209"/>
      <c r="B1209"/>
      <c r="C1209"/>
      <c r="D1209"/>
    </row>
    <row r="1210" spans="1:4" x14ac:dyDescent="0.2">
      <c r="A1210"/>
      <c r="B1210"/>
      <c r="C1210"/>
      <c r="D1210"/>
    </row>
    <row r="1211" spans="1:4" x14ac:dyDescent="0.2">
      <c r="A1211"/>
      <c r="B1211"/>
      <c r="C1211"/>
      <c r="D1211"/>
    </row>
    <row r="1212" spans="1:4" x14ac:dyDescent="0.2">
      <c r="A1212"/>
      <c r="B1212"/>
      <c r="C1212"/>
      <c r="D1212"/>
    </row>
    <row r="1213" spans="1:4" x14ac:dyDescent="0.2">
      <c r="A1213"/>
      <c r="B1213"/>
      <c r="C1213"/>
      <c r="D1213"/>
    </row>
    <row r="1214" spans="1:4" x14ac:dyDescent="0.2">
      <c r="A1214"/>
      <c r="B1214"/>
      <c r="C1214"/>
      <c r="D1214"/>
    </row>
    <row r="1215" spans="1:4" x14ac:dyDescent="0.2">
      <c r="A1215"/>
      <c r="B1215"/>
      <c r="C1215"/>
      <c r="D1215"/>
    </row>
    <row r="1216" spans="1:4" x14ac:dyDescent="0.2">
      <c r="A1216"/>
      <c r="B1216"/>
      <c r="C1216"/>
      <c r="D1216"/>
    </row>
    <row r="1217" spans="1:4" x14ac:dyDescent="0.2">
      <c r="A1217"/>
      <c r="B1217"/>
      <c r="C1217"/>
      <c r="D1217"/>
    </row>
    <row r="1218" spans="1:4" x14ac:dyDescent="0.2">
      <c r="A1218"/>
      <c r="B1218"/>
      <c r="C1218"/>
      <c r="D1218"/>
    </row>
    <row r="1219" spans="1:4" x14ac:dyDescent="0.2">
      <c r="A1219"/>
      <c r="B1219"/>
      <c r="C1219"/>
      <c r="D1219"/>
    </row>
    <row r="1220" spans="1:4" x14ac:dyDescent="0.2">
      <c r="A1220"/>
      <c r="B1220"/>
      <c r="C1220"/>
      <c r="D1220"/>
    </row>
    <row r="1221" spans="1:4" x14ac:dyDescent="0.2">
      <c r="A1221"/>
      <c r="B1221"/>
      <c r="C1221"/>
      <c r="D1221"/>
    </row>
    <row r="1222" spans="1:4" x14ac:dyDescent="0.2">
      <c r="A1222"/>
      <c r="B1222"/>
      <c r="C1222"/>
      <c r="D1222"/>
    </row>
    <row r="1223" spans="1:4" x14ac:dyDescent="0.2">
      <c r="A1223"/>
      <c r="B1223"/>
      <c r="C1223"/>
      <c r="D1223"/>
    </row>
    <row r="1224" spans="1:4" x14ac:dyDescent="0.2">
      <c r="A1224"/>
      <c r="B1224"/>
      <c r="C1224"/>
      <c r="D1224"/>
    </row>
    <row r="1225" spans="1:4" x14ac:dyDescent="0.2">
      <c r="A1225"/>
      <c r="B1225"/>
      <c r="C1225"/>
      <c r="D1225"/>
    </row>
    <row r="1226" spans="1:4" x14ac:dyDescent="0.2">
      <c r="A1226"/>
      <c r="B1226"/>
      <c r="C1226"/>
      <c r="D1226"/>
    </row>
    <row r="1227" spans="1:4" x14ac:dyDescent="0.2">
      <c r="A1227"/>
      <c r="B1227"/>
      <c r="C1227"/>
      <c r="D1227"/>
    </row>
    <row r="1228" spans="1:4" x14ac:dyDescent="0.2">
      <c r="A1228"/>
      <c r="B1228"/>
      <c r="C1228"/>
      <c r="D1228"/>
    </row>
    <row r="1229" spans="1:4" x14ac:dyDescent="0.2">
      <c r="A1229"/>
      <c r="B1229"/>
      <c r="C1229"/>
      <c r="D1229"/>
    </row>
    <row r="1230" spans="1:4" x14ac:dyDescent="0.2">
      <c r="A1230"/>
      <c r="B1230"/>
      <c r="C1230"/>
      <c r="D1230"/>
    </row>
    <row r="1231" spans="1:4" x14ac:dyDescent="0.2">
      <c r="A1231"/>
      <c r="B1231"/>
      <c r="C1231"/>
      <c r="D1231"/>
    </row>
    <row r="1232" spans="1:4" x14ac:dyDescent="0.2">
      <c r="A1232"/>
      <c r="B1232"/>
      <c r="C1232"/>
      <c r="D1232"/>
    </row>
    <row r="1233" spans="1:4" x14ac:dyDescent="0.2">
      <c r="A1233"/>
      <c r="B1233"/>
      <c r="C1233"/>
      <c r="D1233"/>
    </row>
    <row r="1234" spans="1:4" x14ac:dyDescent="0.2">
      <c r="A1234"/>
      <c r="B1234"/>
      <c r="C1234"/>
      <c r="D1234"/>
    </row>
    <row r="1235" spans="1:4" x14ac:dyDescent="0.2">
      <c r="A1235"/>
      <c r="B1235"/>
      <c r="C1235"/>
      <c r="D1235"/>
    </row>
    <row r="1236" spans="1:4" x14ac:dyDescent="0.2">
      <c r="A1236"/>
      <c r="B1236"/>
      <c r="C1236"/>
      <c r="D1236"/>
    </row>
    <row r="1237" spans="1:4" x14ac:dyDescent="0.2">
      <c r="A1237"/>
      <c r="B1237"/>
      <c r="C1237"/>
      <c r="D1237"/>
    </row>
    <row r="1238" spans="1:4" x14ac:dyDescent="0.2">
      <c r="A1238"/>
      <c r="B1238"/>
      <c r="C1238"/>
      <c r="D1238"/>
    </row>
    <row r="1239" spans="1:4" x14ac:dyDescent="0.2">
      <c r="A1239"/>
      <c r="B1239"/>
      <c r="C1239"/>
      <c r="D1239"/>
    </row>
    <row r="1240" spans="1:4" x14ac:dyDescent="0.2">
      <c r="A1240"/>
      <c r="B1240"/>
      <c r="C1240"/>
      <c r="D1240"/>
    </row>
    <row r="1241" spans="1:4" x14ac:dyDescent="0.2">
      <c r="A1241"/>
      <c r="B1241"/>
      <c r="C1241"/>
      <c r="D1241"/>
    </row>
    <row r="1242" spans="1:4" x14ac:dyDescent="0.2">
      <c r="A1242"/>
      <c r="B1242"/>
      <c r="C1242"/>
      <c r="D1242"/>
    </row>
    <row r="1243" spans="1:4" x14ac:dyDescent="0.2">
      <c r="A1243"/>
      <c r="B1243"/>
      <c r="C1243"/>
      <c r="D1243"/>
    </row>
    <row r="1244" spans="1:4" x14ac:dyDescent="0.2">
      <c r="A1244"/>
      <c r="B1244"/>
      <c r="C1244"/>
      <c r="D1244"/>
    </row>
    <row r="1245" spans="1:4" x14ac:dyDescent="0.2">
      <c r="A1245"/>
      <c r="B1245"/>
      <c r="C1245"/>
      <c r="D1245"/>
    </row>
    <row r="1246" spans="1:4" x14ac:dyDescent="0.2">
      <c r="A1246"/>
      <c r="B1246"/>
      <c r="C1246"/>
      <c r="D1246"/>
    </row>
    <row r="1247" spans="1:4" x14ac:dyDescent="0.2">
      <c r="A1247"/>
      <c r="B1247"/>
      <c r="C1247"/>
      <c r="D1247"/>
    </row>
    <row r="1248" spans="1:4" x14ac:dyDescent="0.2">
      <c r="A1248"/>
      <c r="B1248"/>
      <c r="C1248"/>
      <c r="D1248"/>
    </row>
    <row r="1249" spans="1:4" x14ac:dyDescent="0.2">
      <c r="A1249"/>
      <c r="B1249"/>
      <c r="C1249"/>
      <c r="D1249"/>
    </row>
    <row r="1250" spans="1:4" x14ac:dyDescent="0.2">
      <c r="A1250"/>
      <c r="B1250"/>
      <c r="C1250"/>
      <c r="D1250"/>
    </row>
    <row r="1251" spans="1:4" x14ac:dyDescent="0.2">
      <c r="A1251"/>
      <c r="B1251"/>
      <c r="C1251"/>
      <c r="D1251"/>
    </row>
    <row r="1252" spans="1:4" x14ac:dyDescent="0.2">
      <c r="A1252"/>
      <c r="B1252"/>
      <c r="C1252"/>
      <c r="D1252"/>
    </row>
    <row r="1253" spans="1:4" x14ac:dyDescent="0.2">
      <c r="A1253"/>
      <c r="B1253"/>
      <c r="C1253"/>
      <c r="D1253"/>
    </row>
    <row r="1254" spans="1:4" x14ac:dyDescent="0.2">
      <c r="A1254"/>
      <c r="B1254"/>
      <c r="C1254"/>
      <c r="D1254"/>
    </row>
    <row r="1255" spans="1:4" x14ac:dyDescent="0.2">
      <c r="A1255"/>
      <c r="B1255"/>
      <c r="C1255"/>
      <c r="D1255"/>
    </row>
    <row r="1256" spans="1:4" x14ac:dyDescent="0.2">
      <c r="A1256"/>
      <c r="B1256"/>
      <c r="C1256"/>
      <c r="D1256"/>
    </row>
    <row r="1257" spans="1:4" x14ac:dyDescent="0.2">
      <c r="A1257"/>
      <c r="B1257"/>
      <c r="C1257"/>
      <c r="D1257"/>
    </row>
    <row r="1258" spans="1:4" x14ac:dyDescent="0.2">
      <c r="A1258"/>
      <c r="B1258"/>
      <c r="C1258"/>
      <c r="D1258"/>
    </row>
    <row r="1259" spans="1:4" x14ac:dyDescent="0.2">
      <c r="A1259"/>
      <c r="B1259"/>
      <c r="C1259"/>
      <c r="D1259"/>
    </row>
    <row r="1260" spans="1:4" x14ac:dyDescent="0.2">
      <c r="A1260"/>
      <c r="B1260"/>
      <c r="C1260"/>
      <c r="D1260"/>
    </row>
    <row r="1261" spans="1:4" x14ac:dyDescent="0.2">
      <c r="A1261"/>
      <c r="B1261"/>
      <c r="C1261"/>
      <c r="D1261"/>
    </row>
    <row r="1262" spans="1:4" x14ac:dyDescent="0.2">
      <c r="A1262"/>
      <c r="B1262"/>
      <c r="C1262"/>
      <c r="D1262"/>
    </row>
    <row r="1263" spans="1:4" x14ac:dyDescent="0.2">
      <c r="A1263"/>
      <c r="B1263"/>
      <c r="C1263"/>
      <c r="D1263"/>
    </row>
    <row r="1264" spans="1:4" x14ac:dyDescent="0.2">
      <c r="A1264"/>
      <c r="B1264"/>
      <c r="C1264"/>
      <c r="D1264"/>
    </row>
    <row r="1265" spans="1:4" x14ac:dyDescent="0.2">
      <c r="A1265"/>
      <c r="B1265"/>
      <c r="C1265"/>
      <c r="D1265"/>
    </row>
    <row r="1266" spans="1:4" x14ac:dyDescent="0.2">
      <c r="A1266"/>
      <c r="B1266"/>
      <c r="C1266"/>
      <c r="D1266"/>
    </row>
    <row r="1267" spans="1:4" x14ac:dyDescent="0.2">
      <c r="A1267"/>
      <c r="B1267"/>
      <c r="C1267"/>
      <c r="D1267"/>
    </row>
    <row r="1268" spans="1:4" x14ac:dyDescent="0.2">
      <c r="A1268"/>
      <c r="B1268"/>
      <c r="C1268"/>
      <c r="D1268"/>
    </row>
    <row r="1269" spans="1:4" x14ac:dyDescent="0.2">
      <c r="A1269"/>
      <c r="B1269"/>
      <c r="C1269"/>
      <c r="D1269"/>
    </row>
    <row r="1270" spans="1:4" x14ac:dyDescent="0.2">
      <c r="A1270"/>
      <c r="B1270"/>
      <c r="C1270"/>
      <c r="D1270"/>
    </row>
    <row r="1271" spans="1:4" x14ac:dyDescent="0.2">
      <c r="A1271"/>
      <c r="B1271"/>
      <c r="C1271"/>
      <c r="D1271"/>
    </row>
    <row r="1272" spans="1:4" x14ac:dyDescent="0.2">
      <c r="A1272"/>
      <c r="B1272"/>
      <c r="C1272"/>
      <c r="D1272"/>
    </row>
    <row r="1273" spans="1:4" x14ac:dyDescent="0.2">
      <c r="A1273"/>
      <c r="B1273"/>
      <c r="C1273"/>
      <c r="D1273"/>
    </row>
    <row r="1274" spans="1:4" x14ac:dyDescent="0.2">
      <c r="A1274"/>
      <c r="B1274"/>
      <c r="C1274"/>
      <c r="D1274"/>
    </row>
    <row r="1275" spans="1:4" x14ac:dyDescent="0.2">
      <c r="A1275"/>
      <c r="B1275"/>
      <c r="C1275"/>
      <c r="D1275"/>
    </row>
    <row r="1276" spans="1:4" x14ac:dyDescent="0.2">
      <c r="A1276"/>
      <c r="B1276"/>
      <c r="C1276"/>
      <c r="D1276"/>
    </row>
    <row r="1277" spans="1:4" x14ac:dyDescent="0.2">
      <c r="A1277"/>
      <c r="B1277"/>
      <c r="C1277"/>
      <c r="D1277"/>
    </row>
    <row r="1278" spans="1:4" x14ac:dyDescent="0.2">
      <c r="A1278"/>
      <c r="B1278"/>
      <c r="C1278"/>
      <c r="D1278"/>
    </row>
    <row r="1279" spans="1:4" x14ac:dyDescent="0.2">
      <c r="A1279"/>
      <c r="B1279"/>
      <c r="C1279"/>
      <c r="D1279"/>
    </row>
    <row r="1280" spans="1:4" x14ac:dyDescent="0.2">
      <c r="A1280"/>
      <c r="B1280"/>
      <c r="C1280"/>
      <c r="D1280"/>
    </row>
    <row r="1281" spans="1:4" x14ac:dyDescent="0.2">
      <c r="A1281"/>
      <c r="B1281"/>
      <c r="C1281"/>
      <c r="D1281"/>
    </row>
    <row r="1282" spans="1:4" x14ac:dyDescent="0.2">
      <c r="A1282"/>
      <c r="B1282"/>
      <c r="C1282"/>
      <c r="D1282"/>
    </row>
    <row r="1283" spans="1:4" x14ac:dyDescent="0.2">
      <c r="A1283"/>
      <c r="B1283"/>
      <c r="C1283"/>
      <c r="D1283"/>
    </row>
    <row r="1284" spans="1:4" x14ac:dyDescent="0.2">
      <c r="A1284"/>
      <c r="B1284"/>
      <c r="C1284"/>
      <c r="D1284"/>
    </row>
    <row r="1285" spans="1:4" x14ac:dyDescent="0.2">
      <c r="A1285"/>
      <c r="B1285"/>
      <c r="C1285"/>
      <c r="D1285"/>
    </row>
    <row r="1286" spans="1:4" x14ac:dyDescent="0.2">
      <c r="A1286"/>
      <c r="B1286"/>
      <c r="C1286"/>
      <c r="D1286"/>
    </row>
    <row r="1287" spans="1:4" x14ac:dyDescent="0.2">
      <c r="A1287"/>
      <c r="B1287"/>
      <c r="C1287"/>
      <c r="D1287"/>
    </row>
    <row r="1288" spans="1:4" x14ac:dyDescent="0.2">
      <c r="A1288"/>
      <c r="B1288"/>
      <c r="C1288"/>
      <c r="D1288"/>
    </row>
    <row r="1289" spans="1:4" x14ac:dyDescent="0.2">
      <c r="A1289"/>
      <c r="B1289"/>
      <c r="C1289"/>
      <c r="D1289"/>
    </row>
    <row r="1290" spans="1:4" x14ac:dyDescent="0.2">
      <c r="A1290"/>
      <c r="B1290"/>
      <c r="C1290"/>
      <c r="D1290"/>
    </row>
    <row r="1291" spans="1:4" x14ac:dyDescent="0.2">
      <c r="A1291"/>
      <c r="B1291"/>
      <c r="C1291"/>
      <c r="D1291"/>
    </row>
    <row r="1292" spans="1:4" x14ac:dyDescent="0.2">
      <c r="A1292"/>
      <c r="B1292"/>
      <c r="C1292"/>
      <c r="D1292"/>
    </row>
    <row r="1293" spans="1:4" x14ac:dyDescent="0.2">
      <c r="A1293"/>
      <c r="B1293"/>
      <c r="C1293"/>
      <c r="D1293"/>
    </row>
    <row r="1294" spans="1:4" x14ac:dyDescent="0.2">
      <c r="A1294"/>
      <c r="B1294"/>
      <c r="C1294"/>
      <c r="D1294"/>
    </row>
    <row r="1295" spans="1:4" x14ac:dyDescent="0.2">
      <c r="A1295"/>
      <c r="B1295"/>
      <c r="C1295"/>
      <c r="D1295"/>
    </row>
    <row r="1296" spans="1:4" x14ac:dyDescent="0.2">
      <c r="A1296"/>
      <c r="B1296"/>
      <c r="C1296"/>
      <c r="D1296"/>
    </row>
    <row r="1297" spans="1:4" x14ac:dyDescent="0.2">
      <c r="A1297"/>
      <c r="B1297"/>
      <c r="C1297"/>
      <c r="D1297"/>
    </row>
    <row r="1298" spans="1:4" x14ac:dyDescent="0.2">
      <c r="A1298"/>
      <c r="B1298"/>
      <c r="C1298"/>
      <c r="D1298"/>
    </row>
    <row r="1299" spans="1:4" x14ac:dyDescent="0.2">
      <c r="A1299"/>
      <c r="B1299"/>
      <c r="C1299"/>
      <c r="D1299"/>
    </row>
    <row r="1300" spans="1:4" x14ac:dyDescent="0.2">
      <c r="A1300"/>
      <c r="B1300"/>
      <c r="C1300"/>
      <c r="D1300"/>
    </row>
    <row r="1301" spans="1:4" x14ac:dyDescent="0.2">
      <c r="A1301"/>
      <c r="B1301"/>
      <c r="C1301"/>
      <c r="D1301"/>
    </row>
    <row r="1302" spans="1:4" x14ac:dyDescent="0.2">
      <c r="A1302"/>
      <c r="B1302"/>
      <c r="C1302"/>
      <c r="D1302"/>
    </row>
    <row r="1303" spans="1:4" x14ac:dyDescent="0.2">
      <c r="A1303"/>
      <c r="B1303"/>
      <c r="C1303"/>
      <c r="D1303"/>
    </row>
    <row r="1304" spans="1:4" x14ac:dyDescent="0.2">
      <c r="A1304"/>
      <c r="B1304"/>
      <c r="C1304"/>
      <c r="D1304"/>
    </row>
    <row r="1305" spans="1:4" x14ac:dyDescent="0.2">
      <c r="A1305"/>
      <c r="B1305"/>
      <c r="C1305"/>
      <c r="D1305"/>
    </row>
    <row r="1306" spans="1:4" x14ac:dyDescent="0.2">
      <c r="A1306"/>
      <c r="B1306"/>
      <c r="C1306"/>
      <c r="D1306"/>
    </row>
    <row r="1307" spans="1:4" x14ac:dyDescent="0.2">
      <c r="A1307"/>
      <c r="B1307"/>
      <c r="C1307"/>
      <c r="D1307"/>
    </row>
    <row r="1308" spans="1:4" x14ac:dyDescent="0.2">
      <c r="A1308"/>
      <c r="B1308"/>
      <c r="C1308"/>
      <c r="D1308"/>
    </row>
    <row r="1309" spans="1:4" x14ac:dyDescent="0.2">
      <c r="A1309"/>
      <c r="B1309"/>
      <c r="C1309"/>
      <c r="D1309"/>
    </row>
    <row r="1310" spans="1:4" x14ac:dyDescent="0.2">
      <c r="A1310"/>
      <c r="B1310"/>
      <c r="C1310"/>
      <c r="D1310"/>
    </row>
    <row r="1311" spans="1:4" x14ac:dyDescent="0.2">
      <c r="A1311"/>
      <c r="B1311"/>
      <c r="C1311"/>
      <c r="D1311"/>
    </row>
    <row r="1312" spans="1:4" x14ac:dyDescent="0.2">
      <c r="A1312"/>
      <c r="B1312"/>
      <c r="C1312"/>
      <c r="D1312"/>
    </row>
    <row r="1313" spans="1:4" x14ac:dyDescent="0.2">
      <c r="A1313"/>
      <c r="B1313"/>
      <c r="C1313"/>
      <c r="D1313"/>
    </row>
    <row r="1314" spans="1:4" x14ac:dyDescent="0.2">
      <c r="A1314"/>
      <c r="B1314"/>
      <c r="C1314"/>
      <c r="D1314"/>
    </row>
    <row r="1315" spans="1:4" x14ac:dyDescent="0.2">
      <c r="A1315"/>
      <c r="B1315"/>
      <c r="C1315"/>
      <c r="D1315"/>
    </row>
    <row r="1316" spans="1:4" x14ac:dyDescent="0.2">
      <c r="A1316"/>
      <c r="B1316"/>
      <c r="C1316"/>
      <c r="D1316"/>
    </row>
    <row r="1317" spans="1:4" x14ac:dyDescent="0.2">
      <c r="A1317"/>
      <c r="B1317"/>
      <c r="C1317"/>
      <c r="D1317"/>
    </row>
    <row r="1318" spans="1:4" x14ac:dyDescent="0.2">
      <c r="A1318"/>
      <c r="B1318"/>
      <c r="C1318"/>
      <c r="D1318"/>
    </row>
    <row r="1319" spans="1:4" x14ac:dyDescent="0.2">
      <c r="A1319"/>
      <c r="B1319"/>
      <c r="C1319"/>
      <c r="D1319"/>
    </row>
    <row r="1320" spans="1:4" x14ac:dyDescent="0.2">
      <c r="A1320"/>
      <c r="B1320"/>
      <c r="C1320"/>
      <c r="D1320"/>
    </row>
    <row r="1321" spans="1:4" x14ac:dyDescent="0.2">
      <c r="A1321"/>
      <c r="B1321"/>
      <c r="C1321"/>
      <c r="D1321"/>
    </row>
    <row r="1322" spans="1:4" x14ac:dyDescent="0.2">
      <c r="A1322"/>
      <c r="B1322"/>
      <c r="C1322"/>
      <c r="D1322"/>
    </row>
    <row r="1323" spans="1:4" x14ac:dyDescent="0.2">
      <c r="A1323"/>
      <c r="B1323"/>
      <c r="C1323"/>
      <c r="D1323"/>
    </row>
    <row r="1324" spans="1:4" x14ac:dyDescent="0.2">
      <c r="A1324"/>
      <c r="B1324"/>
      <c r="C1324"/>
      <c r="D1324"/>
    </row>
    <row r="1325" spans="1:4" x14ac:dyDescent="0.2">
      <c r="A1325"/>
      <c r="B1325"/>
      <c r="C1325"/>
      <c r="D1325"/>
    </row>
    <row r="1326" spans="1:4" x14ac:dyDescent="0.2">
      <c r="A1326"/>
      <c r="B1326"/>
      <c r="C1326"/>
      <c r="D1326"/>
    </row>
    <row r="1327" spans="1:4" x14ac:dyDescent="0.2">
      <c r="A1327"/>
      <c r="B1327"/>
      <c r="C1327"/>
      <c r="D1327"/>
    </row>
    <row r="1328" spans="1:4" x14ac:dyDescent="0.2">
      <c r="A1328"/>
      <c r="B1328"/>
      <c r="C1328"/>
      <c r="D1328"/>
    </row>
    <row r="1329" spans="1:4" x14ac:dyDescent="0.2">
      <c r="A1329"/>
      <c r="B1329"/>
      <c r="C1329"/>
      <c r="D1329"/>
    </row>
    <row r="1330" spans="1:4" x14ac:dyDescent="0.2">
      <c r="A1330"/>
      <c r="B1330"/>
      <c r="C1330"/>
      <c r="D1330"/>
    </row>
    <row r="1331" spans="1:4" x14ac:dyDescent="0.2">
      <c r="A1331"/>
      <c r="B1331"/>
      <c r="C1331"/>
      <c r="D1331"/>
    </row>
    <row r="1332" spans="1:4" x14ac:dyDescent="0.2">
      <c r="A1332"/>
      <c r="B1332"/>
      <c r="C1332"/>
      <c r="D1332"/>
    </row>
    <row r="1333" spans="1:4" x14ac:dyDescent="0.2">
      <c r="A1333"/>
      <c r="B1333"/>
      <c r="C1333"/>
      <c r="D1333"/>
    </row>
    <row r="1334" spans="1:4" x14ac:dyDescent="0.2">
      <c r="A1334"/>
      <c r="B1334"/>
      <c r="C1334"/>
      <c r="D1334"/>
    </row>
    <row r="1335" spans="1:4" x14ac:dyDescent="0.2">
      <c r="A1335"/>
      <c r="B1335"/>
      <c r="C1335"/>
      <c r="D1335"/>
    </row>
    <row r="1336" spans="1:4" x14ac:dyDescent="0.2">
      <c r="A1336"/>
      <c r="B1336"/>
      <c r="C1336"/>
      <c r="D1336"/>
    </row>
    <row r="1337" spans="1:4" x14ac:dyDescent="0.2">
      <c r="A1337"/>
      <c r="B1337"/>
      <c r="C1337"/>
      <c r="D1337"/>
    </row>
    <row r="1338" spans="1:4" x14ac:dyDescent="0.2">
      <c r="A1338"/>
      <c r="B1338"/>
      <c r="C1338"/>
      <c r="D1338"/>
    </row>
    <row r="1339" spans="1:4" x14ac:dyDescent="0.2">
      <c r="A1339"/>
      <c r="B1339"/>
      <c r="C1339"/>
      <c r="D1339"/>
    </row>
    <row r="1340" spans="1:4" x14ac:dyDescent="0.2">
      <c r="A1340"/>
      <c r="B1340"/>
      <c r="C1340"/>
      <c r="D1340"/>
    </row>
    <row r="1341" spans="1:4" x14ac:dyDescent="0.2">
      <c r="A1341"/>
      <c r="B1341"/>
      <c r="C1341"/>
      <c r="D1341"/>
    </row>
    <row r="1342" spans="1:4" x14ac:dyDescent="0.2">
      <c r="A1342"/>
      <c r="B1342"/>
      <c r="C1342"/>
      <c r="D1342"/>
    </row>
    <row r="1343" spans="1:4" x14ac:dyDescent="0.2">
      <c r="A1343"/>
      <c r="B1343"/>
      <c r="C1343"/>
      <c r="D1343"/>
    </row>
    <row r="1344" spans="1:4" x14ac:dyDescent="0.2">
      <c r="A1344"/>
      <c r="B1344"/>
      <c r="C1344"/>
      <c r="D1344"/>
    </row>
    <row r="1345" spans="1:4" x14ac:dyDescent="0.2">
      <c r="A1345"/>
      <c r="B1345"/>
      <c r="C1345"/>
      <c r="D1345"/>
    </row>
    <row r="1346" spans="1:4" x14ac:dyDescent="0.2">
      <c r="A1346"/>
      <c r="B1346"/>
      <c r="C1346"/>
      <c r="D1346"/>
    </row>
    <row r="1347" spans="1:4" x14ac:dyDescent="0.2">
      <c r="A1347"/>
      <c r="B1347"/>
      <c r="C1347"/>
      <c r="D1347"/>
    </row>
    <row r="1348" spans="1:4" x14ac:dyDescent="0.2">
      <c r="A1348"/>
      <c r="B1348"/>
      <c r="C1348"/>
      <c r="D1348"/>
    </row>
    <row r="1349" spans="1:4" x14ac:dyDescent="0.2">
      <c r="A1349"/>
      <c r="B1349"/>
      <c r="C1349"/>
      <c r="D1349"/>
    </row>
    <row r="1350" spans="1:4" x14ac:dyDescent="0.2">
      <c r="A1350"/>
      <c r="B1350"/>
      <c r="C1350"/>
      <c r="D1350"/>
    </row>
    <row r="1351" spans="1:4" x14ac:dyDescent="0.2">
      <c r="A1351"/>
      <c r="B1351"/>
      <c r="C1351"/>
      <c r="D1351"/>
    </row>
    <row r="1352" spans="1:4" x14ac:dyDescent="0.2">
      <c r="A1352"/>
      <c r="B1352"/>
      <c r="C1352"/>
      <c r="D1352"/>
    </row>
    <row r="1353" spans="1:4" x14ac:dyDescent="0.2">
      <c r="A1353"/>
      <c r="B1353"/>
      <c r="C1353"/>
      <c r="D1353"/>
    </row>
    <row r="1354" spans="1:4" x14ac:dyDescent="0.2">
      <c r="A1354"/>
      <c r="B1354"/>
      <c r="C1354"/>
      <c r="D1354"/>
    </row>
    <row r="1355" spans="1:4" x14ac:dyDescent="0.2">
      <c r="A1355"/>
      <c r="B1355"/>
      <c r="C1355"/>
      <c r="D1355"/>
    </row>
    <row r="1356" spans="1:4" x14ac:dyDescent="0.2">
      <c r="A1356"/>
      <c r="B1356"/>
      <c r="C1356"/>
      <c r="D1356"/>
    </row>
    <row r="1357" spans="1:4" x14ac:dyDescent="0.2">
      <c r="A1357"/>
      <c r="B1357"/>
      <c r="C1357"/>
      <c r="D1357"/>
    </row>
    <row r="1358" spans="1:4" x14ac:dyDescent="0.2">
      <c r="A1358"/>
      <c r="B1358"/>
      <c r="C1358"/>
      <c r="D1358"/>
    </row>
    <row r="1359" spans="1:4" x14ac:dyDescent="0.2">
      <c r="A1359"/>
      <c r="B1359"/>
      <c r="C1359"/>
      <c r="D1359"/>
    </row>
    <row r="1360" spans="1:4" x14ac:dyDescent="0.2">
      <c r="A1360"/>
      <c r="B1360"/>
      <c r="C1360"/>
      <c r="D1360"/>
    </row>
    <row r="1361" spans="1:4" x14ac:dyDescent="0.2">
      <c r="A1361"/>
      <c r="B1361"/>
      <c r="C1361"/>
      <c r="D1361"/>
    </row>
    <row r="1362" spans="1:4" x14ac:dyDescent="0.2">
      <c r="A1362"/>
      <c r="B1362"/>
      <c r="C1362"/>
      <c r="D1362"/>
    </row>
    <row r="1363" spans="1:4" x14ac:dyDescent="0.2">
      <c r="A1363"/>
      <c r="B1363"/>
      <c r="C1363"/>
      <c r="D1363"/>
    </row>
    <row r="1364" spans="1:4" x14ac:dyDescent="0.2">
      <c r="A1364"/>
      <c r="B1364"/>
      <c r="C1364"/>
      <c r="D1364"/>
    </row>
    <row r="1365" spans="1:4" x14ac:dyDescent="0.2">
      <c r="A1365"/>
      <c r="B1365"/>
      <c r="C1365"/>
      <c r="D1365"/>
    </row>
    <row r="1366" spans="1:4" x14ac:dyDescent="0.2">
      <c r="A1366"/>
      <c r="B1366"/>
      <c r="C1366"/>
      <c r="D1366"/>
    </row>
    <row r="1367" spans="1:4" x14ac:dyDescent="0.2">
      <c r="A1367"/>
      <c r="B1367"/>
      <c r="C1367"/>
      <c r="D1367"/>
    </row>
    <row r="1368" spans="1:4" x14ac:dyDescent="0.2">
      <c r="A1368"/>
      <c r="B1368"/>
      <c r="C1368"/>
      <c r="D1368"/>
    </row>
    <row r="1369" spans="1:4" x14ac:dyDescent="0.2">
      <c r="A1369"/>
      <c r="B1369"/>
      <c r="C1369"/>
      <c r="D1369"/>
    </row>
    <row r="1370" spans="1:4" x14ac:dyDescent="0.2">
      <c r="A1370"/>
      <c r="B1370"/>
      <c r="C1370"/>
      <c r="D1370"/>
    </row>
    <row r="1371" spans="1:4" x14ac:dyDescent="0.2">
      <c r="A1371"/>
      <c r="B1371"/>
      <c r="C1371"/>
      <c r="D1371"/>
    </row>
    <row r="1372" spans="1:4" x14ac:dyDescent="0.2">
      <c r="A1372"/>
      <c r="B1372"/>
      <c r="C1372"/>
      <c r="D1372"/>
    </row>
    <row r="1373" spans="1:4" x14ac:dyDescent="0.2">
      <c r="A1373"/>
      <c r="B1373"/>
      <c r="C1373"/>
      <c r="D1373"/>
    </row>
    <row r="1374" spans="1:4" x14ac:dyDescent="0.2">
      <c r="A1374"/>
      <c r="B1374"/>
      <c r="C1374"/>
      <c r="D1374"/>
    </row>
    <row r="1375" spans="1:4" x14ac:dyDescent="0.2">
      <c r="A1375"/>
      <c r="B1375"/>
      <c r="C1375"/>
      <c r="D1375"/>
    </row>
    <row r="1376" spans="1:4" x14ac:dyDescent="0.2">
      <c r="A1376"/>
      <c r="B1376"/>
      <c r="C1376"/>
      <c r="D1376"/>
    </row>
    <row r="1377" spans="1:4" x14ac:dyDescent="0.2">
      <c r="A1377"/>
      <c r="B1377"/>
      <c r="C1377"/>
      <c r="D1377"/>
    </row>
    <row r="1378" spans="1:4" x14ac:dyDescent="0.2">
      <c r="A1378"/>
      <c r="B1378"/>
      <c r="C1378"/>
      <c r="D1378"/>
    </row>
    <row r="1379" spans="1:4" x14ac:dyDescent="0.2">
      <c r="A1379"/>
      <c r="B1379"/>
      <c r="C1379"/>
      <c r="D1379"/>
    </row>
    <row r="1380" spans="1:4" x14ac:dyDescent="0.2">
      <c r="A1380"/>
      <c r="B1380"/>
      <c r="C1380"/>
      <c r="D1380"/>
    </row>
    <row r="1381" spans="1:4" x14ac:dyDescent="0.2">
      <c r="A1381"/>
      <c r="B1381"/>
      <c r="C1381"/>
      <c r="D1381"/>
    </row>
    <row r="1382" spans="1:4" x14ac:dyDescent="0.2">
      <c r="A1382"/>
      <c r="B1382"/>
      <c r="C1382"/>
      <c r="D1382"/>
    </row>
    <row r="1383" spans="1:4" x14ac:dyDescent="0.2">
      <c r="A1383"/>
      <c r="B1383"/>
      <c r="C1383"/>
      <c r="D1383"/>
    </row>
    <row r="1384" spans="1:4" x14ac:dyDescent="0.2">
      <c r="A1384"/>
      <c r="B1384"/>
      <c r="C1384"/>
      <c r="D1384"/>
    </row>
    <row r="1385" spans="1:4" x14ac:dyDescent="0.2">
      <c r="A1385"/>
      <c r="B1385"/>
      <c r="C1385"/>
      <c r="D1385"/>
    </row>
    <row r="1386" spans="1:4" x14ac:dyDescent="0.2">
      <c r="A1386"/>
      <c r="B1386"/>
      <c r="C1386"/>
      <c r="D1386"/>
    </row>
    <row r="1387" spans="1:4" x14ac:dyDescent="0.2">
      <c r="A1387"/>
      <c r="B1387"/>
      <c r="C1387"/>
      <c r="D1387"/>
    </row>
    <row r="1388" spans="1:4" x14ac:dyDescent="0.2">
      <c r="A1388"/>
      <c r="B1388"/>
      <c r="C1388"/>
      <c r="D1388"/>
    </row>
    <row r="1389" spans="1:4" x14ac:dyDescent="0.2">
      <c r="A1389"/>
      <c r="B1389"/>
      <c r="C1389"/>
      <c r="D1389"/>
    </row>
    <row r="1390" spans="1:4" x14ac:dyDescent="0.2">
      <c r="A1390"/>
      <c r="B1390"/>
      <c r="C1390"/>
      <c r="D1390"/>
    </row>
    <row r="1391" spans="1:4" x14ac:dyDescent="0.2">
      <c r="A1391"/>
      <c r="B1391"/>
      <c r="C1391"/>
      <c r="D1391"/>
    </row>
    <row r="1392" spans="1:4" x14ac:dyDescent="0.2">
      <c r="A1392"/>
      <c r="B1392"/>
      <c r="C1392"/>
      <c r="D1392"/>
    </row>
    <row r="1393" spans="1:4" x14ac:dyDescent="0.2">
      <c r="A1393"/>
      <c r="B1393"/>
      <c r="C1393"/>
      <c r="D1393"/>
    </row>
    <row r="1394" spans="1:4" x14ac:dyDescent="0.2">
      <c r="A1394"/>
      <c r="B1394"/>
      <c r="C1394"/>
      <c r="D1394"/>
    </row>
    <row r="1395" spans="1:4" x14ac:dyDescent="0.2">
      <c r="A1395"/>
      <c r="B1395"/>
      <c r="C1395"/>
      <c r="D1395"/>
    </row>
    <row r="1396" spans="1:4" x14ac:dyDescent="0.2">
      <c r="A1396"/>
      <c r="B1396"/>
      <c r="C1396"/>
      <c r="D1396"/>
    </row>
    <row r="1397" spans="1:4" x14ac:dyDescent="0.2">
      <c r="A1397"/>
      <c r="B1397"/>
      <c r="C1397"/>
      <c r="D1397"/>
    </row>
    <row r="1398" spans="1:4" x14ac:dyDescent="0.2">
      <c r="A1398"/>
      <c r="B1398"/>
      <c r="C1398"/>
      <c r="D1398"/>
    </row>
    <row r="1399" spans="1:4" x14ac:dyDescent="0.2">
      <c r="A1399"/>
      <c r="B1399"/>
      <c r="C1399"/>
      <c r="D1399"/>
    </row>
    <row r="1400" spans="1:4" x14ac:dyDescent="0.2">
      <c r="A1400"/>
      <c r="B1400"/>
      <c r="C1400"/>
      <c r="D1400"/>
    </row>
    <row r="1401" spans="1:4" x14ac:dyDescent="0.2">
      <c r="A1401"/>
      <c r="B1401"/>
      <c r="C1401"/>
      <c r="D1401"/>
    </row>
    <row r="1402" spans="1:4" x14ac:dyDescent="0.2">
      <c r="A1402"/>
      <c r="B1402"/>
      <c r="C1402"/>
      <c r="D1402"/>
    </row>
    <row r="1403" spans="1:4" x14ac:dyDescent="0.2">
      <c r="A1403"/>
      <c r="B1403"/>
      <c r="C1403"/>
      <c r="D1403"/>
    </row>
    <row r="1404" spans="1:4" x14ac:dyDescent="0.2">
      <c r="A1404"/>
      <c r="B1404"/>
      <c r="C1404"/>
      <c r="D1404"/>
    </row>
    <row r="1405" spans="1:4" x14ac:dyDescent="0.2">
      <c r="A1405"/>
      <c r="B1405"/>
      <c r="C1405"/>
      <c r="D1405"/>
    </row>
    <row r="1406" spans="1:4" x14ac:dyDescent="0.2">
      <c r="A1406"/>
      <c r="B1406"/>
      <c r="C1406"/>
      <c r="D1406"/>
    </row>
    <row r="1407" spans="1:4" x14ac:dyDescent="0.2">
      <c r="A1407"/>
      <c r="B1407"/>
      <c r="C1407"/>
      <c r="D1407"/>
    </row>
    <row r="1408" spans="1:4" x14ac:dyDescent="0.2">
      <c r="A1408"/>
      <c r="B1408"/>
      <c r="C1408"/>
      <c r="D1408"/>
    </row>
    <row r="1409" spans="1:4" x14ac:dyDescent="0.2">
      <c r="A1409"/>
      <c r="B1409"/>
      <c r="C1409"/>
      <c r="D1409"/>
    </row>
    <row r="1410" spans="1:4" x14ac:dyDescent="0.2">
      <c r="A1410"/>
      <c r="B1410"/>
      <c r="C1410"/>
      <c r="D1410"/>
    </row>
    <row r="1411" spans="1:4" x14ac:dyDescent="0.2">
      <c r="A1411"/>
      <c r="B1411"/>
      <c r="C1411"/>
      <c r="D1411"/>
    </row>
    <row r="1412" spans="1:4" x14ac:dyDescent="0.2">
      <c r="A1412"/>
      <c r="B1412"/>
      <c r="C1412"/>
      <c r="D1412"/>
    </row>
    <row r="1413" spans="1:4" x14ac:dyDescent="0.2">
      <c r="A1413"/>
      <c r="B1413"/>
      <c r="C1413"/>
      <c r="D1413"/>
    </row>
    <row r="1414" spans="1:4" x14ac:dyDescent="0.2">
      <c r="A1414"/>
      <c r="B1414"/>
      <c r="C1414"/>
      <c r="D1414"/>
    </row>
    <row r="1415" spans="1:4" x14ac:dyDescent="0.2">
      <c r="A1415"/>
      <c r="B1415"/>
      <c r="C1415"/>
      <c r="D1415"/>
    </row>
    <row r="1416" spans="1:4" x14ac:dyDescent="0.2">
      <c r="A1416"/>
      <c r="B1416"/>
      <c r="C1416"/>
      <c r="D1416"/>
    </row>
    <row r="1417" spans="1:4" x14ac:dyDescent="0.2">
      <c r="A1417"/>
      <c r="B1417"/>
      <c r="C1417"/>
      <c r="D1417"/>
    </row>
    <row r="1418" spans="1:4" x14ac:dyDescent="0.2">
      <c r="A1418"/>
      <c r="B1418"/>
      <c r="C1418"/>
      <c r="D1418"/>
    </row>
    <row r="1419" spans="1:4" x14ac:dyDescent="0.2">
      <c r="A1419"/>
      <c r="B1419"/>
      <c r="C1419"/>
      <c r="D1419"/>
    </row>
    <row r="1420" spans="1:4" x14ac:dyDescent="0.2">
      <c r="A1420"/>
      <c r="B1420"/>
      <c r="C1420"/>
      <c r="D1420"/>
    </row>
    <row r="1421" spans="1:4" x14ac:dyDescent="0.2">
      <c r="A1421"/>
      <c r="B1421"/>
      <c r="C1421"/>
      <c r="D1421"/>
    </row>
    <row r="1422" spans="1:4" x14ac:dyDescent="0.2">
      <c r="A1422"/>
      <c r="B1422"/>
      <c r="C1422"/>
      <c r="D1422"/>
    </row>
    <row r="1423" spans="1:4" x14ac:dyDescent="0.2">
      <c r="A1423"/>
      <c r="B1423"/>
      <c r="C1423"/>
      <c r="D1423"/>
    </row>
    <row r="1424" spans="1:4" x14ac:dyDescent="0.2">
      <c r="A1424"/>
      <c r="B1424"/>
      <c r="C1424"/>
      <c r="D1424"/>
    </row>
    <row r="1425" spans="1:4" x14ac:dyDescent="0.2">
      <c r="A1425"/>
      <c r="B1425"/>
      <c r="C1425"/>
      <c r="D1425"/>
    </row>
    <row r="1426" spans="1:4" x14ac:dyDescent="0.2">
      <c r="A1426"/>
      <c r="B1426"/>
      <c r="C1426"/>
      <c r="D1426"/>
    </row>
    <row r="1427" spans="1:4" x14ac:dyDescent="0.2">
      <c r="A1427"/>
      <c r="B1427"/>
      <c r="C1427"/>
      <c r="D1427"/>
    </row>
    <row r="1428" spans="1:4" x14ac:dyDescent="0.2">
      <c r="A1428"/>
      <c r="B1428"/>
      <c r="C1428"/>
      <c r="D1428"/>
    </row>
    <row r="1429" spans="1:4" x14ac:dyDescent="0.2">
      <c r="A1429"/>
      <c r="B1429"/>
      <c r="C1429"/>
      <c r="D1429"/>
    </row>
    <row r="1430" spans="1:4" x14ac:dyDescent="0.2">
      <c r="A1430"/>
      <c r="B1430"/>
      <c r="C1430"/>
      <c r="D1430"/>
    </row>
    <row r="1431" spans="1:4" x14ac:dyDescent="0.2">
      <c r="A1431"/>
      <c r="B1431"/>
      <c r="C1431"/>
      <c r="D1431"/>
    </row>
    <row r="1432" spans="1:4" x14ac:dyDescent="0.2">
      <c r="A1432"/>
      <c r="B1432"/>
      <c r="C1432"/>
      <c r="D1432"/>
    </row>
    <row r="1433" spans="1:4" x14ac:dyDescent="0.2">
      <c r="A1433"/>
      <c r="B1433"/>
      <c r="C1433"/>
      <c r="D1433"/>
    </row>
    <row r="1434" spans="1:4" x14ac:dyDescent="0.2">
      <c r="A1434"/>
      <c r="B1434"/>
      <c r="C1434"/>
      <c r="D1434"/>
    </row>
    <row r="1435" spans="1:4" x14ac:dyDescent="0.2">
      <c r="A1435"/>
      <c r="B1435"/>
      <c r="C1435"/>
      <c r="D1435"/>
    </row>
    <row r="1436" spans="1:4" x14ac:dyDescent="0.2">
      <c r="A1436"/>
      <c r="B1436"/>
      <c r="C1436"/>
      <c r="D1436"/>
    </row>
    <row r="1437" spans="1:4" x14ac:dyDescent="0.2">
      <c r="A1437"/>
      <c r="B1437"/>
      <c r="C1437"/>
      <c r="D1437"/>
    </row>
    <row r="1438" spans="1:4" x14ac:dyDescent="0.2">
      <c r="A1438"/>
      <c r="B1438"/>
      <c r="C1438"/>
      <c r="D1438"/>
    </row>
    <row r="1439" spans="1:4" x14ac:dyDescent="0.2">
      <c r="A1439"/>
      <c r="B1439"/>
      <c r="C1439"/>
      <c r="D1439"/>
    </row>
    <row r="1440" spans="1:4" x14ac:dyDescent="0.2">
      <c r="A1440"/>
      <c r="B1440"/>
      <c r="C1440"/>
      <c r="D1440"/>
    </row>
    <row r="1441" spans="1:4" x14ac:dyDescent="0.2">
      <c r="A1441"/>
      <c r="B1441"/>
      <c r="C1441"/>
      <c r="D1441"/>
    </row>
    <row r="1442" spans="1:4" x14ac:dyDescent="0.2">
      <c r="A1442"/>
      <c r="B1442"/>
      <c r="C1442"/>
      <c r="D1442"/>
    </row>
    <row r="1443" spans="1:4" x14ac:dyDescent="0.2">
      <c r="A1443"/>
      <c r="B1443"/>
      <c r="C1443"/>
      <c r="D1443"/>
    </row>
    <row r="1444" spans="1:4" x14ac:dyDescent="0.2">
      <c r="A1444"/>
      <c r="B1444"/>
      <c r="C1444"/>
      <c r="D1444"/>
    </row>
    <row r="1445" spans="1:4" x14ac:dyDescent="0.2">
      <c r="A1445"/>
      <c r="B1445"/>
      <c r="C1445"/>
      <c r="D1445"/>
    </row>
    <row r="1446" spans="1:4" x14ac:dyDescent="0.2">
      <c r="A1446"/>
      <c r="B1446"/>
      <c r="C1446"/>
      <c r="D1446"/>
    </row>
    <row r="1447" spans="1:4" x14ac:dyDescent="0.2">
      <c r="A1447"/>
      <c r="B1447"/>
      <c r="C1447"/>
      <c r="D1447"/>
    </row>
    <row r="1448" spans="1:4" x14ac:dyDescent="0.2">
      <c r="A1448"/>
      <c r="B1448"/>
      <c r="C1448"/>
      <c r="D1448"/>
    </row>
    <row r="1449" spans="1:4" x14ac:dyDescent="0.2">
      <c r="A1449"/>
      <c r="B1449"/>
      <c r="C1449"/>
      <c r="D1449"/>
    </row>
    <row r="1450" spans="1:4" x14ac:dyDescent="0.2">
      <c r="A1450"/>
      <c r="B1450"/>
      <c r="C1450"/>
      <c r="D1450"/>
    </row>
    <row r="1451" spans="1:4" x14ac:dyDescent="0.2">
      <c r="A1451"/>
      <c r="B1451"/>
      <c r="C1451"/>
      <c r="D1451"/>
    </row>
    <row r="1452" spans="1:4" x14ac:dyDescent="0.2">
      <c r="A1452"/>
      <c r="B1452"/>
      <c r="C1452"/>
      <c r="D1452"/>
    </row>
    <row r="1453" spans="1:4" x14ac:dyDescent="0.2">
      <c r="A1453"/>
      <c r="B1453"/>
      <c r="C1453"/>
      <c r="D1453"/>
    </row>
    <row r="1454" spans="1:4" x14ac:dyDescent="0.2">
      <c r="A1454"/>
      <c r="B1454"/>
      <c r="C1454"/>
      <c r="D1454"/>
    </row>
    <row r="1455" spans="1:4" x14ac:dyDescent="0.2">
      <c r="A1455"/>
      <c r="B1455"/>
      <c r="C1455"/>
      <c r="D1455"/>
    </row>
    <row r="1456" spans="1:4" x14ac:dyDescent="0.2">
      <c r="A1456"/>
      <c r="B1456"/>
      <c r="C1456"/>
      <c r="D1456"/>
    </row>
    <row r="1457" spans="1:4" x14ac:dyDescent="0.2">
      <c r="A1457"/>
      <c r="B1457"/>
      <c r="C1457"/>
      <c r="D1457"/>
    </row>
    <row r="1458" spans="1:4" x14ac:dyDescent="0.2">
      <c r="A1458"/>
      <c r="B1458"/>
      <c r="C1458"/>
      <c r="D1458"/>
    </row>
    <row r="1459" spans="1:4" x14ac:dyDescent="0.2">
      <c r="A1459"/>
      <c r="B1459"/>
      <c r="C1459"/>
      <c r="D1459"/>
    </row>
    <row r="1460" spans="1:4" x14ac:dyDescent="0.2">
      <c r="A1460"/>
      <c r="B1460"/>
      <c r="C1460"/>
      <c r="D1460"/>
    </row>
    <row r="1461" spans="1:4" x14ac:dyDescent="0.2">
      <c r="A1461"/>
      <c r="B1461"/>
      <c r="C1461"/>
      <c r="D1461"/>
    </row>
    <row r="1462" spans="1:4" x14ac:dyDescent="0.2">
      <c r="A1462"/>
      <c r="B1462"/>
      <c r="C1462"/>
      <c r="D1462"/>
    </row>
    <row r="1463" spans="1:4" x14ac:dyDescent="0.2">
      <c r="A1463"/>
      <c r="B1463"/>
      <c r="C1463"/>
      <c r="D1463"/>
    </row>
    <row r="1464" spans="1:4" x14ac:dyDescent="0.2">
      <c r="A1464"/>
      <c r="B1464"/>
      <c r="C1464"/>
      <c r="D1464"/>
    </row>
    <row r="1465" spans="1:4" x14ac:dyDescent="0.2">
      <c r="A1465"/>
      <c r="B1465"/>
      <c r="C1465"/>
      <c r="D1465"/>
    </row>
    <row r="1466" spans="1:4" x14ac:dyDescent="0.2">
      <c r="A1466"/>
      <c r="B1466"/>
      <c r="C1466"/>
      <c r="D1466"/>
    </row>
    <row r="1467" spans="1:4" x14ac:dyDescent="0.2">
      <c r="A1467"/>
      <c r="B1467"/>
      <c r="C1467"/>
      <c r="D1467"/>
    </row>
    <row r="1468" spans="1:4" x14ac:dyDescent="0.2">
      <c r="A1468"/>
      <c r="B1468"/>
      <c r="C1468"/>
      <c r="D1468"/>
    </row>
    <row r="1469" spans="1:4" x14ac:dyDescent="0.2">
      <c r="A1469"/>
      <c r="B1469"/>
      <c r="C1469"/>
      <c r="D1469"/>
    </row>
    <row r="1470" spans="1:4" x14ac:dyDescent="0.2">
      <c r="A1470"/>
      <c r="B1470"/>
      <c r="C1470"/>
      <c r="D1470"/>
    </row>
    <row r="1471" spans="1:4" x14ac:dyDescent="0.2">
      <c r="A1471"/>
      <c r="B1471"/>
      <c r="C1471"/>
      <c r="D1471"/>
    </row>
    <row r="1472" spans="1:4" x14ac:dyDescent="0.2">
      <c r="A1472"/>
      <c r="B1472"/>
      <c r="C1472"/>
      <c r="D1472"/>
    </row>
    <row r="1473" spans="1:4" x14ac:dyDescent="0.2">
      <c r="A1473"/>
      <c r="B1473"/>
      <c r="C1473"/>
      <c r="D1473"/>
    </row>
    <row r="1474" spans="1:4" x14ac:dyDescent="0.2">
      <c r="A1474"/>
      <c r="B1474"/>
      <c r="C1474"/>
      <c r="D1474"/>
    </row>
    <row r="1475" spans="1:4" x14ac:dyDescent="0.2">
      <c r="A1475"/>
      <c r="B1475"/>
      <c r="C1475"/>
      <c r="D1475"/>
    </row>
    <row r="1476" spans="1:4" x14ac:dyDescent="0.2">
      <c r="A1476"/>
      <c r="B1476"/>
      <c r="C1476"/>
      <c r="D1476"/>
    </row>
    <row r="1477" spans="1:4" x14ac:dyDescent="0.2">
      <c r="A1477"/>
      <c r="B1477"/>
      <c r="C1477"/>
      <c r="D1477"/>
    </row>
    <row r="1478" spans="1:4" x14ac:dyDescent="0.2">
      <c r="A1478"/>
      <c r="B1478"/>
      <c r="C1478"/>
      <c r="D1478"/>
    </row>
    <row r="1479" spans="1:4" x14ac:dyDescent="0.2">
      <c r="A1479"/>
      <c r="B1479"/>
      <c r="C1479"/>
      <c r="D1479"/>
    </row>
    <row r="1480" spans="1:4" x14ac:dyDescent="0.2">
      <c r="A1480"/>
      <c r="B1480"/>
      <c r="C1480"/>
      <c r="D1480"/>
    </row>
    <row r="1481" spans="1:4" x14ac:dyDescent="0.2">
      <c r="A1481"/>
      <c r="B1481"/>
      <c r="C1481"/>
      <c r="D1481"/>
    </row>
    <row r="1482" spans="1:4" x14ac:dyDescent="0.2">
      <c r="A1482"/>
      <c r="B1482"/>
      <c r="C1482"/>
      <c r="D1482"/>
    </row>
    <row r="1483" spans="1:4" x14ac:dyDescent="0.2">
      <c r="A1483"/>
      <c r="B1483"/>
      <c r="C1483"/>
      <c r="D1483"/>
    </row>
    <row r="1484" spans="1:4" x14ac:dyDescent="0.2">
      <c r="A1484"/>
      <c r="B1484"/>
      <c r="C1484"/>
      <c r="D1484"/>
    </row>
    <row r="1485" spans="1:4" x14ac:dyDescent="0.2">
      <c r="A1485"/>
      <c r="B1485"/>
      <c r="C1485"/>
      <c r="D1485"/>
    </row>
    <row r="1486" spans="1:4" x14ac:dyDescent="0.2">
      <c r="A1486"/>
      <c r="B1486"/>
      <c r="C1486"/>
      <c r="D1486"/>
    </row>
    <row r="1487" spans="1:4" x14ac:dyDescent="0.2">
      <c r="A1487"/>
      <c r="B1487"/>
      <c r="C1487"/>
      <c r="D1487"/>
    </row>
    <row r="1488" spans="1:4" x14ac:dyDescent="0.2">
      <c r="A1488"/>
      <c r="B1488"/>
      <c r="C1488"/>
      <c r="D1488"/>
    </row>
    <row r="1489" spans="1:4" x14ac:dyDescent="0.2">
      <c r="A1489"/>
      <c r="B1489"/>
      <c r="C1489"/>
      <c r="D1489"/>
    </row>
    <row r="1490" spans="1:4" x14ac:dyDescent="0.2">
      <c r="A1490"/>
      <c r="B1490"/>
      <c r="C1490"/>
      <c r="D1490"/>
    </row>
    <row r="1491" spans="1:4" x14ac:dyDescent="0.2">
      <c r="A1491"/>
      <c r="B1491"/>
      <c r="C1491"/>
      <c r="D1491"/>
    </row>
    <row r="1492" spans="1:4" x14ac:dyDescent="0.2">
      <c r="A1492"/>
      <c r="B1492"/>
      <c r="C1492"/>
      <c r="D1492"/>
    </row>
    <row r="1493" spans="1:4" x14ac:dyDescent="0.2">
      <c r="A1493"/>
      <c r="B1493"/>
      <c r="C1493"/>
      <c r="D1493"/>
    </row>
    <row r="1494" spans="1:4" x14ac:dyDescent="0.2">
      <c r="A1494"/>
      <c r="B1494"/>
      <c r="C1494"/>
      <c r="D1494"/>
    </row>
    <row r="1495" spans="1:4" x14ac:dyDescent="0.2">
      <c r="A1495"/>
      <c r="B1495"/>
      <c r="C1495"/>
      <c r="D1495"/>
    </row>
    <row r="1496" spans="1:4" x14ac:dyDescent="0.2">
      <c r="A1496"/>
      <c r="B1496"/>
      <c r="C1496"/>
      <c r="D1496"/>
    </row>
    <row r="1497" spans="1:4" x14ac:dyDescent="0.2">
      <c r="A1497"/>
      <c r="B1497"/>
      <c r="C1497"/>
      <c r="D1497"/>
    </row>
    <row r="1498" spans="1:4" x14ac:dyDescent="0.2">
      <c r="A1498"/>
      <c r="B1498"/>
      <c r="C1498"/>
      <c r="D1498"/>
    </row>
    <row r="1499" spans="1:4" x14ac:dyDescent="0.2">
      <c r="A1499"/>
      <c r="B1499"/>
      <c r="C1499"/>
      <c r="D1499"/>
    </row>
    <row r="1500" spans="1:4" x14ac:dyDescent="0.2">
      <c r="A1500"/>
      <c r="B1500"/>
      <c r="C1500"/>
      <c r="D1500"/>
    </row>
    <row r="1501" spans="1:4" x14ac:dyDescent="0.2">
      <c r="A1501"/>
      <c r="B1501"/>
      <c r="C1501"/>
      <c r="D1501"/>
    </row>
    <row r="1502" spans="1:4" x14ac:dyDescent="0.2">
      <c r="A1502"/>
      <c r="B1502"/>
      <c r="C1502"/>
      <c r="D1502"/>
    </row>
    <row r="1503" spans="1:4" x14ac:dyDescent="0.2">
      <c r="A1503"/>
      <c r="B1503"/>
      <c r="C1503"/>
      <c r="D1503"/>
    </row>
    <row r="1504" spans="1:4" x14ac:dyDescent="0.2">
      <c r="A1504"/>
      <c r="B1504"/>
      <c r="C1504"/>
      <c r="D1504"/>
    </row>
    <row r="1505" spans="1:4" x14ac:dyDescent="0.2">
      <c r="A1505"/>
      <c r="B1505"/>
      <c r="C1505"/>
      <c r="D1505"/>
    </row>
    <row r="1506" spans="1:4" x14ac:dyDescent="0.2">
      <c r="A1506"/>
      <c r="B1506"/>
      <c r="C1506"/>
      <c r="D1506"/>
    </row>
    <row r="1507" spans="1:4" x14ac:dyDescent="0.2">
      <c r="A1507"/>
      <c r="B1507"/>
      <c r="C1507"/>
      <c r="D1507"/>
    </row>
    <row r="1508" spans="1:4" x14ac:dyDescent="0.2">
      <c r="A1508"/>
      <c r="B1508"/>
      <c r="C1508"/>
      <c r="D1508"/>
    </row>
    <row r="1509" spans="1:4" x14ac:dyDescent="0.2">
      <c r="A1509"/>
      <c r="B1509"/>
      <c r="C1509"/>
      <c r="D1509"/>
    </row>
    <row r="1510" spans="1:4" x14ac:dyDescent="0.2">
      <c r="A1510"/>
      <c r="B1510"/>
      <c r="C1510"/>
      <c r="D1510"/>
    </row>
    <row r="1511" spans="1:4" x14ac:dyDescent="0.2">
      <c r="A1511"/>
      <c r="B1511"/>
      <c r="C1511"/>
      <c r="D1511"/>
    </row>
    <row r="1512" spans="1:4" x14ac:dyDescent="0.2">
      <c r="A1512"/>
      <c r="B1512"/>
      <c r="C1512"/>
      <c r="D1512"/>
    </row>
    <row r="1513" spans="1:4" x14ac:dyDescent="0.2">
      <c r="A1513"/>
      <c r="B1513"/>
      <c r="C1513"/>
      <c r="D1513"/>
    </row>
    <row r="1514" spans="1:4" x14ac:dyDescent="0.2">
      <c r="A1514"/>
      <c r="B1514"/>
      <c r="C1514"/>
      <c r="D1514"/>
    </row>
    <row r="1515" spans="1:4" x14ac:dyDescent="0.2">
      <c r="A1515"/>
      <c r="B1515"/>
      <c r="C1515"/>
      <c r="D1515"/>
    </row>
    <row r="1516" spans="1:4" x14ac:dyDescent="0.2">
      <c r="A1516"/>
      <c r="B1516"/>
      <c r="C1516"/>
      <c r="D1516"/>
    </row>
    <row r="1517" spans="1:4" x14ac:dyDescent="0.2">
      <c r="A1517"/>
      <c r="B1517"/>
      <c r="C1517"/>
      <c r="D1517"/>
    </row>
    <row r="1518" spans="1:4" x14ac:dyDescent="0.2">
      <c r="A1518"/>
      <c r="B1518"/>
      <c r="C1518"/>
      <c r="D1518"/>
    </row>
    <row r="1519" spans="1:4" x14ac:dyDescent="0.2">
      <c r="A1519"/>
      <c r="B1519"/>
      <c r="C1519"/>
      <c r="D1519"/>
    </row>
    <row r="1520" spans="1:4" x14ac:dyDescent="0.2">
      <c r="A1520"/>
      <c r="B1520"/>
      <c r="C1520"/>
      <c r="D1520"/>
    </row>
    <row r="1521" spans="1:4" x14ac:dyDescent="0.2">
      <c r="A1521"/>
      <c r="B1521"/>
      <c r="C1521"/>
      <c r="D1521"/>
    </row>
    <row r="1522" spans="1:4" x14ac:dyDescent="0.2">
      <c r="A1522"/>
      <c r="B1522"/>
      <c r="C1522"/>
      <c r="D1522"/>
    </row>
    <row r="1523" spans="1:4" x14ac:dyDescent="0.2">
      <c r="A1523"/>
      <c r="B1523"/>
      <c r="C1523"/>
      <c r="D1523"/>
    </row>
    <row r="1524" spans="1:4" x14ac:dyDescent="0.2">
      <c r="A1524"/>
      <c r="B1524"/>
      <c r="C1524"/>
      <c r="D1524"/>
    </row>
    <row r="1525" spans="1:4" x14ac:dyDescent="0.2">
      <c r="A1525"/>
      <c r="B1525"/>
      <c r="C1525"/>
      <c r="D1525"/>
    </row>
    <row r="1526" spans="1:4" x14ac:dyDescent="0.2">
      <c r="A1526"/>
      <c r="B1526"/>
      <c r="C1526"/>
      <c r="D1526"/>
    </row>
    <row r="1527" spans="1:4" x14ac:dyDescent="0.2">
      <c r="A1527"/>
      <c r="B1527"/>
      <c r="C1527"/>
      <c r="D1527"/>
    </row>
    <row r="1528" spans="1:4" x14ac:dyDescent="0.2">
      <c r="A1528"/>
      <c r="B1528"/>
      <c r="C1528"/>
      <c r="D1528"/>
    </row>
    <row r="1529" spans="1:4" x14ac:dyDescent="0.2">
      <c r="A1529"/>
      <c r="B1529"/>
      <c r="C1529"/>
      <c r="D1529"/>
    </row>
    <row r="1530" spans="1:4" x14ac:dyDescent="0.2">
      <c r="A1530"/>
      <c r="B1530"/>
      <c r="C1530"/>
      <c r="D1530"/>
    </row>
    <row r="1531" spans="1:4" x14ac:dyDescent="0.2">
      <c r="A1531"/>
      <c r="B1531"/>
      <c r="C1531"/>
      <c r="D1531"/>
    </row>
    <row r="1532" spans="1:4" x14ac:dyDescent="0.2">
      <c r="A1532"/>
      <c r="B1532"/>
      <c r="C1532"/>
      <c r="D1532"/>
    </row>
    <row r="1533" spans="1:4" x14ac:dyDescent="0.2">
      <c r="A1533"/>
      <c r="B1533"/>
      <c r="C1533"/>
      <c r="D1533"/>
    </row>
    <row r="1534" spans="1:4" x14ac:dyDescent="0.2">
      <c r="A1534"/>
      <c r="B1534"/>
      <c r="C1534"/>
      <c r="D1534"/>
    </row>
    <row r="1535" spans="1:4" x14ac:dyDescent="0.2">
      <c r="A1535"/>
      <c r="B1535"/>
      <c r="C1535"/>
      <c r="D1535"/>
    </row>
    <row r="1536" spans="1:4" x14ac:dyDescent="0.2">
      <c r="A1536"/>
      <c r="B1536"/>
      <c r="C1536"/>
      <c r="D1536"/>
    </row>
    <row r="1537" spans="1:4" x14ac:dyDescent="0.2">
      <c r="A1537"/>
      <c r="B1537"/>
      <c r="C1537"/>
      <c r="D1537"/>
    </row>
    <row r="1538" spans="1:4" x14ac:dyDescent="0.2">
      <c r="A1538"/>
      <c r="B1538"/>
      <c r="C1538"/>
      <c r="D1538"/>
    </row>
    <row r="1539" spans="1:4" x14ac:dyDescent="0.2">
      <c r="A1539"/>
      <c r="B1539"/>
      <c r="C1539"/>
      <c r="D1539"/>
    </row>
    <row r="1540" spans="1:4" x14ac:dyDescent="0.2">
      <c r="A1540"/>
      <c r="B1540"/>
      <c r="C1540"/>
      <c r="D1540"/>
    </row>
    <row r="1541" spans="1:4" x14ac:dyDescent="0.2">
      <c r="A1541"/>
      <c r="B1541"/>
      <c r="C1541"/>
      <c r="D1541"/>
    </row>
    <row r="1542" spans="1:4" x14ac:dyDescent="0.2">
      <c r="A1542"/>
      <c r="B1542"/>
      <c r="C1542"/>
      <c r="D1542"/>
    </row>
    <row r="1543" spans="1:4" x14ac:dyDescent="0.2">
      <c r="A1543"/>
      <c r="B1543"/>
      <c r="C1543"/>
      <c r="D1543"/>
    </row>
    <row r="1544" spans="1:4" x14ac:dyDescent="0.2">
      <c r="A1544"/>
      <c r="B1544"/>
      <c r="C1544"/>
      <c r="D1544"/>
    </row>
    <row r="1545" spans="1:4" x14ac:dyDescent="0.2">
      <c r="A1545"/>
      <c r="B1545"/>
      <c r="C1545"/>
      <c r="D1545"/>
    </row>
    <row r="1546" spans="1:4" x14ac:dyDescent="0.2">
      <c r="A1546"/>
      <c r="B1546"/>
      <c r="C1546"/>
      <c r="D1546"/>
    </row>
    <row r="1547" spans="1:4" x14ac:dyDescent="0.2">
      <c r="A1547"/>
      <c r="B1547"/>
      <c r="C1547"/>
      <c r="D1547"/>
    </row>
    <row r="1548" spans="1:4" x14ac:dyDescent="0.2">
      <c r="A1548"/>
      <c r="B1548"/>
      <c r="C1548"/>
      <c r="D1548"/>
    </row>
    <row r="1549" spans="1:4" x14ac:dyDescent="0.2">
      <c r="A1549"/>
      <c r="B1549"/>
      <c r="C1549"/>
      <c r="D1549"/>
    </row>
    <row r="1550" spans="1:4" x14ac:dyDescent="0.2">
      <c r="A1550"/>
      <c r="B1550"/>
      <c r="C1550"/>
      <c r="D1550"/>
    </row>
    <row r="1551" spans="1:4" x14ac:dyDescent="0.2">
      <c r="A1551"/>
      <c r="B1551"/>
      <c r="C1551"/>
      <c r="D1551"/>
    </row>
    <row r="1552" spans="1:4" x14ac:dyDescent="0.2">
      <c r="A1552"/>
      <c r="B1552"/>
      <c r="C1552"/>
      <c r="D1552"/>
    </row>
    <row r="1553" spans="1:4" x14ac:dyDescent="0.2">
      <c r="A1553"/>
      <c r="B1553"/>
      <c r="C1553"/>
      <c r="D1553"/>
    </row>
    <row r="1554" spans="1:4" x14ac:dyDescent="0.2">
      <c r="A1554"/>
      <c r="B1554"/>
      <c r="C1554"/>
      <c r="D1554"/>
    </row>
    <row r="1555" spans="1:4" x14ac:dyDescent="0.2">
      <c r="A1555"/>
      <c r="B1555"/>
      <c r="C1555"/>
      <c r="D1555"/>
    </row>
    <row r="1556" spans="1:4" x14ac:dyDescent="0.2">
      <c r="A1556"/>
      <c r="B1556"/>
      <c r="C1556"/>
      <c r="D1556"/>
    </row>
    <row r="1557" spans="1:4" x14ac:dyDescent="0.2">
      <c r="A1557"/>
      <c r="B1557"/>
      <c r="C1557"/>
      <c r="D1557"/>
    </row>
    <row r="1558" spans="1:4" x14ac:dyDescent="0.2">
      <c r="A1558"/>
      <c r="B1558"/>
      <c r="C1558"/>
      <c r="D1558"/>
    </row>
    <row r="1559" spans="1:4" x14ac:dyDescent="0.2">
      <c r="A1559"/>
      <c r="B1559"/>
      <c r="C1559"/>
      <c r="D1559"/>
    </row>
    <row r="1560" spans="1:4" x14ac:dyDescent="0.2">
      <c r="A1560"/>
      <c r="B1560"/>
      <c r="C1560"/>
      <c r="D1560"/>
    </row>
    <row r="1561" spans="1:4" x14ac:dyDescent="0.2">
      <c r="A1561"/>
      <c r="B1561"/>
      <c r="C1561"/>
      <c r="D1561"/>
    </row>
    <row r="1562" spans="1:4" x14ac:dyDescent="0.2">
      <c r="A1562"/>
      <c r="B1562"/>
      <c r="C1562"/>
      <c r="D1562"/>
    </row>
    <row r="1563" spans="1:4" x14ac:dyDescent="0.2">
      <c r="A1563"/>
      <c r="B1563"/>
      <c r="C1563"/>
      <c r="D1563"/>
    </row>
    <row r="1564" spans="1:4" x14ac:dyDescent="0.2">
      <c r="A1564"/>
      <c r="B1564"/>
      <c r="C1564"/>
      <c r="D1564"/>
    </row>
    <row r="1565" spans="1:4" x14ac:dyDescent="0.2">
      <c r="A1565"/>
      <c r="B1565"/>
      <c r="C1565"/>
      <c r="D1565"/>
    </row>
    <row r="1566" spans="1:4" x14ac:dyDescent="0.2">
      <c r="A1566"/>
      <c r="B1566"/>
      <c r="C1566"/>
      <c r="D1566"/>
    </row>
    <row r="1567" spans="1:4" x14ac:dyDescent="0.2">
      <c r="A1567"/>
      <c r="B1567"/>
      <c r="C1567"/>
      <c r="D1567"/>
    </row>
    <row r="1568" spans="1:4" x14ac:dyDescent="0.2">
      <c r="A1568"/>
      <c r="B1568"/>
      <c r="C1568"/>
      <c r="D1568"/>
    </row>
    <row r="1569" spans="1:4" x14ac:dyDescent="0.2">
      <c r="A1569"/>
      <c r="B1569"/>
      <c r="C1569"/>
      <c r="D1569"/>
    </row>
    <row r="1570" spans="1:4" x14ac:dyDescent="0.2">
      <c r="A1570"/>
      <c r="B1570"/>
      <c r="C1570"/>
      <c r="D1570"/>
    </row>
    <row r="1571" spans="1:4" x14ac:dyDescent="0.2">
      <c r="A1571"/>
      <c r="B1571"/>
      <c r="C1571"/>
      <c r="D1571"/>
    </row>
    <row r="1572" spans="1:4" x14ac:dyDescent="0.2">
      <c r="A1572"/>
      <c r="B1572"/>
      <c r="C1572"/>
      <c r="D1572"/>
    </row>
    <row r="1573" spans="1:4" x14ac:dyDescent="0.2">
      <c r="A1573"/>
      <c r="B1573"/>
      <c r="C1573"/>
      <c r="D1573"/>
    </row>
    <row r="1574" spans="1:4" x14ac:dyDescent="0.2">
      <c r="A1574"/>
      <c r="B1574"/>
      <c r="C1574"/>
      <c r="D1574"/>
    </row>
    <row r="1575" spans="1:4" x14ac:dyDescent="0.2">
      <c r="A1575"/>
      <c r="B1575"/>
      <c r="C1575"/>
      <c r="D1575"/>
    </row>
    <row r="1576" spans="1:4" x14ac:dyDescent="0.2">
      <c r="A1576"/>
      <c r="B1576"/>
      <c r="C1576"/>
      <c r="D1576"/>
    </row>
    <row r="1577" spans="1:4" x14ac:dyDescent="0.2">
      <c r="A1577"/>
      <c r="B1577"/>
      <c r="C1577"/>
      <c r="D1577"/>
    </row>
    <row r="1578" spans="1:4" x14ac:dyDescent="0.2">
      <c r="A1578"/>
      <c r="B1578"/>
      <c r="C1578"/>
      <c r="D1578"/>
    </row>
    <row r="1579" spans="1:4" x14ac:dyDescent="0.2">
      <c r="A1579"/>
      <c r="B1579"/>
      <c r="C1579"/>
      <c r="D1579"/>
    </row>
    <row r="1580" spans="1:4" x14ac:dyDescent="0.2">
      <c r="A1580"/>
      <c r="B1580"/>
      <c r="C1580"/>
      <c r="D1580"/>
    </row>
    <row r="1581" spans="1:4" x14ac:dyDescent="0.2">
      <c r="A1581"/>
      <c r="B1581"/>
      <c r="C1581"/>
      <c r="D1581"/>
    </row>
    <row r="1582" spans="1:4" x14ac:dyDescent="0.2">
      <c r="A1582"/>
      <c r="B1582"/>
      <c r="C1582"/>
      <c r="D1582"/>
    </row>
    <row r="1583" spans="1:4" x14ac:dyDescent="0.2">
      <c r="A1583"/>
      <c r="B1583"/>
      <c r="C1583"/>
      <c r="D1583"/>
    </row>
    <row r="1584" spans="1:4" x14ac:dyDescent="0.2">
      <c r="A1584"/>
      <c r="B1584"/>
      <c r="C1584"/>
      <c r="D1584"/>
    </row>
    <row r="1585" spans="1:4" x14ac:dyDescent="0.2">
      <c r="A1585"/>
      <c r="B1585"/>
      <c r="C1585"/>
      <c r="D1585"/>
    </row>
    <row r="1586" spans="1:4" x14ac:dyDescent="0.2">
      <c r="A1586"/>
      <c r="B1586"/>
      <c r="C1586"/>
      <c r="D1586"/>
    </row>
    <row r="1587" spans="1:4" x14ac:dyDescent="0.2">
      <c r="A1587"/>
      <c r="B1587"/>
      <c r="C1587"/>
      <c r="D1587"/>
    </row>
    <row r="1588" spans="1:4" x14ac:dyDescent="0.2">
      <c r="A1588"/>
      <c r="B1588"/>
      <c r="C1588"/>
      <c r="D1588"/>
    </row>
    <row r="1589" spans="1:4" x14ac:dyDescent="0.2">
      <c r="A1589"/>
      <c r="B1589"/>
      <c r="C1589"/>
      <c r="D1589"/>
    </row>
    <row r="1590" spans="1:4" x14ac:dyDescent="0.2">
      <c r="A1590"/>
      <c r="B1590"/>
      <c r="C1590"/>
      <c r="D1590"/>
    </row>
    <row r="1591" spans="1:4" x14ac:dyDescent="0.2">
      <c r="A1591"/>
      <c r="B1591"/>
      <c r="C1591"/>
      <c r="D1591"/>
    </row>
    <row r="1592" spans="1:4" x14ac:dyDescent="0.2">
      <c r="A1592"/>
      <c r="B1592"/>
      <c r="C1592"/>
      <c r="D1592"/>
    </row>
    <row r="1593" spans="1:4" x14ac:dyDescent="0.2">
      <c r="A1593"/>
      <c r="B1593"/>
      <c r="C1593"/>
      <c r="D1593"/>
    </row>
    <row r="1594" spans="1:4" x14ac:dyDescent="0.2">
      <c r="A1594"/>
      <c r="B1594"/>
      <c r="C1594"/>
      <c r="D1594"/>
    </row>
    <row r="1595" spans="1:4" x14ac:dyDescent="0.2">
      <c r="A1595"/>
      <c r="B1595"/>
      <c r="C1595"/>
      <c r="D1595"/>
    </row>
    <row r="1596" spans="1:4" x14ac:dyDescent="0.2">
      <c r="A1596"/>
      <c r="B1596"/>
      <c r="C1596"/>
      <c r="D1596"/>
    </row>
    <row r="1597" spans="1:4" x14ac:dyDescent="0.2">
      <c r="A1597"/>
      <c r="B1597"/>
      <c r="C1597"/>
      <c r="D1597"/>
    </row>
    <row r="1598" spans="1:4" x14ac:dyDescent="0.2">
      <c r="A1598"/>
      <c r="B1598"/>
      <c r="C1598"/>
      <c r="D1598"/>
    </row>
    <row r="1599" spans="1:4" x14ac:dyDescent="0.2">
      <c r="A1599"/>
      <c r="B1599"/>
      <c r="C1599"/>
      <c r="D1599"/>
    </row>
    <row r="1600" spans="1:4" x14ac:dyDescent="0.2">
      <c r="A1600"/>
      <c r="B1600"/>
      <c r="C1600"/>
      <c r="D1600"/>
    </row>
    <row r="1601" spans="1:4" x14ac:dyDescent="0.2">
      <c r="A1601"/>
      <c r="B1601"/>
      <c r="C1601"/>
      <c r="D1601"/>
    </row>
    <row r="1602" spans="1:4" x14ac:dyDescent="0.2">
      <c r="A1602"/>
      <c r="B1602"/>
      <c r="C1602"/>
      <c r="D1602"/>
    </row>
    <row r="1603" spans="1:4" x14ac:dyDescent="0.2">
      <c r="A1603"/>
      <c r="B1603"/>
      <c r="C1603"/>
      <c r="D1603"/>
    </row>
    <row r="1604" spans="1:4" x14ac:dyDescent="0.2">
      <c r="A1604"/>
      <c r="B1604"/>
      <c r="C1604"/>
      <c r="D1604"/>
    </row>
    <row r="1605" spans="1:4" x14ac:dyDescent="0.2">
      <c r="A1605"/>
      <c r="B1605"/>
      <c r="C1605"/>
      <c r="D1605"/>
    </row>
    <row r="1606" spans="1:4" x14ac:dyDescent="0.2">
      <c r="A1606"/>
      <c r="B1606"/>
      <c r="C1606"/>
      <c r="D1606"/>
    </row>
    <row r="1607" spans="1:4" x14ac:dyDescent="0.2">
      <c r="A1607"/>
      <c r="B1607"/>
      <c r="C1607"/>
      <c r="D1607"/>
    </row>
    <row r="1608" spans="1:4" x14ac:dyDescent="0.2">
      <c r="A1608"/>
      <c r="B1608"/>
      <c r="C1608"/>
      <c r="D1608"/>
    </row>
    <row r="1609" spans="1:4" x14ac:dyDescent="0.2">
      <c r="A1609"/>
      <c r="B1609"/>
      <c r="C1609"/>
      <c r="D1609"/>
    </row>
    <row r="1610" spans="1:4" x14ac:dyDescent="0.2">
      <c r="A1610"/>
      <c r="B1610"/>
      <c r="C1610"/>
      <c r="D1610"/>
    </row>
    <row r="1611" spans="1:4" x14ac:dyDescent="0.2">
      <c r="A1611"/>
      <c r="B1611"/>
      <c r="C1611"/>
      <c r="D1611"/>
    </row>
    <row r="1612" spans="1:4" x14ac:dyDescent="0.2">
      <c r="A1612"/>
      <c r="B1612"/>
      <c r="C1612"/>
      <c r="D1612"/>
    </row>
    <row r="1613" spans="1:4" x14ac:dyDescent="0.2">
      <c r="A1613"/>
      <c r="B1613"/>
      <c r="C1613"/>
      <c r="D1613"/>
    </row>
    <row r="1614" spans="1:4" x14ac:dyDescent="0.2">
      <c r="A1614"/>
      <c r="B1614"/>
      <c r="C1614"/>
      <c r="D1614"/>
    </row>
    <row r="1615" spans="1:4" x14ac:dyDescent="0.2">
      <c r="A1615"/>
      <c r="B1615"/>
      <c r="C1615"/>
      <c r="D1615"/>
    </row>
    <row r="1616" spans="1:4" x14ac:dyDescent="0.2">
      <c r="A1616"/>
      <c r="B1616"/>
      <c r="C1616"/>
      <c r="D1616"/>
    </row>
    <row r="1617" spans="1:4" x14ac:dyDescent="0.2">
      <c r="A1617"/>
      <c r="B1617"/>
      <c r="C1617"/>
      <c r="D1617"/>
    </row>
    <row r="1618" spans="1:4" x14ac:dyDescent="0.2">
      <c r="A1618"/>
      <c r="B1618"/>
      <c r="C1618"/>
      <c r="D1618"/>
    </row>
    <row r="1619" spans="1:4" x14ac:dyDescent="0.2">
      <c r="A1619"/>
      <c r="B1619"/>
      <c r="C1619"/>
      <c r="D1619"/>
    </row>
    <row r="1620" spans="1:4" x14ac:dyDescent="0.2">
      <c r="A1620"/>
      <c r="B1620"/>
      <c r="C1620"/>
      <c r="D1620"/>
    </row>
    <row r="1621" spans="1:4" x14ac:dyDescent="0.2">
      <c r="A1621"/>
      <c r="B1621"/>
      <c r="C1621"/>
      <c r="D1621"/>
    </row>
    <row r="1622" spans="1:4" x14ac:dyDescent="0.2">
      <c r="A1622"/>
      <c r="B1622"/>
      <c r="C1622"/>
      <c r="D1622"/>
    </row>
    <row r="1623" spans="1:4" x14ac:dyDescent="0.2">
      <c r="A1623"/>
      <c r="B1623"/>
      <c r="C1623"/>
      <c r="D1623"/>
    </row>
    <row r="1624" spans="1:4" x14ac:dyDescent="0.2">
      <c r="A1624"/>
      <c r="B1624"/>
      <c r="C1624"/>
      <c r="D1624"/>
    </row>
    <row r="1625" spans="1:4" x14ac:dyDescent="0.2">
      <c r="A1625"/>
      <c r="B1625"/>
      <c r="C1625"/>
      <c r="D1625"/>
    </row>
    <row r="1626" spans="1:4" x14ac:dyDescent="0.2">
      <c r="A1626"/>
      <c r="B1626"/>
      <c r="C1626"/>
      <c r="D1626"/>
    </row>
    <row r="1627" spans="1:4" x14ac:dyDescent="0.2">
      <c r="A1627"/>
      <c r="B1627"/>
      <c r="C1627"/>
      <c r="D1627"/>
    </row>
    <row r="1628" spans="1:4" x14ac:dyDescent="0.2">
      <c r="A1628"/>
      <c r="B1628"/>
      <c r="C1628"/>
      <c r="D1628"/>
    </row>
    <row r="1629" spans="1:4" x14ac:dyDescent="0.2">
      <c r="A1629"/>
      <c r="B1629"/>
      <c r="C1629"/>
      <c r="D1629"/>
    </row>
    <row r="1630" spans="1:4" x14ac:dyDescent="0.2">
      <c r="A1630"/>
      <c r="B1630"/>
      <c r="C1630"/>
      <c r="D1630"/>
    </row>
    <row r="1631" spans="1:4" x14ac:dyDescent="0.2">
      <c r="A1631"/>
      <c r="B1631"/>
      <c r="C1631"/>
      <c r="D1631"/>
    </row>
    <row r="1632" spans="1:4" x14ac:dyDescent="0.2">
      <c r="A1632"/>
      <c r="B1632"/>
      <c r="C1632"/>
      <c r="D1632"/>
    </row>
    <row r="1633" spans="1:4" x14ac:dyDescent="0.2">
      <c r="A1633"/>
      <c r="B1633"/>
      <c r="C1633"/>
      <c r="D1633"/>
    </row>
    <row r="1634" spans="1:4" x14ac:dyDescent="0.2">
      <c r="A1634"/>
      <c r="B1634"/>
      <c r="C1634"/>
      <c r="D1634"/>
    </row>
    <row r="1635" spans="1:4" x14ac:dyDescent="0.2">
      <c r="A1635"/>
      <c r="B1635"/>
      <c r="C1635"/>
      <c r="D1635"/>
    </row>
    <row r="1636" spans="1:4" x14ac:dyDescent="0.2">
      <c r="A1636"/>
      <c r="B1636"/>
      <c r="C1636"/>
      <c r="D1636"/>
    </row>
    <row r="1637" spans="1:4" x14ac:dyDescent="0.2">
      <c r="A1637"/>
      <c r="B1637"/>
      <c r="C1637"/>
      <c r="D1637"/>
    </row>
    <row r="1638" spans="1:4" x14ac:dyDescent="0.2">
      <c r="A1638"/>
      <c r="B1638"/>
      <c r="C1638"/>
      <c r="D1638"/>
    </row>
    <row r="1639" spans="1:4" x14ac:dyDescent="0.2">
      <c r="A1639"/>
      <c r="B1639"/>
      <c r="C1639"/>
      <c r="D1639"/>
    </row>
    <row r="1640" spans="1:4" x14ac:dyDescent="0.2">
      <c r="A1640"/>
      <c r="B1640"/>
      <c r="C1640"/>
      <c r="D1640"/>
    </row>
    <row r="1641" spans="1:4" x14ac:dyDescent="0.2">
      <c r="A1641"/>
      <c r="B1641"/>
      <c r="C1641"/>
      <c r="D1641"/>
    </row>
    <row r="1642" spans="1:4" x14ac:dyDescent="0.2">
      <c r="A1642"/>
      <c r="B1642"/>
      <c r="C1642"/>
      <c r="D1642"/>
    </row>
    <row r="1643" spans="1:4" x14ac:dyDescent="0.2">
      <c r="A1643"/>
      <c r="B1643"/>
      <c r="C1643"/>
      <c r="D1643"/>
    </row>
    <row r="1644" spans="1:4" x14ac:dyDescent="0.2">
      <c r="A1644"/>
      <c r="B1644"/>
      <c r="C1644"/>
      <c r="D1644"/>
    </row>
    <row r="1645" spans="1:4" x14ac:dyDescent="0.2">
      <c r="A1645"/>
      <c r="B1645"/>
      <c r="C1645"/>
      <c r="D1645"/>
    </row>
    <row r="1646" spans="1:4" x14ac:dyDescent="0.2">
      <c r="A1646"/>
      <c r="B1646"/>
      <c r="C1646"/>
      <c r="D1646"/>
    </row>
    <row r="1647" spans="1:4" x14ac:dyDescent="0.2">
      <c r="A1647"/>
      <c r="B1647"/>
      <c r="C1647"/>
      <c r="D1647"/>
    </row>
    <row r="1648" spans="1:4" x14ac:dyDescent="0.2">
      <c r="A1648"/>
      <c r="B1648"/>
      <c r="C1648"/>
      <c r="D1648"/>
    </row>
    <row r="1649" spans="1:4" x14ac:dyDescent="0.2">
      <c r="A1649"/>
      <c r="B1649"/>
      <c r="C1649"/>
      <c r="D1649"/>
    </row>
    <row r="1650" spans="1:4" x14ac:dyDescent="0.2">
      <c r="A1650"/>
      <c r="B1650"/>
      <c r="C1650"/>
      <c r="D1650"/>
    </row>
    <row r="1651" spans="1:4" x14ac:dyDescent="0.2">
      <c r="A1651"/>
      <c r="B1651"/>
      <c r="C1651"/>
      <c r="D1651"/>
    </row>
    <row r="1652" spans="1:4" x14ac:dyDescent="0.2">
      <c r="A1652"/>
      <c r="B1652"/>
      <c r="C1652"/>
      <c r="D1652"/>
    </row>
    <row r="1653" spans="1:4" x14ac:dyDescent="0.2">
      <c r="A1653"/>
      <c r="B1653"/>
      <c r="C1653"/>
      <c r="D1653"/>
    </row>
    <row r="1654" spans="1:4" x14ac:dyDescent="0.2">
      <c r="A1654"/>
      <c r="B1654"/>
      <c r="C1654"/>
      <c r="D1654"/>
    </row>
    <row r="1655" spans="1:4" x14ac:dyDescent="0.2">
      <c r="A1655"/>
      <c r="B1655"/>
      <c r="C1655"/>
      <c r="D1655"/>
    </row>
    <row r="1656" spans="1:4" x14ac:dyDescent="0.2">
      <c r="A1656"/>
      <c r="B1656"/>
      <c r="C1656"/>
      <c r="D1656"/>
    </row>
    <row r="1657" spans="1:4" x14ac:dyDescent="0.2">
      <c r="A1657"/>
      <c r="B1657"/>
      <c r="C1657"/>
      <c r="D1657"/>
    </row>
    <row r="1658" spans="1:4" x14ac:dyDescent="0.2">
      <c r="A1658"/>
      <c r="B1658"/>
      <c r="C1658"/>
      <c r="D1658"/>
    </row>
    <row r="1659" spans="1:4" x14ac:dyDescent="0.2">
      <c r="A1659"/>
      <c r="B1659"/>
      <c r="C1659"/>
      <c r="D1659"/>
    </row>
    <row r="1660" spans="1:4" x14ac:dyDescent="0.2">
      <c r="A1660"/>
      <c r="B1660"/>
      <c r="C1660"/>
      <c r="D1660"/>
    </row>
    <row r="1661" spans="1:4" x14ac:dyDescent="0.2">
      <c r="A1661"/>
      <c r="B1661"/>
      <c r="C1661"/>
      <c r="D1661"/>
    </row>
    <row r="1662" spans="1:4" x14ac:dyDescent="0.2">
      <c r="A1662"/>
      <c r="B1662"/>
      <c r="C1662"/>
      <c r="D1662"/>
    </row>
    <row r="1663" spans="1:4" x14ac:dyDescent="0.2">
      <c r="A1663"/>
      <c r="B1663"/>
      <c r="C1663"/>
      <c r="D1663"/>
    </row>
    <row r="1664" spans="1:4" x14ac:dyDescent="0.2">
      <c r="A1664"/>
      <c r="B1664"/>
      <c r="C1664"/>
      <c r="D1664"/>
    </row>
    <row r="1665" spans="1:4" x14ac:dyDescent="0.2">
      <c r="A1665"/>
      <c r="B1665"/>
      <c r="C1665"/>
      <c r="D1665"/>
    </row>
    <row r="1666" spans="1:4" x14ac:dyDescent="0.2">
      <c r="A1666"/>
      <c r="B1666"/>
      <c r="C1666"/>
      <c r="D1666"/>
    </row>
    <row r="1667" spans="1:4" x14ac:dyDescent="0.2">
      <c r="A1667"/>
      <c r="B1667"/>
      <c r="C1667"/>
      <c r="D1667"/>
    </row>
    <row r="1668" spans="1:4" x14ac:dyDescent="0.2">
      <c r="A1668"/>
      <c r="B1668"/>
      <c r="C1668"/>
      <c r="D1668"/>
    </row>
    <row r="1669" spans="1:4" x14ac:dyDescent="0.2">
      <c r="A1669"/>
      <c r="B1669"/>
      <c r="C1669"/>
      <c r="D1669"/>
    </row>
    <row r="1670" spans="1:4" x14ac:dyDescent="0.2">
      <c r="A1670"/>
      <c r="B1670"/>
      <c r="C1670"/>
      <c r="D1670"/>
    </row>
    <row r="1671" spans="1:4" x14ac:dyDescent="0.2">
      <c r="A1671"/>
      <c r="B1671"/>
      <c r="C1671"/>
      <c r="D1671"/>
    </row>
    <row r="1672" spans="1:4" x14ac:dyDescent="0.2">
      <c r="A1672"/>
      <c r="B1672"/>
      <c r="C1672"/>
      <c r="D1672"/>
    </row>
    <row r="1673" spans="1:4" x14ac:dyDescent="0.2">
      <c r="A1673"/>
      <c r="B1673"/>
      <c r="C1673"/>
      <c r="D1673"/>
    </row>
    <row r="1674" spans="1:4" x14ac:dyDescent="0.2">
      <c r="A1674"/>
      <c r="B1674"/>
      <c r="C1674"/>
      <c r="D1674"/>
    </row>
    <row r="1675" spans="1:4" x14ac:dyDescent="0.2">
      <c r="A1675"/>
      <c r="B1675"/>
      <c r="C1675"/>
      <c r="D1675"/>
    </row>
    <row r="1676" spans="1:4" x14ac:dyDescent="0.2">
      <c r="A1676"/>
      <c r="B1676"/>
      <c r="C1676"/>
      <c r="D1676"/>
    </row>
    <row r="1677" spans="1:4" x14ac:dyDescent="0.2">
      <c r="A1677"/>
      <c r="B1677"/>
      <c r="C1677"/>
      <c r="D1677"/>
    </row>
    <row r="1678" spans="1:4" x14ac:dyDescent="0.2">
      <c r="A1678"/>
      <c r="B1678"/>
      <c r="C1678"/>
      <c r="D1678"/>
    </row>
    <row r="1679" spans="1:4" x14ac:dyDescent="0.2">
      <c r="A1679"/>
      <c r="B1679"/>
      <c r="C1679"/>
      <c r="D1679"/>
    </row>
    <row r="1680" spans="1:4" x14ac:dyDescent="0.2">
      <c r="A1680"/>
      <c r="B1680"/>
      <c r="C1680"/>
      <c r="D1680"/>
    </row>
    <row r="1681" spans="1:4" x14ac:dyDescent="0.2">
      <c r="A1681"/>
      <c r="B1681"/>
      <c r="C1681"/>
      <c r="D1681"/>
    </row>
    <row r="1682" spans="1:4" x14ac:dyDescent="0.2">
      <c r="A1682"/>
      <c r="B1682"/>
      <c r="C1682"/>
      <c r="D1682"/>
    </row>
    <row r="1683" spans="1:4" x14ac:dyDescent="0.2">
      <c r="A1683"/>
      <c r="B1683"/>
      <c r="C1683"/>
      <c r="D1683"/>
    </row>
    <row r="1684" spans="1:4" x14ac:dyDescent="0.2">
      <c r="A1684"/>
      <c r="B1684"/>
      <c r="C1684"/>
      <c r="D1684"/>
    </row>
    <row r="1685" spans="1:4" x14ac:dyDescent="0.2">
      <c r="A1685"/>
      <c r="B1685"/>
      <c r="C1685"/>
      <c r="D1685"/>
    </row>
    <row r="1686" spans="1:4" x14ac:dyDescent="0.2">
      <c r="A1686"/>
      <c r="B1686"/>
      <c r="C1686"/>
      <c r="D1686"/>
    </row>
    <row r="1687" spans="1:4" x14ac:dyDescent="0.2">
      <c r="A1687"/>
      <c r="B1687"/>
      <c r="C1687"/>
      <c r="D1687"/>
    </row>
    <row r="1688" spans="1:4" x14ac:dyDescent="0.2">
      <c r="A1688"/>
      <c r="B1688"/>
      <c r="C1688"/>
      <c r="D1688"/>
    </row>
    <row r="1689" spans="1:4" x14ac:dyDescent="0.2">
      <c r="A1689"/>
      <c r="B1689"/>
      <c r="C1689"/>
      <c r="D1689"/>
    </row>
    <row r="1690" spans="1:4" x14ac:dyDescent="0.2">
      <c r="A1690"/>
      <c r="B1690"/>
      <c r="C1690"/>
      <c r="D1690"/>
    </row>
    <row r="1691" spans="1:4" x14ac:dyDescent="0.2">
      <c r="A1691"/>
      <c r="B1691"/>
      <c r="C1691"/>
      <c r="D1691"/>
    </row>
    <row r="1692" spans="1:4" x14ac:dyDescent="0.2">
      <c r="A1692"/>
      <c r="B1692"/>
      <c r="C1692"/>
      <c r="D1692"/>
    </row>
    <row r="1693" spans="1:4" x14ac:dyDescent="0.2">
      <c r="A1693"/>
      <c r="B1693"/>
      <c r="C1693"/>
      <c r="D1693"/>
    </row>
    <row r="1694" spans="1:4" x14ac:dyDescent="0.2">
      <c r="A1694"/>
      <c r="B1694"/>
      <c r="C1694"/>
      <c r="D1694"/>
    </row>
    <row r="1695" spans="1:4" x14ac:dyDescent="0.2">
      <c r="A1695"/>
      <c r="B1695"/>
      <c r="C1695"/>
      <c r="D1695"/>
    </row>
    <row r="1696" spans="1:4" x14ac:dyDescent="0.2">
      <c r="A1696"/>
      <c r="B1696"/>
      <c r="C1696"/>
      <c r="D1696"/>
    </row>
    <row r="1697" spans="1:4" x14ac:dyDescent="0.2">
      <c r="A1697"/>
      <c r="B1697"/>
      <c r="C1697"/>
      <c r="D1697"/>
    </row>
    <row r="1698" spans="1:4" x14ac:dyDescent="0.2">
      <c r="A1698"/>
      <c r="B1698"/>
      <c r="C1698"/>
      <c r="D1698"/>
    </row>
    <row r="1699" spans="1:4" x14ac:dyDescent="0.2">
      <c r="A1699"/>
      <c r="B1699"/>
      <c r="C1699"/>
      <c r="D1699"/>
    </row>
    <row r="1700" spans="1:4" x14ac:dyDescent="0.2">
      <c r="A1700"/>
      <c r="B1700"/>
      <c r="C1700"/>
      <c r="D1700"/>
    </row>
    <row r="1701" spans="1:4" x14ac:dyDescent="0.2">
      <c r="A1701"/>
      <c r="B1701"/>
      <c r="C1701"/>
      <c r="D1701"/>
    </row>
    <row r="1702" spans="1:4" x14ac:dyDescent="0.2">
      <c r="A1702"/>
      <c r="B1702"/>
      <c r="C1702"/>
      <c r="D1702"/>
    </row>
    <row r="1703" spans="1:4" x14ac:dyDescent="0.2">
      <c r="A1703"/>
      <c r="B1703"/>
      <c r="C1703"/>
      <c r="D1703"/>
    </row>
    <row r="1704" spans="1:4" x14ac:dyDescent="0.2">
      <c r="A1704"/>
      <c r="B1704"/>
      <c r="C1704"/>
      <c r="D1704"/>
    </row>
    <row r="1705" spans="1:4" x14ac:dyDescent="0.2">
      <c r="A1705"/>
      <c r="B1705"/>
      <c r="C1705"/>
      <c r="D1705"/>
    </row>
    <row r="1706" spans="1:4" x14ac:dyDescent="0.2">
      <c r="A1706"/>
      <c r="B1706"/>
      <c r="C1706"/>
      <c r="D1706"/>
    </row>
    <row r="1707" spans="1:4" x14ac:dyDescent="0.2">
      <c r="A1707"/>
      <c r="B1707"/>
      <c r="C1707"/>
      <c r="D1707"/>
    </row>
    <row r="1708" spans="1:4" x14ac:dyDescent="0.2">
      <c r="A1708"/>
      <c r="B1708"/>
      <c r="C1708"/>
      <c r="D1708"/>
    </row>
    <row r="1709" spans="1:4" x14ac:dyDescent="0.2">
      <c r="A1709"/>
      <c r="B1709"/>
      <c r="C1709"/>
      <c r="D1709"/>
    </row>
    <row r="1710" spans="1:4" x14ac:dyDescent="0.2">
      <c r="A1710"/>
      <c r="B1710"/>
      <c r="C1710"/>
      <c r="D1710"/>
    </row>
    <row r="1711" spans="1:4" x14ac:dyDescent="0.2">
      <c r="A1711"/>
      <c r="B1711"/>
      <c r="C1711"/>
      <c r="D1711"/>
    </row>
    <row r="1712" spans="1:4" x14ac:dyDescent="0.2">
      <c r="A1712"/>
      <c r="B1712"/>
      <c r="C1712"/>
      <c r="D1712"/>
    </row>
    <row r="1713" spans="1:4" x14ac:dyDescent="0.2">
      <c r="A1713"/>
      <c r="B1713"/>
      <c r="C1713"/>
      <c r="D1713"/>
    </row>
    <row r="1714" spans="1:4" x14ac:dyDescent="0.2">
      <c r="A1714"/>
      <c r="B1714"/>
      <c r="C1714"/>
      <c r="D1714"/>
    </row>
    <row r="1715" spans="1:4" x14ac:dyDescent="0.2">
      <c r="A1715"/>
      <c r="B1715"/>
      <c r="C1715"/>
      <c r="D1715"/>
    </row>
    <row r="1716" spans="1:4" x14ac:dyDescent="0.2">
      <c r="A1716"/>
      <c r="B1716"/>
      <c r="C1716"/>
      <c r="D1716"/>
    </row>
    <row r="1717" spans="1:4" x14ac:dyDescent="0.2">
      <c r="A1717"/>
      <c r="B1717"/>
      <c r="C1717"/>
      <c r="D1717"/>
    </row>
    <row r="1718" spans="1:4" x14ac:dyDescent="0.2">
      <c r="A1718"/>
      <c r="B1718"/>
      <c r="C1718"/>
      <c r="D1718"/>
    </row>
    <row r="1719" spans="1:4" x14ac:dyDescent="0.2">
      <c r="A1719"/>
      <c r="B1719"/>
      <c r="C1719"/>
      <c r="D1719"/>
    </row>
    <row r="1720" spans="1:4" x14ac:dyDescent="0.2">
      <c r="A1720"/>
      <c r="B1720"/>
      <c r="C1720"/>
      <c r="D1720"/>
    </row>
    <row r="1721" spans="1:4" x14ac:dyDescent="0.2">
      <c r="A1721"/>
      <c r="B1721"/>
      <c r="C1721"/>
      <c r="D1721"/>
    </row>
    <row r="1722" spans="1:4" x14ac:dyDescent="0.2">
      <c r="A1722"/>
      <c r="B1722"/>
      <c r="C1722"/>
      <c r="D1722"/>
    </row>
    <row r="1723" spans="1:4" x14ac:dyDescent="0.2">
      <c r="A1723"/>
      <c r="B1723"/>
      <c r="C1723"/>
      <c r="D1723"/>
    </row>
    <row r="1724" spans="1:4" x14ac:dyDescent="0.2">
      <c r="A1724"/>
      <c r="B1724"/>
      <c r="C1724"/>
      <c r="D1724"/>
    </row>
    <row r="1725" spans="1:4" x14ac:dyDescent="0.2">
      <c r="A1725"/>
      <c r="B1725"/>
      <c r="C1725"/>
      <c r="D1725"/>
    </row>
    <row r="1726" spans="1:4" x14ac:dyDescent="0.2">
      <c r="A1726"/>
      <c r="B1726"/>
      <c r="C1726"/>
      <c r="D1726"/>
    </row>
    <row r="1727" spans="1:4" x14ac:dyDescent="0.2">
      <c r="A1727"/>
      <c r="B1727"/>
      <c r="C1727"/>
      <c r="D1727"/>
    </row>
    <row r="1728" spans="1:4" x14ac:dyDescent="0.2">
      <c r="A1728"/>
      <c r="B1728"/>
      <c r="C1728"/>
      <c r="D1728"/>
    </row>
    <row r="1729" spans="1:4" x14ac:dyDescent="0.2">
      <c r="A1729"/>
      <c r="B1729"/>
      <c r="C1729"/>
      <c r="D1729"/>
    </row>
    <row r="1730" spans="1:4" x14ac:dyDescent="0.2">
      <c r="A1730"/>
      <c r="B1730"/>
      <c r="C1730"/>
      <c r="D1730"/>
    </row>
    <row r="1731" spans="1:4" x14ac:dyDescent="0.2">
      <c r="A1731"/>
      <c r="B1731"/>
      <c r="C1731"/>
      <c r="D1731"/>
    </row>
    <row r="1732" spans="1:4" x14ac:dyDescent="0.2">
      <c r="A1732"/>
      <c r="B1732"/>
      <c r="C1732"/>
      <c r="D1732"/>
    </row>
    <row r="1733" spans="1:4" x14ac:dyDescent="0.2">
      <c r="A1733"/>
      <c r="B1733"/>
      <c r="C1733"/>
      <c r="D1733"/>
    </row>
    <row r="1734" spans="1:4" x14ac:dyDescent="0.2">
      <c r="A1734"/>
      <c r="B1734"/>
      <c r="C1734"/>
      <c r="D1734"/>
    </row>
    <row r="1735" spans="1:4" x14ac:dyDescent="0.2">
      <c r="A1735"/>
      <c r="B1735"/>
      <c r="C1735"/>
      <c r="D1735"/>
    </row>
    <row r="1736" spans="1:4" x14ac:dyDescent="0.2">
      <c r="A1736"/>
      <c r="B1736"/>
      <c r="C1736"/>
      <c r="D1736"/>
    </row>
    <row r="1737" spans="1:4" x14ac:dyDescent="0.2">
      <c r="A1737"/>
      <c r="B1737"/>
      <c r="C1737"/>
      <c r="D1737"/>
    </row>
    <row r="1738" spans="1:4" x14ac:dyDescent="0.2">
      <c r="A1738"/>
      <c r="B1738"/>
      <c r="C1738"/>
      <c r="D1738"/>
    </row>
    <row r="1739" spans="1:4" x14ac:dyDescent="0.2">
      <c r="A1739"/>
      <c r="B1739"/>
      <c r="C1739"/>
      <c r="D1739"/>
    </row>
    <row r="1740" spans="1:4" x14ac:dyDescent="0.2">
      <c r="A1740"/>
      <c r="B1740"/>
      <c r="C1740"/>
      <c r="D1740"/>
    </row>
    <row r="1741" spans="1:4" x14ac:dyDescent="0.2">
      <c r="A1741"/>
      <c r="B1741"/>
      <c r="C1741"/>
      <c r="D1741"/>
    </row>
    <row r="1742" spans="1:4" x14ac:dyDescent="0.2">
      <c r="A1742"/>
      <c r="B1742"/>
      <c r="C1742"/>
      <c r="D1742"/>
    </row>
    <row r="1743" spans="1:4" x14ac:dyDescent="0.2">
      <c r="A1743"/>
      <c r="B1743"/>
      <c r="C1743"/>
      <c r="D1743"/>
    </row>
    <row r="1744" spans="1:4" x14ac:dyDescent="0.2">
      <c r="A1744"/>
      <c r="B1744"/>
      <c r="C1744"/>
      <c r="D1744"/>
    </row>
    <row r="1745" spans="1:4" x14ac:dyDescent="0.2">
      <c r="A1745"/>
      <c r="B1745"/>
      <c r="C1745"/>
      <c r="D1745"/>
    </row>
    <row r="1746" spans="1:4" x14ac:dyDescent="0.2">
      <c r="A1746"/>
      <c r="B1746"/>
      <c r="C1746"/>
      <c r="D1746"/>
    </row>
    <row r="1747" spans="1:4" x14ac:dyDescent="0.2">
      <c r="A1747"/>
      <c r="B1747"/>
      <c r="C1747"/>
      <c r="D1747"/>
    </row>
    <row r="1748" spans="1:4" x14ac:dyDescent="0.2">
      <c r="A1748"/>
      <c r="B1748"/>
      <c r="C1748"/>
      <c r="D1748"/>
    </row>
    <row r="1749" spans="1:4" x14ac:dyDescent="0.2">
      <c r="A1749"/>
      <c r="B1749"/>
      <c r="C1749"/>
      <c r="D1749"/>
    </row>
    <row r="1750" spans="1:4" x14ac:dyDescent="0.2">
      <c r="A1750"/>
      <c r="B1750"/>
      <c r="C1750"/>
      <c r="D1750"/>
    </row>
    <row r="1751" spans="1:4" x14ac:dyDescent="0.2">
      <c r="A1751"/>
      <c r="B1751"/>
      <c r="C1751"/>
      <c r="D1751"/>
    </row>
    <row r="1752" spans="1:4" x14ac:dyDescent="0.2">
      <c r="A1752"/>
      <c r="B1752"/>
      <c r="C1752"/>
      <c r="D1752"/>
    </row>
    <row r="1753" spans="1:4" x14ac:dyDescent="0.2">
      <c r="A1753"/>
      <c r="B1753"/>
      <c r="C1753"/>
      <c r="D1753"/>
    </row>
    <row r="1754" spans="1:4" x14ac:dyDescent="0.2">
      <c r="A1754"/>
      <c r="B1754"/>
      <c r="C1754"/>
      <c r="D1754"/>
    </row>
    <row r="1755" spans="1:4" x14ac:dyDescent="0.2">
      <c r="A1755"/>
      <c r="B1755"/>
      <c r="C1755"/>
      <c r="D1755"/>
    </row>
    <row r="1756" spans="1:4" x14ac:dyDescent="0.2">
      <c r="A1756"/>
      <c r="B1756"/>
      <c r="C1756"/>
      <c r="D1756"/>
    </row>
    <row r="1757" spans="1:4" x14ac:dyDescent="0.2">
      <c r="A1757"/>
      <c r="B1757"/>
      <c r="C1757"/>
      <c r="D1757"/>
    </row>
    <row r="1758" spans="1:4" x14ac:dyDescent="0.2">
      <c r="A1758"/>
      <c r="B1758"/>
      <c r="C1758"/>
      <c r="D1758"/>
    </row>
    <row r="1759" spans="1:4" x14ac:dyDescent="0.2">
      <c r="A1759"/>
      <c r="B1759"/>
      <c r="C1759"/>
      <c r="D1759"/>
    </row>
    <row r="1760" spans="1:4" x14ac:dyDescent="0.2">
      <c r="A1760"/>
      <c r="B1760"/>
      <c r="C1760"/>
      <c r="D1760"/>
    </row>
    <row r="1761" spans="1:4" x14ac:dyDescent="0.2">
      <c r="A1761"/>
      <c r="B1761"/>
      <c r="C1761"/>
      <c r="D1761"/>
    </row>
    <row r="1762" spans="1:4" x14ac:dyDescent="0.2">
      <c r="A1762"/>
      <c r="B1762"/>
      <c r="C1762"/>
      <c r="D1762"/>
    </row>
    <row r="1763" spans="1:4" x14ac:dyDescent="0.2">
      <c r="A1763"/>
      <c r="B1763"/>
      <c r="C1763"/>
      <c r="D1763"/>
    </row>
    <row r="1764" spans="1:4" x14ac:dyDescent="0.2">
      <c r="A1764"/>
      <c r="B1764"/>
      <c r="C1764"/>
      <c r="D1764"/>
    </row>
    <row r="1765" spans="1:4" x14ac:dyDescent="0.2">
      <c r="A1765"/>
      <c r="B1765"/>
      <c r="C1765"/>
      <c r="D1765"/>
    </row>
    <row r="1766" spans="1:4" x14ac:dyDescent="0.2">
      <c r="A1766"/>
      <c r="B1766"/>
      <c r="C1766"/>
      <c r="D1766"/>
    </row>
    <row r="1767" spans="1:4" x14ac:dyDescent="0.2">
      <c r="A1767"/>
      <c r="B1767"/>
      <c r="C1767"/>
      <c r="D1767"/>
    </row>
    <row r="1768" spans="1:4" x14ac:dyDescent="0.2">
      <c r="A1768"/>
      <c r="B1768"/>
      <c r="C1768"/>
      <c r="D1768"/>
    </row>
    <row r="1769" spans="1:4" x14ac:dyDescent="0.2">
      <c r="A1769"/>
      <c r="B1769"/>
      <c r="C1769"/>
      <c r="D1769"/>
    </row>
    <row r="1770" spans="1:4" x14ac:dyDescent="0.2">
      <c r="A1770"/>
      <c r="B1770"/>
      <c r="C1770"/>
      <c r="D1770"/>
    </row>
    <row r="1771" spans="1:4" x14ac:dyDescent="0.2">
      <c r="A1771"/>
      <c r="B1771"/>
      <c r="C1771"/>
      <c r="D1771"/>
    </row>
    <row r="1772" spans="1:4" x14ac:dyDescent="0.2">
      <c r="A1772"/>
      <c r="B1772"/>
      <c r="C1772"/>
      <c r="D1772"/>
    </row>
    <row r="1773" spans="1:4" x14ac:dyDescent="0.2">
      <c r="A1773"/>
      <c r="B1773"/>
      <c r="C1773"/>
      <c r="D1773"/>
    </row>
    <row r="1774" spans="1:4" x14ac:dyDescent="0.2">
      <c r="A1774"/>
      <c r="B1774"/>
      <c r="C1774"/>
      <c r="D1774"/>
    </row>
    <row r="1775" spans="1:4" x14ac:dyDescent="0.2">
      <c r="A1775"/>
      <c r="B1775"/>
      <c r="C1775"/>
      <c r="D1775"/>
    </row>
    <row r="1776" spans="1:4" x14ac:dyDescent="0.2">
      <c r="A1776"/>
      <c r="B1776"/>
      <c r="C1776"/>
      <c r="D1776"/>
    </row>
    <row r="1777" spans="1:4" x14ac:dyDescent="0.2">
      <c r="A1777"/>
      <c r="B1777"/>
      <c r="C1777"/>
      <c r="D1777"/>
    </row>
    <row r="1778" spans="1:4" x14ac:dyDescent="0.2">
      <c r="A1778"/>
      <c r="B1778"/>
      <c r="C1778"/>
      <c r="D1778"/>
    </row>
    <row r="1779" spans="1:4" x14ac:dyDescent="0.2">
      <c r="A1779"/>
      <c r="B1779"/>
      <c r="C1779"/>
      <c r="D1779"/>
    </row>
    <row r="1780" spans="1:4" x14ac:dyDescent="0.2">
      <c r="A1780"/>
      <c r="B1780"/>
      <c r="C1780"/>
      <c r="D1780"/>
    </row>
    <row r="1781" spans="1:4" x14ac:dyDescent="0.2">
      <c r="A1781"/>
      <c r="B1781"/>
      <c r="C1781"/>
      <c r="D1781"/>
    </row>
    <row r="1782" spans="1:4" x14ac:dyDescent="0.2">
      <c r="A1782"/>
      <c r="B1782"/>
      <c r="C1782"/>
      <c r="D1782"/>
    </row>
    <row r="1783" spans="1:4" x14ac:dyDescent="0.2">
      <c r="A1783"/>
      <c r="B1783"/>
      <c r="C1783"/>
      <c r="D1783"/>
    </row>
    <row r="1784" spans="1:4" x14ac:dyDescent="0.2">
      <c r="A1784"/>
      <c r="B1784"/>
      <c r="C1784"/>
      <c r="D1784"/>
    </row>
    <row r="1785" spans="1:4" x14ac:dyDescent="0.2">
      <c r="A1785"/>
      <c r="B1785"/>
      <c r="C1785"/>
      <c r="D1785"/>
    </row>
    <row r="1786" spans="1:4" x14ac:dyDescent="0.2">
      <c r="A1786"/>
      <c r="B1786"/>
      <c r="C1786"/>
      <c r="D1786"/>
    </row>
    <row r="1787" spans="1:4" x14ac:dyDescent="0.2">
      <c r="A1787"/>
      <c r="B1787"/>
      <c r="C1787"/>
      <c r="D1787"/>
    </row>
    <row r="1788" spans="1:4" x14ac:dyDescent="0.2">
      <c r="A1788"/>
      <c r="B1788"/>
      <c r="C1788"/>
      <c r="D1788"/>
    </row>
    <row r="1789" spans="1:4" x14ac:dyDescent="0.2">
      <c r="A1789"/>
      <c r="B1789"/>
      <c r="C1789"/>
      <c r="D1789"/>
    </row>
    <row r="1790" spans="1:4" x14ac:dyDescent="0.2">
      <c r="A1790"/>
      <c r="B1790"/>
      <c r="C1790"/>
      <c r="D1790"/>
    </row>
    <row r="1791" spans="1:4" x14ac:dyDescent="0.2">
      <c r="A1791"/>
      <c r="B1791"/>
      <c r="C1791"/>
      <c r="D1791"/>
    </row>
    <row r="1792" spans="1:4" x14ac:dyDescent="0.2">
      <c r="A1792"/>
      <c r="B1792"/>
      <c r="C1792"/>
      <c r="D1792"/>
    </row>
    <row r="1793" spans="1:4" x14ac:dyDescent="0.2">
      <c r="A1793"/>
      <c r="B1793"/>
      <c r="C1793"/>
      <c r="D1793"/>
    </row>
    <row r="1794" spans="1:4" x14ac:dyDescent="0.2">
      <c r="A1794"/>
      <c r="B1794"/>
      <c r="C1794"/>
      <c r="D1794"/>
    </row>
    <row r="1795" spans="1:4" x14ac:dyDescent="0.2">
      <c r="A1795"/>
      <c r="B1795"/>
      <c r="C1795"/>
      <c r="D1795"/>
    </row>
    <row r="1796" spans="1:4" x14ac:dyDescent="0.2">
      <c r="A1796"/>
      <c r="B1796"/>
      <c r="C1796"/>
      <c r="D1796"/>
    </row>
    <row r="1797" spans="1:4" x14ac:dyDescent="0.2">
      <c r="A1797"/>
      <c r="B1797"/>
      <c r="C1797"/>
      <c r="D1797"/>
    </row>
    <row r="1798" spans="1:4" x14ac:dyDescent="0.2">
      <c r="A1798"/>
      <c r="B1798"/>
      <c r="C1798"/>
      <c r="D1798"/>
    </row>
    <row r="1799" spans="1:4" x14ac:dyDescent="0.2">
      <c r="A1799"/>
      <c r="B1799"/>
      <c r="C1799"/>
      <c r="D1799"/>
    </row>
    <row r="1800" spans="1:4" x14ac:dyDescent="0.2">
      <c r="A1800"/>
      <c r="B1800"/>
      <c r="C1800"/>
      <c r="D1800"/>
    </row>
    <row r="1801" spans="1:4" x14ac:dyDescent="0.2">
      <c r="A1801"/>
      <c r="B1801"/>
      <c r="C1801"/>
      <c r="D1801"/>
    </row>
    <row r="1802" spans="1:4" x14ac:dyDescent="0.2">
      <c r="A1802"/>
      <c r="B1802"/>
      <c r="C1802"/>
      <c r="D1802"/>
    </row>
    <row r="1803" spans="1:4" x14ac:dyDescent="0.2">
      <c r="A1803"/>
      <c r="B1803"/>
      <c r="C1803"/>
      <c r="D1803"/>
    </row>
    <row r="1804" spans="1:4" x14ac:dyDescent="0.2">
      <c r="A1804"/>
      <c r="B1804"/>
      <c r="C1804"/>
      <c r="D1804"/>
    </row>
    <row r="1805" spans="1:4" x14ac:dyDescent="0.2">
      <c r="A1805"/>
      <c r="B1805"/>
      <c r="C1805"/>
      <c r="D1805"/>
    </row>
    <row r="1806" spans="1:4" x14ac:dyDescent="0.2">
      <c r="A1806"/>
      <c r="B1806"/>
      <c r="C1806"/>
      <c r="D1806"/>
    </row>
    <row r="1807" spans="1:4" x14ac:dyDescent="0.2">
      <c r="A1807"/>
      <c r="B1807"/>
      <c r="C1807"/>
      <c r="D1807"/>
    </row>
    <row r="1808" spans="1:4" x14ac:dyDescent="0.2">
      <c r="A1808"/>
      <c r="B1808"/>
      <c r="C1808"/>
      <c r="D1808"/>
    </row>
    <row r="1809" spans="1:4" x14ac:dyDescent="0.2">
      <c r="A1809"/>
      <c r="B1809"/>
      <c r="C1809"/>
      <c r="D1809"/>
    </row>
    <row r="1810" spans="1:4" x14ac:dyDescent="0.2">
      <c r="A1810"/>
      <c r="B1810"/>
      <c r="C1810"/>
      <c r="D1810"/>
    </row>
    <row r="1811" spans="1:4" x14ac:dyDescent="0.2">
      <c r="A1811"/>
      <c r="B1811"/>
      <c r="C1811"/>
      <c r="D1811"/>
    </row>
    <row r="1812" spans="1:4" x14ac:dyDescent="0.2">
      <c r="A1812"/>
      <c r="B1812"/>
      <c r="C1812"/>
      <c r="D1812"/>
    </row>
    <row r="1813" spans="1:4" x14ac:dyDescent="0.2">
      <c r="A1813"/>
      <c r="B1813"/>
      <c r="C1813"/>
      <c r="D1813"/>
    </row>
    <row r="1814" spans="1:4" x14ac:dyDescent="0.2">
      <c r="A1814"/>
      <c r="B1814"/>
      <c r="C1814"/>
      <c r="D1814"/>
    </row>
    <row r="1815" spans="1:4" x14ac:dyDescent="0.2">
      <c r="A1815"/>
      <c r="B1815"/>
      <c r="C1815"/>
      <c r="D1815"/>
    </row>
    <row r="1816" spans="1:4" x14ac:dyDescent="0.2">
      <c r="A1816"/>
      <c r="B1816"/>
      <c r="C1816"/>
      <c r="D1816"/>
    </row>
    <row r="1817" spans="1:4" x14ac:dyDescent="0.2">
      <c r="A1817"/>
      <c r="B1817"/>
      <c r="C1817"/>
      <c r="D1817"/>
    </row>
    <row r="1818" spans="1:4" x14ac:dyDescent="0.2">
      <c r="A1818"/>
      <c r="B1818"/>
      <c r="C1818"/>
      <c r="D1818"/>
    </row>
    <row r="1819" spans="1:4" x14ac:dyDescent="0.2">
      <c r="A1819"/>
      <c r="B1819"/>
      <c r="C1819"/>
      <c r="D1819"/>
    </row>
    <row r="1820" spans="1:4" x14ac:dyDescent="0.2">
      <c r="A1820"/>
      <c r="B1820"/>
      <c r="C1820"/>
      <c r="D1820"/>
    </row>
    <row r="1821" spans="1:4" x14ac:dyDescent="0.2">
      <c r="A1821"/>
      <c r="B1821"/>
      <c r="C1821"/>
      <c r="D1821"/>
    </row>
    <row r="1822" spans="1:4" x14ac:dyDescent="0.2">
      <c r="A1822"/>
      <c r="B1822"/>
      <c r="C1822"/>
      <c r="D1822"/>
    </row>
    <row r="1823" spans="1:4" x14ac:dyDescent="0.2">
      <c r="A1823"/>
      <c r="B1823"/>
      <c r="C1823"/>
      <c r="D1823"/>
    </row>
    <row r="1824" spans="1:4" x14ac:dyDescent="0.2">
      <c r="A1824"/>
      <c r="B1824"/>
      <c r="C1824"/>
      <c r="D1824"/>
    </row>
    <row r="1825" spans="1:4" x14ac:dyDescent="0.2">
      <c r="A1825"/>
      <c r="B1825"/>
      <c r="C1825"/>
      <c r="D1825"/>
    </row>
    <row r="1826" spans="1:4" x14ac:dyDescent="0.2">
      <c r="A1826"/>
      <c r="B1826"/>
      <c r="C1826"/>
      <c r="D1826"/>
    </row>
    <row r="1827" spans="1:4" x14ac:dyDescent="0.2">
      <c r="A1827"/>
      <c r="B1827"/>
      <c r="C1827"/>
      <c r="D1827"/>
    </row>
    <row r="1828" spans="1:4" x14ac:dyDescent="0.2">
      <c r="A1828"/>
      <c r="B1828"/>
      <c r="C1828"/>
      <c r="D1828"/>
    </row>
    <row r="1829" spans="1:4" x14ac:dyDescent="0.2">
      <c r="A1829"/>
      <c r="B1829"/>
      <c r="C1829"/>
      <c r="D1829"/>
    </row>
    <row r="1830" spans="1:4" x14ac:dyDescent="0.2">
      <c r="A1830"/>
      <c r="B1830"/>
      <c r="C1830"/>
      <c r="D1830"/>
    </row>
    <row r="1831" spans="1:4" x14ac:dyDescent="0.2">
      <c r="A1831"/>
      <c r="B1831"/>
      <c r="C1831"/>
      <c r="D1831"/>
    </row>
    <row r="1832" spans="1:4" x14ac:dyDescent="0.2">
      <c r="A1832"/>
      <c r="B1832"/>
      <c r="C1832"/>
      <c r="D1832"/>
    </row>
    <row r="1833" spans="1:4" x14ac:dyDescent="0.2">
      <c r="A1833"/>
      <c r="B1833"/>
      <c r="C1833"/>
      <c r="D1833"/>
    </row>
    <row r="1834" spans="1:4" x14ac:dyDescent="0.2">
      <c r="A1834"/>
      <c r="B1834"/>
      <c r="C1834"/>
      <c r="D1834"/>
    </row>
    <row r="1835" spans="1:4" x14ac:dyDescent="0.2">
      <c r="A1835"/>
      <c r="B1835"/>
      <c r="C1835"/>
      <c r="D1835"/>
    </row>
    <row r="1836" spans="1:4" x14ac:dyDescent="0.2">
      <c r="A1836"/>
      <c r="B1836"/>
      <c r="C1836"/>
      <c r="D1836"/>
    </row>
    <row r="1837" spans="1:4" x14ac:dyDescent="0.2">
      <c r="A1837"/>
      <c r="B1837"/>
      <c r="C1837"/>
      <c r="D1837"/>
    </row>
    <row r="1838" spans="1:4" x14ac:dyDescent="0.2">
      <c r="A1838"/>
      <c r="B1838"/>
      <c r="C1838"/>
      <c r="D1838"/>
    </row>
    <row r="1839" spans="1:4" x14ac:dyDescent="0.2">
      <c r="A1839"/>
      <c r="B1839"/>
      <c r="C1839"/>
      <c r="D1839"/>
    </row>
    <row r="1840" spans="1:4" x14ac:dyDescent="0.2">
      <c r="A1840"/>
      <c r="B1840"/>
      <c r="C1840"/>
      <c r="D1840"/>
    </row>
    <row r="1841" spans="1:4" x14ac:dyDescent="0.2">
      <c r="A1841"/>
      <c r="B1841"/>
      <c r="C1841"/>
      <c r="D1841"/>
    </row>
    <row r="1842" spans="1:4" x14ac:dyDescent="0.2">
      <c r="A1842"/>
      <c r="B1842"/>
      <c r="C1842"/>
      <c r="D1842"/>
    </row>
    <row r="1843" spans="1:4" x14ac:dyDescent="0.2">
      <c r="A1843"/>
      <c r="B1843"/>
      <c r="C1843"/>
      <c r="D1843"/>
    </row>
    <row r="1844" spans="1:4" x14ac:dyDescent="0.2">
      <c r="A1844"/>
      <c r="B1844"/>
      <c r="C1844"/>
      <c r="D1844"/>
    </row>
    <row r="1845" spans="1:4" x14ac:dyDescent="0.2">
      <c r="A1845"/>
      <c r="B1845"/>
      <c r="C1845"/>
      <c r="D1845"/>
    </row>
    <row r="1846" spans="1:4" x14ac:dyDescent="0.2">
      <c r="A1846"/>
      <c r="B1846"/>
      <c r="C1846"/>
      <c r="D1846"/>
    </row>
    <row r="1847" spans="1:4" x14ac:dyDescent="0.2">
      <c r="A1847"/>
      <c r="B1847"/>
      <c r="C1847"/>
      <c r="D1847"/>
    </row>
    <row r="1848" spans="1:4" x14ac:dyDescent="0.2">
      <c r="A1848"/>
      <c r="B1848"/>
      <c r="C1848"/>
      <c r="D1848"/>
    </row>
    <row r="1849" spans="1:4" x14ac:dyDescent="0.2">
      <c r="A1849"/>
      <c r="B1849"/>
      <c r="C1849"/>
      <c r="D1849"/>
    </row>
    <row r="1850" spans="1:4" x14ac:dyDescent="0.2">
      <c r="A1850"/>
      <c r="B1850"/>
      <c r="C1850"/>
      <c r="D1850"/>
    </row>
    <row r="1851" spans="1:4" x14ac:dyDescent="0.2">
      <c r="A1851"/>
      <c r="B1851"/>
      <c r="C1851"/>
      <c r="D1851"/>
    </row>
    <row r="1852" spans="1:4" x14ac:dyDescent="0.2">
      <c r="A1852"/>
      <c r="B1852"/>
      <c r="C1852"/>
      <c r="D1852"/>
    </row>
    <row r="1853" spans="1:4" x14ac:dyDescent="0.2">
      <c r="A1853"/>
      <c r="B1853"/>
      <c r="C1853"/>
      <c r="D1853"/>
    </row>
    <row r="1854" spans="1:4" x14ac:dyDescent="0.2">
      <c r="A1854"/>
      <c r="B1854"/>
      <c r="C1854"/>
      <c r="D1854"/>
    </row>
    <row r="1855" spans="1:4" x14ac:dyDescent="0.2">
      <c r="A1855"/>
      <c r="B1855"/>
      <c r="C1855"/>
      <c r="D1855"/>
    </row>
    <row r="1856" spans="1:4" x14ac:dyDescent="0.2">
      <c r="A1856"/>
      <c r="B1856"/>
      <c r="C1856"/>
      <c r="D1856"/>
    </row>
    <row r="1857" spans="1:4" x14ac:dyDescent="0.2">
      <c r="A1857"/>
      <c r="B1857"/>
      <c r="C1857"/>
      <c r="D1857"/>
    </row>
    <row r="1858" spans="1:4" x14ac:dyDescent="0.2">
      <c r="A1858"/>
      <c r="B1858"/>
      <c r="C1858"/>
      <c r="D1858"/>
    </row>
    <row r="1859" spans="1:4" x14ac:dyDescent="0.2">
      <c r="A1859"/>
      <c r="B1859"/>
      <c r="C1859"/>
      <c r="D1859"/>
    </row>
    <row r="1860" spans="1:4" x14ac:dyDescent="0.2">
      <c r="A1860"/>
      <c r="B1860"/>
      <c r="C1860"/>
      <c r="D1860"/>
    </row>
    <row r="1861" spans="1:4" x14ac:dyDescent="0.2">
      <c r="A1861"/>
      <c r="B1861"/>
      <c r="C1861"/>
      <c r="D1861"/>
    </row>
    <row r="1862" spans="1:4" x14ac:dyDescent="0.2">
      <c r="A1862"/>
      <c r="B1862"/>
      <c r="C1862"/>
      <c r="D1862"/>
    </row>
    <row r="1863" spans="1:4" x14ac:dyDescent="0.2">
      <c r="A1863"/>
      <c r="B1863"/>
      <c r="C1863"/>
      <c r="D1863"/>
    </row>
    <row r="1864" spans="1:4" x14ac:dyDescent="0.2">
      <c r="A1864"/>
      <c r="B1864"/>
      <c r="C1864"/>
      <c r="D1864"/>
    </row>
    <row r="1865" spans="1:4" x14ac:dyDescent="0.2">
      <c r="A1865"/>
      <c r="B1865"/>
      <c r="C1865"/>
      <c r="D1865"/>
    </row>
    <row r="1866" spans="1:4" x14ac:dyDescent="0.2">
      <c r="A1866"/>
      <c r="B1866"/>
      <c r="C1866"/>
      <c r="D1866"/>
    </row>
    <row r="1867" spans="1:4" x14ac:dyDescent="0.2">
      <c r="A1867"/>
      <c r="B1867"/>
      <c r="C1867"/>
      <c r="D1867"/>
    </row>
    <row r="1868" spans="1:4" x14ac:dyDescent="0.2">
      <c r="A1868"/>
      <c r="B1868"/>
      <c r="C1868"/>
      <c r="D1868"/>
    </row>
    <row r="1869" spans="1:4" x14ac:dyDescent="0.2">
      <c r="A1869"/>
      <c r="B1869"/>
      <c r="C1869"/>
      <c r="D1869"/>
    </row>
    <row r="1870" spans="1:4" x14ac:dyDescent="0.2">
      <c r="A1870"/>
      <c r="B1870"/>
      <c r="C1870"/>
      <c r="D1870"/>
    </row>
    <row r="1871" spans="1:4" x14ac:dyDescent="0.2">
      <c r="A1871"/>
      <c r="B1871"/>
      <c r="C1871"/>
      <c r="D1871"/>
    </row>
    <row r="1872" spans="1:4" x14ac:dyDescent="0.2">
      <c r="A1872"/>
      <c r="B1872"/>
      <c r="C1872"/>
      <c r="D1872"/>
    </row>
    <row r="1873" spans="1:4" x14ac:dyDescent="0.2">
      <c r="A1873"/>
      <c r="B1873"/>
      <c r="C1873"/>
      <c r="D1873"/>
    </row>
    <row r="1874" spans="1:4" x14ac:dyDescent="0.2">
      <c r="A1874"/>
      <c r="B1874"/>
      <c r="C1874"/>
      <c r="D1874"/>
    </row>
    <row r="1875" spans="1:4" x14ac:dyDescent="0.2">
      <c r="A1875"/>
      <c r="B1875"/>
      <c r="C1875"/>
      <c r="D1875"/>
    </row>
    <row r="1876" spans="1:4" x14ac:dyDescent="0.2">
      <c r="A1876"/>
      <c r="B1876"/>
      <c r="C1876"/>
      <c r="D1876"/>
    </row>
    <row r="1877" spans="1:4" x14ac:dyDescent="0.2">
      <c r="A1877"/>
      <c r="B1877"/>
      <c r="C1877"/>
      <c r="D1877"/>
    </row>
    <row r="1878" spans="1:4" x14ac:dyDescent="0.2">
      <c r="A1878"/>
      <c r="B1878"/>
      <c r="C1878"/>
      <c r="D1878"/>
    </row>
    <row r="1879" spans="1:4" x14ac:dyDescent="0.2">
      <c r="A1879"/>
      <c r="B1879"/>
      <c r="C1879"/>
      <c r="D1879"/>
    </row>
    <row r="1880" spans="1:4" x14ac:dyDescent="0.2">
      <c r="A1880"/>
      <c r="B1880"/>
      <c r="C1880"/>
      <c r="D1880"/>
    </row>
    <row r="1881" spans="1:4" x14ac:dyDescent="0.2">
      <c r="A1881"/>
      <c r="B1881"/>
      <c r="C1881"/>
      <c r="D1881"/>
    </row>
    <row r="1882" spans="1:4" x14ac:dyDescent="0.2">
      <c r="A1882"/>
      <c r="B1882"/>
      <c r="C1882"/>
      <c r="D1882"/>
    </row>
    <row r="1883" spans="1:4" x14ac:dyDescent="0.2">
      <c r="A1883"/>
      <c r="B1883"/>
      <c r="C1883"/>
      <c r="D1883"/>
    </row>
    <row r="1884" spans="1:4" x14ac:dyDescent="0.2">
      <c r="A1884"/>
      <c r="B1884"/>
      <c r="C1884"/>
      <c r="D1884"/>
    </row>
    <row r="1885" spans="1:4" x14ac:dyDescent="0.2">
      <c r="A1885"/>
      <c r="B1885"/>
      <c r="C1885"/>
      <c r="D1885"/>
    </row>
    <row r="1886" spans="1:4" x14ac:dyDescent="0.2">
      <c r="A1886"/>
      <c r="B1886"/>
      <c r="C1886"/>
      <c r="D1886"/>
    </row>
    <row r="1887" spans="1:4" x14ac:dyDescent="0.2">
      <c r="A1887"/>
      <c r="B1887"/>
      <c r="C1887"/>
      <c r="D1887"/>
    </row>
    <row r="1888" spans="1:4" x14ac:dyDescent="0.2">
      <c r="A1888"/>
      <c r="B1888"/>
      <c r="C1888"/>
      <c r="D1888"/>
    </row>
    <row r="1889" spans="1:4" x14ac:dyDescent="0.2">
      <c r="A1889"/>
      <c r="B1889"/>
      <c r="C1889"/>
      <c r="D1889"/>
    </row>
    <row r="1890" spans="1:4" x14ac:dyDescent="0.2">
      <c r="A1890"/>
      <c r="B1890"/>
      <c r="C1890"/>
      <c r="D1890"/>
    </row>
    <row r="1891" spans="1:4" x14ac:dyDescent="0.2">
      <c r="A1891"/>
      <c r="B1891"/>
      <c r="C1891"/>
      <c r="D1891"/>
    </row>
    <row r="1892" spans="1:4" x14ac:dyDescent="0.2">
      <c r="A1892"/>
      <c r="B1892"/>
      <c r="C1892"/>
      <c r="D1892"/>
    </row>
    <row r="1893" spans="1:4" x14ac:dyDescent="0.2">
      <c r="A1893"/>
      <c r="B1893"/>
      <c r="C1893"/>
      <c r="D1893"/>
    </row>
    <row r="1894" spans="1:4" x14ac:dyDescent="0.2">
      <c r="A1894"/>
      <c r="B1894"/>
      <c r="C1894"/>
      <c r="D1894"/>
    </row>
    <row r="1895" spans="1:4" x14ac:dyDescent="0.2">
      <c r="A1895"/>
      <c r="B1895"/>
      <c r="C1895"/>
      <c r="D1895"/>
    </row>
    <row r="1896" spans="1:4" x14ac:dyDescent="0.2">
      <c r="A1896"/>
      <c r="B1896"/>
      <c r="C1896"/>
      <c r="D1896"/>
    </row>
    <row r="1897" spans="1:4" x14ac:dyDescent="0.2">
      <c r="A1897"/>
      <c r="B1897"/>
      <c r="C1897"/>
      <c r="D1897"/>
    </row>
    <row r="1898" spans="1:4" x14ac:dyDescent="0.2">
      <c r="A1898"/>
      <c r="B1898"/>
      <c r="C1898"/>
      <c r="D1898"/>
    </row>
    <row r="1899" spans="1:4" x14ac:dyDescent="0.2">
      <c r="A1899"/>
      <c r="B1899"/>
      <c r="C1899"/>
      <c r="D1899"/>
    </row>
    <row r="1900" spans="1:4" x14ac:dyDescent="0.2">
      <c r="A1900"/>
      <c r="B1900"/>
      <c r="C1900"/>
      <c r="D1900"/>
    </row>
    <row r="1901" spans="1:4" x14ac:dyDescent="0.2">
      <c r="A1901"/>
      <c r="B1901"/>
      <c r="C1901"/>
      <c r="D1901"/>
    </row>
    <row r="1902" spans="1:4" x14ac:dyDescent="0.2">
      <c r="A1902"/>
      <c r="B1902"/>
      <c r="C1902"/>
      <c r="D1902"/>
    </row>
    <row r="1903" spans="1:4" x14ac:dyDescent="0.2">
      <c r="A1903"/>
      <c r="B1903"/>
      <c r="C1903"/>
      <c r="D1903"/>
    </row>
    <row r="1904" spans="1:4" x14ac:dyDescent="0.2">
      <c r="A1904"/>
      <c r="B1904"/>
      <c r="C1904"/>
      <c r="D1904"/>
    </row>
    <row r="1905" spans="1:4" x14ac:dyDescent="0.2">
      <c r="A1905"/>
      <c r="B1905"/>
      <c r="C1905"/>
      <c r="D1905"/>
    </row>
    <row r="1906" spans="1:4" x14ac:dyDescent="0.2">
      <c r="A1906"/>
      <c r="B1906"/>
      <c r="C1906"/>
      <c r="D1906"/>
    </row>
    <row r="1907" spans="1:4" x14ac:dyDescent="0.2">
      <c r="A1907"/>
      <c r="B1907"/>
      <c r="C1907"/>
      <c r="D1907"/>
    </row>
    <row r="1908" spans="1:4" x14ac:dyDescent="0.2">
      <c r="A1908"/>
      <c r="B1908"/>
      <c r="C1908"/>
      <c r="D1908"/>
    </row>
    <row r="1909" spans="1:4" x14ac:dyDescent="0.2">
      <c r="A1909"/>
      <c r="B1909"/>
      <c r="C1909"/>
      <c r="D1909"/>
    </row>
    <row r="1910" spans="1:4" x14ac:dyDescent="0.2">
      <c r="A1910"/>
      <c r="B1910"/>
      <c r="C1910"/>
      <c r="D1910"/>
    </row>
    <row r="1911" spans="1:4" x14ac:dyDescent="0.2">
      <c r="A1911"/>
      <c r="B1911"/>
      <c r="C1911"/>
      <c r="D1911"/>
    </row>
    <row r="1912" spans="1:4" x14ac:dyDescent="0.2">
      <c r="A1912"/>
      <c r="B1912"/>
      <c r="C1912"/>
      <c r="D1912"/>
    </row>
    <row r="1913" spans="1:4" x14ac:dyDescent="0.2">
      <c r="A1913"/>
      <c r="B1913"/>
      <c r="C1913"/>
      <c r="D1913"/>
    </row>
    <row r="1914" spans="1:4" x14ac:dyDescent="0.2">
      <c r="A1914"/>
      <c r="B1914"/>
      <c r="C1914"/>
      <c r="D1914"/>
    </row>
    <row r="1915" spans="1:4" x14ac:dyDescent="0.2">
      <c r="A1915"/>
      <c r="B1915"/>
      <c r="C1915"/>
      <c r="D1915"/>
    </row>
    <row r="1916" spans="1:4" x14ac:dyDescent="0.2">
      <c r="A1916"/>
      <c r="B1916"/>
      <c r="C1916"/>
      <c r="D1916"/>
    </row>
    <row r="1917" spans="1:4" x14ac:dyDescent="0.2">
      <c r="A1917"/>
      <c r="B1917"/>
      <c r="C1917"/>
      <c r="D1917"/>
    </row>
    <row r="1918" spans="1:4" x14ac:dyDescent="0.2">
      <c r="A1918"/>
      <c r="B1918"/>
      <c r="C1918"/>
      <c r="D1918"/>
    </row>
    <row r="1919" spans="1:4" x14ac:dyDescent="0.2">
      <c r="A1919"/>
      <c r="B1919"/>
      <c r="C1919"/>
      <c r="D1919"/>
    </row>
    <row r="1920" spans="1:4" x14ac:dyDescent="0.2">
      <c r="A1920"/>
      <c r="B1920"/>
      <c r="C1920"/>
      <c r="D1920"/>
    </row>
    <row r="1921" spans="1:4" x14ac:dyDescent="0.2">
      <c r="A1921"/>
      <c r="B1921"/>
      <c r="C1921"/>
      <c r="D1921"/>
    </row>
    <row r="1922" spans="1:4" x14ac:dyDescent="0.2">
      <c r="A1922"/>
      <c r="B1922"/>
      <c r="C1922"/>
      <c r="D1922"/>
    </row>
    <row r="1923" spans="1:4" x14ac:dyDescent="0.2">
      <c r="A1923"/>
      <c r="B1923"/>
      <c r="C1923"/>
      <c r="D1923"/>
    </row>
    <row r="1924" spans="1:4" x14ac:dyDescent="0.2">
      <c r="A1924"/>
      <c r="B1924"/>
      <c r="C1924"/>
      <c r="D1924"/>
    </row>
    <row r="1925" spans="1:4" x14ac:dyDescent="0.2">
      <c r="A1925"/>
      <c r="B1925"/>
      <c r="C1925"/>
      <c r="D1925"/>
    </row>
    <row r="1926" spans="1:4" x14ac:dyDescent="0.2">
      <c r="A1926"/>
      <c r="B1926"/>
      <c r="C1926"/>
      <c r="D1926"/>
    </row>
    <row r="1927" spans="1:4" x14ac:dyDescent="0.2">
      <c r="A1927"/>
      <c r="B1927"/>
      <c r="C1927"/>
      <c r="D1927"/>
    </row>
    <row r="1928" spans="1:4" x14ac:dyDescent="0.2">
      <c r="A1928"/>
      <c r="B1928"/>
      <c r="C1928"/>
      <c r="D1928"/>
    </row>
    <row r="1929" spans="1:4" x14ac:dyDescent="0.2">
      <c r="A1929"/>
      <c r="B1929"/>
      <c r="C1929"/>
      <c r="D1929"/>
    </row>
    <row r="1930" spans="1:4" x14ac:dyDescent="0.2">
      <c r="A1930"/>
      <c r="B1930"/>
      <c r="C1930"/>
      <c r="D1930"/>
    </row>
    <row r="1931" spans="1:4" x14ac:dyDescent="0.2">
      <c r="A1931"/>
      <c r="B1931"/>
      <c r="C1931"/>
      <c r="D1931"/>
    </row>
    <row r="1932" spans="1:4" x14ac:dyDescent="0.2">
      <c r="A1932"/>
      <c r="B1932"/>
      <c r="C1932"/>
      <c r="D1932"/>
    </row>
    <row r="1933" spans="1:4" x14ac:dyDescent="0.2">
      <c r="A1933"/>
      <c r="B1933"/>
      <c r="C1933"/>
      <c r="D1933"/>
    </row>
    <row r="1934" spans="1:4" x14ac:dyDescent="0.2">
      <c r="A1934"/>
      <c r="B1934"/>
      <c r="C1934"/>
      <c r="D1934"/>
    </row>
    <row r="1935" spans="1:4" x14ac:dyDescent="0.2">
      <c r="A1935"/>
      <c r="B1935"/>
      <c r="C1935"/>
      <c r="D1935"/>
    </row>
    <row r="1936" spans="1:4" x14ac:dyDescent="0.2">
      <c r="A1936"/>
      <c r="B1936"/>
      <c r="C1936"/>
      <c r="D1936"/>
    </row>
    <row r="1937" spans="1:4" x14ac:dyDescent="0.2">
      <c r="A1937"/>
      <c r="B1937"/>
      <c r="C1937"/>
      <c r="D1937"/>
    </row>
    <row r="1938" spans="1:4" x14ac:dyDescent="0.2">
      <c r="A1938"/>
      <c r="B1938"/>
      <c r="C1938"/>
      <c r="D1938"/>
    </row>
    <row r="1939" spans="1:4" x14ac:dyDescent="0.2">
      <c r="A1939"/>
      <c r="B1939"/>
      <c r="C1939"/>
      <c r="D1939"/>
    </row>
    <row r="1940" spans="1:4" x14ac:dyDescent="0.2">
      <c r="A1940"/>
      <c r="B1940"/>
      <c r="C1940"/>
      <c r="D1940"/>
    </row>
    <row r="1941" spans="1:4" x14ac:dyDescent="0.2">
      <c r="A1941"/>
      <c r="B1941"/>
      <c r="C1941"/>
      <c r="D1941"/>
    </row>
    <row r="1942" spans="1:4" x14ac:dyDescent="0.2">
      <c r="A1942"/>
      <c r="B1942"/>
      <c r="C1942"/>
      <c r="D1942"/>
    </row>
    <row r="1943" spans="1:4" x14ac:dyDescent="0.2">
      <c r="A1943"/>
      <c r="B1943"/>
      <c r="C1943"/>
      <c r="D1943"/>
    </row>
    <row r="1944" spans="1:4" x14ac:dyDescent="0.2">
      <c r="A1944"/>
      <c r="B1944"/>
      <c r="C1944"/>
      <c r="D1944"/>
    </row>
    <row r="1945" spans="1:4" x14ac:dyDescent="0.2">
      <c r="A1945"/>
      <c r="B1945"/>
      <c r="C1945"/>
      <c r="D1945"/>
    </row>
    <row r="1946" spans="1:4" x14ac:dyDescent="0.2">
      <c r="A1946"/>
      <c r="B1946"/>
      <c r="C1946"/>
      <c r="D1946"/>
    </row>
    <row r="1947" spans="1:4" x14ac:dyDescent="0.2">
      <c r="A1947"/>
      <c r="B1947"/>
      <c r="C1947"/>
      <c r="D1947"/>
    </row>
    <row r="1948" spans="1:4" x14ac:dyDescent="0.2">
      <c r="A1948"/>
      <c r="B1948"/>
      <c r="C1948"/>
      <c r="D1948"/>
    </row>
    <row r="1949" spans="1:4" x14ac:dyDescent="0.2">
      <c r="A1949"/>
      <c r="B1949"/>
      <c r="C1949"/>
      <c r="D1949"/>
    </row>
    <row r="1950" spans="1:4" x14ac:dyDescent="0.2">
      <c r="A1950"/>
      <c r="B1950"/>
      <c r="C1950"/>
      <c r="D1950"/>
    </row>
    <row r="1951" spans="1:4" x14ac:dyDescent="0.2">
      <c r="A1951"/>
      <c r="B1951"/>
      <c r="C1951"/>
      <c r="D1951"/>
    </row>
    <row r="1952" spans="1:4" x14ac:dyDescent="0.2">
      <c r="A1952"/>
      <c r="B1952"/>
      <c r="C1952"/>
      <c r="D1952"/>
    </row>
    <row r="1953" spans="1:4" x14ac:dyDescent="0.2">
      <c r="A1953"/>
      <c r="B1953"/>
      <c r="C1953"/>
      <c r="D1953"/>
    </row>
    <row r="1954" spans="1:4" x14ac:dyDescent="0.2">
      <c r="A1954"/>
      <c r="B1954"/>
      <c r="C1954"/>
      <c r="D1954"/>
    </row>
    <row r="1955" spans="1:4" x14ac:dyDescent="0.2">
      <c r="A1955"/>
      <c r="B1955"/>
      <c r="C1955"/>
      <c r="D1955"/>
    </row>
    <row r="1956" spans="1:4" x14ac:dyDescent="0.2">
      <c r="A1956"/>
      <c r="B1956"/>
      <c r="C1956"/>
      <c r="D1956"/>
    </row>
    <row r="1957" spans="1:4" x14ac:dyDescent="0.2">
      <c r="A1957"/>
      <c r="B1957"/>
      <c r="C1957"/>
      <c r="D1957"/>
    </row>
    <row r="1958" spans="1:4" x14ac:dyDescent="0.2">
      <c r="A1958"/>
      <c r="B1958"/>
      <c r="C1958"/>
      <c r="D1958"/>
    </row>
    <row r="1959" spans="1:4" x14ac:dyDescent="0.2">
      <c r="A1959"/>
      <c r="B1959"/>
      <c r="C1959"/>
      <c r="D1959"/>
    </row>
    <row r="1960" spans="1:4" x14ac:dyDescent="0.2">
      <c r="A1960"/>
      <c r="B1960"/>
      <c r="C1960"/>
      <c r="D1960"/>
    </row>
    <row r="1961" spans="1:4" x14ac:dyDescent="0.2">
      <c r="A1961"/>
      <c r="B1961"/>
      <c r="C1961"/>
      <c r="D1961"/>
    </row>
    <row r="1962" spans="1:4" x14ac:dyDescent="0.2">
      <c r="A1962"/>
      <c r="B1962"/>
      <c r="C1962"/>
      <c r="D1962"/>
    </row>
    <row r="1963" spans="1:4" x14ac:dyDescent="0.2">
      <c r="A1963"/>
      <c r="B1963"/>
      <c r="C1963"/>
      <c r="D1963"/>
    </row>
    <row r="1964" spans="1:4" x14ac:dyDescent="0.2">
      <c r="A1964"/>
      <c r="B1964"/>
      <c r="C1964"/>
      <c r="D1964"/>
    </row>
    <row r="1965" spans="1:4" x14ac:dyDescent="0.2">
      <c r="A1965"/>
      <c r="B1965"/>
      <c r="C1965"/>
      <c r="D1965"/>
    </row>
    <row r="1966" spans="1:4" x14ac:dyDescent="0.2">
      <c r="A1966"/>
      <c r="B1966"/>
      <c r="C1966"/>
      <c r="D1966"/>
    </row>
    <row r="1967" spans="1:4" x14ac:dyDescent="0.2">
      <c r="A1967"/>
      <c r="B1967"/>
      <c r="C1967"/>
      <c r="D1967"/>
    </row>
    <row r="1968" spans="1:4" x14ac:dyDescent="0.2">
      <c r="A1968"/>
      <c r="B1968"/>
      <c r="C1968"/>
      <c r="D1968"/>
    </row>
    <row r="1969" spans="1:4" x14ac:dyDescent="0.2">
      <c r="A1969"/>
      <c r="B1969"/>
      <c r="C1969"/>
      <c r="D1969"/>
    </row>
    <row r="1970" spans="1:4" x14ac:dyDescent="0.2">
      <c r="A1970"/>
      <c r="B1970"/>
      <c r="C1970"/>
      <c r="D1970"/>
    </row>
    <row r="1971" spans="1:4" x14ac:dyDescent="0.2">
      <c r="A1971"/>
      <c r="B1971"/>
      <c r="C1971"/>
      <c r="D1971"/>
    </row>
    <row r="1972" spans="1:4" x14ac:dyDescent="0.2">
      <c r="A1972"/>
      <c r="B1972"/>
      <c r="C1972"/>
      <c r="D1972"/>
    </row>
    <row r="1973" spans="1:4" x14ac:dyDescent="0.2">
      <c r="A1973"/>
      <c r="B1973"/>
      <c r="C1973"/>
      <c r="D1973"/>
    </row>
    <row r="1974" spans="1:4" x14ac:dyDescent="0.2">
      <c r="A1974"/>
      <c r="B1974"/>
      <c r="C1974"/>
      <c r="D1974"/>
    </row>
    <row r="1975" spans="1:4" x14ac:dyDescent="0.2">
      <c r="A1975"/>
      <c r="B1975"/>
      <c r="C1975"/>
      <c r="D1975"/>
    </row>
    <row r="1976" spans="1:4" x14ac:dyDescent="0.2">
      <c r="A1976"/>
      <c r="B1976"/>
      <c r="C1976"/>
      <c r="D1976"/>
    </row>
    <row r="1977" spans="1:4" x14ac:dyDescent="0.2">
      <c r="A1977"/>
      <c r="B1977"/>
      <c r="C1977"/>
      <c r="D1977"/>
    </row>
    <row r="1978" spans="1:4" x14ac:dyDescent="0.2">
      <c r="A1978"/>
      <c r="B1978"/>
      <c r="C1978"/>
      <c r="D1978"/>
    </row>
    <row r="1979" spans="1:4" x14ac:dyDescent="0.2">
      <c r="A1979"/>
      <c r="B1979"/>
      <c r="C1979"/>
      <c r="D1979"/>
    </row>
    <row r="1980" spans="1:4" x14ac:dyDescent="0.2">
      <c r="A1980"/>
      <c r="B1980"/>
      <c r="C1980"/>
      <c r="D1980"/>
    </row>
    <row r="1981" spans="1:4" x14ac:dyDescent="0.2">
      <c r="A1981"/>
      <c r="B1981"/>
      <c r="C1981"/>
      <c r="D1981"/>
    </row>
    <row r="1982" spans="1:4" x14ac:dyDescent="0.2">
      <c r="A1982"/>
      <c r="B1982"/>
      <c r="C1982"/>
      <c r="D1982"/>
    </row>
    <row r="1983" spans="1:4" x14ac:dyDescent="0.2">
      <c r="A1983"/>
      <c r="B1983"/>
      <c r="C1983"/>
      <c r="D1983"/>
    </row>
    <row r="1984" spans="1:4" x14ac:dyDescent="0.2">
      <c r="A1984"/>
      <c r="B1984"/>
      <c r="C1984"/>
      <c r="D1984"/>
    </row>
    <row r="1985" spans="1:4" x14ac:dyDescent="0.2">
      <c r="A1985"/>
      <c r="B1985"/>
      <c r="C1985"/>
      <c r="D1985"/>
    </row>
    <row r="1986" spans="1:4" x14ac:dyDescent="0.2">
      <c r="A1986"/>
      <c r="B1986"/>
      <c r="C1986"/>
      <c r="D1986"/>
    </row>
    <row r="1987" spans="1:4" x14ac:dyDescent="0.2">
      <c r="A1987"/>
      <c r="B1987"/>
      <c r="C1987"/>
      <c r="D1987"/>
    </row>
    <row r="1988" spans="1:4" x14ac:dyDescent="0.2">
      <c r="A1988"/>
      <c r="B1988"/>
      <c r="C1988"/>
      <c r="D1988"/>
    </row>
    <row r="1989" spans="1:4" x14ac:dyDescent="0.2">
      <c r="A1989"/>
      <c r="B1989"/>
      <c r="C1989"/>
      <c r="D1989"/>
    </row>
    <row r="1990" spans="1:4" x14ac:dyDescent="0.2">
      <c r="A1990"/>
      <c r="B1990"/>
      <c r="C1990"/>
      <c r="D1990"/>
    </row>
    <row r="1991" spans="1:4" x14ac:dyDescent="0.2">
      <c r="A1991"/>
      <c r="B1991"/>
      <c r="C1991"/>
      <c r="D1991"/>
    </row>
    <row r="1992" spans="1:4" x14ac:dyDescent="0.2">
      <c r="A1992"/>
      <c r="B1992"/>
      <c r="C1992"/>
      <c r="D1992"/>
    </row>
    <row r="1993" spans="1:4" x14ac:dyDescent="0.2">
      <c r="A1993"/>
      <c r="B1993"/>
      <c r="C1993"/>
      <c r="D1993"/>
    </row>
    <row r="1994" spans="1:4" x14ac:dyDescent="0.2">
      <c r="A1994"/>
      <c r="B1994"/>
      <c r="C1994"/>
      <c r="D1994"/>
    </row>
    <row r="1995" spans="1:4" x14ac:dyDescent="0.2">
      <c r="A1995"/>
      <c r="B1995"/>
      <c r="C1995"/>
      <c r="D1995"/>
    </row>
    <row r="1996" spans="1:4" x14ac:dyDescent="0.2">
      <c r="A1996"/>
      <c r="B1996"/>
      <c r="C1996"/>
      <c r="D1996"/>
    </row>
    <row r="1997" spans="1:4" x14ac:dyDescent="0.2">
      <c r="A1997"/>
      <c r="B1997"/>
      <c r="C1997"/>
      <c r="D1997"/>
    </row>
    <row r="1998" spans="1:4" x14ac:dyDescent="0.2">
      <c r="A1998"/>
      <c r="B1998"/>
      <c r="C1998"/>
      <c r="D1998"/>
    </row>
    <row r="1999" spans="1:4" x14ac:dyDescent="0.2">
      <c r="A1999"/>
      <c r="B1999"/>
      <c r="C1999"/>
      <c r="D1999"/>
    </row>
    <row r="2000" spans="1:4" x14ac:dyDescent="0.2">
      <c r="A2000"/>
      <c r="B2000"/>
      <c r="C2000"/>
      <c r="D2000"/>
    </row>
    <row r="2001" spans="1:4" x14ac:dyDescent="0.2">
      <c r="A2001"/>
      <c r="B2001"/>
      <c r="C2001"/>
      <c r="D2001"/>
    </row>
    <row r="2002" spans="1:4" x14ac:dyDescent="0.2">
      <c r="A2002"/>
      <c r="B2002"/>
      <c r="C2002"/>
      <c r="D2002"/>
    </row>
    <row r="2003" spans="1:4" x14ac:dyDescent="0.2">
      <c r="A2003"/>
      <c r="B2003"/>
      <c r="C2003"/>
      <c r="D2003"/>
    </row>
    <row r="2004" spans="1:4" x14ac:dyDescent="0.2">
      <c r="A2004"/>
      <c r="B2004"/>
      <c r="C2004"/>
      <c r="D2004"/>
    </row>
    <row r="2005" spans="1:4" x14ac:dyDescent="0.2">
      <c r="A2005"/>
      <c r="B2005"/>
      <c r="C2005"/>
      <c r="D2005"/>
    </row>
    <row r="2006" spans="1:4" x14ac:dyDescent="0.2">
      <c r="A2006"/>
      <c r="B2006"/>
      <c r="C2006"/>
      <c r="D2006"/>
    </row>
    <row r="2007" spans="1:4" x14ac:dyDescent="0.2">
      <c r="A2007"/>
      <c r="B2007"/>
      <c r="C2007"/>
      <c r="D2007"/>
    </row>
    <row r="2008" spans="1:4" x14ac:dyDescent="0.2">
      <c r="A2008"/>
      <c r="B2008"/>
      <c r="C2008"/>
      <c r="D2008"/>
    </row>
    <row r="2009" spans="1:4" x14ac:dyDescent="0.2">
      <c r="A2009"/>
      <c r="B2009"/>
      <c r="C2009"/>
      <c r="D2009"/>
    </row>
    <row r="2010" spans="1:4" x14ac:dyDescent="0.2">
      <c r="A2010"/>
      <c r="B2010"/>
      <c r="C2010"/>
      <c r="D2010"/>
    </row>
    <row r="2011" spans="1:4" x14ac:dyDescent="0.2">
      <c r="A2011"/>
      <c r="B2011"/>
      <c r="C2011"/>
      <c r="D2011"/>
    </row>
    <row r="2012" spans="1:4" x14ac:dyDescent="0.2">
      <c r="A2012"/>
      <c r="B2012"/>
      <c r="C2012"/>
      <c r="D2012"/>
    </row>
    <row r="2013" spans="1:4" x14ac:dyDescent="0.2">
      <c r="A2013"/>
      <c r="B2013"/>
      <c r="C2013"/>
      <c r="D2013"/>
    </row>
    <row r="2014" spans="1:4" x14ac:dyDescent="0.2">
      <c r="A2014"/>
      <c r="B2014"/>
      <c r="C2014"/>
      <c r="D2014"/>
    </row>
    <row r="2015" spans="1:4" x14ac:dyDescent="0.2">
      <c r="A2015"/>
      <c r="B2015"/>
      <c r="C2015"/>
      <c r="D2015"/>
    </row>
    <row r="2016" spans="1:4" x14ac:dyDescent="0.2">
      <c r="A2016"/>
      <c r="B2016"/>
      <c r="C2016"/>
      <c r="D2016"/>
    </row>
    <row r="2017" spans="1:4" x14ac:dyDescent="0.2">
      <c r="A2017"/>
      <c r="B2017"/>
      <c r="C2017"/>
      <c r="D2017"/>
    </row>
    <row r="2018" spans="1:4" x14ac:dyDescent="0.2">
      <c r="A2018"/>
      <c r="B2018"/>
      <c r="C2018"/>
      <c r="D2018"/>
    </row>
    <row r="2019" spans="1:4" x14ac:dyDescent="0.2">
      <c r="A2019"/>
      <c r="B2019"/>
      <c r="C2019"/>
      <c r="D2019"/>
    </row>
    <row r="2020" spans="1:4" x14ac:dyDescent="0.2">
      <c r="A2020"/>
      <c r="B2020"/>
      <c r="C2020"/>
      <c r="D2020"/>
    </row>
    <row r="2021" spans="1:4" x14ac:dyDescent="0.2">
      <c r="A2021"/>
      <c r="B2021"/>
      <c r="C2021"/>
      <c r="D2021"/>
    </row>
    <row r="2022" spans="1:4" x14ac:dyDescent="0.2">
      <c r="A2022"/>
      <c r="B2022"/>
      <c r="C2022"/>
      <c r="D2022"/>
    </row>
    <row r="2023" spans="1:4" x14ac:dyDescent="0.2">
      <c r="A2023"/>
      <c r="B2023"/>
      <c r="C2023"/>
      <c r="D2023"/>
    </row>
    <row r="2024" spans="1:4" x14ac:dyDescent="0.2">
      <c r="A2024"/>
      <c r="B2024"/>
      <c r="C2024"/>
      <c r="D2024"/>
    </row>
    <row r="2025" spans="1:4" x14ac:dyDescent="0.2">
      <c r="A2025"/>
      <c r="B2025"/>
      <c r="C2025"/>
      <c r="D2025"/>
    </row>
    <row r="2026" spans="1:4" x14ac:dyDescent="0.2">
      <c r="A2026"/>
      <c r="B2026"/>
      <c r="C2026"/>
      <c r="D2026"/>
    </row>
    <row r="2027" spans="1:4" x14ac:dyDescent="0.2">
      <c r="A2027"/>
      <c r="B2027"/>
      <c r="C2027"/>
      <c r="D2027"/>
    </row>
    <row r="2028" spans="1:4" x14ac:dyDescent="0.2">
      <c r="A2028"/>
      <c r="B2028"/>
      <c r="C2028"/>
      <c r="D2028"/>
    </row>
    <row r="2029" spans="1:4" x14ac:dyDescent="0.2">
      <c r="A2029"/>
      <c r="B2029"/>
      <c r="C2029"/>
      <c r="D2029"/>
    </row>
    <row r="2030" spans="1:4" x14ac:dyDescent="0.2">
      <c r="A2030"/>
      <c r="B2030"/>
      <c r="C2030"/>
      <c r="D2030"/>
    </row>
    <row r="2031" spans="1:4" x14ac:dyDescent="0.2">
      <c r="A2031"/>
      <c r="B2031"/>
      <c r="C2031"/>
      <c r="D2031"/>
    </row>
    <row r="2032" spans="1:4" x14ac:dyDescent="0.2">
      <c r="A2032"/>
      <c r="B2032"/>
      <c r="C2032"/>
      <c r="D2032"/>
    </row>
    <row r="2033" spans="1:4" x14ac:dyDescent="0.2">
      <c r="A2033"/>
      <c r="B2033"/>
      <c r="C2033"/>
      <c r="D2033"/>
    </row>
    <row r="2034" spans="1:4" x14ac:dyDescent="0.2">
      <c r="A2034"/>
      <c r="B2034"/>
      <c r="C2034"/>
      <c r="D2034"/>
    </row>
    <row r="2035" spans="1:4" x14ac:dyDescent="0.2">
      <c r="A2035"/>
      <c r="B2035"/>
      <c r="C2035"/>
      <c r="D2035"/>
    </row>
    <row r="2036" spans="1:4" x14ac:dyDescent="0.2">
      <c r="A2036"/>
      <c r="B2036"/>
      <c r="C2036"/>
      <c r="D2036"/>
    </row>
    <row r="2037" spans="1:4" x14ac:dyDescent="0.2">
      <c r="A2037"/>
      <c r="B2037"/>
      <c r="C2037"/>
      <c r="D2037"/>
    </row>
    <row r="2038" spans="1:4" x14ac:dyDescent="0.2">
      <c r="A2038"/>
      <c r="B2038"/>
      <c r="C2038"/>
      <c r="D2038"/>
    </row>
    <row r="2039" spans="1:4" x14ac:dyDescent="0.2">
      <c r="A2039"/>
      <c r="B2039"/>
      <c r="C2039"/>
      <c r="D2039"/>
    </row>
    <row r="2040" spans="1:4" x14ac:dyDescent="0.2">
      <c r="A2040"/>
      <c r="B2040"/>
      <c r="C2040"/>
      <c r="D2040"/>
    </row>
    <row r="2041" spans="1:4" x14ac:dyDescent="0.2">
      <c r="A2041"/>
      <c r="B2041"/>
      <c r="C2041"/>
      <c r="D2041"/>
    </row>
    <row r="2042" spans="1:4" x14ac:dyDescent="0.2">
      <c r="A2042"/>
      <c r="B2042"/>
      <c r="C2042"/>
      <c r="D2042"/>
    </row>
    <row r="2043" spans="1:4" x14ac:dyDescent="0.2">
      <c r="A2043"/>
      <c r="B2043"/>
      <c r="C2043"/>
      <c r="D2043"/>
    </row>
    <row r="2044" spans="1:4" x14ac:dyDescent="0.2">
      <c r="A2044"/>
      <c r="B2044"/>
      <c r="C2044"/>
      <c r="D2044"/>
    </row>
    <row r="2045" spans="1:4" x14ac:dyDescent="0.2">
      <c r="A2045"/>
      <c r="B2045"/>
      <c r="C2045"/>
      <c r="D2045"/>
    </row>
    <row r="2046" spans="1:4" x14ac:dyDescent="0.2">
      <c r="A2046"/>
      <c r="B2046"/>
      <c r="C2046"/>
      <c r="D2046"/>
    </row>
    <row r="2047" spans="1:4" x14ac:dyDescent="0.2">
      <c r="A2047"/>
      <c r="B2047"/>
      <c r="C2047"/>
      <c r="D2047"/>
    </row>
    <row r="2048" spans="1:4" x14ac:dyDescent="0.2">
      <c r="A2048"/>
      <c r="B2048"/>
      <c r="C2048"/>
      <c r="D2048"/>
    </row>
    <row r="2049" spans="1:4" x14ac:dyDescent="0.2">
      <c r="A2049"/>
      <c r="B2049"/>
      <c r="C2049"/>
      <c r="D2049"/>
    </row>
    <row r="2050" spans="1:4" x14ac:dyDescent="0.2">
      <c r="A2050"/>
      <c r="B2050"/>
      <c r="C2050"/>
      <c r="D2050"/>
    </row>
    <row r="2051" spans="1:4" x14ac:dyDescent="0.2">
      <c r="A2051"/>
      <c r="B2051"/>
      <c r="C2051"/>
      <c r="D2051"/>
    </row>
    <row r="2052" spans="1:4" x14ac:dyDescent="0.2">
      <c r="A2052"/>
      <c r="B2052"/>
      <c r="C2052"/>
      <c r="D2052"/>
    </row>
    <row r="2053" spans="1:4" x14ac:dyDescent="0.2">
      <c r="A2053"/>
      <c r="B2053"/>
      <c r="C2053"/>
      <c r="D2053"/>
    </row>
    <row r="2054" spans="1:4" x14ac:dyDescent="0.2">
      <c r="A2054"/>
      <c r="B2054"/>
      <c r="C2054"/>
      <c r="D2054"/>
    </row>
    <row r="2055" spans="1:4" x14ac:dyDescent="0.2">
      <c r="A2055"/>
      <c r="B2055"/>
      <c r="C2055"/>
      <c r="D2055"/>
    </row>
    <row r="2056" spans="1:4" x14ac:dyDescent="0.2">
      <c r="A2056"/>
      <c r="B2056"/>
      <c r="C2056"/>
      <c r="D2056"/>
    </row>
    <row r="2057" spans="1:4" x14ac:dyDescent="0.2">
      <c r="A2057"/>
      <c r="B2057"/>
      <c r="C2057"/>
      <c r="D2057"/>
    </row>
    <row r="2058" spans="1:4" x14ac:dyDescent="0.2">
      <c r="A2058"/>
      <c r="B2058"/>
      <c r="C2058"/>
      <c r="D2058"/>
    </row>
    <row r="2059" spans="1:4" x14ac:dyDescent="0.2">
      <c r="A2059"/>
      <c r="B2059"/>
      <c r="C2059"/>
      <c r="D2059"/>
    </row>
    <row r="2060" spans="1:4" x14ac:dyDescent="0.2">
      <c r="A2060"/>
      <c r="B2060"/>
      <c r="C2060"/>
      <c r="D2060"/>
    </row>
    <row r="2061" spans="1:4" x14ac:dyDescent="0.2">
      <c r="A2061"/>
      <c r="B2061"/>
      <c r="C2061"/>
      <c r="D2061"/>
    </row>
    <row r="2062" spans="1:4" x14ac:dyDescent="0.2">
      <c r="A2062"/>
      <c r="B2062"/>
      <c r="C2062"/>
      <c r="D2062"/>
    </row>
    <row r="2063" spans="1:4" x14ac:dyDescent="0.2">
      <c r="A2063"/>
      <c r="B2063"/>
      <c r="C2063"/>
      <c r="D2063"/>
    </row>
    <row r="2064" spans="1:4" x14ac:dyDescent="0.2">
      <c r="A2064"/>
      <c r="B2064"/>
      <c r="C2064"/>
      <c r="D2064"/>
    </row>
    <row r="2065" spans="1:4" x14ac:dyDescent="0.2">
      <c r="A2065"/>
      <c r="B2065"/>
      <c r="C2065"/>
      <c r="D2065"/>
    </row>
    <row r="2066" spans="1:4" x14ac:dyDescent="0.2">
      <c r="A2066"/>
      <c r="B2066"/>
      <c r="C2066"/>
      <c r="D2066"/>
    </row>
    <row r="2067" spans="1:4" x14ac:dyDescent="0.2">
      <c r="A2067"/>
      <c r="B2067"/>
      <c r="C2067"/>
      <c r="D2067"/>
    </row>
    <row r="2068" spans="1:4" x14ac:dyDescent="0.2">
      <c r="A2068"/>
      <c r="B2068"/>
      <c r="C2068"/>
      <c r="D2068"/>
    </row>
    <row r="2069" spans="1:4" x14ac:dyDescent="0.2">
      <c r="A2069"/>
      <c r="B2069"/>
      <c r="C2069"/>
      <c r="D2069"/>
    </row>
    <row r="2070" spans="1:4" x14ac:dyDescent="0.2">
      <c r="A2070"/>
      <c r="B2070"/>
      <c r="C2070"/>
      <c r="D2070"/>
    </row>
    <row r="2071" spans="1:4" x14ac:dyDescent="0.2">
      <c r="A2071"/>
      <c r="B2071"/>
      <c r="C2071"/>
      <c r="D2071"/>
    </row>
    <row r="2072" spans="1:4" x14ac:dyDescent="0.2">
      <c r="A2072"/>
      <c r="B2072"/>
      <c r="C2072"/>
      <c r="D2072"/>
    </row>
    <row r="2073" spans="1:4" x14ac:dyDescent="0.2">
      <c r="A2073"/>
      <c r="B2073"/>
      <c r="C2073"/>
      <c r="D2073"/>
    </row>
    <row r="2074" spans="1:4" x14ac:dyDescent="0.2">
      <c r="A2074"/>
      <c r="B2074"/>
      <c r="C2074"/>
      <c r="D2074"/>
    </row>
    <row r="2075" spans="1:4" x14ac:dyDescent="0.2">
      <c r="A2075"/>
      <c r="B2075"/>
      <c r="C2075"/>
      <c r="D2075"/>
    </row>
    <row r="2076" spans="1:4" x14ac:dyDescent="0.2">
      <c r="A2076"/>
      <c r="B2076"/>
      <c r="C2076"/>
      <c r="D2076"/>
    </row>
    <row r="2077" spans="1:4" x14ac:dyDescent="0.2">
      <c r="A2077"/>
      <c r="B2077"/>
      <c r="C2077"/>
      <c r="D2077"/>
    </row>
    <row r="2078" spans="1:4" x14ac:dyDescent="0.2">
      <c r="A2078"/>
      <c r="B2078"/>
      <c r="C2078"/>
      <c r="D2078"/>
    </row>
    <row r="2079" spans="1:4" x14ac:dyDescent="0.2">
      <c r="A2079"/>
      <c r="B2079"/>
      <c r="C2079"/>
      <c r="D2079"/>
    </row>
    <row r="2080" spans="1:4" x14ac:dyDescent="0.2">
      <c r="A2080"/>
      <c r="B2080"/>
      <c r="C2080"/>
      <c r="D2080"/>
    </row>
    <row r="2081" spans="1:4" x14ac:dyDescent="0.2">
      <c r="A2081"/>
      <c r="B2081"/>
      <c r="C2081"/>
      <c r="D2081"/>
    </row>
    <row r="2082" spans="1:4" x14ac:dyDescent="0.2">
      <c r="A2082"/>
      <c r="B2082"/>
      <c r="C2082"/>
      <c r="D2082"/>
    </row>
    <row r="2083" spans="1:4" x14ac:dyDescent="0.2">
      <c r="A2083"/>
      <c r="B2083"/>
      <c r="C2083"/>
      <c r="D2083"/>
    </row>
    <row r="2084" spans="1:4" x14ac:dyDescent="0.2">
      <c r="A2084"/>
      <c r="B2084"/>
      <c r="C2084"/>
      <c r="D2084"/>
    </row>
    <row r="2085" spans="1:4" x14ac:dyDescent="0.2">
      <c r="A2085"/>
      <c r="B2085"/>
      <c r="C2085"/>
      <c r="D2085"/>
    </row>
    <row r="2086" spans="1:4" x14ac:dyDescent="0.2">
      <c r="A2086"/>
      <c r="B2086"/>
      <c r="C2086"/>
      <c r="D2086"/>
    </row>
    <row r="2087" spans="1:4" x14ac:dyDescent="0.2">
      <c r="A2087"/>
      <c r="B2087"/>
      <c r="C2087"/>
      <c r="D2087"/>
    </row>
    <row r="2088" spans="1:4" x14ac:dyDescent="0.2">
      <c r="A2088"/>
      <c r="B2088"/>
      <c r="C2088"/>
      <c r="D2088"/>
    </row>
    <row r="2089" spans="1:4" x14ac:dyDescent="0.2">
      <c r="A2089"/>
      <c r="B2089"/>
      <c r="C2089"/>
      <c r="D2089"/>
    </row>
    <row r="2090" spans="1:4" x14ac:dyDescent="0.2">
      <c r="A2090"/>
      <c r="B2090"/>
      <c r="C2090"/>
      <c r="D2090"/>
    </row>
    <row r="2091" spans="1:4" x14ac:dyDescent="0.2">
      <c r="A2091"/>
      <c r="B2091"/>
      <c r="C2091"/>
      <c r="D2091"/>
    </row>
    <row r="2092" spans="1:4" x14ac:dyDescent="0.2">
      <c r="A2092"/>
      <c r="B2092"/>
      <c r="C2092"/>
      <c r="D2092"/>
    </row>
    <row r="2093" spans="1:4" x14ac:dyDescent="0.2">
      <c r="A2093"/>
      <c r="B2093"/>
      <c r="C2093"/>
      <c r="D2093"/>
    </row>
    <row r="2094" spans="1:4" x14ac:dyDescent="0.2">
      <c r="A2094"/>
      <c r="B2094"/>
      <c r="C2094"/>
      <c r="D2094"/>
    </row>
    <row r="2095" spans="1:4" x14ac:dyDescent="0.2">
      <c r="A2095"/>
      <c r="B2095"/>
      <c r="C2095"/>
      <c r="D2095"/>
    </row>
    <row r="2096" spans="1:4" x14ac:dyDescent="0.2">
      <c r="A2096"/>
      <c r="B2096"/>
      <c r="C2096"/>
      <c r="D2096"/>
    </row>
    <row r="2097" spans="1:4" x14ac:dyDescent="0.2">
      <c r="A2097"/>
      <c r="B2097"/>
      <c r="C2097"/>
      <c r="D2097"/>
    </row>
    <row r="2098" spans="1:4" x14ac:dyDescent="0.2">
      <c r="A2098"/>
      <c r="B2098"/>
      <c r="C2098"/>
      <c r="D2098"/>
    </row>
    <row r="2099" spans="1:4" x14ac:dyDescent="0.2">
      <c r="A2099"/>
      <c r="B2099"/>
      <c r="C2099"/>
      <c r="D2099"/>
    </row>
    <row r="2100" spans="1:4" x14ac:dyDescent="0.2">
      <c r="A2100"/>
      <c r="B2100"/>
      <c r="C2100"/>
      <c r="D2100"/>
    </row>
    <row r="2101" spans="1:4" x14ac:dyDescent="0.2">
      <c r="A2101"/>
      <c r="B2101"/>
      <c r="C2101"/>
      <c r="D2101"/>
    </row>
    <row r="2102" spans="1:4" x14ac:dyDescent="0.2">
      <c r="A2102"/>
      <c r="B2102"/>
      <c r="C2102"/>
      <c r="D2102"/>
    </row>
    <row r="2103" spans="1:4" x14ac:dyDescent="0.2">
      <c r="A2103"/>
      <c r="B2103"/>
      <c r="C2103"/>
      <c r="D2103"/>
    </row>
    <row r="2104" spans="1:4" x14ac:dyDescent="0.2">
      <c r="A2104"/>
      <c r="B2104"/>
      <c r="C2104"/>
      <c r="D2104"/>
    </row>
    <row r="2105" spans="1:4" x14ac:dyDescent="0.2">
      <c r="A2105"/>
      <c r="B2105"/>
      <c r="C2105"/>
      <c r="D2105"/>
    </row>
    <row r="2106" spans="1:4" x14ac:dyDescent="0.2">
      <c r="A2106"/>
      <c r="B2106"/>
      <c r="C2106"/>
      <c r="D2106"/>
    </row>
    <row r="2107" spans="1:4" x14ac:dyDescent="0.2">
      <c r="A2107"/>
      <c r="B2107"/>
      <c r="C2107"/>
      <c r="D2107"/>
    </row>
    <row r="2108" spans="1:4" x14ac:dyDescent="0.2">
      <c r="A2108"/>
      <c r="B2108"/>
      <c r="C2108"/>
      <c r="D2108"/>
    </row>
    <row r="2109" spans="1:4" x14ac:dyDescent="0.2">
      <c r="A2109"/>
      <c r="B2109"/>
      <c r="C2109"/>
      <c r="D2109"/>
    </row>
    <row r="2110" spans="1:4" x14ac:dyDescent="0.2">
      <c r="A2110"/>
      <c r="B2110"/>
      <c r="C2110"/>
      <c r="D2110"/>
    </row>
    <row r="2111" spans="1:4" x14ac:dyDescent="0.2">
      <c r="A2111"/>
      <c r="B2111"/>
      <c r="C2111"/>
      <c r="D2111"/>
    </row>
    <row r="2112" spans="1:4" x14ac:dyDescent="0.2">
      <c r="A2112"/>
      <c r="B2112"/>
      <c r="C2112"/>
      <c r="D2112"/>
    </row>
    <row r="2113" spans="1:4" x14ac:dyDescent="0.2">
      <c r="A2113"/>
      <c r="B2113"/>
      <c r="C2113"/>
      <c r="D2113"/>
    </row>
    <row r="2114" spans="1:4" x14ac:dyDescent="0.2">
      <c r="A2114"/>
      <c r="B2114"/>
      <c r="C2114"/>
      <c r="D2114"/>
    </row>
    <row r="2115" spans="1:4" x14ac:dyDescent="0.2">
      <c r="A2115"/>
      <c r="B2115"/>
      <c r="C2115"/>
      <c r="D2115"/>
    </row>
    <row r="2116" spans="1:4" x14ac:dyDescent="0.2">
      <c r="A2116"/>
      <c r="B2116"/>
      <c r="C2116"/>
      <c r="D2116"/>
    </row>
    <row r="2117" spans="1:4" x14ac:dyDescent="0.2">
      <c r="A2117"/>
      <c r="B2117"/>
      <c r="C2117"/>
      <c r="D2117"/>
    </row>
    <row r="2118" spans="1:4" x14ac:dyDescent="0.2">
      <c r="A2118"/>
      <c r="B2118"/>
      <c r="C2118"/>
      <c r="D2118"/>
    </row>
    <row r="2119" spans="1:4" x14ac:dyDescent="0.2">
      <c r="A2119"/>
      <c r="B2119"/>
      <c r="C2119"/>
      <c r="D2119"/>
    </row>
    <row r="2120" spans="1:4" x14ac:dyDescent="0.2">
      <c r="A2120"/>
      <c r="B2120"/>
      <c r="C2120"/>
      <c r="D2120"/>
    </row>
    <row r="2121" spans="1:4" x14ac:dyDescent="0.2">
      <c r="A2121"/>
      <c r="B2121"/>
      <c r="C2121"/>
      <c r="D2121"/>
    </row>
    <row r="2122" spans="1:4" x14ac:dyDescent="0.2">
      <c r="A2122"/>
      <c r="B2122"/>
      <c r="C2122"/>
      <c r="D2122"/>
    </row>
    <row r="2123" spans="1:4" x14ac:dyDescent="0.2">
      <c r="A2123"/>
      <c r="B2123"/>
      <c r="C2123"/>
      <c r="D2123"/>
    </row>
    <row r="2124" spans="1:4" x14ac:dyDescent="0.2">
      <c r="A2124"/>
      <c r="B2124"/>
      <c r="C2124"/>
      <c r="D2124"/>
    </row>
    <row r="2125" spans="1:4" x14ac:dyDescent="0.2">
      <c r="A2125"/>
      <c r="B2125"/>
      <c r="C2125"/>
      <c r="D2125"/>
    </row>
    <row r="2126" spans="1:4" x14ac:dyDescent="0.2">
      <c r="A2126"/>
      <c r="B2126"/>
      <c r="C2126"/>
      <c r="D2126"/>
    </row>
    <row r="2127" spans="1:4" x14ac:dyDescent="0.2">
      <c r="A2127"/>
      <c r="B2127"/>
      <c r="C2127"/>
      <c r="D2127"/>
    </row>
    <row r="2128" spans="1:4" x14ac:dyDescent="0.2">
      <c r="A2128"/>
      <c r="B2128"/>
      <c r="C2128"/>
      <c r="D2128"/>
    </row>
    <row r="2129" spans="1:4" x14ac:dyDescent="0.2">
      <c r="A2129"/>
      <c r="B2129"/>
      <c r="C2129"/>
      <c r="D2129"/>
    </row>
    <row r="2130" spans="1:4" x14ac:dyDescent="0.2">
      <c r="A2130"/>
      <c r="B2130"/>
      <c r="C2130"/>
      <c r="D2130"/>
    </row>
    <row r="2131" spans="1:4" x14ac:dyDescent="0.2">
      <c r="A2131"/>
      <c r="B2131"/>
      <c r="C2131"/>
      <c r="D2131"/>
    </row>
    <row r="2132" spans="1:4" x14ac:dyDescent="0.2">
      <c r="A2132"/>
      <c r="B2132"/>
      <c r="C2132"/>
      <c r="D2132"/>
    </row>
    <row r="2133" spans="1:4" x14ac:dyDescent="0.2">
      <c r="A2133"/>
      <c r="B2133"/>
      <c r="C2133"/>
      <c r="D2133"/>
    </row>
    <row r="2134" spans="1:4" x14ac:dyDescent="0.2">
      <c r="A2134"/>
      <c r="B2134"/>
      <c r="C2134"/>
      <c r="D2134"/>
    </row>
    <row r="2135" spans="1:4" x14ac:dyDescent="0.2">
      <c r="A2135"/>
      <c r="B2135"/>
      <c r="C2135"/>
      <c r="D2135"/>
    </row>
    <row r="2136" spans="1:4" x14ac:dyDescent="0.2">
      <c r="A2136"/>
      <c r="B2136"/>
      <c r="C2136"/>
      <c r="D2136"/>
    </row>
    <row r="2137" spans="1:4" x14ac:dyDescent="0.2">
      <c r="A2137"/>
      <c r="B2137"/>
      <c r="C2137"/>
      <c r="D2137"/>
    </row>
    <row r="2138" spans="1:4" x14ac:dyDescent="0.2">
      <c r="A2138"/>
      <c r="B2138"/>
      <c r="C2138"/>
      <c r="D2138"/>
    </row>
    <row r="2139" spans="1:4" x14ac:dyDescent="0.2">
      <c r="A2139"/>
      <c r="B2139"/>
      <c r="C2139"/>
      <c r="D2139"/>
    </row>
    <row r="2140" spans="1:4" x14ac:dyDescent="0.2">
      <c r="A2140"/>
      <c r="B2140"/>
      <c r="C2140"/>
      <c r="D2140"/>
    </row>
    <row r="2141" spans="1:4" x14ac:dyDescent="0.2">
      <c r="A2141"/>
      <c r="B2141"/>
      <c r="C2141"/>
      <c r="D2141"/>
    </row>
    <row r="2142" spans="1:4" x14ac:dyDescent="0.2">
      <c r="A2142"/>
      <c r="B2142"/>
      <c r="C2142"/>
      <c r="D2142"/>
    </row>
    <row r="2143" spans="1:4" x14ac:dyDescent="0.2">
      <c r="A2143"/>
      <c r="B2143"/>
      <c r="C2143"/>
      <c r="D2143"/>
    </row>
    <row r="2144" spans="1:4" x14ac:dyDescent="0.2">
      <c r="A2144"/>
      <c r="B2144"/>
      <c r="C2144"/>
      <c r="D2144"/>
    </row>
    <row r="2145" spans="1:4" x14ac:dyDescent="0.2">
      <c r="A2145"/>
      <c r="B2145"/>
      <c r="C2145"/>
      <c r="D2145"/>
    </row>
    <row r="2146" spans="1:4" x14ac:dyDescent="0.2">
      <c r="A2146"/>
      <c r="B2146"/>
      <c r="C2146"/>
      <c r="D2146"/>
    </row>
    <row r="2147" spans="1:4" x14ac:dyDescent="0.2">
      <c r="A2147"/>
      <c r="B2147"/>
      <c r="C2147"/>
      <c r="D2147"/>
    </row>
    <row r="2148" spans="1:4" x14ac:dyDescent="0.2">
      <c r="A2148"/>
      <c r="B2148"/>
      <c r="C2148"/>
      <c r="D2148"/>
    </row>
    <row r="2149" spans="1:4" x14ac:dyDescent="0.2">
      <c r="A2149"/>
      <c r="B2149"/>
      <c r="C2149"/>
      <c r="D2149"/>
    </row>
    <row r="2150" spans="1:4" x14ac:dyDescent="0.2">
      <c r="A2150"/>
      <c r="B2150"/>
      <c r="C2150"/>
      <c r="D2150"/>
    </row>
    <row r="2151" spans="1:4" x14ac:dyDescent="0.2">
      <c r="A2151"/>
      <c r="B2151"/>
      <c r="C2151"/>
      <c r="D2151"/>
    </row>
    <row r="2152" spans="1:4" x14ac:dyDescent="0.2">
      <c r="A2152"/>
      <c r="B2152"/>
      <c r="C2152"/>
      <c r="D2152"/>
    </row>
    <row r="2153" spans="1:4" x14ac:dyDescent="0.2">
      <c r="A2153"/>
      <c r="B2153"/>
      <c r="C2153"/>
      <c r="D2153"/>
    </row>
    <row r="2154" spans="1:4" x14ac:dyDescent="0.2">
      <c r="A2154"/>
      <c r="B2154"/>
      <c r="C2154"/>
      <c r="D2154"/>
    </row>
    <row r="2155" spans="1:4" x14ac:dyDescent="0.2">
      <c r="A2155"/>
      <c r="B2155"/>
      <c r="C2155"/>
      <c r="D2155"/>
    </row>
    <row r="2156" spans="1:4" x14ac:dyDescent="0.2">
      <c r="A2156"/>
      <c r="B2156"/>
      <c r="C2156"/>
      <c r="D2156"/>
    </row>
    <row r="2157" spans="1:4" x14ac:dyDescent="0.2">
      <c r="A2157"/>
      <c r="B2157"/>
      <c r="C2157"/>
      <c r="D2157"/>
    </row>
    <row r="2158" spans="1:4" x14ac:dyDescent="0.2">
      <c r="A2158"/>
      <c r="B2158"/>
      <c r="C2158"/>
      <c r="D2158"/>
    </row>
    <row r="2159" spans="1:4" x14ac:dyDescent="0.2">
      <c r="A2159"/>
      <c r="B2159"/>
      <c r="C2159"/>
      <c r="D2159"/>
    </row>
    <row r="2160" spans="1:4" x14ac:dyDescent="0.2">
      <c r="A2160"/>
      <c r="B2160"/>
      <c r="C2160"/>
      <c r="D2160"/>
    </row>
    <row r="2161" spans="1:4" x14ac:dyDescent="0.2">
      <c r="A2161"/>
      <c r="B2161"/>
      <c r="C2161"/>
      <c r="D2161"/>
    </row>
    <row r="2162" spans="1:4" x14ac:dyDescent="0.2">
      <c r="A2162"/>
      <c r="B2162"/>
      <c r="C2162"/>
      <c r="D2162"/>
    </row>
    <row r="2163" spans="1:4" x14ac:dyDescent="0.2">
      <c r="A2163"/>
      <c r="B2163"/>
      <c r="C2163"/>
      <c r="D2163"/>
    </row>
    <row r="2164" spans="1:4" x14ac:dyDescent="0.2">
      <c r="A2164"/>
      <c r="B2164"/>
      <c r="C2164"/>
      <c r="D2164"/>
    </row>
    <row r="2165" spans="1:4" x14ac:dyDescent="0.2">
      <c r="A2165"/>
      <c r="B2165"/>
      <c r="C2165"/>
      <c r="D2165"/>
    </row>
    <row r="2166" spans="1:4" x14ac:dyDescent="0.2">
      <c r="A2166"/>
      <c r="B2166"/>
      <c r="C2166"/>
      <c r="D2166"/>
    </row>
    <row r="2167" spans="1:4" x14ac:dyDescent="0.2">
      <c r="A2167"/>
      <c r="B2167"/>
      <c r="C2167"/>
      <c r="D2167"/>
    </row>
    <row r="2168" spans="1:4" x14ac:dyDescent="0.2">
      <c r="A2168"/>
      <c r="B2168"/>
      <c r="C2168"/>
      <c r="D2168"/>
    </row>
    <row r="2169" spans="1:4" x14ac:dyDescent="0.2">
      <c r="A2169"/>
      <c r="B2169"/>
      <c r="C2169"/>
      <c r="D2169"/>
    </row>
    <row r="2170" spans="1:4" x14ac:dyDescent="0.2">
      <c r="A2170"/>
      <c r="B2170"/>
      <c r="C2170"/>
      <c r="D2170"/>
    </row>
    <row r="2171" spans="1:4" x14ac:dyDescent="0.2">
      <c r="A2171"/>
      <c r="B2171"/>
      <c r="C2171"/>
      <c r="D2171"/>
    </row>
    <row r="2172" spans="1:4" x14ac:dyDescent="0.2">
      <c r="A2172"/>
      <c r="B2172"/>
      <c r="C2172"/>
      <c r="D2172"/>
    </row>
    <row r="2173" spans="1:4" x14ac:dyDescent="0.2">
      <c r="A2173"/>
      <c r="B2173"/>
      <c r="C2173"/>
      <c r="D2173"/>
    </row>
    <row r="2174" spans="1:4" x14ac:dyDescent="0.2">
      <c r="A2174"/>
      <c r="B2174"/>
      <c r="C2174"/>
      <c r="D2174"/>
    </row>
    <row r="2175" spans="1:4" x14ac:dyDescent="0.2">
      <c r="A2175"/>
      <c r="B2175"/>
      <c r="C2175"/>
      <c r="D2175"/>
    </row>
    <row r="2176" spans="1:4" x14ac:dyDescent="0.2">
      <c r="A2176"/>
      <c r="B2176"/>
      <c r="C2176"/>
      <c r="D2176"/>
    </row>
    <row r="2177" spans="1:4" x14ac:dyDescent="0.2">
      <c r="A2177"/>
      <c r="B2177"/>
      <c r="C2177"/>
      <c r="D2177"/>
    </row>
    <row r="2178" spans="1:4" x14ac:dyDescent="0.2">
      <c r="A2178"/>
      <c r="B2178"/>
      <c r="C2178"/>
      <c r="D2178"/>
    </row>
    <row r="2179" spans="1:4" x14ac:dyDescent="0.2">
      <c r="A2179"/>
      <c r="B2179"/>
      <c r="C2179"/>
      <c r="D2179"/>
    </row>
    <row r="2180" spans="1:4" x14ac:dyDescent="0.2">
      <c r="A2180"/>
      <c r="B2180"/>
      <c r="C2180"/>
      <c r="D2180"/>
    </row>
    <row r="2181" spans="1:4" x14ac:dyDescent="0.2">
      <c r="A2181"/>
      <c r="B2181"/>
      <c r="C2181"/>
      <c r="D2181"/>
    </row>
    <row r="2182" spans="1:4" x14ac:dyDescent="0.2">
      <c r="A2182"/>
      <c r="B2182"/>
      <c r="C2182"/>
      <c r="D2182"/>
    </row>
    <row r="2183" spans="1:4" x14ac:dyDescent="0.2">
      <c r="A2183"/>
      <c r="B2183"/>
      <c r="C2183"/>
      <c r="D2183"/>
    </row>
    <row r="2184" spans="1:4" x14ac:dyDescent="0.2">
      <c r="A2184"/>
      <c r="B2184"/>
      <c r="C2184"/>
      <c r="D2184"/>
    </row>
    <row r="2185" spans="1:4" x14ac:dyDescent="0.2">
      <c r="A2185"/>
      <c r="B2185"/>
      <c r="C2185"/>
      <c r="D2185"/>
    </row>
    <row r="2186" spans="1:4" x14ac:dyDescent="0.2">
      <c r="A2186"/>
      <c r="B2186"/>
      <c r="C2186"/>
      <c r="D2186"/>
    </row>
    <row r="2187" spans="1:4" x14ac:dyDescent="0.2">
      <c r="A2187"/>
      <c r="B2187"/>
      <c r="C2187"/>
      <c r="D2187"/>
    </row>
    <row r="2188" spans="1:4" x14ac:dyDescent="0.2">
      <c r="A2188"/>
      <c r="B2188"/>
      <c r="C2188"/>
      <c r="D2188"/>
    </row>
    <row r="2189" spans="1:4" x14ac:dyDescent="0.2">
      <c r="A2189"/>
      <c r="B2189"/>
      <c r="C2189"/>
      <c r="D2189"/>
    </row>
    <row r="2190" spans="1:4" x14ac:dyDescent="0.2">
      <c r="A2190"/>
      <c r="B2190"/>
      <c r="C2190"/>
      <c r="D2190"/>
    </row>
    <row r="2191" spans="1:4" x14ac:dyDescent="0.2">
      <c r="A2191"/>
      <c r="B2191"/>
      <c r="C2191"/>
      <c r="D2191"/>
    </row>
    <row r="2192" spans="1:4" x14ac:dyDescent="0.2">
      <c r="A2192"/>
      <c r="B2192"/>
      <c r="C2192"/>
      <c r="D2192"/>
    </row>
    <row r="2193" spans="1:4" x14ac:dyDescent="0.2">
      <c r="A2193"/>
      <c r="B2193"/>
      <c r="C2193"/>
      <c r="D2193"/>
    </row>
    <row r="2194" spans="1:4" x14ac:dyDescent="0.2">
      <c r="A2194"/>
      <c r="B2194"/>
      <c r="C2194"/>
      <c r="D2194"/>
    </row>
    <row r="2195" spans="1:4" x14ac:dyDescent="0.2">
      <c r="A2195"/>
      <c r="B2195"/>
      <c r="C2195"/>
      <c r="D2195"/>
    </row>
    <row r="2196" spans="1:4" x14ac:dyDescent="0.2">
      <c r="A2196"/>
      <c r="B2196"/>
      <c r="C2196"/>
      <c r="D2196"/>
    </row>
    <row r="2197" spans="1:4" x14ac:dyDescent="0.2">
      <c r="A2197"/>
      <c r="B2197"/>
      <c r="C2197"/>
      <c r="D2197"/>
    </row>
    <row r="2198" spans="1:4" x14ac:dyDescent="0.2">
      <c r="A2198"/>
      <c r="B2198"/>
      <c r="C2198"/>
      <c r="D2198"/>
    </row>
    <row r="2199" spans="1:4" x14ac:dyDescent="0.2">
      <c r="A2199"/>
      <c r="B2199"/>
      <c r="C2199"/>
      <c r="D2199"/>
    </row>
    <row r="2200" spans="1:4" x14ac:dyDescent="0.2">
      <c r="A2200"/>
      <c r="B2200"/>
      <c r="C2200"/>
      <c r="D2200"/>
    </row>
    <row r="2201" spans="1:4" x14ac:dyDescent="0.2">
      <c r="A2201"/>
      <c r="B2201"/>
      <c r="C2201"/>
      <c r="D2201"/>
    </row>
    <row r="2202" spans="1:4" x14ac:dyDescent="0.2">
      <c r="A2202"/>
      <c r="B2202"/>
      <c r="C2202"/>
      <c r="D2202"/>
    </row>
    <row r="2203" spans="1:4" x14ac:dyDescent="0.2">
      <c r="A2203"/>
      <c r="B2203"/>
      <c r="C2203"/>
      <c r="D2203"/>
    </row>
    <row r="2204" spans="1:4" x14ac:dyDescent="0.2">
      <c r="A2204"/>
      <c r="B2204"/>
      <c r="C2204"/>
      <c r="D2204"/>
    </row>
    <row r="2205" spans="1:4" x14ac:dyDescent="0.2">
      <c r="A2205"/>
      <c r="B2205"/>
      <c r="C2205"/>
      <c r="D2205"/>
    </row>
    <row r="2206" spans="1:4" x14ac:dyDescent="0.2">
      <c r="A2206"/>
      <c r="B2206"/>
      <c r="C2206"/>
      <c r="D2206"/>
    </row>
    <row r="2207" spans="1:4" x14ac:dyDescent="0.2">
      <c r="A2207"/>
      <c r="B2207"/>
      <c r="C2207"/>
      <c r="D2207"/>
    </row>
    <row r="2208" spans="1:4" x14ac:dyDescent="0.2">
      <c r="A2208"/>
      <c r="B2208"/>
      <c r="C2208"/>
      <c r="D2208"/>
    </row>
    <row r="2209" spans="1:4" x14ac:dyDescent="0.2">
      <c r="A2209"/>
      <c r="B2209"/>
      <c r="C2209"/>
      <c r="D2209"/>
    </row>
    <row r="2210" spans="1:4" x14ac:dyDescent="0.2">
      <c r="A2210"/>
      <c r="B2210"/>
      <c r="C2210"/>
      <c r="D2210"/>
    </row>
    <row r="2211" spans="1:4" x14ac:dyDescent="0.2">
      <c r="A2211"/>
      <c r="B2211"/>
      <c r="C2211"/>
      <c r="D2211"/>
    </row>
    <row r="2212" spans="1:4" x14ac:dyDescent="0.2">
      <c r="A2212"/>
      <c r="B2212"/>
      <c r="C2212"/>
      <c r="D2212"/>
    </row>
    <row r="2213" spans="1:4" x14ac:dyDescent="0.2">
      <c r="A2213"/>
      <c r="B2213"/>
      <c r="C2213"/>
      <c r="D2213"/>
    </row>
    <row r="2214" spans="1:4" x14ac:dyDescent="0.2">
      <c r="A2214"/>
      <c r="B2214"/>
      <c r="C2214"/>
      <c r="D2214"/>
    </row>
    <row r="2215" spans="1:4" x14ac:dyDescent="0.2">
      <c r="A2215"/>
      <c r="B2215"/>
      <c r="C2215"/>
      <c r="D2215"/>
    </row>
    <row r="2216" spans="1:4" x14ac:dyDescent="0.2">
      <c r="A2216"/>
      <c r="B2216"/>
      <c r="C2216"/>
      <c r="D2216"/>
    </row>
    <row r="2217" spans="1:4" x14ac:dyDescent="0.2">
      <c r="A2217"/>
      <c r="B2217"/>
      <c r="C2217"/>
      <c r="D2217"/>
    </row>
    <row r="2218" spans="1:4" x14ac:dyDescent="0.2">
      <c r="A2218"/>
      <c r="B2218"/>
      <c r="C2218"/>
      <c r="D2218"/>
    </row>
    <row r="2219" spans="1:4" x14ac:dyDescent="0.2">
      <c r="A2219"/>
      <c r="B2219"/>
      <c r="C2219"/>
      <c r="D2219"/>
    </row>
    <row r="2220" spans="1:4" x14ac:dyDescent="0.2">
      <c r="A2220"/>
      <c r="B2220"/>
      <c r="C2220"/>
      <c r="D2220"/>
    </row>
    <row r="2221" spans="1:4" x14ac:dyDescent="0.2">
      <c r="A2221"/>
      <c r="B2221"/>
      <c r="C2221"/>
      <c r="D2221"/>
    </row>
    <row r="2222" spans="1:4" x14ac:dyDescent="0.2">
      <c r="A2222"/>
      <c r="B2222"/>
      <c r="C2222"/>
      <c r="D2222"/>
    </row>
    <row r="2223" spans="1:4" x14ac:dyDescent="0.2">
      <c r="A2223"/>
      <c r="B2223"/>
      <c r="C2223"/>
      <c r="D2223"/>
    </row>
    <row r="2224" spans="1:4" x14ac:dyDescent="0.2">
      <c r="A2224"/>
      <c r="B2224"/>
      <c r="C2224"/>
      <c r="D2224"/>
    </row>
    <row r="2225" spans="1:4" x14ac:dyDescent="0.2">
      <c r="A2225"/>
      <c r="B2225"/>
      <c r="C2225"/>
      <c r="D2225"/>
    </row>
    <row r="2226" spans="1:4" x14ac:dyDescent="0.2">
      <c r="A2226"/>
      <c r="B2226"/>
      <c r="C2226"/>
      <c r="D2226"/>
    </row>
    <row r="2227" spans="1:4" x14ac:dyDescent="0.2">
      <c r="A2227"/>
      <c r="B2227"/>
      <c r="C2227"/>
      <c r="D2227"/>
    </row>
    <row r="2228" spans="1:4" x14ac:dyDescent="0.2">
      <c r="A2228"/>
      <c r="B2228"/>
      <c r="C2228"/>
      <c r="D2228"/>
    </row>
    <row r="2229" spans="1:4" x14ac:dyDescent="0.2">
      <c r="A2229"/>
      <c r="B2229"/>
      <c r="C2229"/>
      <c r="D2229"/>
    </row>
    <row r="2230" spans="1:4" x14ac:dyDescent="0.2">
      <c r="A2230"/>
      <c r="B2230"/>
      <c r="C2230"/>
      <c r="D2230"/>
    </row>
    <row r="2231" spans="1:4" x14ac:dyDescent="0.2">
      <c r="A2231"/>
      <c r="B2231"/>
      <c r="C2231"/>
      <c r="D2231"/>
    </row>
    <row r="2232" spans="1:4" x14ac:dyDescent="0.2">
      <c r="A2232"/>
      <c r="B2232"/>
      <c r="C2232"/>
      <c r="D2232"/>
    </row>
    <row r="2233" spans="1:4" x14ac:dyDescent="0.2">
      <c r="A2233"/>
      <c r="B2233"/>
      <c r="C2233"/>
      <c r="D2233"/>
    </row>
    <row r="2234" spans="1:4" x14ac:dyDescent="0.2">
      <c r="A2234"/>
      <c r="B2234"/>
      <c r="C2234"/>
      <c r="D2234"/>
    </row>
    <row r="2235" spans="1:4" x14ac:dyDescent="0.2">
      <c r="A2235"/>
      <c r="B2235"/>
      <c r="C2235"/>
      <c r="D2235"/>
    </row>
    <row r="2236" spans="1:4" x14ac:dyDescent="0.2">
      <c r="A2236"/>
      <c r="B2236"/>
      <c r="C2236"/>
      <c r="D2236"/>
    </row>
    <row r="2237" spans="1:4" x14ac:dyDescent="0.2">
      <c r="A2237"/>
      <c r="B2237"/>
      <c r="C2237"/>
      <c r="D2237"/>
    </row>
    <row r="2238" spans="1:4" x14ac:dyDescent="0.2">
      <c r="A2238"/>
      <c r="B2238"/>
      <c r="C2238"/>
      <c r="D2238"/>
    </row>
    <row r="2239" spans="1:4" x14ac:dyDescent="0.2">
      <c r="A2239"/>
      <c r="B2239"/>
      <c r="C2239"/>
      <c r="D2239"/>
    </row>
    <row r="2240" spans="1:4" x14ac:dyDescent="0.2">
      <c r="A2240"/>
      <c r="B2240"/>
      <c r="C2240"/>
      <c r="D2240"/>
    </row>
    <row r="2241" spans="1:4" x14ac:dyDescent="0.2">
      <c r="A2241"/>
      <c r="B2241"/>
      <c r="C2241"/>
      <c r="D2241"/>
    </row>
    <row r="2242" spans="1:4" x14ac:dyDescent="0.2">
      <c r="A2242"/>
      <c r="B2242"/>
      <c r="C2242"/>
      <c r="D2242"/>
    </row>
    <row r="2243" spans="1:4" x14ac:dyDescent="0.2">
      <c r="A2243"/>
      <c r="B2243"/>
      <c r="C2243"/>
      <c r="D2243"/>
    </row>
    <row r="2244" spans="1:4" x14ac:dyDescent="0.2">
      <c r="A2244"/>
      <c r="B2244"/>
      <c r="C2244"/>
      <c r="D2244"/>
    </row>
    <row r="2245" spans="1:4" x14ac:dyDescent="0.2">
      <c r="A2245"/>
      <c r="B2245"/>
      <c r="C2245"/>
      <c r="D2245"/>
    </row>
    <row r="2246" spans="1:4" x14ac:dyDescent="0.2">
      <c r="A2246"/>
      <c r="B2246"/>
      <c r="C2246"/>
      <c r="D2246"/>
    </row>
    <row r="2247" spans="1:4" x14ac:dyDescent="0.2">
      <c r="A2247"/>
      <c r="B2247"/>
      <c r="C2247"/>
      <c r="D2247"/>
    </row>
    <row r="2248" spans="1:4" x14ac:dyDescent="0.2">
      <c r="A2248"/>
      <c r="B2248"/>
      <c r="C2248"/>
      <c r="D2248"/>
    </row>
    <row r="2249" spans="1:4" x14ac:dyDescent="0.2">
      <c r="A2249"/>
      <c r="B2249"/>
      <c r="C2249"/>
      <c r="D2249"/>
    </row>
    <row r="2250" spans="1:4" x14ac:dyDescent="0.2">
      <c r="A2250"/>
      <c r="B2250"/>
      <c r="C2250"/>
      <c r="D2250"/>
    </row>
    <row r="2251" spans="1:4" x14ac:dyDescent="0.2">
      <c r="A2251"/>
      <c r="B2251"/>
      <c r="C2251"/>
      <c r="D2251"/>
    </row>
    <row r="2252" spans="1:4" x14ac:dyDescent="0.2">
      <c r="A2252"/>
      <c r="B2252"/>
      <c r="C2252"/>
      <c r="D2252"/>
    </row>
    <row r="2253" spans="1:4" x14ac:dyDescent="0.2">
      <c r="A2253"/>
      <c r="B2253"/>
      <c r="C2253"/>
      <c r="D2253"/>
    </row>
    <row r="2254" spans="1:4" x14ac:dyDescent="0.2">
      <c r="A2254"/>
      <c r="B2254"/>
      <c r="C2254"/>
      <c r="D2254"/>
    </row>
    <row r="2255" spans="1:4" x14ac:dyDescent="0.2">
      <c r="A2255"/>
      <c r="B2255"/>
      <c r="C2255"/>
      <c r="D2255"/>
    </row>
    <row r="2256" spans="1:4" x14ac:dyDescent="0.2">
      <c r="A2256"/>
      <c r="B2256"/>
      <c r="C2256"/>
      <c r="D2256"/>
    </row>
    <row r="2257" spans="1:4" x14ac:dyDescent="0.2">
      <c r="A2257"/>
      <c r="B2257"/>
      <c r="C2257"/>
      <c r="D2257"/>
    </row>
    <row r="2258" spans="1:4" x14ac:dyDescent="0.2">
      <c r="A2258"/>
      <c r="B2258"/>
      <c r="C2258"/>
      <c r="D2258"/>
    </row>
    <row r="2259" spans="1:4" x14ac:dyDescent="0.2">
      <c r="A2259"/>
      <c r="B2259"/>
      <c r="C2259"/>
      <c r="D2259"/>
    </row>
    <row r="2260" spans="1:4" x14ac:dyDescent="0.2">
      <c r="A2260"/>
      <c r="B2260"/>
      <c r="C2260"/>
      <c r="D2260"/>
    </row>
    <row r="2261" spans="1:4" x14ac:dyDescent="0.2">
      <c r="A2261"/>
      <c r="B2261"/>
      <c r="C2261"/>
      <c r="D2261"/>
    </row>
    <row r="2262" spans="1:4" x14ac:dyDescent="0.2">
      <c r="A2262"/>
      <c r="B2262"/>
      <c r="C2262"/>
      <c r="D2262"/>
    </row>
    <row r="2263" spans="1:4" x14ac:dyDescent="0.2">
      <c r="A2263"/>
      <c r="B2263"/>
      <c r="C2263"/>
      <c r="D2263"/>
    </row>
    <row r="2264" spans="1:4" x14ac:dyDescent="0.2">
      <c r="A2264"/>
      <c r="B2264"/>
      <c r="C2264"/>
      <c r="D2264"/>
    </row>
    <row r="2265" spans="1:4" x14ac:dyDescent="0.2">
      <c r="A2265"/>
      <c r="B2265"/>
      <c r="C2265"/>
      <c r="D2265"/>
    </row>
    <row r="2266" spans="1:4" x14ac:dyDescent="0.2">
      <c r="A2266"/>
      <c r="B2266"/>
      <c r="C2266"/>
      <c r="D2266"/>
    </row>
    <row r="2267" spans="1:4" x14ac:dyDescent="0.2">
      <c r="A2267"/>
      <c r="B2267"/>
      <c r="C2267"/>
      <c r="D2267"/>
    </row>
    <row r="2268" spans="1:4" x14ac:dyDescent="0.2">
      <c r="A2268"/>
      <c r="B2268"/>
      <c r="C2268"/>
      <c r="D2268"/>
    </row>
    <row r="2269" spans="1:4" x14ac:dyDescent="0.2">
      <c r="A2269"/>
      <c r="B2269"/>
      <c r="C2269"/>
      <c r="D2269"/>
    </row>
    <row r="2270" spans="1:4" x14ac:dyDescent="0.2">
      <c r="A2270"/>
      <c r="B2270"/>
      <c r="C2270"/>
      <c r="D2270"/>
    </row>
    <row r="2271" spans="1:4" x14ac:dyDescent="0.2">
      <c r="A2271"/>
      <c r="B2271"/>
      <c r="C2271"/>
      <c r="D2271"/>
    </row>
    <row r="2272" spans="1:4" x14ac:dyDescent="0.2">
      <c r="A2272"/>
      <c r="B2272"/>
      <c r="C2272"/>
      <c r="D2272"/>
    </row>
    <row r="2273" spans="1:4" x14ac:dyDescent="0.2">
      <c r="A2273"/>
      <c r="B2273"/>
      <c r="C2273"/>
      <c r="D2273"/>
    </row>
    <row r="2274" spans="1:4" x14ac:dyDescent="0.2">
      <c r="A2274"/>
      <c r="B2274"/>
      <c r="C2274"/>
      <c r="D2274"/>
    </row>
    <row r="2275" spans="1:4" x14ac:dyDescent="0.2">
      <c r="A2275"/>
      <c r="B2275"/>
      <c r="C2275"/>
      <c r="D2275"/>
    </row>
    <row r="2276" spans="1:4" x14ac:dyDescent="0.2">
      <c r="A2276"/>
      <c r="B2276"/>
      <c r="C2276"/>
      <c r="D2276"/>
    </row>
    <row r="2277" spans="1:4" x14ac:dyDescent="0.2">
      <c r="A2277"/>
      <c r="B2277"/>
      <c r="C2277"/>
      <c r="D2277"/>
    </row>
    <row r="2278" spans="1:4" x14ac:dyDescent="0.2">
      <c r="A2278"/>
      <c r="B2278"/>
      <c r="C2278"/>
      <c r="D2278"/>
    </row>
    <row r="2279" spans="1:4" x14ac:dyDescent="0.2">
      <c r="A2279"/>
      <c r="B2279"/>
      <c r="C2279"/>
      <c r="D2279"/>
    </row>
    <row r="2280" spans="1:4" x14ac:dyDescent="0.2">
      <c r="A2280"/>
      <c r="B2280"/>
      <c r="C2280"/>
      <c r="D2280"/>
    </row>
    <row r="2281" spans="1:4" x14ac:dyDescent="0.2">
      <c r="A2281"/>
      <c r="B2281"/>
      <c r="C2281"/>
      <c r="D2281"/>
    </row>
    <row r="2282" spans="1:4" x14ac:dyDescent="0.2">
      <c r="A2282"/>
      <c r="B2282"/>
      <c r="C2282"/>
      <c r="D2282"/>
    </row>
    <row r="2283" spans="1:4" x14ac:dyDescent="0.2">
      <c r="A2283"/>
      <c r="B2283"/>
      <c r="C2283"/>
      <c r="D2283"/>
    </row>
    <row r="2284" spans="1:4" x14ac:dyDescent="0.2">
      <c r="A2284"/>
      <c r="B2284"/>
      <c r="C2284"/>
      <c r="D2284"/>
    </row>
    <row r="2285" spans="1:4" x14ac:dyDescent="0.2">
      <c r="A2285"/>
      <c r="B2285"/>
      <c r="C2285"/>
      <c r="D2285"/>
    </row>
    <row r="2286" spans="1:4" x14ac:dyDescent="0.2">
      <c r="A2286"/>
      <c r="B2286"/>
      <c r="C2286"/>
      <c r="D2286"/>
    </row>
    <row r="2287" spans="1:4" x14ac:dyDescent="0.2">
      <c r="A2287"/>
      <c r="B2287"/>
      <c r="C2287"/>
      <c r="D2287"/>
    </row>
    <row r="2288" spans="1:4" x14ac:dyDescent="0.2">
      <c r="A2288"/>
      <c r="B2288"/>
      <c r="C2288"/>
      <c r="D2288"/>
    </row>
    <row r="2289" spans="1:4" x14ac:dyDescent="0.2">
      <c r="A2289"/>
      <c r="B2289"/>
      <c r="C2289"/>
      <c r="D2289"/>
    </row>
    <row r="2290" spans="1:4" x14ac:dyDescent="0.2">
      <c r="A2290"/>
      <c r="B2290"/>
      <c r="C2290"/>
      <c r="D2290"/>
    </row>
    <row r="2291" spans="1:4" x14ac:dyDescent="0.2">
      <c r="A2291"/>
      <c r="B2291"/>
      <c r="C2291"/>
      <c r="D2291"/>
    </row>
    <row r="2292" spans="1:4" x14ac:dyDescent="0.2">
      <c r="A2292"/>
      <c r="B2292"/>
      <c r="C2292"/>
      <c r="D2292"/>
    </row>
    <row r="2293" spans="1:4" x14ac:dyDescent="0.2">
      <c r="A2293"/>
      <c r="B2293"/>
      <c r="C2293"/>
      <c r="D2293"/>
    </row>
    <row r="2294" spans="1:4" x14ac:dyDescent="0.2">
      <c r="A2294"/>
      <c r="B2294"/>
      <c r="C2294"/>
      <c r="D2294"/>
    </row>
    <row r="2295" spans="1:4" x14ac:dyDescent="0.2">
      <c r="A2295"/>
      <c r="B2295"/>
      <c r="C2295"/>
      <c r="D2295"/>
    </row>
    <row r="2296" spans="1:4" x14ac:dyDescent="0.2">
      <c r="A2296"/>
      <c r="B2296"/>
      <c r="C2296"/>
      <c r="D2296"/>
    </row>
    <row r="2297" spans="1:4" x14ac:dyDescent="0.2">
      <c r="A2297"/>
      <c r="B2297"/>
      <c r="C2297"/>
      <c r="D2297"/>
    </row>
    <row r="2298" spans="1:4" x14ac:dyDescent="0.2">
      <c r="A2298"/>
      <c r="B2298"/>
      <c r="C2298"/>
      <c r="D2298"/>
    </row>
    <row r="2299" spans="1:4" x14ac:dyDescent="0.2">
      <c r="A2299"/>
      <c r="B2299"/>
      <c r="C2299"/>
      <c r="D2299"/>
    </row>
    <row r="2300" spans="1:4" x14ac:dyDescent="0.2">
      <c r="A2300"/>
      <c r="B2300"/>
      <c r="C2300"/>
      <c r="D2300"/>
    </row>
    <row r="2301" spans="1:4" x14ac:dyDescent="0.2">
      <c r="A2301"/>
      <c r="B2301"/>
      <c r="C2301"/>
      <c r="D2301"/>
    </row>
    <row r="2302" spans="1:4" x14ac:dyDescent="0.2">
      <c r="A2302"/>
      <c r="B2302"/>
      <c r="C2302"/>
      <c r="D2302"/>
    </row>
    <row r="2303" spans="1:4" x14ac:dyDescent="0.2">
      <c r="A2303"/>
      <c r="B2303"/>
      <c r="C2303"/>
      <c r="D2303"/>
    </row>
    <row r="2304" spans="1:4" x14ac:dyDescent="0.2">
      <c r="A2304"/>
      <c r="B2304"/>
      <c r="C2304"/>
      <c r="D2304"/>
    </row>
    <row r="2305" spans="1:4" x14ac:dyDescent="0.2">
      <c r="A2305"/>
      <c r="B2305"/>
      <c r="C2305"/>
      <c r="D2305"/>
    </row>
    <row r="2306" spans="1:4" x14ac:dyDescent="0.2">
      <c r="A2306"/>
      <c r="B2306"/>
      <c r="C2306"/>
      <c r="D2306"/>
    </row>
    <row r="2307" spans="1:4" x14ac:dyDescent="0.2">
      <c r="A2307"/>
      <c r="B2307"/>
      <c r="C2307"/>
      <c r="D2307"/>
    </row>
    <row r="2308" spans="1:4" x14ac:dyDescent="0.2">
      <c r="A2308"/>
      <c r="B2308"/>
      <c r="C2308"/>
      <c r="D2308"/>
    </row>
    <row r="2309" spans="1:4" x14ac:dyDescent="0.2">
      <c r="A2309"/>
      <c r="B2309"/>
      <c r="C2309"/>
      <c r="D2309"/>
    </row>
    <row r="2310" spans="1:4" x14ac:dyDescent="0.2">
      <c r="A2310"/>
      <c r="B2310"/>
      <c r="C2310"/>
      <c r="D2310"/>
    </row>
    <row r="2311" spans="1:4" x14ac:dyDescent="0.2">
      <c r="A2311"/>
      <c r="B2311"/>
      <c r="C2311"/>
      <c r="D2311"/>
    </row>
    <row r="2312" spans="1:4" x14ac:dyDescent="0.2">
      <c r="A2312"/>
      <c r="B2312"/>
      <c r="C2312"/>
      <c r="D2312"/>
    </row>
    <row r="2313" spans="1:4" x14ac:dyDescent="0.2">
      <c r="A2313"/>
      <c r="B2313"/>
      <c r="C2313"/>
      <c r="D2313"/>
    </row>
    <row r="2314" spans="1:4" x14ac:dyDescent="0.2">
      <c r="A2314"/>
      <c r="B2314"/>
      <c r="C2314"/>
      <c r="D2314"/>
    </row>
    <row r="2315" spans="1:4" x14ac:dyDescent="0.2">
      <c r="A2315"/>
      <c r="B2315"/>
      <c r="C2315"/>
      <c r="D2315"/>
    </row>
    <row r="2316" spans="1:4" x14ac:dyDescent="0.2">
      <c r="A2316"/>
      <c r="B2316"/>
      <c r="C2316"/>
      <c r="D2316"/>
    </row>
    <row r="2317" spans="1:4" x14ac:dyDescent="0.2">
      <c r="A2317"/>
      <c r="B2317"/>
      <c r="C2317"/>
      <c r="D2317"/>
    </row>
    <row r="2318" spans="1:4" x14ac:dyDescent="0.2">
      <c r="A2318"/>
      <c r="B2318"/>
      <c r="C2318"/>
      <c r="D2318"/>
    </row>
    <row r="2319" spans="1:4" x14ac:dyDescent="0.2">
      <c r="A2319"/>
      <c r="B2319"/>
      <c r="C2319"/>
      <c r="D2319"/>
    </row>
    <row r="2320" spans="1:4" x14ac:dyDescent="0.2">
      <c r="A2320"/>
      <c r="B2320"/>
      <c r="C2320"/>
      <c r="D2320"/>
    </row>
    <row r="2321" spans="1:4" x14ac:dyDescent="0.2">
      <c r="A2321"/>
      <c r="B2321"/>
      <c r="C2321"/>
      <c r="D2321"/>
    </row>
    <row r="2322" spans="1:4" x14ac:dyDescent="0.2">
      <c r="A2322"/>
      <c r="B2322"/>
      <c r="C2322"/>
      <c r="D2322"/>
    </row>
    <row r="2323" spans="1:4" x14ac:dyDescent="0.2">
      <c r="A2323"/>
      <c r="B2323"/>
      <c r="C2323"/>
      <c r="D2323"/>
    </row>
    <row r="2324" spans="1:4" x14ac:dyDescent="0.2">
      <c r="A2324"/>
      <c r="B2324"/>
      <c r="C2324"/>
      <c r="D2324"/>
    </row>
    <row r="2325" spans="1:4" x14ac:dyDescent="0.2">
      <c r="A2325"/>
      <c r="B2325"/>
      <c r="C2325"/>
      <c r="D2325"/>
    </row>
    <row r="2326" spans="1:4" x14ac:dyDescent="0.2">
      <c r="A2326"/>
      <c r="B2326"/>
      <c r="C2326"/>
      <c r="D2326"/>
    </row>
    <row r="2327" spans="1:4" x14ac:dyDescent="0.2">
      <c r="A2327"/>
      <c r="B2327"/>
      <c r="C2327"/>
      <c r="D2327"/>
    </row>
    <row r="2328" spans="1:4" x14ac:dyDescent="0.2">
      <c r="A2328"/>
      <c r="B2328"/>
      <c r="C2328"/>
      <c r="D2328"/>
    </row>
    <row r="2329" spans="1:4" x14ac:dyDescent="0.2">
      <c r="A2329"/>
      <c r="B2329"/>
      <c r="C2329"/>
      <c r="D2329"/>
    </row>
    <row r="2330" spans="1:4" x14ac:dyDescent="0.2">
      <c r="A2330"/>
      <c r="B2330"/>
      <c r="C2330"/>
      <c r="D2330"/>
    </row>
    <row r="2331" spans="1:4" x14ac:dyDescent="0.2">
      <c r="A2331"/>
      <c r="B2331"/>
      <c r="C2331"/>
      <c r="D2331"/>
    </row>
    <row r="2332" spans="1:4" x14ac:dyDescent="0.2">
      <c r="A2332"/>
      <c r="B2332"/>
      <c r="C2332"/>
      <c r="D2332"/>
    </row>
    <row r="2333" spans="1:4" x14ac:dyDescent="0.2">
      <c r="A2333"/>
      <c r="B2333"/>
      <c r="C2333"/>
      <c r="D2333"/>
    </row>
    <row r="2334" spans="1:4" x14ac:dyDescent="0.2">
      <c r="A2334"/>
      <c r="B2334"/>
      <c r="C2334"/>
      <c r="D2334"/>
    </row>
    <row r="2335" spans="1:4" x14ac:dyDescent="0.2">
      <c r="A2335"/>
      <c r="B2335"/>
      <c r="C2335"/>
      <c r="D2335"/>
    </row>
    <row r="2336" spans="1:4" x14ac:dyDescent="0.2">
      <c r="A2336"/>
      <c r="B2336"/>
      <c r="C2336"/>
      <c r="D2336"/>
    </row>
    <row r="2337" spans="1:4" x14ac:dyDescent="0.2">
      <c r="A2337"/>
      <c r="B2337"/>
      <c r="C2337"/>
      <c r="D2337"/>
    </row>
    <row r="2338" spans="1:4" x14ac:dyDescent="0.2">
      <c r="A2338"/>
      <c r="B2338"/>
      <c r="C2338"/>
      <c r="D2338"/>
    </row>
    <row r="2339" spans="1:4" x14ac:dyDescent="0.2">
      <c r="A2339"/>
      <c r="B2339"/>
      <c r="C2339"/>
      <c r="D2339"/>
    </row>
    <row r="2340" spans="1:4" x14ac:dyDescent="0.2">
      <c r="A2340"/>
      <c r="B2340"/>
      <c r="C2340"/>
      <c r="D2340"/>
    </row>
    <row r="2341" spans="1:4" x14ac:dyDescent="0.2">
      <c r="A2341"/>
      <c r="B2341"/>
      <c r="C2341"/>
      <c r="D2341"/>
    </row>
    <row r="2342" spans="1:4" x14ac:dyDescent="0.2">
      <c r="A2342"/>
      <c r="B2342"/>
      <c r="C2342"/>
      <c r="D2342"/>
    </row>
    <row r="2343" spans="1:4" x14ac:dyDescent="0.2">
      <c r="A2343"/>
      <c r="B2343"/>
      <c r="C2343"/>
      <c r="D2343"/>
    </row>
    <row r="2344" spans="1:4" x14ac:dyDescent="0.2">
      <c r="A2344"/>
      <c r="B2344"/>
      <c r="C2344"/>
      <c r="D2344"/>
    </row>
    <row r="2345" spans="1:4" x14ac:dyDescent="0.2">
      <c r="A2345"/>
      <c r="B2345"/>
      <c r="C2345"/>
      <c r="D2345"/>
    </row>
    <row r="2346" spans="1:4" x14ac:dyDescent="0.2">
      <c r="A2346"/>
      <c r="B2346"/>
      <c r="C2346"/>
      <c r="D2346"/>
    </row>
    <row r="2347" spans="1:4" x14ac:dyDescent="0.2">
      <c r="A2347"/>
      <c r="B2347"/>
      <c r="C2347"/>
      <c r="D2347"/>
    </row>
    <row r="2348" spans="1:4" x14ac:dyDescent="0.2">
      <c r="A2348"/>
      <c r="B2348"/>
      <c r="C2348"/>
      <c r="D2348"/>
    </row>
    <row r="2349" spans="1:4" x14ac:dyDescent="0.2">
      <c r="A2349"/>
      <c r="B2349"/>
      <c r="C2349"/>
      <c r="D2349"/>
    </row>
    <row r="2350" spans="1:4" x14ac:dyDescent="0.2">
      <c r="A2350"/>
      <c r="B2350"/>
      <c r="C2350"/>
      <c r="D2350"/>
    </row>
    <row r="2351" spans="1:4" x14ac:dyDescent="0.2">
      <c r="A2351"/>
      <c r="B2351"/>
      <c r="C2351"/>
      <c r="D2351"/>
    </row>
    <row r="2352" spans="1:4" x14ac:dyDescent="0.2">
      <c r="A2352"/>
      <c r="B2352"/>
      <c r="C2352"/>
      <c r="D2352"/>
    </row>
    <row r="2353" spans="1:4" x14ac:dyDescent="0.2">
      <c r="A2353"/>
      <c r="B2353"/>
      <c r="C2353"/>
      <c r="D2353"/>
    </row>
    <row r="2354" spans="1:4" x14ac:dyDescent="0.2">
      <c r="A2354"/>
      <c r="B2354"/>
      <c r="C2354"/>
      <c r="D2354"/>
    </row>
    <row r="2355" spans="1:4" x14ac:dyDescent="0.2">
      <c r="A2355"/>
      <c r="B2355"/>
      <c r="C2355"/>
      <c r="D2355"/>
    </row>
    <row r="2356" spans="1:4" x14ac:dyDescent="0.2">
      <c r="A2356"/>
      <c r="B2356"/>
      <c r="C2356"/>
      <c r="D2356"/>
    </row>
    <row r="2357" spans="1:4" x14ac:dyDescent="0.2">
      <c r="A2357"/>
      <c r="B2357"/>
      <c r="C2357"/>
      <c r="D2357"/>
    </row>
    <row r="2358" spans="1:4" x14ac:dyDescent="0.2">
      <c r="A2358"/>
      <c r="B2358"/>
      <c r="C2358"/>
      <c r="D2358"/>
    </row>
    <row r="2359" spans="1:4" x14ac:dyDescent="0.2">
      <c r="A2359"/>
      <c r="B2359"/>
      <c r="C2359"/>
      <c r="D2359"/>
    </row>
    <row r="2360" spans="1:4" x14ac:dyDescent="0.2">
      <c r="A2360"/>
      <c r="B2360"/>
      <c r="C2360"/>
      <c r="D2360"/>
    </row>
    <row r="2361" spans="1:4" x14ac:dyDescent="0.2">
      <c r="A2361"/>
      <c r="B2361"/>
      <c r="C2361"/>
      <c r="D2361"/>
    </row>
    <row r="2362" spans="1:4" x14ac:dyDescent="0.2">
      <c r="A2362"/>
      <c r="B2362"/>
      <c r="C2362"/>
      <c r="D2362"/>
    </row>
    <row r="2363" spans="1:4" x14ac:dyDescent="0.2">
      <c r="A2363"/>
      <c r="B2363"/>
      <c r="C2363"/>
      <c r="D2363"/>
    </row>
    <row r="2364" spans="1:4" x14ac:dyDescent="0.2">
      <c r="A2364"/>
      <c r="B2364"/>
      <c r="C2364"/>
      <c r="D2364"/>
    </row>
    <row r="2365" spans="1:4" x14ac:dyDescent="0.2">
      <c r="A2365"/>
      <c r="B2365"/>
      <c r="C2365"/>
      <c r="D2365"/>
    </row>
    <row r="2366" spans="1:4" x14ac:dyDescent="0.2">
      <c r="A2366"/>
      <c r="B2366"/>
      <c r="C2366"/>
      <c r="D2366"/>
    </row>
    <row r="2367" spans="1:4" x14ac:dyDescent="0.2">
      <c r="A2367"/>
      <c r="B2367"/>
      <c r="C2367"/>
      <c r="D2367"/>
    </row>
    <row r="2368" spans="1:4" x14ac:dyDescent="0.2">
      <c r="A2368"/>
      <c r="B2368"/>
      <c r="C2368"/>
      <c r="D2368"/>
    </row>
    <row r="2369" spans="1:4" x14ac:dyDescent="0.2">
      <c r="A2369"/>
      <c r="B2369"/>
      <c r="C2369"/>
      <c r="D2369"/>
    </row>
    <row r="2370" spans="1:4" x14ac:dyDescent="0.2">
      <c r="A2370"/>
      <c r="B2370"/>
      <c r="C2370"/>
      <c r="D2370"/>
    </row>
    <row r="2371" spans="1:4" x14ac:dyDescent="0.2">
      <c r="A2371"/>
      <c r="B2371"/>
      <c r="C2371"/>
      <c r="D2371"/>
    </row>
    <row r="2372" spans="1:4" x14ac:dyDescent="0.2">
      <c r="A2372"/>
      <c r="B2372"/>
      <c r="C2372"/>
      <c r="D2372"/>
    </row>
    <row r="2373" spans="1:4" x14ac:dyDescent="0.2">
      <c r="A2373"/>
      <c r="B2373"/>
      <c r="C2373"/>
      <c r="D2373"/>
    </row>
    <row r="2374" spans="1:4" x14ac:dyDescent="0.2">
      <c r="A2374"/>
      <c r="B2374"/>
      <c r="C2374"/>
      <c r="D2374"/>
    </row>
    <row r="2375" spans="1:4" x14ac:dyDescent="0.2">
      <c r="A2375"/>
      <c r="B2375"/>
      <c r="C2375"/>
      <c r="D2375"/>
    </row>
    <row r="2376" spans="1:4" x14ac:dyDescent="0.2">
      <c r="A2376"/>
      <c r="B2376"/>
      <c r="C2376"/>
      <c r="D2376"/>
    </row>
    <row r="2377" spans="1:4" x14ac:dyDescent="0.2">
      <c r="A2377"/>
      <c r="B2377"/>
      <c r="C2377"/>
      <c r="D2377"/>
    </row>
    <row r="2378" spans="1:4" x14ac:dyDescent="0.2">
      <c r="A2378"/>
      <c r="B2378"/>
      <c r="C2378"/>
      <c r="D2378"/>
    </row>
    <row r="2379" spans="1:4" x14ac:dyDescent="0.2">
      <c r="A2379"/>
      <c r="B2379"/>
      <c r="C2379"/>
      <c r="D2379"/>
    </row>
    <row r="2380" spans="1:4" x14ac:dyDescent="0.2">
      <c r="A2380"/>
      <c r="B2380"/>
      <c r="C2380"/>
      <c r="D2380"/>
    </row>
    <row r="2381" spans="1:4" x14ac:dyDescent="0.2">
      <c r="A2381"/>
      <c r="B2381"/>
      <c r="C2381"/>
      <c r="D2381"/>
    </row>
    <row r="2382" spans="1:4" x14ac:dyDescent="0.2">
      <c r="A2382"/>
      <c r="B2382"/>
      <c r="C2382"/>
      <c r="D2382"/>
    </row>
    <row r="2383" spans="1:4" x14ac:dyDescent="0.2">
      <c r="A2383"/>
      <c r="B2383"/>
      <c r="C2383"/>
      <c r="D2383"/>
    </row>
    <row r="2384" spans="1:4" x14ac:dyDescent="0.2">
      <c r="A2384"/>
      <c r="B2384"/>
      <c r="C2384"/>
      <c r="D2384"/>
    </row>
    <row r="2385" spans="1:4" x14ac:dyDescent="0.2">
      <c r="A2385"/>
      <c r="B2385"/>
      <c r="C2385"/>
      <c r="D2385"/>
    </row>
    <row r="2386" spans="1:4" x14ac:dyDescent="0.2">
      <c r="A2386"/>
      <c r="B2386"/>
      <c r="C2386"/>
      <c r="D2386"/>
    </row>
    <row r="2387" spans="1:4" x14ac:dyDescent="0.2">
      <c r="A2387"/>
      <c r="B2387"/>
      <c r="C2387"/>
      <c r="D2387"/>
    </row>
    <row r="2388" spans="1:4" x14ac:dyDescent="0.2">
      <c r="A2388"/>
      <c r="B2388"/>
      <c r="C2388"/>
      <c r="D2388"/>
    </row>
    <row r="2389" spans="1:4" x14ac:dyDescent="0.2">
      <c r="A2389"/>
      <c r="B2389"/>
      <c r="C2389"/>
      <c r="D2389"/>
    </row>
    <row r="2390" spans="1:4" x14ac:dyDescent="0.2">
      <c r="A2390"/>
      <c r="B2390"/>
      <c r="C2390"/>
      <c r="D2390"/>
    </row>
    <row r="2391" spans="1:4" x14ac:dyDescent="0.2">
      <c r="A2391"/>
      <c r="B2391"/>
      <c r="C2391"/>
      <c r="D2391"/>
    </row>
    <row r="2392" spans="1:4" x14ac:dyDescent="0.2">
      <c r="A2392"/>
      <c r="B2392"/>
      <c r="C2392"/>
      <c r="D2392"/>
    </row>
    <row r="2393" spans="1:4" x14ac:dyDescent="0.2">
      <c r="A2393"/>
      <c r="B2393"/>
      <c r="C2393"/>
      <c r="D2393"/>
    </row>
    <row r="2394" spans="1:4" x14ac:dyDescent="0.2">
      <c r="A2394"/>
      <c r="B2394"/>
      <c r="C2394"/>
      <c r="D2394"/>
    </row>
    <row r="2395" spans="1:4" x14ac:dyDescent="0.2">
      <c r="A2395"/>
      <c r="B2395"/>
      <c r="C2395"/>
      <c r="D2395"/>
    </row>
    <row r="2396" spans="1:4" x14ac:dyDescent="0.2">
      <c r="A2396"/>
      <c r="B2396"/>
      <c r="C2396"/>
      <c r="D2396"/>
    </row>
    <row r="2397" spans="1:4" x14ac:dyDescent="0.2">
      <c r="A2397"/>
      <c r="B2397"/>
      <c r="C2397"/>
      <c r="D2397"/>
    </row>
    <row r="2398" spans="1:4" x14ac:dyDescent="0.2">
      <c r="A2398"/>
      <c r="B2398"/>
      <c r="C2398"/>
      <c r="D2398"/>
    </row>
    <row r="2399" spans="1:4" x14ac:dyDescent="0.2">
      <c r="A2399"/>
      <c r="B2399"/>
      <c r="C2399"/>
      <c r="D2399"/>
    </row>
    <row r="2400" spans="1:4" x14ac:dyDescent="0.2">
      <c r="A2400"/>
      <c r="B2400"/>
      <c r="C2400"/>
      <c r="D2400"/>
    </row>
    <row r="2401" spans="1:4" x14ac:dyDescent="0.2">
      <c r="A2401"/>
      <c r="B2401"/>
      <c r="C2401"/>
      <c r="D2401"/>
    </row>
    <row r="2402" spans="1:4" x14ac:dyDescent="0.2">
      <c r="A2402"/>
      <c r="B2402"/>
      <c r="C2402"/>
      <c r="D2402"/>
    </row>
    <row r="2403" spans="1:4" x14ac:dyDescent="0.2">
      <c r="A2403"/>
      <c r="B2403"/>
      <c r="C2403"/>
      <c r="D2403"/>
    </row>
    <row r="2404" spans="1:4" x14ac:dyDescent="0.2">
      <c r="A2404"/>
      <c r="B2404"/>
      <c r="C2404"/>
      <c r="D2404"/>
    </row>
    <row r="2405" spans="1:4" x14ac:dyDescent="0.2">
      <c r="A2405"/>
      <c r="B2405"/>
      <c r="C2405"/>
      <c r="D2405"/>
    </row>
    <row r="2406" spans="1:4" x14ac:dyDescent="0.2">
      <c r="A2406"/>
      <c r="B2406"/>
      <c r="C2406"/>
      <c r="D2406"/>
    </row>
    <row r="2407" spans="1:4" x14ac:dyDescent="0.2">
      <c r="A2407"/>
      <c r="B2407"/>
      <c r="C2407"/>
      <c r="D2407"/>
    </row>
    <row r="2408" spans="1:4" x14ac:dyDescent="0.2">
      <c r="A2408"/>
      <c r="B2408"/>
      <c r="C2408"/>
      <c r="D2408"/>
    </row>
    <row r="2409" spans="1:4" x14ac:dyDescent="0.2">
      <c r="A2409"/>
      <c r="B2409"/>
      <c r="C2409"/>
      <c r="D2409"/>
    </row>
    <row r="2410" spans="1:4" x14ac:dyDescent="0.2">
      <c r="A2410"/>
      <c r="B2410"/>
      <c r="C2410"/>
      <c r="D2410"/>
    </row>
    <row r="2411" spans="1:4" x14ac:dyDescent="0.2">
      <c r="A2411"/>
      <c r="B2411"/>
      <c r="C2411"/>
      <c r="D2411"/>
    </row>
    <row r="2412" spans="1:4" x14ac:dyDescent="0.2">
      <c r="A2412"/>
      <c r="B2412"/>
      <c r="C2412"/>
      <c r="D2412"/>
    </row>
    <row r="2413" spans="1:4" x14ac:dyDescent="0.2">
      <c r="A2413"/>
      <c r="B2413"/>
      <c r="C2413"/>
      <c r="D2413"/>
    </row>
    <row r="2414" spans="1:4" x14ac:dyDescent="0.2">
      <c r="A2414"/>
      <c r="B2414"/>
      <c r="C2414"/>
      <c r="D2414"/>
    </row>
    <row r="2415" spans="1:4" x14ac:dyDescent="0.2">
      <c r="A2415"/>
      <c r="B2415"/>
      <c r="C2415"/>
      <c r="D2415"/>
    </row>
    <row r="2416" spans="1:4" x14ac:dyDescent="0.2">
      <c r="A2416"/>
      <c r="B2416"/>
      <c r="C2416"/>
      <c r="D2416"/>
    </row>
    <row r="2417" spans="1:4" x14ac:dyDescent="0.2">
      <c r="A2417"/>
      <c r="B2417"/>
      <c r="C2417"/>
      <c r="D2417"/>
    </row>
    <row r="2418" spans="1:4" x14ac:dyDescent="0.2">
      <c r="A2418"/>
      <c r="B2418"/>
      <c r="C2418"/>
      <c r="D2418"/>
    </row>
    <row r="2419" spans="1:4" x14ac:dyDescent="0.2">
      <c r="A2419"/>
      <c r="B2419"/>
      <c r="C2419"/>
      <c r="D2419"/>
    </row>
    <row r="2420" spans="1:4" x14ac:dyDescent="0.2">
      <c r="A2420"/>
      <c r="B2420"/>
      <c r="C2420"/>
      <c r="D2420"/>
    </row>
    <row r="2421" spans="1:4" x14ac:dyDescent="0.2">
      <c r="A2421"/>
      <c r="B2421"/>
      <c r="C2421"/>
      <c r="D2421"/>
    </row>
    <row r="2422" spans="1:4" x14ac:dyDescent="0.2">
      <c r="A2422"/>
      <c r="B2422"/>
      <c r="C2422"/>
      <c r="D2422"/>
    </row>
    <row r="2423" spans="1:4" x14ac:dyDescent="0.2">
      <c r="A2423"/>
      <c r="B2423"/>
      <c r="C2423"/>
      <c r="D2423"/>
    </row>
    <row r="2424" spans="1:4" x14ac:dyDescent="0.2">
      <c r="A2424"/>
      <c r="B2424"/>
      <c r="C2424"/>
      <c r="D2424"/>
    </row>
    <row r="2425" spans="1:4" x14ac:dyDescent="0.2">
      <c r="A2425"/>
      <c r="B2425"/>
      <c r="C2425"/>
      <c r="D2425"/>
    </row>
    <row r="2426" spans="1:4" x14ac:dyDescent="0.2">
      <c r="A2426"/>
      <c r="B2426"/>
      <c r="C2426"/>
      <c r="D2426"/>
    </row>
    <row r="2427" spans="1:4" x14ac:dyDescent="0.2">
      <c r="A2427"/>
      <c r="B2427"/>
      <c r="C2427"/>
      <c r="D2427"/>
    </row>
    <row r="2428" spans="1:4" x14ac:dyDescent="0.2">
      <c r="A2428"/>
      <c r="B2428"/>
      <c r="C2428"/>
      <c r="D2428"/>
    </row>
    <row r="2429" spans="1:4" x14ac:dyDescent="0.2">
      <c r="A2429"/>
      <c r="B2429"/>
      <c r="C2429"/>
      <c r="D2429"/>
    </row>
    <row r="2430" spans="1:4" x14ac:dyDescent="0.2">
      <c r="A2430"/>
      <c r="B2430"/>
      <c r="C2430"/>
      <c r="D2430"/>
    </row>
    <row r="2431" spans="1:4" x14ac:dyDescent="0.2">
      <c r="A2431"/>
      <c r="B2431"/>
      <c r="C2431"/>
      <c r="D2431"/>
    </row>
    <row r="2432" spans="1:4" x14ac:dyDescent="0.2">
      <c r="A2432"/>
      <c r="B2432"/>
      <c r="C2432"/>
      <c r="D2432"/>
    </row>
    <row r="2433" spans="1:4" x14ac:dyDescent="0.2">
      <c r="A2433"/>
      <c r="B2433"/>
      <c r="C2433"/>
      <c r="D2433"/>
    </row>
    <row r="2434" spans="1:4" x14ac:dyDescent="0.2">
      <c r="A2434"/>
      <c r="B2434"/>
      <c r="C2434"/>
      <c r="D2434"/>
    </row>
    <row r="2435" spans="1:4" x14ac:dyDescent="0.2">
      <c r="A2435"/>
      <c r="B2435"/>
      <c r="C2435"/>
      <c r="D2435"/>
    </row>
    <row r="2436" spans="1:4" x14ac:dyDescent="0.2">
      <c r="A2436"/>
      <c r="B2436"/>
      <c r="C2436"/>
      <c r="D2436"/>
    </row>
    <row r="2437" spans="1:4" x14ac:dyDescent="0.2">
      <c r="A2437"/>
      <c r="B2437"/>
      <c r="C2437"/>
      <c r="D2437"/>
    </row>
    <row r="2438" spans="1:4" x14ac:dyDescent="0.2">
      <c r="A2438"/>
      <c r="B2438"/>
      <c r="C2438"/>
      <c r="D2438"/>
    </row>
    <row r="2439" spans="1:4" x14ac:dyDescent="0.2">
      <c r="A2439"/>
      <c r="B2439"/>
      <c r="C2439"/>
      <c r="D2439"/>
    </row>
    <row r="2440" spans="1:4" x14ac:dyDescent="0.2">
      <c r="A2440"/>
      <c r="B2440"/>
      <c r="C2440"/>
      <c r="D2440"/>
    </row>
    <row r="2441" spans="1:4" x14ac:dyDescent="0.2">
      <c r="A2441"/>
      <c r="B2441"/>
      <c r="C2441"/>
      <c r="D2441"/>
    </row>
    <row r="2442" spans="1:4" x14ac:dyDescent="0.2">
      <c r="A2442"/>
      <c r="B2442"/>
      <c r="C2442"/>
      <c r="D2442"/>
    </row>
    <row r="2443" spans="1:4" x14ac:dyDescent="0.2">
      <c r="A2443"/>
      <c r="B2443"/>
      <c r="C2443"/>
      <c r="D2443"/>
    </row>
    <row r="2444" spans="1:4" x14ac:dyDescent="0.2">
      <c r="A2444"/>
      <c r="B2444"/>
      <c r="C2444"/>
      <c r="D2444"/>
    </row>
    <row r="2445" spans="1:4" x14ac:dyDescent="0.2">
      <c r="A2445"/>
      <c r="B2445"/>
      <c r="C2445"/>
      <c r="D2445"/>
    </row>
    <row r="2446" spans="1:4" x14ac:dyDescent="0.2">
      <c r="A2446"/>
      <c r="B2446"/>
      <c r="C2446"/>
      <c r="D2446"/>
    </row>
    <row r="2447" spans="1:4" x14ac:dyDescent="0.2">
      <c r="A2447"/>
      <c r="B2447"/>
      <c r="C2447"/>
      <c r="D2447"/>
    </row>
    <row r="2448" spans="1:4" x14ac:dyDescent="0.2">
      <c r="A2448"/>
      <c r="B2448"/>
      <c r="C2448"/>
      <c r="D2448"/>
    </row>
    <row r="2449" spans="1:4" x14ac:dyDescent="0.2">
      <c r="A2449"/>
      <c r="B2449"/>
      <c r="C2449"/>
      <c r="D2449"/>
    </row>
    <row r="2450" spans="1:4" x14ac:dyDescent="0.2">
      <c r="A2450"/>
      <c r="B2450"/>
      <c r="C2450"/>
      <c r="D2450"/>
    </row>
    <row r="2451" spans="1:4" x14ac:dyDescent="0.2">
      <c r="A2451"/>
      <c r="B2451"/>
      <c r="C2451"/>
      <c r="D2451"/>
    </row>
    <row r="2452" spans="1:4" x14ac:dyDescent="0.2">
      <c r="A2452"/>
      <c r="B2452"/>
      <c r="C2452"/>
      <c r="D2452"/>
    </row>
    <row r="2453" spans="1:4" x14ac:dyDescent="0.2">
      <c r="A2453"/>
      <c r="B2453"/>
      <c r="C2453"/>
      <c r="D2453"/>
    </row>
    <row r="2454" spans="1:4" x14ac:dyDescent="0.2">
      <c r="A2454"/>
      <c r="B2454"/>
      <c r="C2454"/>
      <c r="D2454"/>
    </row>
    <row r="2455" spans="1:4" x14ac:dyDescent="0.2">
      <c r="A2455"/>
      <c r="B2455"/>
      <c r="C2455"/>
      <c r="D2455"/>
    </row>
    <row r="2456" spans="1:4" x14ac:dyDescent="0.2">
      <c r="A2456"/>
      <c r="B2456"/>
      <c r="C2456"/>
      <c r="D2456"/>
    </row>
    <row r="2457" spans="1:4" x14ac:dyDescent="0.2">
      <c r="A2457"/>
      <c r="B2457"/>
      <c r="C2457"/>
      <c r="D2457"/>
    </row>
    <row r="2458" spans="1:4" x14ac:dyDescent="0.2">
      <c r="A2458"/>
      <c r="B2458"/>
      <c r="C2458"/>
      <c r="D2458"/>
    </row>
    <row r="2459" spans="1:4" x14ac:dyDescent="0.2">
      <c r="A2459"/>
      <c r="B2459"/>
      <c r="C2459"/>
      <c r="D2459"/>
    </row>
    <row r="2460" spans="1:4" x14ac:dyDescent="0.2">
      <c r="A2460"/>
      <c r="B2460"/>
      <c r="C2460"/>
      <c r="D2460"/>
    </row>
    <row r="2461" spans="1:4" x14ac:dyDescent="0.2">
      <c r="A2461"/>
      <c r="B2461"/>
      <c r="C2461"/>
      <c r="D2461"/>
    </row>
    <row r="2462" spans="1:4" x14ac:dyDescent="0.2">
      <c r="A2462"/>
      <c r="B2462"/>
      <c r="C2462"/>
      <c r="D2462"/>
    </row>
    <row r="2463" spans="1:4" x14ac:dyDescent="0.2">
      <c r="A2463"/>
      <c r="B2463"/>
      <c r="C2463"/>
      <c r="D2463"/>
    </row>
    <row r="2464" spans="1:4" x14ac:dyDescent="0.2">
      <c r="A2464"/>
      <c r="B2464"/>
      <c r="C2464"/>
      <c r="D2464"/>
    </row>
    <row r="2465" spans="1:4" x14ac:dyDescent="0.2">
      <c r="A2465"/>
      <c r="B2465"/>
      <c r="C2465"/>
      <c r="D2465"/>
    </row>
    <row r="2466" spans="1:4" x14ac:dyDescent="0.2">
      <c r="A2466"/>
      <c r="B2466"/>
      <c r="C2466"/>
      <c r="D2466"/>
    </row>
    <row r="2467" spans="1:4" x14ac:dyDescent="0.2">
      <c r="A2467"/>
      <c r="B2467"/>
      <c r="C2467"/>
      <c r="D2467"/>
    </row>
    <row r="2468" spans="1:4" x14ac:dyDescent="0.2">
      <c r="A2468"/>
      <c r="B2468"/>
      <c r="C2468"/>
      <c r="D2468"/>
    </row>
    <row r="2469" spans="1:4" x14ac:dyDescent="0.2">
      <c r="A2469"/>
      <c r="B2469"/>
      <c r="C2469"/>
      <c r="D2469"/>
    </row>
    <row r="2470" spans="1:4" x14ac:dyDescent="0.2">
      <c r="A2470"/>
      <c r="B2470"/>
      <c r="C2470"/>
      <c r="D2470"/>
    </row>
    <row r="2471" spans="1:4" x14ac:dyDescent="0.2">
      <c r="A2471"/>
      <c r="B2471"/>
      <c r="C2471"/>
      <c r="D2471"/>
    </row>
    <row r="2472" spans="1:4" x14ac:dyDescent="0.2">
      <c r="A2472"/>
      <c r="B2472"/>
      <c r="C2472"/>
      <c r="D2472"/>
    </row>
    <row r="2473" spans="1:4" x14ac:dyDescent="0.2">
      <c r="A2473"/>
      <c r="B2473"/>
      <c r="C2473"/>
      <c r="D2473"/>
    </row>
    <row r="2474" spans="1:4" x14ac:dyDescent="0.2">
      <c r="A2474"/>
      <c r="B2474"/>
      <c r="C2474"/>
      <c r="D2474"/>
    </row>
    <row r="2475" spans="1:4" x14ac:dyDescent="0.2">
      <c r="A2475"/>
      <c r="B2475"/>
      <c r="C2475"/>
      <c r="D2475"/>
    </row>
    <row r="2476" spans="1:4" x14ac:dyDescent="0.2">
      <c r="A2476"/>
      <c r="B2476"/>
      <c r="C2476"/>
      <c r="D2476"/>
    </row>
    <row r="2477" spans="1:4" x14ac:dyDescent="0.2">
      <c r="A2477"/>
      <c r="B2477"/>
      <c r="C2477"/>
      <c r="D2477"/>
    </row>
    <row r="2478" spans="1:4" x14ac:dyDescent="0.2">
      <c r="A2478"/>
      <c r="B2478"/>
      <c r="C2478"/>
      <c r="D2478"/>
    </row>
    <row r="2479" spans="1:4" x14ac:dyDescent="0.2">
      <c r="A2479"/>
      <c r="B2479"/>
      <c r="C2479"/>
      <c r="D2479"/>
    </row>
    <row r="2480" spans="1:4" x14ac:dyDescent="0.2">
      <c r="A2480"/>
      <c r="B2480"/>
      <c r="C2480"/>
      <c r="D2480"/>
    </row>
    <row r="2481" spans="1:4" x14ac:dyDescent="0.2">
      <c r="A2481"/>
      <c r="B2481"/>
      <c r="C2481"/>
      <c r="D2481"/>
    </row>
    <row r="2482" spans="1:4" x14ac:dyDescent="0.2">
      <c r="A2482"/>
      <c r="B2482"/>
      <c r="C2482"/>
      <c r="D2482"/>
    </row>
    <row r="2483" spans="1:4" x14ac:dyDescent="0.2">
      <c r="A2483"/>
      <c r="B2483"/>
      <c r="C2483"/>
      <c r="D2483"/>
    </row>
    <row r="2484" spans="1:4" x14ac:dyDescent="0.2">
      <c r="A2484"/>
      <c r="B2484"/>
      <c r="C2484"/>
      <c r="D2484"/>
    </row>
    <row r="2485" spans="1:4" x14ac:dyDescent="0.2">
      <c r="A2485"/>
      <c r="B2485"/>
      <c r="C2485"/>
      <c r="D2485"/>
    </row>
    <row r="2486" spans="1:4" x14ac:dyDescent="0.2">
      <c r="A2486"/>
      <c r="B2486"/>
      <c r="C2486"/>
      <c r="D2486"/>
    </row>
    <row r="2487" spans="1:4" x14ac:dyDescent="0.2">
      <c r="A2487"/>
      <c r="B2487"/>
      <c r="C2487"/>
      <c r="D2487"/>
    </row>
    <row r="2488" spans="1:4" x14ac:dyDescent="0.2">
      <c r="A2488"/>
      <c r="B2488"/>
      <c r="C2488"/>
      <c r="D2488"/>
    </row>
    <row r="2489" spans="1:4" x14ac:dyDescent="0.2">
      <c r="A2489"/>
      <c r="B2489"/>
      <c r="C2489"/>
      <c r="D2489"/>
    </row>
    <row r="2490" spans="1:4" x14ac:dyDescent="0.2">
      <c r="A2490"/>
      <c r="B2490"/>
      <c r="C2490"/>
      <c r="D2490"/>
    </row>
    <row r="2491" spans="1:4" x14ac:dyDescent="0.2">
      <c r="A2491"/>
      <c r="B2491"/>
      <c r="C2491"/>
      <c r="D2491"/>
    </row>
    <row r="2492" spans="1:4" x14ac:dyDescent="0.2">
      <c r="A2492"/>
      <c r="B2492"/>
      <c r="C2492"/>
      <c r="D2492"/>
    </row>
    <row r="2493" spans="1:4" x14ac:dyDescent="0.2">
      <c r="A2493"/>
      <c r="B2493"/>
      <c r="C2493"/>
      <c r="D2493"/>
    </row>
    <row r="2494" spans="1:4" x14ac:dyDescent="0.2">
      <c r="A2494"/>
      <c r="B2494"/>
      <c r="C2494"/>
      <c r="D2494"/>
    </row>
    <row r="2495" spans="1:4" x14ac:dyDescent="0.2">
      <c r="A2495"/>
      <c r="B2495"/>
      <c r="C2495"/>
      <c r="D2495"/>
    </row>
    <row r="2496" spans="1:4" x14ac:dyDescent="0.2">
      <c r="A2496"/>
      <c r="B2496"/>
      <c r="C2496"/>
      <c r="D2496"/>
    </row>
    <row r="2497" spans="1:4" x14ac:dyDescent="0.2">
      <c r="A2497"/>
      <c r="B2497"/>
      <c r="C2497"/>
      <c r="D2497"/>
    </row>
    <row r="2498" spans="1:4" x14ac:dyDescent="0.2">
      <c r="A2498"/>
      <c r="B2498"/>
      <c r="C2498"/>
      <c r="D2498"/>
    </row>
    <row r="2499" spans="1:4" x14ac:dyDescent="0.2">
      <c r="A2499"/>
      <c r="B2499"/>
      <c r="C2499"/>
      <c r="D2499"/>
    </row>
    <row r="2500" spans="1:4" x14ac:dyDescent="0.2">
      <c r="A2500"/>
      <c r="B2500"/>
      <c r="C2500"/>
      <c r="D2500"/>
    </row>
    <row r="2501" spans="1:4" x14ac:dyDescent="0.2">
      <c r="A2501"/>
      <c r="B2501"/>
      <c r="C2501"/>
      <c r="D2501"/>
    </row>
    <row r="2502" spans="1:4" x14ac:dyDescent="0.2">
      <c r="A2502"/>
      <c r="B2502"/>
      <c r="C2502"/>
      <c r="D2502"/>
    </row>
    <row r="2503" spans="1:4" x14ac:dyDescent="0.2">
      <c r="A2503"/>
      <c r="B2503"/>
      <c r="C2503"/>
      <c r="D2503"/>
    </row>
    <row r="2504" spans="1:4" x14ac:dyDescent="0.2">
      <c r="A2504"/>
      <c r="B2504"/>
      <c r="C2504"/>
      <c r="D2504"/>
    </row>
    <row r="2505" spans="1:4" x14ac:dyDescent="0.2">
      <c r="A2505"/>
      <c r="B2505"/>
      <c r="C2505"/>
      <c r="D2505"/>
    </row>
    <row r="2506" spans="1:4" x14ac:dyDescent="0.2">
      <c r="A2506"/>
      <c r="B2506"/>
      <c r="C2506"/>
      <c r="D2506"/>
    </row>
    <row r="2507" spans="1:4" x14ac:dyDescent="0.2">
      <c r="A2507"/>
      <c r="B2507"/>
      <c r="C2507"/>
      <c r="D2507"/>
    </row>
    <row r="2508" spans="1:4" x14ac:dyDescent="0.2">
      <c r="A2508"/>
      <c r="B2508"/>
      <c r="C2508"/>
      <c r="D2508"/>
    </row>
    <row r="2509" spans="1:4" x14ac:dyDescent="0.2">
      <c r="A2509"/>
      <c r="B2509"/>
      <c r="C2509"/>
      <c r="D2509"/>
    </row>
    <row r="2510" spans="1:4" x14ac:dyDescent="0.2">
      <c r="A2510"/>
      <c r="B2510"/>
      <c r="C2510"/>
      <c r="D2510"/>
    </row>
    <row r="2511" spans="1:4" x14ac:dyDescent="0.2">
      <c r="A2511"/>
      <c r="B2511"/>
      <c r="C2511"/>
      <c r="D2511"/>
    </row>
    <row r="2512" spans="1:4" x14ac:dyDescent="0.2">
      <c r="A2512"/>
      <c r="B2512"/>
      <c r="C2512"/>
      <c r="D2512"/>
    </row>
    <row r="2513" spans="1:4" x14ac:dyDescent="0.2">
      <c r="A2513"/>
      <c r="B2513"/>
      <c r="C2513"/>
      <c r="D2513"/>
    </row>
    <row r="2514" spans="1:4" x14ac:dyDescent="0.2">
      <c r="A2514"/>
      <c r="B2514"/>
      <c r="C2514"/>
      <c r="D2514"/>
    </row>
    <row r="2515" spans="1:4" x14ac:dyDescent="0.2">
      <c r="A2515"/>
      <c r="B2515"/>
      <c r="C2515"/>
      <c r="D2515"/>
    </row>
    <row r="2516" spans="1:4" x14ac:dyDescent="0.2">
      <c r="A2516"/>
      <c r="B2516"/>
      <c r="C2516"/>
      <c r="D2516"/>
    </row>
    <row r="2517" spans="1:4" x14ac:dyDescent="0.2">
      <c r="A2517"/>
      <c r="B2517"/>
      <c r="C2517"/>
      <c r="D2517"/>
    </row>
    <row r="2518" spans="1:4" x14ac:dyDescent="0.2">
      <c r="A2518"/>
      <c r="B2518"/>
      <c r="C2518"/>
      <c r="D2518"/>
    </row>
    <row r="2519" spans="1:4" x14ac:dyDescent="0.2">
      <c r="A2519"/>
      <c r="B2519"/>
      <c r="C2519"/>
      <c r="D2519"/>
    </row>
    <row r="2520" spans="1:4" x14ac:dyDescent="0.2">
      <c r="A2520"/>
      <c r="B2520"/>
      <c r="C2520"/>
      <c r="D2520"/>
    </row>
    <row r="2521" spans="1:4" x14ac:dyDescent="0.2">
      <c r="A2521"/>
      <c r="B2521"/>
      <c r="C2521"/>
      <c r="D2521"/>
    </row>
    <row r="2522" spans="1:4" x14ac:dyDescent="0.2">
      <c r="A2522"/>
      <c r="B2522"/>
      <c r="C2522"/>
      <c r="D2522"/>
    </row>
    <row r="2523" spans="1:4" x14ac:dyDescent="0.2">
      <c r="A2523"/>
      <c r="B2523"/>
      <c r="C2523"/>
      <c r="D2523"/>
    </row>
    <row r="2524" spans="1:4" x14ac:dyDescent="0.2">
      <c r="A2524"/>
      <c r="B2524"/>
      <c r="C2524"/>
      <c r="D2524"/>
    </row>
    <row r="2525" spans="1:4" x14ac:dyDescent="0.2">
      <c r="A2525"/>
      <c r="B2525"/>
      <c r="C2525"/>
      <c r="D2525"/>
    </row>
    <row r="2526" spans="1:4" x14ac:dyDescent="0.2">
      <c r="A2526"/>
      <c r="B2526"/>
      <c r="C2526"/>
      <c r="D2526"/>
    </row>
    <row r="2527" spans="1:4" x14ac:dyDescent="0.2">
      <c r="A2527"/>
      <c r="B2527"/>
      <c r="C2527"/>
      <c r="D2527"/>
    </row>
    <row r="2528" spans="1:4" x14ac:dyDescent="0.2">
      <c r="A2528"/>
      <c r="B2528"/>
      <c r="C2528"/>
      <c r="D2528"/>
    </row>
    <row r="2529" spans="1:4" x14ac:dyDescent="0.2">
      <c r="A2529"/>
      <c r="B2529"/>
      <c r="C2529"/>
      <c r="D2529"/>
    </row>
    <row r="2530" spans="1:4" x14ac:dyDescent="0.2">
      <c r="A2530"/>
      <c r="B2530"/>
      <c r="C2530"/>
      <c r="D2530"/>
    </row>
    <row r="2531" spans="1:4" x14ac:dyDescent="0.2">
      <c r="A2531"/>
      <c r="B2531"/>
      <c r="C2531"/>
      <c r="D2531"/>
    </row>
    <row r="2532" spans="1:4" x14ac:dyDescent="0.2">
      <c r="A2532"/>
      <c r="B2532"/>
      <c r="C2532"/>
      <c r="D2532"/>
    </row>
    <row r="2533" spans="1:4" x14ac:dyDescent="0.2">
      <c r="A2533"/>
      <c r="B2533"/>
      <c r="C2533"/>
      <c r="D2533"/>
    </row>
    <row r="2534" spans="1:4" x14ac:dyDescent="0.2">
      <c r="A2534"/>
      <c r="B2534"/>
      <c r="C2534"/>
      <c r="D2534"/>
    </row>
    <row r="2535" spans="1:4" x14ac:dyDescent="0.2">
      <c r="A2535"/>
      <c r="B2535"/>
      <c r="C2535"/>
      <c r="D2535"/>
    </row>
    <row r="2536" spans="1:4" x14ac:dyDescent="0.2">
      <c r="A2536"/>
      <c r="B2536"/>
      <c r="C2536"/>
      <c r="D2536"/>
    </row>
    <row r="2537" spans="1:4" x14ac:dyDescent="0.2">
      <c r="A2537"/>
      <c r="B2537"/>
      <c r="C2537"/>
      <c r="D2537"/>
    </row>
    <row r="2538" spans="1:4" x14ac:dyDescent="0.2">
      <c r="A2538"/>
      <c r="B2538"/>
      <c r="C2538"/>
      <c r="D2538"/>
    </row>
    <row r="2539" spans="1:4" x14ac:dyDescent="0.2">
      <c r="A2539"/>
      <c r="B2539"/>
      <c r="C2539"/>
      <c r="D2539"/>
    </row>
    <row r="2540" spans="1:4" x14ac:dyDescent="0.2">
      <c r="A2540"/>
      <c r="B2540"/>
      <c r="C2540"/>
      <c r="D2540"/>
    </row>
    <row r="2541" spans="1:4" x14ac:dyDescent="0.2">
      <c r="A2541"/>
      <c r="B2541"/>
      <c r="C2541"/>
      <c r="D2541"/>
    </row>
    <row r="2542" spans="1:4" x14ac:dyDescent="0.2">
      <c r="A2542"/>
      <c r="B2542"/>
      <c r="C2542"/>
      <c r="D2542"/>
    </row>
    <row r="2543" spans="1:4" x14ac:dyDescent="0.2">
      <c r="A2543"/>
      <c r="B2543"/>
      <c r="C2543"/>
      <c r="D2543"/>
    </row>
    <row r="2544" spans="1:4" x14ac:dyDescent="0.2">
      <c r="A2544"/>
      <c r="B2544"/>
      <c r="C2544"/>
      <c r="D2544"/>
    </row>
    <row r="2545" spans="1:4" x14ac:dyDescent="0.2">
      <c r="A2545"/>
      <c r="B2545"/>
      <c r="C2545"/>
      <c r="D2545"/>
    </row>
    <row r="2546" spans="1:4" x14ac:dyDescent="0.2">
      <c r="A2546"/>
      <c r="B2546"/>
      <c r="C2546"/>
      <c r="D2546"/>
    </row>
    <row r="2547" spans="1:4" x14ac:dyDescent="0.2">
      <c r="A2547"/>
      <c r="B2547"/>
      <c r="C2547"/>
      <c r="D2547"/>
    </row>
    <row r="2548" spans="1:4" x14ac:dyDescent="0.2">
      <c r="A2548"/>
      <c r="B2548"/>
      <c r="C2548"/>
      <c r="D2548"/>
    </row>
    <row r="2549" spans="1:4" x14ac:dyDescent="0.2">
      <c r="A2549"/>
      <c r="B2549"/>
      <c r="C2549"/>
      <c r="D2549"/>
    </row>
    <row r="2550" spans="1:4" x14ac:dyDescent="0.2">
      <c r="A2550"/>
      <c r="B2550"/>
      <c r="C2550"/>
      <c r="D2550"/>
    </row>
    <row r="2551" spans="1:4" x14ac:dyDescent="0.2">
      <c r="A2551"/>
      <c r="B2551"/>
      <c r="C2551"/>
      <c r="D2551"/>
    </row>
    <row r="2552" spans="1:4" x14ac:dyDescent="0.2">
      <c r="A2552"/>
      <c r="B2552"/>
      <c r="C2552"/>
      <c r="D2552"/>
    </row>
    <row r="2553" spans="1:4" x14ac:dyDescent="0.2">
      <c r="A2553"/>
      <c r="B2553"/>
      <c r="C2553"/>
      <c r="D2553"/>
    </row>
    <row r="2554" spans="1:4" x14ac:dyDescent="0.2">
      <c r="A2554"/>
      <c r="B2554"/>
      <c r="C2554"/>
      <c r="D2554"/>
    </row>
    <row r="2555" spans="1:4" x14ac:dyDescent="0.2">
      <c r="A2555"/>
      <c r="B2555"/>
      <c r="C2555"/>
      <c r="D2555"/>
    </row>
    <row r="2556" spans="1:4" x14ac:dyDescent="0.2">
      <c r="A2556"/>
      <c r="B2556"/>
      <c r="C2556"/>
      <c r="D2556"/>
    </row>
    <row r="2557" spans="1:4" x14ac:dyDescent="0.2">
      <c r="A2557"/>
      <c r="B2557"/>
      <c r="C2557"/>
      <c r="D2557"/>
    </row>
    <row r="2558" spans="1:4" x14ac:dyDescent="0.2">
      <c r="A2558"/>
      <c r="B2558"/>
      <c r="C2558"/>
      <c r="D2558"/>
    </row>
    <row r="2559" spans="1:4" x14ac:dyDescent="0.2">
      <c r="A2559"/>
      <c r="B2559"/>
      <c r="C2559"/>
      <c r="D2559"/>
    </row>
    <row r="2560" spans="1:4" x14ac:dyDescent="0.2">
      <c r="A2560"/>
      <c r="B2560"/>
      <c r="C2560"/>
      <c r="D2560"/>
    </row>
    <row r="2561" spans="1:4" x14ac:dyDescent="0.2">
      <c r="A2561"/>
      <c r="B2561"/>
      <c r="C2561"/>
      <c r="D2561"/>
    </row>
    <row r="2562" spans="1:4" x14ac:dyDescent="0.2">
      <c r="A2562"/>
      <c r="B2562"/>
      <c r="C2562"/>
      <c r="D2562"/>
    </row>
    <row r="2563" spans="1:4" x14ac:dyDescent="0.2">
      <c r="A2563"/>
      <c r="B2563"/>
      <c r="C2563"/>
      <c r="D2563"/>
    </row>
    <row r="2564" spans="1:4" x14ac:dyDescent="0.2">
      <c r="A2564"/>
      <c r="B2564"/>
      <c r="C2564"/>
      <c r="D2564"/>
    </row>
    <row r="2565" spans="1:4" x14ac:dyDescent="0.2">
      <c r="A2565"/>
      <c r="B2565"/>
      <c r="C2565"/>
      <c r="D2565"/>
    </row>
    <row r="2566" spans="1:4" x14ac:dyDescent="0.2">
      <c r="A2566"/>
      <c r="B2566"/>
      <c r="C2566"/>
      <c r="D2566"/>
    </row>
    <row r="2567" spans="1:4" x14ac:dyDescent="0.2">
      <c r="A2567"/>
      <c r="B2567"/>
      <c r="C2567"/>
      <c r="D2567"/>
    </row>
    <row r="2568" spans="1:4" x14ac:dyDescent="0.2">
      <c r="A2568"/>
      <c r="B2568"/>
      <c r="C2568"/>
      <c r="D2568"/>
    </row>
    <row r="2569" spans="1:4" x14ac:dyDescent="0.2">
      <c r="A2569"/>
      <c r="B2569"/>
      <c r="C2569"/>
      <c r="D2569"/>
    </row>
    <row r="2570" spans="1:4" x14ac:dyDescent="0.2">
      <c r="A2570"/>
      <c r="B2570"/>
      <c r="C2570"/>
      <c r="D2570"/>
    </row>
    <row r="2571" spans="1:4" x14ac:dyDescent="0.2">
      <c r="A2571"/>
      <c r="B2571"/>
      <c r="C2571"/>
      <c r="D2571"/>
    </row>
    <row r="2572" spans="1:4" x14ac:dyDescent="0.2">
      <c r="A2572"/>
      <c r="B2572"/>
      <c r="C2572"/>
      <c r="D2572"/>
    </row>
    <row r="2573" spans="1:4" x14ac:dyDescent="0.2">
      <c r="A2573"/>
      <c r="B2573"/>
      <c r="C2573"/>
      <c r="D2573"/>
    </row>
    <row r="2574" spans="1:4" x14ac:dyDescent="0.2">
      <c r="A2574"/>
      <c r="B2574"/>
      <c r="C2574"/>
      <c r="D2574"/>
    </row>
    <row r="2575" spans="1:4" x14ac:dyDescent="0.2">
      <c r="A2575"/>
      <c r="B2575"/>
      <c r="C2575"/>
      <c r="D2575"/>
    </row>
    <row r="2576" spans="1:4" x14ac:dyDescent="0.2">
      <c r="A2576"/>
      <c r="B2576"/>
      <c r="C2576"/>
      <c r="D2576"/>
    </row>
    <row r="2577" spans="1:4" x14ac:dyDescent="0.2">
      <c r="A2577"/>
      <c r="B2577"/>
      <c r="C2577"/>
      <c r="D2577"/>
    </row>
    <row r="2578" spans="1:4" x14ac:dyDescent="0.2">
      <c r="A2578"/>
      <c r="B2578"/>
      <c r="C2578"/>
      <c r="D2578"/>
    </row>
    <row r="2579" spans="1:4" x14ac:dyDescent="0.2">
      <c r="A2579"/>
      <c r="B2579"/>
      <c r="C2579"/>
      <c r="D2579"/>
    </row>
    <row r="2580" spans="1:4" x14ac:dyDescent="0.2">
      <c r="A2580"/>
      <c r="B2580"/>
      <c r="C2580"/>
      <c r="D2580"/>
    </row>
    <row r="2581" spans="1:4" x14ac:dyDescent="0.2">
      <c r="A2581"/>
      <c r="B2581"/>
      <c r="C2581"/>
      <c r="D2581"/>
    </row>
    <row r="2582" spans="1:4" x14ac:dyDescent="0.2">
      <c r="A2582"/>
      <c r="B2582"/>
      <c r="C2582"/>
      <c r="D2582"/>
    </row>
    <row r="2583" spans="1:4" x14ac:dyDescent="0.2">
      <c r="A2583"/>
      <c r="B2583"/>
      <c r="C2583"/>
      <c r="D2583"/>
    </row>
    <row r="2584" spans="1:4" x14ac:dyDescent="0.2">
      <c r="A2584"/>
      <c r="B2584"/>
      <c r="C2584"/>
      <c r="D2584"/>
    </row>
    <row r="2585" spans="1:4" x14ac:dyDescent="0.2">
      <c r="A2585"/>
      <c r="B2585"/>
      <c r="C2585"/>
      <c r="D2585"/>
    </row>
    <row r="2586" spans="1:4" x14ac:dyDescent="0.2">
      <c r="A2586"/>
      <c r="B2586"/>
      <c r="C2586"/>
      <c r="D2586"/>
    </row>
    <row r="2587" spans="1:4" x14ac:dyDescent="0.2">
      <c r="A2587"/>
      <c r="B2587"/>
      <c r="C2587"/>
      <c r="D2587"/>
    </row>
    <row r="2588" spans="1:4" x14ac:dyDescent="0.2">
      <c r="A2588"/>
      <c r="B2588"/>
      <c r="C2588"/>
      <c r="D2588"/>
    </row>
    <row r="2589" spans="1:4" x14ac:dyDescent="0.2">
      <c r="A2589"/>
      <c r="B2589"/>
      <c r="C2589"/>
      <c r="D2589"/>
    </row>
    <row r="2590" spans="1:4" x14ac:dyDescent="0.2">
      <c r="A2590"/>
      <c r="B2590"/>
      <c r="C2590"/>
      <c r="D2590"/>
    </row>
    <row r="2591" spans="1:4" x14ac:dyDescent="0.2">
      <c r="A2591"/>
      <c r="B2591"/>
      <c r="C2591"/>
      <c r="D2591"/>
    </row>
    <row r="2592" spans="1:4" x14ac:dyDescent="0.2">
      <c r="A2592"/>
      <c r="B2592"/>
      <c r="C2592"/>
      <c r="D2592"/>
    </row>
    <row r="2593" spans="1:4" x14ac:dyDescent="0.2">
      <c r="A2593"/>
      <c r="B2593"/>
      <c r="C2593"/>
      <c r="D2593"/>
    </row>
    <row r="2594" spans="1:4" x14ac:dyDescent="0.2">
      <c r="A2594"/>
      <c r="B2594"/>
      <c r="C2594"/>
      <c r="D2594"/>
    </row>
    <row r="2595" spans="1:4" x14ac:dyDescent="0.2">
      <c r="A2595"/>
      <c r="B2595"/>
      <c r="C2595"/>
      <c r="D2595"/>
    </row>
    <row r="2596" spans="1:4" x14ac:dyDescent="0.2">
      <c r="A2596"/>
      <c r="B2596"/>
      <c r="C2596"/>
      <c r="D2596"/>
    </row>
    <row r="2597" spans="1:4" x14ac:dyDescent="0.2">
      <c r="A2597"/>
      <c r="B2597"/>
      <c r="C2597"/>
      <c r="D2597"/>
    </row>
    <row r="2598" spans="1:4" x14ac:dyDescent="0.2">
      <c r="A2598"/>
      <c r="B2598"/>
      <c r="C2598"/>
      <c r="D2598"/>
    </row>
    <row r="2599" spans="1:4" x14ac:dyDescent="0.2">
      <c r="A2599"/>
      <c r="B2599"/>
      <c r="C2599"/>
      <c r="D2599"/>
    </row>
    <row r="2600" spans="1:4" x14ac:dyDescent="0.2">
      <c r="A2600"/>
      <c r="B2600"/>
      <c r="C2600"/>
      <c r="D2600"/>
    </row>
    <row r="2601" spans="1:4" x14ac:dyDescent="0.2">
      <c r="A2601"/>
      <c r="B2601"/>
      <c r="C2601"/>
      <c r="D2601"/>
    </row>
    <row r="2602" spans="1:4" x14ac:dyDescent="0.2">
      <c r="A2602"/>
      <c r="B2602"/>
      <c r="C2602"/>
      <c r="D2602"/>
    </row>
    <row r="2603" spans="1:4" x14ac:dyDescent="0.2">
      <c r="A2603"/>
      <c r="B2603"/>
      <c r="C2603"/>
      <c r="D2603"/>
    </row>
    <row r="2604" spans="1:4" x14ac:dyDescent="0.2">
      <c r="A2604"/>
      <c r="B2604"/>
      <c r="C2604"/>
      <c r="D2604"/>
    </row>
    <row r="2605" spans="1:4" x14ac:dyDescent="0.2">
      <c r="A2605"/>
      <c r="B2605"/>
      <c r="C2605"/>
      <c r="D2605"/>
    </row>
    <row r="2606" spans="1:4" x14ac:dyDescent="0.2">
      <c r="A2606"/>
      <c r="B2606"/>
      <c r="C2606"/>
      <c r="D2606"/>
    </row>
    <row r="2607" spans="1:4" x14ac:dyDescent="0.2">
      <c r="A2607"/>
      <c r="B2607"/>
      <c r="C2607"/>
      <c r="D2607"/>
    </row>
    <row r="2608" spans="1:4" x14ac:dyDescent="0.2">
      <c r="A2608"/>
      <c r="B2608"/>
      <c r="C2608"/>
      <c r="D2608"/>
    </row>
    <row r="2609" spans="1:4" x14ac:dyDescent="0.2">
      <c r="A2609"/>
      <c r="B2609"/>
      <c r="C2609"/>
      <c r="D2609"/>
    </row>
    <row r="2610" spans="1:4" x14ac:dyDescent="0.2">
      <c r="A2610"/>
      <c r="B2610"/>
      <c r="C2610"/>
      <c r="D2610"/>
    </row>
    <row r="2611" spans="1:4" x14ac:dyDescent="0.2">
      <c r="A2611"/>
      <c r="B2611"/>
      <c r="C2611"/>
      <c r="D2611"/>
    </row>
    <row r="2612" spans="1:4" x14ac:dyDescent="0.2">
      <c r="A2612"/>
      <c r="B2612"/>
      <c r="C2612"/>
      <c r="D2612"/>
    </row>
    <row r="2613" spans="1:4" x14ac:dyDescent="0.2">
      <c r="A2613"/>
      <c r="B2613"/>
      <c r="C2613"/>
      <c r="D2613"/>
    </row>
    <row r="2614" spans="1:4" x14ac:dyDescent="0.2">
      <c r="A2614"/>
      <c r="B2614"/>
      <c r="C2614"/>
      <c r="D2614"/>
    </row>
    <row r="2615" spans="1:4" x14ac:dyDescent="0.2">
      <c r="A2615"/>
      <c r="B2615"/>
      <c r="C2615"/>
      <c r="D2615"/>
    </row>
    <row r="2616" spans="1:4" x14ac:dyDescent="0.2">
      <c r="A2616"/>
      <c r="B2616"/>
      <c r="C2616"/>
      <c r="D2616"/>
    </row>
    <row r="2617" spans="1:4" x14ac:dyDescent="0.2">
      <c r="A2617"/>
      <c r="B2617"/>
      <c r="C2617"/>
      <c r="D2617"/>
    </row>
    <row r="2618" spans="1:4" x14ac:dyDescent="0.2">
      <c r="A2618"/>
      <c r="B2618"/>
      <c r="C2618"/>
      <c r="D2618"/>
    </row>
    <row r="2619" spans="1:4" x14ac:dyDescent="0.2">
      <c r="A2619"/>
      <c r="B2619"/>
      <c r="C2619"/>
      <c r="D2619"/>
    </row>
    <row r="2620" spans="1:4" x14ac:dyDescent="0.2">
      <c r="A2620"/>
      <c r="B2620"/>
      <c r="C2620"/>
      <c r="D2620"/>
    </row>
    <row r="2621" spans="1:4" x14ac:dyDescent="0.2">
      <c r="A2621"/>
      <c r="B2621"/>
      <c r="C2621"/>
      <c r="D2621"/>
    </row>
    <row r="2622" spans="1:4" x14ac:dyDescent="0.2">
      <c r="A2622"/>
      <c r="B2622"/>
      <c r="C2622"/>
      <c r="D2622"/>
    </row>
    <row r="2623" spans="1:4" x14ac:dyDescent="0.2">
      <c r="A2623"/>
      <c r="B2623"/>
      <c r="C2623"/>
      <c r="D2623"/>
    </row>
    <row r="2624" spans="1:4" x14ac:dyDescent="0.2">
      <c r="A2624"/>
      <c r="B2624"/>
      <c r="C2624"/>
      <c r="D2624"/>
    </row>
    <row r="2625" spans="1:4" x14ac:dyDescent="0.2">
      <c r="A2625"/>
      <c r="B2625"/>
      <c r="C2625"/>
      <c r="D2625"/>
    </row>
    <row r="2626" spans="1:4" x14ac:dyDescent="0.2">
      <c r="A2626"/>
      <c r="B2626"/>
      <c r="C2626"/>
      <c r="D2626"/>
    </row>
    <row r="2627" spans="1:4" x14ac:dyDescent="0.2">
      <c r="A2627"/>
      <c r="B2627"/>
      <c r="C2627"/>
      <c r="D2627"/>
    </row>
    <row r="2628" spans="1:4" x14ac:dyDescent="0.2">
      <c r="A2628"/>
      <c r="B2628"/>
      <c r="C2628"/>
      <c r="D2628"/>
    </row>
    <row r="2629" spans="1:4" x14ac:dyDescent="0.2">
      <c r="A2629"/>
      <c r="B2629"/>
      <c r="C2629"/>
      <c r="D2629"/>
    </row>
    <row r="2630" spans="1:4" x14ac:dyDescent="0.2">
      <c r="A2630"/>
      <c r="B2630"/>
      <c r="C2630"/>
      <c r="D2630"/>
    </row>
    <row r="2631" spans="1:4" x14ac:dyDescent="0.2">
      <c r="A2631"/>
      <c r="B2631"/>
      <c r="C2631"/>
      <c r="D2631"/>
    </row>
    <row r="2632" spans="1:4" x14ac:dyDescent="0.2">
      <c r="A2632"/>
      <c r="B2632"/>
      <c r="C2632"/>
      <c r="D2632"/>
    </row>
    <row r="2633" spans="1:4" x14ac:dyDescent="0.2">
      <c r="A2633"/>
      <c r="B2633"/>
      <c r="C2633"/>
      <c r="D2633"/>
    </row>
    <row r="2634" spans="1:4" x14ac:dyDescent="0.2">
      <c r="A2634"/>
      <c r="B2634"/>
      <c r="C2634"/>
      <c r="D2634"/>
    </row>
    <row r="2635" spans="1:4" x14ac:dyDescent="0.2">
      <c r="A2635"/>
      <c r="B2635"/>
      <c r="C2635"/>
      <c r="D2635"/>
    </row>
    <row r="2636" spans="1:4" x14ac:dyDescent="0.2">
      <c r="A2636"/>
      <c r="B2636"/>
      <c r="C2636"/>
      <c r="D2636"/>
    </row>
    <row r="2637" spans="1:4" x14ac:dyDescent="0.2">
      <c r="A2637"/>
      <c r="B2637"/>
      <c r="C2637"/>
      <c r="D2637"/>
    </row>
    <row r="2638" spans="1:4" x14ac:dyDescent="0.2">
      <c r="A2638"/>
      <c r="B2638"/>
      <c r="C2638"/>
      <c r="D2638"/>
    </row>
    <row r="2639" spans="1:4" x14ac:dyDescent="0.2">
      <c r="A2639"/>
      <c r="B2639"/>
      <c r="C2639"/>
      <c r="D2639"/>
    </row>
    <row r="2640" spans="1:4" x14ac:dyDescent="0.2">
      <c r="A2640"/>
      <c r="B2640"/>
      <c r="C2640"/>
      <c r="D2640"/>
    </row>
    <row r="2641" spans="1:4" x14ac:dyDescent="0.2">
      <c r="A2641"/>
      <c r="B2641"/>
      <c r="C2641"/>
      <c r="D2641"/>
    </row>
    <row r="2642" spans="1:4" x14ac:dyDescent="0.2">
      <c r="A2642"/>
      <c r="B2642"/>
      <c r="C2642"/>
      <c r="D2642"/>
    </row>
    <row r="2643" spans="1:4" x14ac:dyDescent="0.2">
      <c r="A2643"/>
      <c r="B2643"/>
      <c r="C2643"/>
      <c r="D2643"/>
    </row>
    <row r="2644" spans="1:4" x14ac:dyDescent="0.2">
      <c r="A2644"/>
      <c r="B2644"/>
      <c r="C2644"/>
      <c r="D2644"/>
    </row>
    <row r="2645" spans="1:4" x14ac:dyDescent="0.2">
      <c r="A2645"/>
      <c r="B2645"/>
      <c r="C2645"/>
      <c r="D2645"/>
    </row>
    <row r="2646" spans="1:4" x14ac:dyDescent="0.2">
      <c r="A2646"/>
      <c r="B2646"/>
      <c r="C2646"/>
      <c r="D2646"/>
    </row>
    <row r="2647" spans="1:4" x14ac:dyDescent="0.2">
      <c r="A2647"/>
      <c r="B2647"/>
      <c r="C2647"/>
      <c r="D2647"/>
    </row>
    <row r="2648" spans="1:4" x14ac:dyDescent="0.2">
      <c r="A2648"/>
      <c r="B2648"/>
      <c r="C2648"/>
      <c r="D2648"/>
    </row>
    <row r="2649" spans="1:4" x14ac:dyDescent="0.2">
      <c r="A2649"/>
      <c r="B2649"/>
      <c r="C2649"/>
      <c r="D2649"/>
    </row>
    <row r="2650" spans="1:4" x14ac:dyDescent="0.2">
      <c r="A2650"/>
      <c r="B2650"/>
      <c r="C2650"/>
      <c r="D2650"/>
    </row>
    <row r="2651" spans="1:4" x14ac:dyDescent="0.2">
      <c r="A2651"/>
      <c r="B2651"/>
      <c r="C2651"/>
      <c r="D2651"/>
    </row>
    <row r="2652" spans="1:4" x14ac:dyDescent="0.2">
      <c r="A2652"/>
      <c r="B2652"/>
      <c r="C2652"/>
      <c r="D2652"/>
    </row>
    <row r="2653" spans="1:4" x14ac:dyDescent="0.2">
      <c r="A2653"/>
      <c r="B2653"/>
      <c r="C2653"/>
      <c r="D2653"/>
    </row>
    <row r="2654" spans="1:4" x14ac:dyDescent="0.2">
      <c r="A2654"/>
      <c r="B2654"/>
      <c r="C2654"/>
      <c r="D2654"/>
    </row>
    <row r="2655" spans="1:4" x14ac:dyDescent="0.2">
      <c r="A2655"/>
      <c r="B2655"/>
      <c r="C2655"/>
      <c r="D2655"/>
    </row>
    <row r="2656" spans="1:4" x14ac:dyDescent="0.2">
      <c r="A2656"/>
      <c r="B2656"/>
      <c r="C2656"/>
      <c r="D2656"/>
    </row>
    <row r="2657" spans="1:4" x14ac:dyDescent="0.2">
      <c r="A2657"/>
      <c r="B2657"/>
      <c r="C2657"/>
      <c r="D2657"/>
    </row>
    <row r="2658" spans="1:4" x14ac:dyDescent="0.2">
      <c r="A2658"/>
      <c r="B2658"/>
      <c r="C2658"/>
      <c r="D2658"/>
    </row>
    <row r="2659" spans="1:4" x14ac:dyDescent="0.2">
      <c r="A2659"/>
      <c r="B2659"/>
      <c r="C2659"/>
      <c r="D2659"/>
    </row>
    <row r="2660" spans="1:4" x14ac:dyDescent="0.2">
      <c r="A2660"/>
      <c r="B2660"/>
      <c r="C2660"/>
      <c r="D2660"/>
    </row>
    <row r="2661" spans="1:4" x14ac:dyDescent="0.2">
      <c r="A2661"/>
      <c r="B2661"/>
      <c r="C2661"/>
      <c r="D2661"/>
    </row>
    <row r="2662" spans="1:4" x14ac:dyDescent="0.2">
      <c r="A2662"/>
      <c r="B2662"/>
      <c r="C2662"/>
      <c r="D2662"/>
    </row>
    <row r="2663" spans="1:4" x14ac:dyDescent="0.2">
      <c r="A2663"/>
      <c r="B2663"/>
      <c r="C2663"/>
      <c r="D2663"/>
    </row>
    <row r="2664" spans="1:4" x14ac:dyDescent="0.2">
      <c r="A2664"/>
      <c r="B2664"/>
      <c r="C2664"/>
      <c r="D2664"/>
    </row>
    <row r="2665" spans="1:4" x14ac:dyDescent="0.2">
      <c r="A2665"/>
      <c r="B2665"/>
      <c r="C2665"/>
      <c r="D2665"/>
    </row>
    <row r="2666" spans="1:4" x14ac:dyDescent="0.2">
      <c r="A2666"/>
      <c r="B2666"/>
      <c r="C2666"/>
      <c r="D2666"/>
    </row>
    <row r="2667" spans="1:4" x14ac:dyDescent="0.2">
      <c r="A2667"/>
      <c r="B2667"/>
      <c r="C2667"/>
      <c r="D2667"/>
    </row>
    <row r="2668" spans="1:4" x14ac:dyDescent="0.2">
      <c r="A2668"/>
      <c r="B2668"/>
      <c r="C2668"/>
      <c r="D2668"/>
    </row>
    <row r="2669" spans="1:4" x14ac:dyDescent="0.2">
      <c r="A2669"/>
      <c r="B2669"/>
      <c r="C2669"/>
      <c r="D2669"/>
    </row>
    <row r="2670" spans="1:4" x14ac:dyDescent="0.2">
      <c r="A2670"/>
      <c r="B2670"/>
      <c r="C2670"/>
      <c r="D2670"/>
    </row>
    <row r="2671" spans="1:4" x14ac:dyDescent="0.2">
      <c r="A2671"/>
      <c r="B2671"/>
      <c r="C2671"/>
      <c r="D2671"/>
    </row>
    <row r="2672" spans="1:4" x14ac:dyDescent="0.2">
      <c r="A2672"/>
      <c r="B2672"/>
      <c r="C2672"/>
      <c r="D2672"/>
    </row>
    <row r="2673" spans="1:4" x14ac:dyDescent="0.2">
      <c r="A2673"/>
      <c r="B2673"/>
      <c r="C2673"/>
      <c r="D2673"/>
    </row>
    <row r="2674" spans="1:4" x14ac:dyDescent="0.2">
      <c r="A2674"/>
      <c r="B2674"/>
      <c r="C2674"/>
      <c r="D2674"/>
    </row>
    <row r="2675" spans="1:4" x14ac:dyDescent="0.2">
      <c r="A2675"/>
      <c r="B2675"/>
      <c r="C2675"/>
      <c r="D2675"/>
    </row>
    <row r="2676" spans="1:4" x14ac:dyDescent="0.2">
      <c r="A2676"/>
      <c r="B2676"/>
      <c r="C2676"/>
      <c r="D2676"/>
    </row>
    <row r="2677" spans="1:4" x14ac:dyDescent="0.2">
      <c r="A2677"/>
      <c r="B2677"/>
      <c r="C2677"/>
      <c r="D2677"/>
    </row>
    <row r="2678" spans="1:4" x14ac:dyDescent="0.2">
      <c r="A2678"/>
      <c r="B2678"/>
      <c r="C2678"/>
      <c r="D2678"/>
    </row>
    <row r="2679" spans="1:4" x14ac:dyDescent="0.2">
      <c r="A2679"/>
      <c r="B2679"/>
      <c r="C2679"/>
      <c r="D2679"/>
    </row>
    <row r="2680" spans="1:4" x14ac:dyDescent="0.2">
      <c r="A2680"/>
      <c r="B2680"/>
      <c r="C2680"/>
      <c r="D2680"/>
    </row>
    <row r="2681" spans="1:4" x14ac:dyDescent="0.2">
      <c r="A2681"/>
      <c r="B2681"/>
      <c r="C2681"/>
      <c r="D2681"/>
    </row>
    <row r="2682" spans="1:4" x14ac:dyDescent="0.2">
      <c r="A2682"/>
      <c r="B2682"/>
      <c r="C2682"/>
      <c r="D2682"/>
    </row>
    <row r="2683" spans="1:4" x14ac:dyDescent="0.2">
      <c r="A2683"/>
      <c r="B2683"/>
      <c r="C2683"/>
      <c r="D2683"/>
    </row>
    <row r="2684" spans="1:4" x14ac:dyDescent="0.2">
      <c r="A2684"/>
      <c r="B2684"/>
      <c r="C2684"/>
      <c r="D2684"/>
    </row>
    <row r="2685" spans="1:4" x14ac:dyDescent="0.2">
      <c r="A2685"/>
      <c r="B2685"/>
      <c r="C2685"/>
      <c r="D2685"/>
    </row>
    <row r="2686" spans="1:4" x14ac:dyDescent="0.2">
      <c r="A2686"/>
      <c r="B2686"/>
      <c r="C2686"/>
      <c r="D2686"/>
    </row>
    <row r="2687" spans="1:4" x14ac:dyDescent="0.2">
      <c r="A2687"/>
      <c r="B2687"/>
      <c r="C2687"/>
      <c r="D2687"/>
    </row>
    <row r="2688" spans="1:4" x14ac:dyDescent="0.2">
      <c r="A2688"/>
      <c r="B2688"/>
      <c r="C2688"/>
      <c r="D2688"/>
    </row>
    <row r="2689" spans="1:4" x14ac:dyDescent="0.2">
      <c r="A2689"/>
      <c r="B2689"/>
      <c r="C2689"/>
      <c r="D2689"/>
    </row>
    <row r="2690" spans="1:4" x14ac:dyDescent="0.2">
      <c r="A2690"/>
      <c r="B2690"/>
      <c r="C2690"/>
      <c r="D2690"/>
    </row>
    <row r="2691" spans="1:4" x14ac:dyDescent="0.2">
      <c r="A2691"/>
      <c r="B2691"/>
      <c r="C2691"/>
      <c r="D2691"/>
    </row>
    <row r="2692" spans="1:4" x14ac:dyDescent="0.2">
      <c r="A2692"/>
      <c r="B2692"/>
      <c r="C2692"/>
      <c r="D2692"/>
    </row>
    <row r="2693" spans="1:4" x14ac:dyDescent="0.2">
      <c r="A2693"/>
      <c r="B2693"/>
      <c r="C2693"/>
      <c r="D2693"/>
    </row>
    <row r="2694" spans="1:4" x14ac:dyDescent="0.2">
      <c r="A2694"/>
      <c r="B2694"/>
      <c r="C2694"/>
      <c r="D2694"/>
    </row>
    <row r="2695" spans="1:4" x14ac:dyDescent="0.2">
      <c r="A2695"/>
      <c r="B2695"/>
      <c r="C2695"/>
      <c r="D2695"/>
    </row>
    <row r="2696" spans="1:4" x14ac:dyDescent="0.2">
      <c r="A2696"/>
      <c r="B2696"/>
      <c r="C2696"/>
      <c r="D2696"/>
    </row>
    <row r="2697" spans="1:4" x14ac:dyDescent="0.2">
      <c r="A2697"/>
      <c r="B2697"/>
      <c r="C2697"/>
      <c r="D2697"/>
    </row>
    <row r="2698" spans="1:4" x14ac:dyDescent="0.2">
      <c r="A2698"/>
      <c r="B2698"/>
      <c r="C2698"/>
      <c r="D2698"/>
    </row>
    <row r="2699" spans="1:4" x14ac:dyDescent="0.2">
      <c r="A2699"/>
      <c r="B2699"/>
      <c r="C2699"/>
      <c r="D2699"/>
    </row>
    <row r="2700" spans="1:4" x14ac:dyDescent="0.2">
      <c r="A2700"/>
      <c r="B2700"/>
      <c r="C2700"/>
      <c r="D2700"/>
    </row>
    <row r="2701" spans="1:4" x14ac:dyDescent="0.2">
      <c r="A2701"/>
      <c r="B2701"/>
      <c r="C2701"/>
      <c r="D2701"/>
    </row>
    <row r="2702" spans="1:4" x14ac:dyDescent="0.2">
      <c r="A2702"/>
      <c r="B2702"/>
      <c r="C2702"/>
      <c r="D2702"/>
    </row>
    <row r="2703" spans="1:4" x14ac:dyDescent="0.2">
      <c r="A2703"/>
      <c r="B2703"/>
      <c r="C2703"/>
      <c r="D2703"/>
    </row>
    <row r="2704" spans="1:4" x14ac:dyDescent="0.2">
      <c r="A2704"/>
      <c r="B2704"/>
      <c r="C2704"/>
      <c r="D2704"/>
    </row>
    <row r="2705" spans="1:4" x14ac:dyDescent="0.2">
      <c r="A2705"/>
      <c r="B2705"/>
      <c r="C2705"/>
      <c r="D2705"/>
    </row>
    <row r="2706" spans="1:4" x14ac:dyDescent="0.2">
      <c r="A2706"/>
      <c r="B2706"/>
      <c r="C2706"/>
      <c r="D2706"/>
    </row>
    <row r="2707" spans="1:4" x14ac:dyDescent="0.2">
      <c r="A2707"/>
      <c r="B2707"/>
      <c r="C2707"/>
      <c r="D2707"/>
    </row>
    <row r="2708" spans="1:4" x14ac:dyDescent="0.2">
      <c r="A2708"/>
      <c r="B2708"/>
      <c r="C2708"/>
      <c r="D2708"/>
    </row>
    <row r="2709" spans="1:4" x14ac:dyDescent="0.2">
      <c r="A2709"/>
      <c r="B2709"/>
      <c r="C2709"/>
      <c r="D2709"/>
    </row>
    <row r="2710" spans="1:4" x14ac:dyDescent="0.2">
      <c r="A2710"/>
      <c r="B2710"/>
      <c r="C2710"/>
      <c r="D2710"/>
    </row>
    <row r="2711" spans="1:4" x14ac:dyDescent="0.2">
      <c r="A2711"/>
      <c r="B2711"/>
      <c r="C2711"/>
      <c r="D2711"/>
    </row>
    <row r="2712" spans="1:4" x14ac:dyDescent="0.2">
      <c r="A2712"/>
      <c r="B2712"/>
      <c r="C2712"/>
      <c r="D2712"/>
    </row>
    <row r="2713" spans="1:4" x14ac:dyDescent="0.2">
      <c r="A2713"/>
      <c r="B2713"/>
      <c r="C2713"/>
      <c r="D2713"/>
    </row>
    <row r="2714" spans="1:4" x14ac:dyDescent="0.2">
      <c r="A2714"/>
      <c r="B2714"/>
      <c r="C2714"/>
      <c r="D2714"/>
    </row>
    <row r="2715" spans="1:4" x14ac:dyDescent="0.2">
      <c r="A2715"/>
      <c r="B2715"/>
      <c r="C2715"/>
      <c r="D2715"/>
    </row>
    <row r="2716" spans="1:4" x14ac:dyDescent="0.2">
      <c r="A2716"/>
      <c r="B2716"/>
      <c r="C2716"/>
      <c r="D2716"/>
    </row>
    <row r="2717" spans="1:4" x14ac:dyDescent="0.2">
      <c r="A2717"/>
      <c r="B2717"/>
      <c r="C2717"/>
      <c r="D2717"/>
    </row>
    <row r="2718" spans="1:4" x14ac:dyDescent="0.2">
      <c r="A2718"/>
      <c r="B2718"/>
      <c r="C2718"/>
      <c r="D2718"/>
    </row>
    <row r="2719" spans="1:4" x14ac:dyDescent="0.2">
      <c r="A2719"/>
      <c r="B2719"/>
      <c r="C2719"/>
      <c r="D2719"/>
    </row>
    <row r="2720" spans="1:4" x14ac:dyDescent="0.2">
      <c r="A2720"/>
      <c r="B2720"/>
      <c r="C2720"/>
      <c r="D2720"/>
    </row>
    <row r="2721" spans="1:4" x14ac:dyDescent="0.2">
      <c r="A2721"/>
      <c r="B2721"/>
      <c r="C2721"/>
      <c r="D2721"/>
    </row>
    <row r="2722" spans="1:4" x14ac:dyDescent="0.2">
      <c r="A2722"/>
      <c r="B2722"/>
      <c r="C2722"/>
      <c r="D2722"/>
    </row>
    <row r="2723" spans="1:4" x14ac:dyDescent="0.2">
      <c r="A2723"/>
      <c r="B2723"/>
      <c r="C2723"/>
      <c r="D2723"/>
    </row>
    <row r="2724" spans="1:4" x14ac:dyDescent="0.2">
      <c r="A2724"/>
      <c r="B2724"/>
      <c r="C2724"/>
      <c r="D2724"/>
    </row>
    <row r="2725" spans="1:4" x14ac:dyDescent="0.2">
      <c r="A2725"/>
      <c r="B2725"/>
      <c r="C2725"/>
      <c r="D2725"/>
    </row>
    <row r="2726" spans="1:4" x14ac:dyDescent="0.2">
      <c r="A2726"/>
      <c r="B2726"/>
      <c r="C2726"/>
      <c r="D2726"/>
    </row>
    <row r="2727" spans="1:4" x14ac:dyDescent="0.2">
      <c r="A2727"/>
      <c r="B2727"/>
      <c r="C2727"/>
      <c r="D2727"/>
    </row>
    <row r="2728" spans="1:4" x14ac:dyDescent="0.2">
      <c r="A2728"/>
      <c r="B2728"/>
      <c r="C2728"/>
      <c r="D2728"/>
    </row>
    <row r="2729" spans="1:4" x14ac:dyDescent="0.2">
      <c r="A2729"/>
      <c r="B2729"/>
      <c r="C2729"/>
      <c r="D2729"/>
    </row>
    <row r="2730" spans="1:4" x14ac:dyDescent="0.2">
      <c r="A2730"/>
      <c r="B2730"/>
      <c r="C2730"/>
      <c r="D2730"/>
    </row>
    <row r="2731" spans="1:4" x14ac:dyDescent="0.2">
      <c r="A2731"/>
      <c r="B2731"/>
      <c r="C2731"/>
      <c r="D2731"/>
    </row>
    <row r="2732" spans="1:4" x14ac:dyDescent="0.2">
      <c r="A2732"/>
      <c r="B2732"/>
      <c r="C2732"/>
      <c r="D2732"/>
    </row>
    <row r="2733" spans="1:4" x14ac:dyDescent="0.2">
      <c r="A2733"/>
      <c r="B2733"/>
      <c r="C2733"/>
      <c r="D2733"/>
    </row>
    <row r="2734" spans="1:4" x14ac:dyDescent="0.2">
      <c r="A2734"/>
      <c r="B2734"/>
      <c r="C2734"/>
      <c r="D2734"/>
    </row>
    <row r="2735" spans="1:4" x14ac:dyDescent="0.2">
      <c r="A2735"/>
      <c r="B2735"/>
      <c r="C2735"/>
      <c r="D2735"/>
    </row>
    <row r="2736" spans="1:4" x14ac:dyDescent="0.2">
      <c r="A2736"/>
      <c r="B2736"/>
      <c r="C2736"/>
      <c r="D2736"/>
    </row>
    <row r="2737" spans="1:4" x14ac:dyDescent="0.2">
      <c r="A2737"/>
      <c r="B2737"/>
      <c r="C2737"/>
      <c r="D2737"/>
    </row>
    <row r="2738" spans="1:4" x14ac:dyDescent="0.2">
      <c r="A2738"/>
      <c r="B2738"/>
      <c r="C2738"/>
      <c r="D2738"/>
    </row>
    <row r="2739" spans="1:4" x14ac:dyDescent="0.2">
      <c r="A2739"/>
      <c r="B2739"/>
      <c r="C2739"/>
      <c r="D2739"/>
    </row>
    <row r="2740" spans="1:4" x14ac:dyDescent="0.2">
      <c r="A2740"/>
      <c r="B2740"/>
      <c r="C2740"/>
      <c r="D2740"/>
    </row>
    <row r="2741" spans="1:4" x14ac:dyDescent="0.2">
      <c r="A2741"/>
      <c r="B2741"/>
      <c r="C2741"/>
      <c r="D2741"/>
    </row>
    <row r="2742" spans="1:4" x14ac:dyDescent="0.2">
      <c r="A2742"/>
      <c r="B2742"/>
      <c r="C2742"/>
      <c r="D2742"/>
    </row>
    <row r="2743" spans="1:4" x14ac:dyDescent="0.2">
      <c r="A2743"/>
      <c r="B2743"/>
      <c r="C2743"/>
      <c r="D2743"/>
    </row>
    <row r="2744" spans="1:4" x14ac:dyDescent="0.2">
      <c r="A2744"/>
      <c r="B2744"/>
      <c r="C2744"/>
      <c r="D2744"/>
    </row>
    <row r="2745" spans="1:4" x14ac:dyDescent="0.2">
      <c r="A2745"/>
      <c r="B2745"/>
      <c r="C2745"/>
      <c r="D2745"/>
    </row>
    <row r="2746" spans="1:4" x14ac:dyDescent="0.2">
      <c r="A2746"/>
      <c r="B2746"/>
      <c r="C2746"/>
      <c r="D2746"/>
    </row>
    <row r="2747" spans="1:4" x14ac:dyDescent="0.2">
      <c r="A2747"/>
      <c r="B2747"/>
      <c r="C2747"/>
      <c r="D2747"/>
    </row>
    <row r="2748" spans="1:4" x14ac:dyDescent="0.2">
      <c r="A2748"/>
      <c r="B2748"/>
      <c r="C2748"/>
      <c r="D2748"/>
    </row>
    <row r="2749" spans="1:4" x14ac:dyDescent="0.2">
      <c r="A2749"/>
      <c r="B2749"/>
      <c r="C2749"/>
      <c r="D2749"/>
    </row>
    <row r="2750" spans="1:4" x14ac:dyDescent="0.2">
      <c r="A2750"/>
      <c r="B2750"/>
      <c r="C2750"/>
      <c r="D2750"/>
    </row>
    <row r="2751" spans="1:4" x14ac:dyDescent="0.2">
      <c r="A2751"/>
      <c r="B2751"/>
      <c r="C2751"/>
      <c r="D2751"/>
    </row>
    <row r="2752" spans="1:4" x14ac:dyDescent="0.2">
      <c r="A2752"/>
      <c r="B2752"/>
      <c r="C2752"/>
      <c r="D2752"/>
    </row>
    <row r="2753" spans="1:4" x14ac:dyDescent="0.2">
      <c r="A2753"/>
      <c r="B2753"/>
      <c r="C2753"/>
      <c r="D2753"/>
    </row>
    <row r="2754" spans="1:4" x14ac:dyDescent="0.2">
      <c r="A2754"/>
      <c r="B2754"/>
      <c r="C2754"/>
      <c r="D2754"/>
    </row>
    <row r="2755" spans="1:4" x14ac:dyDescent="0.2">
      <c r="A2755"/>
      <c r="B2755"/>
      <c r="C2755"/>
      <c r="D2755"/>
    </row>
    <row r="2756" spans="1:4" x14ac:dyDescent="0.2">
      <c r="A2756"/>
      <c r="B2756"/>
      <c r="C2756"/>
      <c r="D2756"/>
    </row>
    <row r="2757" spans="1:4" x14ac:dyDescent="0.2">
      <c r="A2757"/>
      <c r="B2757"/>
      <c r="C2757"/>
      <c r="D2757"/>
    </row>
    <row r="2758" spans="1:4" x14ac:dyDescent="0.2">
      <c r="A2758"/>
      <c r="B2758"/>
      <c r="C2758"/>
      <c r="D2758"/>
    </row>
    <row r="2759" spans="1:4" x14ac:dyDescent="0.2">
      <c r="A2759"/>
      <c r="B2759"/>
      <c r="C2759"/>
      <c r="D2759"/>
    </row>
    <row r="2760" spans="1:4" x14ac:dyDescent="0.2">
      <c r="A2760"/>
      <c r="B2760"/>
      <c r="C2760"/>
      <c r="D2760"/>
    </row>
    <row r="2761" spans="1:4" x14ac:dyDescent="0.2">
      <c r="A2761"/>
      <c r="B2761"/>
      <c r="C2761"/>
      <c r="D2761"/>
    </row>
    <row r="2762" spans="1:4" x14ac:dyDescent="0.2">
      <c r="A2762"/>
      <c r="B2762"/>
      <c r="C2762"/>
      <c r="D2762"/>
    </row>
    <row r="2763" spans="1:4" x14ac:dyDescent="0.2">
      <c r="A2763"/>
      <c r="B2763"/>
      <c r="C2763"/>
      <c r="D2763"/>
    </row>
    <row r="2764" spans="1:4" x14ac:dyDescent="0.2">
      <c r="A2764"/>
      <c r="B2764"/>
      <c r="C2764"/>
      <c r="D2764"/>
    </row>
    <row r="2765" spans="1:4" x14ac:dyDescent="0.2">
      <c r="A2765"/>
      <c r="B2765"/>
      <c r="C2765"/>
      <c r="D2765"/>
    </row>
    <row r="2766" spans="1:4" x14ac:dyDescent="0.2">
      <c r="A2766"/>
      <c r="B2766"/>
      <c r="C2766"/>
      <c r="D2766"/>
    </row>
    <row r="2767" spans="1:4" x14ac:dyDescent="0.2">
      <c r="A2767"/>
      <c r="B2767"/>
      <c r="C2767"/>
      <c r="D2767"/>
    </row>
    <row r="2768" spans="1:4" x14ac:dyDescent="0.2">
      <c r="A2768"/>
      <c r="B2768"/>
      <c r="C2768"/>
      <c r="D2768"/>
    </row>
    <row r="2769" spans="1:4" x14ac:dyDescent="0.2">
      <c r="A2769"/>
      <c r="B2769"/>
      <c r="C2769"/>
      <c r="D2769"/>
    </row>
    <row r="2770" spans="1:4" x14ac:dyDescent="0.2">
      <c r="A2770"/>
      <c r="B2770"/>
      <c r="C2770"/>
      <c r="D2770"/>
    </row>
    <row r="2771" spans="1:4" x14ac:dyDescent="0.2">
      <c r="A2771"/>
      <c r="B2771"/>
      <c r="C2771"/>
      <c r="D2771"/>
    </row>
    <row r="2772" spans="1:4" x14ac:dyDescent="0.2">
      <c r="A2772"/>
      <c r="B2772"/>
      <c r="C2772"/>
      <c r="D2772"/>
    </row>
    <row r="2773" spans="1:4" x14ac:dyDescent="0.2">
      <c r="A2773"/>
      <c r="B2773"/>
      <c r="C2773"/>
      <c r="D2773"/>
    </row>
    <row r="2774" spans="1:4" x14ac:dyDescent="0.2">
      <c r="A2774"/>
      <c r="B2774"/>
      <c r="C2774"/>
      <c r="D2774"/>
    </row>
    <row r="2775" spans="1:4" x14ac:dyDescent="0.2">
      <c r="A2775"/>
      <c r="B2775"/>
      <c r="C2775"/>
      <c r="D2775"/>
    </row>
    <row r="2776" spans="1:4" x14ac:dyDescent="0.2">
      <c r="A2776"/>
      <c r="B2776"/>
      <c r="C2776"/>
      <c r="D2776"/>
    </row>
    <row r="2777" spans="1:4" x14ac:dyDescent="0.2">
      <c r="A2777"/>
      <c r="B2777"/>
      <c r="C2777"/>
      <c r="D2777"/>
    </row>
    <row r="2778" spans="1:4" x14ac:dyDescent="0.2">
      <c r="A2778"/>
      <c r="B2778"/>
      <c r="C2778"/>
      <c r="D2778"/>
    </row>
    <row r="2779" spans="1:4" x14ac:dyDescent="0.2">
      <c r="A2779"/>
      <c r="B2779"/>
      <c r="C2779"/>
      <c r="D2779"/>
    </row>
    <row r="2780" spans="1:4" x14ac:dyDescent="0.2">
      <c r="A2780"/>
      <c r="B2780"/>
      <c r="C2780"/>
      <c r="D2780"/>
    </row>
    <row r="2781" spans="1:4" x14ac:dyDescent="0.2">
      <c r="A2781"/>
      <c r="B2781"/>
      <c r="C2781"/>
      <c r="D2781"/>
    </row>
    <row r="2782" spans="1:4" x14ac:dyDescent="0.2">
      <c r="A2782"/>
      <c r="B2782"/>
      <c r="C2782"/>
      <c r="D2782"/>
    </row>
    <row r="2783" spans="1:4" x14ac:dyDescent="0.2">
      <c r="A2783"/>
      <c r="B2783"/>
      <c r="C2783"/>
      <c r="D2783"/>
    </row>
    <row r="2784" spans="1:4" x14ac:dyDescent="0.2">
      <c r="A2784"/>
      <c r="B2784"/>
      <c r="C2784"/>
      <c r="D2784"/>
    </row>
    <row r="2785" spans="1:4" x14ac:dyDescent="0.2">
      <c r="A2785"/>
      <c r="B2785"/>
      <c r="C2785"/>
      <c r="D2785"/>
    </row>
    <row r="2786" spans="1:4" x14ac:dyDescent="0.2">
      <c r="A2786"/>
      <c r="B2786"/>
      <c r="C2786"/>
      <c r="D2786"/>
    </row>
    <row r="2787" spans="1:4" x14ac:dyDescent="0.2">
      <c r="A2787"/>
      <c r="B2787"/>
      <c r="C2787"/>
      <c r="D2787"/>
    </row>
    <row r="2788" spans="1:4" x14ac:dyDescent="0.2">
      <c r="A2788"/>
      <c r="B2788"/>
      <c r="C2788"/>
      <c r="D2788"/>
    </row>
    <row r="2789" spans="1:4" x14ac:dyDescent="0.2">
      <c r="A2789"/>
      <c r="B2789"/>
      <c r="C2789"/>
      <c r="D2789"/>
    </row>
    <row r="2790" spans="1:4" x14ac:dyDescent="0.2">
      <c r="A2790"/>
      <c r="B2790"/>
      <c r="C2790"/>
      <c r="D2790"/>
    </row>
    <row r="2791" spans="1:4" x14ac:dyDescent="0.2">
      <c r="A2791"/>
      <c r="B2791"/>
      <c r="C2791"/>
      <c r="D2791"/>
    </row>
    <row r="2792" spans="1:4" x14ac:dyDescent="0.2">
      <c r="A2792"/>
      <c r="B2792"/>
      <c r="C2792"/>
      <c r="D2792"/>
    </row>
    <row r="2793" spans="1:4" x14ac:dyDescent="0.2">
      <c r="A2793"/>
      <c r="B2793"/>
      <c r="C2793"/>
      <c r="D2793"/>
    </row>
    <row r="2794" spans="1:4" x14ac:dyDescent="0.2">
      <c r="A2794"/>
      <c r="B2794"/>
      <c r="C2794"/>
      <c r="D2794"/>
    </row>
    <row r="2795" spans="1:4" x14ac:dyDescent="0.2">
      <c r="A2795"/>
      <c r="B2795"/>
      <c r="C2795"/>
      <c r="D2795"/>
    </row>
    <row r="2796" spans="1:4" x14ac:dyDescent="0.2">
      <c r="A2796"/>
      <c r="B2796"/>
      <c r="C2796"/>
      <c r="D2796"/>
    </row>
    <row r="2797" spans="1:4" x14ac:dyDescent="0.2">
      <c r="A2797"/>
      <c r="B2797"/>
      <c r="C2797"/>
      <c r="D2797"/>
    </row>
    <row r="2798" spans="1:4" x14ac:dyDescent="0.2">
      <c r="A2798"/>
      <c r="B2798"/>
      <c r="C2798"/>
      <c r="D2798"/>
    </row>
    <row r="2799" spans="1:4" x14ac:dyDescent="0.2">
      <c r="A2799"/>
      <c r="B2799"/>
      <c r="C2799"/>
      <c r="D2799"/>
    </row>
    <row r="2800" spans="1:4" x14ac:dyDescent="0.2">
      <c r="A2800"/>
      <c r="B2800"/>
      <c r="C2800"/>
      <c r="D2800"/>
    </row>
    <row r="2801" spans="1:4" x14ac:dyDescent="0.2">
      <c r="A2801"/>
      <c r="B2801"/>
      <c r="C2801"/>
      <c r="D2801"/>
    </row>
    <row r="2802" spans="1:4" x14ac:dyDescent="0.2">
      <c r="A2802"/>
      <c r="B2802"/>
      <c r="C2802"/>
      <c r="D2802"/>
    </row>
    <row r="2803" spans="1:4" x14ac:dyDescent="0.2">
      <c r="A2803"/>
      <c r="B2803"/>
      <c r="C2803"/>
      <c r="D2803"/>
    </row>
    <row r="2804" spans="1:4" x14ac:dyDescent="0.2">
      <c r="A2804"/>
      <c r="B2804"/>
      <c r="C2804"/>
      <c r="D2804"/>
    </row>
    <row r="2805" spans="1:4" x14ac:dyDescent="0.2">
      <c r="A2805"/>
      <c r="B2805"/>
      <c r="C2805"/>
      <c r="D2805"/>
    </row>
    <row r="2806" spans="1:4" x14ac:dyDescent="0.2">
      <c r="A2806"/>
      <c r="B2806"/>
      <c r="C2806"/>
      <c r="D2806"/>
    </row>
    <row r="2807" spans="1:4" x14ac:dyDescent="0.2">
      <c r="A2807"/>
      <c r="B2807"/>
      <c r="C2807"/>
      <c r="D2807"/>
    </row>
    <row r="2808" spans="1:4" x14ac:dyDescent="0.2">
      <c r="A2808"/>
      <c r="B2808"/>
      <c r="C2808"/>
      <c r="D2808"/>
    </row>
    <row r="2809" spans="1:4" x14ac:dyDescent="0.2">
      <c r="A2809"/>
      <c r="B2809"/>
      <c r="C2809"/>
      <c r="D2809"/>
    </row>
    <row r="2810" spans="1:4" x14ac:dyDescent="0.2">
      <c r="A2810"/>
      <c r="B2810"/>
      <c r="C2810"/>
      <c r="D2810"/>
    </row>
    <row r="2811" spans="1:4" x14ac:dyDescent="0.2">
      <c r="A2811"/>
      <c r="B2811"/>
      <c r="C2811"/>
      <c r="D2811"/>
    </row>
    <row r="2812" spans="1:4" x14ac:dyDescent="0.2">
      <c r="A2812"/>
      <c r="B2812"/>
      <c r="C2812"/>
      <c r="D2812"/>
    </row>
    <row r="2813" spans="1:4" x14ac:dyDescent="0.2">
      <c r="A2813"/>
      <c r="B2813"/>
      <c r="C2813"/>
      <c r="D2813"/>
    </row>
    <row r="2814" spans="1:4" x14ac:dyDescent="0.2">
      <c r="A2814"/>
      <c r="B2814"/>
      <c r="C2814"/>
      <c r="D2814"/>
    </row>
    <row r="2815" spans="1:4" x14ac:dyDescent="0.2">
      <c r="A2815"/>
      <c r="B2815"/>
      <c r="C2815"/>
      <c r="D2815"/>
    </row>
    <row r="2816" spans="1:4" x14ac:dyDescent="0.2">
      <c r="A2816"/>
      <c r="B2816"/>
      <c r="C2816"/>
      <c r="D2816"/>
    </row>
    <row r="2817" spans="1:4" x14ac:dyDescent="0.2">
      <c r="A2817"/>
      <c r="B2817"/>
      <c r="C2817"/>
      <c r="D2817"/>
    </row>
    <row r="2818" spans="1:4" x14ac:dyDescent="0.2">
      <c r="A2818"/>
      <c r="B2818"/>
      <c r="C2818"/>
      <c r="D2818"/>
    </row>
    <row r="2819" spans="1:4" x14ac:dyDescent="0.2">
      <c r="A2819"/>
      <c r="B2819"/>
      <c r="C2819"/>
      <c r="D2819"/>
    </row>
    <row r="2820" spans="1:4" x14ac:dyDescent="0.2">
      <c r="A2820"/>
      <c r="B2820"/>
      <c r="C2820"/>
      <c r="D2820"/>
    </row>
    <row r="2821" spans="1:4" x14ac:dyDescent="0.2">
      <c r="A2821"/>
      <c r="B2821"/>
      <c r="C2821"/>
      <c r="D2821"/>
    </row>
    <row r="2822" spans="1:4" x14ac:dyDescent="0.2">
      <c r="A2822"/>
      <c r="B2822"/>
      <c r="C2822"/>
      <c r="D2822"/>
    </row>
    <row r="2823" spans="1:4" x14ac:dyDescent="0.2">
      <c r="A2823"/>
      <c r="B2823"/>
      <c r="C2823"/>
      <c r="D2823"/>
    </row>
    <row r="2824" spans="1:4" x14ac:dyDescent="0.2">
      <c r="A2824"/>
      <c r="B2824"/>
      <c r="C2824"/>
      <c r="D2824"/>
    </row>
    <row r="2825" spans="1:4" x14ac:dyDescent="0.2">
      <c r="A2825"/>
      <c r="B2825"/>
      <c r="C2825"/>
      <c r="D2825"/>
    </row>
    <row r="2826" spans="1:4" x14ac:dyDescent="0.2">
      <c r="A2826"/>
      <c r="B2826"/>
      <c r="C2826"/>
      <c r="D2826"/>
    </row>
    <row r="2827" spans="1:4" x14ac:dyDescent="0.2">
      <c r="A2827"/>
      <c r="B2827"/>
      <c r="C2827"/>
      <c r="D2827"/>
    </row>
    <row r="2828" spans="1:4" x14ac:dyDescent="0.2">
      <c r="A2828"/>
      <c r="B2828"/>
      <c r="C2828"/>
      <c r="D2828"/>
    </row>
    <row r="2829" spans="1:4" x14ac:dyDescent="0.2">
      <c r="A2829"/>
      <c r="B2829"/>
      <c r="C2829"/>
      <c r="D2829"/>
    </row>
    <row r="2830" spans="1:4" x14ac:dyDescent="0.2">
      <c r="A2830"/>
      <c r="B2830"/>
      <c r="C2830"/>
      <c r="D2830"/>
    </row>
    <row r="2831" spans="1:4" x14ac:dyDescent="0.2">
      <c r="A2831"/>
      <c r="B2831"/>
      <c r="C2831"/>
      <c r="D2831"/>
    </row>
    <row r="2832" spans="1:4" x14ac:dyDescent="0.2">
      <c r="A2832"/>
      <c r="B2832"/>
      <c r="C2832"/>
      <c r="D2832"/>
    </row>
    <row r="2833" spans="1:4" x14ac:dyDescent="0.2">
      <c r="A2833"/>
      <c r="B2833"/>
      <c r="C2833"/>
      <c r="D2833"/>
    </row>
    <row r="2834" spans="1:4" x14ac:dyDescent="0.2">
      <c r="A2834"/>
      <c r="B2834"/>
      <c r="C2834"/>
      <c r="D2834"/>
    </row>
    <row r="2835" spans="1:4" x14ac:dyDescent="0.2">
      <c r="A2835"/>
      <c r="B2835"/>
      <c r="C2835"/>
      <c r="D2835"/>
    </row>
    <row r="2836" spans="1:4" x14ac:dyDescent="0.2">
      <c r="A2836"/>
      <c r="B2836"/>
      <c r="C2836"/>
      <c r="D2836"/>
    </row>
    <row r="2837" spans="1:4" x14ac:dyDescent="0.2">
      <c r="A2837"/>
      <c r="B2837"/>
      <c r="C2837"/>
      <c r="D2837"/>
    </row>
    <row r="2838" spans="1:4" x14ac:dyDescent="0.2">
      <c r="A2838"/>
      <c r="B2838"/>
      <c r="C2838"/>
      <c r="D2838"/>
    </row>
    <row r="2839" spans="1:4" x14ac:dyDescent="0.2">
      <c r="A2839"/>
      <c r="B2839"/>
      <c r="C2839"/>
      <c r="D2839"/>
    </row>
    <row r="2840" spans="1:4" x14ac:dyDescent="0.2">
      <c r="A2840"/>
      <c r="B2840"/>
      <c r="C2840"/>
      <c r="D2840"/>
    </row>
    <row r="2841" spans="1:4" x14ac:dyDescent="0.2">
      <c r="A2841"/>
      <c r="B2841"/>
      <c r="C2841"/>
      <c r="D2841"/>
    </row>
    <row r="2842" spans="1:4" x14ac:dyDescent="0.2">
      <c r="A2842"/>
      <c r="B2842"/>
      <c r="C2842"/>
      <c r="D2842"/>
    </row>
    <row r="2843" spans="1:4" x14ac:dyDescent="0.2">
      <c r="A2843"/>
      <c r="B2843"/>
      <c r="C2843"/>
      <c r="D2843"/>
    </row>
    <row r="2844" spans="1:4" x14ac:dyDescent="0.2">
      <c r="A2844"/>
      <c r="B2844"/>
      <c r="C2844"/>
      <c r="D2844"/>
    </row>
    <row r="2845" spans="1:4" x14ac:dyDescent="0.2">
      <c r="A2845"/>
      <c r="B2845"/>
      <c r="C2845"/>
      <c r="D2845"/>
    </row>
    <row r="2846" spans="1:4" x14ac:dyDescent="0.2">
      <c r="A2846"/>
      <c r="B2846"/>
      <c r="C2846"/>
      <c r="D2846"/>
    </row>
    <row r="2847" spans="1:4" x14ac:dyDescent="0.2">
      <c r="A2847"/>
      <c r="B2847"/>
      <c r="C2847"/>
      <c r="D2847"/>
    </row>
    <row r="2848" spans="1:4" x14ac:dyDescent="0.2">
      <c r="A2848"/>
      <c r="B2848"/>
      <c r="C2848"/>
      <c r="D2848"/>
    </row>
    <row r="2849" spans="1:4" x14ac:dyDescent="0.2">
      <c r="A2849"/>
      <c r="B2849"/>
      <c r="C2849"/>
      <c r="D2849"/>
    </row>
    <row r="2850" spans="1:4" x14ac:dyDescent="0.2">
      <c r="A2850"/>
      <c r="B2850"/>
      <c r="C2850"/>
      <c r="D2850"/>
    </row>
    <row r="2851" spans="1:4" x14ac:dyDescent="0.2">
      <c r="A2851"/>
      <c r="B2851"/>
      <c r="C2851"/>
      <c r="D2851"/>
    </row>
    <row r="2852" spans="1:4" x14ac:dyDescent="0.2">
      <c r="A2852"/>
      <c r="B2852"/>
      <c r="C2852"/>
      <c r="D2852"/>
    </row>
    <row r="2853" spans="1:4" x14ac:dyDescent="0.2">
      <c r="A2853"/>
      <c r="B2853"/>
      <c r="C2853"/>
      <c r="D2853"/>
    </row>
    <row r="2854" spans="1:4" x14ac:dyDescent="0.2">
      <c r="A2854"/>
      <c r="B2854"/>
      <c r="C2854"/>
      <c r="D2854"/>
    </row>
    <row r="2855" spans="1:4" x14ac:dyDescent="0.2">
      <c r="A2855"/>
      <c r="B2855"/>
      <c r="C2855"/>
      <c r="D2855"/>
    </row>
    <row r="2856" spans="1:4" x14ac:dyDescent="0.2">
      <c r="A2856"/>
      <c r="B2856"/>
      <c r="C2856"/>
      <c r="D2856"/>
    </row>
    <row r="2857" spans="1:4" x14ac:dyDescent="0.2">
      <c r="A2857"/>
      <c r="B2857"/>
      <c r="C2857"/>
      <c r="D2857"/>
    </row>
    <row r="2858" spans="1:4" x14ac:dyDescent="0.2">
      <c r="A2858"/>
      <c r="B2858"/>
      <c r="C2858"/>
      <c r="D2858"/>
    </row>
    <row r="2859" spans="1:4" x14ac:dyDescent="0.2">
      <c r="A2859"/>
      <c r="B2859"/>
      <c r="C2859"/>
      <c r="D2859"/>
    </row>
    <row r="2860" spans="1:4" x14ac:dyDescent="0.2">
      <c r="A2860"/>
      <c r="B2860"/>
      <c r="C2860"/>
      <c r="D2860"/>
    </row>
    <row r="2861" spans="1:4" x14ac:dyDescent="0.2">
      <c r="A2861"/>
      <c r="B2861"/>
      <c r="C2861"/>
      <c r="D2861"/>
    </row>
    <row r="2862" spans="1:4" x14ac:dyDescent="0.2">
      <c r="A2862"/>
      <c r="B2862"/>
      <c r="C2862"/>
      <c r="D2862"/>
    </row>
    <row r="2863" spans="1:4" x14ac:dyDescent="0.2">
      <c r="A2863"/>
      <c r="B2863"/>
      <c r="C2863"/>
      <c r="D2863"/>
    </row>
    <row r="2864" spans="1:4" x14ac:dyDescent="0.2">
      <c r="A2864"/>
      <c r="B2864"/>
      <c r="C2864"/>
      <c r="D2864"/>
    </row>
    <row r="2865" spans="1:4" x14ac:dyDescent="0.2">
      <c r="A2865"/>
      <c r="B2865"/>
      <c r="C2865"/>
      <c r="D2865"/>
    </row>
    <row r="2866" spans="1:4" x14ac:dyDescent="0.2">
      <c r="A2866"/>
      <c r="B2866"/>
      <c r="C2866"/>
      <c r="D2866"/>
    </row>
    <row r="2867" spans="1:4" x14ac:dyDescent="0.2">
      <c r="A2867"/>
      <c r="B2867"/>
      <c r="C2867"/>
      <c r="D2867"/>
    </row>
    <row r="2868" spans="1:4" x14ac:dyDescent="0.2">
      <c r="A2868"/>
      <c r="B2868"/>
      <c r="C2868"/>
      <c r="D2868"/>
    </row>
    <row r="2869" spans="1:4" x14ac:dyDescent="0.2">
      <c r="A2869"/>
      <c r="B2869"/>
      <c r="C2869"/>
      <c r="D2869"/>
    </row>
    <row r="2870" spans="1:4" x14ac:dyDescent="0.2">
      <c r="A2870"/>
      <c r="B2870"/>
      <c r="C2870"/>
      <c r="D2870"/>
    </row>
    <row r="2871" spans="1:4" x14ac:dyDescent="0.2">
      <c r="A2871"/>
      <c r="B2871"/>
      <c r="C2871"/>
      <c r="D2871"/>
    </row>
    <row r="2872" spans="1:4" x14ac:dyDescent="0.2">
      <c r="A2872"/>
      <c r="B2872"/>
      <c r="C2872"/>
      <c r="D2872"/>
    </row>
    <row r="2873" spans="1:4" x14ac:dyDescent="0.2">
      <c r="A2873"/>
      <c r="B2873"/>
      <c r="C2873"/>
      <c r="D2873"/>
    </row>
    <row r="2874" spans="1:4" x14ac:dyDescent="0.2">
      <c r="A2874"/>
      <c r="B2874"/>
      <c r="C2874"/>
      <c r="D2874"/>
    </row>
    <row r="2875" spans="1:4" x14ac:dyDescent="0.2">
      <c r="A2875"/>
      <c r="B2875"/>
      <c r="C2875"/>
      <c r="D2875"/>
    </row>
    <row r="2876" spans="1:4" x14ac:dyDescent="0.2">
      <c r="A2876"/>
      <c r="B2876"/>
      <c r="C2876"/>
      <c r="D2876"/>
    </row>
    <row r="2877" spans="1:4" x14ac:dyDescent="0.2">
      <c r="A2877"/>
      <c r="B2877"/>
      <c r="C2877"/>
      <c r="D2877"/>
    </row>
    <row r="2878" spans="1:4" x14ac:dyDescent="0.2">
      <c r="A2878"/>
      <c r="B2878"/>
      <c r="C2878"/>
      <c r="D2878"/>
    </row>
    <row r="2879" spans="1:4" x14ac:dyDescent="0.2">
      <c r="A2879"/>
      <c r="B2879"/>
      <c r="C2879"/>
      <c r="D2879"/>
    </row>
    <row r="2880" spans="1:4" x14ac:dyDescent="0.2">
      <c r="A2880"/>
      <c r="B2880"/>
      <c r="C2880"/>
      <c r="D2880"/>
    </row>
    <row r="2881" spans="1:4" x14ac:dyDescent="0.2">
      <c r="A2881"/>
      <c r="B2881"/>
      <c r="C2881"/>
      <c r="D2881"/>
    </row>
    <row r="2882" spans="1:4" x14ac:dyDescent="0.2">
      <c r="A2882"/>
      <c r="B2882"/>
      <c r="C2882"/>
      <c r="D2882"/>
    </row>
    <row r="2883" spans="1:4" x14ac:dyDescent="0.2">
      <c r="A2883"/>
      <c r="B2883"/>
      <c r="C2883"/>
      <c r="D2883"/>
    </row>
    <row r="2884" spans="1:4" x14ac:dyDescent="0.2">
      <c r="A2884"/>
      <c r="B2884"/>
      <c r="C2884"/>
      <c r="D2884"/>
    </row>
    <row r="2885" spans="1:4" x14ac:dyDescent="0.2">
      <c r="A2885"/>
      <c r="B2885"/>
      <c r="C2885"/>
      <c r="D2885"/>
    </row>
    <row r="2886" spans="1:4" x14ac:dyDescent="0.2">
      <c r="A2886"/>
      <c r="B2886"/>
      <c r="C2886"/>
      <c r="D2886"/>
    </row>
    <row r="2887" spans="1:4" x14ac:dyDescent="0.2">
      <c r="A2887"/>
      <c r="B2887"/>
      <c r="C2887"/>
      <c r="D2887"/>
    </row>
    <row r="2888" spans="1:4" x14ac:dyDescent="0.2">
      <c r="A2888"/>
      <c r="B2888"/>
      <c r="C2888"/>
      <c r="D2888"/>
    </row>
    <row r="2889" spans="1:4" x14ac:dyDescent="0.2">
      <c r="A2889"/>
      <c r="B2889"/>
      <c r="C2889"/>
      <c r="D2889"/>
    </row>
    <row r="2890" spans="1:4" x14ac:dyDescent="0.2">
      <c r="A2890"/>
      <c r="B2890"/>
      <c r="C2890"/>
      <c r="D2890"/>
    </row>
    <row r="2891" spans="1:4" x14ac:dyDescent="0.2">
      <c r="A2891"/>
      <c r="B2891"/>
      <c r="C2891"/>
      <c r="D2891"/>
    </row>
    <row r="2892" spans="1:4" x14ac:dyDescent="0.2">
      <c r="A2892"/>
      <c r="B2892"/>
      <c r="C2892"/>
      <c r="D2892"/>
    </row>
    <row r="2893" spans="1:4" x14ac:dyDescent="0.2">
      <c r="A2893"/>
      <c r="B2893"/>
      <c r="C2893"/>
      <c r="D2893"/>
    </row>
    <row r="2894" spans="1:4" x14ac:dyDescent="0.2">
      <c r="A2894"/>
      <c r="B2894"/>
      <c r="C2894"/>
      <c r="D2894"/>
    </row>
    <row r="2895" spans="1:4" x14ac:dyDescent="0.2">
      <c r="A2895"/>
      <c r="B2895"/>
      <c r="C2895"/>
      <c r="D2895"/>
    </row>
    <row r="2896" spans="1:4" x14ac:dyDescent="0.2">
      <c r="A2896"/>
      <c r="B2896"/>
      <c r="C2896"/>
      <c r="D2896"/>
    </row>
    <row r="2897" spans="1:4" x14ac:dyDescent="0.2">
      <c r="A2897"/>
      <c r="B2897"/>
      <c r="C2897"/>
      <c r="D2897"/>
    </row>
    <row r="2898" spans="1:4" x14ac:dyDescent="0.2">
      <c r="A2898"/>
      <c r="B2898"/>
      <c r="C2898"/>
      <c r="D2898"/>
    </row>
    <row r="2899" spans="1:4" x14ac:dyDescent="0.2">
      <c r="A2899"/>
      <c r="B2899"/>
      <c r="C2899"/>
      <c r="D2899"/>
    </row>
    <row r="2900" spans="1:4" x14ac:dyDescent="0.2">
      <c r="A2900"/>
      <c r="B2900"/>
      <c r="C2900"/>
      <c r="D2900"/>
    </row>
    <row r="2901" spans="1:4" x14ac:dyDescent="0.2">
      <c r="A2901"/>
      <c r="B2901"/>
      <c r="C2901"/>
      <c r="D2901"/>
    </row>
    <row r="2902" spans="1:4" x14ac:dyDescent="0.2">
      <c r="A2902"/>
      <c r="B2902"/>
      <c r="C2902"/>
      <c r="D2902"/>
    </row>
    <row r="2903" spans="1:4" x14ac:dyDescent="0.2">
      <c r="A2903"/>
      <c r="B2903"/>
      <c r="C2903"/>
      <c r="D2903"/>
    </row>
    <row r="2904" spans="1:4" x14ac:dyDescent="0.2">
      <c r="A2904"/>
      <c r="B2904"/>
      <c r="C2904"/>
      <c r="D2904"/>
    </row>
    <row r="2905" spans="1:4" x14ac:dyDescent="0.2">
      <c r="A2905"/>
      <c r="B2905"/>
      <c r="C2905"/>
      <c r="D2905"/>
    </row>
    <row r="2906" spans="1:4" x14ac:dyDescent="0.2">
      <c r="A2906"/>
      <c r="B2906"/>
      <c r="C2906"/>
      <c r="D2906"/>
    </row>
    <row r="2907" spans="1:4" x14ac:dyDescent="0.2">
      <c r="A2907"/>
      <c r="B2907"/>
      <c r="C2907"/>
      <c r="D2907"/>
    </row>
    <row r="2908" spans="1:4" x14ac:dyDescent="0.2">
      <c r="A2908"/>
      <c r="B2908"/>
      <c r="C2908"/>
      <c r="D2908"/>
    </row>
    <row r="2909" spans="1:4" x14ac:dyDescent="0.2">
      <c r="A2909"/>
      <c r="B2909"/>
      <c r="C2909"/>
      <c r="D2909"/>
    </row>
    <row r="2910" spans="1:4" x14ac:dyDescent="0.2">
      <c r="A2910"/>
      <c r="B2910"/>
      <c r="C2910"/>
      <c r="D2910"/>
    </row>
    <row r="2911" spans="1:4" x14ac:dyDescent="0.2">
      <c r="A2911"/>
      <c r="B2911"/>
      <c r="C2911"/>
      <c r="D2911"/>
    </row>
    <row r="2912" spans="1:4" x14ac:dyDescent="0.2">
      <c r="A2912"/>
      <c r="B2912"/>
      <c r="C2912"/>
      <c r="D2912"/>
    </row>
    <row r="2913" spans="1:4" x14ac:dyDescent="0.2">
      <c r="A2913"/>
      <c r="B2913"/>
      <c r="C2913"/>
      <c r="D2913"/>
    </row>
    <row r="2914" spans="1:4" x14ac:dyDescent="0.2">
      <c r="A2914"/>
      <c r="B2914"/>
      <c r="C2914"/>
      <c r="D2914"/>
    </row>
    <row r="2915" spans="1:4" x14ac:dyDescent="0.2">
      <c r="A2915"/>
      <c r="B2915"/>
      <c r="C2915"/>
      <c r="D2915"/>
    </row>
    <row r="2916" spans="1:4" x14ac:dyDescent="0.2">
      <c r="A2916"/>
      <c r="B2916"/>
      <c r="C2916"/>
      <c r="D2916"/>
    </row>
    <row r="2917" spans="1:4" x14ac:dyDescent="0.2">
      <c r="A2917"/>
      <c r="B2917"/>
      <c r="C2917"/>
      <c r="D2917"/>
    </row>
    <row r="2918" spans="1:4" x14ac:dyDescent="0.2">
      <c r="A2918"/>
      <c r="B2918"/>
      <c r="C2918"/>
      <c r="D2918"/>
    </row>
    <row r="2919" spans="1:4" x14ac:dyDescent="0.2">
      <c r="A2919"/>
      <c r="B2919"/>
      <c r="C2919"/>
      <c r="D2919"/>
    </row>
    <row r="2920" spans="1:4" x14ac:dyDescent="0.2">
      <c r="A2920"/>
      <c r="B2920"/>
      <c r="C2920"/>
      <c r="D2920"/>
    </row>
    <row r="2921" spans="1:4" x14ac:dyDescent="0.2">
      <c r="A2921"/>
      <c r="B2921"/>
      <c r="C2921"/>
      <c r="D2921"/>
    </row>
    <row r="2922" spans="1:4" x14ac:dyDescent="0.2">
      <c r="A2922"/>
      <c r="B2922"/>
      <c r="C2922"/>
      <c r="D2922"/>
    </row>
    <row r="2923" spans="1:4" x14ac:dyDescent="0.2">
      <c r="A2923"/>
      <c r="B2923"/>
      <c r="C2923"/>
      <c r="D2923"/>
    </row>
    <row r="2924" spans="1:4" x14ac:dyDescent="0.2">
      <c r="A2924"/>
      <c r="B2924"/>
      <c r="C2924"/>
      <c r="D2924"/>
    </row>
    <row r="2925" spans="1:4" x14ac:dyDescent="0.2">
      <c r="A2925"/>
      <c r="B2925"/>
      <c r="C2925"/>
      <c r="D2925"/>
    </row>
    <row r="2926" spans="1:4" x14ac:dyDescent="0.2">
      <c r="A2926"/>
      <c r="B2926"/>
      <c r="C2926"/>
      <c r="D2926"/>
    </row>
    <row r="2927" spans="1:4" x14ac:dyDescent="0.2">
      <c r="A2927"/>
      <c r="B2927"/>
      <c r="C2927"/>
      <c r="D2927"/>
    </row>
    <row r="2928" spans="1:4" x14ac:dyDescent="0.2">
      <c r="A2928"/>
      <c r="B2928"/>
      <c r="C2928"/>
      <c r="D2928"/>
    </row>
    <row r="2929" spans="1:4" x14ac:dyDescent="0.2">
      <c r="A2929"/>
      <c r="B2929"/>
      <c r="C2929"/>
      <c r="D2929"/>
    </row>
    <row r="2930" spans="1:4" x14ac:dyDescent="0.2">
      <c r="A2930"/>
      <c r="B2930"/>
      <c r="C2930"/>
      <c r="D2930"/>
    </row>
    <row r="2931" spans="1:4" x14ac:dyDescent="0.2">
      <c r="A2931"/>
      <c r="B2931"/>
      <c r="C2931"/>
      <c r="D2931"/>
    </row>
    <row r="2932" spans="1:4" x14ac:dyDescent="0.2">
      <c r="A2932"/>
      <c r="B2932"/>
      <c r="C2932"/>
      <c r="D2932"/>
    </row>
    <row r="2933" spans="1:4" x14ac:dyDescent="0.2">
      <c r="A2933"/>
      <c r="B2933"/>
      <c r="C2933"/>
      <c r="D2933"/>
    </row>
    <row r="2934" spans="1:4" x14ac:dyDescent="0.2">
      <c r="A2934"/>
      <c r="B2934"/>
      <c r="C2934"/>
      <c r="D2934"/>
    </row>
    <row r="2935" spans="1:4" x14ac:dyDescent="0.2">
      <c r="A2935"/>
      <c r="B2935"/>
      <c r="C2935"/>
      <c r="D2935"/>
    </row>
    <row r="2936" spans="1:4" x14ac:dyDescent="0.2">
      <c r="A2936"/>
      <c r="B2936"/>
      <c r="C2936"/>
      <c r="D2936"/>
    </row>
    <row r="2937" spans="1:4" x14ac:dyDescent="0.2">
      <c r="A2937"/>
      <c r="B2937"/>
      <c r="C2937"/>
      <c r="D2937"/>
    </row>
    <row r="2938" spans="1:4" x14ac:dyDescent="0.2">
      <c r="A2938"/>
      <c r="B2938"/>
      <c r="C2938"/>
      <c r="D2938"/>
    </row>
    <row r="2939" spans="1:4" x14ac:dyDescent="0.2">
      <c r="A2939"/>
      <c r="B2939"/>
      <c r="C2939"/>
      <c r="D2939"/>
    </row>
    <row r="2940" spans="1:4" x14ac:dyDescent="0.2">
      <c r="A2940"/>
      <c r="B2940"/>
      <c r="C2940"/>
      <c r="D2940"/>
    </row>
    <row r="2941" spans="1:4" x14ac:dyDescent="0.2">
      <c r="A2941"/>
      <c r="B2941"/>
      <c r="C2941"/>
      <c r="D2941"/>
    </row>
    <row r="2942" spans="1:4" x14ac:dyDescent="0.2">
      <c r="A2942"/>
      <c r="B2942"/>
      <c r="C2942"/>
      <c r="D2942"/>
    </row>
    <row r="2943" spans="1:4" x14ac:dyDescent="0.2">
      <c r="A2943"/>
      <c r="B2943"/>
      <c r="C2943"/>
      <c r="D2943"/>
    </row>
    <row r="2944" spans="1:4" x14ac:dyDescent="0.2">
      <c r="A2944"/>
      <c r="B2944"/>
      <c r="C2944"/>
      <c r="D2944"/>
    </row>
    <row r="2945" spans="1:4" x14ac:dyDescent="0.2">
      <c r="A2945"/>
      <c r="B2945"/>
      <c r="C2945"/>
      <c r="D2945"/>
    </row>
    <row r="2946" spans="1:4" x14ac:dyDescent="0.2">
      <c r="A2946"/>
      <c r="B2946"/>
      <c r="C2946"/>
      <c r="D2946"/>
    </row>
    <row r="2947" spans="1:4" x14ac:dyDescent="0.2">
      <c r="A2947"/>
      <c r="B2947"/>
      <c r="C2947"/>
      <c r="D2947"/>
    </row>
    <row r="2948" spans="1:4" x14ac:dyDescent="0.2">
      <c r="A2948"/>
      <c r="B2948"/>
      <c r="C2948"/>
      <c r="D2948"/>
    </row>
    <row r="2949" spans="1:4" x14ac:dyDescent="0.2">
      <c r="A2949"/>
      <c r="B2949"/>
      <c r="C2949"/>
      <c r="D2949"/>
    </row>
    <row r="2950" spans="1:4" x14ac:dyDescent="0.2">
      <c r="A2950"/>
      <c r="B2950"/>
      <c r="C2950"/>
      <c r="D2950"/>
    </row>
    <row r="2951" spans="1:4" x14ac:dyDescent="0.2">
      <c r="A2951"/>
      <c r="B2951"/>
      <c r="C2951"/>
      <c r="D2951"/>
    </row>
    <row r="2952" spans="1:4" x14ac:dyDescent="0.2">
      <c r="A2952"/>
      <c r="B2952"/>
      <c r="C2952"/>
      <c r="D2952"/>
    </row>
    <row r="2953" spans="1:4" x14ac:dyDescent="0.2">
      <c r="A2953"/>
      <c r="B2953"/>
      <c r="C2953"/>
      <c r="D2953"/>
    </row>
    <row r="2954" spans="1:4" x14ac:dyDescent="0.2">
      <c r="A2954"/>
      <c r="B2954"/>
      <c r="C2954"/>
      <c r="D2954"/>
    </row>
    <row r="2955" spans="1:4" x14ac:dyDescent="0.2">
      <c r="A2955"/>
      <c r="B2955"/>
      <c r="C2955"/>
      <c r="D2955"/>
    </row>
    <row r="2956" spans="1:4" x14ac:dyDescent="0.2">
      <c r="A2956"/>
      <c r="B2956"/>
      <c r="C2956"/>
      <c r="D2956"/>
    </row>
    <row r="2957" spans="1:4" x14ac:dyDescent="0.2">
      <c r="A2957"/>
      <c r="B2957"/>
      <c r="C2957"/>
      <c r="D2957"/>
    </row>
    <row r="2958" spans="1:4" x14ac:dyDescent="0.2">
      <c r="A2958"/>
      <c r="B2958"/>
      <c r="C2958"/>
      <c r="D2958"/>
    </row>
    <row r="2959" spans="1:4" x14ac:dyDescent="0.2">
      <c r="A2959"/>
      <c r="B2959"/>
      <c r="C2959"/>
      <c r="D2959"/>
    </row>
    <row r="2960" spans="1:4" x14ac:dyDescent="0.2">
      <c r="A2960"/>
      <c r="B2960"/>
      <c r="C2960"/>
      <c r="D2960"/>
    </row>
    <row r="2961" spans="1:4" x14ac:dyDescent="0.2">
      <c r="A2961"/>
      <c r="B2961"/>
      <c r="C2961"/>
      <c r="D2961"/>
    </row>
    <row r="2962" spans="1:4" x14ac:dyDescent="0.2">
      <c r="A2962"/>
      <c r="B2962"/>
      <c r="C2962"/>
      <c r="D2962"/>
    </row>
    <row r="2963" spans="1:4" x14ac:dyDescent="0.2">
      <c r="A2963"/>
      <c r="B2963"/>
      <c r="C2963"/>
      <c r="D2963"/>
    </row>
    <row r="2964" spans="1:4" x14ac:dyDescent="0.2">
      <c r="A2964"/>
      <c r="B2964"/>
      <c r="C2964"/>
      <c r="D2964"/>
    </row>
    <row r="2965" spans="1:4" x14ac:dyDescent="0.2">
      <c r="A2965"/>
      <c r="B2965"/>
      <c r="C2965"/>
      <c r="D2965"/>
    </row>
    <row r="2966" spans="1:4" x14ac:dyDescent="0.2">
      <c r="A2966"/>
      <c r="B2966"/>
      <c r="C2966"/>
      <c r="D2966"/>
    </row>
    <row r="2967" spans="1:4" x14ac:dyDescent="0.2">
      <c r="A2967"/>
      <c r="B2967"/>
      <c r="C2967"/>
      <c r="D2967"/>
    </row>
    <row r="2968" spans="1:4" x14ac:dyDescent="0.2">
      <c r="A2968"/>
      <c r="B2968"/>
      <c r="C2968"/>
      <c r="D2968"/>
    </row>
    <row r="2969" spans="1:4" x14ac:dyDescent="0.2">
      <c r="A2969"/>
      <c r="B2969"/>
      <c r="C2969"/>
      <c r="D2969"/>
    </row>
    <row r="2970" spans="1:4" x14ac:dyDescent="0.2">
      <c r="A2970"/>
      <c r="B2970"/>
      <c r="C2970"/>
      <c r="D2970"/>
    </row>
    <row r="2971" spans="1:4" x14ac:dyDescent="0.2">
      <c r="A2971"/>
      <c r="B2971"/>
      <c r="C2971"/>
      <c r="D2971"/>
    </row>
    <row r="2972" spans="1:4" x14ac:dyDescent="0.2">
      <c r="A2972"/>
      <c r="B2972"/>
      <c r="C2972"/>
      <c r="D2972"/>
    </row>
    <row r="2973" spans="1:4" x14ac:dyDescent="0.2">
      <c r="A2973"/>
      <c r="B2973"/>
      <c r="C2973"/>
      <c r="D2973"/>
    </row>
    <row r="2974" spans="1:4" x14ac:dyDescent="0.2">
      <c r="A2974"/>
      <c r="B2974"/>
      <c r="C2974"/>
      <c r="D2974"/>
    </row>
    <row r="2975" spans="1:4" x14ac:dyDescent="0.2">
      <c r="A2975"/>
      <c r="B2975"/>
      <c r="C2975"/>
      <c r="D2975"/>
    </row>
    <row r="2976" spans="1:4" x14ac:dyDescent="0.2">
      <c r="A2976"/>
      <c r="B2976"/>
      <c r="C2976"/>
      <c r="D2976"/>
    </row>
    <row r="2977" spans="1:4" x14ac:dyDescent="0.2">
      <c r="A2977"/>
      <c r="B2977"/>
      <c r="C2977"/>
      <c r="D2977"/>
    </row>
    <row r="2978" spans="1:4" x14ac:dyDescent="0.2">
      <c r="A2978"/>
      <c r="B2978"/>
      <c r="C2978"/>
      <c r="D2978"/>
    </row>
    <row r="2979" spans="1:4" x14ac:dyDescent="0.2">
      <c r="A2979"/>
      <c r="B2979"/>
      <c r="C2979"/>
      <c r="D2979"/>
    </row>
    <row r="2980" spans="1:4" x14ac:dyDescent="0.2">
      <c r="A2980"/>
      <c r="B2980"/>
      <c r="C2980"/>
      <c r="D2980"/>
    </row>
    <row r="2981" spans="1:4" x14ac:dyDescent="0.2">
      <c r="A2981"/>
      <c r="B2981"/>
      <c r="C2981"/>
      <c r="D2981"/>
    </row>
    <row r="2982" spans="1:4" x14ac:dyDescent="0.2">
      <c r="A2982"/>
      <c r="B2982"/>
      <c r="C2982"/>
      <c r="D2982"/>
    </row>
    <row r="2983" spans="1:4" x14ac:dyDescent="0.2">
      <c r="A2983"/>
      <c r="B2983"/>
      <c r="C2983"/>
      <c r="D2983"/>
    </row>
    <row r="2984" spans="1:4" x14ac:dyDescent="0.2">
      <c r="A2984"/>
      <c r="B2984"/>
      <c r="C2984"/>
      <c r="D2984"/>
    </row>
    <row r="2985" spans="1:4" x14ac:dyDescent="0.2">
      <c r="A2985"/>
      <c r="B2985"/>
      <c r="C2985"/>
      <c r="D2985"/>
    </row>
    <row r="2986" spans="1:4" x14ac:dyDescent="0.2">
      <c r="A2986"/>
      <c r="B2986"/>
      <c r="C2986"/>
      <c r="D2986"/>
    </row>
    <row r="2987" spans="1:4" x14ac:dyDescent="0.2">
      <c r="A2987"/>
      <c r="B2987"/>
      <c r="C2987"/>
      <c r="D2987"/>
    </row>
    <row r="2988" spans="1:4" x14ac:dyDescent="0.2">
      <c r="A2988"/>
      <c r="B2988"/>
      <c r="C2988"/>
      <c r="D2988"/>
    </row>
    <row r="2989" spans="1:4" x14ac:dyDescent="0.2">
      <c r="A2989"/>
      <c r="B2989"/>
      <c r="C2989"/>
      <c r="D2989"/>
    </row>
    <row r="2990" spans="1:4" x14ac:dyDescent="0.2">
      <c r="A2990"/>
      <c r="B2990"/>
      <c r="C2990"/>
      <c r="D2990"/>
    </row>
    <row r="2991" spans="1:4" x14ac:dyDescent="0.2">
      <c r="A2991"/>
      <c r="B2991"/>
      <c r="C2991"/>
      <c r="D2991"/>
    </row>
    <row r="2992" spans="1:4" x14ac:dyDescent="0.2">
      <c r="A2992"/>
      <c r="B2992"/>
      <c r="C2992"/>
      <c r="D2992"/>
    </row>
    <row r="2993" spans="1:4" x14ac:dyDescent="0.2">
      <c r="A2993"/>
      <c r="B2993"/>
      <c r="C2993"/>
      <c r="D2993"/>
    </row>
    <row r="2994" spans="1:4" x14ac:dyDescent="0.2">
      <c r="A2994"/>
      <c r="B2994"/>
      <c r="C2994"/>
      <c r="D2994"/>
    </row>
    <row r="2995" spans="1:4" x14ac:dyDescent="0.2">
      <c r="A2995"/>
      <c r="B2995"/>
      <c r="C2995"/>
      <c r="D2995"/>
    </row>
    <row r="2996" spans="1:4" x14ac:dyDescent="0.2">
      <c r="A2996"/>
      <c r="B2996"/>
      <c r="C2996"/>
      <c r="D2996"/>
    </row>
    <row r="2997" spans="1:4" x14ac:dyDescent="0.2">
      <c r="A2997"/>
      <c r="B2997"/>
      <c r="C2997"/>
      <c r="D2997"/>
    </row>
    <row r="2998" spans="1:4" x14ac:dyDescent="0.2">
      <c r="A2998"/>
      <c r="B2998"/>
      <c r="C2998"/>
      <c r="D2998"/>
    </row>
    <row r="2999" spans="1:4" x14ac:dyDescent="0.2">
      <c r="A2999"/>
      <c r="B2999"/>
      <c r="C2999"/>
      <c r="D2999"/>
    </row>
    <row r="3000" spans="1:4" x14ac:dyDescent="0.2">
      <c r="A3000"/>
      <c r="B3000"/>
      <c r="C3000"/>
      <c r="D3000"/>
    </row>
    <row r="3001" spans="1:4" x14ac:dyDescent="0.2">
      <c r="A3001"/>
      <c r="B3001"/>
      <c r="C3001"/>
      <c r="D3001"/>
    </row>
    <row r="3002" spans="1:4" x14ac:dyDescent="0.2">
      <c r="A3002"/>
      <c r="B3002"/>
      <c r="C3002"/>
      <c r="D3002"/>
    </row>
    <row r="3003" spans="1:4" x14ac:dyDescent="0.2">
      <c r="A3003"/>
      <c r="B3003"/>
      <c r="C3003"/>
      <c r="D3003"/>
    </row>
    <row r="3004" spans="1:4" x14ac:dyDescent="0.2">
      <c r="A3004"/>
      <c r="B3004"/>
      <c r="C3004"/>
      <c r="D3004"/>
    </row>
    <row r="3005" spans="1:4" x14ac:dyDescent="0.2">
      <c r="A3005"/>
      <c r="B3005"/>
      <c r="C3005"/>
      <c r="D3005"/>
    </row>
    <row r="3006" spans="1:4" x14ac:dyDescent="0.2">
      <c r="A3006"/>
      <c r="B3006"/>
      <c r="C3006"/>
      <c r="D3006"/>
    </row>
    <row r="3007" spans="1:4" x14ac:dyDescent="0.2">
      <c r="A3007"/>
      <c r="B3007"/>
      <c r="C3007"/>
      <c r="D3007"/>
    </row>
    <row r="3008" spans="1:4" x14ac:dyDescent="0.2">
      <c r="A3008"/>
      <c r="B3008"/>
      <c r="C3008"/>
      <c r="D3008"/>
    </row>
    <row r="3009" spans="1:4" x14ac:dyDescent="0.2">
      <c r="A3009"/>
      <c r="B3009"/>
      <c r="C3009"/>
      <c r="D3009"/>
    </row>
    <row r="3010" spans="1:4" x14ac:dyDescent="0.2">
      <c r="A3010"/>
      <c r="B3010"/>
      <c r="C3010"/>
      <c r="D3010"/>
    </row>
    <row r="3011" spans="1:4" x14ac:dyDescent="0.2">
      <c r="A3011"/>
      <c r="B3011"/>
      <c r="C3011"/>
      <c r="D3011"/>
    </row>
    <row r="3012" spans="1:4" x14ac:dyDescent="0.2">
      <c r="A3012"/>
      <c r="B3012"/>
      <c r="C3012"/>
      <c r="D3012"/>
    </row>
    <row r="3013" spans="1:4" x14ac:dyDescent="0.2">
      <c r="A3013"/>
      <c r="B3013"/>
      <c r="C3013"/>
      <c r="D3013"/>
    </row>
    <row r="3014" spans="1:4" x14ac:dyDescent="0.2">
      <c r="A3014"/>
      <c r="B3014"/>
      <c r="C3014"/>
      <c r="D3014"/>
    </row>
    <row r="3015" spans="1:4" x14ac:dyDescent="0.2">
      <c r="A3015"/>
      <c r="B3015"/>
      <c r="C3015"/>
      <c r="D3015"/>
    </row>
    <row r="3016" spans="1:4" x14ac:dyDescent="0.2">
      <c r="A3016"/>
      <c r="B3016"/>
      <c r="C3016"/>
      <c r="D3016"/>
    </row>
    <row r="3017" spans="1:4" x14ac:dyDescent="0.2">
      <c r="A3017"/>
      <c r="B3017"/>
      <c r="C3017"/>
      <c r="D3017"/>
    </row>
    <row r="3018" spans="1:4" x14ac:dyDescent="0.2">
      <c r="A3018"/>
      <c r="B3018"/>
      <c r="C3018"/>
      <c r="D3018"/>
    </row>
    <row r="3019" spans="1:4" x14ac:dyDescent="0.2">
      <c r="A3019"/>
      <c r="B3019"/>
      <c r="C3019"/>
      <c r="D3019"/>
    </row>
    <row r="3020" spans="1:4" x14ac:dyDescent="0.2">
      <c r="A3020"/>
      <c r="B3020"/>
      <c r="C3020"/>
      <c r="D3020"/>
    </row>
    <row r="3021" spans="1:4" x14ac:dyDescent="0.2">
      <c r="A3021"/>
      <c r="B3021"/>
      <c r="C3021"/>
      <c r="D3021"/>
    </row>
    <row r="3022" spans="1:4" x14ac:dyDescent="0.2">
      <c r="A3022"/>
      <c r="B3022"/>
      <c r="C3022"/>
      <c r="D3022"/>
    </row>
    <row r="3023" spans="1:4" x14ac:dyDescent="0.2">
      <c r="A3023"/>
      <c r="B3023"/>
      <c r="C3023"/>
      <c r="D3023"/>
    </row>
    <row r="3024" spans="1:4" x14ac:dyDescent="0.2">
      <c r="A3024"/>
      <c r="B3024"/>
      <c r="C3024"/>
      <c r="D3024"/>
    </row>
    <row r="3025" spans="1:4" x14ac:dyDescent="0.2">
      <c r="A3025"/>
      <c r="B3025"/>
      <c r="C3025"/>
      <c r="D3025"/>
    </row>
    <row r="3026" spans="1:4" x14ac:dyDescent="0.2">
      <c r="A3026"/>
      <c r="B3026"/>
      <c r="C3026"/>
      <c r="D3026"/>
    </row>
    <row r="3027" spans="1:4" x14ac:dyDescent="0.2">
      <c r="A3027"/>
      <c r="B3027"/>
      <c r="C3027"/>
      <c r="D3027"/>
    </row>
    <row r="3028" spans="1:4" x14ac:dyDescent="0.2">
      <c r="A3028"/>
      <c r="B3028"/>
      <c r="C3028"/>
      <c r="D3028"/>
    </row>
    <row r="3029" spans="1:4" x14ac:dyDescent="0.2">
      <c r="A3029"/>
      <c r="B3029"/>
      <c r="C3029"/>
      <c r="D3029"/>
    </row>
    <row r="3030" spans="1:4" x14ac:dyDescent="0.2">
      <c r="A3030"/>
      <c r="B3030"/>
      <c r="C3030"/>
      <c r="D3030"/>
    </row>
    <row r="3031" spans="1:4" x14ac:dyDescent="0.2">
      <c r="A3031"/>
      <c r="B3031"/>
      <c r="C3031"/>
      <c r="D3031"/>
    </row>
    <row r="3032" spans="1:4" x14ac:dyDescent="0.2">
      <c r="A3032"/>
      <c r="B3032"/>
      <c r="C3032"/>
      <c r="D3032"/>
    </row>
    <row r="3033" spans="1:4" x14ac:dyDescent="0.2">
      <c r="A3033"/>
      <c r="B3033"/>
      <c r="C3033"/>
      <c r="D3033"/>
    </row>
    <row r="3034" spans="1:4" x14ac:dyDescent="0.2">
      <c r="A3034"/>
      <c r="B3034"/>
      <c r="C3034"/>
      <c r="D3034"/>
    </row>
    <row r="3035" spans="1:4" x14ac:dyDescent="0.2">
      <c r="A3035"/>
      <c r="B3035"/>
      <c r="C3035"/>
      <c r="D3035"/>
    </row>
    <row r="3036" spans="1:4" x14ac:dyDescent="0.2">
      <c r="A3036"/>
      <c r="B3036"/>
      <c r="C3036"/>
      <c r="D3036"/>
    </row>
    <row r="3037" spans="1:4" x14ac:dyDescent="0.2">
      <c r="A3037"/>
      <c r="B3037"/>
      <c r="C3037"/>
      <c r="D3037"/>
    </row>
    <row r="3038" spans="1:4" x14ac:dyDescent="0.2">
      <c r="A3038"/>
      <c r="B3038"/>
      <c r="C3038"/>
      <c r="D3038"/>
    </row>
    <row r="3039" spans="1:4" x14ac:dyDescent="0.2">
      <c r="A3039"/>
      <c r="B3039"/>
      <c r="C3039"/>
      <c r="D3039"/>
    </row>
    <row r="3040" spans="1:4" x14ac:dyDescent="0.2">
      <c r="A3040"/>
      <c r="B3040"/>
      <c r="C3040"/>
      <c r="D3040"/>
    </row>
    <row r="3041" spans="1:4" x14ac:dyDescent="0.2">
      <c r="A3041"/>
      <c r="B3041"/>
      <c r="C3041"/>
      <c r="D3041"/>
    </row>
    <row r="3042" spans="1:4" x14ac:dyDescent="0.2">
      <c r="A3042"/>
      <c r="B3042"/>
      <c r="C3042"/>
      <c r="D3042"/>
    </row>
    <row r="3043" spans="1:4" x14ac:dyDescent="0.2">
      <c r="A3043"/>
      <c r="B3043"/>
      <c r="C3043"/>
      <c r="D3043"/>
    </row>
    <row r="3044" spans="1:4" x14ac:dyDescent="0.2">
      <c r="A3044"/>
      <c r="B3044"/>
      <c r="C3044"/>
      <c r="D3044"/>
    </row>
    <row r="3045" spans="1:4" x14ac:dyDescent="0.2">
      <c r="A3045"/>
      <c r="B3045"/>
      <c r="C3045"/>
      <c r="D3045"/>
    </row>
    <row r="3046" spans="1:4" x14ac:dyDescent="0.2">
      <c r="A3046"/>
      <c r="B3046"/>
      <c r="C3046"/>
      <c r="D3046"/>
    </row>
    <row r="3047" spans="1:4" x14ac:dyDescent="0.2">
      <c r="A3047"/>
      <c r="B3047"/>
      <c r="C3047"/>
      <c r="D3047"/>
    </row>
    <row r="3048" spans="1:4" x14ac:dyDescent="0.2">
      <c r="A3048"/>
      <c r="B3048"/>
      <c r="C3048"/>
      <c r="D3048"/>
    </row>
    <row r="3049" spans="1:4" x14ac:dyDescent="0.2">
      <c r="A3049"/>
      <c r="B3049"/>
      <c r="C3049"/>
      <c r="D3049"/>
    </row>
    <row r="3050" spans="1:4" x14ac:dyDescent="0.2">
      <c r="A3050"/>
      <c r="B3050"/>
      <c r="C3050"/>
      <c r="D3050"/>
    </row>
    <row r="3051" spans="1:4" x14ac:dyDescent="0.2">
      <c r="A3051"/>
      <c r="B3051"/>
      <c r="C3051"/>
      <c r="D3051"/>
    </row>
    <row r="3052" spans="1:4" x14ac:dyDescent="0.2">
      <c r="A3052"/>
      <c r="B3052"/>
      <c r="C3052"/>
      <c r="D3052"/>
    </row>
    <row r="3053" spans="1:4" x14ac:dyDescent="0.2">
      <c r="A3053"/>
      <c r="B3053"/>
      <c r="C3053"/>
      <c r="D3053"/>
    </row>
    <row r="3054" spans="1:4" x14ac:dyDescent="0.2">
      <c r="A3054"/>
      <c r="B3054"/>
      <c r="C3054"/>
      <c r="D3054"/>
    </row>
    <row r="3055" spans="1:4" x14ac:dyDescent="0.2">
      <c r="A3055"/>
      <c r="B3055"/>
      <c r="C3055"/>
      <c r="D3055"/>
    </row>
    <row r="3056" spans="1:4" x14ac:dyDescent="0.2">
      <c r="A3056"/>
      <c r="B3056"/>
      <c r="C3056"/>
      <c r="D3056"/>
    </row>
    <row r="3057" spans="1:4" x14ac:dyDescent="0.2">
      <c r="A3057"/>
      <c r="B3057"/>
      <c r="C3057"/>
      <c r="D3057"/>
    </row>
    <row r="3058" spans="1:4" x14ac:dyDescent="0.2">
      <c r="A3058"/>
      <c r="B3058"/>
      <c r="C3058"/>
      <c r="D3058"/>
    </row>
    <row r="3059" spans="1:4" x14ac:dyDescent="0.2">
      <c r="A3059"/>
      <c r="B3059"/>
      <c r="C3059"/>
      <c r="D3059"/>
    </row>
    <row r="3060" spans="1:4" x14ac:dyDescent="0.2">
      <c r="A3060"/>
      <c r="B3060"/>
      <c r="C3060"/>
      <c r="D3060"/>
    </row>
    <row r="3061" spans="1:4" x14ac:dyDescent="0.2">
      <c r="A3061"/>
      <c r="B3061"/>
      <c r="C3061"/>
      <c r="D3061"/>
    </row>
    <row r="3062" spans="1:4" x14ac:dyDescent="0.2">
      <c r="A3062"/>
      <c r="B3062"/>
      <c r="C3062"/>
      <c r="D3062"/>
    </row>
    <row r="3063" spans="1:4" x14ac:dyDescent="0.2">
      <c r="A3063"/>
      <c r="B3063"/>
      <c r="C3063"/>
      <c r="D3063"/>
    </row>
    <row r="3064" spans="1:4" x14ac:dyDescent="0.2">
      <c r="A3064"/>
      <c r="B3064"/>
      <c r="C3064"/>
      <c r="D3064"/>
    </row>
    <row r="3065" spans="1:4" x14ac:dyDescent="0.2">
      <c r="A3065"/>
      <c r="B3065"/>
      <c r="C3065"/>
      <c r="D3065"/>
    </row>
    <row r="3066" spans="1:4" x14ac:dyDescent="0.2">
      <c r="A3066"/>
      <c r="B3066"/>
      <c r="C3066"/>
      <c r="D3066"/>
    </row>
    <row r="3067" spans="1:4" x14ac:dyDescent="0.2">
      <c r="A3067"/>
      <c r="B3067"/>
      <c r="C3067"/>
      <c r="D3067"/>
    </row>
    <row r="3068" spans="1:4" x14ac:dyDescent="0.2">
      <c r="A3068"/>
      <c r="B3068"/>
      <c r="C3068"/>
      <c r="D3068"/>
    </row>
    <row r="3069" spans="1:4" x14ac:dyDescent="0.2">
      <c r="A3069"/>
      <c r="B3069"/>
      <c r="C3069"/>
      <c r="D3069"/>
    </row>
    <row r="3070" spans="1:4" x14ac:dyDescent="0.2">
      <c r="A3070"/>
      <c r="B3070"/>
      <c r="C3070"/>
      <c r="D3070"/>
    </row>
    <row r="3071" spans="1:4" x14ac:dyDescent="0.2">
      <c r="A3071"/>
      <c r="B3071"/>
      <c r="C3071"/>
      <c r="D3071"/>
    </row>
    <row r="3072" spans="1:4" x14ac:dyDescent="0.2">
      <c r="A3072"/>
      <c r="B3072"/>
      <c r="C3072"/>
      <c r="D3072"/>
    </row>
    <row r="3073" spans="1:4" x14ac:dyDescent="0.2">
      <c r="A3073"/>
      <c r="B3073"/>
      <c r="C3073"/>
      <c r="D3073"/>
    </row>
    <row r="3074" spans="1:4" x14ac:dyDescent="0.2">
      <c r="A3074"/>
      <c r="B3074"/>
      <c r="C3074"/>
      <c r="D3074"/>
    </row>
    <row r="3075" spans="1:4" x14ac:dyDescent="0.2">
      <c r="A3075"/>
      <c r="B3075"/>
      <c r="C3075"/>
      <c r="D3075"/>
    </row>
    <row r="3076" spans="1:4" x14ac:dyDescent="0.2">
      <c r="A3076"/>
      <c r="B3076"/>
      <c r="C3076"/>
      <c r="D3076"/>
    </row>
    <row r="3077" spans="1:4" x14ac:dyDescent="0.2">
      <c r="A3077"/>
      <c r="B3077"/>
      <c r="C3077"/>
      <c r="D3077"/>
    </row>
    <row r="3078" spans="1:4" x14ac:dyDescent="0.2">
      <c r="A3078"/>
      <c r="B3078"/>
      <c r="C3078"/>
      <c r="D3078"/>
    </row>
    <row r="3079" spans="1:4" x14ac:dyDescent="0.2">
      <c r="A3079"/>
      <c r="B3079"/>
      <c r="C3079"/>
      <c r="D3079"/>
    </row>
    <row r="3080" spans="1:4" x14ac:dyDescent="0.2">
      <c r="A3080"/>
      <c r="B3080"/>
      <c r="C3080"/>
      <c r="D3080"/>
    </row>
    <row r="3081" spans="1:4" x14ac:dyDescent="0.2">
      <c r="A3081"/>
      <c r="B3081"/>
      <c r="C3081"/>
      <c r="D3081"/>
    </row>
    <row r="3082" spans="1:4" x14ac:dyDescent="0.2">
      <c r="A3082"/>
      <c r="B3082"/>
      <c r="C3082"/>
      <c r="D3082"/>
    </row>
    <row r="3083" spans="1:4" x14ac:dyDescent="0.2">
      <c r="A3083"/>
      <c r="B3083"/>
      <c r="C3083"/>
      <c r="D3083"/>
    </row>
    <row r="3084" spans="1:4" x14ac:dyDescent="0.2">
      <c r="A3084"/>
      <c r="B3084"/>
      <c r="C3084"/>
      <c r="D3084"/>
    </row>
    <row r="3085" spans="1:4" x14ac:dyDescent="0.2">
      <c r="A3085"/>
      <c r="B3085"/>
      <c r="C3085"/>
      <c r="D3085"/>
    </row>
    <row r="3086" spans="1:4" x14ac:dyDescent="0.2">
      <c r="A3086"/>
      <c r="B3086"/>
      <c r="C3086"/>
      <c r="D3086"/>
    </row>
    <row r="3087" spans="1:4" x14ac:dyDescent="0.2">
      <c r="A3087"/>
      <c r="B3087"/>
      <c r="C3087"/>
      <c r="D3087"/>
    </row>
    <row r="3088" spans="1:4" x14ac:dyDescent="0.2">
      <c r="A3088"/>
      <c r="B3088"/>
      <c r="C3088"/>
      <c r="D3088"/>
    </row>
    <row r="3089" spans="1:4" x14ac:dyDescent="0.2">
      <c r="A3089"/>
      <c r="B3089"/>
      <c r="C3089"/>
      <c r="D3089"/>
    </row>
    <row r="3090" spans="1:4" x14ac:dyDescent="0.2">
      <c r="A3090"/>
      <c r="B3090"/>
      <c r="C3090"/>
      <c r="D3090"/>
    </row>
    <row r="3091" spans="1:4" x14ac:dyDescent="0.2">
      <c r="A3091"/>
      <c r="B3091"/>
      <c r="C3091"/>
      <c r="D3091"/>
    </row>
    <row r="3092" spans="1:4" x14ac:dyDescent="0.2">
      <c r="A3092"/>
      <c r="B3092"/>
      <c r="C3092"/>
      <c r="D3092"/>
    </row>
    <row r="3093" spans="1:4" x14ac:dyDescent="0.2">
      <c r="A3093"/>
      <c r="B3093"/>
      <c r="C3093"/>
      <c r="D3093"/>
    </row>
    <row r="3094" spans="1:4" x14ac:dyDescent="0.2">
      <c r="A3094"/>
      <c r="B3094"/>
      <c r="C3094"/>
      <c r="D3094"/>
    </row>
    <row r="3095" spans="1:4" x14ac:dyDescent="0.2">
      <c r="A3095"/>
      <c r="B3095"/>
      <c r="C3095"/>
      <c r="D3095"/>
    </row>
    <row r="3096" spans="1:4" x14ac:dyDescent="0.2">
      <c r="A3096"/>
      <c r="B3096"/>
      <c r="C3096"/>
      <c r="D3096"/>
    </row>
    <row r="3097" spans="1:4" x14ac:dyDescent="0.2">
      <c r="A3097"/>
      <c r="B3097"/>
      <c r="C3097"/>
      <c r="D3097"/>
    </row>
    <row r="3098" spans="1:4" x14ac:dyDescent="0.2">
      <c r="A3098"/>
      <c r="B3098"/>
      <c r="C3098"/>
      <c r="D3098"/>
    </row>
    <row r="3099" spans="1:4" x14ac:dyDescent="0.2">
      <c r="A3099"/>
      <c r="B3099"/>
      <c r="C3099"/>
      <c r="D3099"/>
    </row>
    <row r="3100" spans="1:4" x14ac:dyDescent="0.2">
      <c r="A3100"/>
      <c r="B3100"/>
      <c r="C3100"/>
      <c r="D3100"/>
    </row>
    <row r="3101" spans="1:4" x14ac:dyDescent="0.2">
      <c r="A3101"/>
      <c r="B3101"/>
      <c r="C3101"/>
      <c r="D3101"/>
    </row>
    <row r="3102" spans="1:4" x14ac:dyDescent="0.2">
      <c r="A3102"/>
      <c r="B3102"/>
      <c r="C3102"/>
      <c r="D3102"/>
    </row>
    <row r="3103" spans="1:4" x14ac:dyDescent="0.2">
      <c r="A3103"/>
      <c r="B3103"/>
      <c r="C3103"/>
      <c r="D3103"/>
    </row>
    <row r="3104" spans="1:4" x14ac:dyDescent="0.2">
      <c r="A3104"/>
      <c r="B3104"/>
      <c r="C3104"/>
      <c r="D3104"/>
    </row>
    <row r="3105" spans="1:4" x14ac:dyDescent="0.2">
      <c r="A3105"/>
      <c r="B3105"/>
      <c r="C3105"/>
      <c r="D3105"/>
    </row>
    <row r="3106" spans="1:4" x14ac:dyDescent="0.2">
      <c r="A3106"/>
      <c r="B3106"/>
      <c r="C3106"/>
      <c r="D3106"/>
    </row>
    <row r="3107" spans="1:4" x14ac:dyDescent="0.2">
      <c r="A3107"/>
      <c r="B3107"/>
      <c r="C3107"/>
      <c r="D3107"/>
    </row>
    <row r="3108" spans="1:4" x14ac:dyDescent="0.2">
      <c r="A3108"/>
      <c r="B3108"/>
      <c r="C3108"/>
      <c r="D3108"/>
    </row>
    <row r="3109" spans="1:4" x14ac:dyDescent="0.2">
      <c r="A3109"/>
      <c r="B3109"/>
      <c r="C3109"/>
      <c r="D3109"/>
    </row>
    <row r="3110" spans="1:4" x14ac:dyDescent="0.2">
      <c r="A3110"/>
      <c r="B3110"/>
      <c r="C3110"/>
      <c r="D3110"/>
    </row>
    <row r="3111" spans="1:4" x14ac:dyDescent="0.2">
      <c r="A3111"/>
      <c r="B3111"/>
      <c r="C3111"/>
      <c r="D3111"/>
    </row>
    <row r="3112" spans="1:4" x14ac:dyDescent="0.2">
      <c r="A3112"/>
      <c r="B3112"/>
      <c r="C3112"/>
      <c r="D3112"/>
    </row>
    <row r="3113" spans="1:4" x14ac:dyDescent="0.2">
      <c r="A3113"/>
      <c r="B3113"/>
      <c r="C3113"/>
      <c r="D3113"/>
    </row>
    <row r="3114" spans="1:4" x14ac:dyDescent="0.2">
      <c r="A3114"/>
      <c r="B3114"/>
      <c r="C3114"/>
      <c r="D3114"/>
    </row>
    <row r="3115" spans="1:4" x14ac:dyDescent="0.2">
      <c r="A3115"/>
      <c r="B3115"/>
      <c r="C3115"/>
      <c r="D3115"/>
    </row>
    <row r="3116" spans="1:4" x14ac:dyDescent="0.2">
      <c r="A3116"/>
      <c r="B3116"/>
      <c r="C3116"/>
      <c r="D3116"/>
    </row>
    <row r="3117" spans="1:4" x14ac:dyDescent="0.2">
      <c r="A3117"/>
      <c r="B3117"/>
      <c r="C3117"/>
      <c r="D3117"/>
    </row>
    <row r="3118" spans="1:4" x14ac:dyDescent="0.2">
      <c r="A3118"/>
      <c r="B3118"/>
      <c r="C3118"/>
      <c r="D3118"/>
    </row>
    <row r="3119" spans="1:4" x14ac:dyDescent="0.2">
      <c r="A3119"/>
      <c r="B3119"/>
      <c r="C3119"/>
      <c r="D3119"/>
    </row>
    <row r="3120" spans="1:4" x14ac:dyDescent="0.2">
      <c r="A3120"/>
      <c r="B3120"/>
      <c r="C3120"/>
      <c r="D3120"/>
    </row>
    <row r="3121" spans="1:4" x14ac:dyDescent="0.2">
      <c r="A3121"/>
      <c r="B3121"/>
      <c r="C3121"/>
      <c r="D3121"/>
    </row>
    <row r="3122" spans="1:4" x14ac:dyDescent="0.2">
      <c r="A3122"/>
      <c r="B3122"/>
      <c r="C3122"/>
      <c r="D3122"/>
    </row>
    <row r="3123" spans="1:4" x14ac:dyDescent="0.2">
      <c r="A3123"/>
      <c r="B3123"/>
      <c r="C3123"/>
      <c r="D3123"/>
    </row>
    <row r="3124" spans="1:4" x14ac:dyDescent="0.2">
      <c r="A3124"/>
      <c r="B3124"/>
      <c r="C3124"/>
      <c r="D3124"/>
    </row>
    <row r="3125" spans="1:4" x14ac:dyDescent="0.2">
      <c r="A3125"/>
      <c r="B3125"/>
      <c r="C3125"/>
      <c r="D3125"/>
    </row>
    <row r="3126" spans="1:4" x14ac:dyDescent="0.2">
      <c r="A3126"/>
      <c r="B3126"/>
      <c r="C3126"/>
      <c r="D3126"/>
    </row>
    <row r="3127" spans="1:4" x14ac:dyDescent="0.2">
      <c r="A3127"/>
      <c r="B3127"/>
      <c r="C3127"/>
      <c r="D3127"/>
    </row>
    <row r="3128" spans="1:4" x14ac:dyDescent="0.2">
      <c r="A3128"/>
      <c r="B3128"/>
      <c r="C3128"/>
      <c r="D3128"/>
    </row>
    <row r="3129" spans="1:4" x14ac:dyDescent="0.2">
      <c r="A3129"/>
      <c r="B3129"/>
      <c r="C3129"/>
      <c r="D3129"/>
    </row>
    <row r="3130" spans="1:4" x14ac:dyDescent="0.2">
      <c r="A3130"/>
      <c r="B3130"/>
      <c r="C3130"/>
      <c r="D3130"/>
    </row>
    <row r="3131" spans="1:4" x14ac:dyDescent="0.2">
      <c r="A3131"/>
      <c r="B3131"/>
      <c r="C3131"/>
      <c r="D3131"/>
    </row>
    <row r="3132" spans="1:4" x14ac:dyDescent="0.2">
      <c r="A3132"/>
      <c r="B3132"/>
      <c r="C3132"/>
      <c r="D3132"/>
    </row>
    <row r="3133" spans="1:4" x14ac:dyDescent="0.2">
      <c r="A3133"/>
      <c r="B3133"/>
      <c r="C3133"/>
      <c r="D3133"/>
    </row>
    <row r="3134" spans="1:4" x14ac:dyDescent="0.2">
      <c r="A3134"/>
      <c r="B3134"/>
      <c r="C3134"/>
      <c r="D3134"/>
    </row>
    <row r="3135" spans="1:4" x14ac:dyDescent="0.2">
      <c r="A3135"/>
      <c r="B3135"/>
      <c r="C3135"/>
      <c r="D3135"/>
    </row>
    <row r="3136" spans="1:4" x14ac:dyDescent="0.2">
      <c r="A3136"/>
      <c r="B3136"/>
      <c r="C3136"/>
      <c r="D3136"/>
    </row>
    <row r="3137" spans="1:4" x14ac:dyDescent="0.2">
      <c r="A3137"/>
      <c r="B3137"/>
      <c r="C3137"/>
      <c r="D3137"/>
    </row>
    <row r="3138" spans="1:4" x14ac:dyDescent="0.2">
      <c r="A3138"/>
      <c r="B3138"/>
      <c r="C3138"/>
      <c r="D3138"/>
    </row>
    <row r="3139" spans="1:4" x14ac:dyDescent="0.2">
      <c r="A3139"/>
      <c r="B3139"/>
      <c r="C3139"/>
      <c r="D3139"/>
    </row>
    <row r="3140" spans="1:4" x14ac:dyDescent="0.2">
      <c r="A3140"/>
      <c r="B3140"/>
      <c r="C3140"/>
      <c r="D3140"/>
    </row>
    <row r="3141" spans="1:4" x14ac:dyDescent="0.2">
      <c r="A3141"/>
      <c r="B3141"/>
      <c r="C3141"/>
      <c r="D3141"/>
    </row>
    <row r="3142" spans="1:4" x14ac:dyDescent="0.2">
      <c r="A3142"/>
      <c r="B3142"/>
      <c r="C3142"/>
      <c r="D3142"/>
    </row>
    <row r="3143" spans="1:4" x14ac:dyDescent="0.2">
      <c r="A3143"/>
      <c r="B3143"/>
      <c r="C3143"/>
      <c r="D3143"/>
    </row>
    <row r="3144" spans="1:4" x14ac:dyDescent="0.2">
      <c r="A3144"/>
      <c r="B3144"/>
      <c r="C3144"/>
      <c r="D3144"/>
    </row>
    <row r="3145" spans="1:4" x14ac:dyDescent="0.2">
      <c r="A3145"/>
      <c r="B3145"/>
      <c r="C3145"/>
      <c r="D3145"/>
    </row>
    <row r="3146" spans="1:4" x14ac:dyDescent="0.2">
      <c r="A3146"/>
      <c r="B3146"/>
      <c r="C3146"/>
      <c r="D3146"/>
    </row>
    <row r="3147" spans="1:4" x14ac:dyDescent="0.2">
      <c r="A3147"/>
      <c r="B3147"/>
      <c r="C3147"/>
      <c r="D3147"/>
    </row>
    <row r="3148" spans="1:4" x14ac:dyDescent="0.2">
      <c r="A3148"/>
      <c r="B3148"/>
      <c r="C3148"/>
      <c r="D3148"/>
    </row>
    <row r="3149" spans="1:4" x14ac:dyDescent="0.2">
      <c r="A3149"/>
      <c r="B3149"/>
      <c r="C3149"/>
      <c r="D3149"/>
    </row>
    <row r="3150" spans="1:4" x14ac:dyDescent="0.2">
      <c r="A3150"/>
      <c r="B3150"/>
      <c r="C3150"/>
      <c r="D3150"/>
    </row>
    <row r="3151" spans="1:4" x14ac:dyDescent="0.2">
      <c r="A3151"/>
      <c r="B3151"/>
      <c r="C3151"/>
      <c r="D3151"/>
    </row>
    <row r="3152" spans="1:4" x14ac:dyDescent="0.2">
      <c r="A3152"/>
      <c r="B3152"/>
      <c r="C3152"/>
      <c r="D3152"/>
    </row>
    <row r="3153" spans="1:4" x14ac:dyDescent="0.2">
      <c r="A3153"/>
      <c r="B3153"/>
      <c r="C3153"/>
      <c r="D3153"/>
    </row>
    <row r="3154" spans="1:4" x14ac:dyDescent="0.2">
      <c r="A3154"/>
      <c r="B3154"/>
      <c r="C3154"/>
      <c r="D3154"/>
    </row>
    <row r="3155" spans="1:4" x14ac:dyDescent="0.2">
      <c r="A3155"/>
      <c r="B3155"/>
      <c r="C3155"/>
      <c r="D3155"/>
    </row>
    <row r="3156" spans="1:4" x14ac:dyDescent="0.2">
      <c r="A3156"/>
      <c r="B3156"/>
      <c r="C3156"/>
      <c r="D3156"/>
    </row>
    <row r="3157" spans="1:4" x14ac:dyDescent="0.2">
      <c r="A3157"/>
      <c r="B3157"/>
      <c r="C3157"/>
      <c r="D3157"/>
    </row>
    <row r="3158" spans="1:4" x14ac:dyDescent="0.2">
      <c r="A3158"/>
      <c r="B3158"/>
      <c r="C3158"/>
      <c r="D3158"/>
    </row>
    <row r="3159" spans="1:4" x14ac:dyDescent="0.2">
      <c r="A3159"/>
      <c r="B3159"/>
      <c r="C3159"/>
      <c r="D3159"/>
    </row>
    <row r="3160" spans="1:4" x14ac:dyDescent="0.2">
      <c r="A3160"/>
      <c r="B3160"/>
      <c r="C3160"/>
      <c r="D3160"/>
    </row>
    <row r="3161" spans="1:4" x14ac:dyDescent="0.2">
      <c r="A3161"/>
      <c r="B3161"/>
      <c r="C3161"/>
      <c r="D3161"/>
    </row>
    <row r="3162" spans="1:4" x14ac:dyDescent="0.2">
      <c r="A3162"/>
      <c r="B3162"/>
      <c r="C3162"/>
      <c r="D3162"/>
    </row>
    <row r="3163" spans="1:4" x14ac:dyDescent="0.2">
      <c r="A3163"/>
      <c r="B3163"/>
      <c r="C3163"/>
      <c r="D3163"/>
    </row>
    <row r="3164" spans="1:4" x14ac:dyDescent="0.2">
      <c r="A3164"/>
      <c r="B3164"/>
      <c r="C3164"/>
      <c r="D3164"/>
    </row>
    <row r="3165" spans="1:4" x14ac:dyDescent="0.2">
      <c r="A3165"/>
      <c r="B3165"/>
      <c r="C3165"/>
      <c r="D3165"/>
    </row>
    <row r="3166" spans="1:4" x14ac:dyDescent="0.2">
      <c r="A3166"/>
      <c r="B3166"/>
      <c r="C3166"/>
      <c r="D3166"/>
    </row>
    <row r="3167" spans="1:4" x14ac:dyDescent="0.2">
      <c r="A3167"/>
      <c r="B3167"/>
      <c r="C3167"/>
      <c r="D3167"/>
    </row>
    <row r="3168" spans="1:4" x14ac:dyDescent="0.2">
      <c r="A3168"/>
      <c r="B3168"/>
      <c r="C3168"/>
      <c r="D3168"/>
    </row>
    <row r="3169" spans="1:4" x14ac:dyDescent="0.2">
      <c r="A3169"/>
      <c r="B3169"/>
      <c r="C3169"/>
      <c r="D3169"/>
    </row>
    <row r="3170" spans="1:4" x14ac:dyDescent="0.2">
      <c r="A3170"/>
      <c r="B3170"/>
      <c r="C3170"/>
      <c r="D3170"/>
    </row>
    <row r="3171" spans="1:4" x14ac:dyDescent="0.2">
      <c r="A3171"/>
      <c r="B3171"/>
      <c r="C3171"/>
      <c r="D3171"/>
    </row>
    <row r="3172" spans="1:4" x14ac:dyDescent="0.2">
      <c r="A3172"/>
      <c r="B3172"/>
      <c r="C3172"/>
      <c r="D3172"/>
    </row>
    <row r="3173" spans="1:4" x14ac:dyDescent="0.2">
      <c r="A3173"/>
      <c r="B3173"/>
      <c r="C3173"/>
      <c r="D3173"/>
    </row>
    <row r="3174" spans="1:4" x14ac:dyDescent="0.2">
      <c r="A3174"/>
      <c r="B3174"/>
      <c r="C3174"/>
      <c r="D3174"/>
    </row>
    <row r="3175" spans="1:4" x14ac:dyDescent="0.2">
      <c r="A3175"/>
      <c r="B3175"/>
      <c r="C3175"/>
      <c r="D3175"/>
    </row>
    <row r="3176" spans="1:4" x14ac:dyDescent="0.2">
      <c r="A3176"/>
      <c r="B3176"/>
      <c r="C3176"/>
      <c r="D3176"/>
    </row>
    <row r="3177" spans="1:4" x14ac:dyDescent="0.2">
      <c r="A3177"/>
      <c r="B3177"/>
      <c r="C3177"/>
      <c r="D3177"/>
    </row>
    <row r="3178" spans="1:4" x14ac:dyDescent="0.2">
      <c r="A3178"/>
      <c r="B3178"/>
      <c r="C3178"/>
      <c r="D3178"/>
    </row>
    <row r="3179" spans="1:4" x14ac:dyDescent="0.2">
      <c r="A3179"/>
      <c r="B3179"/>
      <c r="C3179"/>
      <c r="D3179"/>
    </row>
    <row r="3180" spans="1:4" x14ac:dyDescent="0.2">
      <c r="A3180"/>
      <c r="B3180"/>
      <c r="C3180"/>
      <c r="D3180"/>
    </row>
    <row r="3181" spans="1:4" x14ac:dyDescent="0.2">
      <c r="A3181"/>
      <c r="B3181"/>
      <c r="C3181"/>
      <c r="D3181"/>
    </row>
    <row r="3182" spans="1:4" x14ac:dyDescent="0.2">
      <c r="A3182"/>
      <c r="B3182"/>
      <c r="C3182"/>
      <c r="D3182"/>
    </row>
    <row r="3183" spans="1:4" x14ac:dyDescent="0.2">
      <c r="A3183"/>
      <c r="B3183"/>
      <c r="C3183"/>
      <c r="D3183"/>
    </row>
    <row r="3184" spans="1:4" x14ac:dyDescent="0.2">
      <c r="A3184"/>
      <c r="B3184"/>
      <c r="C3184"/>
      <c r="D3184"/>
    </row>
    <row r="3185" spans="1:4" x14ac:dyDescent="0.2">
      <c r="A3185"/>
      <c r="B3185"/>
      <c r="C3185"/>
      <c r="D3185"/>
    </row>
    <row r="3186" spans="1:4" x14ac:dyDescent="0.2">
      <c r="A3186"/>
      <c r="B3186"/>
      <c r="C3186"/>
      <c r="D3186"/>
    </row>
    <row r="3187" spans="1:4" x14ac:dyDescent="0.2">
      <c r="A3187"/>
      <c r="B3187"/>
      <c r="C3187"/>
      <c r="D3187"/>
    </row>
    <row r="3188" spans="1:4" x14ac:dyDescent="0.2">
      <c r="A3188"/>
      <c r="B3188"/>
      <c r="C3188"/>
      <c r="D3188"/>
    </row>
    <row r="3189" spans="1:4" x14ac:dyDescent="0.2">
      <c r="A3189"/>
      <c r="B3189"/>
      <c r="C3189"/>
      <c r="D3189"/>
    </row>
    <row r="3190" spans="1:4" x14ac:dyDescent="0.2">
      <c r="A3190"/>
      <c r="B3190"/>
      <c r="C3190"/>
      <c r="D3190"/>
    </row>
    <row r="3191" spans="1:4" x14ac:dyDescent="0.2">
      <c r="A3191"/>
      <c r="B3191"/>
      <c r="C3191"/>
      <c r="D3191"/>
    </row>
    <row r="3192" spans="1:4" x14ac:dyDescent="0.2">
      <c r="A3192"/>
      <c r="B3192"/>
      <c r="C3192"/>
      <c r="D3192"/>
    </row>
    <row r="3193" spans="1:4" x14ac:dyDescent="0.2">
      <c r="A3193"/>
      <c r="B3193"/>
      <c r="C3193"/>
      <c r="D3193"/>
    </row>
    <row r="3194" spans="1:4" x14ac:dyDescent="0.2">
      <c r="A3194"/>
      <c r="B3194"/>
      <c r="C3194"/>
      <c r="D3194"/>
    </row>
    <row r="3195" spans="1:4" x14ac:dyDescent="0.2">
      <c r="A3195"/>
      <c r="B3195"/>
      <c r="C3195"/>
      <c r="D3195"/>
    </row>
    <row r="3196" spans="1:4" x14ac:dyDescent="0.2">
      <c r="A3196"/>
      <c r="B3196"/>
      <c r="C3196"/>
      <c r="D3196"/>
    </row>
    <row r="3197" spans="1:4" x14ac:dyDescent="0.2">
      <c r="A3197"/>
      <c r="B3197"/>
      <c r="C3197"/>
      <c r="D3197"/>
    </row>
    <row r="3198" spans="1:4" x14ac:dyDescent="0.2">
      <c r="A3198"/>
      <c r="B3198"/>
      <c r="C3198"/>
      <c r="D3198"/>
    </row>
    <row r="3199" spans="1:4" x14ac:dyDescent="0.2">
      <c r="A3199"/>
      <c r="B3199"/>
      <c r="C3199"/>
      <c r="D3199"/>
    </row>
    <row r="3200" spans="1:4" x14ac:dyDescent="0.2">
      <c r="A3200"/>
      <c r="B3200"/>
      <c r="C3200"/>
      <c r="D3200"/>
    </row>
    <row r="3201" spans="1:4" x14ac:dyDescent="0.2">
      <c r="A3201"/>
      <c r="B3201"/>
      <c r="C3201"/>
      <c r="D3201"/>
    </row>
    <row r="3202" spans="1:4" x14ac:dyDescent="0.2">
      <c r="A3202"/>
      <c r="B3202"/>
      <c r="C3202"/>
      <c r="D3202"/>
    </row>
    <row r="3203" spans="1:4" x14ac:dyDescent="0.2">
      <c r="A3203"/>
      <c r="B3203"/>
      <c r="C3203"/>
      <c r="D3203"/>
    </row>
    <row r="3204" spans="1:4" x14ac:dyDescent="0.2">
      <c r="A3204"/>
      <c r="B3204"/>
      <c r="C3204"/>
      <c r="D3204"/>
    </row>
    <row r="3205" spans="1:4" x14ac:dyDescent="0.2">
      <c r="A3205"/>
      <c r="B3205"/>
      <c r="C3205"/>
      <c r="D3205"/>
    </row>
    <row r="3206" spans="1:4" x14ac:dyDescent="0.2">
      <c r="A3206"/>
      <c r="B3206"/>
      <c r="C3206"/>
      <c r="D3206"/>
    </row>
    <row r="3207" spans="1:4" x14ac:dyDescent="0.2">
      <c r="A3207"/>
      <c r="B3207"/>
      <c r="C3207"/>
      <c r="D3207"/>
    </row>
    <row r="3208" spans="1:4" x14ac:dyDescent="0.2">
      <c r="A3208"/>
      <c r="B3208"/>
      <c r="C3208"/>
      <c r="D3208"/>
    </row>
    <row r="3209" spans="1:4" x14ac:dyDescent="0.2">
      <c r="A3209"/>
      <c r="B3209"/>
      <c r="C3209"/>
      <c r="D3209"/>
    </row>
    <row r="3210" spans="1:4" x14ac:dyDescent="0.2">
      <c r="A3210"/>
      <c r="B3210"/>
      <c r="C3210"/>
      <c r="D3210"/>
    </row>
    <row r="3211" spans="1:4" x14ac:dyDescent="0.2">
      <c r="A3211"/>
      <c r="B3211"/>
      <c r="C3211"/>
      <c r="D3211"/>
    </row>
    <row r="3212" spans="1:4" x14ac:dyDescent="0.2">
      <c r="A3212"/>
      <c r="B3212"/>
      <c r="C3212"/>
      <c r="D3212"/>
    </row>
    <row r="3213" spans="1:4" x14ac:dyDescent="0.2">
      <c r="A3213"/>
      <c r="B3213"/>
      <c r="C3213"/>
      <c r="D3213"/>
    </row>
    <row r="3214" spans="1:4" x14ac:dyDescent="0.2">
      <c r="A3214"/>
      <c r="B3214"/>
      <c r="C3214"/>
      <c r="D3214"/>
    </row>
    <row r="3215" spans="1:4" x14ac:dyDescent="0.2">
      <c r="A3215"/>
      <c r="B3215"/>
      <c r="C3215"/>
      <c r="D3215"/>
    </row>
    <row r="3216" spans="1:4" x14ac:dyDescent="0.2">
      <c r="A3216"/>
      <c r="B3216"/>
      <c r="C3216"/>
      <c r="D3216"/>
    </row>
    <row r="3217" spans="1:4" x14ac:dyDescent="0.2">
      <c r="A3217"/>
      <c r="B3217"/>
      <c r="C3217"/>
      <c r="D3217"/>
    </row>
    <row r="3218" spans="1:4" x14ac:dyDescent="0.2">
      <c r="A3218"/>
      <c r="B3218"/>
      <c r="C3218"/>
      <c r="D3218"/>
    </row>
    <row r="3219" spans="1:4" x14ac:dyDescent="0.2">
      <c r="A3219"/>
      <c r="B3219"/>
      <c r="C3219"/>
      <c r="D3219"/>
    </row>
    <row r="3220" spans="1:4" x14ac:dyDescent="0.2">
      <c r="A3220"/>
      <c r="B3220"/>
      <c r="C3220"/>
      <c r="D3220"/>
    </row>
    <row r="3221" spans="1:4" x14ac:dyDescent="0.2">
      <c r="A3221"/>
      <c r="B3221"/>
      <c r="C3221"/>
      <c r="D3221"/>
    </row>
    <row r="3222" spans="1:4" x14ac:dyDescent="0.2">
      <c r="A3222"/>
      <c r="B3222"/>
      <c r="C3222"/>
      <c r="D3222"/>
    </row>
    <row r="3223" spans="1:4" x14ac:dyDescent="0.2">
      <c r="A3223"/>
      <c r="B3223"/>
      <c r="C3223"/>
      <c r="D3223"/>
    </row>
    <row r="3224" spans="1:4" x14ac:dyDescent="0.2">
      <c r="A3224"/>
      <c r="B3224"/>
      <c r="C3224"/>
      <c r="D3224"/>
    </row>
    <row r="3225" spans="1:4" x14ac:dyDescent="0.2">
      <c r="A3225"/>
      <c r="B3225"/>
      <c r="C3225"/>
      <c r="D3225"/>
    </row>
    <row r="3226" spans="1:4" x14ac:dyDescent="0.2">
      <c r="A3226"/>
      <c r="B3226"/>
      <c r="C3226"/>
      <c r="D3226"/>
    </row>
    <row r="3227" spans="1:4" x14ac:dyDescent="0.2">
      <c r="A3227"/>
      <c r="B3227"/>
      <c r="C3227"/>
      <c r="D3227"/>
    </row>
    <row r="3228" spans="1:4" x14ac:dyDescent="0.2">
      <c r="A3228"/>
      <c r="B3228"/>
      <c r="C3228"/>
      <c r="D3228"/>
    </row>
    <row r="3229" spans="1:4" x14ac:dyDescent="0.2">
      <c r="A3229"/>
      <c r="B3229"/>
      <c r="C3229"/>
      <c r="D3229"/>
    </row>
    <row r="3230" spans="1:4" x14ac:dyDescent="0.2">
      <c r="A3230"/>
      <c r="B3230"/>
      <c r="C3230"/>
      <c r="D3230"/>
    </row>
    <row r="3231" spans="1:4" x14ac:dyDescent="0.2">
      <c r="A3231"/>
      <c r="B3231"/>
      <c r="C3231"/>
      <c r="D3231"/>
    </row>
    <row r="3232" spans="1:4" x14ac:dyDescent="0.2">
      <c r="A3232"/>
      <c r="B3232"/>
      <c r="C3232"/>
      <c r="D3232"/>
    </row>
    <row r="3233" spans="1:4" x14ac:dyDescent="0.2">
      <c r="A3233"/>
      <c r="B3233"/>
      <c r="C3233"/>
      <c r="D3233"/>
    </row>
    <row r="3234" spans="1:4" x14ac:dyDescent="0.2">
      <c r="A3234"/>
      <c r="B3234"/>
      <c r="C3234"/>
      <c r="D3234"/>
    </row>
    <row r="3235" spans="1:4" x14ac:dyDescent="0.2">
      <c r="A3235"/>
      <c r="B3235"/>
      <c r="C3235"/>
      <c r="D3235"/>
    </row>
    <row r="3236" spans="1:4" x14ac:dyDescent="0.2">
      <c r="A3236"/>
      <c r="B3236"/>
      <c r="C3236"/>
      <c r="D3236"/>
    </row>
    <row r="3237" spans="1:4" x14ac:dyDescent="0.2">
      <c r="A3237"/>
      <c r="B3237"/>
      <c r="C3237"/>
      <c r="D3237"/>
    </row>
    <row r="3238" spans="1:4" x14ac:dyDescent="0.2">
      <c r="A3238"/>
      <c r="B3238"/>
      <c r="C3238"/>
      <c r="D3238"/>
    </row>
    <row r="3239" spans="1:4" x14ac:dyDescent="0.2">
      <c r="A3239"/>
      <c r="B3239"/>
      <c r="C3239"/>
      <c r="D3239"/>
    </row>
    <row r="3240" spans="1:4" x14ac:dyDescent="0.2">
      <c r="A3240"/>
      <c r="B3240"/>
      <c r="C3240"/>
      <c r="D3240"/>
    </row>
    <row r="3241" spans="1:4" x14ac:dyDescent="0.2">
      <c r="A3241"/>
      <c r="B3241"/>
      <c r="C3241"/>
      <c r="D3241"/>
    </row>
    <row r="3242" spans="1:4" x14ac:dyDescent="0.2">
      <c r="A3242"/>
      <c r="B3242"/>
      <c r="C3242"/>
      <c r="D3242"/>
    </row>
    <row r="3243" spans="1:4" x14ac:dyDescent="0.2">
      <c r="A3243"/>
      <c r="B3243"/>
      <c r="C3243"/>
      <c r="D3243"/>
    </row>
    <row r="3244" spans="1:4" x14ac:dyDescent="0.2">
      <c r="A3244"/>
      <c r="B3244"/>
      <c r="C3244"/>
      <c r="D3244"/>
    </row>
    <row r="3245" spans="1:4" x14ac:dyDescent="0.2">
      <c r="A3245"/>
      <c r="B3245"/>
      <c r="C3245"/>
      <c r="D3245"/>
    </row>
    <row r="3246" spans="1:4" x14ac:dyDescent="0.2">
      <c r="A3246"/>
      <c r="B3246"/>
      <c r="C3246"/>
      <c r="D3246"/>
    </row>
    <row r="3247" spans="1:4" x14ac:dyDescent="0.2">
      <c r="A3247"/>
      <c r="B3247"/>
      <c r="C3247"/>
      <c r="D3247"/>
    </row>
    <row r="3248" spans="1:4" x14ac:dyDescent="0.2">
      <c r="A3248"/>
      <c r="B3248"/>
      <c r="C3248"/>
      <c r="D3248"/>
    </row>
    <row r="3249" spans="1:4" x14ac:dyDescent="0.2">
      <c r="A3249"/>
      <c r="B3249"/>
      <c r="C3249"/>
      <c r="D3249"/>
    </row>
    <row r="3250" spans="1:4" x14ac:dyDescent="0.2">
      <c r="A3250"/>
      <c r="B3250"/>
      <c r="C3250"/>
      <c r="D3250"/>
    </row>
    <row r="3251" spans="1:4" x14ac:dyDescent="0.2">
      <c r="A3251"/>
      <c r="B3251"/>
      <c r="C3251"/>
      <c r="D3251"/>
    </row>
    <row r="3252" spans="1:4" x14ac:dyDescent="0.2">
      <c r="A3252"/>
      <c r="B3252"/>
      <c r="C3252"/>
      <c r="D3252"/>
    </row>
    <row r="3253" spans="1:4" x14ac:dyDescent="0.2">
      <c r="A3253"/>
      <c r="B3253"/>
      <c r="C3253"/>
      <c r="D3253"/>
    </row>
    <row r="3254" spans="1:4" x14ac:dyDescent="0.2">
      <c r="A3254"/>
      <c r="B3254"/>
      <c r="C3254"/>
      <c r="D3254"/>
    </row>
    <row r="3255" spans="1:4" x14ac:dyDescent="0.2">
      <c r="A3255"/>
      <c r="B3255"/>
      <c r="C3255"/>
      <c r="D3255"/>
    </row>
    <row r="3256" spans="1:4" x14ac:dyDescent="0.2">
      <c r="A3256"/>
      <c r="B3256"/>
      <c r="C3256"/>
      <c r="D3256"/>
    </row>
    <row r="3257" spans="1:4" x14ac:dyDescent="0.2">
      <c r="A3257"/>
      <c r="B3257"/>
      <c r="C3257"/>
      <c r="D3257"/>
    </row>
    <row r="3258" spans="1:4" x14ac:dyDescent="0.2">
      <c r="A3258"/>
      <c r="B3258"/>
      <c r="C3258"/>
      <c r="D3258"/>
    </row>
    <row r="3259" spans="1:4" x14ac:dyDescent="0.2">
      <c r="A3259"/>
      <c r="B3259"/>
      <c r="C3259"/>
      <c r="D3259"/>
    </row>
    <row r="3260" spans="1:4" x14ac:dyDescent="0.2">
      <c r="A3260"/>
      <c r="B3260"/>
      <c r="C3260"/>
      <c r="D3260"/>
    </row>
    <row r="3261" spans="1:4" x14ac:dyDescent="0.2">
      <c r="A3261"/>
      <c r="B3261"/>
      <c r="C3261"/>
      <c r="D3261"/>
    </row>
    <row r="3262" spans="1:4" x14ac:dyDescent="0.2">
      <c r="A3262"/>
      <c r="B3262"/>
      <c r="C3262"/>
      <c r="D3262"/>
    </row>
    <row r="3263" spans="1:4" x14ac:dyDescent="0.2">
      <c r="A3263"/>
      <c r="B3263"/>
      <c r="C3263"/>
      <c r="D3263"/>
    </row>
    <row r="3264" spans="1:4" x14ac:dyDescent="0.2">
      <c r="A3264"/>
      <c r="B3264"/>
      <c r="C3264"/>
      <c r="D3264"/>
    </row>
    <row r="3265" spans="1:4" x14ac:dyDescent="0.2">
      <c r="A3265"/>
      <c r="B3265"/>
      <c r="C3265"/>
      <c r="D3265"/>
    </row>
    <row r="3266" spans="1:4" x14ac:dyDescent="0.2">
      <c r="A3266"/>
      <c r="B3266"/>
      <c r="C3266"/>
      <c r="D3266"/>
    </row>
    <row r="3267" spans="1:4" x14ac:dyDescent="0.2">
      <c r="A3267"/>
      <c r="B3267"/>
      <c r="C3267"/>
      <c r="D3267"/>
    </row>
    <row r="3268" spans="1:4" x14ac:dyDescent="0.2">
      <c r="A3268"/>
      <c r="B3268"/>
      <c r="C3268"/>
      <c r="D3268"/>
    </row>
    <row r="3269" spans="1:4" x14ac:dyDescent="0.2">
      <c r="A3269"/>
      <c r="B3269"/>
      <c r="C3269"/>
      <c r="D3269"/>
    </row>
    <row r="3270" spans="1:4" x14ac:dyDescent="0.2">
      <c r="A3270"/>
      <c r="B3270"/>
      <c r="C3270"/>
      <c r="D3270"/>
    </row>
    <row r="3271" spans="1:4" x14ac:dyDescent="0.2">
      <c r="A3271"/>
      <c r="B3271"/>
      <c r="C3271"/>
      <c r="D3271"/>
    </row>
    <row r="3272" spans="1:4" x14ac:dyDescent="0.2">
      <c r="A3272"/>
      <c r="B3272"/>
      <c r="C3272"/>
      <c r="D3272"/>
    </row>
    <row r="3273" spans="1:4" x14ac:dyDescent="0.2">
      <c r="A3273"/>
      <c r="B3273"/>
      <c r="C3273"/>
      <c r="D3273"/>
    </row>
    <row r="3274" spans="1:4" x14ac:dyDescent="0.2">
      <c r="A3274"/>
      <c r="B3274"/>
      <c r="C3274"/>
      <c r="D3274"/>
    </row>
    <row r="3275" spans="1:4" x14ac:dyDescent="0.2">
      <c r="A3275"/>
      <c r="B3275"/>
      <c r="C3275"/>
      <c r="D3275"/>
    </row>
    <row r="3276" spans="1:4" x14ac:dyDescent="0.2">
      <c r="A3276"/>
      <c r="B3276"/>
      <c r="C3276"/>
      <c r="D3276"/>
    </row>
    <row r="3277" spans="1:4" x14ac:dyDescent="0.2">
      <c r="A3277"/>
      <c r="B3277"/>
      <c r="C3277"/>
      <c r="D3277"/>
    </row>
    <row r="3278" spans="1:4" x14ac:dyDescent="0.2">
      <c r="A3278"/>
      <c r="B3278"/>
      <c r="C3278"/>
      <c r="D3278"/>
    </row>
    <row r="3279" spans="1:4" x14ac:dyDescent="0.2">
      <c r="A3279"/>
      <c r="B3279"/>
      <c r="C3279"/>
      <c r="D3279"/>
    </row>
    <row r="3280" spans="1:4" x14ac:dyDescent="0.2">
      <c r="A3280"/>
      <c r="B3280"/>
      <c r="C3280"/>
      <c r="D3280"/>
    </row>
    <row r="3281" spans="1:4" x14ac:dyDescent="0.2">
      <c r="A3281"/>
      <c r="B3281"/>
      <c r="C3281"/>
      <c r="D3281"/>
    </row>
    <row r="3282" spans="1:4" x14ac:dyDescent="0.2">
      <c r="A3282"/>
      <c r="B3282"/>
      <c r="C3282"/>
      <c r="D3282"/>
    </row>
    <row r="3283" spans="1:4" x14ac:dyDescent="0.2">
      <c r="A3283"/>
      <c r="B3283"/>
      <c r="C3283"/>
      <c r="D3283"/>
    </row>
    <row r="3284" spans="1:4" x14ac:dyDescent="0.2">
      <c r="A3284"/>
      <c r="B3284"/>
      <c r="C3284"/>
      <c r="D3284"/>
    </row>
    <row r="3285" spans="1:4" x14ac:dyDescent="0.2">
      <c r="A3285"/>
      <c r="B3285"/>
      <c r="C3285"/>
      <c r="D3285"/>
    </row>
    <row r="3286" spans="1:4" x14ac:dyDescent="0.2">
      <c r="A3286"/>
      <c r="B3286"/>
      <c r="C3286"/>
      <c r="D3286"/>
    </row>
    <row r="3287" spans="1:4" x14ac:dyDescent="0.2">
      <c r="A3287"/>
      <c r="B3287"/>
      <c r="C3287"/>
      <c r="D3287"/>
    </row>
    <row r="3288" spans="1:4" x14ac:dyDescent="0.2">
      <c r="A3288"/>
      <c r="B3288"/>
      <c r="C3288"/>
      <c r="D3288"/>
    </row>
    <row r="3289" spans="1:4" x14ac:dyDescent="0.2">
      <c r="A3289"/>
      <c r="B3289"/>
      <c r="C3289"/>
      <c r="D3289"/>
    </row>
    <row r="3290" spans="1:4" x14ac:dyDescent="0.2">
      <c r="A3290"/>
      <c r="B3290"/>
      <c r="C3290"/>
      <c r="D3290"/>
    </row>
    <row r="3291" spans="1:4" x14ac:dyDescent="0.2">
      <c r="A3291"/>
      <c r="B3291"/>
      <c r="C3291"/>
      <c r="D3291"/>
    </row>
    <row r="3292" spans="1:4" x14ac:dyDescent="0.2">
      <c r="A3292"/>
      <c r="B3292"/>
      <c r="C3292"/>
      <c r="D3292"/>
    </row>
    <row r="3293" spans="1:4" x14ac:dyDescent="0.2">
      <c r="A3293"/>
      <c r="B3293"/>
      <c r="C3293"/>
      <c r="D3293"/>
    </row>
    <row r="3294" spans="1:4" x14ac:dyDescent="0.2">
      <c r="A3294"/>
      <c r="B3294"/>
      <c r="C3294"/>
      <c r="D3294"/>
    </row>
    <row r="3295" spans="1:4" x14ac:dyDescent="0.2">
      <c r="A3295"/>
      <c r="B3295"/>
      <c r="C3295"/>
      <c r="D3295"/>
    </row>
    <row r="3296" spans="1:4" x14ac:dyDescent="0.2">
      <c r="A3296"/>
      <c r="B3296"/>
      <c r="C3296"/>
      <c r="D3296"/>
    </row>
    <row r="3297" spans="1:4" x14ac:dyDescent="0.2">
      <c r="A3297"/>
      <c r="B3297"/>
      <c r="C3297"/>
      <c r="D3297"/>
    </row>
    <row r="3298" spans="1:4" x14ac:dyDescent="0.2">
      <c r="A3298"/>
      <c r="B3298"/>
      <c r="C3298"/>
      <c r="D3298"/>
    </row>
    <row r="3299" spans="1:4" x14ac:dyDescent="0.2">
      <c r="A3299"/>
      <c r="B3299"/>
      <c r="C3299"/>
      <c r="D3299"/>
    </row>
    <row r="3300" spans="1:4" x14ac:dyDescent="0.2">
      <c r="A3300"/>
      <c r="B3300"/>
      <c r="C3300"/>
      <c r="D3300"/>
    </row>
    <row r="3301" spans="1:4" x14ac:dyDescent="0.2">
      <c r="A3301"/>
      <c r="B3301"/>
      <c r="C3301"/>
      <c r="D3301"/>
    </row>
    <row r="3302" spans="1:4" x14ac:dyDescent="0.2">
      <c r="A3302"/>
      <c r="B3302"/>
      <c r="C3302"/>
      <c r="D3302"/>
    </row>
    <row r="3303" spans="1:4" x14ac:dyDescent="0.2">
      <c r="A3303"/>
      <c r="B3303"/>
      <c r="C3303"/>
      <c r="D3303"/>
    </row>
    <row r="3304" spans="1:4" x14ac:dyDescent="0.2">
      <c r="A3304"/>
      <c r="B3304"/>
      <c r="C3304"/>
      <c r="D3304"/>
    </row>
    <row r="3305" spans="1:4" x14ac:dyDescent="0.2">
      <c r="A3305"/>
      <c r="B3305"/>
      <c r="C3305"/>
      <c r="D3305"/>
    </row>
    <row r="3306" spans="1:4" x14ac:dyDescent="0.2">
      <c r="A3306"/>
      <c r="B3306"/>
      <c r="C3306"/>
      <c r="D3306"/>
    </row>
    <row r="3307" spans="1:4" x14ac:dyDescent="0.2">
      <c r="A3307"/>
      <c r="B3307"/>
      <c r="C3307"/>
      <c r="D3307"/>
    </row>
    <row r="3308" spans="1:4" x14ac:dyDescent="0.2">
      <c r="A3308"/>
      <c r="B3308"/>
      <c r="C3308"/>
      <c r="D3308"/>
    </row>
    <row r="3309" spans="1:4" x14ac:dyDescent="0.2">
      <c r="A3309"/>
      <c r="B3309"/>
      <c r="C3309"/>
      <c r="D3309"/>
    </row>
    <row r="3310" spans="1:4" x14ac:dyDescent="0.2">
      <c r="A3310"/>
      <c r="B3310"/>
      <c r="C3310"/>
      <c r="D3310"/>
    </row>
    <row r="3311" spans="1:4" x14ac:dyDescent="0.2">
      <c r="A3311"/>
      <c r="B3311"/>
      <c r="C3311"/>
      <c r="D3311"/>
    </row>
    <row r="3312" spans="1:4" x14ac:dyDescent="0.2">
      <c r="A3312"/>
      <c r="B3312"/>
      <c r="C3312"/>
      <c r="D3312"/>
    </row>
    <row r="3313" spans="1:4" x14ac:dyDescent="0.2">
      <c r="A3313"/>
      <c r="B3313"/>
      <c r="C3313"/>
      <c r="D3313"/>
    </row>
    <row r="3314" spans="1:4" x14ac:dyDescent="0.2">
      <c r="A3314"/>
      <c r="B3314"/>
      <c r="C3314"/>
      <c r="D3314"/>
    </row>
    <row r="3315" spans="1:4" x14ac:dyDescent="0.2">
      <c r="A3315"/>
      <c r="B3315"/>
      <c r="C3315"/>
      <c r="D3315"/>
    </row>
    <row r="3316" spans="1:4" x14ac:dyDescent="0.2">
      <c r="A3316"/>
      <c r="B3316"/>
      <c r="C3316"/>
      <c r="D3316"/>
    </row>
    <row r="3317" spans="1:4" x14ac:dyDescent="0.2">
      <c r="A3317"/>
      <c r="B3317"/>
      <c r="C3317"/>
      <c r="D3317"/>
    </row>
    <row r="3318" spans="1:4" x14ac:dyDescent="0.2">
      <c r="A3318"/>
      <c r="B3318"/>
      <c r="C3318"/>
      <c r="D3318"/>
    </row>
    <row r="3319" spans="1:4" x14ac:dyDescent="0.2">
      <c r="A3319"/>
      <c r="B3319"/>
      <c r="C3319"/>
      <c r="D3319"/>
    </row>
    <row r="3320" spans="1:4" x14ac:dyDescent="0.2">
      <c r="A3320"/>
      <c r="B3320"/>
      <c r="C3320"/>
      <c r="D3320"/>
    </row>
    <row r="3321" spans="1:4" x14ac:dyDescent="0.2">
      <c r="A3321"/>
      <c r="B3321"/>
      <c r="C3321"/>
      <c r="D3321"/>
    </row>
    <row r="3322" spans="1:4" x14ac:dyDescent="0.2">
      <c r="A3322"/>
      <c r="B3322"/>
      <c r="C3322"/>
      <c r="D3322"/>
    </row>
    <row r="3323" spans="1:4" x14ac:dyDescent="0.2">
      <c r="A3323"/>
      <c r="B3323"/>
      <c r="C3323"/>
      <c r="D3323"/>
    </row>
    <row r="3324" spans="1:4" x14ac:dyDescent="0.2">
      <c r="A3324"/>
      <c r="B3324"/>
      <c r="C3324"/>
      <c r="D3324"/>
    </row>
    <row r="3325" spans="1:4" x14ac:dyDescent="0.2">
      <c r="A3325"/>
      <c r="B3325"/>
      <c r="C3325"/>
      <c r="D3325"/>
    </row>
    <row r="3326" spans="1:4" x14ac:dyDescent="0.2">
      <c r="A3326"/>
      <c r="B3326"/>
      <c r="C3326"/>
      <c r="D3326"/>
    </row>
    <row r="3327" spans="1:4" x14ac:dyDescent="0.2">
      <c r="A3327"/>
      <c r="B3327"/>
      <c r="C3327"/>
      <c r="D3327"/>
    </row>
    <row r="3328" spans="1:4" x14ac:dyDescent="0.2">
      <c r="A3328"/>
      <c r="B3328"/>
      <c r="C3328"/>
      <c r="D3328"/>
    </row>
    <row r="3329" spans="1:4" x14ac:dyDescent="0.2">
      <c r="A3329"/>
      <c r="B3329"/>
      <c r="C3329"/>
      <c r="D3329"/>
    </row>
    <row r="3330" spans="1:4" x14ac:dyDescent="0.2">
      <c r="A3330"/>
      <c r="B3330"/>
      <c r="C3330"/>
      <c r="D3330"/>
    </row>
    <row r="3331" spans="1:4" x14ac:dyDescent="0.2">
      <c r="A3331"/>
      <c r="B3331"/>
      <c r="C3331"/>
      <c r="D3331"/>
    </row>
    <row r="3332" spans="1:4" x14ac:dyDescent="0.2">
      <c r="A3332"/>
      <c r="B3332"/>
      <c r="C3332"/>
      <c r="D3332"/>
    </row>
    <row r="3333" spans="1:4" x14ac:dyDescent="0.2">
      <c r="A3333"/>
      <c r="B3333"/>
      <c r="C3333"/>
      <c r="D3333"/>
    </row>
    <row r="3334" spans="1:4" x14ac:dyDescent="0.2">
      <c r="A3334"/>
      <c r="B3334"/>
      <c r="C3334"/>
      <c r="D3334"/>
    </row>
    <row r="3335" spans="1:4" x14ac:dyDescent="0.2">
      <c r="A3335"/>
      <c r="B3335"/>
      <c r="C3335"/>
      <c r="D3335"/>
    </row>
    <row r="3336" spans="1:4" x14ac:dyDescent="0.2">
      <c r="A3336"/>
      <c r="B3336"/>
      <c r="C3336"/>
      <c r="D3336"/>
    </row>
    <row r="3337" spans="1:4" x14ac:dyDescent="0.2">
      <c r="A3337"/>
      <c r="B3337"/>
      <c r="C3337"/>
      <c r="D3337"/>
    </row>
    <row r="3338" spans="1:4" x14ac:dyDescent="0.2">
      <c r="A3338"/>
      <c r="B3338"/>
      <c r="C3338"/>
      <c r="D3338"/>
    </row>
    <row r="3339" spans="1:4" x14ac:dyDescent="0.2">
      <c r="A3339"/>
      <c r="B3339"/>
      <c r="C3339"/>
      <c r="D3339"/>
    </row>
    <row r="3340" spans="1:4" x14ac:dyDescent="0.2">
      <c r="A3340"/>
      <c r="B3340"/>
      <c r="C3340"/>
      <c r="D3340"/>
    </row>
    <row r="3341" spans="1:4" x14ac:dyDescent="0.2">
      <c r="A3341"/>
      <c r="B3341"/>
      <c r="C3341"/>
      <c r="D3341"/>
    </row>
    <row r="3342" spans="1:4" x14ac:dyDescent="0.2">
      <c r="A3342"/>
      <c r="B3342"/>
      <c r="C3342"/>
      <c r="D3342"/>
    </row>
    <row r="3343" spans="1:4" x14ac:dyDescent="0.2">
      <c r="A3343"/>
      <c r="B3343"/>
      <c r="C3343"/>
      <c r="D3343"/>
    </row>
    <row r="3344" spans="1:4" x14ac:dyDescent="0.2">
      <c r="A3344"/>
      <c r="B3344"/>
      <c r="C3344"/>
      <c r="D3344"/>
    </row>
    <row r="3345" spans="1:4" x14ac:dyDescent="0.2">
      <c r="A3345"/>
      <c r="B3345"/>
      <c r="C3345"/>
      <c r="D3345"/>
    </row>
    <row r="3346" spans="1:4" x14ac:dyDescent="0.2">
      <c r="A3346"/>
      <c r="B3346"/>
      <c r="C3346"/>
      <c r="D3346"/>
    </row>
    <row r="3347" spans="1:4" x14ac:dyDescent="0.2">
      <c r="A3347"/>
      <c r="B3347"/>
      <c r="C3347"/>
      <c r="D3347"/>
    </row>
    <row r="3348" spans="1:4" x14ac:dyDescent="0.2">
      <c r="A3348"/>
      <c r="B3348"/>
      <c r="C3348"/>
      <c r="D3348"/>
    </row>
    <row r="3349" spans="1:4" x14ac:dyDescent="0.2">
      <c r="A3349"/>
      <c r="B3349"/>
      <c r="C3349"/>
      <c r="D3349"/>
    </row>
    <row r="3350" spans="1:4" x14ac:dyDescent="0.2">
      <c r="A3350"/>
      <c r="B3350"/>
      <c r="C3350"/>
      <c r="D3350"/>
    </row>
    <row r="3351" spans="1:4" x14ac:dyDescent="0.2">
      <c r="A3351"/>
      <c r="B3351"/>
      <c r="C3351"/>
      <c r="D3351"/>
    </row>
    <row r="3352" spans="1:4" x14ac:dyDescent="0.2">
      <c r="A3352"/>
      <c r="B3352"/>
      <c r="C3352"/>
      <c r="D3352"/>
    </row>
    <row r="3353" spans="1:4" x14ac:dyDescent="0.2">
      <c r="A3353"/>
      <c r="B3353"/>
      <c r="C3353"/>
      <c r="D3353"/>
    </row>
    <row r="3354" spans="1:4" x14ac:dyDescent="0.2">
      <c r="A3354"/>
      <c r="B3354"/>
      <c r="C3354"/>
      <c r="D3354"/>
    </row>
    <row r="3355" spans="1:4" x14ac:dyDescent="0.2">
      <c r="A3355"/>
      <c r="B3355"/>
      <c r="C3355"/>
      <c r="D3355"/>
    </row>
    <row r="3356" spans="1:4" x14ac:dyDescent="0.2">
      <c r="A3356"/>
      <c r="B3356"/>
      <c r="C3356"/>
      <c r="D3356"/>
    </row>
    <row r="3357" spans="1:4" x14ac:dyDescent="0.2">
      <c r="A3357"/>
      <c r="B3357"/>
      <c r="C3357"/>
      <c r="D3357"/>
    </row>
    <row r="3358" spans="1:4" x14ac:dyDescent="0.2">
      <c r="A3358"/>
      <c r="B3358"/>
      <c r="C3358"/>
      <c r="D3358"/>
    </row>
    <row r="3359" spans="1:4" x14ac:dyDescent="0.2">
      <c r="A3359"/>
      <c r="B3359"/>
      <c r="C3359"/>
      <c r="D3359"/>
    </row>
    <row r="3360" spans="1:4" x14ac:dyDescent="0.2">
      <c r="A3360"/>
      <c r="B3360"/>
      <c r="C3360"/>
      <c r="D3360"/>
    </row>
    <row r="3361" spans="1:4" x14ac:dyDescent="0.2">
      <c r="A3361"/>
      <c r="B3361"/>
      <c r="C3361"/>
      <c r="D3361"/>
    </row>
    <row r="3362" spans="1:4" x14ac:dyDescent="0.2">
      <c r="A3362"/>
      <c r="B3362"/>
      <c r="C3362"/>
      <c r="D3362"/>
    </row>
    <row r="3363" spans="1:4" x14ac:dyDescent="0.2">
      <c r="A3363"/>
      <c r="B3363"/>
      <c r="C3363"/>
      <c r="D3363"/>
    </row>
    <row r="3364" spans="1:4" x14ac:dyDescent="0.2">
      <c r="A3364"/>
      <c r="B3364"/>
      <c r="C3364"/>
      <c r="D3364"/>
    </row>
    <row r="3365" spans="1:4" x14ac:dyDescent="0.2">
      <c r="A3365"/>
      <c r="B3365"/>
      <c r="C3365"/>
      <c r="D3365"/>
    </row>
    <row r="3366" spans="1:4" x14ac:dyDescent="0.2">
      <c r="A3366"/>
      <c r="B3366"/>
      <c r="C3366"/>
      <c r="D3366"/>
    </row>
    <row r="3367" spans="1:4" x14ac:dyDescent="0.2">
      <c r="A3367"/>
      <c r="B3367"/>
      <c r="C3367"/>
      <c r="D3367"/>
    </row>
    <row r="3368" spans="1:4" x14ac:dyDescent="0.2">
      <c r="A3368"/>
      <c r="B3368"/>
      <c r="C3368"/>
      <c r="D3368"/>
    </row>
    <row r="3369" spans="1:4" x14ac:dyDescent="0.2">
      <c r="A3369"/>
      <c r="B3369"/>
      <c r="C3369"/>
      <c r="D3369"/>
    </row>
    <row r="3370" spans="1:4" x14ac:dyDescent="0.2">
      <c r="A3370"/>
      <c r="B3370"/>
      <c r="C3370"/>
      <c r="D3370"/>
    </row>
    <row r="3371" spans="1:4" x14ac:dyDescent="0.2">
      <c r="A3371"/>
      <c r="B3371"/>
      <c r="C3371"/>
      <c r="D3371"/>
    </row>
    <row r="3372" spans="1:4" x14ac:dyDescent="0.2">
      <c r="A3372"/>
      <c r="B3372"/>
      <c r="C3372"/>
      <c r="D3372"/>
    </row>
    <row r="3373" spans="1:4" x14ac:dyDescent="0.2">
      <c r="A3373"/>
      <c r="B3373"/>
      <c r="C3373"/>
      <c r="D3373"/>
    </row>
    <row r="3374" spans="1:4" x14ac:dyDescent="0.2">
      <c r="A3374"/>
      <c r="B3374"/>
      <c r="C3374"/>
      <c r="D3374"/>
    </row>
    <row r="3375" spans="1:4" x14ac:dyDescent="0.2">
      <c r="A3375"/>
      <c r="B3375"/>
      <c r="C3375"/>
      <c r="D3375"/>
    </row>
    <row r="3376" spans="1:4" x14ac:dyDescent="0.2">
      <c r="A3376"/>
      <c r="B3376"/>
      <c r="C3376"/>
      <c r="D3376"/>
    </row>
    <row r="3377" spans="1:4" x14ac:dyDescent="0.2">
      <c r="A3377"/>
      <c r="B3377"/>
      <c r="C3377"/>
      <c r="D3377"/>
    </row>
    <row r="3378" spans="1:4" x14ac:dyDescent="0.2">
      <c r="A3378"/>
      <c r="B3378"/>
      <c r="C3378"/>
      <c r="D3378"/>
    </row>
    <row r="3379" spans="1:4" x14ac:dyDescent="0.2">
      <c r="A3379"/>
      <c r="B3379"/>
      <c r="C3379"/>
      <c r="D3379"/>
    </row>
    <row r="3380" spans="1:4" x14ac:dyDescent="0.2">
      <c r="A3380"/>
      <c r="B3380"/>
      <c r="C3380"/>
      <c r="D3380"/>
    </row>
    <row r="3381" spans="1:4" x14ac:dyDescent="0.2">
      <c r="A3381"/>
      <c r="B3381"/>
      <c r="C3381"/>
      <c r="D3381"/>
    </row>
    <row r="3382" spans="1:4" x14ac:dyDescent="0.2">
      <c r="A3382"/>
      <c r="B3382"/>
      <c r="C3382"/>
      <c r="D3382"/>
    </row>
    <row r="3383" spans="1:4" x14ac:dyDescent="0.2">
      <c r="A3383"/>
      <c r="B3383"/>
      <c r="C3383"/>
      <c r="D3383"/>
    </row>
    <row r="3384" spans="1:4" x14ac:dyDescent="0.2">
      <c r="A3384"/>
      <c r="B3384"/>
      <c r="C3384"/>
      <c r="D3384"/>
    </row>
    <row r="3385" spans="1:4" x14ac:dyDescent="0.2">
      <c r="A3385"/>
      <c r="B3385"/>
      <c r="C3385"/>
      <c r="D3385"/>
    </row>
    <row r="3386" spans="1:4" x14ac:dyDescent="0.2">
      <c r="A3386"/>
      <c r="B3386"/>
      <c r="C3386"/>
      <c r="D3386"/>
    </row>
    <row r="3387" spans="1:4" x14ac:dyDescent="0.2">
      <c r="A3387"/>
      <c r="B3387"/>
      <c r="C3387"/>
      <c r="D3387"/>
    </row>
    <row r="3388" spans="1:4" x14ac:dyDescent="0.2">
      <c r="A3388"/>
      <c r="B3388"/>
      <c r="C3388"/>
      <c r="D3388"/>
    </row>
    <row r="3389" spans="1:4" x14ac:dyDescent="0.2">
      <c r="A3389"/>
      <c r="B3389"/>
      <c r="C3389"/>
      <c r="D3389"/>
    </row>
    <row r="3390" spans="1:4" x14ac:dyDescent="0.2">
      <c r="A3390"/>
      <c r="B3390"/>
      <c r="C3390"/>
      <c r="D3390"/>
    </row>
    <row r="3391" spans="1:4" x14ac:dyDescent="0.2">
      <c r="A3391"/>
      <c r="B3391"/>
      <c r="C3391"/>
      <c r="D3391"/>
    </row>
    <row r="3392" spans="1:4" x14ac:dyDescent="0.2">
      <c r="A3392"/>
      <c r="B3392"/>
      <c r="C3392"/>
      <c r="D3392"/>
    </row>
    <row r="3393" spans="1:4" x14ac:dyDescent="0.2">
      <c r="A3393"/>
      <c r="B3393"/>
      <c r="C3393"/>
      <c r="D3393"/>
    </row>
    <row r="3394" spans="1:4" x14ac:dyDescent="0.2">
      <c r="A3394"/>
      <c r="B3394"/>
      <c r="C3394"/>
      <c r="D3394"/>
    </row>
    <row r="3395" spans="1:4" x14ac:dyDescent="0.2">
      <c r="A3395"/>
      <c r="B3395"/>
      <c r="C3395"/>
      <c r="D3395"/>
    </row>
    <row r="3396" spans="1:4" x14ac:dyDescent="0.2">
      <c r="A3396"/>
      <c r="B3396"/>
      <c r="C3396"/>
      <c r="D3396"/>
    </row>
    <row r="3397" spans="1:4" x14ac:dyDescent="0.2">
      <c r="A3397"/>
      <c r="B3397"/>
      <c r="C3397"/>
      <c r="D3397"/>
    </row>
    <row r="3398" spans="1:4" x14ac:dyDescent="0.2">
      <c r="A3398"/>
      <c r="B3398"/>
      <c r="C3398"/>
      <c r="D3398"/>
    </row>
    <row r="3399" spans="1:4" x14ac:dyDescent="0.2">
      <c r="A3399"/>
      <c r="B3399"/>
      <c r="C3399"/>
      <c r="D3399"/>
    </row>
    <row r="3400" spans="1:4" x14ac:dyDescent="0.2">
      <c r="A3400"/>
      <c r="B3400"/>
      <c r="C3400"/>
      <c r="D3400"/>
    </row>
    <row r="3401" spans="1:4" x14ac:dyDescent="0.2">
      <c r="A3401"/>
      <c r="B3401"/>
      <c r="C3401"/>
      <c r="D3401"/>
    </row>
    <row r="3402" spans="1:4" x14ac:dyDescent="0.2">
      <c r="A3402"/>
      <c r="B3402"/>
      <c r="C3402"/>
      <c r="D3402"/>
    </row>
    <row r="3403" spans="1:4" x14ac:dyDescent="0.2">
      <c r="A3403"/>
      <c r="B3403"/>
      <c r="C3403"/>
      <c r="D3403"/>
    </row>
    <row r="3404" spans="1:4" x14ac:dyDescent="0.2">
      <c r="A3404"/>
      <c r="B3404"/>
      <c r="C3404"/>
      <c r="D3404"/>
    </row>
    <row r="3405" spans="1:4" x14ac:dyDescent="0.2">
      <c r="A3405"/>
      <c r="B3405"/>
      <c r="C3405"/>
      <c r="D3405"/>
    </row>
    <row r="3406" spans="1:4" x14ac:dyDescent="0.2">
      <c r="A3406"/>
      <c r="B3406"/>
      <c r="C3406"/>
      <c r="D3406"/>
    </row>
    <row r="3407" spans="1:4" x14ac:dyDescent="0.2">
      <c r="A3407"/>
      <c r="B3407"/>
      <c r="C3407"/>
      <c r="D3407"/>
    </row>
    <row r="3408" spans="1:4" x14ac:dyDescent="0.2">
      <c r="A3408"/>
      <c r="B3408"/>
      <c r="C3408"/>
      <c r="D3408"/>
    </row>
    <row r="3409" spans="1:4" x14ac:dyDescent="0.2">
      <c r="A3409"/>
      <c r="B3409"/>
      <c r="C3409"/>
      <c r="D3409"/>
    </row>
    <row r="3410" spans="1:4" x14ac:dyDescent="0.2">
      <c r="A3410"/>
      <c r="B3410"/>
      <c r="C3410"/>
      <c r="D3410"/>
    </row>
    <row r="3411" spans="1:4" x14ac:dyDescent="0.2">
      <c r="A3411"/>
      <c r="B3411"/>
      <c r="C3411"/>
      <c r="D3411"/>
    </row>
    <row r="3412" spans="1:4" x14ac:dyDescent="0.2">
      <c r="A3412"/>
      <c r="B3412"/>
      <c r="C3412"/>
      <c r="D3412"/>
    </row>
    <row r="3413" spans="1:4" x14ac:dyDescent="0.2">
      <c r="A3413"/>
      <c r="B3413"/>
      <c r="C3413"/>
      <c r="D3413"/>
    </row>
    <row r="3414" spans="1:4" x14ac:dyDescent="0.2">
      <c r="A3414"/>
      <c r="B3414"/>
      <c r="C3414"/>
      <c r="D3414"/>
    </row>
    <row r="3415" spans="1:4" x14ac:dyDescent="0.2">
      <c r="A3415"/>
      <c r="B3415"/>
      <c r="C3415"/>
      <c r="D3415"/>
    </row>
    <row r="3416" spans="1:4" x14ac:dyDescent="0.2">
      <c r="A3416"/>
      <c r="B3416"/>
      <c r="C3416"/>
      <c r="D3416"/>
    </row>
    <row r="3417" spans="1:4" x14ac:dyDescent="0.2">
      <c r="A3417"/>
      <c r="B3417"/>
      <c r="C3417"/>
      <c r="D3417"/>
    </row>
    <row r="3418" spans="1:4" x14ac:dyDescent="0.2">
      <c r="A3418"/>
      <c r="B3418"/>
      <c r="C3418"/>
      <c r="D3418"/>
    </row>
    <row r="3419" spans="1:4" x14ac:dyDescent="0.2">
      <c r="A3419"/>
      <c r="B3419"/>
      <c r="C3419"/>
      <c r="D3419"/>
    </row>
    <row r="3420" spans="1:4" x14ac:dyDescent="0.2">
      <c r="A3420"/>
      <c r="B3420"/>
      <c r="C3420"/>
      <c r="D3420"/>
    </row>
    <row r="3421" spans="1:4" x14ac:dyDescent="0.2">
      <c r="A3421"/>
      <c r="B3421"/>
      <c r="C3421"/>
      <c r="D3421"/>
    </row>
    <row r="3422" spans="1:4" x14ac:dyDescent="0.2">
      <c r="A3422"/>
      <c r="B3422"/>
      <c r="C3422"/>
      <c r="D3422"/>
    </row>
    <row r="3423" spans="1:4" x14ac:dyDescent="0.2">
      <c r="A3423"/>
      <c r="B3423"/>
      <c r="C3423"/>
      <c r="D3423"/>
    </row>
    <row r="3424" spans="1:4" x14ac:dyDescent="0.2">
      <c r="A3424"/>
      <c r="B3424"/>
      <c r="C3424"/>
      <c r="D3424"/>
    </row>
    <row r="3425" spans="1:4" x14ac:dyDescent="0.2">
      <c r="A3425"/>
      <c r="B3425"/>
      <c r="C3425"/>
      <c r="D3425"/>
    </row>
    <row r="3426" spans="1:4" x14ac:dyDescent="0.2">
      <c r="A3426"/>
      <c r="B3426"/>
      <c r="C3426"/>
      <c r="D3426"/>
    </row>
    <row r="3427" spans="1:4" x14ac:dyDescent="0.2">
      <c r="A3427"/>
      <c r="B3427"/>
      <c r="C3427"/>
      <c r="D3427"/>
    </row>
    <row r="3428" spans="1:4" x14ac:dyDescent="0.2">
      <c r="A3428"/>
      <c r="B3428"/>
      <c r="C3428"/>
      <c r="D3428"/>
    </row>
    <row r="3429" spans="1:4" x14ac:dyDescent="0.2">
      <c r="A3429"/>
      <c r="B3429"/>
      <c r="C3429"/>
      <c r="D3429"/>
    </row>
    <row r="3430" spans="1:4" x14ac:dyDescent="0.2">
      <c r="A3430"/>
      <c r="B3430"/>
      <c r="C3430"/>
      <c r="D3430"/>
    </row>
    <row r="3431" spans="1:4" x14ac:dyDescent="0.2">
      <c r="A3431"/>
      <c r="B3431"/>
      <c r="C3431"/>
      <c r="D3431"/>
    </row>
    <row r="3432" spans="1:4" x14ac:dyDescent="0.2">
      <c r="A3432"/>
      <c r="B3432"/>
      <c r="C3432"/>
      <c r="D3432"/>
    </row>
    <row r="3433" spans="1:4" x14ac:dyDescent="0.2">
      <c r="A3433"/>
      <c r="B3433"/>
      <c r="C3433"/>
      <c r="D3433"/>
    </row>
    <row r="3434" spans="1:4" x14ac:dyDescent="0.2">
      <c r="A3434"/>
      <c r="B3434"/>
      <c r="C3434"/>
      <c r="D3434"/>
    </row>
    <row r="3435" spans="1:4" x14ac:dyDescent="0.2">
      <c r="A3435"/>
      <c r="B3435"/>
      <c r="C3435"/>
      <c r="D3435"/>
    </row>
    <row r="3436" spans="1:4" x14ac:dyDescent="0.2">
      <c r="A3436"/>
      <c r="B3436"/>
      <c r="C3436"/>
      <c r="D3436"/>
    </row>
    <row r="3437" spans="1:4" x14ac:dyDescent="0.2">
      <c r="A3437"/>
      <c r="B3437"/>
      <c r="C3437"/>
      <c r="D3437"/>
    </row>
    <row r="3438" spans="1:4" x14ac:dyDescent="0.2">
      <c r="A3438"/>
      <c r="B3438"/>
      <c r="C3438"/>
      <c r="D3438"/>
    </row>
    <row r="3439" spans="1:4" x14ac:dyDescent="0.2">
      <c r="A3439"/>
      <c r="B3439"/>
      <c r="C3439"/>
      <c r="D3439"/>
    </row>
    <row r="3440" spans="1:4" x14ac:dyDescent="0.2">
      <c r="A3440"/>
      <c r="B3440"/>
      <c r="C3440"/>
      <c r="D3440"/>
    </row>
    <row r="3441" spans="1:4" x14ac:dyDescent="0.2">
      <c r="A3441"/>
      <c r="B3441"/>
      <c r="C3441"/>
      <c r="D3441"/>
    </row>
    <row r="3442" spans="1:4" x14ac:dyDescent="0.2">
      <c r="A3442"/>
      <c r="B3442"/>
      <c r="C3442"/>
      <c r="D3442"/>
    </row>
    <row r="3443" spans="1:4" x14ac:dyDescent="0.2">
      <c r="A3443"/>
      <c r="B3443"/>
      <c r="C3443"/>
      <c r="D3443"/>
    </row>
    <row r="3444" spans="1:4" x14ac:dyDescent="0.2">
      <c r="A3444"/>
      <c r="B3444"/>
      <c r="C3444"/>
      <c r="D3444"/>
    </row>
    <row r="3445" spans="1:4" x14ac:dyDescent="0.2">
      <c r="A3445"/>
      <c r="B3445"/>
      <c r="C3445"/>
      <c r="D3445"/>
    </row>
    <row r="3446" spans="1:4" x14ac:dyDescent="0.2">
      <c r="A3446"/>
      <c r="B3446"/>
      <c r="C3446"/>
      <c r="D3446"/>
    </row>
    <row r="3447" spans="1:4" x14ac:dyDescent="0.2">
      <c r="A3447"/>
      <c r="B3447"/>
      <c r="C3447"/>
      <c r="D3447"/>
    </row>
    <row r="3448" spans="1:4" x14ac:dyDescent="0.2">
      <c r="A3448"/>
      <c r="B3448"/>
      <c r="C3448"/>
      <c r="D3448"/>
    </row>
    <row r="3449" spans="1:4" x14ac:dyDescent="0.2">
      <c r="A3449"/>
      <c r="B3449"/>
      <c r="C3449"/>
      <c r="D3449"/>
    </row>
    <row r="3450" spans="1:4" x14ac:dyDescent="0.2">
      <c r="A3450"/>
      <c r="B3450"/>
      <c r="C3450"/>
      <c r="D3450"/>
    </row>
    <row r="3451" spans="1:4" x14ac:dyDescent="0.2">
      <c r="A3451"/>
      <c r="B3451"/>
      <c r="C3451"/>
      <c r="D3451"/>
    </row>
    <row r="3452" spans="1:4" x14ac:dyDescent="0.2">
      <c r="A3452"/>
      <c r="B3452"/>
      <c r="C3452"/>
      <c r="D3452"/>
    </row>
    <row r="3453" spans="1:4" x14ac:dyDescent="0.2">
      <c r="A3453"/>
      <c r="B3453"/>
      <c r="C3453"/>
      <c r="D3453"/>
    </row>
    <row r="3454" spans="1:4" x14ac:dyDescent="0.2">
      <c r="A3454"/>
      <c r="B3454"/>
      <c r="C3454"/>
      <c r="D3454"/>
    </row>
    <row r="3455" spans="1:4" x14ac:dyDescent="0.2">
      <c r="A3455"/>
      <c r="B3455"/>
      <c r="C3455"/>
      <c r="D3455"/>
    </row>
    <row r="3456" spans="1:4" x14ac:dyDescent="0.2">
      <c r="A3456"/>
      <c r="B3456"/>
      <c r="C3456"/>
      <c r="D3456"/>
    </row>
    <row r="3457" spans="1:4" x14ac:dyDescent="0.2">
      <c r="A3457"/>
      <c r="B3457"/>
      <c r="C3457"/>
      <c r="D3457"/>
    </row>
    <row r="3458" spans="1:4" x14ac:dyDescent="0.2">
      <c r="A3458"/>
      <c r="B3458"/>
      <c r="C3458"/>
      <c r="D3458"/>
    </row>
    <row r="3459" spans="1:4" x14ac:dyDescent="0.2">
      <c r="A3459"/>
      <c r="B3459"/>
      <c r="C3459"/>
      <c r="D3459"/>
    </row>
    <row r="3460" spans="1:4" x14ac:dyDescent="0.2">
      <c r="A3460"/>
      <c r="B3460"/>
      <c r="C3460"/>
      <c r="D3460"/>
    </row>
    <row r="3461" spans="1:4" x14ac:dyDescent="0.2">
      <c r="A3461"/>
      <c r="B3461"/>
      <c r="C3461"/>
      <c r="D3461"/>
    </row>
    <row r="3462" spans="1:4" x14ac:dyDescent="0.2">
      <c r="A3462"/>
      <c r="B3462"/>
      <c r="C3462"/>
      <c r="D3462"/>
    </row>
    <row r="3463" spans="1:4" x14ac:dyDescent="0.2">
      <c r="A3463"/>
      <c r="B3463"/>
      <c r="C3463"/>
      <c r="D3463"/>
    </row>
    <row r="3464" spans="1:4" x14ac:dyDescent="0.2">
      <c r="A3464"/>
      <c r="B3464"/>
      <c r="C3464"/>
      <c r="D3464"/>
    </row>
    <row r="3465" spans="1:4" x14ac:dyDescent="0.2">
      <c r="A3465"/>
      <c r="B3465"/>
      <c r="C3465"/>
      <c r="D3465"/>
    </row>
    <row r="3466" spans="1:4" x14ac:dyDescent="0.2">
      <c r="A3466"/>
      <c r="B3466"/>
      <c r="C3466"/>
      <c r="D3466"/>
    </row>
    <row r="3467" spans="1:4" x14ac:dyDescent="0.2">
      <c r="A3467"/>
      <c r="B3467"/>
      <c r="C3467"/>
      <c r="D3467"/>
    </row>
    <row r="3468" spans="1:4" x14ac:dyDescent="0.2">
      <c r="A3468"/>
      <c r="B3468"/>
      <c r="C3468"/>
      <c r="D3468"/>
    </row>
    <row r="3469" spans="1:4" x14ac:dyDescent="0.2">
      <c r="A3469"/>
      <c r="B3469"/>
      <c r="C3469"/>
      <c r="D3469"/>
    </row>
    <row r="3470" spans="1:4" x14ac:dyDescent="0.2">
      <c r="A3470"/>
      <c r="B3470"/>
      <c r="C3470"/>
      <c r="D3470"/>
    </row>
    <row r="3471" spans="1:4" x14ac:dyDescent="0.2">
      <c r="A3471"/>
      <c r="B3471"/>
      <c r="C3471"/>
      <c r="D3471"/>
    </row>
    <row r="3472" spans="1:4" x14ac:dyDescent="0.2">
      <c r="A3472"/>
      <c r="B3472"/>
      <c r="C3472"/>
      <c r="D3472"/>
    </row>
    <row r="3473" spans="1:4" x14ac:dyDescent="0.2">
      <c r="A3473"/>
      <c r="B3473"/>
      <c r="C3473"/>
      <c r="D3473"/>
    </row>
    <row r="3474" spans="1:4" x14ac:dyDescent="0.2">
      <c r="A3474"/>
      <c r="B3474"/>
      <c r="C3474"/>
      <c r="D3474"/>
    </row>
    <row r="3475" spans="1:4" x14ac:dyDescent="0.2">
      <c r="A3475"/>
      <c r="B3475"/>
      <c r="C3475"/>
      <c r="D3475"/>
    </row>
    <row r="3476" spans="1:4" x14ac:dyDescent="0.2">
      <c r="A3476"/>
      <c r="B3476"/>
      <c r="C3476"/>
      <c r="D3476"/>
    </row>
    <row r="3477" spans="1:4" x14ac:dyDescent="0.2">
      <c r="A3477"/>
      <c r="B3477"/>
      <c r="C3477"/>
      <c r="D3477"/>
    </row>
    <row r="3478" spans="1:4" x14ac:dyDescent="0.2">
      <c r="A3478"/>
      <c r="B3478"/>
      <c r="C3478"/>
      <c r="D3478"/>
    </row>
    <row r="3479" spans="1:4" x14ac:dyDescent="0.2">
      <c r="A3479"/>
      <c r="B3479"/>
      <c r="C3479"/>
      <c r="D3479"/>
    </row>
    <row r="3480" spans="1:4" x14ac:dyDescent="0.2">
      <c r="A3480"/>
      <c r="B3480"/>
      <c r="C3480"/>
      <c r="D3480"/>
    </row>
    <row r="3481" spans="1:4" x14ac:dyDescent="0.2">
      <c r="A3481"/>
      <c r="B3481"/>
      <c r="C3481"/>
      <c r="D3481"/>
    </row>
    <row r="3482" spans="1:4" x14ac:dyDescent="0.2">
      <c r="A3482"/>
      <c r="B3482"/>
      <c r="C3482"/>
      <c r="D3482"/>
    </row>
    <row r="3483" spans="1:4" x14ac:dyDescent="0.2">
      <c r="A3483"/>
      <c r="B3483"/>
      <c r="C3483"/>
      <c r="D3483"/>
    </row>
    <row r="3484" spans="1:4" x14ac:dyDescent="0.2">
      <c r="A3484"/>
      <c r="B3484"/>
      <c r="C3484"/>
      <c r="D3484"/>
    </row>
    <row r="3485" spans="1:4" x14ac:dyDescent="0.2">
      <c r="A3485"/>
      <c r="B3485"/>
      <c r="C3485"/>
      <c r="D3485"/>
    </row>
    <row r="3486" spans="1:4" x14ac:dyDescent="0.2">
      <c r="A3486"/>
      <c r="B3486"/>
      <c r="C3486"/>
      <c r="D3486"/>
    </row>
    <row r="3487" spans="1:4" x14ac:dyDescent="0.2">
      <c r="A3487"/>
      <c r="B3487"/>
      <c r="C3487"/>
      <c r="D3487"/>
    </row>
    <row r="3488" spans="1:4" x14ac:dyDescent="0.2">
      <c r="A3488"/>
      <c r="B3488"/>
      <c r="C3488"/>
      <c r="D3488"/>
    </row>
    <row r="3489" spans="1:4" x14ac:dyDescent="0.2">
      <c r="A3489"/>
      <c r="B3489"/>
      <c r="C3489"/>
      <c r="D3489"/>
    </row>
    <row r="3490" spans="1:4" x14ac:dyDescent="0.2">
      <c r="A3490"/>
      <c r="B3490"/>
      <c r="C3490"/>
      <c r="D3490"/>
    </row>
    <row r="3491" spans="1:4" x14ac:dyDescent="0.2">
      <c r="A3491"/>
      <c r="B3491"/>
      <c r="C3491"/>
      <c r="D3491"/>
    </row>
    <row r="3492" spans="1:4" x14ac:dyDescent="0.2">
      <c r="A3492"/>
      <c r="B3492"/>
      <c r="C3492"/>
      <c r="D3492"/>
    </row>
    <row r="3493" spans="1:4" x14ac:dyDescent="0.2">
      <c r="A3493"/>
      <c r="B3493"/>
      <c r="C3493"/>
      <c r="D3493"/>
    </row>
    <row r="3494" spans="1:4" x14ac:dyDescent="0.2">
      <c r="A3494"/>
      <c r="B3494"/>
      <c r="C3494"/>
      <c r="D3494"/>
    </row>
    <row r="3495" spans="1:4" x14ac:dyDescent="0.2">
      <c r="A3495"/>
      <c r="B3495"/>
      <c r="C3495"/>
      <c r="D3495"/>
    </row>
    <row r="3496" spans="1:4" x14ac:dyDescent="0.2">
      <c r="A3496"/>
      <c r="B3496"/>
      <c r="C3496"/>
      <c r="D3496"/>
    </row>
    <row r="3497" spans="1:4" x14ac:dyDescent="0.2">
      <c r="A3497"/>
      <c r="B3497"/>
      <c r="C3497"/>
      <c r="D3497"/>
    </row>
    <row r="3498" spans="1:4" x14ac:dyDescent="0.2">
      <c r="A3498"/>
      <c r="B3498"/>
      <c r="C3498"/>
      <c r="D3498"/>
    </row>
    <row r="3499" spans="1:4" x14ac:dyDescent="0.2">
      <c r="A3499"/>
      <c r="B3499"/>
      <c r="C3499"/>
      <c r="D3499"/>
    </row>
    <row r="3500" spans="1:4" x14ac:dyDescent="0.2">
      <c r="A3500"/>
      <c r="B3500"/>
      <c r="C3500"/>
      <c r="D3500"/>
    </row>
    <row r="3501" spans="1:4" x14ac:dyDescent="0.2">
      <c r="A3501"/>
      <c r="B3501"/>
      <c r="C3501"/>
      <c r="D3501"/>
    </row>
    <row r="3502" spans="1:4" x14ac:dyDescent="0.2">
      <c r="A3502"/>
      <c r="B3502"/>
      <c r="C3502"/>
      <c r="D3502"/>
    </row>
    <row r="3503" spans="1:4" x14ac:dyDescent="0.2">
      <c r="A3503"/>
      <c r="B3503"/>
      <c r="C3503"/>
      <c r="D3503"/>
    </row>
    <row r="3504" spans="1:4" x14ac:dyDescent="0.2">
      <c r="A3504"/>
      <c r="B3504"/>
      <c r="C3504"/>
      <c r="D3504"/>
    </row>
    <row r="3505" spans="1:4" x14ac:dyDescent="0.2">
      <c r="A3505"/>
      <c r="B3505"/>
      <c r="C3505"/>
      <c r="D3505"/>
    </row>
    <row r="3506" spans="1:4" x14ac:dyDescent="0.2">
      <c r="A3506"/>
      <c r="B3506"/>
      <c r="C3506"/>
      <c r="D3506"/>
    </row>
    <row r="3507" spans="1:4" x14ac:dyDescent="0.2">
      <c r="A3507"/>
      <c r="B3507"/>
      <c r="C3507"/>
      <c r="D3507"/>
    </row>
    <row r="3508" spans="1:4" x14ac:dyDescent="0.2">
      <c r="A3508"/>
      <c r="B3508"/>
      <c r="C3508"/>
      <c r="D3508"/>
    </row>
    <row r="3509" spans="1:4" x14ac:dyDescent="0.2">
      <c r="A3509"/>
      <c r="B3509"/>
      <c r="C3509"/>
      <c r="D3509"/>
    </row>
    <row r="3510" spans="1:4" x14ac:dyDescent="0.2">
      <c r="A3510"/>
      <c r="B3510"/>
      <c r="C3510"/>
      <c r="D3510"/>
    </row>
    <row r="3511" spans="1:4" x14ac:dyDescent="0.2">
      <c r="A3511"/>
      <c r="B3511"/>
      <c r="C3511"/>
      <c r="D3511"/>
    </row>
    <row r="3512" spans="1:4" x14ac:dyDescent="0.2">
      <c r="A3512"/>
      <c r="B3512"/>
      <c r="C3512"/>
      <c r="D3512"/>
    </row>
    <row r="3513" spans="1:4" x14ac:dyDescent="0.2">
      <c r="A3513"/>
      <c r="B3513"/>
      <c r="C3513"/>
      <c r="D3513"/>
    </row>
    <row r="3514" spans="1:4" x14ac:dyDescent="0.2">
      <c r="A3514"/>
      <c r="B3514"/>
      <c r="C3514"/>
      <c r="D3514"/>
    </row>
    <row r="3515" spans="1:4" x14ac:dyDescent="0.2">
      <c r="A3515"/>
      <c r="B3515"/>
      <c r="C3515"/>
      <c r="D3515"/>
    </row>
    <row r="3516" spans="1:4" x14ac:dyDescent="0.2">
      <c r="A3516"/>
      <c r="B3516"/>
      <c r="C3516"/>
      <c r="D3516"/>
    </row>
    <row r="3517" spans="1:4" x14ac:dyDescent="0.2">
      <c r="A3517"/>
      <c r="B3517"/>
      <c r="C3517"/>
      <c r="D3517"/>
    </row>
    <row r="3518" spans="1:4" x14ac:dyDescent="0.2">
      <c r="A3518"/>
      <c r="B3518"/>
      <c r="C3518"/>
      <c r="D3518"/>
    </row>
    <row r="3519" spans="1:4" x14ac:dyDescent="0.2">
      <c r="A3519"/>
      <c r="B3519"/>
      <c r="C3519"/>
      <c r="D3519"/>
    </row>
    <row r="3520" spans="1:4" x14ac:dyDescent="0.2">
      <c r="A3520"/>
      <c r="B3520"/>
      <c r="C3520"/>
      <c r="D3520"/>
    </row>
    <row r="3521" spans="1:4" x14ac:dyDescent="0.2">
      <c r="A3521"/>
      <c r="B3521"/>
      <c r="C3521"/>
      <c r="D3521"/>
    </row>
    <row r="3522" spans="1:4" x14ac:dyDescent="0.2">
      <c r="A3522"/>
      <c r="B3522"/>
      <c r="C3522"/>
      <c r="D3522"/>
    </row>
    <row r="3523" spans="1:4" x14ac:dyDescent="0.2">
      <c r="A3523"/>
      <c r="B3523"/>
      <c r="C3523"/>
      <c r="D3523"/>
    </row>
    <row r="3524" spans="1:4" x14ac:dyDescent="0.2">
      <c r="A3524"/>
      <c r="B3524"/>
      <c r="C3524"/>
      <c r="D3524"/>
    </row>
    <row r="3525" spans="1:4" x14ac:dyDescent="0.2">
      <c r="A3525"/>
      <c r="B3525"/>
      <c r="C3525"/>
      <c r="D3525"/>
    </row>
    <row r="3526" spans="1:4" x14ac:dyDescent="0.2">
      <c r="A3526"/>
      <c r="B3526"/>
      <c r="C3526"/>
      <c r="D3526"/>
    </row>
    <row r="3527" spans="1:4" x14ac:dyDescent="0.2">
      <c r="A3527"/>
      <c r="B3527"/>
      <c r="C3527"/>
      <c r="D3527"/>
    </row>
    <row r="3528" spans="1:4" x14ac:dyDescent="0.2">
      <c r="A3528"/>
      <c r="B3528"/>
      <c r="C3528"/>
      <c r="D3528"/>
    </row>
    <row r="3529" spans="1:4" x14ac:dyDescent="0.2">
      <c r="A3529"/>
      <c r="B3529"/>
      <c r="C3529"/>
      <c r="D3529"/>
    </row>
    <row r="3530" spans="1:4" x14ac:dyDescent="0.2">
      <c r="A3530"/>
      <c r="B3530"/>
      <c r="C3530"/>
      <c r="D3530"/>
    </row>
    <row r="3531" spans="1:4" x14ac:dyDescent="0.2">
      <c r="A3531"/>
      <c r="B3531"/>
      <c r="C3531"/>
      <c r="D3531"/>
    </row>
    <row r="3532" spans="1:4" x14ac:dyDescent="0.2">
      <c r="A3532"/>
      <c r="B3532"/>
      <c r="C3532"/>
      <c r="D3532"/>
    </row>
    <row r="3533" spans="1:4" x14ac:dyDescent="0.2">
      <c r="A3533"/>
      <c r="B3533"/>
      <c r="C3533"/>
      <c r="D3533"/>
    </row>
    <row r="3534" spans="1:4" x14ac:dyDescent="0.2">
      <c r="A3534"/>
      <c r="B3534"/>
      <c r="C3534"/>
      <c r="D3534"/>
    </row>
    <row r="3535" spans="1:4" x14ac:dyDescent="0.2">
      <c r="A3535"/>
      <c r="B3535"/>
      <c r="C3535"/>
      <c r="D3535"/>
    </row>
    <row r="3536" spans="1:4" x14ac:dyDescent="0.2">
      <c r="A3536"/>
      <c r="B3536"/>
      <c r="C3536"/>
      <c r="D3536"/>
    </row>
    <row r="3537" spans="1:4" x14ac:dyDescent="0.2">
      <c r="A3537"/>
      <c r="B3537"/>
      <c r="C3537"/>
      <c r="D3537"/>
    </row>
    <row r="3538" spans="1:4" x14ac:dyDescent="0.2">
      <c r="A3538"/>
      <c r="B3538"/>
      <c r="C3538"/>
      <c r="D3538"/>
    </row>
    <row r="3539" spans="1:4" x14ac:dyDescent="0.2">
      <c r="A3539"/>
      <c r="B3539"/>
      <c r="C3539"/>
      <c r="D3539"/>
    </row>
    <row r="3540" spans="1:4" x14ac:dyDescent="0.2">
      <c r="A3540"/>
      <c r="B3540"/>
      <c r="C3540"/>
      <c r="D3540"/>
    </row>
    <row r="3541" spans="1:4" x14ac:dyDescent="0.2">
      <c r="A3541"/>
      <c r="B3541"/>
      <c r="C3541"/>
      <c r="D3541"/>
    </row>
    <row r="3542" spans="1:4" x14ac:dyDescent="0.2">
      <c r="A3542"/>
      <c r="B3542"/>
      <c r="C3542"/>
      <c r="D3542"/>
    </row>
    <row r="3543" spans="1:4" x14ac:dyDescent="0.2">
      <c r="A3543"/>
      <c r="B3543"/>
      <c r="C3543"/>
      <c r="D3543"/>
    </row>
    <row r="3544" spans="1:4" x14ac:dyDescent="0.2">
      <c r="A3544"/>
      <c r="B3544"/>
      <c r="C3544"/>
      <c r="D3544"/>
    </row>
    <row r="3545" spans="1:4" x14ac:dyDescent="0.2">
      <c r="A3545"/>
      <c r="B3545"/>
      <c r="C3545"/>
      <c r="D3545"/>
    </row>
    <row r="3546" spans="1:4" x14ac:dyDescent="0.2">
      <c r="A3546"/>
      <c r="B3546"/>
      <c r="C3546"/>
      <c r="D3546"/>
    </row>
    <row r="3547" spans="1:4" x14ac:dyDescent="0.2">
      <c r="A3547"/>
      <c r="B3547"/>
      <c r="C3547"/>
      <c r="D3547"/>
    </row>
    <row r="3548" spans="1:4" x14ac:dyDescent="0.2">
      <c r="A3548"/>
      <c r="B3548"/>
      <c r="C3548"/>
      <c r="D3548"/>
    </row>
    <row r="3549" spans="1:4" x14ac:dyDescent="0.2">
      <c r="A3549"/>
      <c r="B3549"/>
      <c r="C3549"/>
      <c r="D3549"/>
    </row>
    <row r="3550" spans="1:4" x14ac:dyDescent="0.2">
      <c r="A3550"/>
      <c r="B3550"/>
      <c r="C3550"/>
      <c r="D3550"/>
    </row>
    <row r="3551" spans="1:4" x14ac:dyDescent="0.2">
      <c r="A3551"/>
      <c r="B3551"/>
      <c r="C3551"/>
      <c r="D3551"/>
    </row>
    <row r="3552" spans="1:4" x14ac:dyDescent="0.2">
      <c r="A3552"/>
      <c r="B3552"/>
      <c r="C3552"/>
      <c r="D3552"/>
    </row>
    <row r="3553" spans="1:4" x14ac:dyDescent="0.2">
      <c r="A3553"/>
      <c r="B3553"/>
      <c r="C3553"/>
      <c r="D3553"/>
    </row>
    <row r="3554" spans="1:4" x14ac:dyDescent="0.2">
      <c r="A3554"/>
      <c r="B3554"/>
      <c r="C3554"/>
      <c r="D3554"/>
    </row>
    <row r="3555" spans="1:4" x14ac:dyDescent="0.2">
      <c r="A3555"/>
      <c r="B3555"/>
      <c r="C3555"/>
      <c r="D3555"/>
    </row>
    <row r="3556" spans="1:4" x14ac:dyDescent="0.2">
      <c r="A3556"/>
      <c r="B3556"/>
      <c r="C3556"/>
      <c r="D3556"/>
    </row>
    <row r="3557" spans="1:4" x14ac:dyDescent="0.2">
      <c r="A3557"/>
      <c r="B3557"/>
      <c r="C3557"/>
      <c r="D3557"/>
    </row>
    <row r="3558" spans="1:4" x14ac:dyDescent="0.2">
      <c r="A3558"/>
      <c r="B3558"/>
      <c r="C3558"/>
      <c r="D3558"/>
    </row>
    <row r="3559" spans="1:4" x14ac:dyDescent="0.2">
      <c r="A3559"/>
      <c r="B3559"/>
      <c r="C3559"/>
      <c r="D3559"/>
    </row>
    <row r="3560" spans="1:4" x14ac:dyDescent="0.2">
      <c r="A3560"/>
      <c r="B3560"/>
      <c r="C3560"/>
      <c r="D3560"/>
    </row>
    <row r="3561" spans="1:4" x14ac:dyDescent="0.2">
      <c r="A3561"/>
      <c r="B3561"/>
      <c r="C3561"/>
      <c r="D3561"/>
    </row>
    <row r="3562" spans="1:4" x14ac:dyDescent="0.2">
      <c r="A3562"/>
      <c r="B3562"/>
      <c r="C3562"/>
      <c r="D3562"/>
    </row>
    <row r="3563" spans="1:4" x14ac:dyDescent="0.2">
      <c r="A3563"/>
      <c r="B3563"/>
      <c r="C3563"/>
      <c r="D3563"/>
    </row>
    <row r="3564" spans="1:4" x14ac:dyDescent="0.2">
      <c r="A3564"/>
      <c r="B3564"/>
      <c r="C3564"/>
      <c r="D3564"/>
    </row>
    <row r="3565" spans="1:4" x14ac:dyDescent="0.2">
      <c r="A3565"/>
      <c r="B3565"/>
      <c r="C3565"/>
      <c r="D3565"/>
    </row>
    <row r="3566" spans="1:4" x14ac:dyDescent="0.2">
      <c r="A3566"/>
      <c r="B3566"/>
      <c r="C3566"/>
      <c r="D3566"/>
    </row>
    <row r="3567" spans="1:4" x14ac:dyDescent="0.2">
      <c r="A3567"/>
      <c r="B3567"/>
      <c r="C3567"/>
      <c r="D3567"/>
    </row>
    <row r="3568" spans="1:4" x14ac:dyDescent="0.2">
      <c r="A3568"/>
      <c r="B3568"/>
      <c r="C3568"/>
      <c r="D3568"/>
    </row>
    <row r="3569" spans="1:4" x14ac:dyDescent="0.2">
      <c r="A3569"/>
      <c r="B3569"/>
      <c r="C3569"/>
      <c r="D3569"/>
    </row>
    <row r="3570" spans="1:4" x14ac:dyDescent="0.2">
      <c r="A3570"/>
      <c r="B3570"/>
      <c r="C3570"/>
      <c r="D3570"/>
    </row>
    <row r="3571" spans="1:4" x14ac:dyDescent="0.2">
      <c r="A3571"/>
      <c r="B3571"/>
      <c r="C3571"/>
      <c r="D3571"/>
    </row>
    <row r="3572" spans="1:4" x14ac:dyDescent="0.2">
      <c r="A3572"/>
      <c r="B3572"/>
      <c r="C3572"/>
      <c r="D3572"/>
    </row>
    <row r="3573" spans="1:4" x14ac:dyDescent="0.2">
      <c r="A3573"/>
      <c r="B3573"/>
      <c r="C3573"/>
      <c r="D3573"/>
    </row>
    <row r="3574" spans="1:4" x14ac:dyDescent="0.2">
      <c r="A3574"/>
      <c r="B3574"/>
      <c r="C3574"/>
      <c r="D3574"/>
    </row>
    <row r="3575" spans="1:4" x14ac:dyDescent="0.2">
      <c r="A3575"/>
      <c r="B3575"/>
      <c r="C3575"/>
      <c r="D3575"/>
    </row>
    <row r="3576" spans="1:4" x14ac:dyDescent="0.2">
      <c r="A3576"/>
      <c r="B3576"/>
      <c r="C3576"/>
      <c r="D3576"/>
    </row>
    <row r="3577" spans="1:4" x14ac:dyDescent="0.2">
      <c r="A3577"/>
      <c r="B3577"/>
      <c r="C3577"/>
      <c r="D3577"/>
    </row>
    <row r="3578" spans="1:4" x14ac:dyDescent="0.2">
      <c r="A3578"/>
      <c r="B3578"/>
      <c r="C3578"/>
      <c r="D3578"/>
    </row>
    <row r="3579" spans="1:4" x14ac:dyDescent="0.2">
      <c r="A3579"/>
      <c r="B3579"/>
      <c r="C3579"/>
      <c r="D3579"/>
    </row>
    <row r="3580" spans="1:4" x14ac:dyDescent="0.2">
      <c r="A3580"/>
      <c r="B3580"/>
      <c r="C3580"/>
      <c r="D3580"/>
    </row>
    <row r="3581" spans="1:4" x14ac:dyDescent="0.2">
      <c r="A3581"/>
      <c r="B3581"/>
      <c r="C3581"/>
      <c r="D3581"/>
    </row>
    <row r="3582" spans="1:4" x14ac:dyDescent="0.2">
      <c r="A3582"/>
      <c r="B3582"/>
      <c r="C3582"/>
      <c r="D3582"/>
    </row>
    <row r="3583" spans="1:4" x14ac:dyDescent="0.2">
      <c r="A3583"/>
      <c r="B3583"/>
      <c r="C3583"/>
      <c r="D3583"/>
    </row>
    <row r="3584" spans="1:4" x14ac:dyDescent="0.2">
      <c r="A3584"/>
      <c r="B3584"/>
      <c r="C3584"/>
      <c r="D3584"/>
    </row>
    <row r="3585" spans="1:4" x14ac:dyDescent="0.2">
      <c r="A3585"/>
      <c r="B3585"/>
      <c r="C3585"/>
      <c r="D3585"/>
    </row>
    <row r="3586" spans="1:4" x14ac:dyDescent="0.2">
      <c r="A3586"/>
      <c r="B3586"/>
      <c r="C3586"/>
      <c r="D3586"/>
    </row>
    <row r="3587" spans="1:4" x14ac:dyDescent="0.2">
      <c r="A3587"/>
      <c r="B3587"/>
      <c r="C3587"/>
      <c r="D3587"/>
    </row>
    <row r="3588" spans="1:4" x14ac:dyDescent="0.2">
      <c r="A3588"/>
      <c r="B3588"/>
      <c r="C3588"/>
      <c r="D3588"/>
    </row>
    <row r="3589" spans="1:4" x14ac:dyDescent="0.2">
      <c r="A3589"/>
      <c r="B3589"/>
      <c r="C3589"/>
      <c r="D3589"/>
    </row>
    <row r="3590" spans="1:4" x14ac:dyDescent="0.2">
      <c r="A3590"/>
      <c r="B3590"/>
      <c r="C3590"/>
      <c r="D3590"/>
    </row>
    <row r="3591" spans="1:4" x14ac:dyDescent="0.2">
      <c r="A3591"/>
      <c r="B3591"/>
      <c r="C3591"/>
      <c r="D3591"/>
    </row>
    <row r="3592" spans="1:4" x14ac:dyDescent="0.2">
      <c r="A3592"/>
      <c r="B3592"/>
      <c r="C3592"/>
      <c r="D3592"/>
    </row>
    <row r="3593" spans="1:4" x14ac:dyDescent="0.2">
      <c r="A3593"/>
      <c r="B3593"/>
      <c r="C3593"/>
      <c r="D3593"/>
    </row>
    <row r="3594" spans="1:4" x14ac:dyDescent="0.2">
      <c r="A3594"/>
      <c r="B3594"/>
      <c r="C3594"/>
      <c r="D3594"/>
    </row>
    <row r="3595" spans="1:4" x14ac:dyDescent="0.2">
      <c r="A3595"/>
      <c r="B3595"/>
      <c r="C3595"/>
      <c r="D3595"/>
    </row>
    <row r="3596" spans="1:4" x14ac:dyDescent="0.2">
      <c r="A3596"/>
      <c r="B3596"/>
      <c r="C3596"/>
      <c r="D3596"/>
    </row>
    <row r="3597" spans="1:4" x14ac:dyDescent="0.2">
      <c r="A3597"/>
      <c r="B3597"/>
      <c r="C3597"/>
      <c r="D3597"/>
    </row>
    <row r="3598" spans="1:4" x14ac:dyDescent="0.2">
      <c r="A3598"/>
      <c r="B3598"/>
      <c r="C3598"/>
      <c r="D3598"/>
    </row>
    <row r="3599" spans="1:4" x14ac:dyDescent="0.2">
      <c r="A3599"/>
      <c r="B3599"/>
      <c r="C3599"/>
      <c r="D3599"/>
    </row>
    <row r="3600" spans="1:4" x14ac:dyDescent="0.2">
      <c r="A3600"/>
      <c r="B3600"/>
      <c r="C3600"/>
      <c r="D3600"/>
    </row>
    <row r="3601" spans="1:4" x14ac:dyDescent="0.2">
      <c r="A3601"/>
      <c r="B3601"/>
      <c r="C3601"/>
      <c r="D3601"/>
    </row>
    <row r="3602" spans="1:4" x14ac:dyDescent="0.2">
      <c r="A3602"/>
      <c r="B3602"/>
      <c r="C3602"/>
      <c r="D3602"/>
    </row>
    <row r="3603" spans="1:4" x14ac:dyDescent="0.2">
      <c r="A3603"/>
      <c r="B3603"/>
      <c r="C3603"/>
      <c r="D3603"/>
    </row>
    <row r="3604" spans="1:4" x14ac:dyDescent="0.2">
      <c r="A3604"/>
      <c r="B3604"/>
      <c r="C3604"/>
      <c r="D3604"/>
    </row>
    <row r="3605" spans="1:4" x14ac:dyDescent="0.2">
      <c r="A3605"/>
      <c r="B3605"/>
      <c r="C3605"/>
      <c r="D3605"/>
    </row>
    <row r="3606" spans="1:4" x14ac:dyDescent="0.2">
      <c r="A3606"/>
      <c r="B3606"/>
      <c r="C3606"/>
      <c r="D3606"/>
    </row>
    <row r="3607" spans="1:4" x14ac:dyDescent="0.2">
      <c r="A3607"/>
      <c r="B3607"/>
      <c r="C3607"/>
      <c r="D3607"/>
    </row>
    <row r="3608" spans="1:4" x14ac:dyDescent="0.2">
      <c r="A3608"/>
      <c r="B3608"/>
      <c r="C3608"/>
      <c r="D3608"/>
    </row>
    <row r="3609" spans="1:4" x14ac:dyDescent="0.2">
      <c r="A3609"/>
      <c r="B3609"/>
      <c r="C3609"/>
      <c r="D3609"/>
    </row>
    <row r="3610" spans="1:4" x14ac:dyDescent="0.2">
      <c r="A3610"/>
      <c r="B3610"/>
      <c r="C3610"/>
      <c r="D3610"/>
    </row>
    <row r="3611" spans="1:4" x14ac:dyDescent="0.2">
      <c r="A3611"/>
      <c r="B3611"/>
      <c r="C3611"/>
      <c r="D3611"/>
    </row>
    <row r="3612" spans="1:4" x14ac:dyDescent="0.2">
      <c r="A3612"/>
      <c r="B3612"/>
      <c r="C3612"/>
      <c r="D3612"/>
    </row>
    <row r="3613" spans="1:4" x14ac:dyDescent="0.2">
      <c r="A3613"/>
      <c r="B3613"/>
      <c r="C3613"/>
      <c r="D3613"/>
    </row>
    <row r="3614" spans="1:4" x14ac:dyDescent="0.2">
      <c r="A3614"/>
      <c r="B3614"/>
      <c r="C3614"/>
      <c r="D3614"/>
    </row>
    <row r="3615" spans="1:4" x14ac:dyDescent="0.2">
      <c r="A3615"/>
      <c r="B3615"/>
      <c r="C3615"/>
      <c r="D3615"/>
    </row>
    <row r="3616" spans="1:4" x14ac:dyDescent="0.2">
      <c r="A3616"/>
      <c r="B3616"/>
      <c r="C3616"/>
      <c r="D3616"/>
    </row>
    <row r="3617" spans="1:4" x14ac:dyDescent="0.2">
      <c r="A3617"/>
      <c r="B3617"/>
      <c r="C3617"/>
      <c r="D3617"/>
    </row>
    <row r="3618" spans="1:4" x14ac:dyDescent="0.2">
      <c r="A3618"/>
      <c r="B3618"/>
      <c r="C3618"/>
      <c r="D3618"/>
    </row>
    <row r="3619" spans="1:4" x14ac:dyDescent="0.2">
      <c r="A3619"/>
      <c r="B3619"/>
      <c r="C3619"/>
      <c r="D3619"/>
    </row>
    <row r="3620" spans="1:4" x14ac:dyDescent="0.2">
      <c r="A3620"/>
      <c r="B3620"/>
      <c r="C3620"/>
      <c r="D3620"/>
    </row>
    <row r="3621" spans="1:4" x14ac:dyDescent="0.2">
      <c r="A3621"/>
      <c r="B3621"/>
      <c r="C3621"/>
      <c r="D3621"/>
    </row>
    <row r="3622" spans="1:4" x14ac:dyDescent="0.2">
      <c r="A3622"/>
      <c r="B3622"/>
      <c r="C3622"/>
      <c r="D3622"/>
    </row>
    <row r="3623" spans="1:4" x14ac:dyDescent="0.2">
      <c r="A3623"/>
      <c r="B3623"/>
      <c r="C3623"/>
      <c r="D3623"/>
    </row>
    <row r="3624" spans="1:4" x14ac:dyDescent="0.2">
      <c r="A3624"/>
      <c r="B3624"/>
      <c r="C3624"/>
      <c r="D3624"/>
    </row>
    <row r="3625" spans="1:4" x14ac:dyDescent="0.2">
      <c r="A3625"/>
      <c r="B3625"/>
      <c r="C3625"/>
      <c r="D3625"/>
    </row>
    <row r="3626" spans="1:4" x14ac:dyDescent="0.2">
      <c r="A3626"/>
      <c r="B3626"/>
      <c r="C3626"/>
      <c r="D3626"/>
    </row>
    <row r="3627" spans="1:4" x14ac:dyDescent="0.2">
      <c r="A3627"/>
      <c r="B3627"/>
      <c r="C3627"/>
      <c r="D3627"/>
    </row>
    <row r="3628" spans="1:4" x14ac:dyDescent="0.2">
      <c r="A3628"/>
      <c r="B3628"/>
      <c r="C3628"/>
      <c r="D3628"/>
    </row>
    <row r="3629" spans="1:4" x14ac:dyDescent="0.2">
      <c r="A3629"/>
      <c r="B3629"/>
      <c r="C3629"/>
      <c r="D3629"/>
    </row>
    <row r="3630" spans="1:4" x14ac:dyDescent="0.2">
      <c r="A3630"/>
      <c r="B3630"/>
      <c r="C3630"/>
      <c r="D3630"/>
    </row>
    <row r="3631" spans="1:4" x14ac:dyDescent="0.2">
      <c r="A3631"/>
      <c r="B3631"/>
      <c r="C3631"/>
      <c r="D3631"/>
    </row>
    <row r="3632" spans="1:4" x14ac:dyDescent="0.2">
      <c r="A3632"/>
      <c r="B3632"/>
      <c r="C3632"/>
      <c r="D3632"/>
    </row>
    <row r="3633" spans="1:4" x14ac:dyDescent="0.2">
      <c r="A3633"/>
      <c r="B3633"/>
      <c r="C3633"/>
      <c r="D3633"/>
    </row>
    <row r="3634" spans="1:4" x14ac:dyDescent="0.2">
      <c r="A3634"/>
      <c r="B3634"/>
      <c r="C3634"/>
      <c r="D3634"/>
    </row>
    <row r="3635" spans="1:4" x14ac:dyDescent="0.2">
      <c r="A3635"/>
      <c r="B3635"/>
      <c r="C3635"/>
      <c r="D3635"/>
    </row>
    <row r="3636" spans="1:4" x14ac:dyDescent="0.2">
      <c r="A3636"/>
      <c r="B3636"/>
      <c r="C3636"/>
      <c r="D3636"/>
    </row>
    <row r="3637" spans="1:4" x14ac:dyDescent="0.2">
      <c r="A3637"/>
      <c r="B3637"/>
      <c r="C3637"/>
      <c r="D3637"/>
    </row>
    <row r="3638" spans="1:4" x14ac:dyDescent="0.2">
      <c r="A3638"/>
      <c r="B3638"/>
      <c r="C3638"/>
      <c r="D3638"/>
    </row>
    <row r="3639" spans="1:4" x14ac:dyDescent="0.2">
      <c r="A3639"/>
      <c r="B3639"/>
      <c r="C3639"/>
      <c r="D3639"/>
    </row>
    <row r="3640" spans="1:4" x14ac:dyDescent="0.2">
      <c r="A3640"/>
      <c r="B3640"/>
      <c r="C3640"/>
      <c r="D3640"/>
    </row>
    <row r="3641" spans="1:4" x14ac:dyDescent="0.2">
      <c r="A3641"/>
      <c r="B3641"/>
      <c r="C3641"/>
      <c r="D3641"/>
    </row>
    <row r="3642" spans="1:4" x14ac:dyDescent="0.2">
      <c r="A3642"/>
      <c r="B3642"/>
      <c r="C3642"/>
      <c r="D3642"/>
    </row>
    <row r="3643" spans="1:4" x14ac:dyDescent="0.2">
      <c r="A3643"/>
      <c r="B3643"/>
      <c r="C3643"/>
      <c r="D3643"/>
    </row>
    <row r="3644" spans="1:4" x14ac:dyDescent="0.2">
      <c r="A3644"/>
      <c r="B3644"/>
      <c r="C3644"/>
      <c r="D3644"/>
    </row>
    <row r="3645" spans="1:4" x14ac:dyDescent="0.2">
      <c r="A3645"/>
      <c r="B3645"/>
      <c r="C3645"/>
      <c r="D3645"/>
    </row>
    <row r="3646" spans="1:4" x14ac:dyDescent="0.2">
      <c r="A3646"/>
      <c r="B3646"/>
      <c r="C3646"/>
      <c r="D3646"/>
    </row>
    <row r="3647" spans="1:4" x14ac:dyDescent="0.2">
      <c r="A3647"/>
      <c r="B3647"/>
      <c r="C3647"/>
      <c r="D3647"/>
    </row>
    <row r="3648" spans="1:4" x14ac:dyDescent="0.2">
      <c r="A3648"/>
      <c r="B3648"/>
      <c r="C3648"/>
      <c r="D3648"/>
    </row>
    <row r="3649" spans="1:4" x14ac:dyDescent="0.2">
      <c r="A3649"/>
      <c r="B3649"/>
      <c r="C3649"/>
      <c r="D3649"/>
    </row>
    <row r="3650" spans="1:4" x14ac:dyDescent="0.2">
      <c r="A3650"/>
      <c r="B3650"/>
      <c r="C3650"/>
      <c r="D3650"/>
    </row>
    <row r="3651" spans="1:4" x14ac:dyDescent="0.2">
      <c r="A3651"/>
      <c r="B3651"/>
      <c r="C3651"/>
      <c r="D3651"/>
    </row>
    <row r="3652" spans="1:4" x14ac:dyDescent="0.2">
      <c r="A3652"/>
      <c r="B3652"/>
      <c r="C3652"/>
      <c r="D3652"/>
    </row>
    <row r="3653" spans="1:4" x14ac:dyDescent="0.2">
      <c r="A3653"/>
      <c r="B3653"/>
      <c r="C3653"/>
      <c r="D3653"/>
    </row>
    <row r="3654" spans="1:4" x14ac:dyDescent="0.2">
      <c r="A3654"/>
      <c r="B3654"/>
      <c r="C3654"/>
      <c r="D3654"/>
    </row>
    <row r="3655" spans="1:4" x14ac:dyDescent="0.2">
      <c r="A3655"/>
      <c r="B3655"/>
      <c r="C3655"/>
      <c r="D3655"/>
    </row>
    <row r="3656" spans="1:4" x14ac:dyDescent="0.2">
      <c r="A3656"/>
      <c r="B3656"/>
      <c r="C3656"/>
      <c r="D3656"/>
    </row>
    <row r="3657" spans="1:4" x14ac:dyDescent="0.2">
      <c r="A3657"/>
      <c r="B3657"/>
      <c r="C3657"/>
      <c r="D3657"/>
    </row>
    <row r="3658" spans="1:4" x14ac:dyDescent="0.2">
      <c r="A3658"/>
      <c r="B3658"/>
      <c r="C3658"/>
      <c r="D3658"/>
    </row>
    <row r="3659" spans="1:4" x14ac:dyDescent="0.2">
      <c r="A3659"/>
      <c r="B3659"/>
      <c r="C3659"/>
      <c r="D3659"/>
    </row>
    <row r="3660" spans="1:4" x14ac:dyDescent="0.2">
      <c r="A3660"/>
      <c r="B3660"/>
      <c r="C3660"/>
      <c r="D3660"/>
    </row>
    <row r="3661" spans="1:4" x14ac:dyDescent="0.2">
      <c r="A3661"/>
      <c r="B3661"/>
      <c r="C3661"/>
      <c r="D3661"/>
    </row>
    <row r="3662" spans="1:4" x14ac:dyDescent="0.2">
      <c r="A3662"/>
      <c r="B3662"/>
      <c r="C3662"/>
      <c r="D3662"/>
    </row>
    <row r="3663" spans="1:4" x14ac:dyDescent="0.2">
      <c r="A3663"/>
      <c r="B3663"/>
      <c r="C3663"/>
      <c r="D3663"/>
    </row>
    <row r="3664" spans="1:4" x14ac:dyDescent="0.2">
      <c r="A3664"/>
      <c r="B3664"/>
      <c r="C3664"/>
      <c r="D3664"/>
    </row>
    <row r="3665" spans="1:4" x14ac:dyDescent="0.2">
      <c r="A3665"/>
      <c r="B3665"/>
      <c r="C3665"/>
      <c r="D3665"/>
    </row>
    <row r="3666" spans="1:4" x14ac:dyDescent="0.2">
      <c r="A3666"/>
      <c r="B3666"/>
      <c r="C3666"/>
      <c r="D3666"/>
    </row>
    <row r="3667" spans="1:4" x14ac:dyDescent="0.2">
      <c r="A3667"/>
      <c r="B3667"/>
      <c r="C3667"/>
      <c r="D3667"/>
    </row>
    <row r="3668" spans="1:4" x14ac:dyDescent="0.2">
      <c r="A3668"/>
      <c r="B3668"/>
      <c r="C3668"/>
      <c r="D3668"/>
    </row>
    <row r="3669" spans="1:4" x14ac:dyDescent="0.2">
      <c r="A3669"/>
      <c r="B3669"/>
      <c r="C3669"/>
      <c r="D3669"/>
    </row>
    <row r="3670" spans="1:4" x14ac:dyDescent="0.2">
      <c r="A3670"/>
      <c r="B3670"/>
      <c r="C3670"/>
      <c r="D3670"/>
    </row>
    <row r="3671" spans="1:4" x14ac:dyDescent="0.2">
      <c r="A3671"/>
      <c r="B3671"/>
      <c r="C3671"/>
      <c r="D3671"/>
    </row>
    <row r="3672" spans="1:4" x14ac:dyDescent="0.2">
      <c r="A3672"/>
      <c r="B3672"/>
      <c r="C3672"/>
      <c r="D3672"/>
    </row>
    <row r="3673" spans="1:4" x14ac:dyDescent="0.2">
      <c r="A3673"/>
      <c r="B3673"/>
      <c r="C3673"/>
      <c r="D3673"/>
    </row>
    <row r="3674" spans="1:4" x14ac:dyDescent="0.2">
      <c r="A3674"/>
      <c r="B3674"/>
      <c r="C3674"/>
      <c r="D3674"/>
    </row>
    <row r="3675" spans="1:4" x14ac:dyDescent="0.2">
      <c r="A3675"/>
      <c r="B3675"/>
      <c r="C3675"/>
      <c r="D3675"/>
    </row>
    <row r="3676" spans="1:4" x14ac:dyDescent="0.2">
      <c r="A3676"/>
      <c r="B3676"/>
      <c r="C3676"/>
      <c r="D3676"/>
    </row>
    <row r="3677" spans="1:4" x14ac:dyDescent="0.2">
      <c r="A3677"/>
      <c r="B3677"/>
      <c r="C3677"/>
      <c r="D3677"/>
    </row>
    <row r="3678" spans="1:4" x14ac:dyDescent="0.2">
      <c r="A3678"/>
      <c r="B3678"/>
      <c r="C3678"/>
      <c r="D3678"/>
    </row>
    <row r="3679" spans="1:4" x14ac:dyDescent="0.2">
      <c r="A3679"/>
      <c r="B3679"/>
      <c r="C3679"/>
      <c r="D3679"/>
    </row>
    <row r="3680" spans="1:4" x14ac:dyDescent="0.2">
      <c r="A3680"/>
      <c r="B3680"/>
      <c r="C3680"/>
      <c r="D3680"/>
    </row>
    <row r="3681" spans="1:4" x14ac:dyDescent="0.2">
      <c r="A3681"/>
      <c r="B3681"/>
      <c r="C3681"/>
      <c r="D3681"/>
    </row>
    <row r="3682" spans="1:4" x14ac:dyDescent="0.2">
      <c r="A3682"/>
      <c r="B3682"/>
      <c r="C3682"/>
      <c r="D3682"/>
    </row>
    <row r="3683" spans="1:4" x14ac:dyDescent="0.2">
      <c r="A3683"/>
      <c r="B3683"/>
      <c r="C3683"/>
      <c r="D3683"/>
    </row>
    <row r="3684" spans="1:4" x14ac:dyDescent="0.2">
      <c r="A3684"/>
      <c r="B3684"/>
      <c r="C3684"/>
      <c r="D3684"/>
    </row>
    <row r="3685" spans="1:4" x14ac:dyDescent="0.2">
      <c r="A3685"/>
      <c r="B3685"/>
      <c r="C3685"/>
      <c r="D3685"/>
    </row>
    <row r="3686" spans="1:4" x14ac:dyDescent="0.2">
      <c r="A3686"/>
      <c r="B3686"/>
      <c r="C3686"/>
      <c r="D3686"/>
    </row>
    <row r="3687" spans="1:4" x14ac:dyDescent="0.2">
      <c r="A3687"/>
      <c r="B3687"/>
      <c r="C3687"/>
      <c r="D3687"/>
    </row>
    <row r="3688" spans="1:4" x14ac:dyDescent="0.2">
      <c r="A3688"/>
      <c r="B3688"/>
      <c r="C3688"/>
      <c r="D3688"/>
    </row>
    <row r="3689" spans="1:4" x14ac:dyDescent="0.2">
      <c r="A3689"/>
      <c r="B3689"/>
      <c r="C3689"/>
      <c r="D3689"/>
    </row>
    <row r="3690" spans="1:4" x14ac:dyDescent="0.2">
      <c r="A3690"/>
      <c r="B3690"/>
      <c r="C3690"/>
      <c r="D3690"/>
    </row>
    <row r="3691" spans="1:4" x14ac:dyDescent="0.2">
      <c r="A3691"/>
      <c r="B3691"/>
      <c r="C3691"/>
      <c r="D3691"/>
    </row>
    <row r="3692" spans="1:4" x14ac:dyDescent="0.2">
      <c r="A3692"/>
      <c r="B3692"/>
      <c r="C3692"/>
      <c r="D3692"/>
    </row>
    <row r="3693" spans="1:4" x14ac:dyDescent="0.2">
      <c r="A3693"/>
      <c r="B3693"/>
      <c r="C3693"/>
      <c r="D3693"/>
    </row>
    <row r="3694" spans="1:4" x14ac:dyDescent="0.2">
      <c r="A3694"/>
      <c r="B3694"/>
      <c r="C3694"/>
      <c r="D3694"/>
    </row>
    <row r="3695" spans="1:4" x14ac:dyDescent="0.2">
      <c r="A3695"/>
      <c r="B3695"/>
      <c r="C3695"/>
      <c r="D3695"/>
    </row>
    <row r="3696" spans="1:4" x14ac:dyDescent="0.2">
      <c r="A3696"/>
      <c r="B3696"/>
      <c r="C3696"/>
      <c r="D3696"/>
    </row>
    <row r="3697" spans="1:4" x14ac:dyDescent="0.2">
      <c r="A3697"/>
      <c r="B3697"/>
      <c r="C3697"/>
      <c r="D3697"/>
    </row>
    <row r="3698" spans="1:4" x14ac:dyDescent="0.2">
      <c r="A3698"/>
      <c r="B3698"/>
      <c r="C3698"/>
      <c r="D3698"/>
    </row>
    <row r="3699" spans="1:4" x14ac:dyDescent="0.2">
      <c r="A3699"/>
      <c r="B3699"/>
      <c r="C3699"/>
      <c r="D3699"/>
    </row>
    <row r="3700" spans="1:4" x14ac:dyDescent="0.2">
      <c r="A3700"/>
      <c r="B3700"/>
      <c r="C3700"/>
      <c r="D3700"/>
    </row>
    <row r="3701" spans="1:4" x14ac:dyDescent="0.2">
      <c r="A3701"/>
      <c r="B3701"/>
      <c r="C3701"/>
      <c r="D3701"/>
    </row>
    <row r="3702" spans="1:4" x14ac:dyDescent="0.2">
      <c r="A3702"/>
      <c r="B3702"/>
      <c r="C3702"/>
      <c r="D3702"/>
    </row>
    <row r="3703" spans="1:4" x14ac:dyDescent="0.2">
      <c r="A3703"/>
      <c r="B3703"/>
      <c r="C3703"/>
      <c r="D3703"/>
    </row>
    <row r="3704" spans="1:4" x14ac:dyDescent="0.2">
      <c r="A3704"/>
      <c r="B3704"/>
      <c r="C3704"/>
      <c r="D3704"/>
    </row>
    <row r="3705" spans="1:4" x14ac:dyDescent="0.2">
      <c r="A3705"/>
      <c r="B3705"/>
      <c r="C3705"/>
      <c r="D3705"/>
    </row>
    <row r="3706" spans="1:4" x14ac:dyDescent="0.2">
      <c r="A3706"/>
      <c r="B3706"/>
      <c r="C3706"/>
      <c r="D3706"/>
    </row>
    <row r="3707" spans="1:4" x14ac:dyDescent="0.2">
      <c r="A3707"/>
      <c r="B3707"/>
      <c r="C3707"/>
      <c r="D3707"/>
    </row>
    <row r="3708" spans="1:4" x14ac:dyDescent="0.2">
      <c r="A3708"/>
      <c r="B3708"/>
      <c r="C3708"/>
      <c r="D3708"/>
    </row>
    <row r="3709" spans="1:4" x14ac:dyDescent="0.2">
      <c r="A3709"/>
      <c r="B3709"/>
      <c r="C3709"/>
      <c r="D3709"/>
    </row>
    <row r="3710" spans="1:4" x14ac:dyDescent="0.2">
      <c r="A3710"/>
      <c r="B3710"/>
      <c r="C3710"/>
      <c r="D3710"/>
    </row>
    <row r="3711" spans="1:4" x14ac:dyDescent="0.2">
      <c r="A3711"/>
      <c r="B3711"/>
      <c r="C3711"/>
      <c r="D3711"/>
    </row>
    <row r="3712" spans="1:4" x14ac:dyDescent="0.2">
      <c r="A3712"/>
      <c r="B3712"/>
      <c r="C3712"/>
      <c r="D3712"/>
    </row>
    <row r="3713" spans="1:4" x14ac:dyDescent="0.2">
      <c r="A3713"/>
      <c r="B3713"/>
      <c r="C3713"/>
      <c r="D3713"/>
    </row>
    <row r="3714" spans="1:4" x14ac:dyDescent="0.2">
      <c r="A3714"/>
      <c r="B3714"/>
      <c r="C3714"/>
      <c r="D3714"/>
    </row>
    <row r="3715" spans="1:4" x14ac:dyDescent="0.2">
      <c r="A3715"/>
      <c r="B3715"/>
      <c r="C3715"/>
      <c r="D3715"/>
    </row>
    <row r="3716" spans="1:4" x14ac:dyDescent="0.2">
      <c r="A3716"/>
      <c r="B3716"/>
      <c r="C3716"/>
      <c r="D3716"/>
    </row>
    <row r="3717" spans="1:4" x14ac:dyDescent="0.2">
      <c r="A3717"/>
      <c r="B3717"/>
      <c r="C3717"/>
      <c r="D3717"/>
    </row>
    <row r="3718" spans="1:4" x14ac:dyDescent="0.2">
      <c r="A3718"/>
      <c r="B3718"/>
      <c r="C3718"/>
      <c r="D3718"/>
    </row>
    <row r="3719" spans="1:4" x14ac:dyDescent="0.2">
      <c r="A3719"/>
      <c r="B3719"/>
      <c r="C3719"/>
      <c r="D3719"/>
    </row>
    <row r="3720" spans="1:4" x14ac:dyDescent="0.2">
      <c r="A3720"/>
      <c r="B3720"/>
      <c r="C3720"/>
      <c r="D3720"/>
    </row>
    <row r="3721" spans="1:4" x14ac:dyDescent="0.2">
      <c r="A3721"/>
      <c r="B3721"/>
      <c r="C3721"/>
      <c r="D3721"/>
    </row>
    <row r="3722" spans="1:4" x14ac:dyDescent="0.2">
      <c r="A3722"/>
      <c r="B3722"/>
      <c r="C3722"/>
      <c r="D3722"/>
    </row>
    <row r="3723" spans="1:4" x14ac:dyDescent="0.2">
      <c r="A3723"/>
      <c r="B3723"/>
      <c r="C3723"/>
      <c r="D3723"/>
    </row>
    <row r="3724" spans="1:4" x14ac:dyDescent="0.2">
      <c r="A3724"/>
      <c r="B3724"/>
      <c r="C3724"/>
      <c r="D3724"/>
    </row>
    <row r="3725" spans="1:4" x14ac:dyDescent="0.2">
      <c r="A3725"/>
      <c r="B3725"/>
      <c r="C3725"/>
      <c r="D3725"/>
    </row>
    <row r="3726" spans="1:4" x14ac:dyDescent="0.2">
      <c r="A3726"/>
      <c r="B3726"/>
      <c r="C3726"/>
      <c r="D3726"/>
    </row>
    <row r="3727" spans="1:4" x14ac:dyDescent="0.2">
      <c r="A3727"/>
      <c r="B3727"/>
      <c r="C3727"/>
      <c r="D3727"/>
    </row>
    <row r="3728" spans="1:4" x14ac:dyDescent="0.2">
      <c r="A3728"/>
      <c r="B3728"/>
      <c r="C3728"/>
      <c r="D3728"/>
    </row>
    <row r="3729" spans="1:4" x14ac:dyDescent="0.2">
      <c r="A3729"/>
      <c r="B3729"/>
      <c r="C3729"/>
      <c r="D3729"/>
    </row>
    <row r="3730" spans="1:4" x14ac:dyDescent="0.2">
      <c r="A3730"/>
      <c r="B3730"/>
      <c r="C3730"/>
      <c r="D3730"/>
    </row>
    <row r="3731" spans="1:4" x14ac:dyDescent="0.2">
      <c r="A3731"/>
      <c r="B3731"/>
      <c r="C3731"/>
      <c r="D3731"/>
    </row>
    <row r="3732" spans="1:4" x14ac:dyDescent="0.2">
      <c r="A3732"/>
      <c r="B3732"/>
      <c r="C3732"/>
      <c r="D3732"/>
    </row>
    <row r="3733" spans="1:4" x14ac:dyDescent="0.2">
      <c r="A3733"/>
      <c r="B3733"/>
      <c r="C3733"/>
      <c r="D3733"/>
    </row>
    <row r="3734" spans="1:4" x14ac:dyDescent="0.2">
      <c r="A3734"/>
      <c r="B3734"/>
      <c r="C3734"/>
      <c r="D3734"/>
    </row>
    <row r="3735" spans="1:4" x14ac:dyDescent="0.2">
      <c r="A3735"/>
      <c r="B3735"/>
      <c r="C3735"/>
      <c r="D3735"/>
    </row>
    <row r="3736" spans="1:4" x14ac:dyDescent="0.2">
      <c r="A3736"/>
      <c r="B3736"/>
      <c r="C3736"/>
      <c r="D3736"/>
    </row>
    <row r="3737" spans="1:4" x14ac:dyDescent="0.2">
      <c r="A3737"/>
      <c r="B3737"/>
      <c r="C3737"/>
      <c r="D3737"/>
    </row>
    <row r="3738" spans="1:4" x14ac:dyDescent="0.2">
      <c r="A3738"/>
      <c r="B3738"/>
      <c r="C3738"/>
      <c r="D3738"/>
    </row>
    <row r="3739" spans="1:4" x14ac:dyDescent="0.2">
      <c r="A3739"/>
      <c r="B3739"/>
      <c r="C3739"/>
      <c r="D3739"/>
    </row>
    <row r="3740" spans="1:4" x14ac:dyDescent="0.2">
      <c r="A3740"/>
      <c r="B3740"/>
      <c r="C3740"/>
      <c r="D3740"/>
    </row>
    <row r="3741" spans="1:4" x14ac:dyDescent="0.2">
      <c r="A3741"/>
      <c r="B3741"/>
      <c r="C3741"/>
      <c r="D3741"/>
    </row>
    <row r="3742" spans="1:4" x14ac:dyDescent="0.2">
      <c r="A3742"/>
      <c r="B3742"/>
      <c r="C3742"/>
      <c r="D3742"/>
    </row>
    <row r="3743" spans="1:4" x14ac:dyDescent="0.2">
      <c r="A3743"/>
      <c r="B3743"/>
      <c r="C3743"/>
      <c r="D3743"/>
    </row>
    <row r="3744" spans="1:4" x14ac:dyDescent="0.2">
      <c r="A3744"/>
      <c r="B3744"/>
      <c r="C3744"/>
      <c r="D3744"/>
    </row>
    <row r="3745" spans="1:4" x14ac:dyDescent="0.2">
      <c r="A3745"/>
      <c r="B3745"/>
      <c r="C3745"/>
      <c r="D3745"/>
    </row>
    <row r="3746" spans="1:4" x14ac:dyDescent="0.2">
      <c r="A3746"/>
      <c r="B3746"/>
      <c r="C3746"/>
      <c r="D3746"/>
    </row>
    <row r="3747" spans="1:4" x14ac:dyDescent="0.2">
      <c r="A3747"/>
      <c r="B3747"/>
      <c r="C3747"/>
      <c r="D3747"/>
    </row>
    <row r="3748" spans="1:4" x14ac:dyDescent="0.2">
      <c r="A3748"/>
      <c r="B3748"/>
      <c r="C3748"/>
      <c r="D3748"/>
    </row>
    <row r="3749" spans="1:4" x14ac:dyDescent="0.2">
      <c r="A3749"/>
      <c r="B3749"/>
      <c r="C3749"/>
      <c r="D3749"/>
    </row>
    <row r="3750" spans="1:4" x14ac:dyDescent="0.2">
      <c r="A3750"/>
      <c r="B3750"/>
      <c r="C3750"/>
      <c r="D3750"/>
    </row>
    <row r="3751" spans="1:4" x14ac:dyDescent="0.2">
      <c r="A3751"/>
      <c r="B3751"/>
      <c r="C3751"/>
      <c r="D3751"/>
    </row>
    <row r="3752" spans="1:4" x14ac:dyDescent="0.2">
      <c r="A3752"/>
      <c r="B3752"/>
      <c r="C3752"/>
      <c r="D3752"/>
    </row>
    <row r="3753" spans="1:4" x14ac:dyDescent="0.2">
      <c r="A3753"/>
      <c r="B3753"/>
      <c r="C3753"/>
      <c r="D3753"/>
    </row>
    <row r="3754" spans="1:4" x14ac:dyDescent="0.2">
      <c r="A3754"/>
      <c r="B3754"/>
      <c r="C3754"/>
      <c r="D3754"/>
    </row>
    <row r="3755" spans="1:4" x14ac:dyDescent="0.2">
      <c r="A3755"/>
      <c r="B3755"/>
      <c r="C3755"/>
      <c r="D3755"/>
    </row>
    <row r="3756" spans="1:4" x14ac:dyDescent="0.2">
      <c r="A3756"/>
      <c r="B3756"/>
      <c r="C3756"/>
      <c r="D3756"/>
    </row>
    <row r="3757" spans="1:4" x14ac:dyDescent="0.2">
      <c r="A3757"/>
      <c r="B3757"/>
      <c r="C3757"/>
      <c r="D3757"/>
    </row>
    <row r="3758" spans="1:4" x14ac:dyDescent="0.2">
      <c r="A3758"/>
      <c r="B3758"/>
      <c r="C3758"/>
      <c r="D3758"/>
    </row>
    <row r="3759" spans="1:4" x14ac:dyDescent="0.2">
      <c r="A3759"/>
      <c r="B3759"/>
      <c r="C3759"/>
      <c r="D3759"/>
    </row>
    <row r="3760" spans="1:4" x14ac:dyDescent="0.2">
      <c r="A3760"/>
      <c r="B3760"/>
      <c r="C3760"/>
      <c r="D3760"/>
    </row>
    <row r="3761" spans="1:4" x14ac:dyDescent="0.2">
      <c r="A3761"/>
      <c r="B3761"/>
      <c r="C3761"/>
      <c r="D3761"/>
    </row>
    <row r="3762" spans="1:4" x14ac:dyDescent="0.2">
      <c r="A3762"/>
      <c r="B3762"/>
      <c r="C3762"/>
      <c r="D3762"/>
    </row>
    <row r="3763" spans="1:4" x14ac:dyDescent="0.2">
      <c r="A3763"/>
      <c r="B3763"/>
      <c r="C3763"/>
      <c r="D3763"/>
    </row>
    <row r="3764" spans="1:4" x14ac:dyDescent="0.2">
      <c r="A3764"/>
      <c r="B3764"/>
      <c r="C3764"/>
      <c r="D3764"/>
    </row>
    <row r="3765" spans="1:4" x14ac:dyDescent="0.2">
      <c r="A3765"/>
      <c r="B3765"/>
      <c r="C3765"/>
      <c r="D3765"/>
    </row>
    <row r="3766" spans="1:4" x14ac:dyDescent="0.2">
      <c r="A3766"/>
      <c r="B3766"/>
      <c r="C3766"/>
      <c r="D3766"/>
    </row>
    <row r="3767" spans="1:4" x14ac:dyDescent="0.2">
      <c r="A3767"/>
      <c r="B3767"/>
      <c r="C3767"/>
      <c r="D3767"/>
    </row>
    <row r="3768" spans="1:4" x14ac:dyDescent="0.2">
      <c r="A3768"/>
      <c r="B3768"/>
      <c r="C3768"/>
      <c r="D3768"/>
    </row>
    <row r="3769" spans="1:4" x14ac:dyDescent="0.2">
      <c r="A3769"/>
      <c r="B3769"/>
      <c r="C3769"/>
      <c r="D3769"/>
    </row>
    <row r="3770" spans="1:4" x14ac:dyDescent="0.2">
      <c r="A3770"/>
      <c r="B3770"/>
      <c r="C3770"/>
      <c r="D3770"/>
    </row>
    <row r="3771" spans="1:4" x14ac:dyDescent="0.2">
      <c r="A3771"/>
      <c r="B3771"/>
      <c r="C3771"/>
      <c r="D3771"/>
    </row>
    <row r="3772" spans="1:4" x14ac:dyDescent="0.2">
      <c r="A3772"/>
      <c r="B3772"/>
      <c r="C3772"/>
      <c r="D3772"/>
    </row>
    <row r="3773" spans="1:4" x14ac:dyDescent="0.2">
      <c r="A3773"/>
      <c r="B3773"/>
      <c r="C3773"/>
      <c r="D3773"/>
    </row>
    <row r="3774" spans="1:4" x14ac:dyDescent="0.2">
      <c r="A3774"/>
      <c r="B3774"/>
      <c r="C3774"/>
      <c r="D3774"/>
    </row>
    <row r="3775" spans="1:4" x14ac:dyDescent="0.2">
      <c r="A3775"/>
      <c r="B3775"/>
      <c r="C3775"/>
      <c r="D3775"/>
    </row>
    <row r="3776" spans="1:4" x14ac:dyDescent="0.2">
      <c r="A3776"/>
      <c r="B3776"/>
      <c r="C3776"/>
      <c r="D3776"/>
    </row>
    <row r="3777" spans="1:4" x14ac:dyDescent="0.2">
      <c r="A3777"/>
      <c r="B3777"/>
      <c r="C3777"/>
      <c r="D3777"/>
    </row>
    <row r="3778" spans="1:4" x14ac:dyDescent="0.2">
      <c r="A3778"/>
      <c r="B3778"/>
      <c r="C3778"/>
      <c r="D3778"/>
    </row>
    <row r="3779" spans="1:4" x14ac:dyDescent="0.2">
      <c r="A3779"/>
      <c r="B3779"/>
      <c r="C3779"/>
      <c r="D3779"/>
    </row>
    <row r="3780" spans="1:4" x14ac:dyDescent="0.2">
      <c r="A3780"/>
      <c r="B3780"/>
      <c r="C3780"/>
      <c r="D3780"/>
    </row>
    <row r="3781" spans="1:4" x14ac:dyDescent="0.2">
      <c r="A3781"/>
      <c r="B3781"/>
      <c r="C3781"/>
      <c r="D3781"/>
    </row>
    <row r="3782" spans="1:4" x14ac:dyDescent="0.2">
      <c r="A3782"/>
      <c r="B3782"/>
      <c r="C3782"/>
      <c r="D3782"/>
    </row>
    <row r="3783" spans="1:4" x14ac:dyDescent="0.2">
      <c r="A3783"/>
      <c r="B3783"/>
      <c r="C3783"/>
      <c r="D3783"/>
    </row>
    <row r="3784" spans="1:4" x14ac:dyDescent="0.2">
      <c r="A3784"/>
      <c r="B3784"/>
      <c r="C3784"/>
      <c r="D3784"/>
    </row>
    <row r="3785" spans="1:4" x14ac:dyDescent="0.2">
      <c r="A3785"/>
      <c r="B3785"/>
      <c r="C3785"/>
      <c r="D3785"/>
    </row>
    <row r="3786" spans="1:4" x14ac:dyDescent="0.2">
      <c r="A3786"/>
      <c r="B3786"/>
      <c r="C3786"/>
      <c r="D3786"/>
    </row>
    <row r="3787" spans="1:4" x14ac:dyDescent="0.2">
      <c r="A3787"/>
      <c r="B3787"/>
      <c r="C3787"/>
      <c r="D3787"/>
    </row>
    <row r="3788" spans="1:4" x14ac:dyDescent="0.2">
      <c r="A3788"/>
      <c r="B3788"/>
      <c r="C3788"/>
      <c r="D3788"/>
    </row>
    <row r="3789" spans="1:4" x14ac:dyDescent="0.2">
      <c r="A3789"/>
      <c r="B3789"/>
      <c r="C3789"/>
      <c r="D3789"/>
    </row>
    <row r="3790" spans="1:4" x14ac:dyDescent="0.2">
      <c r="A3790"/>
      <c r="B3790"/>
      <c r="C3790"/>
      <c r="D3790"/>
    </row>
    <row r="3791" spans="1:4" x14ac:dyDescent="0.2">
      <c r="A3791"/>
      <c r="B3791"/>
      <c r="C3791"/>
      <c r="D3791"/>
    </row>
    <row r="3792" spans="1:4" x14ac:dyDescent="0.2">
      <c r="A3792"/>
      <c r="B3792"/>
      <c r="C3792"/>
      <c r="D3792"/>
    </row>
    <row r="3793" spans="1:4" x14ac:dyDescent="0.2">
      <c r="A3793"/>
      <c r="B3793"/>
      <c r="C3793"/>
      <c r="D3793"/>
    </row>
    <row r="3794" spans="1:4" x14ac:dyDescent="0.2">
      <c r="A3794"/>
      <c r="B3794"/>
      <c r="C3794"/>
      <c r="D3794"/>
    </row>
    <row r="3795" spans="1:4" x14ac:dyDescent="0.2">
      <c r="A3795"/>
      <c r="B3795"/>
      <c r="C3795"/>
      <c r="D3795"/>
    </row>
    <row r="3796" spans="1:4" x14ac:dyDescent="0.2">
      <c r="A3796"/>
      <c r="B3796"/>
      <c r="C3796"/>
      <c r="D3796"/>
    </row>
    <row r="3797" spans="1:4" x14ac:dyDescent="0.2">
      <c r="A3797"/>
      <c r="B3797"/>
      <c r="C3797"/>
      <c r="D3797"/>
    </row>
    <row r="3798" spans="1:4" x14ac:dyDescent="0.2">
      <c r="A3798"/>
      <c r="B3798"/>
      <c r="C3798"/>
      <c r="D3798"/>
    </row>
    <row r="3799" spans="1:4" x14ac:dyDescent="0.2">
      <c r="A3799"/>
      <c r="B3799"/>
      <c r="C3799"/>
      <c r="D3799"/>
    </row>
    <row r="3800" spans="1:4" x14ac:dyDescent="0.2">
      <c r="A3800"/>
      <c r="B3800"/>
      <c r="C3800"/>
      <c r="D3800"/>
    </row>
    <row r="3801" spans="1:4" x14ac:dyDescent="0.2">
      <c r="A3801"/>
      <c r="B3801"/>
      <c r="C3801"/>
      <c r="D3801"/>
    </row>
    <row r="3802" spans="1:4" x14ac:dyDescent="0.2">
      <c r="A3802"/>
      <c r="B3802"/>
      <c r="C3802"/>
      <c r="D3802"/>
    </row>
    <row r="3803" spans="1:4" x14ac:dyDescent="0.2">
      <c r="A3803"/>
      <c r="B3803"/>
      <c r="C3803"/>
      <c r="D3803"/>
    </row>
    <row r="3804" spans="1:4" x14ac:dyDescent="0.2">
      <c r="A3804"/>
      <c r="B3804"/>
      <c r="C3804"/>
      <c r="D3804"/>
    </row>
    <row r="3805" spans="1:4" x14ac:dyDescent="0.2">
      <c r="A3805"/>
      <c r="B3805"/>
      <c r="C3805"/>
      <c r="D3805"/>
    </row>
    <row r="3806" spans="1:4" x14ac:dyDescent="0.2">
      <c r="A3806"/>
      <c r="B3806"/>
      <c r="C3806"/>
      <c r="D3806"/>
    </row>
    <row r="3807" spans="1:4" x14ac:dyDescent="0.2">
      <c r="A3807"/>
      <c r="B3807"/>
      <c r="C3807"/>
      <c r="D3807"/>
    </row>
    <row r="3808" spans="1:4" x14ac:dyDescent="0.2">
      <c r="A3808"/>
      <c r="B3808"/>
      <c r="C3808"/>
      <c r="D3808"/>
    </row>
    <row r="3809" spans="1:4" x14ac:dyDescent="0.2">
      <c r="A3809"/>
      <c r="B3809"/>
      <c r="C3809"/>
      <c r="D3809"/>
    </row>
    <row r="3810" spans="1:4" x14ac:dyDescent="0.2">
      <c r="A3810"/>
      <c r="B3810"/>
      <c r="C3810"/>
      <c r="D3810"/>
    </row>
    <row r="3811" spans="1:4" x14ac:dyDescent="0.2">
      <c r="A3811"/>
      <c r="B3811"/>
      <c r="C3811"/>
      <c r="D3811"/>
    </row>
    <row r="3812" spans="1:4" x14ac:dyDescent="0.2">
      <c r="A3812"/>
      <c r="B3812"/>
      <c r="C3812"/>
      <c r="D3812"/>
    </row>
    <row r="3813" spans="1:4" x14ac:dyDescent="0.2">
      <c r="A3813"/>
      <c r="B3813"/>
      <c r="C3813"/>
      <c r="D3813"/>
    </row>
    <row r="3814" spans="1:4" x14ac:dyDescent="0.2">
      <c r="A3814"/>
      <c r="B3814"/>
      <c r="C3814"/>
      <c r="D3814"/>
    </row>
    <row r="3815" spans="1:4" x14ac:dyDescent="0.2">
      <c r="A3815"/>
      <c r="B3815"/>
      <c r="C3815"/>
      <c r="D3815"/>
    </row>
    <row r="3816" spans="1:4" x14ac:dyDescent="0.2">
      <c r="A3816"/>
      <c r="B3816"/>
      <c r="C3816"/>
      <c r="D3816"/>
    </row>
    <row r="3817" spans="1:4" x14ac:dyDescent="0.2">
      <c r="A3817"/>
      <c r="B3817"/>
      <c r="C3817"/>
      <c r="D3817"/>
    </row>
    <row r="3818" spans="1:4" x14ac:dyDescent="0.2">
      <c r="A3818"/>
      <c r="B3818"/>
      <c r="C3818"/>
      <c r="D3818"/>
    </row>
    <row r="3819" spans="1:4" x14ac:dyDescent="0.2">
      <c r="A3819"/>
      <c r="B3819"/>
      <c r="C3819"/>
      <c r="D3819"/>
    </row>
    <row r="3820" spans="1:4" x14ac:dyDescent="0.2">
      <c r="A3820"/>
      <c r="B3820"/>
      <c r="C3820"/>
      <c r="D3820"/>
    </row>
    <row r="3821" spans="1:4" x14ac:dyDescent="0.2">
      <c r="A3821"/>
      <c r="B3821"/>
      <c r="C3821"/>
      <c r="D3821"/>
    </row>
    <row r="3822" spans="1:4" x14ac:dyDescent="0.2">
      <c r="A3822"/>
      <c r="B3822"/>
      <c r="C3822"/>
      <c r="D3822"/>
    </row>
    <row r="3823" spans="1:4" x14ac:dyDescent="0.2">
      <c r="A3823"/>
      <c r="B3823"/>
      <c r="C3823"/>
      <c r="D3823"/>
    </row>
    <row r="3824" spans="1:4" x14ac:dyDescent="0.2">
      <c r="A3824"/>
      <c r="B3824"/>
      <c r="C3824"/>
      <c r="D3824"/>
    </row>
    <row r="3825" spans="1:4" x14ac:dyDescent="0.2">
      <c r="A3825"/>
      <c r="B3825"/>
      <c r="C3825"/>
      <c r="D3825"/>
    </row>
    <row r="3826" spans="1:4" x14ac:dyDescent="0.2">
      <c r="A3826"/>
      <c r="B3826"/>
      <c r="C3826"/>
      <c r="D3826"/>
    </row>
    <row r="3827" spans="1:4" x14ac:dyDescent="0.2">
      <c r="A3827"/>
      <c r="B3827"/>
      <c r="C3827"/>
      <c r="D3827"/>
    </row>
    <row r="3828" spans="1:4" x14ac:dyDescent="0.2">
      <c r="A3828"/>
      <c r="B3828"/>
      <c r="C3828"/>
      <c r="D3828"/>
    </row>
    <row r="3829" spans="1:4" x14ac:dyDescent="0.2">
      <c r="A3829"/>
      <c r="B3829"/>
      <c r="C3829"/>
      <c r="D3829"/>
    </row>
    <row r="3830" spans="1:4" x14ac:dyDescent="0.2">
      <c r="A3830"/>
      <c r="B3830"/>
      <c r="C3830"/>
      <c r="D3830"/>
    </row>
    <row r="3831" spans="1:4" x14ac:dyDescent="0.2">
      <c r="A3831"/>
      <c r="B3831"/>
      <c r="C3831"/>
      <c r="D3831"/>
    </row>
    <row r="3832" spans="1:4" x14ac:dyDescent="0.2">
      <c r="A3832"/>
      <c r="B3832"/>
      <c r="C3832"/>
      <c r="D3832"/>
    </row>
    <row r="3833" spans="1:4" x14ac:dyDescent="0.2">
      <c r="A3833"/>
      <c r="B3833"/>
      <c r="C3833"/>
      <c r="D3833"/>
    </row>
    <row r="3834" spans="1:4" x14ac:dyDescent="0.2">
      <c r="A3834"/>
      <c r="B3834"/>
      <c r="C3834"/>
      <c r="D3834"/>
    </row>
    <row r="3835" spans="1:4" x14ac:dyDescent="0.2">
      <c r="A3835"/>
      <c r="B3835"/>
      <c r="C3835"/>
      <c r="D3835"/>
    </row>
    <row r="3836" spans="1:4" x14ac:dyDescent="0.2">
      <c r="A3836"/>
      <c r="B3836"/>
      <c r="C3836"/>
      <c r="D3836"/>
    </row>
    <row r="3837" spans="1:4" x14ac:dyDescent="0.2">
      <c r="A3837"/>
      <c r="B3837"/>
      <c r="C3837"/>
      <c r="D3837"/>
    </row>
    <row r="3838" spans="1:4" x14ac:dyDescent="0.2">
      <c r="A3838"/>
      <c r="B3838"/>
      <c r="C3838"/>
      <c r="D3838"/>
    </row>
    <row r="3839" spans="1:4" x14ac:dyDescent="0.2">
      <c r="A3839"/>
      <c r="B3839"/>
      <c r="C3839"/>
      <c r="D3839"/>
    </row>
    <row r="3840" spans="1:4" x14ac:dyDescent="0.2">
      <c r="A3840"/>
      <c r="B3840"/>
      <c r="C3840"/>
      <c r="D3840"/>
    </row>
    <row r="3841" spans="1:4" x14ac:dyDescent="0.2">
      <c r="A3841"/>
      <c r="B3841"/>
      <c r="C3841"/>
      <c r="D3841"/>
    </row>
    <row r="3842" spans="1:4" x14ac:dyDescent="0.2">
      <c r="A3842"/>
      <c r="B3842"/>
      <c r="C3842"/>
      <c r="D3842"/>
    </row>
    <row r="3843" spans="1:4" x14ac:dyDescent="0.2">
      <c r="A3843"/>
      <c r="B3843"/>
      <c r="C3843"/>
      <c r="D3843"/>
    </row>
    <row r="3844" spans="1:4" x14ac:dyDescent="0.2">
      <c r="A3844"/>
      <c r="B3844"/>
      <c r="C3844"/>
      <c r="D3844"/>
    </row>
    <row r="3845" spans="1:4" x14ac:dyDescent="0.2">
      <c r="A3845"/>
      <c r="B3845"/>
      <c r="C3845"/>
      <c r="D3845"/>
    </row>
    <row r="3846" spans="1:4" x14ac:dyDescent="0.2">
      <c r="A3846"/>
      <c r="B3846"/>
      <c r="C3846"/>
      <c r="D3846"/>
    </row>
    <row r="3847" spans="1:4" x14ac:dyDescent="0.2">
      <c r="A3847"/>
      <c r="B3847"/>
      <c r="C3847"/>
      <c r="D3847"/>
    </row>
    <row r="3848" spans="1:4" x14ac:dyDescent="0.2">
      <c r="A3848"/>
      <c r="B3848"/>
      <c r="C3848"/>
      <c r="D3848"/>
    </row>
    <row r="3849" spans="1:4" x14ac:dyDescent="0.2">
      <c r="A3849"/>
      <c r="B3849"/>
      <c r="C3849"/>
      <c r="D3849"/>
    </row>
    <row r="3850" spans="1:4" x14ac:dyDescent="0.2">
      <c r="A3850"/>
      <c r="B3850"/>
      <c r="C3850"/>
      <c r="D3850"/>
    </row>
    <row r="3851" spans="1:4" x14ac:dyDescent="0.2">
      <c r="A3851"/>
      <c r="B3851"/>
      <c r="C3851"/>
      <c r="D3851"/>
    </row>
    <row r="3852" spans="1:4" x14ac:dyDescent="0.2">
      <c r="A3852"/>
      <c r="B3852"/>
      <c r="C3852"/>
      <c r="D3852"/>
    </row>
    <row r="3853" spans="1:4" x14ac:dyDescent="0.2">
      <c r="A3853"/>
      <c r="B3853"/>
      <c r="C3853"/>
      <c r="D3853"/>
    </row>
    <row r="3854" spans="1:4" x14ac:dyDescent="0.2">
      <c r="A3854"/>
      <c r="B3854"/>
      <c r="C3854"/>
      <c r="D3854"/>
    </row>
    <row r="3855" spans="1:4" x14ac:dyDescent="0.2">
      <c r="A3855"/>
      <c r="B3855"/>
      <c r="C3855"/>
      <c r="D3855"/>
    </row>
    <row r="3856" spans="1:4" x14ac:dyDescent="0.2">
      <c r="A3856"/>
      <c r="B3856"/>
      <c r="C3856"/>
      <c r="D3856"/>
    </row>
    <row r="3857" spans="1:4" x14ac:dyDescent="0.2">
      <c r="A3857"/>
      <c r="B3857"/>
      <c r="C3857"/>
      <c r="D3857"/>
    </row>
    <row r="3858" spans="1:4" x14ac:dyDescent="0.2">
      <c r="A3858"/>
      <c r="B3858"/>
      <c r="C3858"/>
      <c r="D3858"/>
    </row>
    <row r="3859" spans="1:4" x14ac:dyDescent="0.2">
      <c r="A3859"/>
      <c r="B3859"/>
      <c r="C3859"/>
      <c r="D3859"/>
    </row>
    <row r="3860" spans="1:4" x14ac:dyDescent="0.2">
      <c r="A3860"/>
      <c r="B3860"/>
      <c r="C3860"/>
      <c r="D3860"/>
    </row>
    <row r="3861" spans="1:4" x14ac:dyDescent="0.2">
      <c r="A3861"/>
      <c r="B3861"/>
      <c r="C3861"/>
      <c r="D3861"/>
    </row>
    <row r="3862" spans="1:4" x14ac:dyDescent="0.2">
      <c r="A3862"/>
      <c r="B3862"/>
      <c r="C3862"/>
      <c r="D3862"/>
    </row>
    <row r="3863" spans="1:4" x14ac:dyDescent="0.2">
      <c r="A3863"/>
      <c r="B3863"/>
      <c r="C3863"/>
      <c r="D3863"/>
    </row>
    <row r="3864" spans="1:4" x14ac:dyDescent="0.2">
      <c r="A3864"/>
      <c r="B3864"/>
      <c r="C3864"/>
      <c r="D3864"/>
    </row>
    <row r="3865" spans="1:4" x14ac:dyDescent="0.2">
      <c r="A3865"/>
      <c r="B3865"/>
      <c r="C3865"/>
      <c r="D3865"/>
    </row>
    <row r="3866" spans="1:4" x14ac:dyDescent="0.2">
      <c r="A3866"/>
      <c r="B3866"/>
      <c r="C3866"/>
      <c r="D3866"/>
    </row>
    <row r="3867" spans="1:4" x14ac:dyDescent="0.2">
      <c r="A3867"/>
      <c r="B3867"/>
      <c r="C3867"/>
      <c r="D3867"/>
    </row>
    <row r="3868" spans="1:4" x14ac:dyDescent="0.2">
      <c r="A3868"/>
      <c r="B3868"/>
      <c r="C3868"/>
      <c r="D3868"/>
    </row>
    <row r="3869" spans="1:4" x14ac:dyDescent="0.2">
      <c r="A3869"/>
      <c r="B3869"/>
      <c r="C3869"/>
      <c r="D3869"/>
    </row>
    <row r="3870" spans="1:4" x14ac:dyDescent="0.2">
      <c r="A3870"/>
      <c r="B3870"/>
      <c r="C3870"/>
      <c r="D3870"/>
    </row>
    <row r="3871" spans="1:4" x14ac:dyDescent="0.2">
      <c r="A3871"/>
      <c r="B3871"/>
      <c r="C3871"/>
      <c r="D3871"/>
    </row>
    <row r="3872" spans="1:4" x14ac:dyDescent="0.2">
      <c r="A3872"/>
      <c r="B3872"/>
      <c r="C3872"/>
      <c r="D3872"/>
    </row>
    <row r="3873" spans="1:4" x14ac:dyDescent="0.2">
      <c r="A3873"/>
      <c r="B3873"/>
      <c r="C3873"/>
      <c r="D3873"/>
    </row>
    <row r="3874" spans="1:4" x14ac:dyDescent="0.2">
      <c r="A3874"/>
      <c r="B3874"/>
      <c r="C3874"/>
      <c r="D3874"/>
    </row>
    <row r="3875" spans="1:4" x14ac:dyDescent="0.2">
      <c r="A3875"/>
      <c r="B3875"/>
      <c r="C3875"/>
      <c r="D3875"/>
    </row>
    <row r="3876" spans="1:4" x14ac:dyDescent="0.2">
      <c r="A3876"/>
      <c r="B3876"/>
      <c r="C3876"/>
      <c r="D3876"/>
    </row>
    <row r="3877" spans="1:4" x14ac:dyDescent="0.2">
      <c r="A3877"/>
      <c r="B3877"/>
      <c r="C3877"/>
      <c r="D3877"/>
    </row>
    <row r="3878" spans="1:4" x14ac:dyDescent="0.2">
      <c r="A3878"/>
      <c r="B3878"/>
      <c r="C3878"/>
      <c r="D3878"/>
    </row>
    <row r="3879" spans="1:4" x14ac:dyDescent="0.2">
      <c r="A3879"/>
      <c r="B3879"/>
      <c r="C3879"/>
      <c r="D3879"/>
    </row>
    <row r="3880" spans="1:4" x14ac:dyDescent="0.2">
      <c r="A3880"/>
      <c r="B3880"/>
      <c r="C3880"/>
      <c r="D3880"/>
    </row>
    <row r="3881" spans="1:4" x14ac:dyDescent="0.2">
      <c r="A3881"/>
      <c r="B3881"/>
      <c r="C3881"/>
      <c r="D3881"/>
    </row>
    <row r="3882" spans="1:4" x14ac:dyDescent="0.2">
      <c r="A3882"/>
      <c r="B3882"/>
      <c r="C3882"/>
      <c r="D3882"/>
    </row>
    <row r="3883" spans="1:4" x14ac:dyDescent="0.2">
      <c r="A3883"/>
      <c r="B3883"/>
      <c r="C3883"/>
      <c r="D3883"/>
    </row>
    <row r="3884" spans="1:4" x14ac:dyDescent="0.2">
      <c r="A3884"/>
      <c r="B3884"/>
      <c r="C3884"/>
      <c r="D3884"/>
    </row>
    <row r="3885" spans="1:4" x14ac:dyDescent="0.2">
      <c r="A3885"/>
      <c r="B3885"/>
      <c r="C3885"/>
      <c r="D3885"/>
    </row>
    <row r="3886" spans="1:4" x14ac:dyDescent="0.2">
      <c r="A3886"/>
      <c r="B3886"/>
      <c r="C3886"/>
      <c r="D3886"/>
    </row>
    <row r="3887" spans="1:4" x14ac:dyDescent="0.2">
      <c r="A3887"/>
      <c r="B3887"/>
      <c r="C3887"/>
      <c r="D3887"/>
    </row>
    <row r="3888" spans="1:4" x14ac:dyDescent="0.2">
      <c r="A3888"/>
      <c r="B3888"/>
      <c r="C3888"/>
      <c r="D3888"/>
    </row>
    <row r="3889" spans="1:4" x14ac:dyDescent="0.2">
      <c r="A3889"/>
      <c r="B3889"/>
      <c r="C3889"/>
      <c r="D3889"/>
    </row>
    <row r="3890" spans="1:4" x14ac:dyDescent="0.2">
      <c r="A3890"/>
      <c r="B3890"/>
      <c r="C3890"/>
      <c r="D3890"/>
    </row>
    <row r="3891" spans="1:4" x14ac:dyDescent="0.2">
      <c r="A3891"/>
      <c r="B3891"/>
      <c r="C3891"/>
      <c r="D3891"/>
    </row>
    <row r="3892" spans="1:4" x14ac:dyDescent="0.2">
      <c r="A3892"/>
      <c r="B3892"/>
      <c r="C3892"/>
      <c r="D3892"/>
    </row>
    <row r="3893" spans="1:4" x14ac:dyDescent="0.2">
      <c r="A3893"/>
      <c r="B3893"/>
      <c r="C3893"/>
      <c r="D3893"/>
    </row>
    <row r="3894" spans="1:4" x14ac:dyDescent="0.2">
      <c r="A3894"/>
      <c r="B3894"/>
      <c r="C3894"/>
      <c r="D3894"/>
    </row>
    <row r="3895" spans="1:4" x14ac:dyDescent="0.2">
      <c r="A3895"/>
      <c r="B3895"/>
      <c r="C3895"/>
      <c r="D3895"/>
    </row>
    <row r="3896" spans="1:4" x14ac:dyDescent="0.2">
      <c r="A3896"/>
      <c r="B3896"/>
      <c r="C3896"/>
      <c r="D3896"/>
    </row>
    <row r="3897" spans="1:4" x14ac:dyDescent="0.2">
      <c r="A3897"/>
      <c r="B3897"/>
      <c r="C3897"/>
      <c r="D3897"/>
    </row>
    <row r="3898" spans="1:4" x14ac:dyDescent="0.2">
      <c r="A3898"/>
      <c r="B3898"/>
      <c r="C3898"/>
      <c r="D3898"/>
    </row>
    <row r="3899" spans="1:4" x14ac:dyDescent="0.2">
      <c r="A3899"/>
      <c r="B3899"/>
      <c r="C3899"/>
      <c r="D3899"/>
    </row>
    <row r="3900" spans="1:4" x14ac:dyDescent="0.2">
      <c r="A3900"/>
      <c r="B3900"/>
      <c r="C3900"/>
      <c r="D3900"/>
    </row>
    <row r="3901" spans="1:4" x14ac:dyDescent="0.2">
      <c r="A3901"/>
      <c r="B3901"/>
      <c r="C3901"/>
      <c r="D3901"/>
    </row>
    <row r="3902" spans="1:4" x14ac:dyDescent="0.2">
      <c r="A3902"/>
      <c r="B3902"/>
      <c r="C3902"/>
      <c r="D3902"/>
    </row>
    <row r="3903" spans="1:4" x14ac:dyDescent="0.2">
      <c r="A3903"/>
      <c r="B3903"/>
      <c r="C3903"/>
      <c r="D3903"/>
    </row>
    <row r="3904" spans="1:4" x14ac:dyDescent="0.2">
      <c r="A3904"/>
      <c r="B3904"/>
      <c r="C3904"/>
      <c r="D3904"/>
    </row>
    <row r="3905" spans="1:4" x14ac:dyDescent="0.2">
      <c r="A3905"/>
      <c r="B3905"/>
      <c r="C3905"/>
      <c r="D3905"/>
    </row>
    <row r="3906" spans="1:4" x14ac:dyDescent="0.2">
      <c r="A3906"/>
      <c r="B3906"/>
      <c r="C3906"/>
      <c r="D3906"/>
    </row>
    <row r="3907" spans="1:4" x14ac:dyDescent="0.2">
      <c r="A3907"/>
      <c r="B3907"/>
      <c r="C3907"/>
      <c r="D3907"/>
    </row>
    <row r="3908" spans="1:4" x14ac:dyDescent="0.2">
      <c r="A3908"/>
      <c r="B3908"/>
      <c r="C3908"/>
      <c r="D3908"/>
    </row>
    <row r="3909" spans="1:4" x14ac:dyDescent="0.2">
      <c r="A3909"/>
      <c r="B3909"/>
      <c r="C3909"/>
      <c r="D3909"/>
    </row>
    <row r="3910" spans="1:4" x14ac:dyDescent="0.2">
      <c r="A3910"/>
      <c r="B3910"/>
      <c r="C3910"/>
      <c r="D3910"/>
    </row>
    <row r="3911" spans="1:4" x14ac:dyDescent="0.2">
      <c r="A3911"/>
      <c r="B3911"/>
      <c r="C3911"/>
      <c r="D3911"/>
    </row>
    <row r="3912" spans="1:4" x14ac:dyDescent="0.2">
      <c r="A3912"/>
      <c r="B3912"/>
      <c r="C3912"/>
      <c r="D3912"/>
    </row>
    <row r="3913" spans="1:4" x14ac:dyDescent="0.2">
      <c r="A3913"/>
      <c r="B3913"/>
      <c r="C3913"/>
      <c r="D3913"/>
    </row>
    <row r="3914" spans="1:4" x14ac:dyDescent="0.2">
      <c r="A3914"/>
      <c r="B3914"/>
      <c r="C3914"/>
      <c r="D3914"/>
    </row>
    <row r="3915" spans="1:4" x14ac:dyDescent="0.2">
      <c r="A3915"/>
      <c r="B3915"/>
      <c r="C3915"/>
      <c r="D3915"/>
    </row>
    <row r="3916" spans="1:4" x14ac:dyDescent="0.2">
      <c r="A3916"/>
      <c r="B3916"/>
      <c r="C3916"/>
      <c r="D3916"/>
    </row>
    <row r="3917" spans="1:4" x14ac:dyDescent="0.2">
      <c r="A3917"/>
      <c r="B3917"/>
      <c r="C3917"/>
      <c r="D3917"/>
    </row>
    <row r="3918" spans="1:4" x14ac:dyDescent="0.2">
      <c r="A3918"/>
      <c r="B3918"/>
      <c r="C3918"/>
      <c r="D3918"/>
    </row>
    <row r="3919" spans="1:4" x14ac:dyDescent="0.2">
      <c r="A3919"/>
      <c r="B3919"/>
      <c r="C3919"/>
      <c r="D3919"/>
    </row>
    <row r="3920" spans="1:4" x14ac:dyDescent="0.2">
      <c r="A3920"/>
      <c r="B3920"/>
      <c r="C3920"/>
      <c r="D3920"/>
    </row>
    <row r="3921" spans="1:4" x14ac:dyDescent="0.2">
      <c r="A3921"/>
      <c r="B3921"/>
      <c r="C3921"/>
      <c r="D3921"/>
    </row>
    <row r="3922" spans="1:4" x14ac:dyDescent="0.2">
      <c r="A3922"/>
      <c r="B3922"/>
      <c r="C3922"/>
      <c r="D3922"/>
    </row>
    <row r="3923" spans="1:4" x14ac:dyDescent="0.2">
      <c r="A3923"/>
      <c r="B3923"/>
      <c r="C3923"/>
      <c r="D3923"/>
    </row>
    <row r="3924" spans="1:4" x14ac:dyDescent="0.2">
      <c r="A3924"/>
      <c r="B3924"/>
      <c r="C3924"/>
      <c r="D3924"/>
    </row>
    <row r="3925" spans="1:4" x14ac:dyDescent="0.2">
      <c r="A3925"/>
      <c r="B3925"/>
      <c r="C3925"/>
      <c r="D3925"/>
    </row>
    <row r="3926" spans="1:4" x14ac:dyDescent="0.2">
      <c r="A3926"/>
      <c r="B3926"/>
      <c r="C3926"/>
      <c r="D3926"/>
    </row>
    <row r="3927" spans="1:4" x14ac:dyDescent="0.2">
      <c r="A3927"/>
      <c r="B3927"/>
      <c r="C3927"/>
      <c r="D3927"/>
    </row>
    <row r="3928" spans="1:4" x14ac:dyDescent="0.2">
      <c r="A3928"/>
      <c r="B3928"/>
      <c r="C3928"/>
      <c r="D3928"/>
    </row>
    <row r="3929" spans="1:4" x14ac:dyDescent="0.2">
      <c r="A3929"/>
      <c r="B3929"/>
      <c r="C3929"/>
      <c r="D3929"/>
    </row>
    <row r="3930" spans="1:4" x14ac:dyDescent="0.2">
      <c r="A3930"/>
      <c r="B3930"/>
      <c r="C3930"/>
      <c r="D3930"/>
    </row>
    <row r="3931" spans="1:4" x14ac:dyDescent="0.2">
      <c r="A3931"/>
      <c r="B3931"/>
      <c r="C3931"/>
      <c r="D3931"/>
    </row>
    <row r="3932" spans="1:4" x14ac:dyDescent="0.2">
      <c r="A3932"/>
      <c r="B3932"/>
      <c r="C3932"/>
      <c r="D3932"/>
    </row>
    <row r="3933" spans="1:4" x14ac:dyDescent="0.2">
      <c r="A3933"/>
      <c r="B3933"/>
      <c r="C3933"/>
      <c r="D3933"/>
    </row>
    <row r="3934" spans="1:4" x14ac:dyDescent="0.2">
      <c r="A3934"/>
      <c r="B3934"/>
      <c r="C3934"/>
      <c r="D3934"/>
    </row>
    <row r="3935" spans="1:4" x14ac:dyDescent="0.2">
      <c r="A3935"/>
      <c r="B3935"/>
      <c r="C3935"/>
      <c r="D3935"/>
    </row>
    <row r="3936" spans="1:4" x14ac:dyDescent="0.2">
      <c r="A3936"/>
      <c r="B3936"/>
      <c r="C3936"/>
      <c r="D3936"/>
    </row>
    <row r="3937" spans="1:4" x14ac:dyDescent="0.2">
      <c r="A3937"/>
      <c r="B3937"/>
      <c r="C3937"/>
      <c r="D3937"/>
    </row>
    <row r="3938" spans="1:4" x14ac:dyDescent="0.2">
      <c r="A3938"/>
      <c r="B3938"/>
      <c r="C3938"/>
      <c r="D3938"/>
    </row>
    <row r="3939" spans="1:4" x14ac:dyDescent="0.2">
      <c r="A3939"/>
      <c r="B3939"/>
      <c r="C3939"/>
      <c r="D3939"/>
    </row>
    <row r="3940" spans="1:4" x14ac:dyDescent="0.2">
      <c r="A3940"/>
      <c r="B3940"/>
      <c r="C3940"/>
      <c r="D3940"/>
    </row>
    <row r="3941" spans="1:4" x14ac:dyDescent="0.2">
      <c r="A3941"/>
      <c r="B3941"/>
      <c r="C3941"/>
      <c r="D3941"/>
    </row>
    <row r="3942" spans="1:4" x14ac:dyDescent="0.2">
      <c r="A3942"/>
      <c r="B3942"/>
      <c r="C3942"/>
      <c r="D3942"/>
    </row>
    <row r="3943" spans="1:4" x14ac:dyDescent="0.2">
      <c r="A3943"/>
      <c r="B3943"/>
      <c r="C3943"/>
      <c r="D3943"/>
    </row>
    <row r="3944" spans="1:4" x14ac:dyDescent="0.2">
      <c r="A3944"/>
      <c r="B3944"/>
      <c r="C3944"/>
      <c r="D3944"/>
    </row>
    <row r="3945" spans="1:4" x14ac:dyDescent="0.2">
      <c r="A3945"/>
      <c r="B3945"/>
      <c r="C3945"/>
      <c r="D3945"/>
    </row>
    <row r="3946" spans="1:4" x14ac:dyDescent="0.2">
      <c r="A3946"/>
      <c r="B3946"/>
      <c r="C3946"/>
      <c r="D3946"/>
    </row>
    <row r="3947" spans="1:4" x14ac:dyDescent="0.2">
      <c r="A3947"/>
      <c r="B3947"/>
      <c r="C3947"/>
      <c r="D3947"/>
    </row>
    <row r="3948" spans="1:4" x14ac:dyDescent="0.2">
      <c r="A3948"/>
      <c r="B3948"/>
      <c r="C3948"/>
      <c r="D3948"/>
    </row>
    <row r="3949" spans="1:4" x14ac:dyDescent="0.2">
      <c r="A3949"/>
      <c r="B3949"/>
      <c r="C3949"/>
      <c r="D3949"/>
    </row>
    <row r="3950" spans="1:4" x14ac:dyDescent="0.2">
      <c r="A3950"/>
      <c r="B3950"/>
      <c r="C3950"/>
      <c r="D3950"/>
    </row>
    <row r="3951" spans="1:4" x14ac:dyDescent="0.2">
      <c r="A3951"/>
      <c r="B3951"/>
      <c r="C3951"/>
      <c r="D3951"/>
    </row>
    <row r="3952" spans="1:4" x14ac:dyDescent="0.2">
      <c r="A3952"/>
      <c r="B3952"/>
      <c r="C3952"/>
      <c r="D3952"/>
    </row>
    <row r="3953" spans="1:4" x14ac:dyDescent="0.2">
      <c r="A3953"/>
      <c r="B3953"/>
      <c r="C3953"/>
      <c r="D3953"/>
    </row>
    <row r="3954" spans="1:4" x14ac:dyDescent="0.2">
      <c r="A3954"/>
      <c r="B3954"/>
      <c r="C3954"/>
      <c r="D3954"/>
    </row>
    <row r="3955" spans="1:4" x14ac:dyDescent="0.2">
      <c r="A3955"/>
      <c r="B3955"/>
      <c r="C3955"/>
      <c r="D3955"/>
    </row>
    <row r="3956" spans="1:4" x14ac:dyDescent="0.2">
      <c r="A3956"/>
      <c r="B3956"/>
      <c r="C3956"/>
      <c r="D3956"/>
    </row>
    <row r="3957" spans="1:4" x14ac:dyDescent="0.2">
      <c r="A3957"/>
      <c r="B3957"/>
      <c r="C3957"/>
      <c r="D3957"/>
    </row>
    <row r="3958" spans="1:4" x14ac:dyDescent="0.2">
      <c r="A3958"/>
      <c r="B3958"/>
      <c r="C3958"/>
      <c r="D3958"/>
    </row>
    <row r="3959" spans="1:4" x14ac:dyDescent="0.2">
      <c r="A3959"/>
      <c r="B3959"/>
      <c r="C3959"/>
      <c r="D3959"/>
    </row>
    <row r="3960" spans="1:4" x14ac:dyDescent="0.2">
      <c r="A3960"/>
      <c r="B3960"/>
      <c r="C3960"/>
      <c r="D3960"/>
    </row>
    <row r="3961" spans="1:4" x14ac:dyDescent="0.2">
      <c r="A3961"/>
      <c r="B3961"/>
      <c r="C3961"/>
      <c r="D3961"/>
    </row>
    <row r="3962" spans="1:4" x14ac:dyDescent="0.2">
      <c r="A3962"/>
      <c r="B3962"/>
      <c r="C3962"/>
      <c r="D3962"/>
    </row>
    <row r="3963" spans="1:4" x14ac:dyDescent="0.2">
      <c r="A3963"/>
      <c r="B3963"/>
      <c r="C3963"/>
      <c r="D3963"/>
    </row>
    <row r="3964" spans="1:4" x14ac:dyDescent="0.2">
      <c r="A3964"/>
      <c r="B3964"/>
      <c r="C3964"/>
      <c r="D3964"/>
    </row>
    <row r="3965" spans="1:4" x14ac:dyDescent="0.2">
      <c r="A3965"/>
      <c r="B3965"/>
      <c r="C3965"/>
      <c r="D3965"/>
    </row>
    <row r="3966" spans="1:4" x14ac:dyDescent="0.2">
      <c r="A3966"/>
      <c r="B3966"/>
      <c r="C3966"/>
      <c r="D3966"/>
    </row>
    <row r="3967" spans="1:4" x14ac:dyDescent="0.2">
      <c r="A3967"/>
      <c r="B3967"/>
      <c r="C3967"/>
      <c r="D3967"/>
    </row>
    <row r="3968" spans="1:4" x14ac:dyDescent="0.2">
      <c r="A3968"/>
      <c r="B3968"/>
      <c r="C3968"/>
      <c r="D3968"/>
    </row>
    <row r="3969" spans="1:4" x14ac:dyDescent="0.2">
      <c r="A3969"/>
      <c r="B3969"/>
      <c r="C3969"/>
      <c r="D3969"/>
    </row>
    <row r="3970" spans="1:4" x14ac:dyDescent="0.2">
      <c r="A3970"/>
      <c r="B3970"/>
      <c r="C3970"/>
      <c r="D3970"/>
    </row>
    <row r="3971" spans="1:4" x14ac:dyDescent="0.2">
      <c r="A3971"/>
      <c r="B3971"/>
      <c r="C3971"/>
      <c r="D3971"/>
    </row>
    <row r="3972" spans="1:4" x14ac:dyDescent="0.2">
      <c r="A3972"/>
      <c r="B3972"/>
      <c r="C3972"/>
      <c r="D3972"/>
    </row>
    <row r="3973" spans="1:4" x14ac:dyDescent="0.2">
      <c r="A3973"/>
      <c r="B3973"/>
      <c r="C3973"/>
      <c r="D3973"/>
    </row>
    <row r="3974" spans="1:4" x14ac:dyDescent="0.2">
      <c r="A3974"/>
      <c r="B3974"/>
      <c r="C3974"/>
      <c r="D3974"/>
    </row>
    <row r="3975" spans="1:4" x14ac:dyDescent="0.2">
      <c r="A3975"/>
      <c r="B3975"/>
      <c r="C3975"/>
      <c r="D3975"/>
    </row>
    <row r="3976" spans="1:4" x14ac:dyDescent="0.2">
      <c r="A3976"/>
      <c r="B3976"/>
      <c r="C3976"/>
      <c r="D3976"/>
    </row>
    <row r="3977" spans="1:4" x14ac:dyDescent="0.2">
      <c r="A3977"/>
      <c r="B3977"/>
      <c r="C3977"/>
      <c r="D3977"/>
    </row>
    <row r="3978" spans="1:4" x14ac:dyDescent="0.2">
      <c r="A3978"/>
      <c r="B3978"/>
      <c r="C3978"/>
      <c r="D3978"/>
    </row>
    <row r="3979" spans="1:4" x14ac:dyDescent="0.2">
      <c r="A3979"/>
      <c r="B3979"/>
      <c r="C3979"/>
      <c r="D3979"/>
    </row>
    <row r="3980" spans="1:4" x14ac:dyDescent="0.2">
      <c r="A3980"/>
      <c r="B3980"/>
      <c r="C3980"/>
      <c r="D3980"/>
    </row>
    <row r="3981" spans="1:4" x14ac:dyDescent="0.2">
      <c r="A3981"/>
      <c r="B3981"/>
      <c r="C3981"/>
      <c r="D3981"/>
    </row>
    <row r="3982" spans="1:4" x14ac:dyDescent="0.2">
      <c r="A3982"/>
      <c r="B3982"/>
      <c r="C3982"/>
      <c r="D3982"/>
    </row>
    <row r="3983" spans="1:4" x14ac:dyDescent="0.2">
      <c r="A3983"/>
      <c r="B3983"/>
      <c r="C3983"/>
      <c r="D3983"/>
    </row>
    <row r="3984" spans="1:4" x14ac:dyDescent="0.2">
      <c r="A3984"/>
      <c r="B3984"/>
      <c r="C3984"/>
      <c r="D3984"/>
    </row>
    <row r="3985" spans="1:4" x14ac:dyDescent="0.2">
      <c r="A3985"/>
      <c r="B3985"/>
      <c r="C3985"/>
      <c r="D3985"/>
    </row>
    <row r="3986" spans="1:4" x14ac:dyDescent="0.2">
      <c r="A3986"/>
      <c r="B3986"/>
      <c r="C3986"/>
      <c r="D3986"/>
    </row>
    <row r="3987" spans="1:4" x14ac:dyDescent="0.2">
      <c r="A3987"/>
      <c r="B3987"/>
      <c r="C3987"/>
      <c r="D3987"/>
    </row>
    <row r="3988" spans="1:4" x14ac:dyDescent="0.2">
      <c r="A3988"/>
      <c r="B3988"/>
      <c r="C3988"/>
      <c r="D3988"/>
    </row>
    <row r="3989" spans="1:4" x14ac:dyDescent="0.2">
      <c r="A3989"/>
      <c r="B3989"/>
      <c r="C3989"/>
      <c r="D3989"/>
    </row>
    <row r="3990" spans="1:4" x14ac:dyDescent="0.2">
      <c r="A3990"/>
      <c r="B3990"/>
      <c r="C3990"/>
      <c r="D3990"/>
    </row>
    <row r="3991" spans="1:4" x14ac:dyDescent="0.2">
      <c r="A3991"/>
      <c r="B3991"/>
      <c r="C3991"/>
      <c r="D3991"/>
    </row>
    <row r="3992" spans="1:4" x14ac:dyDescent="0.2">
      <c r="A3992"/>
      <c r="B3992"/>
      <c r="C3992"/>
      <c r="D3992"/>
    </row>
    <row r="3993" spans="1:4" x14ac:dyDescent="0.2">
      <c r="A3993"/>
      <c r="B3993"/>
      <c r="C3993"/>
      <c r="D3993"/>
    </row>
    <row r="3994" spans="1:4" x14ac:dyDescent="0.2">
      <c r="A3994"/>
      <c r="B3994"/>
      <c r="C3994"/>
      <c r="D3994"/>
    </row>
    <row r="3995" spans="1:4" x14ac:dyDescent="0.2">
      <c r="A3995"/>
      <c r="B3995"/>
      <c r="C3995"/>
      <c r="D3995"/>
    </row>
    <row r="3996" spans="1:4" x14ac:dyDescent="0.2">
      <c r="A3996"/>
      <c r="B3996"/>
      <c r="C3996"/>
      <c r="D3996"/>
    </row>
    <row r="3997" spans="1:4" x14ac:dyDescent="0.2">
      <c r="A3997"/>
      <c r="B3997"/>
      <c r="C3997"/>
      <c r="D3997"/>
    </row>
    <row r="3998" spans="1:4" x14ac:dyDescent="0.2">
      <c r="A3998"/>
      <c r="B3998"/>
      <c r="C3998"/>
      <c r="D3998"/>
    </row>
    <row r="3999" spans="1:4" x14ac:dyDescent="0.2">
      <c r="A3999"/>
      <c r="B3999"/>
      <c r="C3999"/>
      <c r="D3999"/>
    </row>
    <row r="4000" spans="1:4" x14ac:dyDescent="0.2">
      <c r="A4000"/>
      <c r="B4000"/>
      <c r="C4000"/>
      <c r="D4000"/>
    </row>
    <row r="4001" spans="1:4" x14ac:dyDescent="0.2">
      <c r="A4001"/>
      <c r="B4001"/>
      <c r="C4001"/>
      <c r="D4001"/>
    </row>
    <row r="4002" spans="1:4" x14ac:dyDescent="0.2">
      <c r="A4002"/>
      <c r="B4002"/>
      <c r="C4002"/>
      <c r="D4002"/>
    </row>
    <row r="4003" spans="1:4" x14ac:dyDescent="0.2">
      <c r="A4003"/>
      <c r="B4003"/>
      <c r="C4003"/>
      <c r="D4003"/>
    </row>
    <row r="4004" spans="1:4" x14ac:dyDescent="0.2">
      <c r="A4004"/>
      <c r="B4004"/>
      <c r="C4004"/>
      <c r="D4004"/>
    </row>
    <row r="4005" spans="1:4" x14ac:dyDescent="0.2">
      <c r="A4005"/>
      <c r="B4005"/>
      <c r="C4005"/>
      <c r="D4005"/>
    </row>
    <row r="4006" spans="1:4" x14ac:dyDescent="0.2">
      <c r="A4006"/>
      <c r="B4006"/>
      <c r="C4006"/>
      <c r="D4006"/>
    </row>
    <row r="4007" spans="1:4" x14ac:dyDescent="0.2">
      <c r="A4007"/>
      <c r="B4007"/>
      <c r="C4007"/>
      <c r="D4007"/>
    </row>
    <row r="4008" spans="1:4" x14ac:dyDescent="0.2">
      <c r="A4008"/>
      <c r="B4008"/>
      <c r="C4008"/>
      <c r="D4008"/>
    </row>
    <row r="4009" spans="1:4" x14ac:dyDescent="0.2">
      <c r="A4009"/>
      <c r="B4009"/>
      <c r="C4009"/>
      <c r="D4009"/>
    </row>
    <row r="4010" spans="1:4" x14ac:dyDescent="0.2">
      <c r="A4010"/>
      <c r="B4010"/>
      <c r="C4010"/>
      <c r="D4010"/>
    </row>
    <row r="4011" spans="1:4" x14ac:dyDescent="0.2">
      <c r="A4011"/>
      <c r="B4011"/>
      <c r="C4011"/>
      <c r="D4011"/>
    </row>
    <row r="4012" spans="1:4" x14ac:dyDescent="0.2">
      <c r="A4012"/>
      <c r="B4012"/>
      <c r="C4012"/>
      <c r="D4012"/>
    </row>
    <row r="4013" spans="1:4" x14ac:dyDescent="0.2">
      <c r="A4013"/>
      <c r="B4013"/>
      <c r="C4013"/>
      <c r="D4013"/>
    </row>
    <row r="4014" spans="1:4" x14ac:dyDescent="0.2">
      <c r="A4014"/>
      <c r="B4014"/>
      <c r="C4014"/>
      <c r="D4014"/>
    </row>
    <row r="4015" spans="1:4" x14ac:dyDescent="0.2">
      <c r="A4015"/>
      <c r="B4015"/>
      <c r="C4015"/>
      <c r="D4015"/>
    </row>
    <row r="4016" spans="1:4" x14ac:dyDescent="0.2">
      <c r="A4016"/>
      <c r="B4016"/>
      <c r="C4016"/>
      <c r="D4016"/>
    </row>
    <row r="4017" spans="1:4" x14ac:dyDescent="0.2">
      <c r="A4017"/>
      <c r="B4017"/>
      <c r="C4017"/>
      <c r="D4017"/>
    </row>
    <row r="4018" spans="1:4" x14ac:dyDescent="0.2">
      <c r="A4018"/>
      <c r="B4018"/>
      <c r="C4018"/>
      <c r="D4018"/>
    </row>
    <row r="4019" spans="1:4" x14ac:dyDescent="0.2">
      <c r="A4019"/>
      <c r="B4019"/>
      <c r="C4019"/>
      <c r="D4019"/>
    </row>
    <row r="4020" spans="1:4" x14ac:dyDescent="0.2">
      <c r="A4020"/>
      <c r="B4020"/>
      <c r="C4020"/>
      <c r="D4020"/>
    </row>
    <row r="4021" spans="1:4" x14ac:dyDescent="0.2">
      <c r="A4021"/>
      <c r="B4021"/>
      <c r="C4021"/>
      <c r="D4021"/>
    </row>
    <row r="4022" spans="1:4" x14ac:dyDescent="0.2">
      <c r="A4022"/>
      <c r="B4022"/>
      <c r="C4022"/>
      <c r="D4022"/>
    </row>
    <row r="4023" spans="1:4" x14ac:dyDescent="0.2">
      <c r="A4023"/>
      <c r="B4023"/>
      <c r="C4023"/>
      <c r="D4023"/>
    </row>
    <row r="4024" spans="1:4" x14ac:dyDescent="0.2">
      <c r="A4024"/>
      <c r="B4024"/>
      <c r="C4024"/>
      <c r="D4024"/>
    </row>
    <row r="4025" spans="1:4" x14ac:dyDescent="0.2">
      <c r="A4025"/>
      <c r="B4025"/>
      <c r="C4025"/>
      <c r="D4025"/>
    </row>
    <row r="4026" spans="1:4" x14ac:dyDescent="0.2">
      <c r="A4026"/>
      <c r="B4026"/>
      <c r="C4026"/>
      <c r="D4026"/>
    </row>
    <row r="4027" spans="1:4" x14ac:dyDescent="0.2">
      <c r="A4027"/>
      <c r="B4027"/>
      <c r="C4027"/>
      <c r="D4027"/>
    </row>
    <row r="4028" spans="1:4" x14ac:dyDescent="0.2">
      <c r="A4028"/>
      <c r="B4028"/>
      <c r="C4028"/>
      <c r="D4028"/>
    </row>
    <row r="4029" spans="1:4" x14ac:dyDescent="0.2">
      <c r="A4029"/>
      <c r="B4029"/>
      <c r="C4029"/>
      <c r="D4029"/>
    </row>
    <row r="4030" spans="1:4" x14ac:dyDescent="0.2">
      <c r="A4030"/>
      <c r="B4030"/>
      <c r="C4030"/>
      <c r="D4030"/>
    </row>
    <row r="4031" spans="1:4" x14ac:dyDescent="0.2">
      <c r="A4031"/>
      <c r="B4031"/>
      <c r="C4031"/>
      <c r="D4031"/>
    </row>
    <row r="4032" spans="1:4" x14ac:dyDescent="0.2">
      <c r="A4032"/>
      <c r="B4032"/>
      <c r="C4032"/>
      <c r="D4032"/>
    </row>
    <row r="4033" spans="1:4" x14ac:dyDescent="0.2">
      <c r="A4033"/>
      <c r="B4033"/>
      <c r="C4033"/>
      <c r="D4033"/>
    </row>
    <row r="4034" spans="1:4" x14ac:dyDescent="0.2">
      <c r="A4034"/>
      <c r="B4034"/>
      <c r="C4034"/>
      <c r="D4034"/>
    </row>
    <row r="4035" spans="1:4" x14ac:dyDescent="0.2">
      <c r="A4035"/>
      <c r="B4035"/>
      <c r="C4035"/>
      <c r="D4035"/>
    </row>
    <row r="4036" spans="1:4" x14ac:dyDescent="0.2">
      <c r="A4036"/>
      <c r="B4036"/>
      <c r="C4036"/>
      <c r="D4036"/>
    </row>
    <row r="4037" spans="1:4" x14ac:dyDescent="0.2">
      <c r="A4037"/>
      <c r="B4037"/>
      <c r="C4037"/>
      <c r="D4037"/>
    </row>
    <row r="4038" spans="1:4" x14ac:dyDescent="0.2">
      <c r="A4038"/>
      <c r="B4038"/>
      <c r="C4038"/>
      <c r="D4038"/>
    </row>
    <row r="4039" spans="1:4" x14ac:dyDescent="0.2">
      <c r="A4039"/>
      <c r="B4039"/>
      <c r="C4039"/>
      <c r="D4039"/>
    </row>
    <row r="4040" spans="1:4" x14ac:dyDescent="0.2">
      <c r="A4040"/>
      <c r="B4040"/>
      <c r="C4040"/>
      <c r="D4040"/>
    </row>
    <row r="4041" spans="1:4" x14ac:dyDescent="0.2">
      <c r="A4041"/>
      <c r="B4041"/>
      <c r="C4041"/>
      <c r="D4041"/>
    </row>
    <row r="4042" spans="1:4" x14ac:dyDescent="0.2">
      <c r="A4042"/>
      <c r="B4042"/>
      <c r="C4042"/>
      <c r="D4042"/>
    </row>
    <row r="4043" spans="1:4" x14ac:dyDescent="0.2">
      <c r="A4043"/>
      <c r="B4043"/>
      <c r="C4043"/>
      <c r="D4043"/>
    </row>
    <row r="4044" spans="1:4" x14ac:dyDescent="0.2">
      <c r="A4044"/>
      <c r="B4044"/>
      <c r="C4044"/>
      <c r="D4044"/>
    </row>
    <row r="4045" spans="1:4" x14ac:dyDescent="0.2">
      <c r="A4045"/>
      <c r="B4045"/>
      <c r="C4045"/>
      <c r="D4045"/>
    </row>
    <row r="4046" spans="1:4" x14ac:dyDescent="0.2">
      <c r="A4046"/>
      <c r="B4046"/>
      <c r="C4046"/>
      <c r="D4046"/>
    </row>
    <row r="4047" spans="1:4" x14ac:dyDescent="0.2">
      <c r="A4047"/>
      <c r="B4047"/>
      <c r="C4047"/>
      <c r="D4047"/>
    </row>
    <row r="4048" spans="1:4" x14ac:dyDescent="0.2">
      <c r="A4048"/>
      <c r="B4048"/>
      <c r="C4048"/>
      <c r="D4048"/>
    </row>
    <row r="4049" spans="1:4" x14ac:dyDescent="0.2">
      <c r="A4049"/>
      <c r="B4049"/>
      <c r="C4049"/>
      <c r="D4049"/>
    </row>
    <row r="4050" spans="1:4" x14ac:dyDescent="0.2">
      <c r="A4050"/>
      <c r="B4050"/>
      <c r="C4050"/>
      <c r="D4050"/>
    </row>
    <row r="4051" spans="1:4" x14ac:dyDescent="0.2">
      <c r="A4051"/>
      <c r="B4051"/>
      <c r="C4051"/>
      <c r="D4051"/>
    </row>
    <row r="4052" spans="1:4" x14ac:dyDescent="0.2">
      <c r="A4052"/>
      <c r="B4052"/>
      <c r="C4052"/>
      <c r="D4052"/>
    </row>
    <row r="4053" spans="1:4" x14ac:dyDescent="0.2">
      <c r="A4053"/>
      <c r="B4053"/>
      <c r="C4053"/>
      <c r="D4053"/>
    </row>
    <row r="4054" spans="1:4" x14ac:dyDescent="0.2">
      <c r="A4054"/>
      <c r="B4054"/>
      <c r="C4054"/>
      <c r="D4054"/>
    </row>
    <row r="4055" spans="1:4" x14ac:dyDescent="0.2">
      <c r="A4055"/>
      <c r="B4055"/>
      <c r="C4055"/>
      <c r="D4055"/>
    </row>
    <row r="4056" spans="1:4" x14ac:dyDescent="0.2">
      <c r="A4056"/>
      <c r="B4056"/>
      <c r="C4056"/>
      <c r="D4056"/>
    </row>
    <row r="4057" spans="1:4" x14ac:dyDescent="0.2">
      <c r="A4057"/>
      <c r="B4057"/>
      <c r="C4057"/>
      <c r="D4057"/>
    </row>
    <row r="4058" spans="1:4" x14ac:dyDescent="0.2">
      <c r="A4058"/>
      <c r="B4058"/>
      <c r="C4058"/>
      <c r="D4058"/>
    </row>
    <row r="4059" spans="1:4" x14ac:dyDescent="0.2">
      <c r="A4059"/>
      <c r="B4059"/>
      <c r="C4059"/>
      <c r="D4059"/>
    </row>
    <row r="4060" spans="1:4" x14ac:dyDescent="0.2">
      <c r="A4060"/>
      <c r="B4060"/>
      <c r="C4060"/>
      <c r="D4060"/>
    </row>
    <row r="4061" spans="1:4" x14ac:dyDescent="0.2">
      <c r="A4061"/>
      <c r="B4061"/>
      <c r="C4061"/>
      <c r="D4061"/>
    </row>
    <row r="4062" spans="1:4" x14ac:dyDescent="0.2">
      <c r="A4062"/>
      <c r="B4062"/>
      <c r="C4062"/>
      <c r="D4062"/>
    </row>
    <row r="4063" spans="1:4" x14ac:dyDescent="0.2">
      <c r="A4063"/>
      <c r="B4063"/>
      <c r="C4063"/>
      <c r="D4063"/>
    </row>
    <row r="4064" spans="1:4" x14ac:dyDescent="0.2">
      <c r="A4064"/>
      <c r="B4064"/>
      <c r="C4064"/>
      <c r="D4064"/>
    </row>
    <row r="4065" spans="1:4" x14ac:dyDescent="0.2">
      <c r="A4065"/>
      <c r="B4065"/>
      <c r="C4065"/>
      <c r="D4065"/>
    </row>
    <row r="4066" spans="1:4" x14ac:dyDescent="0.2">
      <c r="A4066"/>
      <c r="B4066"/>
      <c r="C4066"/>
      <c r="D4066"/>
    </row>
    <row r="4067" spans="1:4" x14ac:dyDescent="0.2">
      <c r="A4067"/>
      <c r="B4067"/>
      <c r="C4067"/>
      <c r="D4067"/>
    </row>
    <row r="4068" spans="1:4" x14ac:dyDescent="0.2">
      <c r="A4068"/>
      <c r="B4068"/>
      <c r="C4068"/>
      <c r="D4068"/>
    </row>
    <row r="4069" spans="1:4" x14ac:dyDescent="0.2">
      <c r="A4069"/>
      <c r="B4069"/>
      <c r="C4069"/>
      <c r="D4069"/>
    </row>
    <row r="4070" spans="1:4" x14ac:dyDescent="0.2">
      <c r="A4070"/>
      <c r="B4070"/>
      <c r="C4070"/>
      <c r="D4070"/>
    </row>
    <row r="4071" spans="1:4" x14ac:dyDescent="0.2">
      <c r="A4071"/>
      <c r="B4071"/>
      <c r="C4071"/>
      <c r="D4071"/>
    </row>
    <row r="4072" spans="1:4" x14ac:dyDescent="0.2">
      <c r="A4072"/>
      <c r="B4072"/>
      <c r="C4072"/>
      <c r="D4072"/>
    </row>
    <row r="4073" spans="1:4" x14ac:dyDescent="0.2">
      <c r="A4073"/>
      <c r="B4073"/>
      <c r="C4073"/>
      <c r="D4073"/>
    </row>
    <row r="4074" spans="1:4" x14ac:dyDescent="0.2">
      <c r="A4074"/>
      <c r="B4074"/>
      <c r="C4074"/>
      <c r="D4074"/>
    </row>
    <row r="4075" spans="1:4" x14ac:dyDescent="0.2">
      <c r="A4075"/>
      <c r="B4075"/>
      <c r="C4075"/>
      <c r="D4075"/>
    </row>
    <row r="4076" spans="1:4" x14ac:dyDescent="0.2">
      <c r="A4076"/>
      <c r="B4076"/>
      <c r="C4076"/>
      <c r="D4076"/>
    </row>
    <row r="4077" spans="1:4" x14ac:dyDescent="0.2">
      <c r="A4077"/>
      <c r="B4077"/>
      <c r="C4077"/>
      <c r="D4077"/>
    </row>
    <row r="4078" spans="1:4" x14ac:dyDescent="0.2">
      <c r="A4078"/>
      <c r="B4078"/>
      <c r="C4078"/>
      <c r="D4078"/>
    </row>
    <row r="4079" spans="1:4" x14ac:dyDescent="0.2">
      <c r="A4079"/>
      <c r="B4079"/>
      <c r="C4079"/>
      <c r="D4079"/>
    </row>
    <row r="4080" spans="1:4" x14ac:dyDescent="0.2">
      <c r="A4080"/>
      <c r="B4080"/>
      <c r="C4080"/>
      <c r="D4080"/>
    </row>
    <row r="4081" spans="1:4" x14ac:dyDescent="0.2">
      <c r="A4081"/>
      <c r="B4081"/>
      <c r="C4081"/>
      <c r="D4081"/>
    </row>
    <row r="4082" spans="1:4" x14ac:dyDescent="0.2">
      <c r="A4082"/>
      <c r="B4082"/>
      <c r="C4082"/>
      <c r="D4082"/>
    </row>
    <row r="4083" spans="1:4" x14ac:dyDescent="0.2">
      <c r="A4083"/>
      <c r="B4083"/>
      <c r="C4083"/>
      <c r="D4083"/>
    </row>
    <row r="4084" spans="1:4" x14ac:dyDescent="0.2">
      <c r="A4084"/>
      <c r="B4084"/>
      <c r="C4084"/>
      <c r="D4084"/>
    </row>
    <row r="4085" spans="1:4" x14ac:dyDescent="0.2">
      <c r="A4085"/>
      <c r="B4085"/>
      <c r="C4085"/>
      <c r="D4085"/>
    </row>
    <row r="4086" spans="1:4" x14ac:dyDescent="0.2">
      <c r="A4086"/>
      <c r="B4086"/>
      <c r="C4086"/>
      <c r="D4086"/>
    </row>
    <row r="4087" spans="1:4" x14ac:dyDescent="0.2">
      <c r="A4087"/>
      <c r="B4087"/>
      <c r="C4087"/>
      <c r="D4087"/>
    </row>
    <row r="4088" spans="1:4" x14ac:dyDescent="0.2">
      <c r="A4088"/>
      <c r="B4088"/>
      <c r="C4088"/>
      <c r="D4088"/>
    </row>
    <row r="4089" spans="1:4" x14ac:dyDescent="0.2">
      <c r="A4089"/>
      <c r="B4089"/>
      <c r="C4089"/>
      <c r="D4089"/>
    </row>
    <row r="4090" spans="1:4" x14ac:dyDescent="0.2">
      <c r="A4090"/>
      <c r="B4090"/>
      <c r="C4090"/>
      <c r="D4090"/>
    </row>
    <row r="4091" spans="1:4" x14ac:dyDescent="0.2">
      <c r="A4091"/>
      <c r="B4091"/>
      <c r="C4091"/>
      <c r="D4091"/>
    </row>
    <row r="4092" spans="1:4" x14ac:dyDescent="0.2">
      <c r="A4092"/>
      <c r="B4092"/>
      <c r="C4092"/>
      <c r="D4092"/>
    </row>
    <row r="4093" spans="1:4" x14ac:dyDescent="0.2">
      <c r="A4093"/>
      <c r="B4093"/>
      <c r="C4093"/>
      <c r="D4093"/>
    </row>
    <row r="4094" spans="1:4" x14ac:dyDescent="0.2">
      <c r="A4094"/>
      <c r="B4094"/>
      <c r="C4094"/>
      <c r="D4094"/>
    </row>
    <row r="4095" spans="1:4" x14ac:dyDescent="0.2">
      <c r="A4095"/>
      <c r="B4095"/>
      <c r="C4095"/>
      <c r="D4095"/>
    </row>
    <row r="4096" spans="1:4" x14ac:dyDescent="0.2">
      <c r="A4096"/>
      <c r="B4096"/>
      <c r="C4096"/>
      <c r="D4096"/>
    </row>
    <row r="4097" spans="1:4" x14ac:dyDescent="0.2">
      <c r="A4097"/>
      <c r="B4097"/>
      <c r="C4097"/>
      <c r="D4097"/>
    </row>
    <row r="4098" spans="1:4" x14ac:dyDescent="0.2">
      <c r="A4098"/>
      <c r="B4098"/>
      <c r="C4098"/>
      <c r="D4098"/>
    </row>
    <row r="4099" spans="1:4" x14ac:dyDescent="0.2">
      <c r="A4099"/>
      <c r="B4099"/>
      <c r="C4099"/>
      <c r="D4099"/>
    </row>
    <row r="4100" spans="1:4" x14ac:dyDescent="0.2">
      <c r="A4100"/>
      <c r="B4100"/>
      <c r="C4100"/>
      <c r="D4100"/>
    </row>
    <row r="4101" spans="1:4" x14ac:dyDescent="0.2">
      <c r="A4101"/>
      <c r="B4101"/>
      <c r="C4101"/>
      <c r="D4101"/>
    </row>
    <row r="4102" spans="1:4" x14ac:dyDescent="0.2">
      <c r="A4102"/>
      <c r="B4102"/>
      <c r="C4102"/>
      <c r="D4102"/>
    </row>
    <row r="4103" spans="1:4" x14ac:dyDescent="0.2">
      <c r="A4103"/>
      <c r="B4103"/>
      <c r="C4103"/>
      <c r="D4103"/>
    </row>
    <row r="4104" spans="1:4" x14ac:dyDescent="0.2">
      <c r="A4104"/>
      <c r="B4104"/>
      <c r="C4104"/>
      <c r="D4104"/>
    </row>
    <row r="4105" spans="1:4" x14ac:dyDescent="0.2">
      <c r="A4105"/>
      <c r="B4105"/>
      <c r="C4105"/>
      <c r="D4105"/>
    </row>
    <row r="4106" spans="1:4" x14ac:dyDescent="0.2">
      <c r="A4106"/>
      <c r="B4106"/>
      <c r="C4106"/>
      <c r="D4106"/>
    </row>
    <row r="4107" spans="1:4" x14ac:dyDescent="0.2">
      <c r="A4107"/>
      <c r="B4107"/>
      <c r="C4107"/>
      <c r="D4107"/>
    </row>
    <row r="4108" spans="1:4" x14ac:dyDescent="0.2">
      <c r="A4108"/>
      <c r="B4108"/>
      <c r="C4108"/>
      <c r="D4108"/>
    </row>
    <row r="4109" spans="1:4" x14ac:dyDescent="0.2">
      <c r="A4109"/>
      <c r="B4109"/>
      <c r="C4109"/>
      <c r="D4109"/>
    </row>
    <row r="4110" spans="1:4" x14ac:dyDescent="0.2">
      <c r="A4110"/>
      <c r="B4110"/>
      <c r="C4110"/>
      <c r="D4110"/>
    </row>
    <row r="4111" spans="1:4" x14ac:dyDescent="0.2">
      <c r="A4111"/>
      <c r="B4111"/>
      <c r="C4111"/>
      <c r="D4111"/>
    </row>
    <row r="4112" spans="1:4" x14ac:dyDescent="0.2">
      <c r="A4112"/>
      <c r="B4112"/>
      <c r="C4112"/>
      <c r="D4112"/>
    </row>
    <row r="4113" spans="1:4" x14ac:dyDescent="0.2">
      <c r="A4113"/>
      <c r="B4113"/>
      <c r="C4113"/>
      <c r="D4113"/>
    </row>
    <row r="4114" spans="1:4" x14ac:dyDescent="0.2">
      <c r="A4114"/>
      <c r="B4114"/>
      <c r="C4114"/>
      <c r="D4114"/>
    </row>
    <row r="4115" spans="1:4" x14ac:dyDescent="0.2">
      <c r="A4115"/>
      <c r="B4115"/>
      <c r="C4115"/>
      <c r="D4115"/>
    </row>
    <row r="4116" spans="1:4" x14ac:dyDescent="0.2">
      <c r="A4116"/>
      <c r="B4116"/>
      <c r="C4116"/>
      <c r="D4116"/>
    </row>
    <row r="4117" spans="1:4" x14ac:dyDescent="0.2">
      <c r="A4117"/>
      <c r="B4117"/>
      <c r="C4117"/>
      <c r="D4117"/>
    </row>
    <row r="4118" spans="1:4" x14ac:dyDescent="0.2">
      <c r="A4118"/>
      <c r="B4118"/>
      <c r="C4118"/>
      <c r="D4118"/>
    </row>
    <row r="4119" spans="1:4" x14ac:dyDescent="0.2">
      <c r="A4119"/>
      <c r="B4119"/>
      <c r="C4119"/>
      <c r="D4119"/>
    </row>
    <row r="4120" spans="1:4" x14ac:dyDescent="0.2">
      <c r="A4120"/>
      <c r="B4120"/>
      <c r="C4120"/>
      <c r="D4120"/>
    </row>
    <row r="4121" spans="1:4" x14ac:dyDescent="0.2">
      <c r="A4121"/>
      <c r="B4121"/>
      <c r="C4121"/>
      <c r="D4121"/>
    </row>
    <row r="4122" spans="1:4" x14ac:dyDescent="0.2">
      <c r="A4122"/>
      <c r="B4122"/>
      <c r="C4122"/>
      <c r="D4122"/>
    </row>
    <row r="4123" spans="1:4" x14ac:dyDescent="0.2">
      <c r="A4123"/>
      <c r="B4123"/>
      <c r="C4123"/>
      <c r="D4123"/>
    </row>
    <row r="4124" spans="1:4" x14ac:dyDescent="0.2">
      <c r="A4124"/>
      <c r="B4124"/>
      <c r="C4124"/>
      <c r="D4124"/>
    </row>
    <row r="4125" spans="1:4" x14ac:dyDescent="0.2">
      <c r="A4125"/>
      <c r="B4125"/>
      <c r="C4125"/>
      <c r="D4125"/>
    </row>
    <row r="4126" spans="1:4" x14ac:dyDescent="0.2">
      <c r="A4126"/>
      <c r="B4126"/>
      <c r="C4126"/>
      <c r="D4126"/>
    </row>
    <row r="4127" spans="1:4" x14ac:dyDescent="0.2">
      <c r="A4127"/>
      <c r="B4127"/>
      <c r="C4127"/>
      <c r="D4127"/>
    </row>
    <row r="4128" spans="1:4" x14ac:dyDescent="0.2">
      <c r="A4128"/>
      <c r="B4128"/>
      <c r="C4128"/>
      <c r="D4128"/>
    </row>
    <row r="4129" spans="1:4" x14ac:dyDescent="0.2">
      <c r="A4129"/>
      <c r="B4129"/>
      <c r="C4129"/>
      <c r="D4129"/>
    </row>
    <row r="4130" spans="1:4" x14ac:dyDescent="0.2">
      <c r="A4130"/>
      <c r="B4130"/>
      <c r="C4130"/>
      <c r="D4130"/>
    </row>
    <row r="4131" spans="1:4" x14ac:dyDescent="0.2">
      <c r="A4131"/>
      <c r="B4131"/>
      <c r="C4131"/>
      <c r="D4131"/>
    </row>
    <row r="4132" spans="1:4" x14ac:dyDescent="0.2">
      <c r="A4132"/>
      <c r="B4132"/>
      <c r="C4132"/>
      <c r="D4132"/>
    </row>
    <row r="4133" spans="1:4" x14ac:dyDescent="0.2">
      <c r="A4133"/>
      <c r="B4133"/>
      <c r="C4133"/>
      <c r="D4133"/>
    </row>
    <row r="4134" spans="1:4" x14ac:dyDescent="0.2">
      <c r="A4134"/>
      <c r="B4134"/>
      <c r="C4134"/>
      <c r="D4134"/>
    </row>
    <row r="4135" spans="1:4" x14ac:dyDescent="0.2">
      <c r="A4135"/>
      <c r="B4135"/>
      <c r="C4135"/>
      <c r="D4135"/>
    </row>
    <row r="4136" spans="1:4" x14ac:dyDescent="0.2">
      <c r="A4136"/>
      <c r="B4136"/>
      <c r="C4136"/>
      <c r="D4136"/>
    </row>
    <row r="4137" spans="1:4" x14ac:dyDescent="0.2">
      <c r="A4137"/>
      <c r="B4137"/>
      <c r="C4137"/>
      <c r="D4137"/>
    </row>
    <row r="4138" spans="1:4" x14ac:dyDescent="0.2">
      <c r="A4138"/>
      <c r="B4138"/>
      <c r="C4138"/>
      <c r="D4138"/>
    </row>
    <row r="4139" spans="1:4" x14ac:dyDescent="0.2">
      <c r="A4139"/>
      <c r="B4139"/>
      <c r="C4139"/>
      <c r="D4139"/>
    </row>
    <row r="4140" spans="1:4" x14ac:dyDescent="0.2">
      <c r="A4140"/>
      <c r="B4140"/>
      <c r="C4140"/>
      <c r="D4140"/>
    </row>
    <row r="4141" spans="1:4" x14ac:dyDescent="0.2">
      <c r="A4141"/>
      <c r="B4141"/>
      <c r="C4141"/>
      <c r="D4141"/>
    </row>
    <row r="4142" spans="1:4" x14ac:dyDescent="0.2">
      <c r="A4142"/>
      <c r="B4142"/>
      <c r="C4142"/>
      <c r="D4142"/>
    </row>
    <row r="4143" spans="1:4" x14ac:dyDescent="0.2">
      <c r="A4143"/>
      <c r="B4143"/>
      <c r="C4143"/>
      <c r="D4143"/>
    </row>
    <row r="4144" spans="1:4" x14ac:dyDescent="0.2">
      <c r="A4144"/>
      <c r="B4144"/>
      <c r="C4144"/>
      <c r="D4144"/>
    </row>
    <row r="4145" spans="1:4" x14ac:dyDescent="0.2">
      <c r="A4145"/>
      <c r="B4145"/>
      <c r="C4145"/>
      <c r="D4145"/>
    </row>
    <row r="4146" spans="1:4" x14ac:dyDescent="0.2">
      <c r="A4146"/>
      <c r="B4146"/>
      <c r="C4146"/>
      <c r="D4146"/>
    </row>
    <row r="4147" spans="1:4" x14ac:dyDescent="0.2">
      <c r="A4147"/>
      <c r="B4147"/>
      <c r="C4147"/>
      <c r="D4147"/>
    </row>
    <row r="4148" spans="1:4" x14ac:dyDescent="0.2">
      <c r="A4148"/>
      <c r="B4148"/>
      <c r="C4148"/>
      <c r="D4148"/>
    </row>
    <row r="4149" spans="1:4" x14ac:dyDescent="0.2">
      <c r="A4149"/>
      <c r="B4149"/>
      <c r="C4149"/>
      <c r="D4149"/>
    </row>
    <row r="4150" spans="1:4" x14ac:dyDescent="0.2">
      <c r="A4150"/>
      <c r="B4150"/>
      <c r="C4150"/>
      <c r="D4150"/>
    </row>
    <row r="4151" spans="1:4" x14ac:dyDescent="0.2">
      <c r="A4151"/>
      <c r="B4151"/>
      <c r="C4151"/>
      <c r="D4151"/>
    </row>
    <row r="4152" spans="1:4" x14ac:dyDescent="0.2">
      <c r="A4152"/>
      <c r="B4152"/>
      <c r="C4152"/>
      <c r="D4152"/>
    </row>
    <row r="4153" spans="1:4" x14ac:dyDescent="0.2">
      <c r="A4153"/>
      <c r="B4153"/>
      <c r="C4153"/>
      <c r="D4153"/>
    </row>
    <row r="4154" spans="1:4" x14ac:dyDescent="0.2">
      <c r="A4154"/>
      <c r="B4154"/>
      <c r="C4154"/>
      <c r="D4154"/>
    </row>
    <row r="4155" spans="1:4" x14ac:dyDescent="0.2">
      <c r="A4155"/>
      <c r="B4155"/>
      <c r="C4155"/>
      <c r="D4155"/>
    </row>
    <row r="4156" spans="1:4" x14ac:dyDescent="0.2">
      <c r="A4156"/>
      <c r="B4156"/>
      <c r="C4156"/>
      <c r="D4156"/>
    </row>
    <row r="4157" spans="1:4" x14ac:dyDescent="0.2">
      <c r="A4157"/>
      <c r="B4157"/>
      <c r="C4157"/>
      <c r="D4157"/>
    </row>
    <row r="4158" spans="1:4" x14ac:dyDescent="0.2">
      <c r="A4158"/>
      <c r="B4158"/>
      <c r="C4158"/>
      <c r="D4158"/>
    </row>
    <row r="4159" spans="1:4" x14ac:dyDescent="0.2">
      <c r="A4159"/>
      <c r="B4159"/>
      <c r="C4159"/>
      <c r="D4159"/>
    </row>
    <row r="4160" spans="1:4" x14ac:dyDescent="0.2">
      <c r="A4160"/>
      <c r="B4160"/>
      <c r="C4160"/>
      <c r="D4160"/>
    </row>
    <row r="4161" spans="1:4" x14ac:dyDescent="0.2">
      <c r="A4161"/>
      <c r="B4161"/>
      <c r="C4161"/>
      <c r="D4161"/>
    </row>
    <row r="4162" spans="1:4" x14ac:dyDescent="0.2">
      <c r="A4162"/>
      <c r="B4162"/>
      <c r="C4162"/>
      <c r="D4162"/>
    </row>
    <row r="4163" spans="1:4" x14ac:dyDescent="0.2">
      <c r="A4163"/>
      <c r="B4163"/>
      <c r="C4163"/>
      <c r="D4163"/>
    </row>
    <row r="4164" spans="1:4" x14ac:dyDescent="0.2">
      <c r="A4164"/>
      <c r="B4164"/>
      <c r="C4164"/>
      <c r="D4164"/>
    </row>
    <row r="4165" spans="1:4" x14ac:dyDescent="0.2">
      <c r="A4165"/>
      <c r="B4165"/>
      <c r="C4165"/>
      <c r="D4165"/>
    </row>
    <row r="4166" spans="1:4" x14ac:dyDescent="0.2">
      <c r="A4166"/>
      <c r="B4166"/>
      <c r="C4166"/>
      <c r="D4166"/>
    </row>
    <row r="4167" spans="1:4" x14ac:dyDescent="0.2">
      <c r="A4167"/>
      <c r="B4167"/>
      <c r="C4167"/>
      <c r="D4167"/>
    </row>
    <row r="4168" spans="1:4" x14ac:dyDescent="0.2">
      <c r="A4168"/>
      <c r="B4168"/>
      <c r="C4168"/>
      <c r="D4168"/>
    </row>
    <row r="4169" spans="1:4" x14ac:dyDescent="0.2">
      <c r="A4169"/>
      <c r="B4169"/>
      <c r="C4169"/>
      <c r="D4169"/>
    </row>
    <row r="4170" spans="1:4" x14ac:dyDescent="0.2">
      <c r="A4170"/>
      <c r="B4170"/>
      <c r="C4170"/>
      <c r="D4170"/>
    </row>
    <row r="4171" spans="1:4" x14ac:dyDescent="0.2">
      <c r="A4171"/>
      <c r="B4171"/>
      <c r="C4171"/>
      <c r="D4171"/>
    </row>
    <row r="4172" spans="1:4" x14ac:dyDescent="0.2">
      <c r="A4172"/>
      <c r="B4172"/>
      <c r="C4172"/>
      <c r="D4172"/>
    </row>
    <row r="4173" spans="1:4" x14ac:dyDescent="0.2">
      <c r="A4173"/>
      <c r="B4173"/>
      <c r="C4173"/>
      <c r="D4173"/>
    </row>
    <row r="4174" spans="1:4" x14ac:dyDescent="0.2">
      <c r="A4174"/>
      <c r="B4174"/>
      <c r="C4174"/>
      <c r="D4174"/>
    </row>
    <row r="4175" spans="1:4" x14ac:dyDescent="0.2">
      <c r="A4175"/>
      <c r="B4175"/>
      <c r="C4175"/>
      <c r="D4175"/>
    </row>
    <row r="4176" spans="1:4" x14ac:dyDescent="0.2">
      <c r="A4176"/>
      <c r="B4176"/>
      <c r="C4176"/>
      <c r="D4176"/>
    </row>
    <row r="4177" spans="1:4" x14ac:dyDescent="0.2">
      <c r="A4177"/>
      <c r="B4177"/>
      <c r="C4177"/>
      <c r="D4177"/>
    </row>
    <row r="4178" spans="1:4" x14ac:dyDescent="0.2">
      <c r="A4178"/>
      <c r="B4178"/>
      <c r="C4178"/>
      <c r="D4178"/>
    </row>
    <row r="4179" spans="1:4" x14ac:dyDescent="0.2">
      <c r="A4179"/>
      <c r="B4179"/>
      <c r="C4179"/>
      <c r="D4179"/>
    </row>
    <row r="4180" spans="1:4" x14ac:dyDescent="0.2">
      <c r="A4180"/>
      <c r="B4180"/>
      <c r="C4180"/>
      <c r="D4180"/>
    </row>
    <row r="4181" spans="1:4" x14ac:dyDescent="0.2">
      <c r="A4181"/>
      <c r="B4181"/>
      <c r="C4181"/>
      <c r="D4181"/>
    </row>
    <row r="4182" spans="1:4" x14ac:dyDescent="0.2">
      <c r="A4182"/>
      <c r="B4182"/>
      <c r="C4182"/>
      <c r="D4182"/>
    </row>
    <row r="4183" spans="1:4" x14ac:dyDescent="0.2">
      <c r="A4183"/>
      <c r="B4183"/>
      <c r="C4183"/>
      <c r="D4183"/>
    </row>
    <row r="4184" spans="1:4" x14ac:dyDescent="0.2">
      <c r="A4184"/>
      <c r="B4184"/>
      <c r="C4184"/>
      <c r="D4184"/>
    </row>
    <row r="4185" spans="1:4" x14ac:dyDescent="0.2">
      <c r="A4185"/>
      <c r="B4185"/>
      <c r="C4185"/>
      <c r="D4185"/>
    </row>
    <row r="4186" spans="1:4" x14ac:dyDescent="0.2">
      <c r="A4186"/>
      <c r="B4186"/>
      <c r="C4186"/>
      <c r="D4186"/>
    </row>
    <row r="4187" spans="1:4" x14ac:dyDescent="0.2">
      <c r="A4187"/>
      <c r="B4187"/>
      <c r="C4187"/>
      <c r="D4187"/>
    </row>
    <row r="4188" spans="1:4" x14ac:dyDescent="0.2">
      <c r="A4188"/>
      <c r="B4188"/>
      <c r="C4188"/>
      <c r="D4188"/>
    </row>
    <row r="4189" spans="1:4" x14ac:dyDescent="0.2">
      <c r="A4189"/>
      <c r="B4189"/>
      <c r="C4189"/>
      <c r="D4189"/>
    </row>
    <row r="4190" spans="1:4" x14ac:dyDescent="0.2">
      <c r="A4190"/>
      <c r="B4190"/>
      <c r="C4190"/>
      <c r="D4190"/>
    </row>
    <row r="4191" spans="1:4" x14ac:dyDescent="0.2">
      <c r="A4191"/>
      <c r="B4191"/>
      <c r="C4191"/>
      <c r="D4191"/>
    </row>
    <row r="4192" spans="1:4" x14ac:dyDescent="0.2">
      <c r="A4192"/>
      <c r="B4192"/>
      <c r="C4192"/>
      <c r="D4192"/>
    </row>
    <row r="4193" spans="1:4" x14ac:dyDescent="0.2">
      <c r="A4193"/>
      <c r="B4193"/>
      <c r="C4193"/>
      <c r="D4193"/>
    </row>
    <row r="4194" spans="1:4" x14ac:dyDescent="0.2">
      <c r="A4194"/>
      <c r="B4194"/>
      <c r="C4194"/>
      <c r="D4194"/>
    </row>
    <row r="4195" spans="1:4" x14ac:dyDescent="0.2">
      <c r="A4195"/>
      <c r="B4195"/>
      <c r="C4195"/>
      <c r="D4195"/>
    </row>
    <row r="4196" spans="1:4" x14ac:dyDescent="0.2">
      <c r="A4196"/>
      <c r="B4196"/>
      <c r="C4196"/>
      <c r="D4196"/>
    </row>
    <row r="4197" spans="1:4" x14ac:dyDescent="0.2">
      <c r="A4197"/>
      <c r="B4197"/>
      <c r="C4197"/>
      <c r="D4197"/>
    </row>
    <row r="4198" spans="1:4" x14ac:dyDescent="0.2">
      <c r="A4198"/>
      <c r="B4198"/>
      <c r="C4198"/>
      <c r="D4198"/>
    </row>
    <row r="4199" spans="1:4" x14ac:dyDescent="0.2">
      <c r="A4199"/>
      <c r="B4199"/>
      <c r="C4199"/>
      <c r="D4199"/>
    </row>
    <row r="4200" spans="1:4" x14ac:dyDescent="0.2">
      <c r="A4200"/>
      <c r="B4200"/>
      <c r="C4200"/>
      <c r="D4200"/>
    </row>
    <row r="4201" spans="1:4" x14ac:dyDescent="0.2">
      <c r="A4201"/>
      <c r="B4201"/>
      <c r="C4201"/>
      <c r="D4201"/>
    </row>
    <row r="4202" spans="1:4" x14ac:dyDescent="0.2">
      <c r="A4202"/>
      <c r="B4202"/>
      <c r="C4202"/>
      <c r="D4202"/>
    </row>
    <row r="4203" spans="1:4" x14ac:dyDescent="0.2">
      <c r="A4203"/>
      <c r="B4203"/>
      <c r="C4203"/>
      <c r="D4203"/>
    </row>
    <row r="4204" spans="1:4" x14ac:dyDescent="0.2">
      <c r="A4204"/>
      <c r="B4204"/>
      <c r="C4204"/>
      <c r="D4204"/>
    </row>
    <row r="4205" spans="1:4" x14ac:dyDescent="0.2">
      <c r="A4205"/>
      <c r="B4205"/>
      <c r="C4205"/>
      <c r="D4205"/>
    </row>
    <row r="4206" spans="1:4" x14ac:dyDescent="0.2">
      <c r="A4206"/>
      <c r="B4206"/>
      <c r="C4206"/>
      <c r="D4206"/>
    </row>
    <row r="4207" spans="1:4" x14ac:dyDescent="0.2">
      <c r="A4207"/>
      <c r="B4207"/>
      <c r="C4207"/>
      <c r="D4207"/>
    </row>
    <row r="4208" spans="1:4" x14ac:dyDescent="0.2">
      <c r="A4208"/>
      <c r="B4208"/>
      <c r="C4208"/>
      <c r="D4208"/>
    </row>
    <row r="4209" spans="1:4" x14ac:dyDescent="0.2">
      <c r="A4209"/>
      <c r="B4209"/>
      <c r="C4209"/>
      <c r="D4209"/>
    </row>
    <row r="4210" spans="1:4" x14ac:dyDescent="0.2">
      <c r="A4210"/>
      <c r="B4210"/>
      <c r="C4210"/>
      <c r="D4210"/>
    </row>
    <row r="4211" spans="1:4" x14ac:dyDescent="0.2">
      <c r="A4211"/>
      <c r="B4211"/>
      <c r="C4211"/>
      <c r="D4211"/>
    </row>
    <row r="4212" spans="1:4" x14ac:dyDescent="0.2">
      <c r="A4212"/>
      <c r="B4212"/>
      <c r="C4212"/>
      <c r="D4212"/>
    </row>
    <row r="4213" spans="1:4" x14ac:dyDescent="0.2">
      <c r="A4213"/>
      <c r="B4213"/>
      <c r="C4213"/>
      <c r="D4213"/>
    </row>
    <row r="4214" spans="1:4" x14ac:dyDescent="0.2">
      <c r="A4214"/>
      <c r="B4214"/>
      <c r="C4214"/>
      <c r="D4214"/>
    </row>
    <row r="4215" spans="1:4" x14ac:dyDescent="0.2">
      <c r="A4215"/>
      <c r="B4215"/>
      <c r="C4215"/>
      <c r="D4215"/>
    </row>
    <row r="4216" spans="1:4" x14ac:dyDescent="0.2">
      <c r="A4216"/>
      <c r="B4216"/>
      <c r="C4216"/>
      <c r="D4216"/>
    </row>
    <row r="4217" spans="1:4" x14ac:dyDescent="0.2">
      <c r="A4217"/>
      <c r="B4217"/>
      <c r="C4217"/>
      <c r="D4217"/>
    </row>
    <row r="4218" spans="1:4" x14ac:dyDescent="0.2">
      <c r="A4218"/>
      <c r="B4218"/>
      <c r="C4218"/>
      <c r="D4218"/>
    </row>
    <row r="4219" spans="1:4" x14ac:dyDescent="0.2">
      <c r="A4219"/>
      <c r="B4219"/>
      <c r="C4219"/>
      <c r="D4219"/>
    </row>
    <row r="4220" spans="1:4" x14ac:dyDescent="0.2">
      <c r="A4220"/>
      <c r="B4220"/>
      <c r="C4220"/>
      <c r="D4220"/>
    </row>
    <row r="4221" spans="1:4" x14ac:dyDescent="0.2">
      <c r="A4221"/>
      <c r="B4221"/>
      <c r="C4221"/>
      <c r="D4221"/>
    </row>
    <row r="4222" spans="1:4" x14ac:dyDescent="0.2">
      <c r="A4222"/>
      <c r="B4222"/>
      <c r="C4222"/>
      <c r="D4222"/>
    </row>
    <row r="4223" spans="1:4" x14ac:dyDescent="0.2">
      <c r="A4223"/>
      <c r="B4223"/>
      <c r="C4223"/>
      <c r="D4223"/>
    </row>
    <row r="4224" spans="1:4" x14ac:dyDescent="0.2">
      <c r="A4224"/>
      <c r="B4224"/>
      <c r="C4224"/>
      <c r="D4224"/>
    </row>
    <row r="4225" spans="1:4" x14ac:dyDescent="0.2">
      <c r="A4225"/>
      <c r="B4225"/>
      <c r="C4225"/>
      <c r="D4225"/>
    </row>
    <row r="4226" spans="1:4" x14ac:dyDescent="0.2">
      <c r="A4226"/>
      <c r="B4226"/>
      <c r="C4226"/>
      <c r="D4226"/>
    </row>
    <row r="4227" spans="1:4" x14ac:dyDescent="0.2">
      <c r="A4227"/>
      <c r="B4227"/>
      <c r="C4227"/>
      <c r="D4227"/>
    </row>
    <row r="4228" spans="1:4" x14ac:dyDescent="0.2">
      <c r="A4228"/>
      <c r="B4228"/>
      <c r="C4228"/>
      <c r="D4228"/>
    </row>
    <row r="4229" spans="1:4" x14ac:dyDescent="0.2">
      <c r="A4229"/>
      <c r="B4229"/>
      <c r="C4229"/>
      <c r="D4229"/>
    </row>
    <row r="4230" spans="1:4" x14ac:dyDescent="0.2">
      <c r="A4230"/>
      <c r="B4230"/>
      <c r="C4230"/>
      <c r="D4230"/>
    </row>
    <row r="4231" spans="1:4" x14ac:dyDescent="0.2">
      <c r="A4231"/>
      <c r="B4231"/>
      <c r="C4231"/>
      <c r="D4231"/>
    </row>
    <row r="4232" spans="1:4" x14ac:dyDescent="0.2">
      <c r="A4232"/>
      <c r="B4232"/>
      <c r="C4232"/>
      <c r="D4232"/>
    </row>
    <row r="4233" spans="1:4" x14ac:dyDescent="0.2">
      <c r="A4233"/>
      <c r="B4233"/>
      <c r="C4233"/>
      <c r="D4233"/>
    </row>
    <row r="4234" spans="1:4" x14ac:dyDescent="0.2">
      <c r="A4234"/>
      <c r="B4234"/>
      <c r="C4234"/>
      <c r="D4234"/>
    </row>
    <row r="4235" spans="1:4" x14ac:dyDescent="0.2">
      <c r="A4235"/>
      <c r="B4235"/>
      <c r="C4235"/>
      <c r="D4235"/>
    </row>
    <row r="4236" spans="1:4" x14ac:dyDescent="0.2">
      <c r="A4236"/>
      <c r="B4236"/>
      <c r="C4236"/>
      <c r="D4236"/>
    </row>
    <row r="4237" spans="1:4" x14ac:dyDescent="0.2">
      <c r="A4237"/>
      <c r="B4237"/>
      <c r="C4237"/>
      <c r="D4237"/>
    </row>
    <row r="4238" spans="1:4" x14ac:dyDescent="0.2">
      <c r="A4238"/>
      <c r="B4238"/>
      <c r="C4238"/>
      <c r="D4238"/>
    </row>
    <row r="4239" spans="1:4" x14ac:dyDescent="0.2">
      <c r="A4239"/>
      <c r="B4239"/>
      <c r="C4239"/>
      <c r="D4239"/>
    </row>
    <row r="4240" spans="1:4" x14ac:dyDescent="0.2">
      <c r="A4240"/>
      <c r="B4240"/>
      <c r="C4240"/>
      <c r="D4240"/>
    </row>
    <row r="4241" spans="1:4" x14ac:dyDescent="0.2">
      <c r="A4241"/>
      <c r="B4241"/>
      <c r="C4241"/>
      <c r="D4241"/>
    </row>
    <row r="4242" spans="1:4" x14ac:dyDescent="0.2">
      <c r="A4242"/>
      <c r="B4242"/>
      <c r="C4242"/>
      <c r="D4242"/>
    </row>
    <row r="4243" spans="1:4" x14ac:dyDescent="0.2">
      <c r="A4243"/>
      <c r="B4243"/>
      <c r="C4243"/>
      <c r="D4243"/>
    </row>
    <row r="4244" spans="1:4" x14ac:dyDescent="0.2">
      <c r="A4244"/>
      <c r="B4244"/>
      <c r="C4244"/>
      <c r="D4244"/>
    </row>
    <row r="4245" spans="1:4" x14ac:dyDescent="0.2">
      <c r="A4245"/>
      <c r="B4245"/>
      <c r="C4245"/>
      <c r="D4245"/>
    </row>
    <row r="4246" spans="1:4" x14ac:dyDescent="0.2">
      <c r="A4246"/>
      <c r="B4246"/>
      <c r="C4246"/>
      <c r="D4246"/>
    </row>
    <row r="4247" spans="1:4" x14ac:dyDescent="0.2">
      <c r="A4247"/>
      <c r="B4247"/>
      <c r="C4247"/>
      <c r="D4247"/>
    </row>
    <row r="4248" spans="1:4" x14ac:dyDescent="0.2">
      <c r="A4248"/>
      <c r="B4248"/>
      <c r="C4248"/>
      <c r="D4248"/>
    </row>
    <row r="4249" spans="1:4" x14ac:dyDescent="0.2">
      <c r="A4249"/>
      <c r="B4249"/>
      <c r="C4249"/>
      <c r="D4249"/>
    </row>
    <row r="4250" spans="1:4" x14ac:dyDescent="0.2">
      <c r="A4250"/>
      <c r="B4250"/>
      <c r="C4250"/>
      <c r="D4250"/>
    </row>
    <row r="4251" spans="1:4" x14ac:dyDescent="0.2">
      <c r="A4251"/>
      <c r="B4251"/>
      <c r="C4251"/>
      <c r="D4251"/>
    </row>
    <row r="4252" spans="1:4" x14ac:dyDescent="0.2">
      <c r="A4252"/>
      <c r="B4252"/>
      <c r="C4252"/>
      <c r="D4252"/>
    </row>
    <row r="4253" spans="1:4" x14ac:dyDescent="0.2">
      <c r="A4253"/>
      <c r="B4253"/>
      <c r="C4253"/>
      <c r="D4253"/>
    </row>
    <row r="4254" spans="1:4" x14ac:dyDescent="0.2">
      <c r="A4254"/>
      <c r="B4254"/>
      <c r="C4254"/>
      <c r="D4254"/>
    </row>
    <row r="4255" spans="1:4" x14ac:dyDescent="0.2">
      <c r="A4255"/>
      <c r="B4255"/>
      <c r="C4255"/>
      <c r="D4255"/>
    </row>
    <row r="4256" spans="1:4" x14ac:dyDescent="0.2">
      <c r="A4256"/>
      <c r="B4256"/>
      <c r="C4256"/>
      <c r="D4256"/>
    </row>
    <row r="4257" spans="1:4" x14ac:dyDescent="0.2">
      <c r="A4257"/>
      <c r="B4257"/>
      <c r="C4257"/>
      <c r="D4257"/>
    </row>
    <row r="4258" spans="1:4" x14ac:dyDescent="0.2">
      <c r="A4258"/>
      <c r="B4258"/>
      <c r="C4258"/>
      <c r="D4258"/>
    </row>
    <row r="4259" spans="1:4" x14ac:dyDescent="0.2">
      <c r="A4259"/>
      <c r="B4259"/>
      <c r="C4259"/>
      <c r="D4259"/>
    </row>
    <row r="4260" spans="1:4" x14ac:dyDescent="0.2">
      <c r="A4260"/>
      <c r="B4260"/>
      <c r="C4260"/>
      <c r="D4260"/>
    </row>
    <row r="4261" spans="1:4" x14ac:dyDescent="0.2">
      <c r="A4261"/>
      <c r="B4261"/>
      <c r="C4261"/>
      <c r="D4261"/>
    </row>
    <row r="4262" spans="1:4" x14ac:dyDescent="0.2">
      <c r="A4262"/>
      <c r="B4262"/>
      <c r="C4262"/>
      <c r="D4262"/>
    </row>
    <row r="4263" spans="1:4" x14ac:dyDescent="0.2">
      <c r="A4263"/>
      <c r="B4263"/>
      <c r="C4263"/>
      <c r="D4263"/>
    </row>
    <row r="4264" spans="1:4" x14ac:dyDescent="0.2">
      <c r="A4264"/>
      <c r="B4264"/>
      <c r="C4264"/>
      <c r="D4264"/>
    </row>
    <row r="4265" spans="1:4" x14ac:dyDescent="0.2">
      <c r="A4265"/>
      <c r="B4265"/>
      <c r="C4265"/>
      <c r="D4265"/>
    </row>
    <row r="4266" spans="1:4" x14ac:dyDescent="0.2">
      <c r="A4266"/>
      <c r="B4266"/>
      <c r="C4266"/>
      <c r="D4266"/>
    </row>
    <row r="4267" spans="1:4" x14ac:dyDescent="0.2">
      <c r="A4267"/>
      <c r="B4267"/>
      <c r="C4267"/>
      <c r="D4267"/>
    </row>
    <row r="4268" spans="1:4" x14ac:dyDescent="0.2">
      <c r="A4268"/>
      <c r="B4268"/>
      <c r="C4268"/>
      <c r="D4268"/>
    </row>
    <row r="4269" spans="1:4" x14ac:dyDescent="0.2">
      <c r="A4269"/>
      <c r="B4269"/>
      <c r="C4269"/>
      <c r="D4269"/>
    </row>
    <row r="4270" spans="1:4" x14ac:dyDescent="0.2">
      <c r="A4270"/>
      <c r="B4270"/>
      <c r="C4270"/>
      <c r="D4270"/>
    </row>
    <row r="4271" spans="1:4" x14ac:dyDescent="0.2">
      <c r="A4271"/>
      <c r="B4271"/>
      <c r="C4271"/>
      <c r="D4271"/>
    </row>
    <row r="4272" spans="1:4" x14ac:dyDescent="0.2">
      <c r="A4272"/>
      <c r="B4272"/>
      <c r="C4272"/>
      <c r="D4272"/>
    </row>
    <row r="4273" spans="1:4" x14ac:dyDescent="0.2">
      <c r="A4273"/>
      <c r="B4273"/>
      <c r="C4273"/>
      <c r="D4273"/>
    </row>
    <row r="4274" spans="1:4" x14ac:dyDescent="0.2">
      <c r="A4274"/>
      <c r="B4274"/>
      <c r="C4274"/>
      <c r="D4274"/>
    </row>
    <row r="4275" spans="1:4" x14ac:dyDescent="0.2">
      <c r="A4275"/>
      <c r="B4275"/>
      <c r="C4275"/>
      <c r="D4275"/>
    </row>
    <row r="4276" spans="1:4" x14ac:dyDescent="0.2">
      <c r="A4276"/>
      <c r="B4276"/>
      <c r="C4276"/>
      <c r="D4276"/>
    </row>
    <row r="4277" spans="1:4" x14ac:dyDescent="0.2">
      <c r="A4277"/>
      <c r="B4277"/>
      <c r="C4277"/>
      <c r="D4277"/>
    </row>
    <row r="4278" spans="1:4" x14ac:dyDescent="0.2">
      <c r="A4278"/>
      <c r="B4278"/>
      <c r="C4278"/>
      <c r="D4278"/>
    </row>
    <row r="4279" spans="1:4" x14ac:dyDescent="0.2">
      <c r="A4279"/>
      <c r="B4279"/>
      <c r="C4279"/>
      <c r="D4279"/>
    </row>
    <row r="4280" spans="1:4" x14ac:dyDescent="0.2">
      <c r="A4280"/>
      <c r="B4280"/>
      <c r="C4280"/>
      <c r="D4280"/>
    </row>
    <row r="4281" spans="1:4" x14ac:dyDescent="0.2">
      <c r="A4281"/>
      <c r="B4281"/>
      <c r="C4281"/>
      <c r="D4281"/>
    </row>
    <row r="4282" spans="1:4" x14ac:dyDescent="0.2">
      <c r="A4282"/>
      <c r="B4282"/>
      <c r="C4282"/>
      <c r="D4282"/>
    </row>
    <row r="4283" spans="1:4" x14ac:dyDescent="0.2">
      <c r="A4283"/>
      <c r="B4283"/>
      <c r="C4283"/>
      <c r="D4283"/>
    </row>
    <row r="4284" spans="1:4" x14ac:dyDescent="0.2">
      <c r="A4284"/>
      <c r="B4284"/>
      <c r="C4284"/>
      <c r="D4284"/>
    </row>
    <row r="4285" spans="1:4" x14ac:dyDescent="0.2">
      <c r="A4285"/>
      <c r="B4285"/>
      <c r="C4285"/>
      <c r="D4285"/>
    </row>
    <row r="4286" spans="1:4" x14ac:dyDescent="0.2">
      <c r="A4286"/>
      <c r="B4286"/>
      <c r="C4286"/>
      <c r="D4286"/>
    </row>
    <row r="4287" spans="1:4" x14ac:dyDescent="0.2">
      <c r="A4287"/>
      <c r="B4287"/>
      <c r="C4287"/>
      <c r="D4287"/>
    </row>
    <row r="4288" spans="1:4" x14ac:dyDescent="0.2">
      <c r="A4288"/>
      <c r="B4288"/>
      <c r="C4288"/>
      <c r="D4288"/>
    </row>
    <row r="4289" spans="1:4" x14ac:dyDescent="0.2">
      <c r="A4289"/>
      <c r="B4289"/>
      <c r="C4289"/>
      <c r="D4289"/>
    </row>
    <row r="4290" spans="1:4" x14ac:dyDescent="0.2">
      <c r="A4290"/>
      <c r="B4290"/>
      <c r="C4290"/>
      <c r="D4290"/>
    </row>
    <row r="4291" spans="1:4" x14ac:dyDescent="0.2">
      <c r="A4291"/>
      <c r="B4291"/>
      <c r="C4291"/>
      <c r="D4291"/>
    </row>
    <row r="4292" spans="1:4" x14ac:dyDescent="0.2">
      <c r="A4292"/>
      <c r="B4292"/>
      <c r="C4292"/>
      <c r="D4292"/>
    </row>
    <row r="4293" spans="1:4" x14ac:dyDescent="0.2">
      <c r="A4293"/>
      <c r="B4293"/>
      <c r="C4293"/>
      <c r="D4293"/>
    </row>
    <row r="4294" spans="1:4" x14ac:dyDescent="0.2">
      <c r="A4294"/>
      <c r="B4294"/>
      <c r="C4294"/>
      <c r="D4294"/>
    </row>
    <row r="4295" spans="1:4" x14ac:dyDescent="0.2">
      <c r="A4295"/>
      <c r="B4295"/>
      <c r="C4295"/>
      <c r="D4295"/>
    </row>
    <row r="4296" spans="1:4" x14ac:dyDescent="0.2">
      <c r="A4296"/>
      <c r="B4296"/>
      <c r="C4296"/>
      <c r="D4296"/>
    </row>
    <row r="4297" spans="1:4" x14ac:dyDescent="0.2">
      <c r="A4297"/>
      <c r="B4297"/>
      <c r="C4297"/>
      <c r="D4297"/>
    </row>
    <row r="4298" spans="1:4" x14ac:dyDescent="0.2">
      <c r="A4298"/>
      <c r="B4298"/>
      <c r="C4298"/>
      <c r="D4298"/>
    </row>
    <row r="4299" spans="1:4" x14ac:dyDescent="0.2">
      <c r="A4299"/>
      <c r="B4299"/>
      <c r="C4299"/>
      <c r="D4299"/>
    </row>
    <row r="4300" spans="1:4" x14ac:dyDescent="0.2">
      <c r="A4300"/>
      <c r="B4300"/>
      <c r="C4300"/>
      <c r="D4300"/>
    </row>
    <row r="4301" spans="1:4" x14ac:dyDescent="0.2">
      <c r="A4301"/>
      <c r="B4301"/>
      <c r="C4301"/>
      <c r="D4301"/>
    </row>
    <row r="4302" spans="1:4" x14ac:dyDescent="0.2">
      <c r="A4302"/>
      <c r="B4302"/>
      <c r="C4302"/>
      <c r="D4302"/>
    </row>
    <row r="4303" spans="1:4" x14ac:dyDescent="0.2">
      <c r="A4303"/>
      <c r="B4303"/>
      <c r="C4303"/>
      <c r="D4303"/>
    </row>
    <row r="4304" spans="1:4" x14ac:dyDescent="0.2">
      <c r="A4304"/>
      <c r="B4304"/>
      <c r="C4304"/>
      <c r="D4304"/>
    </row>
    <row r="4305" spans="1:4" x14ac:dyDescent="0.2">
      <c r="A4305"/>
      <c r="B4305"/>
      <c r="C4305"/>
      <c r="D4305"/>
    </row>
    <row r="4306" spans="1:4" x14ac:dyDescent="0.2">
      <c r="A4306"/>
      <c r="B4306"/>
      <c r="C4306"/>
      <c r="D4306"/>
    </row>
    <row r="4307" spans="1:4" x14ac:dyDescent="0.2">
      <c r="A4307"/>
      <c r="B4307"/>
      <c r="C4307"/>
      <c r="D4307"/>
    </row>
    <row r="4308" spans="1:4" x14ac:dyDescent="0.2">
      <c r="A4308"/>
      <c r="B4308"/>
      <c r="C4308"/>
      <c r="D4308"/>
    </row>
    <row r="4309" spans="1:4" x14ac:dyDescent="0.2">
      <c r="A4309"/>
      <c r="B4309"/>
      <c r="C4309"/>
      <c r="D4309"/>
    </row>
    <row r="4310" spans="1:4" x14ac:dyDescent="0.2">
      <c r="A4310"/>
      <c r="B4310"/>
      <c r="C4310"/>
      <c r="D4310"/>
    </row>
    <row r="4311" spans="1:4" x14ac:dyDescent="0.2">
      <c r="A4311"/>
      <c r="B4311"/>
      <c r="C4311"/>
      <c r="D4311"/>
    </row>
    <row r="4312" spans="1:4" x14ac:dyDescent="0.2">
      <c r="A4312"/>
      <c r="B4312"/>
      <c r="C4312"/>
      <c r="D4312"/>
    </row>
    <row r="4313" spans="1:4" x14ac:dyDescent="0.2">
      <c r="A4313"/>
      <c r="B4313"/>
      <c r="C4313"/>
      <c r="D4313"/>
    </row>
    <row r="4314" spans="1:4" x14ac:dyDescent="0.2">
      <c r="A4314"/>
      <c r="B4314"/>
      <c r="C4314"/>
      <c r="D4314"/>
    </row>
    <row r="4315" spans="1:4" x14ac:dyDescent="0.2">
      <c r="A4315"/>
      <c r="B4315"/>
      <c r="C4315"/>
      <c r="D4315"/>
    </row>
    <row r="4316" spans="1:4" x14ac:dyDescent="0.2">
      <c r="A4316"/>
      <c r="B4316"/>
      <c r="C4316"/>
      <c r="D4316"/>
    </row>
    <row r="4317" spans="1:4" x14ac:dyDescent="0.2">
      <c r="A4317"/>
      <c r="B4317"/>
      <c r="C4317"/>
      <c r="D4317"/>
    </row>
    <row r="4318" spans="1:4" x14ac:dyDescent="0.2">
      <c r="A4318"/>
      <c r="B4318"/>
      <c r="C4318"/>
      <c r="D4318"/>
    </row>
    <row r="4319" spans="1:4" x14ac:dyDescent="0.2">
      <c r="A4319"/>
      <c r="B4319"/>
      <c r="C4319"/>
      <c r="D4319"/>
    </row>
    <row r="4320" spans="1:4" x14ac:dyDescent="0.2">
      <c r="A4320"/>
      <c r="B4320"/>
      <c r="C4320"/>
      <c r="D4320"/>
    </row>
    <row r="4321" spans="1:4" x14ac:dyDescent="0.2">
      <c r="A4321"/>
      <c r="B4321"/>
      <c r="C4321"/>
      <c r="D4321"/>
    </row>
    <row r="4322" spans="1:4" x14ac:dyDescent="0.2">
      <c r="A4322"/>
      <c r="B4322"/>
      <c r="C4322"/>
      <c r="D4322"/>
    </row>
    <row r="4323" spans="1:4" x14ac:dyDescent="0.2">
      <c r="A4323"/>
      <c r="B4323"/>
      <c r="C4323"/>
      <c r="D4323"/>
    </row>
    <row r="4324" spans="1:4" x14ac:dyDescent="0.2">
      <c r="A4324"/>
      <c r="B4324"/>
      <c r="C4324"/>
      <c r="D4324"/>
    </row>
    <row r="4325" spans="1:4" x14ac:dyDescent="0.2">
      <c r="A4325"/>
      <c r="B4325"/>
      <c r="C4325"/>
      <c r="D4325"/>
    </row>
    <row r="4326" spans="1:4" x14ac:dyDescent="0.2">
      <c r="A4326"/>
      <c r="B4326"/>
      <c r="C4326"/>
      <c r="D4326"/>
    </row>
    <row r="4327" spans="1:4" x14ac:dyDescent="0.2">
      <c r="A4327"/>
      <c r="B4327"/>
      <c r="C4327"/>
      <c r="D4327"/>
    </row>
    <row r="4328" spans="1:4" x14ac:dyDescent="0.2">
      <c r="A4328"/>
      <c r="B4328"/>
      <c r="C4328"/>
      <c r="D4328"/>
    </row>
    <row r="4329" spans="1:4" x14ac:dyDescent="0.2">
      <c r="A4329"/>
      <c r="B4329"/>
      <c r="C4329"/>
      <c r="D4329"/>
    </row>
    <row r="4330" spans="1:4" x14ac:dyDescent="0.2">
      <c r="A4330"/>
      <c r="B4330"/>
      <c r="C4330"/>
      <c r="D4330"/>
    </row>
    <row r="4331" spans="1:4" x14ac:dyDescent="0.2">
      <c r="A4331"/>
      <c r="B4331"/>
      <c r="C4331"/>
      <c r="D4331"/>
    </row>
    <row r="4332" spans="1:4" x14ac:dyDescent="0.2">
      <c r="A4332"/>
      <c r="B4332"/>
      <c r="C4332"/>
      <c r="D4332"/>
    </row>
    <row r="4333" spans="1:4" x14ac:dyDescent="0.2">
      <c r="A4333"/>
      <c r="B4333"/>
      <c r="C4333"/>
      <c r="D4333"/>
    </row>
    <row r="4334" spans="1:4" x14ac:dyDescent="0.2">
      <c r="A4334"/>
      <c r="B4334"/>
      <c r="C4334"/>
      <c r="D4334"/>
    </row>
    <row r="4335" spans="1:4" x14ac:dyDescent="0.2">
      <c r="A4335"/>
      <c r="B4335"/>
      <c r="C4335"/>
      <c r="D4335"/>
    </row>
    <row r="4336" spans="1:4" x14ac:dyDescent="0.2">
      <c r="A4336"/>
      <c r="B4336"/>
      <c r="C4336"/>
      <c r="D4336"/>
    </row>
    <row r="4337" spans="1:4" x14ac:dyDescent="0.2">
      <c r="A4337"/>
      <c r="B4337"/>
      <c r="C4337"/>
      <c r="D4337"/>
    </row>
    <row r="4338" spans="1:4" x14ac:dyDescent="0.2">
      <c r="A4338"/>
      <c r="B4338"/>
      <c r="C4338"/>
      <c r="D4338"/>
    </row>
    <row r="4339" spans="1:4" x14ac:dyDescent="0.2">
      <c r="A4339"/>
      <c r="B4339"/>
      <c r="C4339"/>
      <c r="D4339"/>
    </row>
    <row r="4340" spans="1:4" x14ac:dyDescent="0.2">
      <c r="A4340"/>
      <c r="B4340"/>
      <c r="C4340"/>
      <c r="D4340"/>
    </row>
    <row r="4341" spans="1:4" x14ac:dyDescent="0.2">
      <c r="A4341"/>
      <c r="B4341"/>
      <c r="C4341"/>
      <c r="D4341"/>
    </row>
    <row r="4342" spans="1:4" x14ac:dyDescent="0.2">
      <c r="A4342"/>
      <c r="B4342"/>
      <c r="C4342"/>
      <c r="D4342"/>
    </row>
    <row r="4343" spans="1:4" x14ac:dyDescent="0.2">
      <c r="A4343"/>
      <c r="B4343"/>
      <c r="C4343"/>
      <c r="D4343"/>
    </row>
    <row r="4344" spans="1:4" x14ac:dyDescent="0.2">
      <c r="A4344"/>
      <c r="B4344"/>
      <c r="C4344"/>
      <c r="D4344"/>
    </row>
    <row r="4345" spans="1:4" x14ac:dyDescent="0.2">
      <c r="A4345"/>
      <c r="B4345"/>
      <c r="C4345"/>
      <c r="D4345"/>
    </row>
    <row r="4346" spans="1:4" x14ac:dyDescent="0.2">
      <c r="A4346"/>
      <c r="B4346"/>
      <c r="C4346"/>
      <c r="D4346"/>
    </row>
    <row r="4347" spans="1:4" x14ac:dyDescent="0.2">
      <c r="A4347"/>
      <c r="B4347"/>
      <c r="C4347"/>
      <c r="D4347"/>
    </row>
    <row r="4348" spans="1:4" x14ac:dyDescent="0.2">
      <c r="A4348"/>
      <c r="B4348"/>
      <c r="C4348"/>
      <c r="D4348"/>
    </row>
    <row r="4349" spans="1:4" x14ac:dyDescent="0.2">
      <c r="A4349"/>
      <c r="B4349"/>
      <c r="C4349"/>
      <c r="D4349"/>
    </row>
    <row r="4350" spans="1:4" x14ac:dyDescent="0.2">
      <c r="A4350"/>
      <c r="B4350"/>
      <c r="C4350"/>
      <c r="D4350"/>
    </row>
    <row r="4351" spans="1:4" x14ac:dyDescent="0.2">
      <c r="A4351"/>
      <c r="B4351"/>
      <c r="C4351"/>
      <c r="D4351"/>
    </row>
    <row r="4352" spans="1:4" x14ac:dyDescent="0.2">
      <c r="A4352"/>
      <c r="B4352"/>
      <c r="C4352"/>
      <c r="D4352"/>
    </row>
    <row r="4353" spans="1:4" x14ac:dyDescent="0.2">
      <c r="A4353"/>
      <c r="B4353"/>
      <c r="C4353"/>
      <c r="D4353"/>
    </row>
    <row r="4354" spans="1:4" x14ac:dyDescent="0.2">
      <c r="A4354"/>
      <c r="B4354"/>
      <c r="C4354"/>
      <c r="D4354"/>
    </row>
    <row r="4355" spans="1:4" x14ac:dyDescent="0.2">
      <c r="A4355"/>
      <c r="B4355"/>
      <c r="C4355"/>
      <c r="D4355"/>
    </row>
    <row r="4356" spans="1:4" x14ac:dyDescent="0.2">
      <c r="A4356"/>
      <c r="B4356"/>
      <c r="C4356"/>
      <c r="D4356"/>
    </row>
    <row r="4357" spans="1:4" x14ac:dyDescent="0.2">
      <c r="A4357"/>
      <c r="B4357"/>
      <c r="C4357"/>
      <c r="D4357"/>
    </row>
    <row r="4358" spans="1:4" x14ac:dyDescent="0.2">
      <c r="A4358"/>
      <c r="B4358"/>
      <c r="C4358"/>
      <c r="D4358"/>
    </row>
    <row r="4359" spans="1:4" x14ac:dyDescent="0.2">
      <c r="A4359"/>
      <c r="B4359"/>
      <c r="C4359"/>
      <c r="D4359"/>
    </row>
    <row r="4360" spans="1:4" x14ac:dyDescent="0.2">
      <c r="A4360"/>
      <c r="B4360"/>
      <c r="C4360"/>
      <c r="D4360"/>
    </row>
    <row r="4361" spans="1:4" x14ac:dyDescent="0.2">
      <c r="A4361"/>
      <c r="B4361"/>
      <c r="C4361"/>
      <c r="D4361"/>
    </row>
    <row r="4362" spans="1:4" x14ac:dyDescent="0.2">
      <c r="A4362"/>
      <c r="B4362"/>
      <c r="C4362"/>
      <c r="D4362"/>
    </row>
    <row r="4363" spans="1:4" x14ac:dyDescent="0.2">
      <c r="A4363"/>
      <c r="B4363"/>
      <c r="C4363"/>
      <c r="D4363"/>
    </row>
    <row r="4364" spans="1:4" x14ac:dyDescent="0.2">
      <c r="A4364"/>
      <c r="B4364"/>
      <c r="C4364"/>
      <c r="D4364"/>
    </row>
    <row r="4365" spans="1:4" x14ac:dyDescent="0.2">
      <c r="A4365"/>
      <c r="B4365"/>
      <c r="C4365"/>
      <c r="D4365"/>
    </row>
    <row r="4366" spans="1:4" x14ac:dyDescent="0.2">
      <c r="A4366"/>
      <c r="B4366"/>
      <c r="C4366"/>
      <c r="D4366"/>
    </row>
    <row r="4367" spans="1:4" x14ac:dyDescent="0.2">
      <c r="A4367"/>
      <c r="B4367"/>
      <c r="C4367"/>
      <c r="D4367"/>
    </row>
    <row r="4368" spans="1:4" x14ac:dyDescent="0.2">
      <c r="A4368"/>
      <c r="B4368"/>
      <c r="C4368"/>
      <c r="D4368"/>
    </row>
    <row r="4369" spans="1:4" x14ac:dyDescent="0.2">
      <c r="A4369"/>
      <c r="B4369"/>
      <c r="C4369"/>
      <c r="D4369"/>
    </row>
    <row r="4370" spans="1:4" x14ac:dyDescent="0.2">
      <c r="A4370"/>
      <c r="B4370"/>
      <c r="C4370"/>
      <c r="D4370"/>
    </row>
    <row r="4371" spans="1:4" x14ac:dyDescent="0.2">
      <c r="A4371"/>
      <c r="B4371"/>
      <c r="C4371"/>
      <c r="D4371"/>
    </row>
    <row r="4372" spans="1:4" x14ac:dyDescent="0.2">
      <c r="A4372"/>
      <c r="B4372"/>
      <c r="C4372"/>
      <c r="D4372"/>
    </row>
    <row r="4373" spans="1:4" x14ac:dyDescent="0.2">
      <c r="A4373"/>
      <c r="B4373"/>
      <c r="C4373"/>
      <c r="D4373"/>
    </row>
    <row r="4374" spans="1:4" x14ac:dyDescent="0.2">
      <c r="A4374"/>
      <c r="B4374"/>
      <c r="C4374"/>
      <c r="D4374"/>
    </row>
    <row r="4375" spans="1:4" x14ac:dyDescent="0.2">
      <c r="A4375"/>
      <c r="B4375"/>
      <c r="C4375"/>
      <c r="D4375"/>
    </row>
    <row r="4376" spans="1:4" x14ac:dyDescent="0.2">
      <c r="A4376"/>
      <c r="B4376"/>
      <c r="C4376"/>
      <c r="D4376"/>
    </row>
    <row r="4377" spans="1:4" x14ac:dyDescent="0.2">
      <c r="A4377"/>
      <c r="B4377"/>
      <c r="C4377"/>
      <c r="D4377"/>
    </row>
    <row r="4378" spans="1:4" x14ac:dyDescent="0.2">
      <c r="A4378"/>
      <c r="B4378"/>
      <c r="C4378"/>
      <c r="D4378"/>
    </row>
    <row r="4379" spans="1:4" x14ac:dyDescent="0.2">
      <c r="A4379"/>
      <c r="B4379"/>
      <c r="C4379"/>
      <c r="D4379"/>
    </row>
    <row r="4380" spans="1:4" x14ac:dyDescent="0.2">
      <c r="A4380"/>
      <c r="B4380"/>
      <c r="C4380"/>
      <c r="D4380"/>
    </row>
    <row r="4381" spans="1:4" x14ac:dyDescent="0.2">
      <c r="A4381"/>
      <c r="B4381"/>
      <c r="C4381"/>
      <c r="D4381"/>
    </row>
    <row r="4382" spans="1:4" x14ac:dyDescent="0.2">
      <c r="A4382"/>
      <c r="B4382"/>
      <c r="C4382"/>
      <c r="D4382"/>
    </row>
    <row r="4383" spans="1:4" x14ac:dyDescent="0.2">
      <c r="A4383"/>
      <c r="B4383"/>
      <c r="C4383"/>
      <c r="D4383"/>
    </row>
    <row r="4384" spans="1:4" x14ac:dyDescent="0.2">
      <c r="A4384"/>
      <c r="B4384"/>
      <c r="C4384"/>
      <c r="D4384"/>
    </row>
    <row r="4385" spans="1:4" x14ac:dyDescent="0.2">
      <c r="A4385"/>
      <c r="B4385"/>
      <c r="C4385"/>
      <c r="D4385"/>
    </row>
    <row r="4386" spans="1:4" x14ac:dyDescent="0.2">
      <c r="A4386"/>
      <c r="B4386"/>
      <c r="C4386"/>
      <c r="D4386"/>
    </row>
    <row r="4387" spans="1:4" x14ac:dyDescent="0.2">
      <c r="A4387"/>
      <c r="B4387"/>
      <c r="C4387"/>
      <c r="D4387"/>
    </row>
    <row r="4388" spans="1:4" x14ac:dyDescent="0.2">
      <c r="A4388"/>
      <c r="B4388"/>
      <c r="C4388"/>
      <c r="D4388"/>
    </row>
    <row r="4389" spans="1:4" x14ac:dyDescent="0.2">
      <c r="A4389"/>
      <c r="B4389"/>
      <c r="C4389"/>
      <c r="D4389"/>
    </row>
    <row r="4390" spans="1:4" x14ac:dyDescent="0.2">
      <c r="A4390"/>
      <c r="B4390"/>
      <c r="C4390"/>
      <c r="D4390"/>
    </row>
    <row r="4391" spans="1:4" x14ac:dyDescent="0.2">
      <c r="A4391"/>
      <c r="B4391"/>
      <c r="C4391"/>
      <c r="D4391"/>
    </row>
    <row r="4392" spans="1:4" x14ac:dyDescent="0.2">
      <c r="A4392"/>
      <c r="B4392"/>
      <c r="C4392"/>
      <c r="D4392"/>
    </row>
    <row r="4393" spans="1:4" x14ac:dyDescent="0.2">
      <c r="A4393"/>
      <c r="B4393"/>
      <c r="C4393"/>
      <c r="D4393"/>
    </row>
    <row r="4394" spans="1:4" x14ac:dyDescent="0.2">
      <c r="A4394"/>
      <c r="B4394"/>
      <c r="C4394"/>
      <c r="D4394"/>
    </row>
    <row r="4395" spans="1:4" x14ac:dyDescent="0.2">
      <c r="A4395"/>
      <c r="B4395"/>
      <c r="C4395"/>
      <c r="D4395"/>
    </row>
    <row r="4396" spans="1:4" x14ac:dyDescent="0.2">
      <c r="A4396"/>
      <c r="B4396"/>
      <c r="C4396"/>
      <c r="D4396"/>
    </row>
    <row r="4397" spans="1:4" x14ac:dyDescent="0.2">
      <c r="A4397"/>
      <c r="B4397"/>
      <c r="C4397"/>
      <c r="D4397"/>
    </row>
    <row r="4398" spans="1:4" x14ac:dyDescent="0.2">
      <c r="A4398"/>
      <c r="B4398"/>
      <c r="C4398"/>
      <c r="D4398"/>
    </row>
    <row r="4399" spans="1:4" x14ac:dyDescent="0.2">
      <c r="A4399"/>
      <c r="B4399"/>
      <c r="C4399"/>
      <c r="D4399"/>
    </row>
    <row r="4400" spans="1:4" x14ac:dyDescent="0.2">
      <c r="A4400"/>
      <c r="B4400"/>
      <c r="C4400"/>
      <c r="D4400"/>
    </row>
    <row r="4401" spans="1:4" x14ac:dyDescent="0.2">
      <c r="A4401"/>
      <c r="B4401"/>
      <c r="C4401"/>
      <c r="D4401"/>
    </row>
    <row r="4402" spans="1:4" x14ac:dyDescent="0.2">
      <c r="A4402"/>
      <c r="B4402"/>
      <c r="C4402"/>
      <c r="D4402"/>
    </row>
    <row r="4403" spans="1:4" x14ac:dyDescent="0.2">
      <c r="A4403"/>
      <c r="B4403"/>
      <c r="C4403"/>
      <c r="D4403"/>
    </row>
    <row r="4404" spans="1:4" x14ac:dyDescent="0.2">
      <c r="A4404"/>
      <c r="B4404"/>
      <c r="C4404"/>
      <c r="D4404"/>
    </row>
    <row r="4405" spans="1:4" x14ac:dyDescent="0.2">
      <c r="A4405"/>
      <c r="B4405"/>
      <c r="C4405"/>
      <c r="D4405"/>
    </row>
    <row r="4406" spans="1:4" x14ac:dyDescent="0.2">
      <c r="A4406"/>
      <c r="B4406"/>
      <c r="C4406"/>
      <c r="D4406"/>
    </row>
    <row r="4407" spans="1:4" x14ac:dyDescent="0.2">
      <c r="A4407"/>
      <c r="B4407"/>
      <c r="C4407"/>
      <c r="D4407"/>
    </row>
    <row r="4408" spans="1:4" x14ac:dyDescent="0.2">
      <c r="A4408"/>
      <c r="B4408"/>
      <c r="C4408"/>
      <c r="D4408"/>
    </row>
    <row r="4409" spans="1:4" x14ac:dyDescent="0.2">
      <c r="A4409"/>
      <c r="B4409"/>
      <c r="C4409"/>
      <c r="D4409"/>
    </row>
    <row r="4410" spans="1:4" x14ac:dyDescent="0.2">
      <c r="A4410"/>
      <c r="B4410"/>
      <c r="C4410"/>
      <c r="D4410"/>
    </row>
    <row r="4411" spans="1:4" x14ac:dyDescent="0.2">
      <c r="A4411"/>
      <c r="B4411"/>
      <c r="C4411"/>
      <c r="D4411"/>
    </row>
    <row r="4412" spans="1:4" x14ac:dyDescent="0.2">
      <c r="A4412"/>
      <c r="B4412"/>
      <c r="C4412"/>
      <c r="D4412"/>
    </row>
    <row r="4413" spans="1:4" x14ac:dyDescent="0.2">
      <c r="A4413"/>
      <c r="B4413"/>
      <c r="C4413"/>
      <c r="D4413"/>
    </row>
    <row r="4414" spans="1:4" x14ac:dyDescent="0.2">
      <c r="A4414"/>
      <c r="B4414"/>
      <c r="C4414"/>
      <c r="D4414"/>
    </row>
    <row r="4415" spans="1:4" x14ac:dyDescent="0.2">
      <c r="A4415"/>
      <c r="B4415"/>
      <c r="C4415"/>
      <c r="D4415"/>
    </row>
    <row r="4416" spans="1:4" x14ac:dyDescent="0.2">
      <c r="A4416"/>
      <c r="B4416"/>
      <c r="C4416"/>
      <c r="D4416"/>
    </row>
    <row r="4417" spans="1:4" x14ac:dyDescent="0.2">
      <c r="A4417"/>
      <c r="B4417"/>
      <c r="C4417"/>
      <c r="D4417"/>
    </row>
    <row r="4418" spans="1:4" x14ac:dyDescent="0.2">
      <c r="A4418"/>
      <c r="B4418"/>
      <c r="C4418"/>
      <c r="D4418"/>
    </row>
    <row r="4419" spans="1:4" x14ac:dyDescent="0.2">
      <c r="A4419"/>
      <c r="B4419"/>
      <c r="C4419"/>
      <c r="D4419"/>
    </row>
    <row r="4420" spans="1:4" x14ac:dyDescent="0.2">
      <c r="A4420"/>
      <c r="B4420"/>
      <c r="C4420"/>
      <c r="D4420"/>
    </row>
    <row r="4421" spans="1:4" x14ac:dyDescent="0.2">
      <c r="A4421"/>
      <c r="B4421"/>
      <c r="C4421"/>
      <c r="D4421"/>
    </row>
    <row r="4422" spans="1:4" x14ac:dyDescent="0.2">
      <c r="A4422"/>
      <c r="B4422"/>
      <c r="C4422"/>
      <c r="D4422"/>
    </row>
    <row r="4423" spans="1:4" x14ac:dyDescent="0.2">
      <c r="A4423"/>
      <c r="B4423"/>
      <c r="C4423"/>
      <c r="D4423"/>
    </row>
    <row r="4424" spans="1:4" x14ac:dyDescent="0.2">
      <c r="A4424"/>
      <c r="B4424"/>
      <c r="C4424"/>
      <c r="D4424"/>
    </row>
    <row r="4425" spans="1:4" x14ac:dyDescent="0.2">
      <c r="A4425"/>
      <c r="B4425"/>
      <c r="C4425"/>
      <c r="D4425"/>
    </row>
    <row r="4426" spans="1:4" x14ac:dyDescent="0.2">
      <c r="A4426"/>
      <c r="B4426"/>
      <c r="C4426"/>
      <c r="D4426"/>
    </row>
    <row r="4427" spans="1:4" x14ac:dyDescent="0.2">
      <c r="A4427"/>
      <c r="B4427"/>
      <c r="C4427"/>
      <c r="D4427"/>
    </row>
    <row r="4428" spans="1:4" x14ac:dyDescent="0.2">
      <c r="A4428"/>
      <c r="B4428"/>
      <c r="C4428"/>
      <c r="D4428"/>
    </row>
    <row r="4429" spans="1:4" x14ac:dyDescent="0.2">
      <c r="A4429"/>
      <c r="B4429"/>
      <c r="C4429"/>
      <c r="D4429"/>
    </row>
    <row r="4430" spans="1:4" x14ac:dyDescent="0.2">
      <c r="A4430"/>
      <c r="B4430"/>
      <c r="C4430"/>
      <c r="D4430"/>
    </row>
    <row r="4431" spans="1:4" x14ac:dyDescent="0.2">
      <c r="A4431"/>
      <c r="B4431"/>
      <c r="C4431"/>
      <c r="D4431"/>
    </row>
    <row r="4432" spans="1:4" x14ac:dyDescent="0.2">
      <c r="A4432"/>
      <c r="B4432"/>
      <c r="C4432"/>
      <c r="D4432"/>
    </row>
    <row r="4433" spans="1:4" x14ac:dyDescent="0.2">
      <c r="A4433"/>
      <c r="B4433"/>
      <c r="C4433"/>
      <c r="D4433"/>
    </row>
    <row r="4434" spans="1:4" x14ac:dyDescent="0.2">
      <c r="A4434"/>
      <c r="B4434"/>
      <c r="C4434"/>
      <c r="D4434"/>
    </row>
    <row r="4435" spans="1:4" x14ac:dyDescent="0.2">
      <c r="A4435"/>
      <c r="B4435"/>
      <c r="C4435"/>
      <c r="D4435"/>
    </row>
    <row r="4436" spans="1:4" x14ac:dyDescent="0.2">
      <c r="A4436"/>
      <c r="B4436"/>
      <c r="C4436"/>
      <c r="D4436"/>
    </row>
    <row r="4437" spans="1:4" x14ac:dyDescent="0.2">
      <c r="A4437"/>
      <c r="B4437"/>
      <c r="C4437"/>
      <c r="D4437"/>
    </row>
    <row r="4438" spans="1:4" x14ac:dyDescent="0.2">
      <c r="A4438"/>
      <c r="B4438"/>
      <c r="C4438"/>
      <c r="D4438"/>
    </row>
    <row r="4439" spans="1:4" x14ac:dyDescent="0.2">
      <c r="A4439"/>
      <c r="B4439"/>
      <c r="C4439"/>
      <c r="D4439"/>
    </row>
    <row r="4440" spans="1:4" x14ac:dyDescent="0.2">
      <c r="A4440"/>
      <c r="B4440"/>
      <c r="C4440"/>
      <c r="D4440"/>
    </row>
    <row r="4441" spans="1:4" x14ac:dyDescent="0.2">
      <c r="A4441"/>
      <c r="B4441"/>
      <c r="C4441"/>
      <c r="D4441"/>
    </row>
    <row r="4442" spans="1:4" x14ac:dyDescent="0.2">
      <c r="A4442"/>
      <c r="B4442"/>
      <c r="C4442"/>
      <c r="D4442"/>
    </row>
    <row r="4443" spans="1:4" x14ac:dyDescent="0.2">
      <c r="A4443"/>
      <c r="B4443"/>
      <c r="C4443"/>
      <c r="D4443"/>
    </row>
    <row r="4444" spans="1:4" x14ac:dyDescent="0.2">
      <c r="A4444"/>
      <c r="B4444"/>
      <c r="C4444"/>
      <c r="D4444"/>
    </row>
    <row r="4445" spans="1:4" x14ac:dyDescent="0.2">
      <c r="A4445"/>
      <c r="B4445"/>
      <c r="C4445"/>
      <c r="D4445"/>
    </row>
    <row r="4446" spans="1:4" x14ac:dyDescent="0.2">
      <c r="A4446"/>
      <c r="B4446"/>
      <c r="C4446"/>
      <c r="D4446"/>
    </row>
    <row r="4447" spans="1:4" x14ac:dyDescent="0.2">
      <c r="A4447"/>
      <c r="B4447"/>
      <c r="C4447"/>
      <c r="D4447"/>
    </row>
    <row r="4448" spans="1:4" x14ac:dyDescent="0.2">
      <c r="A4448"/>
      <c r="B4448"/>
      <c r="C4448"/>
      <c r="D4448"/>
    </row>
    <row r="4449" spans="1:4" x14ac:dyDescent="0.2">
      <c r="A4449"/>
      <c r="B4449"/>
      <c r="C4449"/>
      <c r="D4449"/>
    </row>
    <row r="4450" spans="1:4" x14ac:dyDescent="0.2">
      <c r="A4450"/>
      <c r="B4450"/>
      <c r="C4450"/>
      <c r="D4450"/>
    </row>
    <row r="4451" spans="1:4" x14ac:dyDescent="0.2">
      <c r="A4451"/>
      <c r="B4451"/>
      <c r="C4451"/>
      <c r="D4451"/>
    </row>
    <row r="4452" spans="1:4" x14ac:dyDescent="0.2">
      <c r="A4452"/>
      <c r="B4452"/>
      <c r="C4452"/>
      <c r="D4452"/>
    </row>
    <row r="4453" spans="1:4" x14ac:dyDescent="0.2">
      <c r="A4453"/>
      <c r="B4453"/>
      <c r="C4453"/>
      <c r="D4453"/>
    </row>
    <row r="4454" spans="1:4" x14ac:dyDescent="0.2">
      <c r="A4454"/>
      <c r="B4454"/>
      <c r="C4454"/>
      <c r="D4454"/>
    </row>
    <row r="4455" spans="1:4" x14ac:dyDescent="0.2">
      <c r="A4455"/>
      <c r="B4455"/>
      <c r="C4455"/>
      <c r="D4455"/>
    </row>
    <row r="4456" spans="1:4" x14ac:dyDescent="0.2">
      <c r="A4456"/>
      <c r="B4456"/>
      <c r="C4456"/>
      <c r="D4456"/>
    </row>
    <row r="4457" spans="1:4" x14ac:dyDescent="0.2">
      <c r="A4457"/>
      <c r="B4457"/>
      <c r="C4457"/>
      <c r="D4457"/>
    </row>
    <row r="4458" spans="1:4" x14ac:dyDescent="0.2">
      <c r="A4458"/>
      <c r="B4458"/>
      <c r="C4458"/>
      <c r="D4458"/>
    </row>
    <row r="4459" spans="1:4" x14ac:dyDescent="0.2">
      <c r="A4459"/>
      <c r="B4459"/>
      <c r="C4459"/>
      <c r="D4459"/>
    </row>
    <row r="4460" spans="1:4" x14ac:dyDescent="0.2">
      <c r="A4460"/>
      <c r="B4460"/>
      <c r="C4460"/>
      <c r="D4460"/>
    </row>
    <row r="4461" spans="1:4" x14ac:dyDescent="0.2">
      <c r="A4461"/>
      <c r="B4461"/>
      <c r="C4461"/>
      <c r="D4461"/>
    </row>
    <row r="4462" spans="1:4" x14ac:dyDescent="0.2">
      <c r="A4462"/>
      <c r="B4462"/>
      <c r="C4462"/>
      <c r="D4462"/>
    </row>
    <row r="4463" spans="1:4" x14ac:dyDescent="0.2">
      <c r="A4463"/>
      <c r="B4463"/>
      <c r="C4463"/>
      <c r="D4463"/>
    </row>
    <row r="4464" spans="1:4" x14ac:dyDescent="0.2">
      <c r="A4464"/>
      <c r="B4464"/>
      <c r="C4464"/>
      <c r="D4464"/>
    </row>
    <row r="4465" spans="1:4" x14ac:dyDescent="0.2">
      <c r="A4465"/>
      <c r="B4465"/>
      <c r="C4465"/>
      <c r="D4465"/>
    </row>
    <row r="4466" spans="1:4" x14ac:dyDescent="0.2">
      <c r="A4466"/>
      <c r="B4466"/>
      <c r="C4466"/>
      <c r="D4466"/>
    </row>
    <row r="4467" spans="1:4" x14ac:dyDescent="0.2">
      <c r="A4467"/>
      <c r="B4467"/>
      <c r="C4467"/>
      <c r="D4467"/>
    </row>
    <row r="4468" spans="1:4" x14ac:dyDescent="0.2">
      <c r="A4468"/>
      <c r="B4468"/>
      <c r="C4468"/>
      <c r="D4468"/>
    </row>
    <row r="4469" spans="1:4" x14ac:dyDescent="0.2">
      <c r="A4469"/>
      <c r="B4469"/>
      <c r="C4469"/>
      <c r="D4469"/>
    </row>
    <row r="4470" spans="1:4" x14ac:dyDescent="0.2">
      <c r="A4470"/>
      <c r="B4470"/>
      <c r="C4470"/>
      <c r="D4470"/>
    </row>
    <row r="4471" spans="1:4" x14ac:dyDescent="0.2">
      <c r="A4471"/>
      <c r="B4471"/>
      <c r="C4471"/>
      <c r="D4471"/>
    </row>
    <row r="4472" spans="1:4" x14ac:dyDescent="0.2">
      <c r="A4472"/>
      <c r="B4472"/>
      <c r="C4472"/>
      <c r="D4472"/>
    </row>
    <row r="4473" spans="1:4" x14ac:dyDescent="0.2">
      <c r="A4473"/>
      <c r="B4473"/>
      <c r="C4473"/>
      <c r="D4473"/>
    </row>
    <row r="4474" spans="1:4" x14ac:dyDescent="0.2">
      <c r="A4474"/>
      <c r="B4474"/>
      <c r="C4474"/>
      <c r="D4474"/>
    </row>
    <row r="4475" spans="1:4" x14ac:dyDescent="0.2">
      <c r="A4475"/>
      <c r="B4475"/>
      <c r="C4475"/>
      <c r="D4475"/>
    </row>
    <row r="4476" spans="1:4" x14ac:dyDescent="0.2">
      <c r="A4476"/>
      <c r="B4476"/>
      <c r="C4476"/>
      <c r="D4476"/>
    </row>
    <row r="4477" spans="1:4" x14ac:dyDescent="0.2">
      <c r="A4477"/>
      <c r="B4477"/>
      <c r="C4477"/>
      <c r="D4477"/>
    </row>
    <row r="4478" spans="1:4" x14ac:dyDescent="0.2">
      <c r="A4478"/>
      <c r="B4478"/>
      <c r="C4478"/>
      <c r="D4478"/>
    </row>
    <row r="4479" spans="1:4" x14ac:dyDescent="0.2">
      <c r="A4479"/>
      <c r="B4479"/>
      <c r="C4479"/>
      <c r="D4479"/>
    </row>
    <row r="4480" spans="1:4" x14ac:dyDescent="0.2">
      <c r="A4480"/>
      <c r="B4480"/>
      <c r="C4480"/>
      <c r="D4480"/>
    </row>
    <row r="4481" spans="1:4" x14ac:dyDescent="0.2">
      <c r="A4481"/>
      <c r="B4481"/>
      <c r="C4481"/>
      <c r="D4481"/>
    </row>
    <row r="4482" spans="1:4" x14ac:dyDescent="0.2">
      <c r="A4482"/>
      <c r="B4482"/>
      <c r="C4482"/>
      <c r="D4482"/>
    </row>
    <row r="4483" spans="1:4" x14ac:dyDescent="0.2">
      <c r="A4483"/>
      <c r="B4483"/>
      <c r="C4483"/>
      <c r="D4483"/>
    </row>
    <row r="4484" spans="1:4" x14ac:dyDescent="0.2">
      <c r="A4484"/>
      <c r="B4484"/>
      <c r="C4484"/>
      <c r="D4484"/>
    </row>
    <row r="4485" spans="1:4" x14ac:dyDescent="0.2">
      <c r="A4485"/>
      <c r="B4485"/>
      <c r="C4485"/>
      <c r="D4485"/>
    </row>
    <row r="4486" spans="1:4" x14ac:dyDescent="0.2">
      <c r="A4486"/>
      <c r="B4486"/>
      <c r="C4486"/>
      <c r="D4486"/>
    </row>
    <row r="4487" spans="1:4" x14ac:dyDescent="0.2">
      <c r="A4487"/>
      <c r="B4487"/>
      <c r="C4487"/>
      <c r="D4487"/>
    </row>
    <row r="4488" spans="1:4" x14ac:dyDescent="0.2">
      <c r="A4488"/>
      <c r="B4488"/>
      <c r="C4488"/>
      <c r="D4488"/>
    </row>
    <row r="4489" spans="1:4" x14ac:dyDescent="0.2">
      <c r="A4489"/>
      <c r="B4489"/>
      <c r="C4489"/>
      <c r="D4489"/>
    </row>
    <row r="4490" spans="1:4" x14ac:dyDescent="0.2">
      <c r="A4490"/>
      <c r="B4490"/>
      <c r="C4490"/>
      <c r="D4490"/>
    </row>
    <row r="4491" spans="1:4" x14ac:dyDescent="0.2">
      <c r="A4491"/>
      <c r="B4491"/>
      <c r="C4491"/>
      <c r="D4491"/>
    </row>
    <row r="4492" spans="1:4" x14ac:dyDescent="0.2">
      <c r="A4492"/>
      <c r="B4492"/>
      <c r="C4492"/>
      <c r="D4492"/>
    </row>
    <row r="4493" spans="1:4" x14ac:dyDescent="0.2">
      <c r="A4493"/>
      <c r="B4493"/>
      <c r="C4493"/>
      <c r="D4493"/>
    </row>
    <row r="4494" spans="1:4" x14ac:dyDescent="0.2">
      <c r="A4494"/>
      <c r="B4494"/>
      <c r="C4494"/>
      <c r="D4494"/>
    </row>
    <row r="4495" spans="1:4" x14ac:dyDescent="0.2">
      <c r="A4495"/>
      <c r="B4495"/>
      <c r="C4495"/>
      <c r="D4495"/>
    </row>
    <row r="4496" spans="1:4" x14ac:dyDescent="0.2">
      <c r="A4496"/>
      <c r="B4496"/>
      <c r="C4496"/>
      <c r="D4496"/>
    </row>
    <row r="4497" spans="1:4" x14ac:dyDescent="0.2">
      <c r="A4497"/>
      <c r="B4497"/>
      <c r="C4497"/>
      <c r="D4497"/>
    </row>
    <row r="4498" spans="1:4" x14ac:dyDescent="0.2">
      <c r="A4498"/>
      <c r="B4498"/>
      <c r="C4498"/>
      <c r="D4498"/>
    </row>
    <row r="4499" spans="1:4" x14ac:dyDescent="0.2">
      <c r="A4499"/>
      <c r="B4499"/>
      <c r="C4499"/>
      <c r="D4499"/>
    </row>
    <row r="4500" spans="1:4" x14ac:dyDescent="0.2">
      <c r="A4500"/>
      <c r="B4500"/>
      <c r="C4500"/>
      <c r="D4500"/>
    </row>
    <row r="4501" spans="1:4" x14ac:dyDescent="0.2">
      <c r="A4501"/>
      <c r="B4501"/>
      <c r="C4501"/>
      <c r="D4501"/>
    </row>
    <row r="4502" spans="1:4" x14ac:dyDescent="0.2">
      <c r="A4502"/>
      <c r="B4502"/>
      <c r="C4502"/>
      <c r="D4502"/>
    </row>
    <row r="4503" spans="1:4" x14ac:dyDescent="0.2">
      <c r="A4503"/>
      <c r="B4503"/>
      <c r="C4503"/>
      <c r="D4503"/>
    </row>
    <row r="4504" spans="1:4" x14ac:dyDescent="0.2">
      <c r="A4504"/>
      <c r="B4504"/>
      <c r="C4504"/>
      <c r="D4504"/>
    </row>
    <row r="4505" spans="1:4" x14ac:dyDescent="0.2">
      <c r="A4505"/>
      <c r="B4505"/>
      <c r="C4505"/>
      <c r="D4505"/>
    </row>
    <row r="4506" spans="1:4" x14ac:dyDescent="0.2">
      <c r="A4506"/>
      <c r="B4506"/>
      <c r="C4506"/>
      <c r="D4506"/>
    </row>
    <row r="4507" spans="1:4" x14ac:dyDescent="0.2">
      <c r="A4507"/>
      <c r="B4507"/>
      <c r="C4507"/>
      <c r="D4507"/>
    </row>
    <row r="4508" spans="1:4" x14ac:dyDescent="0.2">
      <c r="A4508"/>
      <c r="B4508"/>
      <c r="C4508"/>
      <c r="D4508"/>
    </row>
    <row r="4509" spans="1:4" x14ac:dyDescent="0.2">
      <c r="A4509"/>
      <c r="B4509"/>
      <c r="C4509"/>
      <c r="D4509"/>
    </row>
    <row r="4510" spans="1:4" x14ac:dyDescent="0.2">
      <c r="A4510"/>
      <c r="B4510"/>
      <c r="C4510"/>
      <c r="D4510"/>
    </row>
    <row r="4511" spans="1:4" x14ac:dyDescent="0.2">
      <c r="A4511"/>
      <c r="B4511"/>
      <c r="C4511"/>
      <c r="D4511"/>
    </row>
    <row r="4512" spans="1:4" x14ac:dyDescent="0.2">
      <c r="A4512"/>
      <c r="B4512"/>
      <c r="C4512"/>
      <c r="D4512"/>
    </row>
    <row r="4513" spans="1:4" x14ac:dyDescent="0.2">
      <c r="A4513"/>
      <c r="B4513"/>
      <c r="C4513"/>
      <c r="D4513"/>
    </row>
    <row r="4514" spans="1:4" x14ac:dyDescent="0.2">
      <c r="A4514"/>
      <c r="B4514"/>
      <c r="C4514"/>
      <c r="D4514"/>
    </row>
    <row r="4515" spans="1:4" x14ac:dyDescent="0.2">
      <c r="A4515"/>
      <c r="B4515"/>
      <c r="C4515"/>
      <c r="D4515"/>
    </row>
    <row r="4516" spans="1:4" x14ac:dyDescent="0.2">
      <c r="A4516"/>
      <c r="B4516"/>
      <c r="C4516"/>
      <c r="D4516"/>
    </row>
    <row r="4517" spans="1:4" x14ac:dyDescent="0.2">
      <c r="A4517"/>
      <c r="B4517"/>
      <c r="C4517"/>
      <c r="D4517"/>
    </row>
    <row r="4518" spans="1:4" x14ac:dyDescent="0.2">
      <c r="A4518"/>
      <c r="B4518"/>
      <c r="C4518"/>
      <c r="D4518"/>
    </row>
    <row r="4519" spans="1:4" x14ac:dyDescent="0.2">
      <c r="A4519"/>
      <c r="B4519"/>
      <c r="C4519"/>
      <c r="D4519"/>
    </row>
    <row r="4520" spans="1:4" x14ac:dyDescent="0.2">
      <c r="A4520"/>
      <c r="B4520"/>
      <c r="C4520"/>
      <c r="D4520"/>
    </row>
    <row r="4521" spans="1:4" x14ac:dyDescent="0.2">
      <c r="A4521"/>
      <c r="B4521"/>
      <c r="C4521"/>
      <c r="D4521"/>
    </row>
    <row r="4522" spans="1:4" x14ac:dyDescent="0.2">
      <c r="A4522"/>
      <c r="B4522"/>
      <c r="C4522"/>
      <c r="D4522"/>
    </row>
    <row r="4523" spans="1:4" x14ac:dyDescent="0.2">
      <c r="A4523"/>
      <c r="B4523"/>
      <c r="C4523"/>
      <c r="D4523"/>
    </row>
    <row r="4524" spans="1:4" x14ac:dyDescent="0.2">
      <c r="A4524"/>
      <c r="B4524"/>
      <c r="C4524"/>
      <c r="D4524"/>
    </row>
    <row r="4525" spans="1:4" x14ac:dyDescent="0.2">
      <c r="A4525"/>
      <c r="B4525"/>
      <c r="C4525"/>
      <c r="D4525"/>
    </row>
    <row r="4526" spans="1:4" x14ac:dyDescent="0.2">
      <c r="A4526"/>
      <c r="B4526"/>
      <c r="C4526"/>
      <c r="D4526"/>
    </row>
    <row r="4527" spans="1:4" x14ac:dyDescent="0.2">
      <c r="A4527"/>
      <c r="B4527"/>
      <c r="C4527"/>
      <c r="D4527"/>
    </row>
    <row r="4528" spans="1:4" x14ac:dyDescent="0.2">
      <c r="A4528"/>
      <c r="B4528"/>
      <c r="C4528"/>
      <c r="D4528"/>
    </row>
    <row r="4529" spans="1:4" x14ac:dyDescent="0.2">
      <c r="A4529"/>
      <c r="B4529"/>
      <c r="C4529"/>
      <c r="D4529"/>
    </row>
    <row r="4530" spans="1:4" x14ac:dyDescent="0.2">
      <c r="A4530"/>
      <c r="B4530"/>
      <c r="C4530"/>
      <c r="D4530"/>
    </row>
    <row r="4531" spans="1:4" x14ac:dyDescent="0.2">
      <c r="A4531"/>
      <c r="B4531"/>
      <c r="C4531"/>
      <c r="D4531"/>
    </row>
    <row r="4532" spans="1:4" x14ac:dyDescent="0.2">
      <c r="A4532"/>
      <c r="B4532"/>
      <c r="C4532"/>
      <c r="D4532"/>
    </row>
    <row r="4533" spans="1:4" x14ac:dyDescent="0.2">
      <c r="A4533"/>
      <c r="B4533"/>
      <c r="C4533"/>
      <c r="D4533"/>
    </row>
    <row r="4534" spans="1:4" x14ac:dyDescent="0.2">
      <c r="A4534"/>
      <c r="B4534"/>
      <c r="C4534"/>
      <c r="D4534"/>
    </row>
    <row r="4535" spans="1:4" x14ac:dyDescent="0.2">
      <c r="A4535"/>
      <c r="B4535"/>
      <c r="C4535"/>
      <c r="D4535"/>
    </row>
    <row r="4536" spans="1:4" x14ac:dyDescent="0.2">
      <c r="A4536"/>
      <c r="B4536"/>
      <c r="C4536"/>
      <c r="D4536"/>
    </row>
    <row r="4537" spans="1:4" x14ac:dyDescent="0.2">
      <c r="A4537"/>
      <c r="B4537"/>
      <c r="C4537"/>
      <c r="D4537"/>
    </row>
    <row r="4538" spans="1:4" x14ac:dyDescent="0.2">
      <c r="A4538"/>
      <c r="B4538"/>
      <c r="C4538"/>
      <c r="D4538"/>
    </row>
    <row r="4539" spans="1:4" x14ac:dyDescent="0.2">
      <c r="A4539"/>
      <c r="B4539"/>
      <c r="C4539"/>
      <c r="D4539"/>
    </row>
    <row r="4540" spans="1:4" x14ac:dyDescent="0.2">
      <c r="A4540"/>
      <c r="B4540"/>
      <c r="C4540"/>
      <c r="D4540"/>
    </row>
    <row r="4541" spans="1:4" x14ac:dyDescent="0.2">
      <c r="A4541"/>
      <c r="B4541"/>
      <c r="C4541"/>
      <c r="D4541"/>
    </row>
    <row r="4542" spans="1:4" x14ac:dyDescent="0.2">
      <c r="A4542"/>
      <c r="B4542"/>
      <c r="C4542"/>
      <c r="D4542"/>
    </row>
    <row r="4543" spans="1:4" x14ac:dyDescent="0.2">
      <c r="A4543"/>
      <c r="B4543"/>
      <c r="C4543"/>
      <c r="D4543"/>
    </row>
    <row r="4544" spans="1:4" x14ac:dyDescent="0.2">
      <c r="A4544"/>
      <c r="B4544"/>
      <c r="C4544"/>
      <c r="D4544"/>
    </row>
    <row r="4545" spans="1:4" x14ac:dyDescent="0.2">
      <c r="A4545"/>
      <c r="B4545"/>
      <c r="C4545"/>
      <c r="D4545"/>
    </row>
    <row r="4546" spans="1:4" x14ac:dyDescent="0.2">
      <c r="A4546"/>
      <c r="B4546"/>
      <c r="C4546"/>
      <c r="D4546"/>
    </row>
    <row r="4547" spans="1:4" x14ac:dyDescent="0.2">
      <c r="A4547"/>
      <c r="B4547"/>
      <c r="C4547"/>
      <c r="D4547"/>
    </row>
    <row r="4548" spans="1:4" x14ac:dyDescent="0.2">
      <c r="A4548"/>
      <c r="B4548"/>
      <c r="C4548"/>
      <c r="D4548"/>
    </row>
    <row r="4549" spans="1:4" x14ac:dyDescent="0.2">
      <c r="A4549"/>
      <c r="B4549"/>
      <c r="C4549"/>
      <c r="D4549"/>
    </row>
    <row r="4550" spans="1:4" x14ac:dyDescent="0.2">
      <c r="A4550"/>
      <c r="B4550"/>
      <c r="C4550"/>
      <c r="D4550"/>
    </row>
    <row r="4551" spans="1:4" x14ac:dyDescent="0.2">
      <c r="A4551"/>
      <c r="B4551"/>
      <c r="C4551"/>
      <c r="D4551"/>
    </row>
    <row r="4552" spans="1:4" x14ac:dyDescent="0.2">
      <c r="A4552"/>
      <c r="B4552"/>
      <c r="C4552"/>
      <c r="D4552"/>
    </row>
    <row r="4553" spans="1:4" x14ac:dyDescent="0.2">
      <c r="A4553"/>
      <c r="B4553"/>
      <c r="C4553"/>
      <c r="D4553"/>
    </row>
    <row r="4554" spans="1:4" x14ac:dyDescent="0.2">
      <c r="A4554"/>
      <c r="B4554"/>
      <c r="C4554"/>
      <c r="D4554"/>
    </row>
    <row r="4555" spans="1:4" x14ac:dyDescent="0.2">
      <c r="A4555"/>
      <c r="B4555"/>
      <c r="C4555"/>
      <c r="D4555"/>
    </row>
    <row r="4556" spans="1:4" x14ac:dyDescent="0.2">
      <c r="A4556"/>
      <c r="B4556"/>
      <c r="C4556"/>
      <c r="D4556"/>
    </row>
    <row r="4557" spans="1:4" x14ac:dyDescent="0.2">
      <c r="A4557"/>
      <c r="B4557"/>
      <c r="C4557"/>
      <c r="D4557"/>
    </row>
    <row r="4558" spans="1:4" x14ac:dyDescent="0.2">
      <c r="A4558"/>
      <c r="B4558"/>
      <c r="C4558"/>
      <c r="D4558"/>
    </row>
    <row r="4559" spans="1:4" x14ac:dyDescent="0.2">
      <c r="A4559"/>
      <c r="B4559"/>
      <c r="C4559"/>
      <c r="D4559"/>
    </row>
    <row r="4560" spans="1:4" x14ac:dyDescent="0.2">
      <c r="A4560"/>
      <c r="B4560"/>
      <c r="C4560"/>
      <c r="D4560"/>
    </row>
    <row r="4561" spans="1:4" x14ac:dyDescent="0.2">
      <c r="A4561"/>
      <c r="B4561"/>
      <c r="C4561"/>
      <c r="D4561"/>
    </row>
    <row r="4562" spans="1:4" x14ac:dyDescent="0.2">
      <c r="A4562"/>
      <c r="B4562"/>
      <c r="C4562"/>
      <c r="D4562"/>
    </row>
    <row r="4563" spans="1:4" x14ac:dyDescent="0.2">
      <c r="A4563"/>
      <c r="B4563"/>
      <c r="C4563"/>
      <c r="D4563"/>
    </row>
    <row r="4564" spans="1:4" x14ac:dyDescent="0.2">
      <c r="A4564"/>
      <c r="B4564"/>
      <c r="C4564"/>
      <c r="D4564"/>
    </row>
    <row r="4565" spans="1:4" x14ac:dyDescent="0.2">
      <c r="A4565"/>
      <c r="B4565"/>
      <c r="C4565"/>
      <c r="D4565"/>
    </row>
    <row r="4566" spans="1:4" x14ac:dyDescent="0.2">
      <c r="A4566"/>
      <c r="B4566"/>
      <c r="C4566"/>
      <c r="D4566"/>
    </row>
    <row r="4567" spans="1:4" x14ac:dyDescent="0.2">
      <c r="A4567"/>
      <c r="B4567"/>
      <c r="C4567"/>
      <c r="D4567"/>
    </row>
    <row r="4568" spans="1:4" x14ac:dyDescent="0.2">
      <c r="A4568"/>
      <c r="B4568"/>
      <c r="C4568"/>
      <c r="D4568"/>
    </row>
    <row r="4569" spans="1:4" x14ac:dyDescent="0.2">
      <c r="A4569"/>
      <c r="B4569"/>
      <c r="C4569"/>
      <c r="D4569"/>
    </row>
    <row r="4570" spans="1:4" x14ac:dyDescent="0.2">
      <c r="A4570"/>
      <c r="B4570"/>
      <c r="C4570"/>
      <c r="D4570"/>
    </row>
    <row r="4571" spans="1:4" x14ac:dyDescent="0.2">
      <c r="A4571"/>
      <c r="B4571"/>
      <c r="C4571"/>
      <c r="D4571"/>
    </row>
    <row r="4572" spans="1:4" x14ac:dyDescent="0.2">
      <c r="A4572"/>
      <c r="B4572"/>
      <c r="C4572"/>
      <c r="D4572"/>
    </row>
    <row r="4573" spans="1:4" x14ac:dyDescent="0.2">
      <c r="A4573"/>
      <c r="B4573"/>
      <c r="C4573"/>
      <c r="D4573"/>
    </row>
    <row r="4574" spans="1:4" x14ac:dyDescent="0.2">
      <c r="A4574"/>
      <c r="B4574"/>
      <c r="C4574"/>
      <c r="D4574"/>
    </row>
    <row r="4575" spans="1:4" x14ac:dyDescent="0.2">
      <c r="A4575"/>
      <c r="B4575"/>
      <c r="C4575"/>
      <c r="D4575"/>
    </row>
    <row r="4576" spans="1:4" x14ac:dyDescent="0.2">
      <c r="A4576"/>
      <c r="B4576"/>
      <c r="C4576"/>
      <c r="D4576"/>
    </row>
    <row r="4577" spans="1:4" x14ac:dyDescent="0.2">
      <c r="A4577"/>
      <c r="B4577"/>
      <c r="C4577"/>
      <c r="D4577"/>
    </row>
    <row r="4578" spans="1:4" x14ac:dyDescent="0.2">
      <c r="A4578"/>
      <c r="B4578"/>
      <c r="C4578"/>
      <c r="D4578"/>
    </row>
    <row r="4579" spans="1:4" x14ac:dyDescent="0.2">
      <c r="A4579"/>
      <c r="B4579"/>
      <c r="C4579"/>
      <c r="D4579"/>
    </row>
    <row r="4580" spans="1:4" x14ac:dyDescent="0.2">
      <c r="A4580"/>
      <c r="B4580"/>
      <c r="C4580"/>
      <c r="D4580"/>
    </row>
    <row r="4581" spans="1:4" x14ac:dyDescent="0.2">
      <c r="A4581"/>
      <c r="B4581"/>
      <c r="C4581"/>
      <c r="D4581"/>
    </row>
    <row r="4582" spans="1:4" x14ac:dyDescent="0.2">
      <c r="A4582"/>
      <c r="B4582"/>
      <c r="C4582"/>
      <c r="D4582"/>
    </row>
    <row r="4583" spans="1:4" x14ac:dyDescent="0.2">
      <c r="A4583"/>
      <c r="B4583"/>
      <c r="C4583"/>
      <c r="D4583"/>
    </row>
    <row r="4584" spans="1:4" x14ac:dyDescent="0.2">
      <c r="A4584"/>
      <c r="B4584"/>
      <c r="C4584"/>
      <c r="D4584"/>
    </row>
    <row r="4585" spans="1:4" x14ac:dyDescent="0.2">
      <c r="A4585"/>
      <c r="B4585"/>
      <c r="C4585"/>
      <c r="D4585"/>
    </row>
    <row r="4586" spans="1:4" x14ac:dyDescent="0.2">
      <c r="A4586"/>
      <c r="B4586"/>
      <c r="C4586"/>
      <c r="D4586"/>
    </row>
    <row r="4587" spans="1:4" x14ac:dyDescent="0.2">
      <c r="A4587"/>
      <c r="B4587"/>
      <c r="C4587"/>
      <c r="D4587"/>
    </row>
    <row r="4588" spans="1:4" x14ac:dyDescent="0.2">
      <c r="A4588"/>
      <c r="B4588"/>
      <c r="C4588"/>
      <c r="D4588"/>
    </row>
    <row r="4589" spans="1:4" x14ac:dyDescent="0.2">
      <c r="A4589"/>
      <c r="B4589"/>
      <c r="C4589"/>
      <c r="D4589"/>
    </row>
    <row r="4590" spans="1:4" x14ac:dyDescent="0.2">
      <c r="A4590"/>
      <c r="B4590"/>
      <c r="C4590"/>
      <c r="D4590"/>
    </row>
    <row r="4591" spans="1:4" x14ac:dyDescent="0.2">
      <c r="A4591"/>
      <c r="B4591"/>
      <c r="C4591"/>
      <c r="D4591"/>
    </row>
    <row r="4592" spans="1:4" x14ac:dyDescent="0.2">
      <c r="A4592"/>
      <c r="B4592"/>
      <c r="C4592"/>
      <c r="D4592"/>
    </row>
    <row r="4593" spans="1:4" x14ac:dyDescent="0.2">
      <c r="A4593"/>
      <c r="B4593"/>
      <c r="C4593"/>
      <c r="D4593"/>
    </row>
    <row r="4594" spans="1:4" x14ac:dyDescent="0.2">
      <c r="A4594"/>
      <c r="B4594"/>
      <c r="C4594"/>
      <c r="D4594"/>
    </row>
    <row r="4595" spans="1:4" x14ac:dyDescent="0.2">
      <c r="A4595"/>
      <c r="B4595"/>
      <c r="C4595"/>
      <c r="D4595"/>
    </row>
    <row r="4596" spans="1:4" x14ac:dyDescent="0.2">
      <c r="A4596"/>
      <c r="B4596"/>
      <c r="C4596"/>
      <c r="D4596"/>
    </row>
    <row r="4597" spans="1:4" x14ac:dyDescent="0.2">
      <c r="A4597"/>
      <c r="B4597"/>
      <c r="C4597"/>
      <c r="D4597"/>
    </row>
    <row r="4598" spans="1:4" x14ac:dyDescent="0.2">
      <c r="A4598"/>
      <c r="B4598"/>
      <c r="C4598"/>
      <c r="D4598"/>
    </row>
    <row r="4599" spans="1:4" x14ac:dyDescent="0.2">
      <c r="A4599"/>
      <c r="B4599"/>
      <c r="C4599"/>
      <c r="D4599"/>
    </row>
    <row r="4600" spans="1:4" x14ac:dyDescent="0.2">
      <c r="A4600"/>
      <c r="B4600"/>
      <c r="C4600"/>
      <c r="D4600"/>
    </row>
    <row r="4601" spans="1:4" x14ac:dyDescent="0.2">
      <c r="A4601"/>
      <c r="B4601"/>
      <c r="C4601"/>
      <c r="D4601"/>
    </row>
    <row r="4602" spans="1:4" x14ac:dyDescent="0.2">
      <c r="A4602"/>
      <c r="B4602"/>
      <c r="C4602"/>
      <c r="D4602"/>
    </row>
    <row r="4603" spans="1:4" x14ac:dyDescent="0.2">
      <c r="A4603"/>
      <c r="B4603"/>
      <c r="C4603"/>
      <c r="D4603"/>
    </row>
    <row r="4604" spans="1:4" x14ac:dyDescent="0.2">
      <c r="A4604"/>
      <c r="B4604"/>
      <c r="C4604"/>
      <c r="D4604"/>
    </row>
    <row r="4605" spans="1:4" x14ac:dyDescent="0.2">
      <c r="A4605"/>
      <c r="B4605"/>
      <c r="C4605"/>
      <c r="D4605"/>
    </row>
    <row r="4606" spans="1:4" x14ac:dyDescent="0.2">
      <c r="A4606"/>
      <c r="B4606"/>
      <c r="C4606"/>
      <c r="D4606"/>
    </row>
    <row r="4607" spans="1:4" x14ac:dyDescent="0.2">
      <c r="A4607"/>
      <c r="B4607"/>
      <c r="C4607"/>
      <c r="D4607"/>
    </row>
    <row r="4608" spans="1:4" x14ac:dyDescent="0.2">
      <c r="A4608"/>
      <c r="B4608"/>
      <c r="C4608"/>
      <c r="D4608"/>
    </row>
    <row r="4609" spans="1:4" x14ac:dyDescent="0.2">
      <c r="A4609"/>
      <c r="B4609"/>
      <c r="C4609"/>
      <c r="D4609"/>
    </row>
    <row r="4610" spans="1:4" x14ac:dyDescent="0.2">
      <c r="A4610"/>
      <c r="B4610"/>
      <c r="C4610"/>
      <c r="D4610"/>
    </row>
    <row r="4611" spans="1:4" x14ac:dyDescent="0.2">
      <c r="A4611"/>
      <c r="B4611"/>
      <c r="C4611"/>
      <c r="D4611"/>
    </row>
    <row r="4612" spans="1:4" x14ac:dyDescent="0.2">
      <c r="A4612"/>
      <c r="B4612"/>
      <c r="C4612"/>
      <c r="D4612"/>
    </row>
    <row r="4613" spans="1:4" x14ac:dyDescent="0.2">
      <c r="A4613"/>
      <c r="B4613"/>
      <c r="C4613"/>
      <c r="D4613"/>
    </row>
    <row r="4614" spans="1:4" x14ac:dyDescent="0.2">
      <c r="A4614"/>
      <c r="B4614"/>
      <c r="C4614"/>
      <c r="D4614"/>
    </row>
    <row r="4615" spans="1:4" x14ac:dyDescent="0.2">
      <c r="A4615"/>
      <c r="B4615"/>
      <c r="C4615"/>
      <c r="D4615"/>
    </row>
    <row r="4616" spans="1:4" x14ac:dyDescent="0.2">
      <c r="A4616"/>
      <c r="B4616"/>
      <c r="C4616"/>
      <c r="D4616"/>
    </row>
    <row r="4617" spans="1:4" x14ac:dyDescent="0.2">
      <c r="A4617"/>
      <c r="B4617"/>
      <c r="C4617"/>
      <c r="D4617"/>
    </row>
    <row r="4618" spans="1:4" x14ac:dyDescent="0.2">
      <c r="A4618"/>
      <c r="B4618"/>
      <c r="C4618"/>
      <c r="D4618"/>
    </row>
    <row r="4619" spans="1:4" x14ac:dyDescent="0.2">
      <c r="A4619"/>
      <c r="B4619"/>
      <c r="C4619"/>
      <c r="D4619"/>
    </row>
    <row r="4620" spans="1:4" x14ac:dyDescent="0.2">
      <c r="A4620"/>
      <c r="B4620"/>
      <c r="C4620"/>
      <c r="D4620"/>
    </row>
    <row r="4621" spans="1:4" x14ac:dyDescent="0.2">
      <c r="A4621"/>
      <c r="B4621"/>
      <c r="C4621"/>
      <c r="D4621"/>
    </row>
    <row r="4622" spans="1:4" x14ac:dyDescent="0.2">
      <c r="A4622"/>
      <c r="B4622"/>
      <c r="C4622"/>
      <c r="D4622"/>
    </row>
    <row r="4623" spans="1:4" x14ac:dyDescent="0.2">
      <c r="A4623"/>
      <c r="B4623"/>
      <c r="C4623"/>
      <c r="D4623"/>
    </row>
    <row r="4624" spans="1:4" x14ac:dyDescent="0.2">
      <c r="A4624"/>
      <c r="B4624"/>
      <c r="C4624"/>
      <c r="D4624"/>
    </row>
    <row r="4625" spans="1:4" x14ac:dyDescent="0.2">
      <c r="A4625"/>
      <c r="B4625"/>
      <c r="C4625"/>
      <c r="D4625"/>
    </row>
    <row r="4626" spans="1:4" x14ac:dyDescent="0.2">
      <c r="A4626"/>
      <c r="B4626"/>
      <c r="C4626"/>
      <c r="D4626"/>
    </row>
    <row r="4627" spans="1:4" x14ac:dyDescent="0.2">
      <c r="A4627"/>
      <c r="B4627"/>
      <c r="C4627"/>
      <c r="D4627"/>
    </row>
    <row r="4628" spans="1:4" x14ac:dyDescent="0.2">
      <c r="A4628"/>
      <c r="B4628"/>
      <c r="C4628"/>
      <c r="D4628"/>
    </row>
    <row r="4629" spans="1:4" x14ac:dyDescent="0.2">
      <c r="A4629"/>
      <c r="B4629"/>
      <c r="C4629"/>
      <c r="D4629"/>
    </row>
    <row r="4630" spans="1:4" x14ac:dyDescent="0.2">
      <c r="A4630"/>
      <c r="B4630"/>
      <c r="C4630"/>
      <c r="D4630"/>
    </row>
    <row r="4631" spans="1:4" x14ac:dyDescent="0.2">
      <c r="A4631"/>
      <c r="B4631"/>
      <c r="C4631"/>
      <c r="D4631"/>
    </row>
    <row r="4632" spans="1:4" x14ac:dyDescent="0.2">
      <c r="A4632"/>
      <c r="B4632"/>
      <c r="C4632"/>
      <c r="D4632"/>
    </row>
    <row r="4633" spans="1:4" x14ac:dyDescent="0.2">
      <c r="A4633"/>
      <c r="B4633"/>
      <c r="C4633"/>
      <c r="D4633"/>
    </row>
    <row r="4634" spans="1:4" x14ac:dyDescent="0.2">
      <c r="A4634"/>
      <c r="B4634"/>
      <c r="C4634"/>
      <c r="D4634"/>
    </row>
    <row r="4635" spans="1:4" x14ac:dyDescent="0.2">
      <c r="A4635"/>
      <c r="B4635"/>
      <c r="C4635"/>
      <c r="D4635"/>
    </row>
    <row r="4636" spans="1:4" x14ac:dyDescent="0.2">
      <c r="A4636"/>
      <c r="B4636"/>
      <c r="C4636"/>
      <c r="D4636"/>
    </row>
    <row r="4637" spans="1:4" x14ac:dyDescent="0.2">
      <c r="A4637"/>
      <c r="B4637"/>
      <c r="C4637"/>
      <c r="D4637"/>
    </row>
    <row r="4638" spans="1:4" x14ac:dyDescent="0.2">
      <c r="A4638"/>
      <c r="B4638"/>
      <c r="C4638"/>
      <c r="D4638"/>
    </row>
    <row r="4639" spans="1:4" x14ac:dyDescent="0.2">
      <c r="A4639"/>
      <c r="B4639"/>
      <c r="C4639"/>
      <c r="D4639"/>
    </row>
    <row r="4640" spans="1:4" x14ac:dyDescent="0.2">
      <c r="A4640"/>
      <c r="B4640"/>
      <c r="C4640"/>
      <c r="D4640"/>
    </row>
    <row r="4641" spans="1:4" x14ac:dyDescent="0.2">
      <c r="A4641"/>
      <c r="B4641"/>
      <c r="C4641"/>
      <c r="D4641"/>
    </row>
    <row r="4642" spans="1:4" x14ac:dyDescent="0.2">
      <c r="A4642"/>
      <c r="B4642"/>
      <c r="C4642"/>
      <c r="D4642"/>
    </row>
    <row r="4643" spans="1:4" x14ac:dyDescent="0.2">
      <c r="A4643"/>
      <c r="B4643"/>
      <c r="C4643"/>
      <c r="D4643"/>
    </row>
    <row r="4644" spans="1:4" x14ac:dyDescent="0.2">
      <c r="A4644"/>
      <c r="B4644"/>
      <c r="C4644"/>
      <c r="D4644"/>
    </row>
    <row r="4645" spans="1:4" x14ac:dyDescent="0.2">
      <c r="A4645"/>
      <c r="B4645"/>
      <c r="C4645"/>
      <c r="D4645"/>
    </row>
    <row r="4646" spans="1:4" x14ac:dyDescent="0.2">
      <c r="A4646"/>
      <c r="B4646"/>
      <c r="C4646"/>
      <c r="D4646"/>
    </row>
    <row r="4647" spans="1:4" x14ac:dyDescent="0.2">
      <c r="A4647"/>
      <c r="B4647"/>
      <c r="C4647"/>
      <c r="D4647"/>
    </row>
    <row r="4648" spans="1:4" x14ac:dyDescent="0.2">
      <c r="A4648"/>
      <c r="B4648"/>
      <c r="C4648"/>
      <c r="D4648"/>
    </row>
    <row r="4649" spans="1:4" x14ac:dyDescent="0.2">
      <c r="A4649"/>
      <c r="B4649"/>
      <c r="C4649"/>
      <c r="D4649"/>
    </row>
    <row r="4650" spans="1:4" x14ac:dyDescent="0.2">
      <c r="A4650"/>
      <c r="B4650"/>
      <c r="C4650"/>
      <c r="D4650"/>
    </row>
    <row r="4651" spans="1:4" x14ac:dyDescent="0.2">
      <c r="A4651"/>
      <c r="B4651"/>
      <c r="C4651"/>
      <c r="D4651"/>
    </row>
    <row r="4652" spans="1:4" x14ac:dyDescent="0.2">
      <c r="A4652"/>
      <c r="B4652"/>
      <c r="C4652"/>
      <c r="D4652"/>
    </row>
    <row r="4653" spans="1:4" x14ac:dyDescent="0.2">
      <c r="A4653"/>
      <c r="B4653"/>
      <c r="C4653"/>
      <c r="D4653"/>
    </row>
    <row r="4654" spans="1:4" x14ac:dyDescent="0.2">
      <c r="A4654"/>
      <c r="B4654"/>
      <c r="C4654"/>
      <c r="D4654"/>
    </row>
    <row r="4655" spans="1:4" x14ac:dyDescent="0.2">
      <c r="A4655"/>
      <c r="B4655"/>
      <c r="C4655"/>
      <c r="D4655"/>
    </row>
    <row r="4656" spans="1:4" x14ac:dyDescent="0.2">
      <c r="A4656"/>
      <c r="B4656"/>
      <c r="C4656"/>
      <c r="D4656"/>
    </row>
    <row r="4657" spans="1:4" x14ac:dyDescent="0.2">
      <c r="A4657"/>
      <c r="B4657"/>
      <c r="C4657"/>
      <c r="D4657"/>
    </row>
    <row r="4658" spans="1:4" x14ac:dyDescent="0.2">
      <c r="A4658"/>
      <c r="B4658"/>
      <c r="C4658"/>
      <c r="D4658"/>
    </row>
    <row r="4659" spans="1:4" x14ac:dyDescent="0.2">
      <c r="A4659"/>
      <c r="B4659"/>
      <c r="C4659"/>
      <c r="D4659"/>
    </row>
    <row r="4660" spans="1:4" x14ac:dyDescent="0.2">
      <c r="A4660"/>
      <c r="B4660"/>
      <c r="C4660"/>
      <c r="D4660"/>
    </row>
    <row r="4661" spans="1:4" x14ac:dyDescent="0.2">
      <c r="A4661"/>
      <c r="B4661"/>
      <c r="C4661"/>
      <c r="D4661"/>
    </row>
    <row r="4662" spans="1:4" x14ac:dyDescent="0.2">
      <c r="A4662"/>
      <c r="B4662"/>
      <c r="C4662"/>
      <c r="D4662"/>
    </row>
    <row r="4663" spans="1:4" x14ac:dyDescent="0.2">
      <c r="A4663"/>
      <c r="B4663"/>
      <c r="C4663"/>
      <c r="D4663"/>
    </row>
    <row r="4664" spans="1:4" x14ac:dyDescent="0.2">
      <c r="A4664"/>
      <c r="B4664"/>
      <c r="C4664"/>
      <c r="D4664"/>
    </row>
    <row r="4665" spans="1:4" x14ac:dyDescent="0.2">
      <c r="A4665"/>
      <c r="B4665"/>
      <c r="C4665"/>
      <c r="D4665"/>
    </row>
    <row r="4666" spans="1:4" x14ac:dyDescent="0.2">
      <c r="A4666"/>
      <c r="B4666"/>
      <c r="C4666"/>
      <c r="D4666"/>
    </row>
    <row r="4667" spans="1:4" x14ac:dyDescent="0.2">
      <c r="A4667"/>
      <c r="B4667"/>
      <c r="C4667"/>
      <c r="D4667"/>
    </row>
    <row r="4668" spans="1:4" x14ac:dyDescent="0.2">
      <c r="A4668"/>
      <c r="B4668"/>
      <c r="C4668"/>
      <c r="D4668"/>
    </row>
    <row r="4669" spans="1:4" x14ac:dyDescent="0.2">
      <c r="A4669"/>
      <c r="B4669"/>
      <c r="C4669"/>
      <c r="D4669"/>
    </row>
    <row r="4670" spans="1:4" x14ac:dyDescent="0.2">
      <c r="A4670"/>
      <c r="B4670"/>
      <c r="C4670"/>
      <c r="D4670"/>
    </row>
    <row r="4671" spans="1:4" x14ac:dyDescent="0.2">
      <c r="A4671"/>
      <c r="B4671"/>
      <c r="C4671"/>
      <c r="D4671"/>
    </row>
    <row r="4672" spans="1:4" x14ac:dyDescent="0.2">
      <c r="A4672"/>
      <c r="B4672"/>
      <c r="C4672"/>
      <c r="D4672"/>
    </row>
    <row r="4673" spans="1:4" x14ac:dyDescent="0.2">
      <c r="A4673"/>
      <c r="B4673"/>
      <c r="C4673"/>
      <c r="D4673"/>
    </row>
    <row r="4674" spans="1:4" x14ac:dyDescent="0.2">
      <c r="A4674"/>
      <c r="B4674"/>
      <c r="C4674"/>
      <c r="D4674"/>
    </row>
    <row r="4675" spans="1:4" x14ac:dyDescent="0.2">
      <c r="A4675"/>
      <c r="B4675"/>
      <c r="C4675"/>
      <c r="D4675"/>
    </row>
    <row r="4676" spans="1:4" x14ac:dyDescent="0.2">
      <c r="A4676"/>
      <c r="B4676"/>
      <c r="C4676"/>
      <c r="D4676"/>
    </row>
    <row r="4677" spans="1:4" x14ac:dyDescent="0.2">
      <c r="A4677"/>
      <c r="B4677"/>
      <c r="C4677"/>
      <c r="D4677"/>
    </row>
    <row r="4678" spans="1:4" x14ac:dyDescent="0.2">
      <c r="A4678"/>
      <c r="B4678"/>
      <c r="C4678"/>
      <c r="D4678"/>
    </row>
    <row r="4679" spans="1:4" x14ac:dyDescent="0.2">
      <c r="A4679"/>
      <c r="B4679"/>
      <c r="C4679"/>
      <c r="D4679"/>
    </row>
    <row r="4680" spans="1:4" x14ac:dyDescent="0.2">
      <c r="A4680"/>
      <c r="B4680"/>
      <c r="C4680"/>
      <c r="D4680"/>
    </row>
    <row r="4681" spans="1:4" x14ac:dyDescent="0.2">
      <c r="A4681"/>
      <c r="B4681"/>
      <c r="C4681"/>
      <c r="D4681"/>
    </row>
    <row r="4682" spans="1:4" x14ac:dyDescent="0.2">
      <c r="A4682"/>
      <c r="B4682"/>
      <c r="C4682"/>
      <c r="D4682"/>
    </row>
    <row r="4683" spans="1:4" x14ac:dyDescent="0.2">
      <c r="A4683"/>
      <c r="B4683"/>
      <c r="C4683"/>
      <c r="D4683"/>
    </row>
    <row r="4684" spans="1:4" x14ac:dyDescent="0.2">
      <c r="A4684"/>
      <c r="B4684"/>
      <c r="C4684"/>
      <c r="D4684"/>
    </row>
    <row r="4685" spans="1:4" x14ac:dyDescent="0.2">
      <c r="A4685"/>
      <c r="B4685"/>
      <c r="C4685"/>
      <c r="D4685"/>
    </row>
    <row r="4686" spans="1:4" x14ac:dyDescent="0.2">
      <c r="A4686"/>
      <c r="B4686"/>
      <c r="C4686"/>
      <c r="D4686"/>
    </row>
    <row r="4687" spans="1:4" x14ac:dyDescent="0.2">
      <c r="A4687"/>
      <c r="B4687"/>
      <c r="C4687"/>
      <c r="D4687"/>
    </row>
    <row r="4688" spans="1:4" x14ac:dyDescent="0.2">
      <c r="A4688"/>
      <c r="B4688"/>
      <c r="C4688"/>
      <c r="D4688"/>
    </row>
    <row r="4689" spans="1:4" x14ac:dyDescent="0.2">
      <c r="A4689"/>
      <c r="B4689"/>
      <c r="C4689"/>
      <c r="D4689"/>
    </row>
    <row r="4690" spans="1:4" x14ac:dyDescent="0.2">
      <c r="A4690"/>
      <c r="B4690"/>
      <c r="C4690"/>
      <c r="D4690"/>
    </row>
    <row r="4691" spans="1:4" x14ac:dyDescent="0.2">
      <c r="A4691"/>
      <c r="B4691"/>
      <c r="C4691"/>
      <c r="D4691"/>
    </row>
    <row r="4692" spans="1:4" x14ac:dyDescent="0.2">
      <c r="A4692"/>
      <c r="B4692"/>
      <c r="C4692"/>
      <c r="D4692"/>
    </row>
    <row r="4693" spans="1:4" x14ac:dyDescent="0.2">
      <c r="A4693"/>
      <c r="B4693"/>
      <c r="C4693"/>
      <c r="D4693"/>
    </row>
    <row r="4694" spans="1:4" x14ac:dyDescent="0.2">
      <c r="A4694"/>
      <c r="B4694"/>
      <c r="C4694"/>
      <c r="D4694"/>
    </row>
    <row r="4695" spans="1:4" x14ac:dyDescent="0.2">
      <c r="A4695"/>
      <c r="B4695"/>
      <c r="C4695"/>
      <c r="D4695"/>
    </row>
    <row r="4696" spans="1:4" x14ac:dyDescent="0.2">
      <c r="A4696"/>
      <c r="B4696"/>
      <c r="C4696"/>
      <c r="D4696"/>
    </row>
    <row r="4697" spans="1:4" x14ac:dyDescent="0.2">
      <c r="A4697"/>
      <c r="B4697"/>
      <c r="C4697"/>
      <c r="D4697"/>
    </row>
    <row r="4698" spans="1:4" x14ac:dyDescent="0.2">
      <c r="A4698"/>
      <c r="B4698"/>
      <c r="C4698"/>
      <c r="D4698"/>
    </row>
    <row r="4699" spans="1:4" x14ac:dyDescent="0.2">
      <c r="A4699"/>
      <c r="B4699"/>
      <c r="C4699"/>
      <c r="D4699"/>
    </row>
    <row r="4700" spans="1:4" x14ac:dyDescent="0.2">
      <c r="A4700"/>
      <c r="B4700"/>
      <c r="C4700"/>
      <c r="D4700"/>
    </row>
    <row r="4701" spans="1:4" x14ac:dyDescent="0.2">
      <c r="A4701"/>
      <c r="B4701"/>
      <c r="C4701"/>
      <c r="D4701"/>
    </row>
    <row r="4702" spans="1:4" x14ac:dyDescent="0.2">
      <c r="A4702"/>
      <c r="B4702"/>
      <c r="C4702"/>
      <c r="D4702"/>
    </row>
    <row r="4703" spans="1:4" x14ac:dyDescent="0.2">
      <c r="A4703"/>
      <c r="B4703"/>
      <c r="C4703"/>
      <c r="D4703"/>
    </row>
    <row r="4704" spans="1:4" x14ac:dyDescent="0.2">
      <c r="A4704"/>
      <c r="B4704"/>
      <c r="C4704"/>
      <c r="D4704"/>
    </row>
    <row r="4705" spans="1:4" x14ac:dyDescent="0.2">
      <c r="A4705"/>
      <c r="B4705"/>
      <c r="C4705"/>
      <c r="D4705"/>
    </row>
    <row r="4706" spans="1:4" x14ac:dyDescent="0.2">
      <c r="A4706"/>
      <c r="B4706"/>
      <c r="C4706"/>
      <c r="D4706"/>
    </row>
    <row r="4707" spans="1:4" x14ac:dyDescent="0.2">
      <c r="A4707"/>
      <c r="B4707"/>
      <c r="C4707"/>
      <c r="D4707"/>
    </row>
    <row r="4708" spans="1:4" x14ac:dyDescent="0.2">
      <c r="A4708"/>
      <c r="B4708"/>
      <c r="C4708"/>
      <c r="D4708"/>
    </row>
    <row r="4709" spans="1:4" x14ac:dyDescent="0.2">
      <c r="A4709"/>
      <c r="B4709"/>
      <c r="C4709"/>
      <c r="D4709"/>
    </row>
    <row r="4710" spans="1:4" x14ac:dyDescent="0.2">
      <c r="A4710"/>
      <c r="B4710"/>
      <c r="C4710"/>
      <c r="D4710"/>
    </row>
    <row r="4711" spans="1:4" x14ac:dyDescent="0.2">
      <c r="A4711"/>
      <c r="B4711"/>
      <c r="C4711"/>
      <c r="D4711"/>
    </row>
    <row r="4712" spans="1:4" x14ac:dyDescent="0.2">
      <c r="A4712"/>
      <c r="B4712"/>
      <c r="C4712"/>
      <c r="D4712"/>
    </row>
    <row r="4713" spans="1:4" x14ac:dyDescent="0.2">
      <c r="A4713"/>
      <c r="B4713"/>
      <c r="C4713"/>
      <c r="D4713"/>
    </row>
    <row r="4714" spans="1:4" x14ac:dyDescent="0.2">
      <c r="A4714"/>
      <c r="B4714"/>
      <c r="C4714"/>
      <c r="D4714"/>
    </row>
    <row r="4715" spans="1:4" x14ac:dyDescent="0.2">
      <c r="A4715"/>
      <c r="B4715"/>
      <c r="C4715"/>
      <c r="D4715"/>
    </row>
    <row r="4716" spans="1:4" x14ac:dyDescent="0.2">
      <c r="A4716"/>
      <c r="B4716"/>
      <c r="C4716"/>
      <c r="D4716"/>
    </row>
    <row r="4717" spans="1:4" x14ac:dyDescent="0.2">
      <c r="A4717"/>
      <c r="B4717"/>
      <c r="C4717"/>
      <c r="D4717"/>
    </row>
    <row r="4718" spans="1:4" x14ac:dyDescent="0.2">
      <c r="A4718"/>
      <c r="B4718"/>
      <c r="C4718"/>
      <c r="D4718"/>
    </row>
    <row r="4719" spans="1:4" x14ac:dyDescent="0.2">
      <c r="A4719"/>
      <c r="B4719"/>
      <c r="C4719"/>
      <c r="D4719"/>
    </row>
    <row r="4720" spans="1:4" x14ac:dyDescent="0.2">
      <c r="A4720"/>
      <c r="B4720"/>
      <c r="C4720"/>
      <c r="D4720"/>
    </row>
    <row r="4721" spans="1:4" x14ac:dyDescent="0.2">
      <c r="A4721"/>
      <c r="B4721"/>
      <c r="C4721"/>
      <c r="D4721"/>
    </row>
    <row r="4722" spans="1:4" x14ac:dyDescent="0.2">
      <c r="A4722"/>
      <c r="B4722"/>
      <c r="C4722"/>
      <c r="D4722"/>
    </row>
    <row r="4723" spans="1:4" x14ac:dyDescent="0.2">
      <c r="A4723"/>
      <c r="B4723"/>
      <c r="C4723"/>
      <c r="D4723"/>
    </row>
    <row r="4724" spans="1:4" x14ac:dyDescent="0.2">
      <c r="A4724"/>
      <c r="B4724"/>
      <c r="C4724"/>
      <c r="D4724"/>
    </row>
    <row r="4725" spans="1:4" x14ac:dyDescent="0.2">
      <c r="A4725"/>
      <c r="B4725"/>
      <c r="C4725"/>
      <c r="D4725"/>
    </row>
    <row r="4726" spans="1:4" x14ac:dyDescent="0.2">
      <c r="A4726"/>
      <c r="B4726"/>
      <c r="C4726"/>
      <c r="D4726"/>
    </row>
    <row r="4727" spans="1:4" x14ac:dyDescent="0.2">
      <c r="A4727"/>
      <c r="B4727"/>
      <c r="C4727"/>
      <c r="D4727"/>
    </row>
    <row r="4728" spans="1:4" x14ac:dyDescent="0.2">
      <c r="A4728"/>
      <c r="B4728"/>
      <c r="C4728"/>
      <c r="D4728"/>
    </row>
    <row r="4729" spans="1:4" x14ac:dyDescent="0.2">
      <c r="A4729"/>
      <c r="B4729"/>
      <c r="C4729"/>
      <c r="D4729"/>
    </row>
    <row r="4730" spans="1:4" x14ac:dyDescent="0.2">
      <c r="A4730"/>
      <c r="B4730"/>
      <c r="C4730"/>
      <c r="D4730"/>
    </row>
    <row r="4731" spans="1:4" x14ac:dyDescent="0.2">
      <c r="A4731"/>
      <c r="B4731"/>
      <c r="C4731"/>
      <c r="D4731"/>
    </row>
    <row r="4732" spans="1:4" x14ac:dyDescent="0.2">
      <c r="A4732"/>
      <c r="B4732"/>
      <c r="C4732"/>
      <c r="D4732"/>
    </row>
    <row r="4733" spans="1:4" x14ac:dyDescent="0.2">
      <c r="A4733"/>
      <c r="B4733"/>
      <c r="C4733"/>
      <c r="D4733"/>
    </row>
    <row r="4734" spans="1:4" x14ac:dyDescent="0.2">
      <c r="A4734"/>
      <c r="B4734"/>
      <c r="C4734"/>
      <c r="D4734"/>
    </row>
    <row r="4735" spans="1:4" x14ac:dyDescent="0.2">
      <c r="A4735"/>
      <c r="B4735"/>
      <c r="C4735"/>
      <c r="D4735"/>
    </row>
    <row r="4736" spans="1:4" x14ac:dyDescent="0.2">
      <c r="A4736"/>
      <c r="B4736"/>
      <c r="C4736"/>
      <c r="D4736"/>
    </row>
    <row r="4737" spans="1:4" x14ac:dyDescent="0.2">
      <c r="A4737"/>
      <c r="B4737"/>
      <c r="C4737"/>
      <c r="D4737"/>
    </row>
    <row r="4738" spans="1:4" x14ac:dyDescent="0.2">
      <c r="A4738"/>
      <c r="B4738"/>
      <c r="C4738"/>
      <c r="D4738"/>
    </row>
    <row r="4739" spans="1:4" x14ac:dyDescent="0.2">
      <c r="A4739"/>
      <c r="B4739"/>
      <c r="C4739"/>
      <c r="D4739"/>
    </row>
    <row r="4740" spans="1:4" x14ac:dyDescent="0.2">
      <c r="A4740"/>
      <c r="B4740"/>
      <c r="C4740"/>
      <c r="D4740"/>
    </row>
    <row r="4741" spans="1:4" x14ac:dyDescent="0.2">
      <c r="A4741"/>
      <c r="B4741"/>
      <c r="C4741"/>
      <c r="D4741"/>
    </row>
    <row r="4742" spans="1:4" x14ac:dyDescent="0.2">
      <c r="A4742"/>
      <c r="B4742"/>
      <c r="C4742"/>
      <c r="D4742"/>
    </row>
    <row r="4743" spans="1:4" x14ac:dyDescent="0.2">
      <c r="A4743"/>
      <c r="B4743"/>
      <c r="C4743"/>
      <c r="D4743"/>
    </row>
    <row r="4744" spans="1:4" x14ac:dyDescent="0.2">
      <c r="A4744"/>
      <c r="B4744"/>
      <c r="C4744"/>
      <c r="D4744"/>
    </row>
    <row r="4745" spans="1:4" x14ac:dyDescent="0.2">
      <c r="A4745"/>
      <c r="B4745"/>
      <c r="C4745"/>
      <c r="D4745"/>
    </row>
    <row r="4746" spans="1:4" x14ac:dyDescent="0.2">
      <c r="A4746"/>
      <c r="B4746"/>
      <c r="C4746"/>
      <c r="D4746"/>
    </row>
    <row r="4747" spans="1:4" x14ac:dyDescent="0.2">
      <c r="A4747"/>
      <c r="B4747"/>
      <c r="C4747"/>
      <c r="D4747"/>
    </row>
    <row r="4748" spans="1:4" x14ac:dyDescent="0.2">
      <c r="A4748"/>
      <c r="B4748"/>
      <c r="C4748"/>
      <c r="D4748"/>
    </row>
    <row r="4749" spans="1:4" x14ac:dyDescent="0.2">
      <c r="A4749"/>
      <c r="B4749"/>
      <c r="C4749"/>
      <c r="D4749"/>
    </row>
    <row r="4750" spans="1:4" x14ac:dyDescent="0.2">
      <c r="A4750"/>
      <c r="B4750"/>
      <c r="C4750"/>
      <c r="D4750"/>
    </row>
    <row r="4751" spans="1:4" x14ac:dyDescent="0.2">
      <c r="A4751"/>
      <c r="B4751"/>
      <c r="C4751"/>
      <c r="D4751"/>
    </row>
    <row r="4752" spans="1:4" x14ac:dyDescent="0.2">
      <c r="A4752"/>
      <c r="B4752"/>
      <c r="C4752"/>
      <c r="D4752"/>
    </row>
    <row r="4753" spans="1:4" x14ac:dyDescent="0.2">
      <c r="A4753"/>
      <c r="B4753"/>
      <c r="C4753"/>
      <c r="D4753"/>
    </row>
    <row r="4754" spans="1:4" x14ac:dyDescent="0.2">
      <c r="A4754"/>
      <c r="B4754"/>
      <c r="C4754"/>
      <c r="D4754"/>
    </row>
    <row r="4755" spans="1:4" x14ac:dyDescent="0.2">
      <c r="A4755"/>
      <c r="B4755"/>
      <c r="C4755"/>
      <c r="D4755"/>
    </row>
    <row r="4756" spans="1:4" x14ac:dyDescent="0.2">
      <c r="A4756"/>
      <c r="B4756"/>
      <c r="C4756"/>
      <c r="D4756"/>
    </row>
    <row r="4757" spans="1:4" x14ac:dyDescent="0.2">
      <c r="A4757"/>
      <c r="B4757"/>
      <c r="C4757"/>
      <c r="D4757"/>
    </row>
    <row r="4758" spans="1:4" x14ac:dyDescent="0.2">
      <c r="A4758"/>
      <c r="B4758"/>
      <c r="C4758"/>
      <c r="D4758"/>
    </row>
    <row r="4759" spans="1:4" x14ac:dyDescent="0.2">
      <c r="A4759"/>
      <c r="B4759"/>
      <c r="C4759"/>
      <c r="D4759"/>
    </row>
    <row r="4760" spans="1:4" x14ac:dyDescent="0.2">
      <c r="A4760"/>
      <c r="B4760"/>
      <c r="C4760"/>
      <c r="D4760"/>
    </row>
    <row r="4761" spans="1:4" x14ac:dyDescent="0.2">
      <c r="A4761"/>
      <c r="B4761"/>
      <c r="C4761"/>
      <c r="D4761"/>
    </row>
    <row r="4762" spans="1:4" x14ac:dyDescent="0.2">
      <c r="A4762"/>
      <c r="B4762"/>
      <c r="C4762"/>
      <c r="D4762"/>
    </row>
    <row r="4763" spans="1:4" x14ac:dyDescent="0.2">
      <c r="A4763"/>
      <c r="B4763"/>
      <c r="C4763"/>
      <c r="D4763"/>
    </row>
    <row r="4764" spans="1:4" x14ac:dyDescent="0.2">
      <c r="A4764"/>
      <c r="B4764"/>
      <c r="C4764"/>
      <c r="D4764"/>
    </row>
    <row r="4765" spans="1:4" x14ac:dyDescent="0.2">
      <c r="A4765"/>
      <c r="B4765"/>
      <c r="C4765"/>
      <c r="D4765"/>
    </row>
    <row r="4766" spans="1:4" x14ac:dyDescent="0.2">
      <c r="A4766"/>
      <c r="B4766"/>
      <c r="C4766"/>
      <c r="D4766"/>
    </row>
    <row r="4767" spans="1:4" x14ac:dyDescent="0.2">
      <c r="A4767"/>
      <c r="B4767"/>
      <c r="C4767"/>
      <c r="D4767"/>
    </row>
    <row r="4768" spans="1:4" x14ac:dyDescent="0.2">
      <c r="A4768"/>
      <c r="B4768"/>
      <c r="C4768"/>
      <c r="D4768"/>
    </row>
    <row r="4769" spans="1:4" x14ac:dyDescent="0.2">
      <c r="A4769"/>
      <c r="B4769"/>
      <c r="C4769"/>
      <c r="D4769"/>
    </row>
    <row r="4770" spans="1:4" x14ac:dyDescent="0.2">
      <c r="A4770"/>
      <c r="B4770"/>
      <c r="C4770"/>
      <c r="D4770"/>
    </row>
    <row r="4771" spans="1:4" x14ac:dyDescent="0.2">
      <c r="A4771"/>
      <c r="B4771"/>
      <c r="C4771"/>
      <c r="D4771"/>
    </row>
    <row r="4772" spans="1:4" x14ac:dyDescent="0.2">
      <c r="A4772"/>
      <c r="B4772"/>
      <c r="C4772"/>
      <c r="D4772"/>
    </row>
    <row r="4773" spans="1:4" x14ac:dyDescent="0.2">
      <c r="A4773"/>
      <c r="B4773"/>
      <c r="C4773"/>
      <c r="D4773"/>
    </row>
    <row r="4774" spans="1:4" x14ac:dyDescent="0.2">
      <c r="A4774"/>
      <c r="B4774"/>
      <c r="C4774"/>
      <c r="D4774"/>
    </row>
    <row r="4775" spans="1:4" x14ac:dyDescent="0.2">
      <c r="A4775"/>
      <c r="B4775"/>
      <c r="C4775"/>
      <c r="D4775"/>
    </row>
    <row r="4776" spans="1:4" x14ac:dyDescent="0.2">
      <c r="A4776"/>
      <c r="B4776"/>
      <c r="C4776"/>
      <c r="D4776"/>
    </row>
    <row r="4777" spans="1:4" x14ac:dyDescent="0.2">
      <c r="A4777"/>
      <c r="B4777"/>
      <c r="C4777"/>
      <c r="D4777"/>
    </row>
    <row r="4778" spans="1:4" x14ac:dyDescent="0.2">
      <c r="A4778"/>
      <c r="B4778"/>
      <c r="C4778"/>
      <c r="D4778"/>
    </row>
    <row r="4779" spans="1:4" x14ac:dyDescent="0.2">
      <c r="A4779"/>
      <c r="B4779"/>
      <c r="C4779"/>
      <c r="D4779"/>
    </row>
    <row r="4780" spans="1:4" x14ac:dyDescent="0.2">
      <c r="A4780"/>
      <c r="B4780"/>
      <c r="C4780"/>
      <c r="D4780"/>
    </row>
    <row r="4781" spans="1:4" x14ac:dyDescent="0.2">
      <c r="A4781"/>
      <c r="B4781"/>
      <c r="C4781"/>
      <c r="D4781"/>
    </row>
    <row r="4782" spans="1:4" x14ac:dyDescent="0.2">
      <c r="A4782"/>
      <c r="B4782"/>
      <c r="C4782"/>
      <c r="D4782"/>
    </row>
    <row r="4783" spans="1:4" x14ac:dyDescent="0.2">
      <c r="A4783"/>
      <c r="B4783"/>
      <c r="C4783"/>
      <c r="D4783"/>
    </row>
    <row r="4784" spans="1:4" x14ac:dyDescent="0.2">
      <c r="A4784"/>
      <c r="B4784"/>
      <c r="C4784"/>
      <c r="D4784"/>
    </row>
    <row r="4785" spans="1:4" x14ac:dyDescent="0.2">
      <c r="A4785"/>
      <c r="B4785"/>
      <c r="C4785"/>
      <c r="D4785"/>
    </row>
    <row r="4786" spans="1:4" x14ac:dyDescent="0.2">
      <c r="A4786"/>
      <c r="B4786"/>
      <c r="C4786"/>
      <c r="D4786"/>
    </row>
    <row r="4787" spans="1:4" x14ac:dyDescent="0.2">
      <c r="A4787"/>
      <c r="B4787"/>
      <c r="C4787"/>
      <c r="D4787"/>
    </row>
    <row r="4788" spans="1:4" x14ac:dyDescent="0.2">
      <c r="A4788"/>
      <c r="B4788"/>
      <c r="C4788"/>
      <c r="D4788"/>
    </row>
    <row r="4789" spans="1:4" x14ac:dyDescent="0.2">
      <c r="A4789"/>
      <c r="B4789"/>
      <c r="C4789"/>
      <c r="D4789"/>
    </row>
    <row r="4790" spans="1:4" x14ac:dyDescent="0.2">
      <c r="A4790"/>
      <c r="B4790"/>
      <c r="C4790"/>
      <c r="D4790"/>
    </row>
    <row r="4791" spans="1:4" x14ac:dyDescent="0.2">
      <c r="A4791"/>
      <c r="B4791"/>
      <c r="C4791"/>
      <c r="D4791"/>
    </row>
    <row r="4792" spans="1:4" x14ac:dyDescent="0.2">
      <c r="A4792"/>
      <c r="B4792"/>
      <c r="C4792"/>
      <c r="D4792"/>
    </row>
    <row r="4793" spans="1:4" x14ac:dyDescent="0.2">
      <c r="A4793"/>
      <c r="B4793"/>
      <c r="C4793"/>
      <c r="D4793"/>
    </row>
    <row r="4794" spans="1:4" x14ac:dyDescent="0.2">
      <c r="A4794"/>
      <c r="B4794"/>
      <c r="C4794"/>
      <c r="D4794"/>
    </row>
    <row r="4795" spans="1:4" x14ac:dyDescent="0.2">
      <c r="A4795"/>
      <c r="B4795"/>
      <c r="C4795"/>
      <c r="D4795"/>
    </row>
    <row r="4796" spans="1:4" x14ac:dyDescent="0.2">
      <c r="A4796"/>
      <c r="B4796"/>
      <c r="C4796"/>
      <c r="D4796"/>
    </row>
    <row r="4797" spans="1:4" x14ac:dyDescent="0.2">
      <c r="A4797"/>
      <c r="B4797"/>
      <c r="C4797"/>
      <c r="D4797"/>
    </row>
    <row r="4798" spans="1:4" x14ac:dyDescent="0.2">
      <c r="A4798"/>
      <c r="B4798"/>
      <c r="C4798"/>
      <c r="D4798"/>
    </row>
    <row r="4799" spans="1:4" x14ac:dyDescent="0.2">
      <c r="A4799"/>
      <c r="B4799"/>
      <c r="C4799"/>
      <c r="D4799"/>
    </row>
    <row r="4800" spans="1:4" x14ac:dyDescent="0.2">
      <c r="A4800"/>
      <c r="B4800"/>
      <c r="C4800"/>
      <c r="D4800"/>
    </row>
    <row r="4801" spans="1:4" x14ac:dyDescent="0.2">
      <c r="A4801"/>
      <c r="B4801"/>
      <c r="C4801"/>
      <c r="D4801"/>
    </row>
    <row r="4802" spans="1:4" x14ac:dyDescent="0.2">
      <c r="A4802"/>
      <c r="B4802"/>
      <c r="C4802"/>
      <c r="D4802"/>
    </row>
    <row r="4803" spans="1:4" x14ac:dyDescent="0.2">
      <c r="A4803"/>
      <c r="B4803"/>
      <c r="C4803"/>
      <c r="D4803"/>
    </row>
    <row r="4804" spans="1:4" x14ac:dyDescent="0.2">
      <c r="A4804"/>
      <c r="B4804"/>
      <c r="C4804"/>
      <c r="D4804"/>
    </row>
    <row r="4805" spans="1:4" x14ac:dyDescent="0.2">
      <c r="A4805"/>
      <c r="B4805"/>
      <c r="C4805"/>
      <c r="D4805"/>
    </row>
    <row r="4806" spans="1:4" x14ac:dyDescent="0.2">
      <c r="A4806"/>
      <c r="B4806"/>
      <c r="C4806"/>
      <c r="D4806"/>
    </row>
    <row r="4807" spans="1:4" x14ac:dyDescent="0.2">
      <c r="A4807"/>
      <c r="B4807"/>
      <c r="C4807"/>
      <c r="D4807"/>
    </row>
    <row r="4808" spans="1:4" x14ac:dyDescent="0.2">
      <c r="A4808"/>
      <c r="B4808"/>
      <c r="C4808"/>
      <c r="D4808"/>
    </row>
    <row r="4809" spans="1:4" x14ac:dyDescent="0.2">
      <c r="A4809"/>
      <c r="B4809"/>
      <c r="C4809"/>
      <c r="D4809"/>
    </row>
    <row r="4810" spans="1:4" x14ac:dyDescent="0.2">
      <c r="A4810"/>
      <c r="B4810"/>
      <c r="C4810"/>
      <c r="D4810"/>
    </row>
    <row r="4811" spans="1:4" x14ac:dyDescent="0.2">
      <c r="A4811"/>
      <c r="B4811"/>
      <c r="C4811"/>
      <c r="D4811"/>
    </row>
    <row r="4812" spans="1:4" x14ac:dyDescent="0.2">
      <c r="A4812"/>
      <c r="B4812"/>
      <c r="C4812"/>
      <c r="D4812"/>
    </row>
    <row r="4813" spans="1:4" x14ac:dyDescent="0.2">
      <c r="A4813"/>
      <c r="B4813"/>
      <c r="C4813"/>
      <c r="D4813"/>
    </row>
    <row r="4814" spans="1:4" x14ac:dyDescent="0.2">
      <c r="A4814"/>
      <c r="B4814"/>
      <c r="C4814"/>
      <c r="D4814"/>
    </row>
    <row r="4815" spans="1:4" x14ac:dyDescent="0.2">
      <c r="A4815"/>
      <c r="B4815"/>
      <c r="C4815"/>
      <c r="D4815"/>
    </row>
    <row r="4816" spans="1:4" x14ac:dyDescent="0.2">
      <c r="A4816"/>
      <c r="B4816"/>
      <c r="C4816"/>
      <c r="D4816"/>
    </row>
    <row r="4817" spans="1:4" x14ac:dyDescent="0.2">
      <c r="A4817"/>
      <c r="B4817"/>
      <c r="C4817"/>
      <c r="D4817"/>
    </row>
    <row r="4818" spans="1:4" x14ac:dyDescent="0.2">
      <c r="A4818"/>
      <c r="B4818"/>
      <c r="C4818"/>
      <c r="D4818"/>
    </row>
    <row r="4819" spans="1:4" x14ac:dyDescent="0.2">
      <c r="A4819"/>
      <c r="B4819"/>
      <c r="C4819"/>
      <c r="D4819"/>
    </row>
    <row r="4820" spans="1:4" x14ac:dyDescent="0.2">
      <c r="A4820"/>
      <c r="B4820"/>
      <c r="C4820"/>
      <c r="D4820"/>
    </row>
    <row r="4821" spans="1:4" x14ac:dyDescent="0.2">
      <c r="A4821"/>
      <c r="B4821"/>
      <c r="C4821"/>
      <c r="D4821"/>
    </row>
    <row r="4822" spans="1:4" x14ac:dyDescent="0.2">
      <c r="A4822"/>
      <c r="B4822"/>
      <c r="C4822"/>
      <c r="D4822"/>
    </row>
    <row r="4823" spans="1:4" x14ac:dyDescent="0.2">
      <c r="A4823"/>
      <c r="B4823"/>
      <c r="C4823"/>
      <c r="D4823"/>
    </row>
    <row r="4824" spans="1:4" x14ac:dyDescent="0.2">
      <c r="A4824"/>
      <c r="B4824"/>
      <c r="C4824"/>
      <c r="D4824"/>
    </row>
    <row r="4825" spans="1:4" x14ac:dyDescent="0.2">
      <c r="A4825"/>
      <c r="B4825"/>
      <c r="C4825"/>
      <c r="D4825"/>
    </row>
    <row r="4826" spans="1:4" x14ac:dyDescent="0.2">
      <c r="A4826"/>
      <c r="B4826"/>
      <c r="C4826"/>
      <c r="D4826"/>
    </row>
    <row r="4827" spans="1:4" x14ac:dyDescent="0.2">
      <c r="A4827"/>
      <c r="B4827"/>
      <c r="C4827"/>
      <c r="D4827"/>
    </row>
    <row r="4828" spans="1:4" x14ac:dyDescent="0.2">
      <c r="A4828"/>
      <c r="B4828"/>
      <c r="C4828"/>
      <c r="D4828"/>
    </row>
    <row r="4829" spans="1:4" x14ac:dyDescent="0.2">
      <c r="A4829"/>
      <c r="B4829"/>
      <c r="C4829"/>
      <c r="D4829"/>
    </row>
    <row r="4830" spans="1:4" x14ac:dyDescent="0.2">
      <c r="A4830"/>
      <c r="B4830"/>
      <c r="C4830"/>
      <c r="D4830"/>
    </row>
    <row r="4831" spans="1:4" x14ac:dyDescent="0.2">
      <c r="A4831"/>
      <c r="B4831"/>
      <c r="C4831"/>
      <c r="D4831"/>
    </row>
    <row r="4832" spans="1:4" x14ac:dyDescent="0.2">
      <c r="A4832"/>
      <c r="B4832"/>
      <c r="C4832"/>
      <c r="D4832"/>
    </row>
    <row r="4833" spans="1:4" x14ac:dyDescent="0.2">
      <c r="A4833"/>
      <c r="B4833"/>
      <c r="C4833"/>
      <c r="D4833"/>
    </row>
    <row r="4834" spans="1:4" x14ac:dyDescent="0.2">
      <c r="A4834"/>
      <c r="B4834"/>
      <c r="C4834"/>
      <c r="D4834"/>
    </row>
    <row r="4835" spans="1:4" x14ac:dyDescent="0.2">
      <c r="A4835"/>
      <c r="B4835"/>
      <c r="C4835"/>
      <c r="D4835"/>
    </row>
    <row r="4836" spans="1:4" x14ac:dyDescent="0.2">
      <c r="A4836"/>
      <c r="B4836"/>
      <c r="C4836"/>
      <c r="D4836"/>
    </row>
    <row r="4837" spans="1:4" x14ac:dyDescent="0.2">
      <c r="A4837"/>
      <c r="B4837"/>
      <c r="C4837"/>
      <c r="D4837"/>
    </row>
    <row r="4838" spans="1:4" x14ac:dyDescent="0.2">
      <c r="A4838"/>
      <c r="B4838"/>
      <c r="C4838"/>
      <c r="D4838"/>
    </row>
    <row r="4839" spans="1:4" x14ac:dyDescent="0.2">
      <c r="A4839"/>
      <c r="B4839"/>
      <c r="C4839"/>
      <c r="D4839"/>
    </row>
    <row r="4840" spans="1:4" x14ac:dyDescent="0.2">
      <c r="A4840"/>
      <c r="B4840"/>
      <c r="C4840"/>
      <c r="D4840"/>
    </row>
    <row r="4841" spans="1:4" x14ac:dyDescent="0.2">
      <c r="A4841"/>
      <c r="B4841"/>
      <c r="C4841"/>
      <c r="D4841"/>
    </row>
    <row r="4842" spans="1:4" x14ac:dyDescent="0.2">
      <c r="A4842"/>
      <c r="B4842"/>
      <c r="C4842"/>
      <c r="D4842"/>
    </row>
    <row r="4843" spans="1:4" x14ac:dyDescent="0.2">
      <c r="A4843"/>
      <c r="B4843"/>
      <c r="C4843"/>
      <c r="D4843"/>
    </row>
    <row r="4844" spans="1:4" x14ac:dyDescent="0.2">
      <c r="A4844"/>
      <c r="B4844"/>
      <c r="C4844"/>
      <c r="D4844"/>
    </row>
    <row r="4845" spans="1:4" x14ac:dyDescent="0.2">
      <c r="A4845"/>
      <c r="B4845"/>
      <c r="C4845"/>
      <c r="D4845"/>
    </row>
    <row r="4846" spans="1:4" x14ac:dyDescent="0.2">
      <c r="A4846"/>
      <c r="B4846"/>
      <c r="C4846"/>
      <c r="D4846"/>
    </row>
    <row r="4847" spans="1:4" x14ac:dyDescent="0.2">
      <c r="A4847"/>
      <c r="B4847"/>
      <c r="C4847"/>
      <c r="D4847"/>
    </row>
    <row r="4848" spans="1:4" x14ac:dyDescent="0.2">
      <c r="A4848"/>
      <c r="B4848"/>
      <c r="C4848"/>
      <c r="D4848"/>
    </row>
    <row r="4849" spans="1:4" x14ac:dyDescent="0.2">
      <c r="A4849"/>
      <c r="B4849"/>
      <c r="C4849"/>
      <c r="D4849"/>
    </row>
    <row r="4850" spans="1:4" x14ac:dyDescent="0.2">
      <c r="A4850"/>
      <c r="B4850"/>
      <c r="C4850"/>
      <c r="D4850"/>
    </row>
    <row r="4851" spans="1:4" x14ac:dyDescent="0.2">
      <c r="A4851"/>
      <c r="B4851"/>
      <c r="C4851"/>
      <c r="D4851"/>
    </row>
    <row r="4852" spans="1:4" x14ac:dyDescent="0.2">
      <c r="A4852"/>
      <c r="B4852"/>
      <c r="C4852"/>
      <c r="D4852"/>
    </row>
    <row r="4853" spans="1:4" x14ac:dyDescent="0.2">
      <c r="A4853"/>
      <c r="B4853"/>
      <c r="C4853"/>
      <c r="D4853"/>
    </row>
    <row r="4854" spans="1:4" x14ac:dyDescent="0.2">
      <c r="A4854"/>
      <c r="B4854"/>
      <c r="C4854"/>
      <c r="D4854"/>
    </row>
    <row r="4855" spans="1:4" x14ac:dyDescent="0.2">
      <c r="A4855"/>
      <c r="B4855"/>
      <c r="C4855"/>
      <c r="D4855"/>
    </row>
    <row r="4856" spans="1:4" x14ac:dyDescent="0.2">
      <c r="A4856"/>
      <c r="B4856"/>
      <c r="C4856"/>
      <c r="D4856"/>
    </row>
    <row r="4857" spans="1:4" x14ac:dyDescent="0.2">
      <c r="A4857"/>
      <c r="B4857"/>
      <c r="C4857"/>
      <c r="D4857"/>
    </row>
    <row r="4858" spans="1:4" x14ac:dyDescent="0.2">
      <c r="A4858"/>
      <c r="B4858"/>
      <c r="C4858"/>
      <c r="D4858"/>
    </row>
    <row r="4859" spans="1:4" x14ac:dyDescent="0.2">
      <c r="A4859"/>
      <c r="B4859"/>
      <c r="C4859"/>
      <c r="D4859"/>
    </row>
    <row r="4860" spans="1:4" x14ac:dyDescent="0.2">
      <c r="A4860"/>
      <c r="B4860"/>
      <c r="C4860"/>
      <c r="D4860"/>
    </row>
    <row r="4861" spans="1:4" x14ac:dyDescent="0.2">
      <c r="A4861"/>
      <c r="B4861"/>
      <c r="C4861"/>
      <c r="D4861"/>
    </row>
    <row r="4862" spans="1:4" x14ac:dyDescent="0.2">
      <c r="A4862"/>
      <c r="B4862"/>
      <c r="C4862"/>
      <c r="D4862"/>
    </row>
    <row r="4863" spans="1:4" x14ac:dyDescent="0.2">
      <c r="A4863"/>
      <c r="B4863"/>
      <c r="C4863"/>
      <c r="D4863"/>
    </row>
    <row r="4864" spans="1:4" x14ac:dyDescent="0.2">
      <c r="A4864"/>
      <c r="B4864"/>
      <c r="C4864"/>
      <c r="D4864"/>
    </row>
    <row r="4865" spans="1:4" x14ac:dyDescent="0.2">
      <c r="A4865"/>
      <c r="B4865"/>
      <c r="C4865"/>
      <c r="D4865"/>
    </row>
    <row r="4866" spans="1:4" x14ac:dyDescent="0.2">
      <c r="A4866"/>
      <c r="B4866"/>
      <c r="C4866"/>
      <c r="D4866"/>
    </row>
    <row r="4867" spans="1:4" x14ac:dyDescent="0.2">
      <c r="A4867"/>
      <c r="B4867"/>
      <c r="C4867"/>
      <c r="D4867"/>
    </row>
    <row r="4868" spans="1:4" x14ac:dyDescent="0.2">
      <c r="A4868"/>
      <c r="B4868"/>
      <c r="C4868"/>
      <c r="D4868"/>
    </row>
    <row r="4869" spans="1:4" x14ac:dyDescent="0.2">
      <c r="A4869"/>
      <c r="B4869"/>
      <c r="C4869"/>
      <c r="D4869"/>
    </row>
    <row r="4870" spans="1:4" x14ac:dyDescent="0.2">
      <c r="A4870"/>
      <c r="B4870"/>
      <c r="C4870"/>
      <c r="D4870"/>
    </row>
    <row r="4871" spans="1:4" x14ac:dyDescent="0.2">
      <c r="A4871"/>
      <c r="B4871"/>
      <c r="C4871"/>
      <c r="D4871"/>
    </row>
    <row r="4872" spans="1:4" x14ac:dyDescent="0.2">
      <c r="A4872"/>
      <c r="B4872"/>
      <c r="C4872"/>
      <c r="D4872"/>
    </row>
    <row r="4873" spans="1:4" x14ac:dyDescent="0.2">
      <c r="A4873"/>
      <c r="B4873"/>
      <c r="C4873"/>
      <c r="D4873"/>
    </row>
    <row r="4874" spans="1:4" x14ac:dyDescent="0.2">
      <c r="A4874"/>
      <c r="B4874"/>
      <c r="C4874"/>
      <c r="D4874"/>
    </row>
    <row r="4875" spans="1:4" x14ac:dyDescent="0.2">
      <c r="A4875"/>
      <c r="B4875"/>
      <c r="C4875"/>
      <c r="D4875"/>
    </row>
    <row r="4876" spans="1:4" x14ac:dyDescent="0.2">
      <c r="A4876"/>
      <c r="B4876"/>
      <c r="C4876"/>
      <c r="D4876"/>
    </row>
    <row r="4877" spans="1:4" x14ac:dyDescent="0.2">
      <c r="A4877"/>
      <c r="B4877"/>
      <c r="C4877"/>
      <c r="D4877"/>
    </row>
    <row r="4878" spans="1:4" x14ac:dyDescent="0.2">
      <c r="A4878"/>
      <c r="B4878"/>
      <c r="C4878"/>
      <c r="D4878"/>
    </row>
    <row r="4879" spans="1:4" x14ac:dyDescent="0.2">
      <c r="A4879"/>
      <c r="B4879"/>
      <c r="C4879"/>
      <c r="D4879"/>
    </row>
    <row r="4880" spans="1:4" x14ac:dyDescent="0.2">
      <c r="A4880"/>
      <c r="B4880"/>
      <c r="C4880"/>
      <c r="D4880"/>
    </row>
    <row r="4881" spans="1:4" x14ac:dyDescent="0.2">
      <c r="A4881"/>
      <c r="B4881"/>
      <c r="C4881"/>
      <c r="D4881"/>
    </row>
    <row r="4882" spans="1:4" x14ac:dyDescent="0.2">
      <c r="A4882"/>
      <c r="B4882"/>
      <c r="C4882"/>
      <c r="D4882"/>
    </row>
    <row r="4883" spans="1:4" x14ac:dyDescent="0.2">
      <c r="A4883"/>
      <c r="B4883"/>
      <c r="C4883"/>
      <c r="D4883"/>
    </row>
    <row r="4884" spans="1:4" x14ac:dyDescent="0.2">
      <c r="A4884"/>
      <c r="B4884"/>
      <c r="C4884"/>
      <c r="D4884"/>
    </row>
    <row r="4885" spans="1:4" x14ac:dyDescent="0.2">
      <c r="A4885"/>
      <c r="B4885"/>
      <c r="C4885"/>
      <c r="D4885"/>
    </row>
    <row r="4886" spans="1:4" x14ac:dyDescent="0.2">
      <c r="A4886"/>
      <c r="B4886"/>
      <c r="C4886"/>
      <c r="D4886"/>
    </row>
    <row r="4887" spans="1:4" x14ac:dyDescent="0.2">
      <c r="A4887"/>
      <c r="B4887"/>
      <c r="C4887"/>
      <c r="D4887"/>
    </row>
    <row r="4888" spans="1:4" x14ac:dyDescent="0.2">
      <c r="A4888"/>
      <c r="B4888"/>
      <c r="C4888"/>
      <c r="D4888"/>
    </row>
    <row r="4889" spans="1:4" x14ac:dyDescent="0.2">
      <c r="A4889"/>
      <c r="B4889"/>
      <c r="C4889"/>
      <c r="D4889"/>
    </row>
    <row r="4890" spans="1:4" x14ac:dyDescent="0.2">
      <c r="A4890"/>
      <c r="B4890"/>
      <c r="C4890"/>
      <c r="D4890"/>
    </row>
    <row r="4891" spans="1:4" x14ac:dyDescent="0.2">
      <c r="A4891"/>
      <c r="B4891"/>
      <c r="C4891"/>
      <c r="D4891"/>
    </row>
    <row r="4892" spans="1:4" x14ac:dyDescent="0.2">
      <c r="A4892"/>
      <c r="B4892"/>
      <c r="C4892"/>
      <c r="D4892"/>
    </row>
    <row r="4893" spans="1:4" x14ac:dyDescent="0.2">
      <c r="A4893"/>
      <c r="B4893"/>
      <c r="C4893"/>
      <c r="D4893"/>
    </row>
    <row r="4894" spans="1:4" x14ac:dyDescent="0.2">
      <c r="A4894"/>
      <c r="B4894"/>
      <c r="C4894"/>
      <c r="D4894"/>
    </row>
    <row r="4895" spans="1:4" x14ac:dyDescent="0.2">
      <c r="A4895"/>
      <c r="B4895"/>
      <c r="C4895"/>
      <c r="D4895"/>
    </row>
    <row r="4896" spans="1:4" x14ac:dyDescent="0.2">
      <c r="A4896"/>
      <c r="B4896"/>
      <c r="C4896"/>
      <c r="D4896"/>
    </row>
    <row r="4897" spans="1:4" x14ac:dyDescent="0.2">
      <c r="A4897"/>
      <c r="B4897"/>
      <c r="C4897"/>
      <c r="D4897"/>
    </row>
    <row r="4898" spans="1:4" x14ac:dyDescent="0.2">
      <c r="A4898"/>
      <c r="B4898"/>
      <c r="C4898"/>
      <c r="D4898"/>
    </row>
    <row r="4899" spans="1:4" x14ac:dyDescent="0.2">
      <c r="A4899"/>
      <c r="B4899"/>
      <c r="C4899"/>
      <c r="D4899"/>
    </row>
    <row r="4900" spans="1:4" x14ac:dyDescent="0.2">
      <c r="A4900"/>
      <c r="B4900"/>
      <c r="C4900"/>
      <c r="D4900"/>
    </row>
    <row r="4901" spans="1:4" x14ac:dyDescent="0.2">
      <c r="A4901"/>
      <c r="B4901"/>
      <c r="C4901"/>
      <c r="D4901"/>
    </row>
    <row r="4902" spans="1:4" x14ac:dyDescent="0.2">
      <c r="A4902"/>
      <c r="B4902"/>
      <c r="C4902"/>
      <c r="D4902"/>
    </row>
    <row r="4903" spans="1:4" x14ac:dyDescent="0.2">
      <c r="A4903"/>
      <c r="B4903"/>
      <c r="C4903"/>
      <c r="D4903"/>
    </row>
    <row r="4904" spans="1:4" x14ac:dyDescent="0.2">
      <c r="A4904"/>
      <c r="B4904"/>
      <c r="C4904"/>
      <c r="D4904"/>
    </row>
    <row r="4905" spans="1:4" x14ac:dyDescent="0.2">
      <c r="A4905"/>
      <c r="B4905"/>
      <c r="C4905"/>
      <c r="D4905"/>
    </row>
    <row r="4906" spans="1:4" x14ac:dyDescent="0.2">
      <c r="A4906"/>
      <c r="B4906"/>
      <c r="C4906"/>
      <c r="D4906"/>
    </row>
    <row r="4907" spans="1:4" x14ac:dyDescent="0.2">
      <c r="A4907"/>
      <c r="B4907"/>
      <c r="C4907"/>
      <c r="D4907"/>
    </row>
    <row r="4908" spans="1:4" x14ac:dyDescent="0.2">
      <c r="A4908"/>
      <c r="B4908"/>
      <c r="C4908"/>
      <c r="D4908"/>
    </row>
    <row r="4909" spans="1:4" x14ac:dyDescent="0.2">
      <c r="A4909"/>
      <c r="B4909"/>
      <c r="C4909"/>
      <c r="D4909"/>
    </row>
    <row r="4910" spans="1:4" x14ac:dyDescent="0.2">
      <c r="A4910"/>
      <c r="B4910"/>
      <c r="C4910"/>
      <c r="D4910"/>
    </row>
    <row r="4911" spans="1:4" x14ac:dyDescent="0.2">
      <c r="A4911"/>
      <c r="B4911"/>
      <c r="C4911"/>
      <c r="D4911"/>
    </row>
    <row r="4912" spans="1:4" x14ac:dyDescent="0.2">
      <c r="A4912"/>
      <c r="B4912"/>
      <c r="C4912"/>
      <c r="D4912"/>
    </row>
    <row r="4913" spans="1:4" x14ac:dyDescent="0.2">
      <c r="A4913"/>
      <c r="B4913"/>
      <c r="C4913"/>
      <c r="D4913"/>
    </row>
    <row r="4914" spans="1:4" x14ac:dyDescent="0.2">
      <c r="A4914"/>
      <c r="B4914"/>
      <c r="C4914"/>
      <c r="D4914"/>
    </row>
    <row r="4915" spans="1:4" x14ac:dyDescent="0.2">
      <c r="A4915"/>
      <c r="B4915"/>
      <c r="C4915"/>
      <c r="D4915"/>
    </row>
    <row r="4916" spans="1:4" x14ac:dyDescent="0.2">
      <c r="A4916"/>
      <c r="B4916"/>
      <c r="C4916"/>
      <c r="D4916"/>
    </row>
    <row r="4917" spans="1:4" x14ac:dyDescent="0.2">
      <c r="A4917"/>
      <c r="B4917"/>
      <c r="C4917"/>
      <c r="D4917"/>
    </row>
    <row r="4918" spans="1:4" x14ac:dyDescent="0.2">
      <c r="A4918"/>
      <c r="B4918"/>
      <c r="C4918"/>
      <c r="D4918"/>
    </row>
    <row r="4919" spans="1:4" x14ac:dyDescent="0.2">
      <c r="A4919"/>
      <c r="B4919"/>
      <c r="C4919"/>
      <c r="D4919"/>
    </row>
    <row r="4920" spans="1:4" x14ac:dyDescent="0.2">
      <c r="A4920"/>
      <c r="B4920"/>
      <c r="C4920"/>
      <c r="D4920"/>
    </row>
    <row r="4921" spans="1:4" x14ac:dyDescent="0.2">
      <c r="A4921"/>
      <c r="B4921"/>
      <c r="C4921"/>
      <c r="D4921"/>
    </row>
    <row r="4922" spans="1:4" x14ac:dyDescent="0.2">
      <c r="A4922"/>
      <c r="B4922"/>
      <c r="C4922"/>
      <c r="D4922"/>
    </row>
    <row r="4923" spans="1:4" x14ac:dyDescent="0.2">
      <c r="A4923"/>
      <c r="B4923"/>
      <c r="C4923"/>
      <c r="D4923"/>
    </row>
    <row r="4924" spans="1:4" x14ac:dyDescent="0.2">
      <c r="A4924"/>
      <c r="B4924"/>
      <c r="C4924"/>
      <c r="D4924"/>
    </row>
    <row r="4925" spans="1:4" x14ac:dyDescent="0.2">
      <c r="A4925"/>
      <c r="B4925"/>
      <c r="C4925"/>
      <c r="D4925"/>
    </row>
    <row r="4926" spans="1:4" x14ac:dyDescent="0.2">
      <c r="A4926"/>
      <c r="B4926"/>
      <c r="C4926"/>
      <c r="D4926"/>
    </row>
    <row r="4927" spans="1:4" x14ac:dyDescent="0.2">
      <c r="A4927"/>
      <c r="B4927"/>
      <c r="C4927"/>
      <c r="D4927"/>
    </row>
    <row r="4928" spans="1:4" x14ac:dyDescent="0.2">
      <c r="A4928"/>
      <c r="B4928"/>
      <c r="C4928"/>
      <c r="D4928"/>
    </row>
    <row r="4929" spans="1:4" x14ac:dyDescent="0.2">
      <c r="A4929"/>
      <c r="B4929"/>
      <c r="C4929"/>
      <c r="D4929"/>
    </row>
    <row r="4930" spans="1:4" x14ac:dyDescent="0.2">
      <c r="A4930"/>
      <c r="B4930"/>
      <c r="C4930"/>
      <c r="D4930"/>
    </row>
    <row r="4931" spans="1:4" x14ac:dyDescent="0.2">
      <c r="A4931"/>
      <c r="B4931"/>
      <c r="C4931"/>
      <c r="D4931"/>
    </row>
    <row r="4932" spans="1:4" x14ac:dyDescent="0.2">
      <c r="A4932"/>
      <c r="B4932"/>
      <c r="C4932"/>
      <c r="D4932"/>
    </row>
    <row r="4933" spans="1:4" x14ac:dyDescent="0.2">
      <c r="A4933"/>
      <c r="B4933"/>
      <c r="C4933"/>
      <c r="D4933"/>
    </row>
    <row r="4934" spans="1:4" x14ac:dyDescent="0.2">
      <c r="A4934"/>
      <c r="B4934"/>
      <c r="C4934"/>
      <c r="D4934"/>
    </row>
    <row r="4935" spans="1:4" x14ac:dyDescent="0.2">
      <c r="A4935"/>
      <c r="B4935"/>
      <c r="C4935"/>
      <c r="D4935"/>
    </row>
    <row r="4936" spans="1:4" x14ac:dyDescent="0.2">
      <c r="A4936"/>
      <c r="B4936"/>
      <c r="C4936"/>
      <c r="D4936"/>
    </row>
    <row r="4937" spans="1:4" x14ac:dyDescent="0.2">
      <c r="A4937"/>
      <c r="B4937"/>
      <c r="C4937"/>
      <c r="D4937"/>
    </row>
    <row r="4938" spans="1:4" x14ac:dyDescent="0.2">
      <c r="A4938"/>
      <c r="B4938"/>
      <c r="C4938"/>
      <c r="D4938"/>
    </row>
    <row r="4939" spans="1:4" x14ac:dyDescent="0.2">
      <c r="A4939"/>
      <c r="B4939"/>
      <c r="C4939"/>
      <c r="D4939"/>
    </row>
    <row r="4940" spans="1:4" x14ac:dyDescent="0.2">
      <c r="A4940"/>
      <c r="B4940"/>
      <c r="C4940"/>
      <c r="D4940"/>
    </row>
    <row r="4941" spans="1:4" x14ac:dyDescent="0.2">
      <c r="A4941"/>
      <c r="B4941"/>
      <c r="C4941"/>
      <c r="D4941"/>
    </row>
    <row r="4942" spans="1:4" x14ac:dyDescent="0.2">
      <c r="A4942"/>
      <c r="B4942"/>
      <c r="C4942"/>
      <c r="D4942"/>
    </row>
    <row r="4943" spans="1:4" x14ac:dyDescent="0.2">
      <c r="A4943"/>
      <c r="B4943"/>
      <c r="C4943"/>
      <c r="D4943"/>
    </row>
    <row r="4944" spans="1:4" x14ac:dyDescent="0.2">
      <c r="A4944"/>
      <c r="B4944"/>
      <c r="C4944"/>
      <c r="D4944"/>
    </row>
    <row r="4945" spans="1:4" x14ac:dyDescent="0.2">
      <c r="A4945"/>
      <c r="B4945"/>
      <c r="C4945"/>
      <c r="D4945"/>
    </row>
    <row r="4946" spans="1:4" x14ac:dyDescent="0.2">
      <c r="A4946"/>
      <c r="B4946"/>
      <c r="C4946"/>
      <c r="D4946"/>
    </row>
    <row r="4947" spans="1:4" x14ac:dyDescent="0.2">
      <c r="A4947"/>
      <c r="B4947"/>
      <c r="C4947"/>
      <c r="D4947"/>
    </row>
    <row r="4948" spans="1:4" x14ac:dyDescent="0.2">
      <c r="A4948"/>
      <c r="B4948"/>
      <c r="C4948"/>
      <c r="D4948"/>
    </row>
    <row r="4949" spans="1:4" x14ac:dyDescent="0.2">
      <c r="A4949"/>
      <c r="B4949"/>
      <c r="C4949"/>
      <c r="D4949"/>
    </row>
    <row r="4950" spans="1:4" x14ac:dyDescent="0.2">
      <c r="A4950"/>
      <c r="B4950"/>
      <c r="C4950"/>
      <c r="D4950"/>
    </row>
    <row r="4951" spans="1:4" x14ac:dyDescent="0.2">
      <c r="A4951"/>
      <c r="B4951"/>
      <c r="C4951"/>
      <c r="D4951"/>
    </row>
    <row r="4952" spans="1:4" x14ac:dyDescent="0.2">
      <c r="A4952"/>
      <c r="B4952"/>
      <c r="C4952"/>
      <c r="D4952"/>
    </row>
    <row r="4953" spans="1:4" x14ac:dyDescent="0.2">
      <c r="A4953"/>
      <c r="B4953"/>
      <c r="C4953"/>
      <c r="D4953"/>
    </row>
    <row r="4954" spans="1:4" x14ac:dyDescent="0.2">
      <c r="A4954"/>
      <c r="B4954"/>
      <c r="C4954"/>
      <c r="D4954"/>
    </row>
    <row r="4955" spans="1:4" x14ac:dyDescent="0.2">
      <c r="A4955"/>
      <c r="B4955"/>
      <c r="C4955"/>
      <c r="D4955"/>
    </row>
    <row r="4956" spans="1:4" x14ac:dyDescent="0.2">
      <c r="A4956"/>
      <c r="B4956"/>
      <c r="C4956"/>
      <c r="D4956"/>
    </row>
    <row r="4957" spans="1:4" x14ac:dyDescent="0.2">
      <c r="A4957"/>
      <c r="B4957"/>
      <c r="C4957"/>
      <c r="D4957"/>
    </row>
    <row r="4958" spans="1:4" x14ac:dyDescent="0.2">
      <c r="A4958"/>
      <c r="B4958"/>
      <c r="C4958"/>
      <c r="D4958"/>
    </row>
    <row r="4959" spans="1:4" x14ac:dyDescent="0.2">
      <c r="A4959"/>
      <c r="B4959"/>
      <c r="C4959"/>
      <c r="D4959"/>
    </row>
    <row r="4960" spans="1:4" x14ac:dyDescent="0.2">
      <c r="A4960"/>
      <c r="B4960"/>
      <c r="C4960"/>
      <c r="D4960"/>
    </row>
    <row r="4961" spans="1:4" x14ac:dyDescent="0.2">
      <c r="A4961"/>
      <c r="B4961"/>
      <c r="C4961"/>
      <c r="D4961"/>
    </row>
    <row r="4962" spans="1:4" x14ac:dyDescent="0.2">
      <c r="A4962"/>
      <c r="B4962"/>
      <c r="C4962"/>
      <c r="D4962"/>
    </row>
    <row r="4963" spans="1:4" x14ac:dyDescent="0.2">
      <c r="A4963"/>
      <c r="B4963"/>
      <c r="C4963"/>
      <c r="D4963"/>
    </row>
    <row r="4964" spans="1:4" x14ac:dyDescent="0.2">
      <c r="A4964"/>
      <c r="B4964"/>
      <c r="C4964"/>
      <c r="D4964"/>
    </row>
    <row r="4965" spans="1:4" x14ac:dyDescent="0.2">
      <c r="A4965"/>
      <c r="B4965"/>
      <c r="C4965"/>
      <c r="D4965"/>
    </row>
    <row r="4966" spans="1:4" x14ac:dyDescent="0.2">
      <c r="A4966"/>
      <c r="B4966"/>
      <c r="C4966"/>
      <c r="D4966"/>
    </row>
    <row r="4967" spans="1:4" x14ac:dyDescent="0.2">
      <c r="A4967"/>
      <c r="B4967"/>
      <c r="C4967"/>
      <c r="D4967"/>
    </row>
    <row r="4968" spans="1:4" x14ac:dyDescent="0.2">
      <c r="A4968"/>
      <c r="B4968"/>
      <c r="C4968"/>
      <c r="D4968"/>
    </row>
    <row r="4969" spans="1:4" x14ac:dyDescent="0.2">
      <c r="A4969"/>
      <c r="B4969"/>
      <c r="C4969"/>
      <c r="D4969"/>
    </row>
    <row r="4970" spans="1:4" x14ac:dyDescent="0.2">
      <c r="A4970"/>
      <c r="B4970"/>
      <c r="C4970"/>
      <c r="D4970"/>
    </row>
    <row r="4971" spans="1:4" x14ac:dyDescent="0.2">
      <c r="A4971"/>
      <c r="B4971"/>
      <c r="C4971"/>
      <c r="D4971"/>
    </row>
    <row r="4972" spans="1:4" x14ac:dyDescent="0.2">
      <c r="A4972"/>
      <c r="B4972"/>
      <c r="C4972"/>
      <c r="D4972"/>
    </row>
    <row r="4973" spans="1:4" x14ac:dyDescent="0.2">
      <c r="A4973"/>
      <c r="B4973"/>
      <c r="C4973"/>
      <c r="D4973"/>
    </row>
    <row r="4974" spans="1:4" x14ac:dyDescent="0.2">
      <c r="A4974"/>
      <c r="B4974"/>
      <c r="C4974"/>
      <c r="D4974"/>
    </row>
    <row r="4975" spans="1:4" x14ac:dyDescent="0.2">
      <c r="A4975"/>
      <c r="B4975"/>
      <c r="C4975"/>
      <c r="D4975"/>
    </row>
    <row r="4976" spans="1:4" x14ac:dyDescent="0.2">
      <c r="A4976"/>
      <c r="B4976"/>
      <c r="C4976"/>
      <c r="D4976"/>
    </row>
    <row r="4977" spans="1:4" x14ac:dyDescent="0.2">
      <c r="A4977"/>
      <c r="B4977"/>
      <c r="C4977"/>
      <c r="D4977"/>
    </row>
    <row r="4978" spans="1:4" x14ac:dyDescent="0.2">
      <c r="A4978"/>
      <c r="B4978"/>
      <c r="C4978"/>
      <c r="D4978"/>
    </row>
    <row r="4979" spans="1:4" x14ac:dyDescent="0.2">
      <c r="A4979"/>
      <c r="B4979"/>
      <c r="C4979"/>
      <c r="D4979"/>
    </row>
    <row r="4980" spans="1:4" x14ac:dyDescent="0.2">
      <c r="A4980"/>
      <c r="B4980"/>
      <c r="C4980"/>
      <c r="D4980"/>
    </row>
    <row r="4981" spans="1:4" x14ac:dyDescent="0.2">
      <c r="A4981"/>
      <c r="B4981"/>
      <c r="C4981"/>
      <c r="D4981"/>
    </row>
    <row r="4982" spans="1:4" x14ac:dyDescent="0.2">
      <c r="A4982"/>
      <c r="B4982"/>
      <c r="C4982"/>
      <c r="D4982"/>
    </row>
    <row r="4983" spans="1:4" x14ac:dyDescent="0.2">
      <c r="A4983"/>
      <c r="B4983"/>
      <c r="C4983"/>
      <c r="D4983"/>
    </row>
    <row r="4984" spans="1:4" x14ac:dyDescent="0.2">
      <c r="A4984"/>
      <c r="B4984"/>
      <c r="C4984"/>
      <c r="D4984"/>
    </row>
    <row r="4985" spans="1:4" x14ac:dyDescent="0.2">
      <c r="A4985"/>
      <c r="B4985"/>
      <c r="C4985"/>
      <c r="D4985"/>
    </row>
    <row r="4986" spans="1:4" x14ac:dyDescent="0.2">
      <c r="A4986"/>
      <c r="B4986"/>
      <c r="C4986"/>
      <c r="D4986"/>
    </row>
    <row r="4987" spans="1:4" x14ac:dyDescent="0.2">
      <c r="A4987"/>
      <c r="B4987"/>
      <c r="C4987"/>
      <c r="D4987"/>
    </row>
    <row r="4988" spans="1:4" x14ac:dyDescent="0.2">
      <c r="A4988"/>
      <c r="B4988"/>
      <c r="C4988"/>
      <c r="D4988"/>
    </row>
    <row r="4989" spans="1:4" x14ac:dyDescent="0.2">
      <c r="A4989"/>
      <c r="B4989"/>
      <c r="C4989"/>
      <c r="D4989"/>
    </row>
    <row r="4990" spans="1:4" x14ac:dyDescent="0.2">
      <c r="A4990"/>
      <c r="B4990"/>
      <c r="C4990"/>
      <c r="D4990"/>
    </row>
    <row r="4991" spans="1:4" x14ac:dyDescent="0.2">
      <c r="A4991"/>
      <c r="B4991"/>
      <c r="C4991"/>
      <c r="D4991"/>
    </row>
    <row r="4992" spans="1:4" x14ac:dyDescent="0.2">
      <c r="A4992"/>
      <c r="B4992"/>
      <c r="C4992"/>
      <c r="D4992"/>
    </row>
    <row r="4993" spans="1:4" x14ac:dyDescent="0.2">
      <c r="A4993"/>
      <c r="B4993"/>
      <c r="C4993"/>
      <c r="D4993"/>
    </row>
    <row r="4994" spans="1:4" x14ac:dyDescent="0.2">
      <c r="A4994"/>
      <c r="B4994"/>
      <c r="C4994"/>
      <c r="D4994"/>
    </row>
    <row r="4995" spans="1:4" x14ac:dyDescent="0.2">
      <c r="A4995"/>
      <c r="B4995"/>
      <c r="C4995"/>
      <c r="D4995"/>
    </row>
    <row r="4996" spans="1:4" x14ac:dyDescent="0.2">
      <c r="A4996"/>
      <c r="B4996"/>
      <c r="C4996"/>
      <c r="D4996"/>
    </row>
    <row r="4997" spans="1:4" x14ac:dyDescent="0.2">
      <c r="A4997"/>
      <c r="B4997"/>
      <c r="C4997"/>
      <c r="D4997"/>
    </row>
    <row r="4998" spans="1:4" x14ac:dyDescent="0.2">
      <c r="A4998"/>
      <c r="B4998"/>
      <c r="C4998"/>
      <c r="D4998"/>
    </row>
    <row r="4999" spans="1:4" x14ac:dyDescent="0.2">
      <c r="A4999"/>
      <c r="B4999"/>
      <c r="C4999"/>
      <c r="D4999"/>
    </row>
    <row r="5000" spans="1:4" x14ac:dyDescent="0.2">
      <c r="A5000"/>
      <c r="B5000"/>
      <c r="C5000"/>
      <c r="D5000"/>
    </row>
    <row r="5001" spans="1:4" x14ac:dyDescent="0.2">
      <c r="A5001"/>
      <c r="B5001"/>
      <c r="C5001"/>
      <c r="D5001"/>
    </row>
    <row r="5002" spans="1:4" x14ac:dyDescent="0.2">
      <c r="A5002"/>
      <c r="B5002"/>
      <c r="C5002"/>
      <c r="D5002"/>
    </row>
    <row r="5003" spans="1:4" x14ac:dyDescent="0.2">
      <c r="A5003"/>
      <c r="B5003"/>
      <c r="C5003"/>
      <c r="D5003"/>
    </row>
    <row r="5004" spans="1:4" x14ac:dyDescent="0.2">
      <c r="A5004"/>
      <c r="B5004"/>
      <c r="C5004"/>
      <c r="D5004"/>
    </row>
    <row r="5005" spans="1:4" x14ac:dyDescent="0.2">
      <c r="A5005"/>
      <c r="B5005"/>
      <c r="C5005"/>
      <c r="D5005"/>
    </row>
    <row r="5006" spans="1:4" x14ac:dyDescent="0.2">
      <c r="A5006"/>
      <c r="B5006"/>
      <c r="C5006"/>
      <c r="D5006"/>
    </row>
    <row r="5007" spans="1:4" x14ac:dyDescent="0.2">
      <c r="A5007"/>
      <c r="B5007"/>
      <c r="C5007"/>
      <c r="D5007"/>
    </row>
    <row r="5008" spans="1:4" x14ac:dyDescent="0.2">
      <c r="A5008"/>
      <c r="B5008"/>
      <c r="C5008"/>
      <c r="D5008"/>
    </row>
    <row r="5009" spans="1:4" x14ac:dyDescent="0.2">
      <c r="A5009"/>
      <c r="B5009"/>
      <c r="C5009"/>
      <c r="D5009"/>
    </row>
    <row r="5010" spans="1:4" x14ac:dyDescent="0.2">
      <c r="A5010"/>
      <c r="B5010"/>
      <c r="C5010"/>
      <c r="D5010"/>
    </row>
    <row r="5011" spans="1:4" x14ac:dyDescent="0.2">
      <c r="A5011"/>
      <c r="B5011"/>
      <c r="C5011"/>
      <c r="D5011"/>
    </row>
    <row r="5012" spans="1:4" x14ac:dyDescent="0.2">
      <c r="A5012"/>
      <c r="B5012"/>
      <c r="C5012"/>
      <c r="D5012"/>
    </row>
    <row r="5013" spans="1:4" x14ac:dyDescent="0.2">
      <c r="A5013"/>
      <c r="B5013"/>
      <c r="C5013"/>
      <c r="D5013"/>
    </row>
    <row r="5014" spans="1:4" x14ac:dyDescent="0.2">
      <c r="A5014"/>
      <c r="B5014"/>
      <c r="C5014"/>
      <c r="D5014"/>
    </row>
    <row r="5015" spans="1:4" x14ac:dyDescent="0.2">
      <c r="A5015"/>
      <c r="B5015"/>
      <c r="C5015"/>
      <c r="D5015"/>
    </row>
    <row r="5016" spans="1:4" x14ac:dyDescent="0.2">
      <c r="A5016"/>
      <c r="B5016"/>
      <c r="C5016"/>
      <c r="D5016"/>
    </row>
    <row r="5017" spans="1:4" x14ac:dyDescent="0.2">
      <c r="A5017"/>
      <c r="B5017"/>
      <c r="C5017"/>
      <c r="D5017"/>
    </row>
    <row r="5018" spans="1:4" x14ac:dyDescent="0.2">
      <c r="A5018"/>
      <c r="B5018"/>
      <c r="C5018"/>
      <c r="D5018"/>
    </row>
    <row r="5019" spans="1:4" x14ac:dyDescent="0.2">
      <c r="A5019"/>
      <c r="B5019"/>
      <c r="C5019"/>
      <c r="D5019"/>
    </row>
    <row r="5020" spans="1:4" x14ac:dyDescent="0.2">
      <c r="A5020"/>
      <c r="B5020"/>
      <c r="C5020"/>
      <c r="D5020"/>
    </row>
    <row r="5021" spans="1:4" x14ac:dyDescent="0.2">
      <c r="A5021"/>
      <c r="B5021"/>
      <c r="C5021"/>
      <c r="D5021"/>
    </row>
    <row r="5022" spans="1:4" x14ac:dyDescent="0.2">
      <c r="A5022"/>
      <c r="B5022"/>
      <c r="C5022"/>
      <c r="D5022"/>
    </row>
    <row r="5023" spans="1:4" x14ac:dyDescent="0.2">
      <c r="A5023"/>
      <c r="B5023"/>
      <c r="C5023"/>
      <c r="D5023"/>
    </row>
    <row r="5024" spans="1:4" x14ac:dyDescent="0.2">
      <c r="A5024"/>
      <c r="B5024"/>
      <c r="C5024"/>
      <c r="D5024"/>
    </row>
    <row r="5025" spans="1:4" x14ac:dyDescent="0.2">
      <c r="A5025"/>
      <c r="B5025"/>
      <c r="C5025"/>
      <c r="D5025"/>
    </row>
    <row r="5026" spans="1:4" x14ac:dyDescent="0.2">
      <c r="A5026"/>
      <c r="B5026"/>
      <c r="C5026"/>
      <c r="D5026"/>
    </row>
    <row r="5027" spans="1:4" x14ac:dyDescent="0.2">
      <c r="A5027"/>
      <c r="B5027"/>
      <c r="C5027"/>
      <c r="D5027"/>
    </row>
    <row r="5028" spans="1:4" x14ac:dyDescent="0.2">
      <c r="A5028"/>
      <c r="B5028"/>
      <c r="C5028"/>
      <c r="D5028"/>
    </row>
    <row r="5029" spans="1:4" x14ac:dyDescent="0.2">
      <c r="A5029"/>
      <c r="B5029"/>
      <c r="C5029"/>
      <c r="D5029"/>
    </row>
    <row r="5030" spans="1:4" x14ac:dyDescent="0.2">
      <c r="A5030"/>
      <c r="B5030"/>
      <c r="C5030"/>
      <c r="D5030"/>
    </row>
    <row r="5031" spans="1:4" x14ac:dyDescent="0.2">
      <c r="A5031"/>
      <c r="B5031"/>
      <c r="C5031"/>
      <c r="D5031"/>
    </row>
    <row r="5032" spans="1:4" x14ac:dyDescent="0.2">
      <c r="A5032"/>
      <c r="B5032"/>
      <c r="C5032"/>
      <c r="D5032"/>
    </row>
    <row r="5033" spans="1:4" x14ac:dyDescent="0.2">
      <c r="A5033"/>
      <c r="B5033"/>
      <c r="C5033"/>
      <c r="D5033"/>
    </row>
    <row r="5034" spans="1:4" x14ac:dyDescent="0.2">
      <c r="A5034"/>
      <c r="B5034"/>
      <c r="C5034"/>
      <c r="D5034"/>
    </row>
    <row r="5035" spans="1:4" x14ac:dyDescent="0.2">
      <c r="A5035"/>
      <c r="B5035"/>
      <c r="C5035"/>
      <c r="D5035"/>
    </row>
    <row r="5036" spans="1:4" x14ac:dyDescent="0.2">
      <c r="A5036"/>
      <c r="B5036"/>
      <c r="C5036"/>
      <c r="D5036"/>
    </row>
    <row r="5037" spans="1:4" x14ac:dyDescent="0.2">
      <c r="A5037"/>
      <c r="B5037"/>
      <c r="C5037"/>
      <c r="D5037"/>
    </row>
    <row r="5038" spans="1:4" x14ac:dyDescent="0.2">
      <c r="A5038"/>
      <c r="B5038"/>
      <c r="C5038"/>
      <c r="D5038"/>
    </row>
    <row r="5039" spans="1:4" x14ac:dyDescent="0.2">
      <c r="A5039"/>
      <c r="B5039"/>
      <c r="C5039"/>
      <c r="D5039"/>
    </row>
    <row r="5040" spans="1:4" x14ac:dyDescent="0.2">
      <c r="A5040"/>
      <c r="B5040"/>
      <c r="C5040"/>
      <c r="D5040"/>
    </row>
    <row r="5041" spans="1:4" x14ac:dyDescent="0.2">
      <c r="A5041"/>
      <c r="B5041"/>
      <c r="C5041"/>
      <c r="D5041"/>
    </row>
    <row r="5042" spans="1:4" x14ac:dyDescent="0.2">
      <c r="A5042"/>
      <c r="B5042"/>
      <c r="C5042"/>
      <c r="D5042"/>
    </row>
    <row r="5043" spans="1:4" x14ac:dyDescent="0.2">
      <c r="A5043"/>
      <c r="B5043"/>
      <c r="C5043"/>
      <c r="D5043"/>
    </row>
    <row r="5044" spans="1:4" x14ac:dyDescent="0.2">
      <c r="A5044"/>
      <c r="B5044"/>
      <c r="C5044"/>
      <c r="D5044"/>
    </row>
    <row r="5045" spans="1:4" x14ac:dyDescent="0.2">
      <c r="A5045"/>
      <c r="B5045"/>
      <c r="C5045"/>
      <c r="D5045"/>
    </row>
    <row r="5046" spans="1:4" x14ac:dyDescent="0.2">
      <c r="A5046"/>
      <c r="B5046"/>
      <c r="C5046"/>
      <c r="D5046"/>
    </row>
    <row r="5047" spans="1:4" x14ac:dyDescent="0.2">
      <c r="A5047"/>
      <c r="B5047"/>
      <c r="C5047"/>
      <c r="D5047"/>
    </row>
    <row r="5048" spans="1:4" x14ac:dyDescent="0.2">
      <c r="A5048"/>
      <c r="B5048"/>
      <c r="C5048"/>
      <c r="D5048"/>
    </row>
    <row r="5049" spans="1:4" x14ac:dyDescent="0.2">
      <c r="A5049"/>
      <c r="B5049"/>
      <c r="C5049"/>
      <c r="D5049"/>
    </row>
    <row r="5050" spans="1:4" x14ac:dyDescent="0.2">
      <c r="A5050"/>
      <c r="B5050"/>
      <c r="C5050"/>
      <c r="D5050"/>
    </row>
    <row r="5051" spans="1:4" x14ac:dyDescent="0.2">
      <c r="A5051"/>
      <c r="B5051"/>
      <c r="C5051"/>
      <c r="D5051"/>
    </row>
    <row r="5052" spans="1:4" x14ac:dyDescent="0.2">
      <c r="A5052"/>
      <c r="B5052"/>
      <c r="C5052"/>
      <c r="D5052"/>
    </row>
    <row r="5053" spans="1:4" x14ac:dyDescent="0.2">
      <c r="A5053"/>
      <c r="B5053"/>
      <c r="C5053"/>
      <c r="D5053"/>
    </row>
    <row r="5054" spans="1:4" x14ac:dyDescent="0.2">
      <c r="A5054"/>
      <c r="B5054"/>
      <c r="C5054"/>
      <c r="D5054"/>
    </row>
    <row r="5055" spans="1:4" x14ac:dyDescent="0.2">
      <c r="A5055"/>
      <c r="B5055"/>
      <c r="C5055"/>
      <c r="D5055"/>
    </row>
    <row r="5056" spans="1:4" x14ac:dyDescent="0.2">
      <c r="A5056"/>
      <c r="B5056"/>
      <c r="C5056"/>
      <c r="D5056"/>
    </row>
    <row r="5057" spans="1:4" x14ac:dyDescent="0.2">
      <c r="A5057"/>
      <c r="B5057"/>
      <c r="C5057"/>
      <c r="D5057"/>
    </row>
    <row r="5058" spans="1:4" x14ac:dyDescent="0.2">
      <c r="A5058"/>
      <c r="B5058"/>
      <c r="C5058"/>
      <c r="D5058"/>
    </row>
    <row r="5059" spans="1:4" x14ac:dyDescent="0.2">
      <c r="A5059"/>
      <c r="B5059"/>
      <c r="C5059"/>
      <c r="D5059"/>
    </row>
    <row r="5060" spans="1:4" x14ac:dyDescent="0.2">
      <c r="A5060"/>
      <c r="B5060"/>
      <c r="C5060"/>
      <c r="D5060"/>
    </row>
    <row r="5061" spans="1:4" x14ac:dyDescent="0.2">
      <c r="A5061"/>
      <c r="B5061"/>
      <c r="C5061"/>
      <c r="D5061"/>
    </row>
    <row r="5062" spans="1:4" x14ac:dyDescent="0.2">
      <c r="A5062"/>
      <c r="B5062"/>
      <c r="C5062"/>
      <c r="D5062"/>
    </row>
    <row r="5063" spans="1:4" x14ac:dyDescent="0.2">
      <c r="A5063"/>
      <c r="B5063"/>
      <c r="C5063"/>
      <c r="D5063"/>
    </row>
    <row r="5064" spans="1:4" x14ac:dyDescent="0.2">
      <c r="A5064"/>
      <c r="B5064"/>
      <c r="C5064"/>
      <c r="D5064"/>
    </row>
    <row r="5065" spans="1:4" x14ac:dyDescent="0.2">
      <c r="A5065"/>
      <c r="B5065"/>
      <c r="C5065"/>
      <c r="D5065"/>
    </row>
    <row r="5066" spans="1:4" x14ac:dyDescent="0.2">
      <c r="A5066"/>
      <c r="B5066"/>
      <c r="C5066"/>
      <c r="D5066"/>
    </row>
    <row r="5067" spans="1:4" x14ac:dyDescent="0.2">
      <c r="A5067"/>
      <c r="B5067"/>
      <c r="C5067"/>
      <c r="D5067"/>
    </row>
    <row r="5068" spans="1:4" x14ac:dyDescent="0.2">
      <c r="A5068"/>
      <c r="B5068"/>
      <c r="C5068"/>
      <c r="D5068"/>
    </row>
    <row r="5069" spans="1:4" x14ac:dyDescent="0.2">
      <c r="A5069"/>
      <c r="B5069"/>
      <c r="C5069"/>
      <c r="D5069"/>
    </row>
    <row r="5070" spans="1:4" x14ac:dyDescent="0.2">
      <c r="A5070"/>
      <c r="B5070"/>
      <c r="C5070"/>
      <c r="D5070"/>
    </row>
    <row r="5071" spans="1:4" x14ac:dyDescent="0.2">
      <c r="A5071"/>
      <c r="B5071"/>
      <c r="C5071"/>
      <c r="D5071"/>
    </row>
    <row r="5072" spans="1:4" x14ac:dyDescent="0.2">
      <c r="A5072"/>
      <c r="B5072"/>
      <c r="C5072"/>
      <c r="D5072"/>
    </row>
    <row r="5073" spans="1:4" x14ac:dyDescent="0.2">
      <c r="A5073"/>
      <c r="B5073"/>
      <c r="C5073"/>
      <c r="D5073"/>
    </row>
    <row r="5074" spans="1:4" x14ac:dyDescent="0.2">
      <c r="A5074"/>
      <c r="B5074"/>
      <c r="C5074"/>
      <c r="D5074"/>
    </row>
    <row r="5075" spans="1:4" x14ac:dyDescent="0.2">
      <c r="A5075"/>
      <c r="B5075"/>
      <c r="C5075"/>
      <c r="D5075"/>
    </row>
    <row r="5076" spans="1:4" x14ac:dyDescent="0.2">
      <c r="A5076"/>
      <c r="B5076"/>
      <c r="C5076"/>
      <c r="D5076"/>
    </row>
    <row r="5077" spans="1:4" x14ac:dyDescent="0.2">
      <c r="A5077"/>
      <c r="B5077"/>
      <c r="C5077"/>
      <c r="D5077"/>
    </row>
    <row r="5078" spans="1:4" x14ac:dyDescent="0.2">
      <c r="A5078"/>
      <c r="B5078"/>
      <c r="C5078"/>
      <c r="D5078"/>
    </row>
    <row r="5079" spans="1:4" x14ac:dyDescent="0.2">
      <c r="A5079"/>
      <c r="B5079"/>
      <c r="C5079"/>
      <c r="D5079"/>
    </row>
    <row r="5080" spans="1:4" x14ac:dyDescent="0.2">
      <c r="A5080"/>
      <c r="B5080"/>
      <c r="C5080"/>
      <c r="D5080"/>
    </row>
    <row r="5081" spans="1:4" x14ac:dyDescent="0.2">
      <c r="A5081"/>
      <c r="B5081"/>
      <c r="C5081"/>
      <c r="D5081"/>
    </row>
    <row r="5082" spans="1:4" x14ac:dyDescent="0.2">
      <c r="A5082"/>
      <c r="B5082"/>
      <c r="C5082"/>
      <c r="D5082"/>
    </row>
    <row r="5083" spans="1:4" x14ac:dyDescent="0.2">
      <c r="A5083"/>
      <c r="B5083"/>
      <c r="C5083"/>
      <c r="D5083"/>
    </row>
    <row r="5084" spans="1:4" x14ac:dyDescent="0.2">
      <c r="A5084"/>
      <c r="B5084"/>
      <c r="C5084"/>
      <c r="D5084"/>
    </row>
    <row r="5085" spans="1:4" x14ac:dyDescent="0.2">
      <c r="A5085"/>
      <c r="B5085"/>
      <c r="C5085"/>
      <c r="D5085"/>
    </row>
    <row r="5086" spans="1:4" x14ac:dyDescent="0.2">
      <c r="A5086"/>
      <c r="B5086"/>
      <c r="C5086"/>
      <c r="D5086"/>
    </row>
    <row r="5087" spans="1:4" x14ac:dyDescent="0.2">
      <c r="A5087"/>
      <c r="B5087"/>
      <c r="C5087"/>
      <c r="D5087"/>
    </row>
    <row r="5088" spans="1:4" x14ac:dyDescent="0.2">
      <c r="A5088"/>
      <c r="B5088"/>
      <c r="C5088"/>
      <c r="D5088"/>
    </row>
    <row r="5089" spans="1:4" x14ac:dyDescent="0.2">
      <c r="A5089"/>
      <c r="B5089"/>
      <c r="C5089"/>
      <c r="D5089"/>
    </row>
    <row r="5090" spans="1:4" x14ac:dyDescent="0.2">
      <c r="A5090"/>
      <c r="B5090"/>
      <c r="C5090"/>
      <c r="D5090"/>
    </row>
    <row r="5091" spans="1:4" x14ac:dyDescent="0.2">
      <c r="A5091"/>
      <c r="B5091"/>
      <c r="C5091"/>
      <c r="D5091"/>
    </row>
    <row r="5092" spans="1:4" x14ac:dyDescent="0.2">
      <c r="A5092"/>
      <c r="B5092"/>
      <c r="C5092"/>
      <c r="D5092"/>
    </row>
    <row r="5093" spans="1:4" x14ac:dyDescent="0.2">
      <c r="A5093"/>
      <c r="B5093"/>
      <c r="C5093"/>
      <c r="D5093"/>
    </row>
    <row r="5094" spans="1:4" x14ac:dyDescent="0.2">
      <c r="A5094"/>
      <c r="B5094"/>
      <c r="C5094"/>
      <c r="D5094"/>
    </row>
    <row r="5095" spans="1:4" x14ac:dyDescent="0.2">
      <c r="A5095"/>
      <c r="B5095"/>
      <c r="C5095"/>
      <c r="D5095"/>
    </row>
    <row r="5096" spans="1:4" x14ac:dyDescent="0.2">
      <c r="A5096"/>
      <c r="B5096"/>
      <c r="C5096"/>
      <c r="D5096"/>
    </row>
    <row r="5097" spans="1:4" x14ac:dyDescent="0.2">
      <c r="A5097"/>
      <c r="B5097"/>
      <c r="C5097"/>
      <c r="D5097"/>
    </row>
    <row r="5098" spans="1:4" x14ac:dyDescent="0.2">
      <c r="A5098"/>
      <c r="B5098"/>
      <c r="C5098"/>
      <c r="D5098"/>
    </row>
    <row r="5099" spans="1:4" x14ac:dyDescent="0.2">
      <c r="A5099"/>
      <c r="B5099"/>
      <c r="C5099"/>
      <c r="D5099"/>
    </row>
    <row r="5100" spans="1:4" x14ac:dyDescent="0.2">
      <c r="A5100"/>
      <c r="B5100"/>
      <c r="C5100"/>
      <c r="D5100"/>
    </row>
    <row r="5101" spans="1:4" x14ac:dyDescent="0.2">
      <c r="A5101"/>
      <c r="B5101"/>
      <c r="C5101"/>
      <c r="D5101"/>
    </row>
    <row r="5102" spans="1:4" x14ac:dyDescent="0.2">
      <c r="A5102"/>
      <c r="B5102"/>
      <c r="C5102"/>
      <c r="D5102"/>
    </row>
    <row r="5103" spans="1:4" x14ac:dyDescent="0.2">
      <c r="A5103"/>
      <c r="B5103"/>
      <c r="C5103"/>
      <c r="D5103"/>
    </row>
    <row r="5104" spans="1:4" x14ac:dyDescent="0.2">
      <c r="A5104"/>
      <c r="B5104"/>
      <c r="C5104"/>
      <c r="D5104"/>
    </row>
    <row r="5105" spans="1:4" x14ac:dyDescent="0.2">
      <c r="A5105"/>
      <c r="B5105"/>
      <c r="C5105"/>
      <c r="D5105"/>
    </row>
    <row r="5106" spans="1:4" x14ac:dyDescent="0.2">
      <c r="A5106"/>
      <c r="B5106"/>
      <c r="C5106"/>
      <c r="D5106"/>
    </row>
    <row r="5107" spans="1:4" x14ac:dyDescent="0.2">
      <c r="A5107"/>
      <c r="B5107"/>
      <c r="C5107"/>
      <c r="D5107"/>
    </row>
    <row r="5108" spans="1:4" x14ac:dyDescent="0.2">
      <c r="A5108"/>
      <c r="B5108"/>
      <c r="C5108"/>
      <c r="D5108"/>
    </row>
    <row r="5109" spans="1:4" x14ac:dyDescent="0.2">
      <c r="A5109"/>
      <c r="B5109"/>
      <c r="C5109"/>
      <c r="D5109"/>
    </row>
    <row r="5110" spans="1:4" x14ac:dyDescent="0.2">
      <c r="A5110"/>
      <c r="B5110"/>
      <c r="C5110"/>
      <c r="D5110"/>
    </row>
    <row r="5111" spans="1:4" x14ac:dyDescent="0.2">
      <c r="A5111"/>
      <c r="B5111"/>
      <c r="C5111"/>
      <c r="D5111"/>
    </row>
    <row r="5112" spans="1:4" x14ac:dyDescent="0.2">
      <c r="A5112"/>
      <c r="B5112"/>
      <c r="C5112"/>
      <c r="D5112"/>
    </row>
    <row r="5113" spans="1:4" x14ac:dyDescent="0.2">
      <c r="A5113"/>
      <c r="B5113"/>
      <c r="C5113"/>
      <c r="D5113"/>
    </row>
    <row r="5114" spans="1:4" x14ac:dyDescent="0.2">
      <c r="A5114"/>
      <c r="B5114"/>
      <c r="C5114"/>
      <c r="D5114"/>
    </row>
    <row r="5115" spans="1:4" x14ac:dyDescent="0.2">
      <c r="A5115"/>
      <c r="B5115"/>
      <c r="C5115"/>
      <c r="D5115"/>
    </row>
    <row r="5116" spans="1:4" x14ac:dyDescent="0.2">
      <c r="A5116"/>
      <c r="B5116"/>
      <c r="C5116"/>
      <c r="D5116"/>
    </row>
    <row r="5117" spans="1:4" x14ac:dyDescent="0.2">
      <c r="A5117"/>
      <c r="B5117"/>
      <c r="C5117"/>
      <c r="D5117"/>
    </row>
    <row r="5118" spans="1:4" x14ac:dyDescent="0.2">
      <c r="A5118"/>
      <c r="B5118"/>
      <c r="C5118"/>
      <c r="D5118"/>
    </row>
    <row r="5119" spans="1:4" x14ac:dyDescent="0.2">
      <c r="A5119"/>
      <c r="B5119"/>
      <c r="C5119"/>
      <c r="D5119"/>
    </row>
    <row r="5120" spans="1:4" x14ac:dyDescent="0.2">
      <c r="A5120"/>
      <c r="B5120"/>
      <c r="C5120"/>
      <c r="D5120"/>
    </row>
    <row r="5121" spans="1:4" x14ac:dyDescent="0.2">
      <c r="A5121"/>
      <c r="B5121"/>
      <c r="C5121"/>
      <c r="D5121"/>
    </row>
    <row r="5122" spans="1:4" x14ac:dyDescent="0.2">
      <c r="A5122"/>
      <c r="B5122"/>
      <c r="C5122"/>
      <c r="D5122"/>
    </row>
    <row r="5123" spans="1:4" x14ac:dyDescent="0.2">
      <c r="A5123"/>
      <c r="B5123"/>
      <c r="C5123"/>
      <c r="D5123"/>
    </row>
    <row r="5124" spans="1:4" x14ac:dyDescent="0.2">
      <c r="A5124"/>
      <c r="B5124"/>
      <c r="C5124"/>
      <c r="D5124"/>
    </row>
    <row r="5125" spans="1:4" x14ac:dyDescent="0.2">
      <c r="A5125"/>
      <c r="B5125"/>
      <c r="C5125"/>
      <c r="D5125"/>
    </row>
    <row r="5126" spans="1:4" x14ac:dyDescent="0.2">
      <c r="A5126"/>
      <c r="B5126"/>
      <c r="C5126"/>
      <c r="D5126"/>
    </row>
    <row r="5127" spans="1:4" x14ac:dyDescent="0.2">
      <c r="A5127"/>
      <c r="B5127"/>
      <c r="C5127"/>
      <c r="D5127"/>
    </row>
    <row r="5128" spans="1:4" x14ac:dyDescent="0.2">
      <c r="A5128"/>
      <c r="B5128"/>
      <c r="C5128"/>
      <c r="D5128"/>
    </row>
    <row r="5129" spans="1:4" x14ac:dyDescent="0.2">
      <c r="A5129"/>
      <c r="B5129"/>
      <c r="C5129"/>
      <c r="D5129"/>
    </row>
    <row r="5130" spans="1:4" x14ac:dyDescent="0.2">
      <c r="A5130"/>
      <c r="B5130"/>
      <c r="C5130"/>
      <c r="D5130"/>
    </row>
    <row r="5131" spans="1:4" x14ac:dyDescent="0.2">
      <c r="A5131"/>
      <c r="B5131"/>
      <c r="C5131"/>
      <c r="D5131"/>
    </row>
    <row r="5132" spans="1:4" x14ac:dyDescent="0.2">
      <c r="A5132"/>
      <c r="B5132"/>
      <c r="C5132"/>
      <c r="D5132"/>
    </row>
    <row r="5133" spans="1:4" x14ac:dyDescent="0.2">
      <c r="A5133"/>
      <c r="B5133"/>
      <c r="C5133"/>
      <c r="D5133"/>
    </row>
    <row r="5134" spans="1:4" x14ac:dyDescent="0.2">
      <c r="A5134"/>
      <c r="B5134"/>
      <c r="C5134"/>
      <c r="D5134"/>
    </row>
    <row r="5135" spans="1:4" x14ac:dyDescent="0.2">
      <c r="A5135"/>
      <c r="B5135"/>
      <c r="C5135"/>
      <c r="D5135"/>
    </row>
    <row r="5136" spans="1:4" x14ac:dyDescent="0.2">
      <c r="A5136"/>
      <c r="B5136"/>
      <c r="C5136"/>
      <c r="D5136"/>
    </row>
    <row r="5137" spans="1:4" x14ac:dyDescent="0.2">
      <c r="A5137"/>
      <c r="B5137"/>
      <c r="C5137"/>
      <c r="D5137"/>
    </row>
    <row r="5138" spans="1:4" x14ac:dyDescent="0.2">
      <c r="A5138"/>
      <c r="B5138"/>
      <c r="C5138"/>
      <c r="D5138"/>
    </row>
    <row r="5139" spans="1:4" x14ac:dyDescent="0.2">
      <c r="A5139"/>
      <c r="B5139"/>
      <c r="C5139"/>
      <c r="D5139"/>
    </row>
    <row r="5140" spans="1:4" x14ac:dyDescent="0.2">
      <c r="A5140"/>
      <c r="B5140"/>
      <c r="C5140"/>
      <c r="D5140"/>
    </row>
    <row r="5141" spans="1:4" x14ac:dyDescent="0.2">
      <c r="A5141"/>
      <c r="B5141"/>
      <c r="C5141"/>
      <c r="D5141"/>
    </row>
    <row r="5142" spans="1:4" x14ac:dyDescent="0.2">
      <c r="A5142"/>
      <c r="B5142"/>
      <c r="C5142"/>
      <c r="D5142"/>
    </row>
    <row r="5143" spans="1:4" x14ac:dyDescent="0.2">
      <c r="A5143"/>
      <c r="B5143"/>
      <c r="C5143"/>
      <c r="D5143"/>
    </row>
    <row r="5144" spans="1:4" x14ac:dyDescent="0.2">
      <c r="A5144"/>
      <c r="B5144"/>
      <c r="C5144"/>
      <c r="D5144"/>
    </row>
    <row r="5145" spans="1:4" x14ac:dyDescent="0.2">
      <c r="A5145"/>
      <c r="B5145"/>
      <c r="C5145"/>
      <c r="D5145"/>
    </row>
    <row r="5146" spans="1:4" x14ac:dyDescent="0.2">
      <c r="A5146"/>
      <c r="B5146"/>
      <c r="C5146"/>
      <c r="D5146"/>
    </row>
    <row r="5147" spans="1:4" x14ac:dyDescent="0.2">
      <c r="A5147"/>
      <c r="B5147"/>
      <c r="C5147"/>
      <c r="D5147"/>
    </row>
    <row r="5148" spans="1:4" x14ac:dyDescent="0.2">
      <c r="A5148"/>
      <c r="B5148"/>
      <c r="C5148"/>
      <c r="D5148"/>
    </row>
    <row r="5149" spans="1:4" x14ac:dyDescent="0.2">
      <c r="A5149"/>
      <c r="B5149"/>
      <c r="C5149"/>
      <c r="D5149"/>
    </row>
    <row r="5150" spans="1:4" x14ac:dyDescent="0.2">
      <c r="A5150"/>
      <c r="B5150"/>
      <c r="C5150"/>
      <c r="D5150"/>
    </row>
    <row r="5151" spans="1:4" x14ac:dyDescent="0.2">
      <c r="A5151"/>
      <c r="B5151"/>
      <c r="C5151"/>
      <c r="D5151"/>
    </row>
    <row r="5152" spans="1:4" x14ac:dyDescent="0.2">
      <c r="A5152"/>
      <c r="B5152"/>
      <c r="C5152"/>
      <c r="D5152"/>
    </row>
    <row r="5153" spans="1:4" x14ac:dyDescent="0.2">
      <c r="A5153"/>
      <c r="B5153"/>
      <c r="C5153"/>
      <c r="D5153"/>
    </row>
    <row r="5154" spans="1:4" x14ac:dyDescent="0.2">
      <c r="A5154"/>
      <c r="B5154"/>
      <c r="C5154"/>
      <c r="D5154"/>
    </row>
    <row r="5155" spans="1:4" x14ac:dyDescent="0.2">
      <c r="A5155"/>
      <c r="B5155"/>
      <c r="C5155"/>
      <c r="D5155"/>
    </row>
    <row r="5156" spans="1:4" x14ac:dyDescent="0.2">
      <c r="A5156"/>
      <c r="B5156"/>
      <c r="C5156"/>
      <c r="D5156"/>
    </row>
    <row r="5157" spans="1:4" x14ac:dyDescent="0.2">
      <c r="A5157"/>
      <c r="B5157"/>
      <c r="C5157"/>
      <c r="D5157"/>
    </row>
    <row r="5158" spans="1:4" x14ac:dyDescent="0.2">
      <c r="A5158"/>
      <c r="B5158"/>
      <c r="C5158"/>
      <c r="D5158"/>
    </row>
    <row r="5159" spans="1:4" x14ac:dyDescent="0.2">
      <c r="A5159"/>
      <c r="B5159"/>
      <c r="C5159"/>
      <c r="D5159"/>
    </row>
    <row r="5160" spans="1:4" x14ac:dyDescent="0.2">
      <c r="A5160"/>
      <c r="B5160"/>
      <c r="C5160"/>
      <c r="D5160"/>
    </row>
    <row r="5161" spans="1:4" x14ac:dyDescent="0.2">
      <c r="A5161"/>
      <c r="B5161"/>
      <c r="C5161"/>
      <c r="D5161"/>
    </row>
    <row r="5162" spans="1:4" x14ac:dyDescent="0.2">
      <c r="A5162"/>
      <c r="B5162"/>
      <c r="C5162"/>
      <c r="D5162"/>
    </row>
    <row r="5163" spans="1:4" x14ac:dyDescent="0.2">
      <c r="A5163"/>
      <c r="B5163"/>
      <c r="C5163"/>
      <c r="D5163"/>
    </row>
    <row r="5164" spans="1:4" x14ac:dyDescent="0.2">
      <c r="A5164"/>
      <c r="B5164"/>
      <c r="C5164"/>
      <c r="D5164"/>
    </row>
    <row r="5165" spans="1:4" x14ac:dyDescent="0.2">
      <c r="A5165"/>
      <c r="B5165"/>
      <c r="C5165"/>
      <c r="D5165"/>
    </row>
    <row r="5166" spans="1:4" x14ac:dyDescent="0.2">
      <c r="A5166"/>
      <c r="B5166"/>
      <c r="C5166"/>
      <c r="D5166"/>
    </row>
    <row r="5167" spans="1:4" x14ac:dyDescent="0.2">
      <c r="A5167"/>
      <c r="B5167"/>
      <c r="C5167"/>
      <c r="D5167"/>
    </row>
    <row r="5168" spans="1:4" x14ac:dyDescent="0.2">
      <c r="A5168"/>
      <c r="B5168"/>
      <c r="C5168"/>
      <c r="D5168"/>
    </row>
    <row r="5169" spans="1:4" x14ac:dyDescent="0.2">
      <c r="A5169"/>
      <c r="B5169"/>
      <c r="C5169"/>
      <c r="D5169"/>
    </row>
    <row r="5170" spans="1:4" x14ac:dyDescent="0.2">
      <c r="A5170"/>
      <c r="B5170"/>
      <c r="C5170"/>
      <c r="D5170"/>
    </row>
    <row r="5171" spans="1:4" x14ac:dyDescent="0.2">
      <c r="A5171"/>
      <c r="B5171"/>
      <c r="C5171"/>
      <c r="D5171"/>
    </row>
    <row r="5172" spans="1:4" x14ac:dyDescent="0.2">
      <c r="A5172"/>
      <c r="B5172"/>
      <c r="C5172"/>
      <c r="D5172"/>
    </row>
    <row r="5173" spans="1:4" x14ac:dyDescent="0.2">
      <c r="A5173"/>
      <c r="B5173"/>
      <c r="C5173"/>
      <c r="D5173"/>
    </row>
    <row r="5174" spans="1:4" x14ac:dyDescent="0.2">
      <c r="A5174"/>
      <c r="B5174"/>
      <c r="C5174"/>
      <c r="D5174"/>
    </row>
    <row r="5175" spans="1:4" x14ac:dyDescent="0.2">
      <c r="A5175"/>
      <c r="B5175"/>
      <c r="C5175"/>
      <c r="D5175"/>
    </row>
    <row r="5176" spans="1:4" x14ac:dyDescent="0.2">
      <c r="A5176"/>
      <c r="B5176"/>
      <c r="C5176"/>
      <c r="D5176"/>
    </row>
    <row r="5177" spans="1:4" x14ac:dyDescent="0.2">
      <c r="A5177"/>
      <c r="B5177"/>
      <c r="C5177"/>
      <c r="D5177"/>
    </row>
    <row r="5178" spans="1:4" x14ac:dyDescent="0.2">
      <c r="A5178"/>
      <c r="B5178"/>
      <c r="C5178"/>
      <c r="D5178"/>
    </row>
    <row r="5179" spans="1:4" x14ac:dyDescent="0.2">
      <c r="A5179"/>
      <c r="B5179"/>
      <c r="C5179"/>
      <c r="D5179"/>
    </row>
    <row r="5180" spans="1:4" x14ac:dyDescent="0.2">
      <c r="A5180"/>
      <c r="B5180"/>
      <c r="C5180"/>
      <c r="D5180"/>
    </row>
    <row r="5181" spans="1:4" x14ac:dyDescent="0.2">
      <c r="A5181"/>
      <c r="B5181"/>
      <c r="C5181"/>
      <c r="D5181"/>
    </row>
    <row r="5182" spans="1:4" x14ac:dyDescent="0.2">
      <c r="A5182"/>
      <c r="B5182"/>
      <c r="C5182"/>
      <c r="D5182"/>
    </row>
    <row r="5183" spans="1:4" x14ac:dyDescent="0.2">
      <c r="A5183"/>
      <c r="B5183"/>
      <c r="C5183"/>
      <c r="D5183"/>
    </row>
    <row r="5184" spans="1:4" x14ac:dyDescent="0.2">
      <c r="A5184"/>
      <c r="B5184"/>
      <c r="C5184"/>
      <c r="D5184"/>
    </row>
    <row r="5185" spans="1:4" x14ac:dyDescent="0.2">
      <c r="A5185"/>
      <c r="B5185"/>
      <c r="C5185"/>
      <c r="D5185"/>
    </row>
    <row r="5186" spans="1:4" x14ac:dyDescent="0.2">
      <c r="A5186"/>
      <c r="B5186"/>
      <c r="C5186"/>
      <c r="D5186"/>
    </row>
    <row r="5187" spans="1:4" x14ac:dyDescent="0.2">
      <c r="A5187"/>
      <c r="B5187"/>
      <c r="C5187"/>
      <c r="D5187"/>
    </row>
    <row r="5188" spans="1:4" x14ac:dyDescent="0.2">
      <c r="A5188"/>
      <c r="B5188"/>
      <c r="C5188"/>
      <c r="D5188"/>
    </row>
    <row r="5189" spans="1:4" x14ac:dyDescent="0.2">
      <c r="A5189"/>
      <c r="B5189"/>
      <c r="C5189"/>
      <c r="D5189"/>
    </row>
    <row r="5190" spans="1:4" x14ac:dyDescent="0.2">
      <c r="A5190"/>
      <c r="B5190"/>
      <c r="C5190"/>
      <c r="D5190"/>
    </row>
    <row r="5191" spans="1:4" x14ac:dyDescent="0.2">
      <c r="A5191"/>
      <c r="B5191"/>
      <c r="C5191"/>
      <c r="D5191"/>
    </row>
    <row r="5192" spans="1:4" x14ac:dyDescent="0.2">
      <c r="A5192"/>
      <c r="B5192"/>
      <c r="C5192"/>
      <c r="D5192"/>
    </row>
    <row r="5193" spans="1:4" x14ac:dyDescent="0.2">
      <c r="A5193"/>
      <c r="B5193"/>
      <c r="C5193"/>
      <c r="D5193"/>
    </row>
    <row r="5194" spans="1:4" x14ac:dyDescent="0.2">
      <c r="A5194"/>
      <c r="B5194"/>
      <c r="C5194"/>
      <c r="D5194"/>
    </row>
    <row r="5195" spans="1:4" x14ac:dyDescent="0.2">
      <c r="A5195"/>
      <c r="B5195"/>
      <c r="C5195"/>
      <c r="D5195"/>
    </row>
    <row r="5196" spans="1:4" x14ac:dyDescent="0.2">
      <c r="A5196"/>
      <c r="B5196"/>
      <c r="C5196"/>
      <c r="D5196"/>
    </row>
    <row r="5197" spans="1:4" x14ac:dyDescent="0.2">
      <c r="A5197"/>
      <c r="B5197"/>
      <c r="C5197"/>
      <c r="D5197"/>
    </row>
    <row r="5198" spans="1:4" x14ac:dyDescent="0.2">
      <c r="A5198"/>
      <c r="B5198"/>
      <c r="C5198"/>
      <c r="D5198"/>
    </row>
    <row r="5199" spans="1:4" x14ac:dyDescent="0.2">
      <c r="A5199"/>
      <c r="B5199"/>
      <c r="C5199"/>
      <c r="D5199"/>
    </row>
    <row r="5200" spans="1:4" x14ac:dyDescent="0.2">
      <c r="A5200"/>
      <c r="B5200"/>
      <c r="C5200"/>
      <c r="D5200"/>
    </row>
    <row r="5201" spans="1:4" x14ac:dyDescent="0.2">
      <c r="A5201"/>
      <c r="B5201"/>
      <c r="C5201"/>
      <c r="D5201"/>
    </row>
    <row r="5202" spans="1:4" x14ac:dyDescent="0.2">
      <c r="A5202"/>
      <c r="B5202"/>
      <c r="C5202"/>
      <c r="D5202"/>
    </row>
    <row r="5203" spans="1:4" x14ac:dyDescent="0.2">
      <c r="A5203"/>
      <c r="B5203"/>
      <c r="C5203"/>
      <c r="D5203"/>
    </row>
    <row r="5204" spans="1:4" x14ac:dyDescent="0.2">
      <c r="A5204"/>
      <c r="B5204"/>
      <c r="C5204"/>
      <c r="D5204"/>
    </row>
    <row r="5205" spans="1:4" x14ac:dyDescent="0.2">
      <c r="A5205"/>
      <c r="B5205"/>
      <c r="C5205"/>
      <c r="D5205"/>
    </row>
    <row r="5206" spans="1:4" x14ac:dyDescent="0.2">
      <c r="A5206"/>
      <c r="B5206"/>
      <c r="C5206"/>
      <c r="D5206"/>
    </row>
    <row r="5207" spans="1:4" x14ac:dyDescent="0.2">
      <c r="A5207"/>
      <c r="B5207"/>
      <c r="C5207"/>
      <c r="D5207"/>
    </row>
    <row r="5208" spans="1:4" x14ac:dyDescent="0.2">
      <c r="A5208"/>
      <c r="B5208"/>
      <c r="C5208"/>
      <c r="D5208"/>
    </row>
    <row r="5209" spans="1:4" x14ac:dyDescent="0.2">
      <c r="A5209"/>
      <c r="B5209"/>
      <c r="C5209"/>
      <c r="D5209"/>
    </row>
    <row r="5210" spans="1:4" x14ac:dyDescent="0.2">
      <c r="A5210"/>
      <c r="B5210"/>
      <c r="C5210"/>
      <c r="D5210"/>
    </row>
    <row r="5211" spans="1:4" x14ac:dyDescent="0.2">
      <c r="A5211"/>
      <c r="B5211"/>
      <c r="C5211"/>
      <c r="D5211"/>
    </row>
    <row r="5212" spans="1:4" x14ac:dyDescent="0.2">
      <c r="A5212"/>
      <c r="B5212"/>
      <c r="C5212"/>
      <c r="D5212"/>
    </row>
    <row r="5213" spans="1:4" x14ac:dyDescent="0.2">
      <c r="A5213"/>
      <c r="B5213"/>
      <c r="C5213"/>
      <c r="D5213"/>
    </row>
    <row r="5214" spans="1:4" x14ac:dyDescent="0.2">
      <c r="A5214"/>
      <c r="B5214"/>
      <c r="C5214"/>
      <c r="D5214"/>
    </row>
    <row r="5215" spans="1:4" x14ac:dyDescent="0.2">
      <c r="A5215"/>
      <c r="B5215"/>
      <c r="C5215"/>
      <c r="D5215"/>
    </row>
    <row r="5216" spans="1:4" x14ac:dyDescent="0.2">
      <c r="A5216"/>
      <c r="B5216"/>
      <c r="C5216"/>
      <c r="D5216"/>
    </row>
    <row r="5217" spans="1:4" x14ac:dyDescent="0.2">
      <c r="A5217"/>
      <c r="B5217"/>
      <c r="C5217"/>
      <c r="D5217"/>
    </row>
    <row r="5218" spans="1:4" x14ac:dyDescent="0.2">
      <c r="A5218"/>
      <c r="B5218"/>
      <c r="C5218"/>
      <c r="D5218"/>
    </row>
    <row r="5219" spans="1:4" x14ac:dyDescent="0.2">
      <c r="A5219"/>
      <c r="B5219"/>
      <c r="C5219"/>
      <c r="D5219"/>
    </row>
    <row r="5220" spans="1:4" x14ac:dyDescent="0.2">
      <c r="A5220"/>
      <c r="B5220"/>
      <c r="C5220"/>
      <c r="D5220"/>
    </row>
    <row r="5221" spans="1:4" x14ac:dyDescent="0.2">
      <c r="A5221"/>
      <c r="B5221"/>
      <c r="C5221"/>
      <c r="D5221"/>
    </row>
    <row r="5222" spans="1:4" x14ac:dyDescent="0.2">
      <c r="A5222"/>
      <c r="B5222"/>
      <c r="C5222"/>
      <c r="D5222"/>
    </row>
    <row r="5223" spans="1:4" x14ac:dyDescent="0.2">
      <c r="A5223"/>
      <c r="B5223"/>
      <c r="C5223"/>
      <c r="D5223"/>
    </row>
    <row r="5224" spans="1:4" x14ac:dyDescent="0.2">
      <c r="A5224"/>
      <c r="B5224"/>
      <c r="C5224"/>
      <c r="D5224"/>
    </row>
    <row r="5225" spans="1:4" x14ac:dyDescent="0.2">
      <c r="A5225"/>
      <c r="B5225"/>
      <c r="C5225"/>
      <c r="D5225"/>
    </row>
    <row r="5226" spans="1:4" x14ac:dyDescent="0.2">
      <c r="A5226"/>
      <c r="B5226"/>
      <c r="C5226"/>
      <c r="D5226"/>
    </row>
    <row r="5227" spans="1:4" x14ac:dyDescent="0.2">
      <c r="A5227"/>
      <c r="B5227"/>
      <c r="C5227"/>
      <c r="D5227"/>
    </row>
    <row r="5228" spans="1:4" x14ac:dyDescent="0.2">
      <c r="A5228"/>
      <c r="B5228"/>
      <c r="C5228"/>
      <c r="D5228"/>
    </row>
    <row r="5229" spans="1:4" x14ac:dyDescent="0.2">
      <c r="A5229"/>
      <c r="B5229"/>
      <c r="C5229"/>
      <c r="D5229"/>
    </row>
    <row r="5230" spans="1:4" x14ac:dyDescent="0.2">
      <c r="A5230"/>
      <c r="B5230"/>
      <c r="C5230"/>
      <c r="D5230"/>
    </row>
    <row r="5231" spans="1:4" x14ac:dyDescent="0.2">
      <c r="A5231"/>
      <c r="B5231"/>
      <c r="C5231"/>
      <c r="D5231"/>
    </row>
    <row r="5232" spans="1:4" x14ac:dyDescent="0.2">
      <c r="A5232"/>
      <c r="B5232"/>
      <c r="C5232"/>
      <c r="D5232"/>
    </row>
    <row r="5233" spans="1:4" x14ac:dyDescent="0.2">
      <c r="A5233"/>
      <c r="B5233"/>
      <c r="C5233"/>
      <c r="D5233"/>
    </row>
    <row r="5234" spans="1:4" x14ac:dyDescent="0.2">
      <c r="A5234"/>
      <c r="B5234"/>
      <c r="C5234"/>
      <c r="D5234"/>
    </row>
    <row r="5235" spans="1:4" x14ac:dyDescent="0.2">
      <c r="A5235"/>
      <c r="B5235"/>
      <c r="C5235"/>
      <c r="D5235"/>
    </row>
    <row r="5236" spans="1:4" x14ac:dyDescent="0.2">
      <c r="A5236"/>
      <c r="B5236"/>
      <c r="C5236"/>
      <c r="D5236"/>
    </row>
    <row r="5237" spans="1:4" x14ac:dyDescent="0.2">
      <c r="A5237"/>
      <c r="B5237"/>
      <c r="C5237"/>
      <c r="D5237"/>
    </row>
    <row r="5238" spans="1:4" x14ac:dyDescent="0.2">
      <c r="A5238"/>
      <c r="B5238"/>
      <c r="C5238"/>
      <c r="D5238"/>
    </row>
    <row r="5239" spans="1:4" x14ac:dyDescent="0.2">
      <c r="A5239"/>
      <c r="B5239"/>
      <c r="C5239"/>
      <c r="D5239"/>
    </row>
    <row r="5240" spans="1:4" x14ac:dyDescent="0.2">
      <c r="A5240"/>
      <c r="B5240"/>
      <c r="C5240"/>
      <c r="D5240"/>
    </row>
    <row r="5241" spans="1:4" x14ac:dyDescent="0.2">
      <c r="A5241"/>
      <c r="B5241"/>
      <c r="C5241"/>
      <c r="D5241"/>
    </row>
    <row r="5242" spans="1:4" x14ac:dyDescent="0.2">
      <c r="A5242"/>
      <c r="B5242"/>
      <c r="C5242"/>
      <c r="D5242"/>
    </row>
    <row r="5243" spans="1:4" x14ac:dyDescent="0.2">
      <c r="A5243"/>
      <c r="B5243"/>
      <c r="C5243"/>
      <c r="D5243"/>
    </row>
    <row r="5244" spans="1:4" x14ac:dyDescent="0.2">
      <c r="A5244"/>
      <c r="B5244"/>
      <c r="C5244"/>
      <c r="D5244"/>
    </row>
    <row r="5245" spans="1:4" x14ac:dyDescent="0.2">
      <c r="A5245"/>
      <c r="B5245"/>
      <c r="C5245"/>
      <c r="D5245"/>
    </row>
    <row r="5246" spans="1:4" x14ac:dyDescent="0.2">
      <c r="A5246"/>
      <c r="B5246"/>
      <c r="C5246"/>
      <c r="D5246"/>
    </row>
    <row r="5247" spans="1:4" x14ac:dyDescent="0.2">
      <c r="A5247"/>
      <c r="B5247"/>
      <c r="C5247"/>
      <c r="D5247"/>
    </row>
    <row r="5248" spans="1:4" x14ac:dyDescent="0.2">
      <c r="A5248"/>
      <c r="B5248"/>
      <c r="C5248"/>
      <c r="D5248"/>
    </row>
    <row r="5249" spans="1:4" x14ac:dyDescent="0.2">
      <c r="A5249"/>
      <c r="B5249"/>
      <c r="C5249"/>
      <c r="D5249"/>
    </row>
    <row r="5250" spans="1:4" x14ac:dyDescent="0.2">
      <c r="A5250"/>
      <c r="B5250"/>
      <c r="C5250"/>
      <c r="D5250"/>
    </row>
    <row r="5251" spans="1:4" x14ac:dyDescent="0.2">
      <c r="A5251"/>
      <c r="B5251"/>
      <c r="C5251"/>
      <c r="D5251"/>
    </row>
    <row r="5252" spans="1:4" x14ac:dyDescent="0.2">
      <c r="A5252"/>
      <c r="B5252"/>
      <c r="C5252"/>
      <c r="D5252"/>
    </row>
    <row r="5253" spans="1:4" x14ac:dyDescent="0.2">
      <c r="A5253"/>
      <c r="B5253"/>
      <c r="C5253"/>
      <c r="D5253"/>
    </row>
    <row r="5254" spans="1:4" x14ac:dyDescent="0.2">
      <c r="A5254"/>
      <c r="B5254"/>
      <c r="C5254"/>
      <c r="D5254"/>
    </row>
    <row r="5255" spans="1:4" x14ac:dyDescent="0.2">
      <c r="A5255"/>
      <c r="B5255"/>
      <c r="C5255"/>
      <c r="D5255"/>
    </row>
    <row r="5256" spans="1:4" x14ac:dyDescent="0.2">
      <c r="A5256"/>
      <c r="B5256"/>
      <c r="C5256"/>
      <c r="D5256"/>
    </row>
    <row r="5257" spans="1:4" x14ac:dyDescent="0.2">
      <c r="A5257"/>
      <c r="B5257"/>
      <c r="C5257"/>
      <c r="D5257"/>
    </row>
    <row r="5258" spans="1:4" x14ac:dyDescent="0.2">
      <c r="A5258"/>
      <c r="B5258"/>
      <c r="C5258"/>
      <c r="D5258"/>
    </row>
    <row r="5259" spans="1:4" x14ac:dyDescent="0.2">
      <c r="A5259"/>
      <c r="B5259"/>
      <c r="C5259"/>
      <c r="D5259"/>
    </row>
    <row r="5260" spans="1:4" x14ac:dyDescent="0.2">
      <c r="A5260"/>
      <c r="B5260"/>
      <c r="C5260"/>
      <c r="D5260"/>
    </row>
    <row r="5261" spans="1:4" x14ac:dyDescent="0.2">
      <c r="A5261"/>
      <c r="B5261"/>
      <c r="C5261"/>
      <c r="D5261"/>
    </row>
    <row r="5262" spans="1:4" x14ac:dyDescent="0.2">
      <c r="A5262"/>
      <c r="B5262"/>
      <c r="C5262"/>
      <c r="D5262"/>
    </row>
    <row r="5263" spans="1:4" x14ac:dyDescent="0.2">
      <c r="A5263"/>
      <c r="B5263"/>
      <c r="C5263"/>
      <c r="D5263"/>
    </row>
    <row r="5264" spans="1:4" x14ac:dyDescent="0.2">
      <c r="A5264"/>
      <c r="B5264"/>
      <c r="C5264"/>
      <c r="D5264"/>
    </row>
    <row r="5265" spans="1:4" x14ac:dyDescent="0.2">
      <c r="A5265"/>
      <c r="B5265"/>
      <c r="C5265"/>
      <c r="D5265"/>
    </row>
    <row r="5266" spans="1:4" x14ac:dyDescent="0.2">
      <c r="A5266"/>
      <c r="B5266"/>
      <c r="C5266"/>
      <c r="D5266"/>
    </row>
    <row r="5267" spans="1:4" x14ac:dyDescent="0.2">
      <c r="A5267"/>
      <c r="B5267"/>
      <c r="C5267"/>
      <c r="D5267"/>
    </row>
    <row r="5268" spans="1:4" x14ac:dyDescent="0.2">
      <c r="A5268"/>
      <c r="B5268"/>
      <c r="C5268"/>
      <c r="D5268"/>
    </row>
    <row r="5269" spans="1:4" x14ac:dyDescent="0.2">
      <c r="A5269"/>
      <c r="B5269"/>
      <c r="C5269"/>
      <c r="D5269"/>
    </row>
    <row r="5270" spans="1:4" x14ac:dyDescent="0.2">
      <c r="A5270"/>
      <c r="B5270"/>
      <c r="C5270"/>
      <c r="D5270"/>
    </row>
    <row r="5271" spans="1:4" x14ac:dyDescent="0.2">
      <c r="A5271"/>
      <c r="B5271"/>
      <c r="C5271"/>
      <c r="D5271"/>
    </row>
    <row r="5272" spans="1:4" x14ac:dyDescent="0.2">
      <c r="A5272"/>
      <c r="B5272"/>
      <c r="C5272"/>
      <c r="D5272"/>
    </row>
    <row r="5273" spans="1:4" x14ac:dyDescent="0.2">
      <c r="A5273"/>
      <c r="B5273"/>
      <c r="C5273"/>
      <c r="D5273"/>
    </row>
    <row r="5274" spans="1:4" x14ac:dyDescent="0.2">
      <c r="A5274"/>
      <c r="B5274"/>
      <c r="C5274"/>
      <c r="D5274"/>
    </row>
    <row r="5275" spans="1:4" x14ac:dyDescent="0.2">
      <c r="A5275"/>
      <c r="B5275"/>
      <c r="C5275"/>
      <c r="D5275"/>
    </row>
    <row r="5276" spans="1:4" x14ac:dyDescent="0.2">
      <c r="A5276"/>
      <c r="B5276"/>
      <c r="C5276"/>
      <c r="D5276"/>
    </row>
    <row r="5277" spans="1:4" x14ac:dyDescent="0.2">
      <c r="A5277"/>
      <c r="B5277"/>
      <c r="C5277"/>
      <c r="D5277"/>
    </row>
    <row r="5278" spans="1:4" x14ac:dyDescent="0.2">
      <c r="A5278"/>
      <c r="B5278"/>
      <c r="C5278"/>
      <c r="D5278"/>
    </row>
    <row r="5279" spans="1:4" x14ac:dyDescent="0.2">
      <c r="A5279"/>
      <c r="B5279"/>
      <c r="C5279"/>
      <c r="D5279"/>
    </row>
    <row r="5280" spans="1:4" x14ac:dyDescent="0.2">
      <c r="A5280"/>
      <c r="B5280"/>
      <c r="C5280"/>
      <c r="D5280"/>
    </row>
    <row r="5281" spans="1:4" x14ac:dyDescent="0.2">
      <c r="A5281"/>
      <c r="B5281"/>
      <c r="C5281"/>
      <c r="D5281"/>
    </row>
    <row r="5282" spans="1:4" x14ac:dyDescent="0.2">
      <c r="A5282"/>
      <c r="B5282"/>
      <c r="C5282"/>
      <c r="D5282"/>
    </row>
    <row r="5283" spans="1:4" x14ac:dyDescent="0.2">
      <c r="A5283"/>
      <c r="B5283"/>
      <c r="C5283"/>
      <c r="D5283"/>
    </row>
    <row r="5284" spans="1:4" x14ac:dyDescent="0.2">
      <c r="A5284"/>
      <c r="B5284"/>
      <c r="C5284"/>
      <c r="D5284"/>
    </row>
    <row r="5285" spans="1:4" x14ac:dyDescent="0.2">
      <c r="A5285"/>
      <c r="B5285"/>
      <c r="C5285"/>
      <c r="D5285"/>
    </row>
    <row r="5286" spans="1:4" x14ac:dyDescent="0.2">
      <c r="A5286"/>
      <c r="B5286"/>
      <c r="C5286"/>
      <c r="D5286"/>
    </row>
    <row r="5287" spans="1:4" x14ac:dyDescent="0.2">
      <c r="A5287"/>
      <c r="B5287"/>
      <c r="C5287"/>
      <c r="D5287"/>
    </row>
    <row r="5288" spans="1:4" x14ac:dyDescent="0.2">
      <c r="A5288"/>
      <c r="B5288"/>
      <c r="C5288"/>
      <c r="D5288"/>
    </row>
    <row r="5289" spans="1:4" x14ac:dyDescent="0.2">
      <c r="A5289"/>
      <c r="B5289"/>
      <c r="C5289"/>
      <c r="D5289"/>
    </row>
    <row r="5290" spans="1:4" x14ac:dyDescent="0.2">
      <c r="A5290"/>
      <c r="B5290"/>
      <c r="C5290"/>
      <c r="D5290"/>
    </row>
    <row r="5291" spans="1:4" x14ac:dyDescent="0.2">
      <c r="A5291"/>
      <c r="B5291"/>
      <c r="C5291"/>
      <c r="D5291"/>
    </row>
    <row r="5292" spans="1:4" x14ac:dyDescent="0.2">
      <c r="A5292"/>
      <c r="B5292"/>
      <c r="C5292"/>
      <c r="D5292"/>
    </row>
    <row r="5293" spans="1:4" x14ac:dyDescent="0.2">
      <c r="A5293"/>
      <c r="B5293"/>
      <c r="C5293"/>
      <c r="D5293"/>
    </row>
    <row r="5294" spans="1:4" x14ac:dyDescent="0.2">
      <c r="A5294"/>
      <c r="B5294"/>
      <c r="C5294"/>
      <c r="D5294"/>
    </row>
    <row r="5295" spans="1:4" x14ac:dyDescent="0.2">
      <c r="A5295"/>
      <c r="B5295"/>
      <c r="C5295"/>
      <c r="D5295"/>
    </row>
    <row r="5296" spans="1:4" x14ac:dyDescent="0.2">
      <c r="A5296"/>
      <c r="B5296"/>
      <c r="C5296"/>
      <c r="D5296"/>
    </row>
    <row r="5297" spans="1:4" x14ac:dyDescent="0.2">
      <c r="A5297"/>
      <c r="B5297"/>
      <c r="C5297"/>
      <c r="D5297"/>
    </row>
    <row r="5298" spans="1:4" x14ac:dyDescent="0.2">
      <c r="A5298"/>
      <c r="B5298"/>
      <c r="C5298"/>
      <c r="D5298"/>
    </row>
    <row r="5299" spans="1:4" x14ac:dyDescent="0.2">
      <c r="A5299"/>
      <c r="B5299"/>
      <c r="C5299"/>
      <c r="D5299"/>
    </row>
    <row r="5300" spans="1:4" x14ac:dyDescent="0.2">
      <c r="A5300"/>
      <c r="B5300"/>
      <c r="C5300"/>
      <c r="D5300"/>
    </row>
    <row r="5301" spans="1:4" x14ac:dyDescent="0.2">
      <c r="A5301"/>
      <c r="B5301"/>
      <c r="C5301"/>
      <c r="D5301"/>
    </row>
    <row r="5302" spans="1:4" x14ac:dyDescent="0.2">
      <c r="A5302"/>
      <c r="B5302"/>
      <c r="C5302"/>
      <c r="D5302"/>
    </row>
    <row r="5303" spans="1:4" x14ac:dyDescent="0.2">
      <c r="A5303"/>
      <c r="B5303"/>
      <c r="C5303"/>
      <c r="D5303"/>
    </row>
    <row r="5304" spans="1:4" x14ac:dyDescent="0.2">
      <c r="A5304"/>
      <c r="B5304"/>
      <c r="C5304"/>
      <c r="D5304"/>
    </row>
    <row r="5305" spans="1:4" x14ac:dyDescent="0.2">
      <c r="A5305"/>
      <c r="B5305"/>
      <c r="C5305"/>
      <c r="D5305"/>
    </row>
    <row r="5306" spans="1:4" x14ac:dyDescent="0.2">
      <c r="A5306"/>
      <c r="B5306"/>
      <c r="C5306"/>
      <c r="D5306"/>
    </row>
    <row r="5307" spans="1:4" x14ac:dyDescent="0.2">
      <c r="A5307"/>
      <c r="B5307"/>
      <c r="C5307"/>
      <c r="D5307"/>
    </row>
    <row r="5308" spans="1:4" x14ac:dyDescent="0.2">
      <c r="A5308"/>
      <c r="B5308"/>
      <c r="C5308"/>
      <c r="D5308"/>
    </row>
    <row r="5309" spans="1:4" x14ac:dyDescent="0.2">
      <c r="A5309"/>
      <c r="B5309"/>
      <c r="C5309"/>
      <c r="D5309"/>
    </row>
    <row r="5310" spans="1:4" x14ac:dyDescent="0.2">
      <c r="A5310"/>
      <c r="B5310"/>
      <c r="C5310"/>
      <c r="D5310"/>
    </row>
    <row r="5311" spans="1:4" x14ac:dyDescent="0.2">
      <c r="A5311"/>
      <c r="B5311"/>
      <c r="C5311"/>
      <c r="D5311"/>
    </row>
    <row r="5312" spans="1:4" x14ac:dyDescent="0.2">
      <c r="A5312"/>
      <c r="B5312"/>
      <c r="C5312"/>
      <c r="D5312"/>
    </row>
    <row r="5313" spans="1:4" x14ac:dyDescent="0.2">
      <c r="A5313"/>
      <c r="B5313"/>
      <c r="C5313"/>
      <c r="D5313"/>
    </row>
    <row r="5314" spans="1:4" x14ac:dyDescent="0.2">
      <c r="A5314"/>
      <c r="B5314"/>
      <c r="C5314"/>
      <c r="D5314"/>
    </row>
    <row r="5315" spans="1:4" x14ac:dyDescent="0.2">
      <c r="A5315"/>
      <c r="B5315"/>
      <c r="C5315"/>
      <c r="D5315"/>
    </row>
    <row r="5316" spans="1:4" x14ac:dyDescent="0.2">
      <c r="A5316"/>
      <c r="B5316"/>
      <c r="C5316"/>
      <c r="D5316"/>
    </row>
    <row r="5317" spans="1:4" x14ac:dyDescent="0.2">
      <c r="A5317"/>
      <c r="B5317"/>
      <c r="C5317"/>
      <c r="D5317"/>
    </row>
    <row r="5318" spans="1:4" x14ac:dyDescent="0.2">
      <c r="A5318"/>
      <c r="B5318"/>
      <c r="C5318"/>
      <c r="D5318"/>
    </row>
    <row r="5319" spans="1:4" x14ac:dyDescent="0.2">
      <c r="A5319"/>
      <c r="B5319"/>
      <c r="C5319"/>
      <c r="D5319"/>
    </row>
    <row r="5320" spans="1:4" x14ac:dyDescent="0.2">
      <c r="A5320"/>
      <c r="B5320"/>
      <c r="C5320"/>
      <c r="D5320"/>
    </row>
    <row r="5321" spans="1:4" x14ac:dyDescent="0.2">
      <c r="A5321"/>
      <c r="B5321"/>
      <c r="C5321"/>
      <c r="D5321"/>
    </row>
    <row r="5322" spans="1:4" x14ac:dyDescent="0.2">
      <c r="A5322"/>
      <c r="B5322"/>
      <c r="C5322"/>
      <c r="D5322"/>
    </row>
    <row r="5323" spans="1:4" x14ac:dyDescent="0.2">
      <c r="A5323"/>
      <c r="B5323"/>
      <c r="C5323"/>
      <c r="D5323"/>
    </row>
    <row r="5324" spans="1:4" x14ac:dyDescent="0.2">
      <c r="A5324"/>
      <c r="B5324"/>
      <c r="C5324"/>
      <c r="D5324"/>
    </row>
    <row r="5325" spans="1:4" x14ac:dyDescent="0.2">
      <c r="A5325"/>
      <c r="B5325"/>
      <c r="C5325"/>
      <c r="D5325"/>
    </row>
    <row r="5326" spans="1:4" x14ac:dyDescent="0.2">
      <c r="A5326"/>
      <c r="B5326"/>
      <c r="C5326"/>
      <c r="D5326"/>
    </row>
    <row r="5327" spans="1:4" x14ac:dyDescent="0.2">
      <c r="A5327"/>
      <c r="B5327"/>
      <c r="C5327"/>
      <c r="D5327"/>
    </row>
    <row r="5328" spans="1:4" x14ac:dyDescent="0.2">
      <c r="A5328"/>
      <c r="B5328"/>
      <c r="C5328"/>
      <c r="D5328"/>
    </row>
    <row r="5329" spans="1:4" x14ac:dyDescent="0.2">
      <c r="A5329"/>
      <c r="B5329"/>
      <c r="C5329"/>
      <c r="D5329"/>
    </row>
    <row r="5330" spans="1:4" x14ac:dyDescent="0.2">
      <c r="A5330"/>
      <c r="B5330"/>
      <c r="C5330"/>
      <c r="D5330"/>
    </row>
    <row r="5331" spans="1:4" x14ac:dyDescent="0.2">
      <c r="A5331"/>
      <c r="B5331"/>
      <c r="C5331"/>
      <c r="D5331"/>
    </row>
    <row r="5332" spans="1:4" x14ac:dyDescent="0.2">
      <c r="A5332"/>
      <c r="B5332"/>
      <c r="C5332"/>
      <c r="D5332"/>
    </row>
    <row r="5333" spans="1:4" x14ac:dyDescent="0.2">
      <c r="A5333"/>
      <c r="B5333"/>
      <c r="C5333"/>
      <c r="D5333"/>
    </row>
    <row r="5334" spans="1:4" x14ac:dyDescent="0.2">
      <c r="A5334"/>
      <c r="B5334"/>
      <c r="C5334"/>
      <c r="D5334"/>
    </row>
    <row r="5335" spans="1:4" x14ac:dyDescent="0.2">
      <c r="A5335"/>
      <c r="B5335"/>
      <c r="C5335"/>
      <c r="D5335"/>
    </row>
    <row r="5336" spans="1:4" x14ac:dyDescent="0.2">
      <c r="A5336"/>
      <c r="B5336"/>
      <c r="C5336"/>
      <c r="D5336"/>
    </row>
    <row r="5337" spans="1:4" x14ac:dyDescent="0.2">
      <c r="A5337"/>
      <c r="B5337"/>
      <c r="C5337"/>
      <c r="D5337"/>
    </row>
    <row r="5338" spans="1:4" x14ac:dyDescent="0.2">
      <c r="A5338"/>
      <c r="B5338"/>
      <c r="C5338"/>
      <c r="D5338"/>
    </row>
    <row r="5339" spans="1:4" x14ac:dyDescent="0.2">
      <c r="A5339"/>
      <c r="B5339"/>
      <c r="C5339"/>
      <c r="D5339"/>
    </row>
    <row r="5340" spans="1:4" x14ac:dyDescent="0.2">
      <c r="A5340"/>
      <c r="B5340"/>
      <c r="C5340"/>
      <c r="D5340"/>
    </row>
    <row r="5341" spans="1:4" x14ac:dyDescent="0.2">
      <c r="A5341"/>
      <c r="B5341"/>
      <c r="C5341"/>
      <c r="D5341"/>
    </row>
    <row r="5342" spans="1:4" x14ac:dyDescent="0.2">
      <c r="A5342"/>
      <c r="B5342"/>
      <c r="C5342"/>
      <c r="D5342"/>
    </row>
    <row r="5343" spans="1:4" x14ac:dyDescent="0.2">
      <c r="A5343"/>
      <c r="B5343"/>
      <c r="C5343"/>
      <c r="D5343"/>
    </row>
    <row r="5344" spans="1:4" x14ac:dyDescent="0.2">
      <c r="A5344"/>
      <c r="B5344"/>
      <c r="C5344"/>
      <c r="D5344"/>
    </row>
    <row r="5345" spans="1:4" x14ac:dyDescent="0.2">
      <c r="A5345"/>
      <c r="B5345"/>
      <c r="C5345"/>
      <c r="D5345"/>
    </row>
    <row r="5346" spans="1:4" x14ac:dyDescent="0.2">
      <c r="A5346"/>
      <c r="B5346"/>
      <c r="C5346"/>
      <c r="D5346"/>
    </row>
    <row r="5347" spans="1:4" x14ac:dyDescent="0.2">
      <c r="A5347"/>
      <c r="B5347"/>
      <c r="C5347"/>
      <c r="D5347"/>
    </row>
    <row r="5348" spans="1:4" x14ac:dyDescent="0.2">
      <c r="A5348"/>
      <c r="B5348"/>
      <c r="C5348"/>
      <c r="D5348"/>
    </row>
    <row r="5349" spans="1:4" x14ac:dyDescent="0.2">
      <c r="A5349"/>
      <c r="B5349"/>
      <c r="C5349"/>
      <c r="D5349"/>
    </row>
    <row r="5350" spans="1:4" x14ac:dyDescent="0.2">
      <c r="A5350"/>
      <c r="B5350"/>
      <c r="C5350"/>
      <c r="D5350"/>
    </row>
    <row r="5351" spans="1:4" x14ac:dyDescent="0.2">
      <c r="A5351"/>
      <c r="B5351"/>
      <c r="C5351"/>
      <c r="D5351"/>
    </row>
    <row r="5352" spans="1:4" x14ac:dyDescent="0.2">
      <c r="A5352"/>
      <c r="B5352"/>
      <c r="C5352"/>
      <c r="D5352"/>
    </row>
    <row r="5353" spans="1:4" x14ac:dyDescent="0.2">
      <c r="A5353"/>
      <c r="B5353"/>
      <c r="C5353"/>
      <c r="D5353"/>
    </row>
    <row r="5354" spans="1:4" x14ac:dyDescent="0.2">
      <c r="A5354"/>
      <c r="B5354"/>
      <c r="C5354"/>
      <c r="D5354"/>
    </row>
    <row r="5355" spans="1:4" x14ac:dyDescent="0.2">
      <c r="A5355"/>
      <c r="B5355"/>
      <c r="C5355"/>
      <c r="D5355"/>
    </row>
    <row r="5356" spans="1:4" x14ac:dyDescent="0.2">
      <c r="A5356"/>
      <c r="B5356"/>
      <c r="C5356"/>
      <c r="D5356"/>
    </row>
    <row r="5357" spans="1:4" x14ac:dyDescent="0.2">
      <c r="A5357"/>
      <c r="B5357"/>
      <c r="C5357"/>
      <c r="D5357"/>
    </row>
    <row r="5358" spans="1:4" x14ac:dyDescent="0.2">
      <c r="A5358"/>
      <c r="B5358"/>
      <c r="C5358"/>
      <c r="D5358"/>
    </row>
    <row r="5359" spans="1:4" x14ac:dyDescent="0.2">
      <c r="A5359"/>
      <c r="B5359"/>
      <c r="C5359"/>
      <c r="D5359"/>
    </row>
    <row r="5360" spans="1:4" x14ac:dyDescent="0.2">
      <c r="A5360"/>
      <c r="B5360"/>
      <c r="C5360"/>
      <c r="D5360"/>
    </row>
    <row r="5361" spans="1:4" x14ac:dyDescent="0.2">
      <c r="A5361"/>
      <c r="B5361"/>
      <c r="C5361"/>
      <c r="D5361"/>
    </row>
    <row r="5362" spans="1:4" x14ac:dyDescent="0.2">
      <c r="A5362"/>
      <c r="B5362"/>
      <c r="C5362"/>
      <c r="D5362"/>
    </row>
    <row r="5363" spans="1:4" x14ac:dyDescent="0.2">
      <c r="A5363"/>
      <c r="B5363"/>
      <c r="C5363"/>
      <c r="D5363"/>
    </row>
    <row r="5364" spans="1:4" x14ac:dyDescent="0.2">
      <c r="A5364"/>
      <c r="B5364"/>
      <c r="C5364"/>
      <c r="D5364"/>
    </row>
    <row r="5365" spans="1:4" x14ac:dyDescent="0.2">
      <c r="A5365"/>
      <c r="B5365"/>
      <c r="C5365"/>
      <c r="D5365"/>
    </row>
    <row r="5366" spans="1:4" x14ac:dyDescent="0.2">
      <c r="A5366"/>
      <c r="B5366"/>
      <c r="C5366"/>
      <c r="D5366"/>
    </row>
    <row r="5367" spans="1:4" x14ac:dyDescent="0.2">
      <c r="A5367"/>
      <c r="B5367"/>
      <c r="C5367"/>
      <c r="D5367"/>
    </row>
    <row r="5368" spans="1:4" x14ac:dyDescent="0.2">
      <c r="A5368"/>
      <c r="B5368"/>
      <c r="C5368"/>
      <c r="D5368"/>
    </row>
    <row r="5369" spans="1:4" x14ac:dyDescent="0.2">
      <c r="A5369"/>
      <c r="B5369"/>
      <c r="C5369"/>
      <c r="D5369"/>
    </row>
    <row r="5370" spans="1:4" x14ac:dyDescent="0.2">
      <c r="A5370"/>
      <c r="B5370"/>
      <c r="C5370"/>
      <c r="D5370"/>
    </row>
    <row r="5371" spans="1:4" x14ac:dyDescent="0.2">
      <c r="A5371"/>
      <c r="B5371"/>
      <c r="C5371"/>
      <c r="D5371"/>
    </row>
    <row r="5372" spans="1:4" x14ac:dyDescent="0.2">
      <c r="A5372"/>
      <c r="B5372"/>
      <c r="C5372"/>
      <c r="D5372"/>
    </row>
    <row r="5373" spans="1:4" x14ac:dyDescent="0.2">
      <c r="A5373"/>
      <c r="B5373"/>
      <c r="C5373"/>
      <c r="D5373"/>
    </row>
    <row r="5374" spans="1:4" x14ac:dyDescent="0.2">
      <c r="A5374"/>
      <c r="B5374"/>
      <c r="C5374"/>
      <c r="D5374"/>
    </row>
    <row r="5375" spans="1:4" x14ac:dyDescent="0.2">
      <c r="A5375"/>
      <c r="B5375"/>
      <c r="C5375"/>
      <c r="D5375"/>
    </row>
    <row r="5376" spans="1:4" x14ac:dyDescent="0.2">
      <c r="A5376"/>
      <c r="B5376"/>
      <c r="C5376"/>
      <c r="D5376"/>
    </row>
    <row r="5377" spans="1:4" x14ac:dyDescent="0.2">
      <c r="A5377"/>
      <c r="B5377"/>
      <c r="C5377"/>
      <c r="D5377"/>
    </row>
    <row r="5378" spans="1:4" x14ac:dyDescent="0.2">
      <c r="A5378"/>
      <c r="B5378"/>
      <c r="C5378"/>
      <c r="D5378"/>
    </row>
    <row r="5379" spans="1:4" x14ac:dyDescent="0.2">
      <c r="A5379"/>
      <c r="B5379"/>
      <c r="C5379"/>
      <c r="D5379"/>
    </row>
    <row r="5380" spans="1:4" x14ac:dyDescent="0.2">
      <c r="A5380"/>
      <c r="B5380"/>
      <c r="C5380"/>
      <c r="D5380"/>
    </row>
    <row r="5381" spans="1:4" x14ac:dyDescent="0.2">
      <c r="A5381"/>
      <c r="B5381"/>
      <c r="C5381"/>
      <c r="D5381"/>
    </row>
    <row r="5382" spans="1:4" x14ac:dyDescent="0.2">
      <c r="A5382"/>
      <c r="B5382"/>
      <c r="C5382"/>
      <c r="D5382"/>
    </row>
    <row r="5383" spans="1:4" x14ac:dyDescent="0.2">
      <c r="A5383"/>
      <c r="B5383"/>
      <c r="C5383"/>
      <c r="D5383"/>
    </row>
    <row r="5384" spans="1:4" x14ac:dyDescent="0.2">
      <c r="A5384"/>
      <c r="B5384"/>
      <c r="C5384"/>
      <c r="D5384"/>
    </row>
    <row r="5385" spans="1:4" x14ac:dyDescent="0.2">
      <c r="A5385"/>
      <c r="B5385"/>
      <c r="C5385"/>
      <c r="D5385"/>
    </row>
    <row r="5386" spans="1:4" x14ac:dyDescent="0.2">
      <c r="A5386"/>
      <c r="B5386"/>
      <c r="C5386"/>
      <c r="D5386"/>
    </row>
    <row r="5387" spans="1:4" x14ac:dyDescent="0.2">
      <c r="A5387"/>
      <c r="B5387"/>
      <c r="C5387"/>
      <c r="D5387"/>
    </row>
    <row r="5388" spans="1:4" x14ac:dyDescent="0.2">
      <c r="A5388"/>
      <c r="B5388"/>
      <c r="C5388"/>
      <c r="D5388"/>
    </row>
    <row r="5389" spans="1:4" x14ac:dyDescent="0.2">
      <c r="A5389"/>
      <c r="B5389"/>
      <c r="C5389"/>
      <c r="D5389"/>
    </row>
    <row r="5390" spans="1:4" x14ac:dyDescent="0.2">
      <c r="A5390"/>
      <c r="B5390"/>
      <c r="C5390"/>
      <c r="D5390"/>
    </row>
    <row r="5391" spans="1:4" x14ac:dyDescent="0.2">
      <c r="A5391"/>
      <c r="B5391"/>
      <c r="C5391"/>
      <c r="D5391"/>
    </row>
    <row r="5392" spans="1:4" x14ac:dyDescent="0.2">
      <c r="A5392"/>
      <c r="B5392"/>
      <c r="C5392"/>
      <c r="D5392"/>
    </row>
    <row r="5393" spans="1:4" x14ac:dyDescent="0.2">
      <c r="A5393"/>
      <c r="B5393"/>
      <c r="C5393"/>
      <c r="D5393"/>
    </row>
    <row r="5394" spans="1:4" x14ac:dyDescent="0.2">
      <c r="A5394"/>
      <c r="B5394"/>
      <c r="C5394"/>
      <c r="D5394"/>
    </row>
    <row r="5395" spans="1:4" x14ac:dyDescent="0.2">
      <c r="A5395"/>
      <c r="B5395"/>
      <c r="C5395"/>
      <c r="D5395"/>
    </row>
    <row r="5396" spans="1:4" x14ac:dyDescent="0.2">
      <c r="A5396"/>
      <c r="B5396"/>
      <c r="C5396"/>
      <c r="D5396"/>
    </row>
    <row r="5397" spans="1:4" x14ac:dyDescent="0.2">
      <c r="A5397"/>
      <c r="B5397"/>
      <c r="C5397"/>
      <c r="D5397"/>
    </row>
    <row r="5398" spans="1:4" x14ac:dyDescent="0.2">
      <c r="A5398"/>
      <c r="B5398"/>
      <c r="C5398"/>
      <c r="D5398"/>
    </row>
    <row r="5399" spans="1:4" x14ac:dyDescent="0.2">
      <c r="A5399"/>
      <c r="B5399"/>
      <c r="C5399"/>
      <c r="D5399"/>
    </row>
    <row r="5400" spans="1:4" x14ac:dyDescent="0.2">
      <c r="A5400"/>
      <c r="B5400"/>
      <c r="C5400"/>
      <c r="D5400"/>
    </row>
    <row r="5401" spans="1:4" x14ac:dyDescent="0.2">
      <c r="A5401"/>
      <c r="B5401"/>
      <c r="C5401"/>
      <c r="D5401"/>
    </row>
    <row r="5402" spans="1:4" x14ac:dyDescent="0.2">
      <c r="A5402"/>
      <c r="B5402"/>
      <c r="C5402"/>
      <c r="D5402"/>
    </row>
    <row r="5403" spans="1:4" x14ac:dyDescent="0.2">
      <c r="A5403"/>
      <c r="B5403"/>
      <c r="C5403"/>
      <c r="D5403"/>
    </row>
    <row r="5404" spans="1:4" x14ac:dyDescent="0.2">
      <c r="A5404"/>
      <c r="B5404"/>
      <c r="C5404"/>
      <c r="D5404"/>
    </row>
    <row r="5405" spans="1:4" x14ac:dyDescent="0.2">
      <c r="A5405"/>
      <c r="B5405"/>
      <c r="C5405"/>
      <c r="D5405"/>
    </row>
    <row r="5406" spans="1:4" x14ac:dyDescent="0.2">
      <c r="A5406"/>
      <c r="B5406"/>
      <c r="C5406"/>
      <c r="D5406"/>
    </row>
    <row r="5407" spans="1:4" x14ac:dyDescent="0.2">
      <c r="A5407"/>
      <c r="B5407"/>
      <c r="C5407"/>
      <c r="D5407"/>
    </row>
    <row r="5408" spans="1:4" x14ac:dyDescent="0.2">
      <c r="A5408"/>
      <c r="B5408"/>
      <c r="C5408"/>
      <c r="D5408"/>
    </row>
    <row r="5409" spans="1:4" x14ac:dyDescent="0.2">
      <c r="A5409"/>
      <c r="B5409"/>
      <c r="C5409"/>
      <c r="D5409"/>
    </row>
    <row r="5410" spans="1:4" x14ac:dyDescent="0.2">
      <c r="A5410"/>
      <c r="B5410"/>
      <c r="C5410"/>
      <c r="D5410"/>
    </row>
    <row r="5411" spans="1:4" x14ac:dyDescent="0.2">
      <c r="A5411"/>
      <c r="B5411"/>
      <c r="C5411"/>
      <c r="D5411"/>
    </row>
    <row r="5412" spans="1:4" x14ac:dyDescent="0.2">
      <c r="A5412"/>
      <c r="B5412"/>
      <c r="C5412"/>
      <c r="D5412"/>
    </row>
    <row r="5413" spans="1:4" x14ac:dyDescent="0.2">
      <c r="A5413"/>
      <c r="B5413"/>
      <c r="C5413"/>
      <c r="D5413"/>
    </row>
    <row r="5414" spans="1:4" x14ac:dyDescent="0.2">
      <c r="A5414"/>
      <c r="B5414"/>
      <c r="C5414"/>
      <c r="D5414"/>
    </row>
    <row r="5415" spans="1:4" x14ac:dyDescent="0.2">
      <c r="A5415"/>
      <c r="B5415"/>
      <c r="C5415"/>
      <c r="D5415"/>
    </row>
    <row r="5416" spans="1:4" x14ac:dyDescent="0.2">
      <c r="A5416"/>
      <c r="B5416"/>
      <c r="C5416"/>
      <c r="D5416"/>
    </row>
    <row r="5417" spans="1:4" x14ac:dyDescent="0.2">
      <c r="A5417"/>
      <c r="B5417"/>
      <c r="C5417"/>
      <c r="D5417"/>
    </row>
    <row r="5418" spans="1:4" x14ac:dyDescent="0.2">
      <c r="A5418"/>
      <c r="B5418"/>
      <c r="C5418"/>
      <c r="D5418"/>
    </row>
    <row r="5419" spans="1:4" x14ac:dyDescent="0.2">
      <c r="A5419"/>
      <c r="B5419"/>
      <c r="C5419"/>
      <c r="D5419"/>
    </row>
    <row r="5420" spans="1:4" x14ac:dyDescent="0.2">
      <c r="A5420"/>
      <c r="B5420"/>
      <c r="C5420"/>
      <c r="D5420"/>
    </row>
    <row r="5421" spans="1:4" x14ac:dyDescent="0.2">
      <c r="A5421"/>
      <c r="B5421"/>
      <c r="C5421"/>
      <c r="D5421"/>
    </row>
    <row r="5422" spans="1:4" x14ac:dyDescent="0.2">
      <c r="A5422"/>
      <c r="B5422"/>
      <c r="C5422"/>
      <c r="D5422"/>
    </row>
    <row r="5423" spans="1:4" x14ac:dyDescent="0.2">
      <c r="A5423"/>
      <c r="B5423"/>
      <c r="C5423"/>
      <c r="D5423"/>
    </row>
    <row r="5424" spans="1:4" x14ac:dyDescent="0.2">
      <c r="A5424"/>
      <c r="B5424"/>
      <c r="C5424"/>
      <c r="D5424"/>
    </row>
    <row r="5425" spans="1:4" x14ac:dyDescent="0.2">
      <c r="A5425"/>
      <c r="B5425"/>
      <c r="C5425"/>
      <c r="D5425"/>
    </row>
    <row r="5426" spans="1:4" x14ac:dyDescent="0.2">
      <c r="A5426"/>
      <c r="B5426"/>
      <c r="C5426"/>
      <c r="D5426"/>
    </row>
    <row r="5427" spans="1:4" x14ac:dyDescent="0.2">
      <c r="A5427"/>
      <c r="B5427"/>
      <c r="C5427"/>
      <c r="D5427"/>
    </row>
    <row r="5428" spans="1:4" x14ac:dyDescent="0.2">
      <c r="A5428"/>
      <c r="B5428"/>
      <c r="C5428"/>
      <c r="D5428"/>
    </row>
    <row r="5429" spans="1:4" x14ac:dyDescent="0.2">
      <c r="A5429"/>
      <c r="B5429"/>
      <c r="C5429"/>
      <c r="D5429"/>
    </row>
    <row r="5430" spans="1:4" x14ac:dyDescent="0.2">
      <c r="A5430"/>
      <c r="B5430"/>
      <c r="C5430"/>
      <c r="D5430"/>
    </row>
    <row r="5431" spans="1:4" x14ac:dyDescent="0.2">
      <c r="A5431"/>
      <c r="B5431"/>
      <c r="C5431"/>
      <c r="D5431"/>
    </row>
    <row r="5432" spans="1:4" x14ac:dyDescent="0.2">
      <c r="A5432"/>
      <c r="B5432"/>
      <c r="C5432"/>
      <c r="D5432"/>
    </row>
    <row r="5433" spans="1:4" x14ac:dyDescent="0.2">
      <c r="A5433"/>
      <c r="B5433"/>
      <c r="C5433"/>
      <c r="D5433"/>
    </row>
    <row r="5434" spans="1:4" x14ac:dyDescent="0.2">
      <c r="A5434"/>
      <c r="B5434"/>
      <c r="C5434"/>
      <c r="D5434"/>
    </row>
    <row r="5435" spans="1:4" x14ac:dyDescent="0.2">
      <c r="A5435"/>
      <c r="B5435"/>
      <c r="C5435"/>
      <c r="D5435"/>
    </row>
    <row r="5436" spans="1:4" x14ac:dyDescent="0.2">
      <c r="A5436"/>
      <c r="B5436"/>
      <c r="C5436"/>
      <c r="D5436"/>
    </row>
    <row r="5437" spans="1:4" x14ac:dyDescent="0.2">
      <c r="A5437"/>
      <c r="B5437"/>
      <c r="C5437"/>
      <c r="D5437"/>
    </row>
    <row r="5438" spans="1:4" x14ac:dyDescent="0.2">
      <c r="A5438"/>
      <c r="B5438"/>
      <c r="C5438"/>
      <c r="D5438"/>
    </row>
    <row r="5439" spans="1:4" x14ac:dyDescent="0.2">
      <c r="A5439"/>
      <c r="B5439"/>
      <c r="C5439"/>
      <c r="D5439"/>
    </row>
    <row r="5440" spans="1:4" x14ac:dyDescent="0.2">
      <c r="A5440"/>
      <c r="B5440"/>
      <c r="C5440"/>
      <c r="D5440"/>
    </row>
    <row r="5441" spans="1:4" x14ac:dyDescent="0.2">
      <c r="A5441"/>
      <c r="B5441"/>
      <c r="C5441"/>
      <c r="D5441"/>
    </row>
    <row r="5442" spans="1:4" x14ac:dyDescent="0.2">
      <c r="A5442"/>
      <c r="B5442"/>
      <c r="C5442"/>
      <c r="D5442"/>
    </row>
    <row r="5443" spans="1:4" x14ac:dyDescent="0.2">
      <c r="A5443"/>
      <c r="B5443"/>
      <c r="C5443"/>
      <c r="D5443"/>
    </row>
    <row r="5444" spans="1:4" x14ac:dyDescent="0.2">
      <c r="A5444"/>
      <c r="B5444"/>
      <c r="C5444"/>
      <c r="D5444"/>
    </row>
    <row r="5445" spans="1:4" x14ac:dyDescent="0.2">
      <c r="A5445"/>
      <c r="B5445"/>
      <c r="C5445"/>
      <c r="D5445"/>
    </row>
    <row r="5446" spans="1:4" x14ac:dyDescent="0.2">
      <c r="A5446"/>
      <c r="B5446"/>
      <c r="C5446"/>
      <c r="D5446"/>
    </row>
    <row r="5447" spans="1:4" x14ac:dyDescent="0.2">
      <c r="A5447"/>
      <c r="B5447"/>
      <c r="C5447"/>
      <c r="D5447"/>
    </row>
    <row r="5448" spans="1:4" x14ac:dyDescent="0.2">
      <c r="A5448"/>
      <c r="B5448"/>
      <c r="C5448"/>
      <c r="D5448"/>
    </row>
    <row r="5449" spans="1:4" x14ac:dyDescent="0.2">
      <c r="A5449"/>
      <c r="B5449"/>
      <c r="C5449"/>
      <c r="D5449"/>
    </row>
    <row r="5450" spans="1:4" x14ac:dyDescent="0.2">
      <c r="A5450"/>
      <c r="B5450"/>
      <c r="C5450"/>
      <c r="D5450"/>
    </row>
    <row r="5451" spans="1:4" x14ac:dyDescent="0.2">
      <c r="A5451"/>
      <c r="B5451"/>
      <c r="C5451"/>
      <c r="D5451"/>
    </row>
    <row r="5452" spans="1:4" x14ac:dyDescent="0.2">
      <c r="A5452"/>
      <c r="B5452"/>
      <c r="C5452"/>
      <c r="D5452"/>
    </row>
    <row r="5453" spans="1:4" x14ac:dyDescent="0.2">
      <c r="A5453"/>
      <c r="B5453"/>
      <c r="C5453"/>
      <c r="D5453"/>
    </row>
    <row r="5454" spans="1:4" x14ac:dyDescent="0.2">
      <c r="A5454"/>
      <c r="B5454"/>
      <c r="C5454"/>
      <c r="D5454"/>
    </row>
    <row r="5455" spans="1:4" x14ac:dyDescent="0.2">
      <c r="A5455"/>
      <c r="B5455"/>
      <c r="C5455"/>
      <c r="D5455"/>
    </row>
    <row r="5456" spans="1:4" x14ac:dyDescent="0.2">
      <c r="A5456"/>
      <c r="B5456"/>
      <c r="C5456"/>
      <c r="D5456"/>
    </row>
    <row r="5457" spans="1:4" x14ac:dyDescent="0.2">
      <c r="A5457"/>
      <c r="B5457"/>
      <c r="C5457"/>
      <c r="D5457"/>
    </row>
    <row r="5458" spans="1:4" x14ac:dyDescent="0.2">
      <c r="A5458"/>
      <c r="B5458"/>
      <c r="C5458"/>
      <c r="D5458"/>
    </row>
    <row r="5459" spans="1:4" x14ac:dyDescent="0.2">
      <c r="A5459"/>
      <c r="B5459"/>
      <c r="C5459"/>
      <c r="D5459"/>
    </row>
    <row r="5460" spans="1:4" x14ac:dyDescent="0.2">
      <c r="A5460"/>
      <c r="B5460"/>
      <c r="C5460"/>
      <c r="D5460"/>
    </row>
    <row r="5461" spans="1:4" x14ac:dyDescent="0.2">
      <c r="A5461"/>
      <c r="B5461"/>
      <c r="C5461"/>
      <c r="D5461"/>
    </row>
    <row r="5462" spans="1:4" x14ac:dyDescent="0.2">
      <c r="A5462"/>
      <c r="B5462"/>
      <c r="C5462"/>
      <c r="D5462"/>
    </row>
    <row r="5463" spans="1:4" x14ac:dyDescent="0.2">
      <c r="A5463"/>
      <c r="B5463"/>
      <c r="C5463"/>
      <c r="D5463"/>
    </row>
    <row r="5464" spans="1:4" x14ac:dyDescent="0.2">
      <c r="A5464"/>
      <c r="B5464"/>
      <c r="C5464"/>
      <c r="D5464"/>
    </row>
    <row r="5465" spans="1:4" x14ac:dyDescent="0.2">
      <c r="A5465"/>
      <c r="B5465"/>
      <c r="C5465"/>
      <c r="D5465"/>
    </row>
    <row r="5466" spans="1:4" x14ac:dyDescent="0.2">
      <c r="A5466"/>
      <c r="B5466"/>
      <c r="C5466"/>
      <c r="D5466"/>
    </row>
    <row r="5467" spans="1:4" x14ac:dyDescent="0.2">
      <c r="A5467"/>
      <c r="B5467"/>
      <c r="C5467"/>
      <c r="D5467"/>
    </row>
    <row r="5468" spans="1:4" x14ac:dyDescent="0.2">
      <c r="A5468"/>
      <c r="B5468"/>
      <c r="C5468"/>
      <c r="D5468"/>
    </row>
    <row r="5469" spans="1:4" x14ac:dyDescent="0.2">
      <c r="A5469"/>
      <c r="B5469"/>
      <c r="C5469"/>
      <c r="D5469"/>
    </row>
    <row r="5470" spans="1:4" x14ac:dyDescent="0.2">
      <c r="A5470"/>
      <c r="B5470"/>
      <c r="C5470"/>
      <c r="D5470"/>
    </row>
    <row r="5471" spans="1:4" x14ac:dyDescent="0.2">
      <c r="A5471"/>
      <c r="B5471"/>
      <c r="C5471"/>
      <c r="D5471"/>
    </row>
    <row r="5472" spans="1:4" x14ac:dyDescent="0.2">
      <c r="A5472"/>
      <c r="B5472"/>
      <c r="C5472"/>
      <c r="D5472"/>
    </row>
    <row r="5473" spans="1:4" x14ac:dyDescent="0.2">
      <c r="A5473"/>
      <c r="B5473"/>
      <c r="C5473"/>
      <c r="D5473"/>
    </row>
    <row r="5474" spans="1:4" x14ac:dyDescent="0.2">
      <c r="A5474"/>
      <c r="B5474"/>
      <c r="C5474"/>
      <c r="D5474"/>
    </row>
    <row r="5475" spans="1:4" x14ac:dyDescent="0.2">
      <c r="A5475"/>
      <c r="B5475"/>
      <c r="C5475"/>
      <c r="D5475"/>
    </row>
    <row r="5476" spans="1:4" x14ac:dyDescent="0.2">
      <c r="A5476"/>
      <c r="B5476"/>
      <c r="C5476"/>
      <c r="D5476"/>
    </row>
    <row r="5477" spans="1:4" x14ac:dyDescent="0.2">
      <c r="A5477"/>
      <c r="B5477"/>
      <c r="C5477"/>
      <c r="D5477"/>
    </row>
    <row r="5478" spans="1:4" x14ac:dyDescent="0.2">
      <c r="A5478"/>
      <c r="B5478"/>
      <c r="C5478"/>
      <c r="D5478"/>
    </row>
    <row r="5479" spans="1:4" x14ac:dyDescent="0.2">
      <c r="A5479"/>
      <c r="B5479"/>
      <c r="C5479"/>
      <c r="D5479"/>
    </row>
    <row r="5480" spans="1:4" x14ac:dyDescent="0.2">
      <c r="A5480"/>
      <c r="B5480"/>
      <c r="C5480"/>
      <c r="D5480"/>
    </row>
    <row r="5481" spans="1:4" x14ac:dyDescent="0.2">
      <c r="A5481"/>
      <c r="B5481"/>
      <c r="C5481"/>
      <c r="D5481"/>
    </row>
    <row r="5482" spans="1:4" x14ac:dyDescent="0.2">
      <c r="A5482"/>
      <c r="B5482"/>
      <c r="C5482"/>
      <c r="D5482"/>
    </row>
    <row r="5483" spans="1:4" x14ac:dyDescent="0.2">
      <c r="A5483"/>
      <c r="B5483"/>
      <c r="C5483"/>
      <c r="D5483"/>
    </row>
    <row r="5484" spans="1:4" x14ac:dyDescent="0.2">
      <c r="A5484"/>
      <c r="B5484"/>
      <c r="C5484"/>
      <c r="D5484"/>
    </row>
    <row r="5485" spans="1:4" x14ac:dyDescent="0.2">
      <c r="A5485"/>
      <c r="B5485"/>
      <c r="C5485"/>
      <c r="D5485"/>
    </row>
    <row r="5486" spans="1:4" x14ac:dyDescent="0.2">
      <c r="A5486"/>
      <c r="B5486"/>
      <c r="C5486"/>
      <c r="D5486"/>
    </row>
    <row r="5487" spans="1:4" x14ac:dyDescent="0.2">
      <c r="A5487"/>
      <c r="B5487"/>
      <c r="C5487"/>
      <c r="D5487"/>
    </row>
    <row r="5488" spans="1:4" x14ac:dyDescent="0.2">
      <c r="A5488"/>
      <c r="B5488"/>
      <c r="C5488"/>
      <c r="D5488"/>
    </row>
    <row r="5489" spans="1:4" x14ac:dyDescent="0.2">
      <c r="A5489"/>
      <c r="B5489"/>
      <c r="C5489"/>
      <c r="D5489"/>
    </row>
    <row r="5490" spans="1:4" x14ac:dyDescent="0.2">
      <c r="A5490"/>
      <c r="B5490"/>
      <c r="C5490"/>
      <c r="D5490"/>
    </row>
    <row r="5491" spans="1:4" x14ac:dyDescent="0.2">
      <c r="A5491"/>
      <c r="B5491"/>
      <c r="C5491"/>
      <c r="D5491"/>
    </row>
    <row r="5492" spans="1:4" x14ac:dyDescent="0.2">
      <c r="A5492"/>
      <c r="B5492"/>
      <c r="C5492"/>
      <c r="D5492"/>
    </row>
    <row r="5493" spans="1:4" x14ac:dyDescent="0.2">
      <c r="A5493"/>
      <c r="B5493"/>
      <c r="C5493"/>
      <c r="D5493"/>
    </row>
    <row r="5494" spans="1:4" x14ac:dyDescent="0.2">
      <c r="A5494"/>
      <c r="B5494"/>
      <c r="C5494"/>
      <c r="D5494"/>
    </row>
    <row r="5495" spans="1:4" x14ac:dyDescent="0.2">
      <c r="A5495"/>
      <c r="B5495"/>
      <c r="C5495"/>
      <c r="D5495"/>
    </row>
    <row r="5496" spans="1:4" x14ac:dyDescent="0.2">
      <c r="A5496"/>
      <c r="B5496"/>
      <c r="C5496"/>
      <c r="D5496"/>
    </row>
    <row r="5497" spans="1:4" x14ac:dyDescent="0.2">
      <c r="A5497"/>
      <c r="B5497"/>
      <c r="C5497"/>
      <c r="D5497"/>
    </row>
    <row r="5498" spans="1:4" x14ac:dyDescent="0.2">
      <c r="A5498"/>
      <c r="B5498"/>
      <c r="C5498"/>
      <c r="D5498"/>
    </row>
    <row r="5499" spans="1:4" x14ac:dyDescent="0.2">
      <c r="A5499"/>
      <c r="B5499"/>
      <c r="C5499"/>
      <c r="D5499"/>
    </row>
    <row r="5500" spans="1:4" x14ac:dyDescent="0.2">
      <c r="A5500"/>
      <c r="B5500"/>
      <c r="C5500"/>
      <c r="D5500"/>
    </row>
    <row r="5501" spans="1:4" x14ac:dyDescent="0.2">
      <c r="A5501"/>
      <c r="B5501"/>
      <c r="C5501"/>
      <c r="D5501"/>
    </row>
    <row r="5502" spans="1:4" x14ac:dyDescent="0.2">
      <c r="A5502"/>
      <c r="B5502"/>
      <c r="C5502"/>
      <c r="D5502"/>
    </row>
    <row r="5503" spans="1:4" x14ac:dyDescent="0.2">
      <c r="A5503"/>
      <c r="B5503"/>
      <c r="C5503"/>
      <c r="D5503"/>
    </row>
    <row r="5504" spans="1:4" x14ac:dyDescent="0.2">
      <c r="A5504"/>
      <c r="B5504"/>
      <c r="C5504"/>
      <c r="D5504"/>
    </row>
    <row r="5505" spans="1:4" x14ac:dyDescent="0.2">
      <c r="A5505"/>
      <c r="B5505"/>
      <c r="C5505"/>
      <c r="D5505"/>
    </row>
    <row r="5506" spans="1:4" x14ac:dyDescent="0.2">
      <c r="A5506"/>
      <c r="B5506"/>
      <c r="C5506"/>
      <c r="D5506"/>
    </row>
    <row r="5507" spans="1:4" x14ac:dyDescent="0.2">
      <c r="A5507"/>
      <c r="B5507"/>
      <c r="C5507"/>
      <c r="D5507"/>
    </row>
    <row r="5508" spans="1:4" x14ac:dyDescent="0.2">
      <c r="A5508"/>
      <c r="B5508"/>
      <c r="C5508"/>
      <c r="D5508"/>
    </row>
    <row r="5509" spans="1:4" x14ac:dyDescent="0.2">
      <c r="A5509"/>
      <c r="B5509"/>
      <c r="C5509"/>
      <c r="D5509"/>
    </row>
    <row r="5510" spans="1:4" x14ac:dyDescent="0.2">
      <c r="A5510"/>
      <c r="B5510"/>
      <c r="C5510"/>
      <c r="D5510"/>
    </row>
    <row r="5511" spans="1:4" x14ac:dyDescent="0.2">
      <c r="A5511"/>
      <c r="B5511"/>
      <c r="C5511"/>
      <c r="D5511"/>
    </row>
    <row r="5512" spans="1:4" x14ac:dyDescent="0.2">
      <c r="A5512"/>
      <c r="B5512"/>
      <c r="C5512"/>
      <c r="D5512"/>
    </row>
    <row r="5513" spans="1:4" x14ac:dyDescent="0.2">
      <c r="A5513"/>
      <c r="B5513"/>
      <c r="C5513"/>
      <c r="D5513"/>
    </row>
    <row r="5514" spans="1:4" x14ac:dyDescent="0.2">
      <c r="A5514"/>
      <c r="B5514"/>
      <c r="C5514"/>
      <c r="D5514"/>
    </row>
    <row r="5515" spans="1:4" x14ac:dyDescent="0.2">
      <c r="A5515"/>
      <c r="B5515"/>
      <c r="C5515"/>
      <c r="D5515"/>
    </row>
    <row r="5516" spans="1:4" x14ac:dyDescent="0.2">
      <c r="A5516"/>
      <c r="B5516"/>
      <c r="C5516"/>
      <c r="D5516"/>
    </row>
    <row r="5517" spans="1:4" x14ac:dyDescent="0.2">
      <c r="A5517"/>
      <c r="B5517"/>
      <c r="C5517"/>
      <c r="D5517"/>
    </row>
    <row r="5518" spans="1:4" x14ac:dyDescent="0.2">
      <c r="A5518"/>
      <c r="B5518"/>
      <c r="C5518"/>
      <c r="D5518"/>
    </row>
    <row r="5519" spans="1:4" x14ac:dyDescent="0.2">
      <c r="A5519"/>
      <c r="B5519"/>
      <c r="C5519"/>
      <c r="D5519"/>
    </row>
    <row r="5520" spans="1:4" x14ac:dyDescent="0.2">
      <c r="A5520"/>
      <c r="B5520"/>
      <c r="C5520"/>
      <c r="D5520"/>
    </row>
    <row r="5521" spans="1:4" x14ac:dyDescent="0.2">
      <c r="A5521"/>
      <c r="B5521"/>
      <c r="C5521"/>
      <c r="D5521"/>
    </row>
    <row r="5522" spans="1:4" x14ac:dyDescent="0.2">
      <c r="A5522"/>
      <c r="B5522"/>
      <c r="C5522"/>
      <c r="D5522"/>
    </row>
    <row r="5523" spans="1:4" x14ac:dyDescent="0.2">
      <c r="A5523"/>
      <c r="B5523"/>
      <c r="C5523"/>
      <c r="D5523"/>
    </row>
    <row r="5524" spans="1:4" x14ac:dyDescent="0.2">
      <c r="A5524"/>
      <c r="B5524"/>
      <c r="C5524"/>
      <c r="D5524"/>
    </row>
    <row r="5525" spans="1:4" x14ac:dyDescent="0.2">
      <c r="A5525"/>
      <c r="B5525"/>
      <c r="C5525"/>
      <c r="D5525"/>
    </row>
    <row r="5526" spans="1:4" x14ac:dyDescent="0.2">
      <c r="A5526"/>
      <c r="B5526"/>
      <c r="C5526"/>
      <c r="D5526"/>
    </row>
    <row r="5527" spans="1:4" x14ac:dyDescent="0.2">
      <c r="A5527"/>
      <c r="B5527"/>
      <c r="C5527"/>
      <c r="D5527"/>
    </row>
    <row r="5528" spans="1:4" x14ac:dyDescent="0.2">
      <c r="A5528"/>
      <c r="B5528"/>
      <c r="C5528"/>
      <c r="D5528"/>
    </row>
    <row r="5529" spans="1:4" x14ac:dyDescent="0.2">
      <c r="A5529"/>
      <c r="B5529"/>
      <c r="C5529"/>
      <c r="D5529"/>
    </row>
    <row r="5530" spans="1:4" x14ac:dyDescent="0.2">
      <c r="A5530"/>
      <c r="B5530"/>
      <c r="C5530"/>
      <c r="D5530"/>
    </row>
    <row r="5531" spans="1:4" x14ac:dyDescent="0.2">
      <c r="A5531"/>
      <c r="B5531"/>
      <c r="C5531"/>
      <c r="D5531"/>
    </row>
    <row r="5532" spans="1:4" x14ac:dyDescent="0.2">
      <c r="A5532"/>
      <c r="B5532"/>
      <c r="C5532"/>
      <c r="D5532"/>
    </row>
    <row r="5533" spans="1:4" x14ac:dyDescent="0.2">
      <c r="A5533"/>
      <c r="B5533"/>
      <c r="C5533"/>
      <c r="D5533"/>
    </row>
    <row r="5534" spans="1:4" x14ac:dyDescent="0.2">
      <c r="A5534"/>
      <c r="B5534"/>
      <c r="C5534"/>
      <c r="D5534"/>
    </row>
    <row r="5535" spans="1:4" x14ac:dyDescent="0.2">
      <c r="A5535"/>
      <c r="B5535"/>
      <c r="C5535"/>
      <c r="D5535"/>
    </row>
    <row r="5536" spans="1:4" x14ac:dyDescent="0.2">
      <c r="A5536"/>
      <c r="B5536"/>
      <c r="C5536"/>
      <c r="D5536"/>
    </row>
    <row r="5537" spans="1:4" x14ac:dyDescent="0.2">
      <c r="A5537"/>
      <c r="B5537"/>
      <c r="C5537"/>
      <c r="D5537"/>
    </row>
    <row r="5538" spans="1:4" x14ac:dyDescent="0.2">
      <c r="A5538"/>
      <c r="B5538"/>
      <c r="C5538"/>
      <c r="D5538"/>
    </row>
    <row r="5539" spans="1:4" x14ac:dyDescent="0.2">
      <c r="A5539"/>
      <c r="B5539"/>
      <c r="C5539"/>
      <c r="D5539"/>
    </row>
    <row r="5540" spans="1:4" x14ac:dyDescent="0.2">
      <c r="A5540"/>
      <c r="B5540"/>
      <c r="C5540"/>
      <c r="D5540"/>
    </row>
    <row r="5541" spans="1:4" x14ac:dyDescent="0.2">
      <c r="A5541"/>
      <c r="B5541"/>
      <c r="C5541"/>
      <c r="D5541"/>
    </row>
    <row r="5542" spans="1:4" x14ac:dyDescent="0.2">
      <c r="A5542"/>
      <c r="B5542"/>
      <c r="C5542"/>
      <c r="D5542"/>
    </row>
    <row r="5543" spans="1:4" x14ac:dyDescent="0.2">
      <c r="A5543"/>
      <c r="B5543"/>
      <c r="C5543"/>
      <c r="D5543"/>
    </row>
    <row r="5544" spans="1:4" x14ac:dyDescent="0.2">
      <c r="A5544"/>
      <c r="B5544"/>
      <c r="C5544"/>
      <c r="D5544"/>
    </row>
    <row r="5545" spans="1:4" x14ac:dyDescent="0.2">
      <c r="A5545"/>
      <c r="B5545"/>
      <c r="C5545"/>
      <c r="D5545"/>
    </row>
    <row r="5546" spans="1:4" x14ac:dyDescent="0.2">
      <c r="A5546"/>
      <c r="B5546"/>
      <c r="C5546"/>
      <c r="D5546"/>
    </row>
    <row r="5547" spans="1:4" x14ac:dyDescent="0.2">
      <c r="A5547"/>
      <c r="B5547"/>
      <c r="C5547"/>
      <c r="D5547"/>
    </row>
    <row r="5548" spans="1:4" x14ac:dyDescent="0.2">
      <c r="A5548"/>
      <c r="B5548"/>
      <c r="C5548"/>
      <c r="D5548"/>
    </row>
    <row r="5549" spans="1:4" x14ac:dyDescent="0.2">
      <c r="A5549"/>
      <c r="B5549"/>
      <c r="C5549"/>
      <c r="D5549"/>
    </row>
    <row r="5550" spans="1:4" x14ac:dyDescent="0.2">
      <c r="A5550"/>
      <c r="B5550"/>
      <c r="C5550"/>
      <c r="D5550"/>
    </row>
    <row r="5551" spans="1:4" x14ac:dyDescent="0.2">
      <c r="A5551"/>
      <c r="B5551"/>
      <c r="C5551"/>
      <c r="D5551"/>
    </row>
    <row r="5552" spans="1:4" x14ac:dyDescent="0.2">
      <c r="A5552"/>
      <c r="B5552"/>
      <c r="C5552"/>
      <c r="D5552"/>
    </row>
    <row r="5553" spans="1:4" x14ac:dyDescent="0.2">
      <c r="A5553"/>
      <c r="B5553"/>
      <c r="C5553"/>
      <c r="D5553"/>
    </row>
    <row r="5554" spans="1:4" x14ac:dyDescent="0.2">
      <c r="A5554"/>
      <c r="B5554"/>
      <c r="C5554"/>
      <c r="D5554"/>
    </row>
    <row r="5555" spans="1:4" x14ac:dyDescent="0.2">
      <c r="A5555"/>
      <c r="B5555"/>
      <c r="C5555"/>
      <c r="D5555"/>
    </row>
    <row r="5556" spans="1:4" x14ac:dyDescent="0.2">
      <c r="A5556"/>
      <c r="B5556"/>
      <c r="C5556"/>
      <c r="D5556"/>
    </row>
    <row r="5557" spans="1:4" x14ac:dyDescent="0.2">
      <c r="A5557"/>
      <c r="B5557"/>
      <c r="C5557"/>
      <c r="D5557"/>
    </row>
    <row r="5558" spans="1:4" x14ac:dyDescent="0.2">
      <c r="A5558"/>
      <c r="B5558"/>
      <c r="C5558"/>
      <c r="D5558"/>
    </row>
    <row r="5559" spans="1:4" x14ac:dyDescent="0.2">
      <c r="A5559"/>
      <c r="B5559"/>
      <c r="C5559"/>
      <c r="D5559"/>
    </row>
    <row r="5560" spans="1:4" x14ac:dyDescent="0.2">
      <c r="A5560"/>
      <c r="B5560"/>
      <c r="C5560"/>
      <c r="D5560"/>
    </row>
    <row r="5561" spans="1:4" x14ac:dyDescent="0.2">
      <c r="A5561"/>
      <c r="B5561"/>
      <c r="C5561"/>
      <c r="D5561"/>
    </row>
    <row r="5562" spans="1:4" x14ac:dyDescent="0.2">
      <c r="A5562"/>
      <c r="B5562"/>
      <c r="C5562"/>
      <c r="D5562"/>
    </row>
    <row r="5563" spans="1:4" x14ac:dyDescent="0.2">
      <c r="A5563"/>
      <c r="B5563"/>
      <c r="C5563"/>
      <c r="D5563"/>
    </row>
    <row r="5564" spans="1:4" x14ac:dyDescent="0.2">
      <c r="A5564"/>
      <c r="B5564"/>
      <c r="C5564"/>
      <c r="D5564"/>
    </row>
    <row r="5565" spans="1:4" x14ac:dyDescent="0.2">
      <c r="A5565"/>
      <c r="B5565"/>
      <c r="C5565"/>
      <c r="D5565"/>
    </row>
    <row r="5566" spans="1:4" x14ac:dyDescent="0.2">
      <c r="A5566"/>
      <c r="B5566"/>
      <c r="C5566"/>
      <c r="D5566"/>
    </row>
    <row r="5567" spans="1:4" x14ac:dyDescent="0.2">
      <c r="A5567"/>
      <c r="B5567"/>
      <c r="C5567"/>
      <c r="D5567"/>
    </row>
    <row r="5568" spans="1:4" x14ac:dyDescent="0.2">
      <c r="A5568"/>
      <c r="B5568"/>
      <c r="C5568"/>
      <c r="D5568"/>
    </row>
    <row r="5569" spans="1:4" x14ac:dyDescent="0.2">
      <c r="A5569"/>
      <c r="B5569"/>
      <c r="C5569"/>
      <c r="D5569"/>
    </row>
    <row r="5570" spans="1:4" x14ac:dyDescent="0.2">
      <c r="A5570"/>
      <c r="B5570"/>
      <c r="C5570"/>
      <c r="D5570"/>
    </row>
    <row r="5571" spans="1:4" x14ac:dyDescent="0.2">
      <c r="A5571"/>
      <c r="B5571"/>
      <c r="C5571"/>
      <c r="D5571"/>
    </row>
    <row r="5572" spans="1:4" x14ac:dyDescent="0.2">
      <c r="A5572"/>
      <c r="B5572"/>
      <c r="C5572"/>
      <c r="D5572"/>
    </row>
    <row r="5573" spans="1:4" x14ac:dyDescent="0.2">
      <c r="A5573"/>
      <c r="B5573"/>
      <c r="C5573"/>
      <c r="D5573"/>
    </row>
    <row r="5574" spans="1:4" x14ac:dyDescent="0.2">
      <c r="A5574"/>
      <c r="B5574"/>
      <c r="C5574"/>
      <c r="D5574"/>
    </row>
    <row r="5575" spans="1:4" x14ac:dyDescent="0.2">
      <c r="A5575"/>
      <c r="B5575"/>
      <c r="C5575"/>
      <c r="D5575"/>
    </row>
    <row r="5576" spans="1:4" x14ac:dyDescent="0.2">
      <c r="A5576"/>
      <c r="B5576"/>
      <c r="C5576"/>
      <c r="D5576"/>
    </row>
    <row r="5577" spans="1:4" x14ac:dyDescent="0.2">
      <c r="A5577"/>
      <c r="B5577"/>
      <c r="C5577"/>
      <c r="D5577"/>
    </row>
    <row r="5578" spans="1:4" x14ac:dyDescent="0.2">
      <c r="A5578"/>
      <c r="B5578"/>
      <c r="C5578"/>
      <c r="D5578"/>
    </row>
    <row r="5579" spans="1:4" x14ac:dyDescent="0.2">
      <c r="A5579"/>
      <c r="B5579"/>
      <c r="C5579"/>
      <c r="D5579"/>
    </row>
    <row r="5580" spans="1:4" x14ac:dyDescent="0.2">
      <c r="A5580"/>
      <c r="B5580"/>
      <c r="C5580"/>
      <c r="D5580"/>
    </row>
    <row r="5581" spans="1:4" x14ac:dyDescent="0.2">
      <c r="A5581"/>
      <c r="B5581"/>
      <c r="C5581"/>
      <c r="D5581"/>
    </row>
    <row r="5582" spans="1:4" x14ac:dyDescent="0.2">
      <c r="A5582"/>
      <c r="B5582"/>
      <c r="C5582"/>
      <c r="D5582"/>
    </row>
    <row r="5583" spans="1:4" x14ac:dyDescent="0.2">
      <c r="A5583"/>
      <c r="B5583"/>
      <c r="C5583"/>
      <c r="D5583"/>
    </row>
    <row r="5584" spans="1:4" x14ac:dyDescent="0.2">
      <c r="A5584"/>
      <c r="B5584"/>
      <c r="C5584"/>
      <c r="D5584"/>
    </row>
    <row r="5585" spans="1:4" x14ac:dyDescent="0.2">
      <c r="A5585"/>
      <c r="B5585"/>
      <c r="C5585"/>
      <c r="D5585"/>
    </row>
    <row r="5586" spans="1:4" x14ac:dyDescent="0.2">
      <c r="A5586"/>
      <c r="B5586"/>
      <c r="C5586"/>
      <c r="D5586"/>
    </row>
    <row r="5587" spans="1:4" x14ac:dyDescent="0.2">
      <c r="A5587"/>
      <c r="B5587"/>
      <c r="C5587"/>
      <c r="D5587"/>
    </row>
    <row r="5588" spans="1:4" x14ac:dyDescent="0.2">
      <c r="A5588"/>
      <c r="B5588"/>
      <c r="C5588"/>
      <c r="D5588"/>
    </row>
    <row r="5589" spans="1:4" x14ac:dyDescent="0.2">
      <c r="A5589"/>
      <c r="B5589"/>
      <c r="C5589"/>
      <c r="D5589"/>
    </row>
    <row r="5590" spans="1:4" x14ac:dyDescent="0.2">
      <c r="A5590"/>
      <c r="B5590"/>
      <c r="C5590"/>
      <c r="D5590"/>
    </row>
    <row r="5591" spans="1:4" x14ac:dyDescent="0.2">
      <c r="A5591"/>
      <c r="B5591"/>
      <c r="C5591"/>
      <c r="D5591"/>
    </row>
    <row r="5592" spans="1:4" x14ac:dyDescent="0.2">
      <c r="A5592"/>
      <c r="B5592"/>
      <c r="C5592"/>
      <c r="D5592"/>
    </row>
    <row r="5593" spans="1:4" x14ac:dyDescent="0.2">
      <c r="A5593"/>
      <c r="B5593"/>
      <c r="C5593"/>
      <c r="D5593"/>
    </row>
    <row r="5594" spans="1:4" x14ac:dyDescent="0.2">
      <c r="A5594"/>
      <c r="B5594"/>
      <c r="C5594"/>
      <c r="D5594"/>
    </row>
    <row r="5595" spans="1:4" x14ac:dyDescent="0.2">
      <c r="A5595"/>
      <c r="B5595"/>
      <c r="C5595"/>
      <c r="D5595"/>
    </row>
    <row r="5596" spans="1:4" x14ac:dyDescent="0.2">
      <c r="A5596"/>
      <c r="B5596"/>
      <c r="C5596"/>
      <c r="D5596"/>
    </row>
    <row r="5597" spans="1:4" x14ac:dyDescent="0.2">
      <c r="A5597"/>
      <c r="B5597"/>
      <c r="C5597"/>
      <c r="D5597"/>
    </row>
    <row r="5598" spans="1:4" x14ac:dyDescent="0.2">
      <c r="A5598"/>
      <c r="B5598"/>
      <c r="C5598"/>
      <c r="D5598"/>
    </row>
    <row r="5599" spans="1:4" x14ac:dyDescent="0.2">
      <c r="A5599"/>
      <c r="B5599"/>
      <c r="C5599"/>
      <c r="D5599"/>
    </row>
    <row r="5600" spans="1:4" x14ac:dyDescent="0.2">
      <c r="A5600"/>
      <c r="B5600"/>
      <c r="C5600"/>
      <c r="D5600"/>
    </row>
    <row r="5601" spans="1:4" x14ac:dyDescent="0.2">
      <c r="A5601"/>
      <c r="B5601"/>
      <c r="C5601"/>
      <c r="D5601"/>
    </row>
    <row r="5602" spans="1:4" x14ac:dyDescent="0.2">
      <c r="A5602"/>
      <c r="B5602"/>
      <c r="C5602"/>
      <c r="D5602"/>
    </row>
    <row r="5603" spans="1:4" x14ac:dyDescent="0.2">
      <c r="A5603"/>
      <c r="B5603"/>
      <c r="C5603"/>
      <c r="D5603"/>
    </row>
    <row r="5604" spans="1:4" x14ac:dyDescent="0.2">
      <c r="A5604"/>
      <c r="B5604"/>
      <c r="C5604"/>
      <c r="D5604"/>
    </row>
    <row r="5605" spans="1:4" x14ac:dyDescent="0.2">
      <c r="A5605"/>
      <c r="B5605"/>
      <c r="C5605"/>
      <c r="D5605"/>
    </row>
    <row r="5606" spans="1:4" x14ac:dyDescent="0.2">
      <c r="A5606"/>
      <c r="B5606"/>
      <c r="C5606"/>
      <c r="D5606"/>
    </row>
    <row r="5607" spans="1:4" x14ac:dyDescent="0.2">
      <c r="A5607"/>
      <c r="B5607"/>
      <c r="C5607"/>
      <c r="D5607"/>
    </row>
    <row r="5608" spans="1:4" x14ac:dyDescent="0.2">
      <c r="A5608"/>
      <c r="B5608"/>
      <c r="C5608"/>
      <c r="D5608"/>
    </row>
    <row r="5609" spans="1:4" x14ac:dyDescent="0.2">
      <c r="A5609"/>
      <c r="B5609"/>
      <c r="C5609"/>
      <c r="D5609"/>
    </row>
    <row r="5610" spans="1:4" x14ac:dyDescent="0.2">
      <c r="A5610"/>
      <c r="B5610"/>
      <c r="C5610"/>
      <c r="D5610"/>
    </row>
    <row r="5611" spans="1:4" x14ac:dyDescent="0.2">
      <c r="A5611"/>
      <c r="B5611"/>
      <c r="C5611"/>
      <c r="D5611"/>
    </row>
    <row r="5612" spans="1:4" x14ac:dyDescent="0.2">
      <c r="A5612"/>
      <c r="B5612"/>
      <c r="C5612"/>
      <c r="D5612"/>
    </row>
    <row r="5613" spans="1:4" x14ac:dyDescent="0.2">
      <c r="A5613"/>
      <c r="B5613"/>
      <c r="C5613"/>
      <c r="D5613"/>
    </row>
    <row r="5614" spans="1:4" x14ac:dyDescent="0.2">
      <c r="A5614"/>
      <c r="B5614"/>
      <c r="C5614"/>
      <c r="D5614"/>
    </row>
    <row r="5615" spans="1:4" x14ac:dyDescent="0.2">
      <c r="A5615"/>
      <c r="B5615"/>
      <c r="C5615"/>
      <c r="D5615"/>
    </row>
    <row r="5616" spans="1:4" x14ac:dyDescent="0.2">
      <c r="A5616"/>
      <c r="B5616"/>
      <c r="C5616"/>
      <c r="D5616"/>
    </row>
    <row r="5617" spans="1:4" x14ac:dyDescent="0.2">
      <c r="A5617"/>
      <c r="B5617"/>
      <c r="C5617"/>
      <c r="D5617"/>
    </row>
    <row r="5618" spans="1:4" x14ac:dyDescent="0.2">
      <c r="A5618"/>
      <c r="B5618"/>
      <c r="C5618"/>
      <c r="D5618"/>
    </row>
    <row r="5619" spans="1:4" x14ac:dyDescent="0.2">
      <c r="A5619"/>
      <c r="B5619"/>
      <c r="C5619"/>
      <c r="D5619"/>
    </row>
    <row r="5620" spans="1:4" x14ac:dyDescent="0.2">
      <c r="A5620"/>
      <c r="B5620"/>
      <c r="C5620"/>
      <c r="D5620"/>
    </row>
    <row r="5621" spans="1:4" x14ac:dyDescent="0.2">
      <c r="A5621"/>
      <c r="B5621"/>
      <c r="C5621"/>
      <c r="D5621"/>
    </row>
    <row r="5622" spans="1:4" x14ac:dyDescent="0.2">
      <c r="A5622"/>
      <c r="B5622"/>
      <c r="C5622"/>
      <c r="D5622"/>
    </row>
    <row r="5623" spans="1:4" x14ac:dyDescent="0.2">
      <c r="A5623"/>
      <c r="B5623"/>
      <c r="C5623"/>
      <c r="D5623"/>
    </row>
    <row r="5624" spans="1:4" x14ac:dyDescent="0.2">
      <c r="A5624"/>
      <c r="B5624"/>
      <c r="C5624"/>
      <c r="D5624"/>
    </row>
    <row r="5625" spans="1:4" x14ac:dyDescent="0.2">
      <c r="A5625"/>
      <c r="B5625"/>
      <c r="C5625"/>
      <c r="D5625"/>
    </row>
    <row r="5626" spans="1:4" x14ac:dyDescent="0.2">
      <c r="A5626"/>
      <c r="B5626"/>
      <c r="C5626"/>
      <c r="D5626"/>
    </row>
    <row r="5627" spans="1:4" x14ac:dyDescent="0.2">
      <c r="A5627"/>
      <c r="B5627"/>
      <c r="C5627"/>
      <c r="D5627"/>
    </row>
    <row r="5628" spans="1:4" x14ac:dyDescent="0.2">
      <c r="A5628"/>
      <c r="B5628"/>
      <c r="C5628"/>
      <c r="D5628"/>
    </row>
    <row r="5629" spans="1:4" x14ac:dyDescent="0.2">
      <c r="A5629"/>
      <c r="B5629"/>
      <c r="C5629"/>
      <c r="D5629"/>
    </row>
    <row r="5630" spans="1:4" x14ac:dyDescent="0.2">
      <c r="A5630"/>
      <c r="B5630"/>
      <c r="C5630"/>
      <c r="D5630"/>
    </row>
    <row r="5631" spans="1:4" x14ac:dyDescent="0.2">
      <c r="A5631"/>
      <c r="B5631"/>
      <c r="C5631"/>
      <c r="D5631"/>
    </row>
    <row r="5632" spans="1:4" x14ac:dyDescent="0.2">
      <c r="A5632"/>
      <c r="B5632"/>
      <c r="C5632"/>
      <c r="D5632"/>
    </row>
    <row r="5633" spans="1:4" x14ac:dyDescent="0.2">
      <c r="A5633"/>
      <c r="B5633"/>
      <c r="C5633"/>
      <c r="D5633"/>
    </row>
    <row r="5634" spans="1:4" x14ac:dyDescent="0.2">
      <c r="A5634"/>
      <c r="B5634"/>
      <c r="C5634"/>
      <c r="D5634"/>
    </row>
    <row r="5635" spans="1:4" x14ac:dyDescent="0.2">
      <c r="A5635"/>
      <c r="B5635"/>
      <c r="C5635"/>
      <c r="D5635"/>
    </row>
    <row r="5636" spans="1:4" x14ac:dyDescent="0.2">
      <c r="A5636"/>
      <c r="B5636"/>
      <c r="C5636"/>
      <c r="D5636"/>
    </row>
    <row r="5637" spans="1:4" x14ac:dyDescent="0.2">
      <c r="A5637"/>
      <c r="B5637"/>
      <c r="C5637"/>
      <c r="D5637"/>
    </row>
    <row r="5638" spans="1:4" x14ac:dyDescent="0.2">
      <c r="A5638"/>
      <c r="B5638"/>
      <c r="C5638"/>
      <c r="D5638"/>
    </row>
    <row r="5639" spans="1:4" x14ac:dyDescent="0.2">
      <c r="A5639"/>
      <c r="B5639"/>
      <c r="C5639"/>
      <c r="D5639"/>
    </row>
    <row r="5640" spans="1:4" x14ac:dyDescent="0.2">
      <c r="A5640"/>
      <c r="B5640"/>
      <c r="C5640"/>
      <c r="D5640"/>
    </row>
    <row r="5641" spans="1:4" x14ac:dyDescent="0.2">
      <c r="A5641"/>
      <c r="B5641"/>
      <c r="C5641"/>
      <c r="D5641"/>
    </row>
    <row r="5642" spans="1:4" x14ac:dyDescent="0.2">
      <c r="A5642"/>
      <c r="B5642"/>
      <c r="C5642"/>
      <c r="D5642"/>
    </row>
    <row r="5643" spans="1:4" x14ac:dyDescent="0.2">
      <c r="A5643"/>
      <c r="B5643"/>
      <c r="C5643"/>
      <c r="D5643"/>
    </row>
    <row r="5644" spans="1:4" x14ac:dyDescent="0.2">
      <c r="A5644"/>
      <c r="B5644"/>
      <c r="C5644"/>
      <c r="D5644"/>
    </row>
    <row r="5645" spans="1:4" x14ac:dyDescent="0.2">
      <c r="A5645"/>
      <c r="B5645"/>
      <c r="C5645"/>
      <c r="D5645"/>
    </row>
    <row r="5646" spans="1:4" x14ac:dyDescent="0.2">
      <c r="A5646"/>
      <c r="B5646"/>
      <c r="C5646"/>
      <c r="D5646"/>
    </row>
    <row r="5647" spans="1:4" x14ac:dyDescent="0.2">
      <c r="A5647"/>
      <c r="B5647"/>
      <c r="C5647"/>
      <c r="D5647"/>
    </row>
    <row r="5648" spans="1:4" x14ac:dyDescent="0.2">
      <c r="A5648"/>
      <c r="B5648"/>
      <c r="C5648"/>
      <c r="D5648"/>
    </row>
    <row r="5649" spans="1:4" x14ac:dyDescent="0.2">
      <c r="A5649"/>
      <c r="B5649"/>
      <c r="C5649"/>
      <c r="D5649"/>
    </row>
    <row r="5650" spans="1:4" x14ac:dyDescent="0.2">
      <c r="A5650"/>
      <c r="B5650"/>
      <c r="C5650"/>
      <c r="D5650"/>
    </row>
    <row r="5651" spans="1:4" x14ac:dyDescent="0.2">
      <c r="A5651"/>
      <c r="B5651"/>
      <c r="C5651"/>
      <c r="D5651"/>
    </row>
    <row r="5652" spans="1:4" x14ac:dyDescent="0.2">
      <c r="A5652"/>
      <c r="B5652"/>
      <c r="C5652"/>
      <c r="D5652"/>
    </row>
    <row r="5653" spans="1:4" x14ac:dyDescent="0.2">
      <c r="A5653"/>
      <c r="B5653"/>
      <c r="C5653"/>
      <c r="D5653"/>
    </row>
    <row r="5654" spans="1:4" x14ac:dyDescent="0.2">
      <c r="A5654"/>
      <c r="B5654"/>
      <c r="C5654"/>
      <c r="D5654"/>
    </row>
    <row r="5655" spans="1:4" x14ac:dyDescent="0.2">
      <c r="A5655"/>
      <c r="B5655"/>
      <c r="C5655"/>
      <c r="D5655"/>
    </row>
    <row r="5656" spans="1:4" x14ac:dyDescent="0.2">
      <c r="A5656"/>
      <c r="B5656"/>
      <c r="C5656"/>
      <c r="D5656"/>
    </row>
    <row r="5657" spans="1:4" x14ac:dyDescent="0.2">
      <c r="A5657"/>
      <c r="B5657"/>
      <c r="C5657"/>
      <c r="D5657"/>
    </row>
    <row r="5658" spans="1:4" x14ac:dyDescent="0.2">
      <c r="A5658"/>
      <c r="B5658"/>
      <c r="C5658"/>
      <c r="D5658"/>
    </row>
    <row r="5659" spans="1:4" x14ac:dyDescent="0.2">
      <c r="A5659"/>
      <c r="B5659"/>
      <c r="C5659"/>
      <c r="D5659"/>
    </row>
    <row r="5660" spans="1:4" x14ac:dyDescent="0.2">
      <c r="A5660"/>
      <c r="B5660"/>
      <c r="C5660"/>
      <c r="D5660"/>
    </row>
    <row r="5661" spans="1:4" x14ac:dyDescent="0.2">
      <c r="A5661"/>
      <c r="B5661"/>
      <c r="C5661"/>
      <c r="D5661"/>
    </row>
    <row r="5662" spans="1:4" x14ac:dyDescent="0.2">
      <c r="A5662"/>
      <c r="B5662"/>
      <c r="C5662"/>
      <c r="D5662"/>
    </row>
    <row r="5663" spans="1:4" x14ac:dyDescent="0.2">
      <c r="A5663"/>
      <c r="B5663"/>
      <c r="C5663"/>
      <c r="D5663"/>
    </row>
    <row r="5664" spans="1:4" x14ac:dyDescent="0.2">
      <c r="A5664"/>
      <c r="B5664"/>
      <c r="C5664"/>
      <c r="D5664"/>
    </row>
    <row r="5665" spans="1:4" x14ac:dyDescent="0.2">
      <c r="A5665"/>
      <c r="B5665"/>
      <c r="C5665"/>
      <c r="D5665"/>
    </row>
    <row r="5666" spans="1:4" x14ac:dyDescent="0.2">
      <c r="A5666"/>
      <c r="B5666"/>
      <c r="C5666"/>
      <c r="D5666"/>
    </row>
    <row r="5667" spans="1:4" x14ac:dyDescent="0.2">
      <c r="A5667"/>
      <c r="B5667"/>
      <c r="C5667"/>
      <c r="D5667"/>
    </row>
    <row r="5668" spans="1:4" x14ac:dyDescent="0.2">
      <c r="A5668"/>
      <c r="B5668"/>
      <c r="C5668"/>
      <c r="D5668"/>
    </row>
    <row r="5669" spans="1:4" x14ac:dyDescent="0.2">
      <c r="A5669"/>
      <c r="B5669"/>
      <c r="C5669"/>
      <c r="D5669"/>
    </row>
    <row r="5670" spans="1:4" x14ac:dyDescent="0.2">
      <c r="A5670"/>
      <c r="B5670"/>
      <c r="C5670"/>
      <c r="D5670"/>
    </row>
    <row r="5671" spans="1:4" x14ac:dyDescent="0.2">
      <c r="A5671"/>
      <c r="B5671"/>
      <c r="C5671"/>
      <c r="D5671"/>
    </row>
    <row r="5672" spans="1:4" x14ac:dyDescent="0.2">
      <c r="A5672"/>
      <c r="B5672"/>
      <c r="C5672"/>
      <c r="D5672"/>
    </row>
    <row r="5673" spans="1:4" x14ac:dyDescent="0.2">
      <c r="A5673"/>
      <c r="B5673"/>
      <c r="C5673"/>
      <c r="D5673"/>
    </row>
    <row r="5674" spans="1:4" x14ac:dyDescent="0.2">
      <c r="A5674"/>
      <c r="B5674"/>
      <c r="C5674"/>
      <c r="D5674"/>
    </row>
    <row r="5675" spans="1:4" x14ac:dyDescent="0.2">
      <c r="A5675"/>
      <c r="B5675"/>
      <c r="C5675"/>
      <c r="D5675"/>
    </row>
    <row r="5676" spans="1:4" x14ac:dyDescent="0.2">
      <c r="A5676"/>
      <c r="B5676"/>
      <c r="C5676"/>
      <c r="D5676"/>
    </row>
    <row r="5677" spans="1:4" x14ac:dyDescent="0.2">
      <c r="A5677"/>
      <c r="B5677"/>
      <c r="C5677"/>
      <c r="D5677"/>
    </row>
    <row r="5678" spans="1:4" x14ac:dyDescent="0.2">
      <c r="A5678"/>
      <c r="B5678"/>
      <c r="C5678"/>
      <c r="D5678"/>
    </row>
    <row r="5679" spans="1:4" x14ac:dyDescent="0.2">
      <c r="A5679"/>
      <c r="B5679"/>
      <c r="C5679"/>
      <c r="D5679"/>
    </row>
    <row r="5680" spans="1:4" x14ac:dyDescent="0.2">
      <c r="A5680"/>
      <c r="B5680"/>
      <c r="C5680"/>
      <c r="D5680"/>
    </row>
    <row r="5681" spans="1:4" x14ac:dyDescent="0.2">
      <c r="A5681"/>
      <c r="B5681"/>
      <c r="C5681"/>
      <c r="D5681"/>
    </row>
    <row r="5682" spans="1:4" x14ac:dyDescent="0.2">
      <c r="A5682"/>
      <c r="B5682"/>
      <c r="C5682"/>
      <c r="D5682"/>
    </row>
    <row r="5683" spans="1:4" x14ac:dyDescent="0.2">
      <c r="A5683"/>
      <c r="B5683"/>
      <c r="C5683"/>
      <c r="D5683"/>
    </row>
    <row r="5684" spans="1:4" x14ac:dyDescent="0.2">
      <c r="A5684"/>
      <c r="B5684"/>
      <c r="C5684"/>
      <c r="D5684"/>
    </row>
    <row r="5685" spans="1:4" x14ac:dyDescent="0.2">
      <c r="A5685"/>
      <c r="B5685"/>
      <c r="C5685"/>
      <c r="D5685"/>
    </row>
    <row r="5686" spans="1:4" x14ac:dyDescent="0.2">
      <c r="A5686"/>
      <c r="B5686"/>
      <c r="C5686"/>
      <c r="D5686"/>
    </row>
    <row r="5687" spans="1:4" x14ac:dyDescent="0.2">
      <c r="A5687"/>
      <c r="B5687"/>
      <c r="C5687"/>
      <c r="D5687"/>
    </row>
    <row r="5688" spans="1:4" x14ac:dyDescent="0.2">
      <c r="A5688"/>
      <c r="B5688"/>
      <c r="C5688"/>
      <c r="D5688"/>
    </row>
    <row r="5689" spans="1:4" x14ac:dyDescent="0.2">
      <c r="A5689"/>
      <c r="B5689"/>
      <c r="C5689"/>
      <c r="D5689"/>
    </row>
    <row r="5690" spans="1:4" x14ac:dyDescent="0.2">
      <c r="A5690"/>
      <c r="B5690"/>
      <c r="C5690"/>
      <c r="D5690"/>
    </row>
    <row r="5691" spans="1:4" x14ac:dyDescent="0.2">
      <c r="A5691"/>
      <c r="B5691"/>
      <c r="C5691"/>
      <c r="D5691"/>
    </row>
    <row r="5692" spans="1:4" x14ac:dyDescent="0.2">
      <c r="A5692"/>
      <c r="B5692"/>
      <c r="C5692"/>
      <c r="D5692"/>
    </row>
    <row r="5693" spans="1:4" x14ac:dyDescent="0.2">
      <c r="A5693"/>
      <c r="B5693"/>
      <c r="C5693"/>
      <c r="D5693"/>
    </row>
    <row r="5694" spans="1:4" x14ac:dyDescent="0.2">
      <c r="A5694"/>
      <c r="B5694"/>
      <c r="C5694"/>
      <c r="D5694"/>
    </row>
    <row r="5695" spans="1:4" x14ac:dyDescent="0.2">
      <c r="A5695"/>
      <c r="B5695"/>
      <c r="C5695"/>
      <c r="D5695"/>
    </row>
    <row r="5696" spans="1:4" x14ac:dyDescent="0.2">
      <c r="A5696"/>
      <c r="B5696"/>
      <c r="C5696"/>
      <c r="D5696"/>
    </row>
    <row r="5697" spans="1:4" x14ac:dyDescent="0.2">
      <c r="A5697"/>
      <c r="B5697"/>
      <c r="C5697"/>
      <c r="D5697"/>
    </row>
    <row r="5698" spans="1:4" x14ac:dyDescent="0.2">
      <c r="A5698"/>
      <c r="B5698"/>
      <c r="C5698"/>
      <c r="D5698"/>
    </row>
    <row r="5699" spans="1:4" x14ac:dyDescent="0.2">
      <c r="A5699"/>
      <c r="B5699"/>
      <c r="C5699"/>
      <c r="D5699"/>
    </row>
    <row r="5700" spans="1:4" x14ac:dyDescent="0.2">
      <c r="A5700"/>
      <c r="B5700"/>
      <c r="C5700"/>
      <c r="D5700"/>
    </row>
    <row r="5701" spans="1:4" x14ac:dyDescent="0.2">
      <c r="A5701"/>
      <c r="B5701"/>
      <c r="C5701"/>
      <c r="D5701"/>
    </row>
    <row r="5702" spans="1:4" x14ac:dyDescent="0.2">
      <c r="A5702"/>
      <c r="B5702"/>
      <c r="C5702"/>
      <c r="D5702"/>
    </row>
    <row r="5703" spans="1:4" x14ac:dyDescent="0.2">
      <c r="A5703"/>
      <c r="B5703"/>
      <c r="C5703"/>
      <c r="D5703"/>
    </row>
    <row r="5704" spans="1:4" x14ac:dyDescent="0.2">
      <c r="A5704"/>
      <c r="B5704"/>
      <c r="C5704"/>
      <c r="D5704"/>
    </row>
    <row r="5705" spans="1:4" x14ac:dyDescent="0.2">
      <c r="A5705"/>
      <c r="B5705"/>
      <c r="C5705"/>
      <c r="D5705"/>
    </row>
    <row r="5706" spans="1:4" x14ac:dyDescent="0.2">
      <c r="A5706"/>
      <c r="B5706"/>
      <c r="C5706"/>
      <c r="D5706"/>
    </row>
    <row r="5707" spans="1:4" x14ac:dyDescent="0.2">
      <c r="A5707"/>
      <c r="B5707"/>
      <c r="C5707"/>
      <c r="D5707"/>
    </row>
    <row r="5708" spans="1:4" x14ac:dyDescent="0.2">
      <c r="A5708"/>
      <c r="B5708"/>
      <c r="C5708"/>
      <c r="D5708"/>
    </row>
    <row r="5709" spans="1:4" x14ac:dyDescent="0.2">
      <c r="A5709"/>
      <c r="B5709"/>
      <c r="C5709"/>
      <c r="D5709"/>
    </row>
    <row r="5710" spans="1:4" x14ac:dyDescent="0.2">
      <c r="A5710"/>
      <c r="B5710"/>
      <c r="C5710"/>
      <c r="D5710"/>
    </row>
    <row r="5711" spans="1:4" x14ac:dyDescent="0.2">
      <c r="A5711"/>
      <c r="B5711"/>
      <c r="C5711"/>
      <c r="D5711"/>
    </row>
    <row r="5712" spans="1:4" x14ac:dyDescent="0.2">
      <c r="A5712"/>
      <c r="B5712"/>
      <c r="C5712"/>
      <c r="D5712"/>
    </row>
    <row r="5713" spans="1:4" x14ac:dyDescent="0.2">
      <c r="A5713"/>
      <c r="B5713"/>
      <c r="C5713"/>
      <c r="D5713"/>
    </row>
    <row r="5714" spans="1:4" x14ac:dyDescent="0.2">
      <c r="A5714"/>
      <c r="B5714"/>
      <c r="C5714"/>
      <c r="D5714"/>
    </row>
    <row r="5715" spans="1:4" x14ac:dyDescent="0.2">
      <c r="A5715"/>
      <c r="B5715"/>
      <c r="C5715"/>
      <c r="D5715"/>
    </row>
    <row r="5716" spans="1:4" x14ac:dyDescent="0.2">
      <c r="A5716"/>
      <c r="B5716"/>
      <c r="C5716"/>
      <c r="D5716"/>
    </row>
    <row r="5717" spans="1:4" x14ac:dyDescent="0.2">
      <c r="A5717"/>
      <c r="B5717"/>
      <c r="C5717"/>
      <c r="D5717"/>
    </row>
    <row r="5718" spans="1:4" x14ac:dyDescent="0.2">
      <c r="A5718"/>
      <c r="B5718"/>
      <c r="C5718"/>
      <c r="D5718"/>
    </row>
    <row r="5719" spans="1:4" x14ac:dyDescent="0.2">
      <c r="A5719"/>
      <c r="B5719"/>
      <c r="C5719"/>
      <c r="D5719"/>
    </row>
    <row r="5720" spans="1:4" x14ac:dyDescent="0.2">
      <c r="A5720"/>
      <c r="B5720"/>
      <c r="C5720"/>
      <c r="D5720"/>
    </row>
    <row r="5721" spans="1:4" x14ac:dyDescent="0.2">
      <c r="A5721"/>
      <c r="B5721"/>
      <c r="C5721"/>
      <c r="D5721"/>
    </row>
    <row r="5722" spans="1:4" x14ac:dyDescent="0.2">
      <c r="A5722"/>
      <c r="B5722"/>
      <c r="C5722"/>
      <c r="D5722"/>
    </row>
    <row r="5723" spans="1:4" x14ac:dyDescent="0.2">
      <c r="A5723"/>
      <c r="B5723"/>
      <c r="C5723"/>
      <c r="D5723"/>
    </row>
    <row r="5724" spans="1:4" x14ac:dyDescent="0.2">
      <c r="A5724"/>
      <c r="B5724"/>
      <c r="C5724"/>
      <c r="D5724"/>
    </row>
    <row r="5725" spans="1:4" x14ac:dyDescent="0.2">
      <c r="A5725"/>
      <c r="B5725"/>
      <c r="C5725"/>
      <c r="D5725"/>
    </row>
    <row r="5726" spans="1:4" x14ac:dyDescent="0.2">
      <c r="A5726"/>
      <c r="B5726"/>
      <c r="C5726"/>
      <c r="D5726"/>
    </row>
    <row r="5727" spans="1:4" x14ac:dyDescent="0.2">
      <c r="A5727"/>
      <c r="B5727"/>
      <c r="C5727"/>
      <c r="D5727"/>
    </row>
    <row r="5728" spans="1:4" x14ac:dyDescent="0.2">
      <c r="A5728"/>
      <c r="B5728"/>
      <c r="C5728"/>
      <c r="D5728"/>
    </row>
    <row r="5729" spans="1:4" x14ac:dyDescent="0.2">
      <c r="A5729"/>
      <c r="B5729"/>
      <c r="C5729"/>
      <c r="D5729"/>
    </row>
    <row r="5730" spans="1:4" x14ac:dyDescent="0.2">
      <c r="A5730"/>
      <c r="B5730"/>
      <c r="C5730"/>
      <c r="D5730"/>
    </row>
    <row r="5731" spans="1:4" x14ac:dyDescent="0.2">
      <c r="A5731"/>
      <c r="B5731"/>
      <c r="C5731"/>
      <c r="D5731"/>
    </row>
    <row r="5732" spans="1:4" x14ac:dyDescent="0.2">
      <c r="A5732"/>
      <c r="B5732"/>
      <c r="C5732"/>
      <c r="D5732"/>
    </row>
    <row r="5733" spans="1:4" x14ac:dyDescent="0.2">
      <c r="A5733"/>
      <c r="B5733"/>
      <c r="C5733"/>
      <c r="D5733"/>
    </row>
    <row r="5734" spans="1:4" x14ac:dyDescent="0.2">
      <c r="A5734"/>
      <c r="B5734"/>
      <c r="C5734"/>
      <c r="D5734"/>
    </row>
    <row r="5735" spans="1:4" x14ac:dyDescent="0.2">
      <c r="A5735"/>
      <c r="B5735"/>
      <c r="C5735"/>
      <c r="D5735"/>
    </row>
    <row r="5736" spans="1:4" x14ac:dyDescent="0.2">
      <c r="A5736"/>
      <c r="B5736"/>
      <c r="C5736"/>
      <c r="D5736"/>
    </row>
    <row r="5737" spans="1:4" x14ac:dyDescent="0.2">
      <c r="A5737"/>
      <c r="B5737"/>
      <c r="C5737"/>
      <c r="D5737"/>
    </row>
    <row r="5738" spans="1:4" x14ac:dyDescent="0.2">
      <c r="A5738"/>
      <c r="B5738"/>
      <c r="C5738"/>
      <c r="D5738"/>
    </row>
    <row r="5739" spans="1:4" x14ac:dyDescent="0.2">
      <c r="A5739"/>
      <c r="B5739"/>
      <c r="C5739"/>
      <c r="D5739"/>
    </row>
    <row r="5740" spans="1:4" x14ac:dyDescent="0.2">
      <c r="A5740"/>
      <c r="B5740"/>
      <c r="C5740"/>
      <c r="D5740"/>
    </row>
    <row r="5741" spans="1:4" x14ac:dyDescent="0.2">
      <c r="A5741"/>
      <c r="B5741"/>
      <c r="C5741"/>
      <c r="D5741"/>
    </row>
    <row r="5742" spans="1:4" x14ac:dyDescent="0.2">
      <c r="A5742"/>
      <c r="B5742"/>
      <c r="C5742"/>
      <c r="D5742"/>
    </row>
    <row r="5743" spans="1:4" x14ac:dyDescent="0.2">
      <c r="A5743"/>
      <c r="B5743"/>
      <c r="C5743"/>
      <c r="D5743"/>
    </row>
    <row r="5744" spans="1:4" x14ac:dyDescent="0.2">
      <c r="A5744"/>
      <c r="B5744"/>
      <c r="C5744"/>
      <c r="D5744"/>
    </row>
    <row r="5745" spans="1:4" x14ac:dyDescent="0.2">
      <c r="A5745"/>
      <c r="B5745"/>
      <c r="C5745"/>
      <c r="D5745"/>
    </row>
    <row r="5746" spans="1:4" x14ac:dyDescent="0.2">
      <c r="A5746"/>
      <c r="B5746"/>
      <c r="C5746"/>
      <c r="D5746"/>
    </row>
    <row r="5747" spans="1:4" x14ac:dyDescent="0.2">
      <c r="A5747"/>
      <c r="B5747"/>
      <c r="C5747"/>
      <c r="D5747"/>
    </row>
    <row r="5748" spans="1:4" x14ac:dyDescent="0.2">
      <c r="A5748"/>
      <c r="B5748"/>
      <c r="C5748"/>
      <c r="D5748"/>
    </row>
    <row r="5749" spans="1:4" x14ac:dyDescent="0.2">
      <c r="A5749"/>
      <c r="B5749"/>
      <c r="C5749"/>
      <c r="D5749"/>
    </row>
    <row r="5750" spans="1:4" x14ac:dyDescent="0.2">
      <c r="A5750"/>
      <c r="B5750"/>
      <c r="C5750"/>
      <c r="D5750"/>
    </row>
    <row r="5751" spans="1:4" x14ac:dyDescent="0.2">
      <c r="A5751"/>
      <c r="B5751"/>
      <c r="C5751"/>
      <c r="D5751"/>
    </row>
    <row r="5752" spans="1:4" x14ac:dyDescent="0.2">
      <c r="A5752"/>
      <c r="B5752"/>
      <c r="C5752"/>
      <c r="D5752"/>
    </row>
    <row r="5753" spans="1:4" x14ac:dyDescent="0.2">
      <c r="A5753"/>
      <c r="B5753"/>
      <c r="C5753"/>
      <c r="D5753"/>
    </row>
    <row r="5754" spans="1:4" x14ac:dyDescent="0.2">
      <c r="A5754"/>
      <c r="B5754"/>
      <c r="C5754"/>
      <c r="D5754"/>
    </row>
    <row r="5755" spans="1:4" x14ac:dyDescent="0.2">
      <c r="A5755"/>
      <c r="B5755"/>
      <c r="C5755"/>
      <c r="D5755"/>
    </row>
    <row r="5756" spans="1:4" x14ac:dyDescent="0.2">
      <c r="A5756"/>
      <c r="B5756"/>
      <c r="C5756"/>
      <c r="D5756"/>
    </row>
    <row r="5757" spans="1:4" x14ac:dyDescent="0.2">
      <c r="A5757"/>
      <c r="B5757"/>
      <c r="C5757"/>
      <c r="D5757"/>
    </row>
    <row r="5758" spans="1:4" x14ac:dyDescent="0.2">
      <c r="A5758"/>
      <c r="B5758"/>
      <c r="C5758"/>
      <c r="D5758"/>
    </row>
    <row r="5759" spans="1:4" x14ac:dyDescent="0.2">
      <c r="A5759"/>
      <c r="B5759"/>
      <c r="C5759"/>
      <c r="D5759"/>
    </row>
    <row r="5760" spans="1:4" x14ac:dyDescent="0.2">
      <c r="A5760"/>
      <c r="B5760"/>
      <c r="C5760"/>
      <c r="D5760"/>
    </row>
    <row r="5761" spans="1:4" x14ac:dyDescent="0.2">
      <c r="A5761"/>
      <c r="B5761"/>
      <c r="C5761"/>
      <c r="D5761"/>
    </row>
    <row r="5762" spans="1:4" x14ac:dyDescent="0.2">
      <c r="A5762"/>
      <c r="B5762"/>
      <c r="C5762"/>
      <c r="D5762"/>
    </row>
    <row r="5763" spans="1:4" x14ac:dyDescent="0.2">
      <c r="A5763"/>
      <c r="B5763"/>
      <c r="C5763"/>
      <c r="D5763"/>
    </row>
    <row r="5764" spans="1:4" x14ac:dyDescent="0.2">
      <c r="A5764"/>
      <c r="B5764"/>
      <c r="C5764"/>
      <c r="D5764"/>
    </row>
    <row r="5765" spans="1:4" x14ac:dyDescent="0.2">
      <c r="A5765"/>
      <c r="B5765"/>
      <c r="C5765"/>
      <c r="D5765"/>
    </row>
    <row r="5766" spans="1:4" x14ac:dyDescent="0.2">
      <c r="A5766"/>
      <c r="B5766"/>
      <c r="C5766"/>
      <c r="D5766"/>
    </row>
    <row r="5767" spans="1:4" x14ac:dyDescent="0.2">
      <c r="A5767"/>
      <c r="B5767"/>
      <c r="C5767"/>
      <c r="D5767"/>
    </row>
    <row r="5768" spans="1:4" x14ac:dyDescent="0.2">
      <c r="A5768"/>
      <c r="B5768"/>
      <c r="C5768"/>
      <c r="D5768"/>
    </row>
    <row r="5769" spans="1:4" x14ac:dyDescent="0.2">
      <c r="A5769"/>
      <c r="B5769"/>
      <c r="C5769"/>
      <c r="D5769"/>
    </row>
    <row r="5770" spans="1:4" x14ac:dyDescent="0.2">
      <c r="A5770"/>
      <c r="B5770"/>
      <c r="C5770"/>
      <c r="D5770"/>
    </row>
    <row r="5771" spans="1:4" x14ac:dyDescent="0.2">
      <c r="A5771"/>
      <c r="B5771"/>
      <c r="C5771"/>
      <c r="D5771"/>
    </row>
    <row r="5772" spans="1:4" x14ac:dyDescent="0.2">
      <c r="A5772"/>
      <c r="B5772"/>
      <c r="C5772"/>
      <c r="D5772"/>
    </row>
    <row r="5773" spans="1:4" x14ac:dyDescent="0.2">
      <c r="A5773"/>
      <c r="B5773"/>
      <c r="C5773"/>
      <c r="D5773"/>
    </row>
    <row r="5774" spans="1:4" x14ac:dyDescent="0.2">
      <c r="A5774"/>
      <c r="B5774"/>
      <c r="C5774"/>
      <c r="D5774"/>
    </row>
    <row r="5775" spans="1:4" x14ac:dyDescent="0.2">
      <c r="A5775"/>
      <c r="B5775"/>
      <c r="C5775"/>
      <c r="D5775"/>
    </row>
    <row r="5776" spans="1:4" x14ac:dyDescent="0.2">
      <c r="A5776"/>
      <c r="B5776"/>
      <c r="C5776"/>
      <c r="D5776"/>
    </row>
    <row r="5777" spans="1:4" x14ac:dyDescent="0.2">
      <c r="A5777"/>
      <c r="B5777"/>
      <c r="C5777"/>
      <c r="D5777"/>
    </row>
    <row r="5778" spans="1:4" x14ac:dyDescent="0.2">
      <c r="A5778"/>
      <c r="B5778"/>
      <c r="C5778"/>
      <c r="D5778"/>
    </row>
    <row r="5779" spans="1:4" x14ac:dyDescent="0.2">
      <c r="A5779"/>
      <c r="B5779"/>
      <c r="C5779"/>
      <c r="D5779"/>
    </row>
    <row r="5780" spans="1:4" x14ac:dyDescent="0.2">
      <c r="A5780"/>
      <c r="B5780"/>
      <c r="C5780"/>
      <c r="D5780"/>
    </row>
    <row r="5781" spans="1:4" x14ac:dyDescent="0.2">
      <c r="A5781"/>
      <c r="B5781"/>
      <c r="C5781"/>
      <c r="D5781"/>
    </row>
    <row r="5782" spans="1:4" x14ac:dyDescent="0.2">
      <c r="A5782"/>
      <c r="B5782"/>
      <c r="C5782"/>
      <c r="D5782"/>
    </row>
    <row r="5783" spans="1:4" x14ac:dyDescent="0.2">
      <c r="A5783"/>
      <c r="B5783"/>
      <c r="C5783"/>
      <c r="D5783"/>
    </row>
    <row r="5784" spans="1:4" x14ac:dyDescent="0.2">
      <c r="A5784"/>
      <c r="B5784"/>
      <c r="C5784"/>
      <c r="D5784"/>
    </row>
    <row r="5785" spans="1:4" x14ac:dyDescent="0.2">
      <c r="A5785"/>
      <c r="B5785"/>
      <c r="C5785"/>
      <c r="D5785"/>
    </row>
    <row r="5786" spans="1:4" x14ac:dyDescent="0.2">
      <c r="A5786"/>
      <c r="B5786"/>
      <c r="C5786"/>
      <c r="D5786"/>
    </row>
    <row r="5787" spans="1:4" x14ac:dyDescent="0.2">
      <c r="A5787"/>
      <c r="B5787"/>
      <c r="C5787"/>
      <c r="D5787"/>
    </row>
    <row r="5788" spans="1:4" x14ac:dyDescent="0.2">
      <c r="A5788"/>
      <c r="B5788"/>
      <c r="C5788"/>
      <c r="D5788"/>
    </row>
    <row r="5789" spans="1:4" x14ac:dyDescent="0.2">
      <c r="A5789"/>
      <c r="B5789"/>
      <c r="C5789"/>
      <c r="D5789"/>
    </row>
    <row r="5790" spans="1:4" x14ac:dyDescent="0.2">
      <c r="A5790"/>
      <c r="B5790"/>
      <c r="C5790"/>
      <c r="D5790"/>
    </row>
    <row r="5791" spans="1:4" x14ac:dyDescent="0.2">
      <c r="A5791"/>
      <c r="B5791"/>
      <c r="C5791"/>
      <c r="D5791"/>
    </row>
    <row r="5792" spans="1:4" x14ac:dyDescent="0.2">
      <c r="A5792"/>
      <c r="B5792"/>
      <c r="C5792"/>
      <c r="D5792"/>
    </row>
    <row r="5793" spans="1:4" x14ac:dyDescent="0.2">
      <c r="A5793"/>
      <c r="B5793"/>
      <c r="C5793"/>
      <c r="D5793"/>
    </row>
    <row r="5794" spans="1:4" x14ac:dyDescent="0.2">
      <c r="A5794"/>
      <c r="B5794"/>
      <c r="C5794"/>
      <c r="D5794"/>
    </row>
    <row r="5795" spans="1:4" x14ac:dyDescent="0.2">
      <c r="A5795"/>
      <c r="B5795"/>
      <c r="C5795"/>
      <c r="D5795"/>
    </row>
    <row r="5796" spans="1:4" x14ac:dyDescent="0.2">
      <c r="A5796"/>
      <c r="B5796"/>
      <c r="C5796"/>
      <c r="D5796"/>
    </row>
    <row r="5797" spans="1:4" x14ac:dyDescent="0.2">
      <c r="A5797"/>
      <c r="B5797"/>
      <c r="C5797"/>
      <c r="D5797"/>
    </row>
    <row r="5798" spans="1:4" x14ac:dyDescent="0.2">
      <c r="A5798"/>
      <c r="B5798"/>
      <c r="C5798"/>
      <c r="D5798"/>
    </row>
    <row r="5799" spans="1:4" x14ac:dyDescent="0.2">
      <c r="A5799"/>
      <c r="B5799"/>
      <c r="C5799"/>
      <c r="D5799"/>
    </row>
    <row r="5800" spans="1:4" x14ac:dyDescent="0.2">
      <c r="A5800"/>
      <c r="B5800"/>
      <c r="C5800"/>
      <c r="D5800"/>
    </row>
    <row r="5801" spans="1:4" x14ac:dyDescent="0.2">
      <c r="A5801"/>
      <c r="B5801"/>
      <c r="C5801"/>
      <c r="D5801"/>
    </row>
    <row r="5802" spans="1:4" x14ac:dyDescent="0.2">
      <c r="A5802"/>
      <c r="B5802"/>
      <c r="C5802"/>
      <c r="D5802"/>
    </row>
    <row r="5803" spans="1:4" x14ac:dyDescent="0.2">
      <c r="A5803"/>
      <c r="B5803"/>
      <c r="C5803"/>
      <c r="D5803"/>
    </row>
    <row r="5804" spans="1:4" x14ac:dyDescent="0.2">
      <c r="A5804"/>
      <c r="B5804"/>
      <c r="C5804"/>
      <c r="D5804"/>
    </row>
    <row r="5805" spans="1:4" x14ac:dyDescent="0.2">
      <c r="A5805"/>
      <c r="B5805"/>
      <c r="C5805"/>
      <c r="D5805"/>
    </row>
    <row r="5806" spans="1:4" x14ac:dyDescent="0.2">
      <c r="A5806"/>
      <c r="B5806"/>
      <c r="C5806"/>
      <c r="D5806"/>
    </row>
    <row r="5807" spans="1:4" x14ac:dyDescent="0.2">
      <c r="A5807"/>
      <c r="B5807"/>
      <c r="C5807"/>
      <c r="D5807"/>
    </row>
    <row r="5808" spans="1:4" x14ac:dyDescent="0.2">
      <c r="A5808"/>
      <c r="B5808"/>
      <c r="C5808"/>
      <c r="D5808"/>
    </row>
    <row r="5809" spans="1:4" x14ac:dyDescent="0.2">
      <c r="A5809"/>
      <c r="B5809"/>
      <c r="C5809"/>
      <c r="D5809"/>
    </row>
    <row r="5810" spans="1:4" x14ac:dyDescent="0.2">
      <c r="A5810"/>
      <c r="B5810"/>
      <c r="C5810"/>
      <c r="D5810"/>
    </row>
    <row r="5811" spans="1:4" x14ac:dyDescent="0.2">
      <c r="A5811"/>
      <c r="B5811"/>
      <c r="C5811"/>
      <c r="D5811"/>
    </row>
    <row r="5812" spans="1:4" x14ac:dyDescent="0.2">
      <c r="A5812"/>
      <c r="B5812"/>
      <c r="C5812"/>
      <c r="D5812"/>
    </row>
    <row r="5813" spans="1:4" x14ac:dyDescent="0.2">
      <c r="A5813"/>
      <c r="B5813"/>
      <c r="C5813"/>
      <c r="D5813"/>
    </row>
    <row r="5814" spans="1:4" x14ac:dyDescent="0.2">
      <c r="A5814"/>
      <c r="B5814"/>
      <c r="C5814"/>
      <c r="D5814"/>
    </row>
    <row r="5815" spans="1:4" x14ac:dyDescent="0.2">
      <c r="A5815"/>
      <c r="B5815"/>
      <c r="C5815"/>
      <c r="D5815"/>
    </row>
    <row r="5816" spans="1:4" x14ac:dyDescent="0.2">
      <c r="A5816"/>
      <c r="B5816"/>
      <c r="C5816"/>
      <c r="D5816"/>
    </row>
    <row r="5817" spans="1:4" x14ac:dyDescent="0.2">
      <c r="A5817"/>
      <c r="B5817"/>
      <c r="C5817"/>
      <c r="D5817"/>
    </row>
    <row r="5818" spans="1:4" x14ac:dyDescent="0.2">
      <c r="A5818"/>
      <c r="B5818"/>
      <c r="C5818"/>
      <c r="D5818"/>
    </row>
    <row r="5819" spans="1:4" x14ac:dyDescent="0.2">
      <c r="A5819"/>
      <c r="B5819"/>
      <c r="C5819"/>
      <c r="D5819"/>
    </row>
    <row r="5820" spans="1:4" x14ac:dyDescent="0.2">
      <c r="A5820"/>
      <c r="B5820"/>
      <c r="C5820"/>
      <c r="D5820"/>
    </row>
    <row r="5821" spans="1:4" x14ac:dyDescent="0.2">
      <c r="A5821"/>
      <c r="B5821"/>
      <c r="C5821"/>
      <c r="D5821"/>
    </row>
    <row r="5822" spans="1:4" x14ac:dyDescent="0.2">
      <c r="A5822"/>
      <c r="B5822"/>
      <c r="C5822"/>
      <c r="D5822"/>
    </row>
    <row r="5823" spans="1:4" x14ac:dyDescent="0.2">
      <c r="A5823"/>
      <c r="B5823"/>
      <c r="C5823"/>
      <c r="D5823"/>
    </row>
    <row r="5824" spans="1:4" x14ac:dyDescent="0.2">
      <c r="A5824"/>
      <c r="B5824"/>
      <c r="C5824"/>
      <c r="D5824"/>
    </row>
    <row r="5825" spans="1:4" x14ac:dyDescent="0.2">
      <c r="A5825"/>
      <c r="B5825"/>
      <c r="C5825"/>
      <c r="D5825"/>
    </row>
    <row r="5826" spans="1:4" x14ac:dyDescent="0.2">
      <c r="A5826"/>
      <c r="B5826"/>
      <c r="C5826"/>
      <c r="D5826"/>
    </row>
    <row r="5827" spans="1:4" x14ac:dyDescent="0.2">
      <c r="A5827"/>
      <c r="B5827"/>
      <c r="C5827"/>
      <c r="D5827"/>
    </row>
    <row r="5828" spans="1:4" x14ac:dyDescent="0.2">
      <c r="A5828"/>
      <c r="B5828"/>
      <c r="C5828"/>
      <c r="D5828"/>
    </row>
    <row r="5829" spans="1:4" x14ac:dyDescent="0.2">
      <c r="A5829"/>
      <c r="B5829"/>
      <c r="C5829"/>
      <c r="D5829"/>
    </row>
    <row r="5830" spans="1:4" x14ac:dyDescent="0.2">
      <c r="A5830"/>
      <c r="B5830"/>
      <c r="C5830"/>
      <c r="D5830"/>
    </row>
    <row r="5831" spans="1:4" x14ac:dyDescent="0.2">
      <c r="A5831"/>
      <c r="B5831"/>
      <c r="C5831"/>
      <c r="D5831"/>
    </row>
    <row r="5832" spans="1:4" x14ac:dyDescent="0.2">
      <c r="A5832"/>
      <c r="B5832"/>
      <c r="C5832"/>
      <c r="D5832"/>
    </row>
    <row r="5833" spans="1:4" x14ac:dyDescent="0.2">
      <c r="A5833"/>
      <c r="B5833"/>
      <c r="C5833"/>
      <c r="D5833"/>
    </row>
    <row r="5834" spans="1:4" x14ac:dyDescent="0.2">
      <c r="A5834"/>
      <c r="B5834"/>
      <c r="C5834"/>
      <c r="D5834"/>
    </row>
    <row r="5835" spans="1:4" x14ac:dyDescent="0.2">
      <c r="A5835"/>
      <c r="B5835"/>
      <c r="C5835"/>
      <c r="D5835"/>
    </row>
    <row r="5836" spans="1:4" x14ac:dyDescent="0.2">
      <c r="A5836"/>
      <c r="B5836"/>
      <c r="C5836"/>
      <c r="D5836"/>
    </row>
    <row r="5837" spans="1:4" x14ac:dyDescent="0.2">
      <c r="A5837"/>
      <c r="B5837"/>
      <c r="C5837"/>
      <c r="D5837"/>
    </row>
    <row r="5838" spans="1:4" x14ac:dyDescent="0.2">
      <c r="A5838"/>
      <c r="B5838"/>
      <c r="C5838"/>
      <c r="D5838"/>
    </row>
    <row r="5839" spans="1:4" x14ac:dyDescent="0.2">
      <c r="A5839"/>
      <c r="B5839"/>
      <c r="C5839"/>
      <c r="D5839"/>
    </row>
    <row r="5840" spans="1:4" x14ac:dyDescent="0.2">
      <c r="A5840"/>
      <c r="B5840"/>
      <c r="C5840"/>
      <c r="D5840"/>
    </row>
    <row r="5841" spans="1:4" x14ac:dyDescent="0.2">
      <c r="A5841"/>
      <c r="B5841"/>
      <c r="C5841"/>
      <c r="D5841"/>
    </row>
    <row r="5842" spans="1:4" x14ac:dyDescent="0.2">
      <c r="A5842"/>
      <c r="B5842"/>
      <c r="C5842"/>
      <c r="D5842"/>
    </row>
    <row r="5843" spans="1:4" x14ac:dyDescent="0.2">
      <c r="A5843"/>
      <c r="B5843"/>
      <c r="C5843"/>
      <c r="D5843"/>
    </row>
    <row r="5844" spans="1:4" x14ac:dyDescent="0.2">
      <c r="A5844"/>
      <c r="B5844"/>
      <c r="C5844"/>
      <c r="D5844"/>
    </row>
    <row r="5845" spans="1:4" x14ac:dyDescent="0.2">
      <c r="A5845"/>
      <c r="B5845"/>
      <c r="C5845"/>
      <c r="D5845"/>
    </row>
    <row r="5846" spans="1:4" x14ac:dyDescent="0.2">
      <c r="A5846"/>
      <c r="B5846"/>
      <c r="C5846"/>
      <c r="D5846"/>
    </row>
    <row r="5847" spans="1:4" x14ac:dyDescent="0.2">
      <c r="A5847"/>
      <c r="B5847"/>
      <c r="C5847"/>
      <c r="D5847"/>
    </row>
    <row r="5848" spans="1:4" x14ac:dyDescent="0.2">
      <c r="A5848"/>
      <c r="B5848"/>
      <c r="C5848"/>
      <c r="D5848"/>
    </row>
    <row r="5849" spans="1:4" x14ac:dyDescent="0.2">
      <c r="A5849"/>
      <c r="B5849"/>
      <c r="C5849"/>
      <c r="D5849"/>
    </row>
    <row r="5850" spans="1:4" x14ac:dyDescent="0.2">
      <c r="A5850"/>
      <c r="B5850"/>
      <c r="C5850"/>
      <c r="D5850"/>
    </row>
    <row r="5851" spans="1:4" x14ac:dyDescent="0.2">
      <c r="A5851"/>
      <c r="B5851"/>
      <c r="C5851"/>
      <c r="D5851"/>
    </row>
    <row r="5852" spans="1:4" x14ac:dyDescent="0.2">
      <c r="A5852"/>
      <c r="B5852"/>
      <c r="C5852"/>
      <c r="D5852"/>
    </row>
    <row r="5853" spans="1:4" x14ac:dyDescent="0.2">
      <c r="A5853"/>
      <c r="B5853"/>
      <c r="C5853"/>
      <c r="D5853"/>
    </row>
    <row r="5854" spans="1:4" x14ac:dyDescent="0.2">
      <c r="A5854"/>
      <c r="B5854"/>
      <c r="C5854"/>
      <c r="D5854"/>
    </row>
    <row r="5855" spans="1:4" x14ac:dyDescent="0.2">
      <c r="A5855"/>
      <c r="B5855"/>
      <c r="C5855"/>
      <c r="D5855"/>
    </row>
    <row r="5856" spans="1:4" x14ac:dyDescent="0.2">
      <c r="A5856"/>
      <c r="B5856"/>
      <c r="C5856"/>
      <c r="D5856"/>
    </row>
    <row r="5857" spans="1:4" x14ac:dyDescent="0.2">
      <c r="A5857"/>
      <c r="B5857"/>
      <c r="C5857"/>
      <c r="D5857"/>
    </row>
    <row r="5858" spans="1:4" x14ac:dyDescent="0.2">
      <c r="A5858"/>
      <c r="B5858"/>
      <c r="C5858"/>
      <c r="D5858"/>
    </row>
    <row r="5859" spans="1:4" x14ac:dyDescent="0.2">
      <c r="A5859"/>
      <c r="B5859"/>
      <c r="C5859"/>
      <c r="D5859"/>
    </row>
    <row r="5860" spans="1:4" x14ac:dyDescent="0.2">
      <c r="A5860"/>
      <c r="B5860"/>
      <c r="C5860"/>
      <c r="D5860"/>
    </row>
    <row r="5861" spans="1:4" x14ac:dyDescent="0.2">
      <c r="A5861"/>
      <c r="B5861"/>
      <c r="C5861"/>
      <c r="D5861"/>
    </row>
    <row r="5862" spans="1:4" x14ac:dyDescent="0.2">
      <c r="A5862"/>
      <c r="B5862"/>
      <c r="C5862"/>
      <c r="D5862"/>
    </row>
    <row r="5863" spans="1:4" x14ac:dyDescent="0.2">
      <c r="A5863"/>
      <c r="B5863"/>
      <c r="C5863"/>
      <c r="D5863"/>
    </row>
    <row r="5864" spans="1:4" x14ac:dyDescent="0.2">
      <c r="A5864"/>
      <c r="B5864"/>
      <c r="C5864"/>
      <c r="D5864"/>
    </row>
    <row r="5865" spans="1:4" x14ac:dyDescent="0.2">
      <c r="A5865"/>
      <c r="B5865"/>
      <c r="C5865"/>
      <c r="D5865"/>
    </row>
    <row r="5866" spans="1:4" x14ac:dyDescent="0.2">
      <c r="A5866"/>
      <c r="B5866"/>
      <c r="C5866"/>
      <c r="D5866"/>
    </row>
    <row r="5867" spans="1:4" x14ac:dyDescent="0.2">
      <c r="A5867"/>
      <c r="B5867"/>
      <c r="C5867"/>
      <c r="D5867"/>
    </row>
    <row r="5868" spans="1:4" x14ac:dyDescent="0.2">
      <c r="A5868"/>
      <c r="B5868"/>
      <c r="C5868"/>
      <c r="D5868"/>
    </row>
    <row r="5869" spans="1:4" x14ac:dyDescent="0.2">
      <c r="A5869"/>
      <c r="B5869"/>
      <c r="C5869"/>
      <c r="D5869"/>
    </row>
    <row r="5870" spans="1:4" x14ac:dyDescent="0.2">
      <c r="A5870"/>
      <c r="B5870"/>
      <c r="C5870"/>
      <c r="D5870"/>
    </row>
    <row r="5871" spans="1:4" x14ac:dyDescent="0.2">
      <c r="A5871"/>
      <c r="B5871"/>
      <c r="C5871"/>
      <c r="D5871"/>
    </row>
    <row r="5872" spans="1:4" x14ac:dyDescent="0.2">
      <c r="A5872"/>
      <c r="B5872"/>
      <c r="C5872"/>
      <c r="D5872"/>
    </row>
    <row r="5873" spans="1:4" x14ac:dyDescent="0.2">
      <c r="A5873"/>
      <c r="B5873"/>
      <c r="C5873"/>
      <c r="D5873"/>
    </row>
    <row r="5874" spans="1:4" x14ac:dyDescent="0.2">
      <c r="A5874"/>
      <c r="B5874"/>
      <c r="C5874"/>
      <c r="D5874"/>
    </row>
    <row r="5875" spans="1:4" x14ac:dyDescent="0.2">
      <c r="A5875"/>
      <c r="B5875"/>
      <c r="C5875"/>
      <c r="D5875"/>
    </row>
    <row r="5876" spans="1:4" x14ac:dyDescent="0.2">
      <c r="A5876"/>
      <c r="B5876"/>
      <c r="C5876"/>
      <c r="D5876"/>
    </row>
    <row r="5877" spans="1:4" x14ac:dyDescent="0.2">
      <c r="A5877"/>
      <c r="B5877"/>
      <c r="C5877"/>
      <c r="D5877"/>
    </row>
    <row r="5878" spans="1:4" x14ac:dyDescent="0.2">
      <c r="A5878"/>
      <c r="B5878"/>
      <c r="C5878"/>
      <c r="D5878"/>
    </row>
    <row r="5879" spans="1:4" x14ac:dyDescent="0.2">
      <c r="A5879"/>
      <c r="B5879"/>
      <c r="C5879"/>
      <c r="D5879"/>
    </row>
    <row r="5880" spans="1:4" x14ac:dyDescent="0.2">
      <c r="A5880"/>
      <c r="B5880"/>
      <c r="C5880"/>
      <c r="D5880"/>
    </row>
    <row r="5881" spans="1:4" x14ac:dyDescent="0.2">
      <c r="A5881"/>
      <c r="B5881"/>
      <c r="C5881"/>
      <c r="D5881"/>
    </row>
    <row r="5882" spans="1:4" x14ac:dyDescent="0.2">
      <c r="A5882"/>
      <c r="B5882"/>
      <c r="C5882"/>
      <c r="D5882"/>
    </row>
    <row r="5883" spans="1:4" x14ac:dyDescent="0.2">
      <c r="A5883"/>
      <c r="B5883"/>
      <c r="C5883"/>
      <c r="D5883"/>
    </row>
    <row r="5884" spans="1:4" x14ac:dyDescent="0.2">
      <c r="A5884"/>
      <c r="B5884"/>
      <c r="C5884"/>
      <c r="D5884"/>
    </row>
    <row r="5885" spans="1:4" x14ac:dyDescent="0.2">
      <c r="A5885"/>
      <c r="B5885"/>
      <c r="C5885"/>
      <c r="D5885"/>
    </row>
    <row r="5886" spans="1:4" x14ac:dyDescent="0.2">
      <c r="A5886"/>
      <c r="B5886"/>
      <c r="C5886"/>
      <c r="D5886"/>
    </row>
    <row r="5887" spans="1:4" x14ac:dyDescent="0.2">
      <c r="A5887"/>
      <c r="B5887"/>
      <c r="C5887"/>
      <c r="D5887"/>
    </row>
    <row r="5888" spans="1:4" x14ac:dyDescent="0.2">
      <c r="A5888"/>
      <c r="B5888"/>
      <c r="C5888"/>
      <c r="D5888"/>
    </row>
    <row r="5889" spans="1:4" x14ac:dyDescent="0.2">
      <c r="A5889"/>
      <c r="B5889"/>
      <c r="C5889"/>
      <c r="D5889"/>
    </row>
    <row r="5890" spans="1:4" x14ac:dyDescent="0.2">
      <c r="A5890"/>
      <c r="B5890"/>
      <c r="C5890"/>
      <c r="D5890"/>
    </row>
    <row r="5891" spans="1:4" x14ac:dyDescent="0.2">
      <c r="A5891"/>
      <c r="B5891"/>
      <c r="C5891"/>
      <c r="D5891"/>
    </row>
    <row r="5892" spans="1:4" x14ac:dyDescent="0.2">
      <c r="A5892"/>
      <c r="B5892"/>
      <c r="C5892"/>
      <c r="D5892"/>
    </row>
    <row r="5893" spans="1:4" x14ac:dyDescent="0.2">
      <c r="A5893"/>
      <c r="B5893"/>
      <c r="C5893"/>
      <c r="D5893"/>
    </row>
    <row r="5894" spans="1:4" x14ac:dyDescent="0.2">
      <c r="A5894"/>
      <c r="B5894"/>
      <c r="C5894"/>
      <c r="D5894"/>
    </row>
    <row r="5895" spans="1:4" x14ac:dyDescent="0.2">
      <c r="A5895"/>
      <c r="B5895"/>
      <c r="C5895"/>
      <c r="D5895"/>
    </row>
    <row r="5896" spans="1:4" x14ac:dyDescent="0.2">
      <c r="A5896"/>
      <c r="B5896"/>
      <c r="C5896"/>
      <c r="D5896"/>
    </row>
    <row r="5897" spans="1:4" x14ac:dyDescent="0.2">
      <c r="A5897"/>
      <c r="B5897"/>
      <c r="C5897"/>
      <c r="D5897"/>
    </row>
    <row r="5898" spans="1:4" x14ac:dyDescent="0.2">
      <c r="A5898"/>
      <c r="B5898"/>
      <c r="C5898"/>
      <c r="D5898"/>
    </row>
    <row r="5899" spans="1:4" x14ac:dyDescent="0.2">
      <c r="A5899"/>
      <c r="B5899"/>
      <c r="C5899"/>
      <c r="D5899"/>
    </row>
    <row r="5900" spans="1:4" x14ac:dyDescent="0.2">
      <c r="A5900"/>
      <c r="B5900"/>
      <c r="C5900"/>
      <c r="D5900"/>
    </row>
    <row r="5901" spans="1:4" x14ac:dyDescent="0.2">
      <c r="A5901"/>
      <c r="B5901"/>
      <c r="C5901"/>
      <c r="D5901"/>
    </row>
    <row r="5902" spans="1:4" x14ac:dyDescent="0.2">
      <c r="A5902"/>
      <c r="B5902"/>
      <c r="C5902"/>
      <c r="D5902"/>
    </row>
    <row r="5903" spans="1:4" x14ac:dyDescent="0.2">
      <c r="A5903"/>
      <c r="B5903"/>
      <c r="C5903"/>
      <c r="D5903"/>
    </row>
    <row r="5904" spans="1:4" x14ac:dyDescent="0.2">
      <c r="A5904"/>
      <c r="B5904"/>
      <c r="C5904"/>
      <c r="D5904"/>
    </row>
    <row r="5905" spans="1:4" x14ac:dyDescent="0.2">
      <c r="A5905"/>
      <c r="B5905"/>
      <c r="C5905"/>
      <c r="D5905"/>
    </row>
    <row r="5906" spans="1:4" x14ac:dyDescent="0.2">
      <c r="A5906"/>
      <c r="B5906"/>
      <c r="C5906"/>
      <c r="D5906"/>
    </row>
    <row r="5907" spans="1:4" x14ac:dyDescent="0.2">
      <c r="A5907"/>
      <c r="B5907"/>
      <c r="C5907"/>
      <c r="D5907"/>
    </row>
    <row r="5908" spans="1:4" x14ac:dyDescent="0.2">
      <c r="A5908"/>
      <c r="B5908"/>
      <c r="C5908"/>
      <c r="D5908"/>
    </row>
    <row r="5909" spans="1:4" x14ac:dyDescent="0.2">
      <c r="A5909"/>
      <c r="B5909"/>
      <c r="C5909"/>
      <c r="D5909"/>
    </row>
    <row r="5910" spans="1:4" x14ac:dyDescent="0.2">
      <c r="A5910"/>
      <c r="B5910"/>
      <c r="C5910"/>
      <c r="D5910"/>
    </row>
    <row r="5911" spans="1:4" x14ac:dyDescent="0.2">
      <c r="A5911"/>
      <c r="B5911"/>
      <c r="C5911"/>
      <c r="D5911"/>
    </row>
    <row r="5912" spans="1:4" x14ac:dyDescent="0.2">
      <c r="A5912"/>
      <c r="B5912"/>
      <c r="C5912"/>
      <c r="D5912"/>
    </row>
    <row r="5913" spans="1:4" x14ac:dyDescent="0.2">
      <c r="A5913"/>
      <c r="B5913"/>
      <c r="C5913"/>
      <c r="D5913"/>
    </row>
    <row r="5914" spans="1:4" x14ac:dyDescent="0.2">
      <c r="A5914"/>
      <c r="B5914"/>
      <c r="C5914"/>
      <c r="D5914"/>
    </row>
    <row r="5915" spans="1:4" x14ac:dyDescent="0.2">
      <c r="A5915"/>
      <c r="B5915"/>
      <c r="C5915"/>
      <c r="D5915"/>
    </row>
    <row r="5916" spans="1:4" x14ac:dyDescent="0.2">
      <c r="A5916"/>
      <c r="B5916"/>
      <c r="C5916"/>
      <c r="D5916"/>
    </row>
    <row r="5917" spans="1:4" x14ac:dyDescent="0.2">
      <c r="A5917"/>
      <c r="B5917"/>
      <c r="C5917"/>
      <c r="D5917"/>
    </row>
    <row r="5918" spans="1:4" x14ac:dyDescent="0.2">
      <c r="A5918"/>
      <c r="B5918"/>
      <c r="C5918"/>
      <c r="D5918"/>
    </row>
    <row r="5919" spans="1:4" x14ac:dyDescent="0.2">
      <c r="A5919"/>
      <c r="B5919"/>
      <c r="C5919"/>
      <c r="D5919"/>
    </row>
    <row r="5920" spans="1:4" x14ac:dyDescent="0.2">
      <c r="A5920"/>
      <c r="B5920"/>
      <c r="C5920"/>
      <c r="D5920"/>
    </row>
    <row r="5921" spans="1:4" x14ac:dyDescent="0.2">
      <c r="A5921"/>
      <c r="B5921"/>
      <c r="C5921"/>
      <c r="D5921"/>
    </row>
    <row r="5922" spans="1:4" x14ac:dyDescent="0.2">
      <c r="A5922"/>
      <c r="B5922"/>
      <c r="C5922"/>
      <c r="D5922"/>
    </row>
    <row r="5923" spans="1:4" x14ac:dyDescent="0.2">
      <c r="A5923"/>
      <c r="B5923"/>
      <c r="C5923"/>
      <c r="D5923"/>
    </row>
    <row r="5924" spans="1:4" x14ac:dyDescent="0.2">
      <c r="A5924"/>
      <c r="B5924"/>
      <c r="C5924"/>
      <c r="D5924"/>
    </row>
    <row r="5925" spans="1:4" x14ac:dyDescent="0.2">
      <c r="A5925"/>
      <c r="B5925"/>
      <c r="C5925"/>
      <c r="D5925"/>
    </row>
    <row r="5926" spans="1:4" x14ac:dyDescent="0.2">
      <c r="A5926"/>
      <c r="B5926"/>
      <c r="C5926"/>
      <c r="D5926"/>
    </row>
    <row r="5927" spans="1:4" x14ac:dyDescent="0.2">
      <c r="A5927"/>
      <c r="B5927"/>
      <c r="C5927"/>
      <c r="D5927"/>
    </row>
    <row r="5928" spans="1:4" x14ac:dyDescent="0.2">
      <c r="A5928"/>
      <c r="B5928"/>
      <c r="C5928"/>
      <c r="D5928"/>
    </row>
    <row r="5929" spans="1:4" x14ac:dyDescent="0.2">
      <c r="A5929"/>
      <c r="B5929"/>
      <c r="C5929"/>
      <c r="D5929"/>
    </row>
    <row r="5930" spans="1:4" x14ac:dyDescent="0.2">
      <c r="A5930"/>
      <c r="B5930"/>
      <c r="C5930"/>
      <c r="D5930"/>
    </row>
    <row r="5931" spans="1:4" x14ac:dyDescent="0.2">
      <c r="A5931"/>
      <c r="B5931"/>
      <c r="C5931"/>
      <c r="D5931"/>
    </row>
    <row r="5932" spans="1:4" x14ac:dyDescent="0.2">
      <c r="A5932"/>
      <c r="B5932"/>
      <c r="C5932"/>
      <c r="D5932"/>
    </row>
    <row r="5933" spans="1:4" x14ac:dyDescent="0.2">
      <c r="A5933"/>
      <c r="B5933"/>
      <c r="C5933"/>
      <c r="D5933"/>
    </row>
    <row r="5934" spans="1:4" x14ac:dyDescent="0.2">
      <c r="A5934"/>
      <c r="B5934"/>
      <c r="C5934"/>
      <c r="D5934"/>
    </row>
    <row r="5935" spans="1:4" x14ac:dyDescent="0.2">
      <c r="A5935"/>
      <c r="B5935"/>
      <c r="C5935"/>
      <c r="D5935"/>
    </row>
    <row r="5936" spans="1:4" x14ac:dyDescent="0.2">
      <c r="A5936"/>
      <c r="B5936"/>
      <c r="C5936"/>
      <c r="D5936"/>
    </row>
    <row r="5937" spans="1:4" x14ac:dyDescent="0.2">
      <c r="A5937"/>
      <c r="B5937"/>
      <c r="C5937"/>
      <c r="D5937"/>
    </row>
    <row r="5938" spans="1:4" x14ac:dyDescent="0.2">
      <c r="A5938"/>
      <c r="B5938"/>
      <c r="C5938"/>
      <c r="D5938"/>
    </row>
    <row r="5939" spans="1:4" x14ac:dyDescent="0.2">
      <c r="A5939"/>
      <c r="B5939"/>
      <c r="C5939"/>
      <c r="D5939"/>
    </row>
    <row r="5940" spans="1:4" x14ac:dyDescent="0.2">
      <c r="A5940"/>
      <c r="B5940"/>
      <c r="C5940"/>
      <c r="D5940"/>
    </row>
    <row r="5941" spans="1:4" x14ac:dyDescent="0.2">
      <c r="A5941"/>
      <c r="B5941"/>
      <c r="C5941"/>
      <c r="D5941"/>
    </row>
    <row r="5942" spans="1:4" x14ac:dyDescent="0.2">
      <c r="A5942"/>
      <c r="B5942"/>
      <c r="C5942"/>
      <c r="D5942"/>
    </row>
    <row r="5943" spans="1:4" x14ac:dyDescent="0.2">
      <c r="A5943"/>
      <c r="B5943"/>
      <c r="C5943"/>
      <c r="D5943"/>
    </row>
    <row r="5944" spans="1:4" x14ac:dyDescent="0.2">
      <c r="A5944"/>
      <c r="B5944"/>
      <c r="C5944"/>
      <c r="D5944"/>
    </row>
    <row r="5945" spans="1:4" x14ac:dyDescent="0.2">
      <c r="A5945"/>
      <c r="B5945"/>
      <c r="C5945"/>
      <c r="D5945"/>
    </row>
    <row r="5946" spans="1:4" x14ac:dyDescent="0.2">
      <c r="A5946"/>
      <c r="B5946"/>
      <c r="C5946"/>
      <c r="D5946"/>
    </row>
    <row r="5947" spans="1:4" x14ac:dyDescent="0.2">
      <c r="A5947"/>
      <c r="B5947"/>
      <c r="C5947"/>
      <c r="D5947"/>
    </row>
    <row r="5948" spans="1:4" x14ac:dyDescent="0.2">
      <c r="A5948"/>
      <c r="B5948"/>
      <c r="C5948"/>
      <c r="D5948"/>
    </row>
    <row r="5949" spans="1:4" x14ac:dyDescent="0.2">
      <c r="A5949"/>
      <c r="B5949"/>
      <c r="C5949"/>
      <c r="D5949"/>
    </row>
    <row r="5950" spans="1:4" x14ac:dyDescent="0.2">
      <c r="A5950"/>
      <c r="B5950"/>
      <c r="C5950"/>
      <c r="D5950"/>
    </row>
    <row r="5951" spans="1:4" x14ac:dyDescent="0.2">
      <c r="A5951"/>
      <c r="B5951"/>
      <c r="C5951"/>
      <c r="D5951"/>
    </row>
    <row r="5952" spans="1:4" x14ac:dyDescent="0.2">
      <c r="A5952"/>
      <c r="B5952"/>
      <c r="C5952"/>
      <c r="D5952"/>
    </row>
    <row r="5953" spans="1:4" x14ac:dyDescent="0.2">
      <c r="A5953"/>
      <c r="B5953"/>
      <c r="C5953"/>
      <c r="D5953"/>
    </row>
    <row r="5954" spans="1:4" x14ac:dyDescent="0.2">
      <c r="A5954"/>
      <c r="B5954"/>
      <c r="C5954"/>
      <c r="D5954"/>
    </row>
    <row r="5955" spans="1:4" x14ac:dyDescent="0.2">
      <c r="A5955"/>
      <c r="B5955"/>
      <c r="C5955"/>
      <c r="D5955"/>
    </row>
    <row r="5956" spans="1:4" x14ac:dyDescent="0.2">
      <c r="A5956"/>
      <c r="B5956"/>
      <c r="C5956"/>
      <c r="D5956"/>
    </row>
    <row r="5957" spans="1:4" x14ac:dyDescent="0.2">
      <c r="A5957"/>
      <c r="B5957"/>
      <c r="C5957"/>
      <c r="D5957"/>
    </row>
    <row r="5958" spans="1:4" x14ac:dyDescent="0.2">
      <c r="A5958"/>
      <c r="B5958"/>
      <c r="C5958"/>
      <c r="D5958"/>
    </row>
    <row r="5959" spans="1:4" x14ac:dyDescent="0.2">
      <c r="A5959"/>
      <c r="B5959"/>
      <c r="C5959"/>
      <c r="D5959"/>
    </row>
    <row r="5960" spans="1:4" x14ac:dyDescent="0.2">
      <c r="A5960"/>
      <c r="B5960"/>
      <c r="C5960"/>
      <c r="D5960"/>
    </row>
    <row r="5961" spans="1:4" x14ac:dyDescent="0.2">
      <c r="A5961"/>
      <c r="B5961"/>
      <c r="C5961"/>
      <c r="D5961"/>
    </row>
    <row r="5962" spans="1:4" x14ac:dyDescent="0.2">
      <c r="A5962"/>
      <c r="B5962"/>
      <c r="C5962"/>
      <c r="D5962"/>
    </row>
    <row r="5963" spans="1:4" x14ac:dyDescent="0.2">
      <c r="A5963"/>
      <c r="B5963"/>
      <c r="C5963"/>
      <c r="D5963"/>
    </row>
    <row r="5964" spans="1:4" x14ac:dyDescent="0.2">
      <c r="A5964"/>
      <c r="B5964"/>
      <c r="C5964"/>
      <c r="D5964"/>
    </row>
    <row r="5965" spans="1:4" x14ac:dyDescent="0.2">
      <c r="A5965"/>
      <c r="B5965"/>
      <c r="C5965"/>
      <c r="D5965"/>
    </row>
    <row r="5966" spans="1:4" x14ac:dyDescent="0.2">
      <c r="A5966"/>
      <c r="B5966"/>
      <c r="C5966"/>
      <c r="D5966"/>
    </row>
    <row r="5967" spans="1:4" x14ac:dyDescent="0.2">
      <c r="A5967"/>
      <c r="B5967"/>
      <c r="C5967"/>
      <c r="D5967"/>
    </row>
    <row r="5968" spans="1:4" x14ac:dyDescent="0.2">
      <c r="A5968"/>
      <c r="B5968"/>
      <c r="C5968"/>
      <c r="D5968"/>
    </row>
    <row r="5969" spans="1:4" x14ac:dyDescent="0.2">
      <c r="A5969"/>
      <c r="B5969"/>
      <c r="C5969"/>
      <c r="D5969"/>
    </row>
    <row r="5970" spans="1:4" x14ac:dyDescent="0.2">
      <c r="A5970"/>
      <c r="B5970"/>
      <c r="C5970"/>
      <c r="D5970"/>
    </row>
    <row r="5971" spans="1:4" x14ac:dyDescent="0.2">
      <c r="A5971"/>
      <c r="B5971"/>
      <c r="C5971"/>
      <c r="D5971"/>
    </row>
    <row r="5972" spans="1:4" x14ac:dyDescent="0.2">
      <c r="A5972"/>
      <c r="B5972"/>
      <c r="C5972"/>
      <c r="D5972"/>
    </row>
    <row r="5973" spans="1:4" x14ac:dyDescent="0.2">
      <c r="A5973"/>
      <c r="B5973"/>
      <c r="C5973"/>
      <c r="D5973"/>
    </row>
    <row r="5974" spans="1:4" x14ac:dyDescent="0.2">
      <c r="A5974"/>
      <c r="B5974"/>
      <c r="C5974"/>
      <c r="D5974"/>
    </row>
    <row r="5975" spans="1:4" x14ac:dyDescent="0.2">
      <c r="A5975"/>
      <c r="B5975"/>
      <c r="C5975"/>
      <c r="D5975"/>
    </row>
    <row r="5976" spans="1:4" x14ac:dyDescent="0.2">
      <c r="A5976"/>
      <c r="B5976"/>
      <c r="C5976"/>
      <c r="D5976"/>
    </row>
    <row r="5977" spans="1:4" x14ac:dyDescent="0.2">
      <c r="A5977"/>
      <c r="B5977"/>
      <c r="C5977"/>
      <c r="D5977"/>
    </row>
    <row r="5978" spans="1:4" x14ac:dyDescent="0.2">
      <c r="A5978"/>
      <c r="B5978"/>
      <c r="C5978"/>
      <c r="D5978"/>
    </row>
    <row r="5979" spans="1:4" x14ac:dyDescent="0.2">
      <c r="A5979"/>
      <c r="B5979"/>
      <c r="C5979"/>
      <c r="D5979"/>
    </row>
    <row r="5980" spans="1:4" x14ac:dyDescent="0.2">
      <c r="A5980"/>
      <c r="B5980"/>
      <c r="C5980"/>
      <c r="D5980"/>
    </row>
    <row r="5981" spans="1:4" x14ac:dyDescent="0.2">
      <c r="A5981"/>
      <c r="B5981"/>
      <c r="C5981"/>
      <c r="D5981"/>
    </row>
    <row r="5982" spans="1:4" x14ac:dyDescent="0.2">
      <c r="A5982"/>
      <c r="B5982"/>
      <c r="C5982"/>
      <c r="D5982"/>
    </row>
    <row r="5983" spans="1:4" x14ac:dyDescent="0.2">
      <c r="A5983"/>
      <c r="B5983"/>
      <c r="C5983"/>
      <c r="D5983"/>
    </row>
    <row r="5984" spans="1:4" x14ac:dyDescent="0.2">
      <c r="A5984"/>
      <c r="B5984"/>
      <c r="C5984"/>
      <c r="D5984"/>
    </row>
    <row r="5985" spans="1:4" x14ac:dyDescent="0.2">
      <c r="A5985"/>
      <c r="B5985"/>
      <c r="C5985"/>
      <c r="D5985"/>
    </row>
    <row r="5986" spans="1:4" x14ac:dyDescent="0.2">
      <c r="A5986"/>
      <c r="B5986"/>
      <c r="C5986"/>
      <c r="D5986"/>
    </row>
    <row r="5987" spans="1:4" x14ac:dyDescent="0.2">
      <c r="A5987"/>
      <c r="B5987"/>
      <c r="C5987"/>
      <c r="D5987"/>
    </row>
    <row r="5988" spans="1:4" x14ac:dyDescent="0.2">
      <c r="A5988"/>
      <c r="B5988"/>
      <c r="C5988"/>
      <c r="D5988"/>
    </row>
    <row r="5989" spans="1:4" x14ac:dyDescent="0.2">
      <c r="A5989"/>
      <c r="B5989"/>
      <c r="C5989"/>
      <c r="D5989"/>
    </row>
    <row r="5990" spans="1:4" x14ac:dyDescent="0.2">
      <c r="A5990"/>
      <c r="B5990"/>
      <c r="C5990"/>
      <c r="D5990"/>
    </row>
    <row r="5991" spans="1:4" x14ac:dyDescent="0.2">
      <c r="A5991"/>
      <c r="B5991"/>
      <c r="C5991"/>
      <c r="D5991"/>
    </row>
    <row r="5992" spans="1:4" x14ac:dyDescent="0.2">
      <c r="A5992"/>
      <c r="B5992"/>
      <c r="C5992"/>
      <c r="D5992"/>
    </row>
    <row r="5993" spans="1:4" x14ac:dyDescent="0.2">
      <c r="A5993"/>
      <c r="B5993"/>
      <c r="C5993"/>
      <c r="D5993"/>
    </row>
    <row r="5994" spans="1:4" x14ac:dyDescent="0.2">
      <c r="A5994"/>
      <c r="B5994"/>
      <c r="C5994"/>
      <c r="D5994"/>
    </row>
    <row r="5995" spans="1:4" x14ac:dyDescent="0.2">
      <c r="A5995"/>
      <c r="B5995"/>
      <c r="C5995"/>
      <c r="D5995"/>
    </row>
    <row r="5996" spans="1:4" x14ac:dyDescent="0.2">
      <c r="A5996"/>
      <c r="B5996"/>
      <c r="C5996"/>
      <c r="D5996"/>
    </row>
    <row r="5997" spans="1:4" x14ac:dyDescent="0.2">
      <c r="A5997"/>
      <c r="B5997"/>
      <c r="C5997"/>
      <c r="D5997"/>
    </row>
    <row r="5998" spans="1:4" x14ac:dyDescent="0.2">
      <c r="A5998"/>
      <c r="B5998"/>
      <c r="C5998"/>
      <c r="D5998"/>
    </row>
    <row r="5999" spans="1:4" x14ac:dyDescent="0.2">
      <c r="A5999"/>
      <c r="B5999"/>
      <c r="C5999"/>
      <c r="D5999"/>
    </row>
    <row r="6000" spans="1:4" x14ac:dyDescent="0.2">
      <c r="A6000"/>
      <c r="B6000"/>
      <c r="C6000"/>
      <c r="D6000"/>
    </row>
    <row r="6001" spans="1:4" x14ac:dyDescent="0.2">
      <c r="A6001"/>
      <c r="B6001"/>
      <c r="C6001"/>
      <c r="D6001"/>
    </row>
    <row r="6002" spans="1:4" x14ac:dyDescent="0.2">
      <c r="A6002"/>
      <c r="B6002"/>
      <c r="C6002"/>
      <c r="D6002"/>
    </row>
    <row r="6003" spans="1:4" x14ac:dyDescent="0.2">
      <c r="A6003"/>
      <c r="B6003"/>
      <c r="C6003"/>
      <c r="D6003"/>
    </row>
    <row r="6004" spans="1:4" x14ac:dyDescent="0.2">
      <c r="A6004"/>
      <c r="B6004"/>
      <c r="C6004"/>
      <c r="D6004"/>
    </row>
    <row r="6005" spans="1:4" x14ac:dyDescent="0.2">
      <c r="A6005"/>
      <c r="B6005"/>
      <c r="C6005"/>
      <c r="D6005"/>
    </row>
    <row r="6006" spans="1:4" x14ac:dyDescent="0.2">
      <c r="A6006"/>
      <c r="B6006"/>
      <c r="C6006"/>
      <c r="D6006"/>
    </row>
    <row r="6007" spans="1:4" x14ac:dyDescent="0.2">
      <c r="A6007"/>
      <c r="B6007"/>
      <c r="C6007"/>
      <c r="D6007"/>
    </row>
    <row r="6008" spans="1:4" x14ac:dyDescent="0.2">
      <c r="A6008"/>
      <c r="B6008"/>
      <c r="C6008"/>
      <c r="D6008"/>
    </row>
    <row r="6009" spans="1:4" x14ac:dyDescent="0.2">
      <c r="A6009"/>
      <c r="B6009"/>
      <c r="C6009"/>
      <c r="D6009"/>
    </row>
    <row r="6010" spans="1:4" x14ac:dyDescent="0.2">
      <c r="A6010"/>
      <c r="B6010"/>
      <c r="C6010"/>
      <c r="D6010"/>
    </row>
    <row r="6011" spans="1:4" x14ac:dyDescent="0.2">
      <c r="A6011"/>
      <c r="B6011"/>
      <c r="C6011"/>
      <c r="D6011"/>
    </row>
    <row r="6012" spans="1:4" x14ac:dyDescent="0.2">
      <c r="A6012"/>
      <c r="B6012"/>
      <c r="C6012"/>
      <c r="D6012"/>
    </row>
    <row r="6013" spans="1:4" x14ac:dyDescent="0.2">
      <c r="A6013"/>
      <c r="B6013"/>
      <c r="C6013"/>
      <c r="D6013"/>
    </row>
    <row r="6014" spans="1:4" x14ac:dyDescent="0.2">
      <c r="A6014"/>
      <c r="B6014"/>
      <c r="C6014"/>
      <c r="D6014"/>
    </row>
    <row r="6015" spans="1:4" x14ac:dyDescent="0.2">
      <c r="A6015"/>
      <c r="B6015"/>
      <c r="C6015"/>
      <c r="D6015"/>
    </row>
    <row r="6016" spans="1:4" x14ac:dyDescent="0.2">
      <c r="A6016"/>
      <c r="B6016"/>
      <c r="C6016"/>
      <c r="D6016"/>
    </row>
    <row r="6017" spans="1:4" x14ac:dyDescent="0.2">
      <c r="A6017"/>
      <c r="B6017"/>
      <c r="C6017"/>
      <c r="D6017"/>
    </row>
    <row r="6018" spans="1:4" x14ac:dyDescent="0.2">
      <c r="A6018"/>
      <c r="B6018"/>
      <c r="C6018"/>
      <c r="D6018"/>
    </row>
    <row r="6019" spans="1:4" x14ac:dyDescent="0.2">
      <c r="A6019"/>
      <c r="B6019"/>
      <c r="C6019"/>
      <c r="D6019"/>
    </row>
    <row r="6020" spans="1:4" x14ac:dyDescent="0.2">
      <c r="A6020"/>
      <c r="B6020"/>
      <c r="C6020"/>
      <c r="D6020"/>
    </row>
    <row r="6021" spans="1:4" x14ac:dyDescent="0.2">
      <c r="A6021"/>
      <c r="B6021"/>
      <c r="C6021"/>
      <c r="D6021"/>
    </row>
    <row r="6022" spans="1:4" x14ac:dyDescent="0.2">
      <c r="A6022"/>
      <c r="B6022"/>
      <c r="C6022"/>
      <c r="D6022"/>
    </row>
    <row r="6023" spans="1:4" x14ac:dyDescent="0.2">
      <c r="A6023"/>
      <c r="B6023"/>
      <c r="C6023"/>
      <c r="D6023"/>
    </row>
    <row r="6024" spans="1:4" x14ac:dyDescent="0.2">
      <c r="A6024"/>
      <c r="B6024"/>
      <c r="C6024"/>
      <c r="D6024"/>
    </row>
    <row r="6025" spans="1:4" x14ac:dyDescent="0.2">
      <c r="A6025"/>
      <c r="B6025"/>
      <c r="C6025"/>
      <c r="D6025"/>
    </row>
    <row r="6026" spans="1:4" x14ac:dyDescent="0.2">
      <c r="A6026"/>
      <c r="B6026"/>
      <c r="C6026"/>
      <c r="D6026"/>
    </row>
    <row r="6027" spans="1:4" x14ac:dyDescent="0.2">
      <c r="A6027"/>
      <c r="B6027"/>
      <c r="C6027"/>
      <c r="D6027"/>
    </row>
    <row r="6028" spans="1:4" x14ac:dyDescent="0.2">
      <c r="A6028"/>
      <c r="B6028"/>
      <c r="C6028"/>
      <c r="D6028"/>
    </row>
    <row r="6029" spans="1:4" x14ac:dyDescent="0.2">
      <c r="A6029"/>
      <c r="B6029"/>
      <c r="C6029"/>
      <c r="D6029"/>
    </row>
    <row r="6030" spans="1:4" x14ac:dyDescent="0.2">
      <c r="A6030"/>
      <c r="B6030"/>
      <c r="C6030"/>
      <c r="D6030"/>
    </row>
    <row r="6031" spans="1:4" x14ac:dyDescent="0.2">
      <c r="A6031"/>
      <c r="B6031"/>
      <c r="C6031"/>
      <c r="D6031"/>
    </row>
    <row r="6032" spans="1:4" x14ac:dyDescent="0.2">
      <c r="A6032"/>
      <c r="B6032"/>
      <c r="C6032"/>
      <c r="D6032"/>
    </row>
    <row r="6033" spans="1:4" x14ac:dyDescent="0.2">
      <c r="A6033"/>
      <c r="B6033"/>
      <c r="C6033"/>
      <c r="D6033"/>
    </row>
    <row r="6034" spans="1:4" x14ac:dyDescent="0.2">
      <c r="A6034"/>
      <c r="B6034"/>
      <c r="C6034"/>
      <c r="D6034"/>
    </row>
    <row r="6035" spans="1:4" x14ac:dyDescent="0.2">
      <c r="A6035"/>
      <c r="B6035"/>
      <c r="C6035"/>
      <c r="D6035"/>
    </row>
    <row r="6036" spans="1:4" x14ac:dyDescent="0.2">
      <c r="A6036"/>
      <c r="B6036"/>
      <c r="C6036"/>
      <c r="D6036"/>
    </row>
    <row r="6037" spans="1:4" x14ac:dyDescent="0.2">
      <c r="A6037"/>
      <c r="B6037"/>
      <c r="C6037"/>
      <c r="D6037"/>
    </row>
    <row r="6038" spans="1:4" x14ac:dyDescent="0.2">
      <c r="A6038"/>
      <c r="B6038"/>
      <c r="C6038"/>
      <c r="D6038"/>
    </row>
    <row r="6039" spans="1:4" x14ac:dyDescent="0.2">
      <c r="A6039"/>
      <c r="B6039"/>
      <c r="C6039"/>
      <c r="D6039"/>
    </row>
    <row r="6040" spans="1:4" x14ac:dyDescent="0.2">
      <c r="A6040"/>
      <c r="B6040"/>
      <c r="C6040"/>
      <c r="D6040"/>
    </row>
    <row r="6041" spans="1:4" x14ac:dyDescent="0.2">
      <c r="A6041"/>
      <c r="B6041"/>
      <c r="C6041"/>
      <c r="D6041"/>
    </row>
    <row r="6042" spans="1:4" x14ac:dyDescent="0.2">
      <c r="A6042"/>
      <c r="B6042"/>
      <c r="C6042"/>
      <c r="D6042"/>
    </row>
    <row r="6043" spans="1:4" x14ac:dyDescent="0.2">
      <c r="A6043"/>
      <c r="B6043"/>
      <c r="C6043"/>
      <c r="D6043"/>
    </row>
    <row r="6044" spans="1:4" x14ac:dyDescent="0.2">
      <c r="A6044"/>
      <c r="B6044"/>
      <c r="C6044"/>
      <c r="D6044"/>
    </row>
    <row r="6045" spans="1:4" x14ac:dyDescent="0.2">
      <c r="A6045"/>
      <c r="B6045"/>
      <c r="C6045"/>
      <c r="D6045"/>
    </row>
    <row r="6046" spans="1:4" x14ac:dyDescent="0.2">
      <c r="A6046"/>
      <c r="B6046"/>
      <c r="C6046"/>
      <c r="D6046"/>
    </row>
    <row r="6047" spans="1:4" x14ac:dyDescent="0.2">
      <c r="A6047"/>
      <c r="B6047"/>
      <c r="C6047"/>
      <c r="D6047"/>
    </row>
    <row r="6048" spans="1:4" x14ac:dyDescent="0.2">
      <c r="A6048"/>
      <c r="B6048"/>
      <c r="C6048"/>
      <c r="D6048"/>
    </row>
    <row r="6049" spans="1:4" x14ac:dyDescent="0.2">
      <c r="A6049"/>
      <c r="B6049"/>
      <c r="C6049"/>
      <c r="D6049"/>
    </row>
    <row r="6050" spans="1:4" x14ac:dyDescent="0.2">
      <c r="A6050"/>
      <c r="B6050"/>
      <c r="C6050"/>
      <c r="D6050"/>
    </row>
    <row r="6051" spans="1:4" x14ac:dyDescent="0.2">
      <c r="A6051"/>
      <c r="B6051"/>
      <c r="C6051"/>
      <c r="D6051"/>
    </row>
    <row r="6052" spans="1:4" x14ac:dyDescent="0.2">
      <c r="A6052"/>
      <c r="B6052"/>
      <c r="C6052"/>
      <c r="D6052"/>
    </row>
    <row r="6053" spans="1:4" x14ac:dyDescent="0.2">
      <c r="A6053"/>
      <c r="B6053"/>
      <c r="C6053"/>
      <c r="D6053"/>
    </row>
    <row r="6054" spans="1:4" x14ac:dyDescent="0.2">
      <c r="A6054"/>
      <c r="B6054"/>
      <c r="C6054"/>
      <c r="D6054"/>
    </row>
    <row r="6055" spans="1:4" x14ac:dyDescent="0.2">
      <c r="A6055"/>
      <c r="B6055"/>
      <c r="C6055"/>
      <c r="D6055"/>
    </row>
    <row r="6056" spans="1:4" x14ac:dyDescent="0.2">
      <c r="A6056"/>
      <c r="B6056"/>
      <c r="C6056"/>
      <c r="D6056"/>
    </row>
    <row r="6057" spans="1:4" x14ac:dyDescent="0.2">
      <c r="A6057"/>
      <c r="B6057"/>
      <c r="C6057"/>
      <c r="D6057"/>
    </row>
    <row r="6058" spans="1:4" x14ac:dyDescent="0.2">
      <c r="A6058"/>
      <c r="B6058"/>
      <c r="C6058"/>
      <c r="D6058"/>
    </row>
    <row r="6059" spans="1:4" x14ac:dyDescent="0.2">
      <c r="A6059"/>
      <c r="B6059"/>
      <c r="C6059"/>
      <c r="D6059"/>
    </row>
    <row r="6060" spans="1:4" x14ac:dyDescent="0.2">
      <c r="A6060"/>
      <c r="B6060"/>
      <c r="C6060"/>
      <c r="D6060"/>
    </row>
    <row r="6061" spans="1:4" x14ac:dyDescent="0.2">
      <c r="A6061"/>
      <c r="B6061"/>
      <c r="C6061"/>
      <c r="D6061"/>
    </row>
    <row r="6062" spans="1:4" x14ac:dyDescent="0.2">
      <c r="A6062"/>
      <c r="B6062"/>
      <c r="C6062"/>
      <c r="D6062"/>
    </row>
    <row r="6063" spans="1:4" x14ac:dyDescent="0.2">
      <c r="A6063"/>
      <c r="B6063"/>
      <c r="C6063"/>
      <c r="D6063"/>
    </row>
    <row r="6064" spans="1:4" x14ac:dyDescent="0.2">
      <c r="A6064"/>
      <c r="B6064"/>
      <c r="C6064"/>
      <c r="D6064"/>
    </row>
    <row r="6065" spans="1:4" x14ac:dyDescent="0.2">
      <c r="A6065"/>
      <c r="B6065"/>
      <c r="C6065"/>
      <c r="D6065"/>
    </row>
    <row r="6066" spans="1:4" x14ac:dyDescent="0.2">
      <c r="A6066"/>
      <c r="B6066"/>
      <c r="C6066"/>
      <c r="D6066"/>
    </row>
    <row r="6067" spans="1:4" x14ac:dyDescent="0.2">
      <c r="A6067"/>
      <c r="B6067"/>
      <c r="C6067"/>
      <c r="D6067"/>
    </row>
    <row r="6068" spans="1:4" x14ac:dyDescent="0.2">
      <c r="A6068"/>
      <c r="B6068"/>
      <c r="C6068"/>
      <c r="D6068"/>
    </row>
    <row r="6069" spans="1:4" x14ac:dyDescent="0.2">
      <c r="A6069"/>
      <c r="B6069"/>
      <c r="C6069"/>
      <c r="D6069"/>
    </row>
    <row r="6070" spans="1:4" x14ac:dyDescent="0.2">
      <c r="A6070"/>
      <c r="B6070"/>
      <c r="C6070"/>
      <c r="D6070"/>
    </row>
    <row r="6071" spans="1:4" x14ac:dyDescent="0.2">
      <c r="A6071"/>
      <c r="B6071"/>
      <c r="C6071"/>
      <c r="D6071"/>
    </row>
    <row r="6072" spans="1:4" x14ac:dyDescent="0.2">
      <c r="A6072"/>
      <c r="B6072"/>
      <c r="C6072"/>
      <c r="D6072"/>
    </row>
    <row r="6073" spans="1:4" x14ac:dyDescent="0.2">
      <c r="A6073"/>
      <c r="B6073"/>
      <c r="C6073"/>
      <c r="D6073"/>
    </row>
    <row r="6074" spans="1:4" x14ac:dyDescent="0.2">
      <c r="A6074"/>
      <c r="B6074"/>
      <c r="C6074"/>
      <c r="D6074"/>
    </row>
    <row r="6075" spans="1:4" x14ac:dyDescent="0.2">
      <c r="A6075"/>
      <c r="B6075"/>
      <c r="C6075"/>
      <c r="D6075"/>
    </row>
    <row r="6076" spans="1:4" x14ac:dyDescent="0.2">
      <c r="A6076"/>
      <c r="B6076"/>
      <c r="C6076"/>
      <c r="D6076"/>
    </row>
    <row r="6077" spans="1:4" x14ac:dyDescent="0.2">
      <c r="A6077"/>
      <c r="B6077"/>
      <c r="C6077"/>
      <c r="D6077"/>
    </row>
    <row r="6078" spans="1:4" x14ac:dyDescent="0.2">
      <c r="A6078"/>
      <c r="B6078"/>
      <c r="C6078"/>
      <c r="D6078"/>
    </row>
    <row r="6079" spans="1:4" x14ac:dyDescent="0.2">
      <c r="A6079"/>
      <c r="B6079"/>
      <c r="C6079"/>
      <c r="D6079"/>
    </row>
    <row r="6080" spans="1:4" x14ac:dyDescent="0.2">
      <c r="A6080"/>
      <c r="B6080"/>
      <c r="C6080"/>
      <c r="D6080"/>
    </row>
    <row r="6081" spans="1:4" x14ac:dyDescent="0.2">
      <c r="A6081"/>
      <c r="B6081"/>
      <c r="C6081"/>
      <c r="D6081"/>
    </row>
    <row r="6082" spans="1:4" x14ac:dyDescent="0.2">
      <c r="A6082"/>
      <c r="B6082"/>
      <c r="C6082"/>
      <c r="D6082"/>
    </row>
    <row r="6083" spans="1:4" x14ac:dyDescent="0.2">
      <c r="A6083"/>
      <c r="B6083"/>
      <c r="C6083"/>
      <c r="D6083"/>
    </row>
    <row r="6084" spans="1:4" x14ac:dyDescent="0.2">
      <c r="A6084"/>
      <c r="B6084"/>
      <c r="C6084"/>
      <c r="D6084"/>
    </row>
    <row r="6085" spans="1:4" x14ac:dyDescent="0.2">
      <c r="A6085"/>
      <c r="B6085"/>
      <c r="C6085"/>
      <c r="D6085"/>
    </row>
    <row r="6086" spans="1:4" x14ac:dyDescent="0.2">
      <c r="A6086"/>
      <c r="B6086"/>
      <c r="C6086"/>
      <c r="D6086"/>
    </row>
    <row r="6087" spans="1:4" x14ac:dyDescent="0.2">
      <c r="A6087"/>
      <c r="B6087"/>
      <c r="C6087"/>
      <c r="D6087"/>
    </row>
    <row r="6088" spans="1:4" x14ac:dyDescent="0.2">
      <c r="A6088"/>
      <c r="B6088"/>
      <c r="C6088"/>
      <c r="D6088"/>
    </row>
    <row r="6089" spans="1:4" x14ac:dyDescent="0.2">
      <c r="A6089"/>
      <c r="B6089"/>
      <c r="C6089"/>
      <c r="D6089"/>
    </row>
    <row r="6090" spans="1:4" x14ac:dyDescent="0.2">
      <c r="A6090"/>
      <c r="B6090"/>
      <c r="C6090"/>
      <c r="D6090"/>
    </row>
    <row r="6091" spans="1:4" x14ac:dyDescent="0.2">
      <c r="A6091"/>
      <c r="B6091"/>
      <c r="C6091"/>
      <c r="D6091"/>
    </row>
    <row r="6092" spans="1:4" x14ac:dyDescent="0.2">
      <c r="A6092"/>
      <c r="B6092"/>
      <c r="C6092"/>
      <c r="D6092"/>
    </row>
    <row r="6093" spans="1:4" x14ac:dyDescent="0.2">
      <c r="A6093"/>
      <c r="B6093"/>
      <c r="C6093"/>
      <c r="D6093"/>
    </row>
    <row r="6094" spans="1:4" x14ac:dyDescent="0.2">
      <c r="A6094"/>
      <c r="B6094"/>
      <c r="C6094"/>
      <c r="D6094"/>
    </row>
    <row r="6095" spans="1:4" x14ac:dyDescent="0.2">
      <c r="A6095"/>
      <c r="B6095"/>
      <c r="C6095"/>
      <c r="D6095"/>
    </row>
    <row r="6096" spans="1:4" x14ac:dyDescent="0.2">
      <c r="A6096"/>
      <c r="B6096"/>
      <c r="C6096"/>
      <c r="D6096"/>
    </row>
    <row r="6097" spans="1:4" x14ac:dyDescent="0.2">
      <c r="A6097"/>
      <c r="B6097"/>
      <c r="C6097"/>
      <c r="D6097"/>
    </row>
    <row r="6098" spans="1:4" x14ac:dyDescent="0.2">
      <c r="A6098"/>
      <c r="B6098"/>
      <c r="C6098"/>
      <c r="D6098"/>
    </row>
    <row r="6099" spans="1:4" x14ac:dyDescent="0.2">
      <c r="A6099"/>
      <c r="B6099"/>
      <c r="C6099"/>
      <c r="D6099"/>
    </row>
    <row r="6100" spans="1:4" x14ac:dyDescent="0.2">
      <c r="A6100"/>
      <c r="B6100"/>
      <c r="C6100"/>
      <c r="D6100"/>
    </row>
    <row r="6101" spans="1:4" x14ac:dyDescent="0.2">
      <c r="A6101"/>
      <c r="B6101"/>
      <c r="C6101"/>
      <c r="D6101"/>
    </row>
    <row r="6102" spans="1:4" x14ac:dyDescent="0.2">
      <c r="A6102"/>
      <c r="B6102"/>
      <c r="C6102"/>
      <c r="D6102"/>
    </row>
    <row r="6103" spans="1:4" x14ac:dyDescent="0.2">
      <c r="A6103"/>
      <c r="B6103"/>
      <c r="C6103"/>
      <c r="D6103"/>
    </row>
    <row r="6104" spans="1:4" x14ac:dyDescent="0.2">
      <c r="A6104"/>
      <c r="B6104"/>
      <c r="C6104"/>
      <c r="D6104"/>
    </row>
    <row r="6105" spans="1:4" x14ac:dyDescent="0.2">
      <c r="A6105"/>
      <c r="B6105"/>
      <c r="C6105"/>
      <c r="D6105"/>
    </row>
    <row r="6106" spans="1:4" x14ac:dyDescent="0.2">
      <c r="A6106"/>
      <c r="B6106"/>
      <c r="C6106"/>
      <c r="D6106"/>
    </row>
    <row r="6107" spans="1:4" x14ac:dyDescent="0.2">
      <c r="A6107"/>
      <c r="B6107"/>
      <c r="C6107"/>
      <c r="D6107"/>
    </row>
    <row r="6108" spans="1:4" x14ac:dyDescent="0.2">
      <c r="A6108"/>
      <c r="B6108"/>
      <c r="C6108"/>
      <c r="D6108"/>
    </row>
    <row r="6109" spans="1:4" x14ac:dyDescent="0.2">
      <c r="A6109"/>
      <c r="B6109"/>
      <c r="C6109"/>
      <c r="D6109"/>
    </row>
    <row r="6110" spans="1:4" x14ac:dyDescent="0.2">
      <c r="A6110"/>
      <c r="B6110"/>
      <c r="C6110"/>
      <c r="D6110"/>
    </row>
    <row r="6111" spans="1:4" x14ac:dyDescent="0.2">
      <c r="A6111"/>
      <c r="B6111"/>
      <c r="C6111"/>
      <c r="D6111"/>
    </row>
    <row r="6112" spans="1:4" x14ac:dyDescent="0.2">
      <c r="A6112"/>
      <c r="B6112"/>
      <c r="C6112"/>
      <c r="D6112"/>
    </row>
    <row r="6113" spans="1:4" x14ac:dyDescent="0.2">
      <c r="A6113"/>
      <c r="B6113"/>
      <c r="C6113"/>
      <c r="D6113"/>
    </row>
    <row r="6114" spans="1:4" x14ac:dyDescent="0.2">
      <c r="A6114"/>
      <c r="B6114"/>
      <c r="C6114"/>
      <c r="D6114"/>
    </row>
    <row r="6115" spans="1:4" x14ac:dyDescent="0.2">
      <c r="A6115"/>
      <c r="B6115"/>
      <c r="C6115"/>
      <c r="D6115"/>
    </row>
    <row r="6116" spans="1:4" x14ac:dyDescent="0.2">
      <c r="A6116"/>
      <c r="B6116"/>
      <c r="C6116"/>
      <c r="D6116"/>
    </row>
    <row r="6117" spans="1:4" x14ac:dyDescent="0.2">
      <c r="A6117"/>
      <c r="B6117"/>
      <c r="C6117"/>
      <c r="D6117"/>
    </row>
    <row r="6118" spans="1:4" x14ac:dyDescent="0.2">
      <c r="A6118"/>
      <c r="B6118"/>
      <c r="C6118"/>
      <c r="D6118"/>
    </row>
    <row r="6119" spans="1:4" x14ac:dyDescent="0.2">
      <c r="A6119"/>
      <c r="B6119"/>
      <c r="C6119"/>
      <c r="D6119"/>
    </row>
    <row r="6120" spans="1:4" x14ac:dyDescent="0.2">
      <c r="A6120"/>
      <c r="B6120"/>
      <c r="C6120"/>
      <c r="D6120"/>
    </row>
    <row r="6121" spans="1:4" x14ac:dyDescent="0.2">
      <c r="A6121"/>
      <c r="B6121"/>
      <c r="C6121"/>
      <c r="D6121"/>
    </row>
    <row r="6122" spans="1:4" x14ac:dyDescent="0.2">
      <c r="A6122"/>
      <c r="B6122"/>
      <c r="C6122"/>
      <c r="D6122"/>
    </row>
    <row r="6123" spans="1:4" x14ac:dyDescent="0.2">
      <c r="A6123"/>
      <c r="B6123"/>
      <c r="C6123"/>
      <c r="D6123"/>
    </row>
    <row r="6124" spans="1:4" x14ac:dyDescent="0.2">
      <c r="A6124"/>
      <c r="B6124"/>
      <c r="C6124"/>
      <c r="D6124"/>
    </row>
    <row r="6125" spans="1:4" x14ac:dyDescent="0.2">
      <c r="A6125"/>
      <c r="B6125"/>
      <c r="C6125"/>
      <c r="D6125"/>
    </row>
    <row r="6126" spans="1:4" x14ac:dyDescent="0.2">
      <c r="A6126"/>
      <c r="B6126"/>
      <c r="C6126"/>
      <c r="D6126"/>
    </row>
    <row r="6127" spans="1:4" x14ac:dyDescent="0.2">
      <c r="A6127"/>
      <c r="B6127"/>
      <c r="C6127"/>
      <c r="D6127"/>
    </row>
    <row r="6128" spans="1:4" x14ac:dyDescent="0.2">
      <c r="A6128"/>
      <c r="B6128"/>
      <c r="C6128"/>
      <c r="D6128"/>
    </row>
    <row r="6129" spans="1:4" x14ac:dyDescent="0.2">
      <c r="A6129"/>
      <c r="B6129"/>
      <c r="C6129"/>
      <c r="D6129"/>
    </row>
    <row r="6130" spans="1:4" x14ac:dyDescent="0.2">
      <c r="A6130"/>
      <c r="B6130"/>
      <c r="C6130"/>
      <c r="D6130"/>
    </row>
    <row r="6131" spans="1:4" x14ac:dyDescent="0.2">
      <c r="A6131"/>
      <c r="B6131"/>
      <c r="C6131"/>
      <c r="D6131"/>
    </row>
    <row r="6132" spans="1:4" x14ac:dyDescent="0.2">
      <c r="A6132"/>
      <c r="B6132"/>
      <c r="C6132"/>
      <c r="D6132"/>
    </row>
    <row r="6133" spans="1:4" x14ac:dyDescent="0.2">
      <c r="A6133"/>
      <c r="B6133"/>
      <c r="C6133"/>
      <c r="D6133"/>
    </row>
    <row r="6134" spans="1:4" x14ac:dyDescent="0.2">
      <c r="A6134"/>
      <c r="B6134"/>
      <c r="C6134"/>
      <c r="D6134"/>
    </row>
    <row r="6135" spans="1:4" x14ac:dyDescent="0.2">
      <c r="A6135"/>
      <c r="B6135"/>
      <c r="C6135"/>
      <c r="D6135"/>
    </row>
    <row r="6136" spans="1:4" x14ac:dyDescent="0.2">
      <c r="A6136"/>
      <c r="B6136"/>
      <c r="C6136"/>
      <c r="D6136"/>
    </row>
    <row r="6137" spans="1:4" x14ac:dyDescent="0.2">
      <c r="A6137"/>
      <c r="B6137"/>
      <c r="C6137"/>
      <c r="D6137"/>
    </row>
    <row r="6138" spans="1:4" x14ac:dyDescent="0.2">
      <c r="A6138"/>
      <c r="B6138"/>
      <c r="C6138"/>
      <c r="D6138"/>
    </row>
    <row r="6139" spans="1:4" x14ac:dyDescent="0.2">
      <c r="A6139"/>
      <c r="B6139"/>
      <c r="C6139"/>
      <c r="D6139"/>
    </row>
    <row r="6140" spans="1:4" x14ac:dyDescent="0.2">
      <c r="A6140"/>
      <c r="B6140"/>
      <c r="C6140"/>
      <c r="D6140"/>
    </row>
    <row r="6141" spans="1:4" x14ac:dyDescent="0.2">
      <c r="A6141"/>
      <c r="B6141"/>
      <c r="C6141"/>
      <c r="D6141"/>
    </row>
    <row r="6142" spans="1:4" x14ac:dyDescent="0.2">
      <c r="A6142"/>
      <c r="B6142"/>
      <c r="C6142"/>
      <c r="D6142"/>
    </row>
    <row r="6143" spans="1:4" x14ac:dyDescent="0.2">
      <c r="A6143"/>
      <c r="B6143"/>
      <c r="C6143"/>
      <c r="D6143"/>
    </row>
    <row r="6144" spans="1:4" x14ac:dyDescent="0.2">
      <c r="A6144"/>
      <c r="B6144"/>
      <c r="C6144"/>
      <c r="D6144"/>
    </row>
    <row r="6145" spans="1:4" x14ac:dyDescent="0.2">
      <c r="A6145"/>
      <c r="B6145"/>
      <c r="C6145"/>
      <c r="D6145"/>
    </row>
    <row r="6146" spans="1:4" x14ac:dyDescent="0.2">
      <c r="A6146"/>
      <c r="B6146"/>
      <c r="C6146"/>
      <c r="D6146"/>
    </row>
    <row r="6147" spans="1:4" x14ac:dyDescent="0.2">
      <c r="A6147"/>
      <c r="B6147"/>
      <c r="C6147"/>
      <c r="D6147"/>
    </row>
    <row r="6148" spans="1:4" x14ac:dyDescent="0.2">
      <c r="A6148"/>
      <c r="B6148"/>
      <c r="C6148"/>
      <c r="D6148"/>
    </row>
    <row r="6149" spans="1:4" x14ac:dyDescent="0.2">
      <c r="A6149"/>
      <c r="B6149"/>
      <c r="C6149"/>
      <c r="D6149"/>
    </row>
    <row r="6150" spans="1:4" x14ac:dyDescent="0.2">
      <c r="A6150"/>
      <c r="B6150"/>
      <c r="C6150"/>
      <c r="D6150"/>
    </row>
    <row r="6151" spans="1:4" x14ac:dyDescent="0.2">
      <c r="A6151"/>
      <c r="B6151"/>
      <c r="C6151"/>
      <c r="D6151"/>
    </row>
    <row r="6152" spans="1:4" x14ac:dyDescent="0.2">
      <c r="A6152"/>
      <c r="B6152"/>
      <c r="C6152"/>
      <c r="D6152"/>
    </row>
    <row r="6153" spans="1:4" x14ac:dyDescent="0.2">
      <c r="A6153"/>
      <c r="B6153"/>
      <c r="C6153"/>
      <c r="D6153"/>
    </row>
    <row r="6154" spans="1:4" x14ac:dyDescent="0.2">
      <c r="A6154"/>
      <c r="B6154"/>
      <c r="C6154"/>
      <c r="D6154"/>
    </row>
    <row r="6155" spans="1:4" x14ac:dyDescent="0.2">
      <c r="A6155"/>
      <c r="B6155"/>
      <c r="C6155"/>
      <c r="D6155"/>
    </row>
    <row r="6156" spans="1:4" x14ac:dyDescent="0.2">
      <c r="A6156"/>
      <c r="B6156"/>
      <c r="C6156"/>
      <c r="D6156"/>
    </row>
    <row r="6157" spans="1:4" x14ac:dyDescent="0.2">
      <c r="A6157"/>
      <c r="B6157"/>
      <c r="C6157"/>
      <c r="D6157"/>
    </row>
    <row r="6158" spans="1:4" x14ac:dyDescent="0.2">
      <c r="A6158"/>
      <c r="B6158"/>
      <c r="C6158"/>
      <c r="D6158"/>
    </row>
    <row r="6159" spans="1:4" x14ac:dyDescent="0.2">
      <c r="A6159"/>
      <c r="B6159"/>
      <c r="C6159"/>
      <c r="D6159"/>
    </row>
    <row r="6160" spans="1:4" x14ac:dyDescent="0.2">
      <c r="A6160"/>
      <c r="B6160"/>
      <c r="C6160"/>
      <c r="D6160"/>
    </row>
    <row r="6161" spans="1:4" x14ac:dyDescent="0.2">
      <c r="A6161"/>
      <c r="B6161"/>
      <c r="C6161"/>
      <c r="D6161"/>
    </row>
    <row r="6162" spans="1:4" x14ac:dyDescent="0.2">
      <c r="A6162"/>
      <c r="B6162"/>
      <c r="C6162"/>
      <c r="D6162"/>
    </row>
    <row r="6163" spans="1:4" x14ac:dyDescent="0.2">
      <c r="A6163"/>
      <c r="B6163"/>
      <c r="C6163"/>
      <c r="D6163"/>
    </row>
    <row r="6164" spans="1:4" x14ac:dyDescent="0.2">
      <c r="A6164"/>
      <c r="B6164"/>
      <c r="C6164"/>
      <c r="D6164"/>
    </row>
    <row r="6165" spans="1:4" x14ac:dyDescent="0.2">
      <c r="A6165"/>
      <c r="B6165"/>
      <c r="C6165"/>
      <c r="D6165"/>
    </row>
    <row r="6166" spans="1:4" x14ac:dyDescent="0.2">
      <c r="A6166"/>
      <c r="B6166"/>
      <c r="C6166"/>
      <c r="D6166"/>
    </row>
    <row r="6167" spans="1:4" x14ac:dyDescent="0.2">
      <c r="A6167"/>
      <c r="B6167"/>
      <c r="C6167"/>
      <c r="D6167"/>
    </row>
    <row r="6168" spans="1:4" x14ac:dyDescent="0.2">
      <c r="A6168"/>
      <c r="B6168"/>
      <c r="C6168"/>
      <c r="D6168"/>
    </row>
    <row r="6169" spans="1:4" x14ac:dyDescent="0.2">
      <c r="A6169"/>
      <c r="B6169"/>
      <c r="C6169"/>
      <c r="D6169"/>
    </row>
    <row r="6170" spans="1:4" x14ac:dyDescent="0.2">
      <c r="A6170"/>
      <c r="B6170"/>
      <c r="C6170"/>
      <c r="D6170"/>
    </row>
    <row r="6171" spans="1:4" x14ac:dyDescent="0.2">
      <c r="A6171"/>
      <c r="B6171"/>
      <c r="C6171"/>
      <c r="D6171"/>
    </row>
    <row r="6172" spans="1:4" x14ac:dyDescent="0.2">
      <c r="A6172"/>
      <c r="B6172"/>
      <c r="C6172"/>
      <c r="D6172"/>
    </row>
    <row r="6173" spans="1:4" x14ac:dyDescent="0.2">
      <c r="A6173"/>
      <c r="B6173"/>
      <c r="C6173"/>
      <c r="D6173"/>
    </row>
    <row r="6174" spans="1:4" x14ac:dyDescent="0.2">
      <c r="A6174"/>
      <c r="B6174"/>
      <c r="C6174"/>
      <c r="D6174"/>
    </row>
    <row r="6175" spans="1:4" x14ac:dyDescent="0.2">
      <c r="A6175"/>
      <c r="B6175"/>
      <c r="C6175"/>
      <c r="D6175"/>
    </row>
    <row r="6176" spans="1:4" x14ac:dyDescent="0.2">
      <c r="A6176"/>
      <c r="B6176"/>
      <c r="C6176"/>
      <c r="D6176"/>
    </row>
    <row r="6177" spans="1:4" x14ac:dyDescent="0.2">
      <c r="A6177"/>
      <c r="B6177"/>
      <c r="C6177"/>
      <c r="D6177"/>
    </row>
    <row r="6178" spans="1:4" x14ac:dyDescent="0.2">
      <c r="A6178"/>
      <c r="B6178"/>
      <c r="C6178"/>
      <c r="D6178"/>
    </row>
    <row r="6179" spans="1:4" x14ac:dyDescent="0.2">
      <c r="A6179"/>
      <c r="B6179"/>
      <c r="C6179"/>
      <c r="D6179"/>
    </row>
    <row r="6180" spans="1:4" x14ac:dyDescent="0.2">
      <c r="A6180"/>
      <c r="B6180"/>
      <c r="C6180"/>
      <c r="D6180"/>
    </row>
    <row r="6181" spans="1:4" x14ac:dyDescent="0.2">
      <c r="A6181"/>
      <c r="B6181"/>
      <c r="C6181"/>
      <c r="D6181"/>
    </row>
    <row r="6182" spans="1:4" x14ac:dyDescent="0.2">
      <c r="A6182"/>
      <c r="B6182"/>
      <c r="C6182"/>
      <c r="D6182"/>
    </row>
    <row r="6183" spans="1:4" x14ac:dyDescent="0.2">
      <c r="A6183"/>
      <c r="B6183"/>
      <c r="C6183"/>
      <c r="D6183"/>
    </row>
    <row r="6184" spans="1:4" x14ac:dyDescent="0.2">
      <c r="A6184"/>
      <c r="B6184"/>
      <c r="C6184"/>
      <c r="D6184"/>
    </row>
    <row r="6185" spans="1:4" x14ac:dyDescent="0.2">
      <c r="A6185"/>
      <c r="B6185"/>
      <c r="C6185"/>
      <c r="D6185"/>
    </row>
    <row r="6186" spans="1:4" x14ac:dyDescent="0.2">
      <c r="A6186"/>
      <c r="B6186"/>
      <c r="C6186"/>
      <c r="D6186"/>
    </row>
    <row r="6187" spans="1:4" x14ac:dyDescent="0.2">
      <c r="A6187"/>
      <c r="B6187"/>
      <c r="C6187"/>
      <c r="D6187"/>
    </row>
    <row r="6188" spans="1:4" x14ac:dyDescent="0.2">
      <c r="A6188"/>
      <c r="B6188"/>
      <c r="C6188"/>
      <c r="D6188"/>
    </row>
    <row r="6189" spans="1:4" x14ac:dyDescent="0.2">
      <c r="A6189"/>
      <c r="B6189"/>
      <c r="C6189"/>
      <c r="D6189"/>
    </row>
    <row r="6190" spans="1:4" x14ac:dyDescent="0.2">
      <c r="A6190"/>
      <c r="B6190"/>
      <c r="C6190"/>
      <c r="D6190"/>
    </row>
    <row r="6191" spans="1:4" x14ac:dyDescent="0.2">
      <c r="A6191"/>
      <c r="B6191"/>
      <c r="C6191"/>
      <c r="D6191"/>
    </row>
    <row r="6192" spans="1:4" x14ac:dyDescent="0.2">
      <c r="A6192"/>
      <c r="B6192"/>
      <c r="C6192"/>
      <c r="D6192"/>
    </row>
    <row r="6193" spans="1:4" x14ac:dyDescent="0.2">
      <c r="A6193"/>
      <c r="B6193"/>
      <c r="C6193"/>
      <c r="D6193"/>
    </row>
    <row r="6194" spans="1:4" x14ac:dyDescent="0.2">
      <c r="A6194"/>
      <c r="B6194"/>
      <c r="C6194"/>
      <c r="D6194"/>
    </row>
    <row r="6195" spans="1:4" x14ac:dyDescent="0.2">
      <c r="A6195"/>
      <c r="B6195"/>
      <c r="C6195"/>
      <c r="D6195"/>
    </row>
    <row r="6196" spans="1:4" x14ac:dyDescent="0.2">
      <c r="A6196"/>
      <c r="B6196"/>
      <c r="C6196"/>
      <c r="D6196"/>
    </row>
    <row r="6197" spans="1:4" x14ac:dyDescent="0.2">
      <c r="A6197"/>
      <c r="B6197"/>
      <c r="C6197"/>
      <c r="D6197"/>
    </row>
    <row r="6198" spans="1:4" x14ac:dyDescent="0.2">
      <c r="A6198"/>
      <c r="B6198"/>
      <c r="C6198"/>
      <c r="D6198"/>
    </row>
    <row r="6199" spans="1:4" x14ac:dyDescent="0.2">
      <c r="A6199"/>
      <c r="B6199"/>
      <c r="C6199"/>
      <c r="D6199"/>
    </row>
    <row r="6200" spans="1:4" x14ac:dyDescent="0.2">
      <c r="A6200"/>
      <c r="B6200"/>
      <c r="C6200"/>
      <c r="D6200"/>
    </row>
    <row r="6201" spans="1:4" x14ac:dyDescent="0.2">
      <c r="A6201"/>
      <c r="B6201"/>
      <c r="C6201"/>
      <c r="D6201"/>
    </row>
    <row r="6202" spans="1:4" x14ac:dyDescent="0.2">
      <c r="A6202"/>
      <c r="B6202"/>
      <c r="C6202"/>
      <c r="D6202"/>
    </row>
    <row r="6203" spans="1:4" x14ac:dyDescent="0.2">
      <c r="A6203"/>
      <c r="B6203"/>
      <c r="C6203"/>
      <c r="D6203"/>
    </row>
    <row r="6204" spans="1:4" x14ac:dyDescent="0.2">
      <c r="A6204"/>
      <c r="B6204"/>
      <c r="C6204"/>
      <c r="D6204"/>
    </row>
    <row r="6205" spans="1:4" x14ac:dyDescent="0.2">
      <c r="A6205"/>
      <c r="B6205"/>
      <c r="C6205"/>
      <c r="D6205"/>
    </row>
    <row r="6206" spans="1:4" x14ac:dyDescent="0.2">
      <c r="A6206"/>
      <c r="B6206"/>
      <c r="C6206"/>
      <c r="D6206"/>
    </row>
    <row r="6207" spans="1:4" x14ac:dyDescent="0.2">
      <c r="A6207"/>
      <c r="B6207"/>
      <c r="C6207"/>
      <c r="D6207"/>
    </row>
    <row r="6208" spans="1:4" x14ac:dyDescent="0.2">
      <c r="A6208"/>
      <c r="B6208"/>
      <c r="C6208"/>
      <c r="D6208"/>
    </row>
    <row r="6209" spans="1:4" x14ac:dyDescent="0.2">
      <c r="A6209"/>
      <c r="B6209"/>
      <c r="C6209"/>
      <c r="D6209"/>
    </row>
    <row r="6210" spans="1:4" x14ac:dyDescent="0.2">
      <c r="A6210"/>
      <c r="B6210"/>
      <c r="C6210"/>
      <c r="D6210"/>
    </row>
    <row r="6211" spans="1:4" x14ac:dyDescent="0.2">
      <c r="A6211"/>
      <c r="B6211"/>
      <c r="C6211"/>
      <c r="D6211"/>
    </row>
    <row r="6212" spans="1:4" x14ac:dyDescent="0.2">
      <c r="A6212"/>
      <c r="B6212"/>
      <c r="C6212"/>
      <c r="D6212"/>
    </row>
    <row r="6213" spans="1:4" x14ac:dyDescent="0.2">
      <c r="A6213"/>
      <c r="B6213"/>
      <c r="C6213"/>
      <c r="D6213"/>
    </row>
    <row r="6214" spans="1:4" x14ac:dyDescent="0.2">
      <c r="A6214"/>
      <c r="B6214"/>
      <c r="C6214"/>
      <c r="D6214"/>
    </row>
    <row r="6215" spans="1:4" x14ac:dyDescent="0.2">
      <c r="A6215"/>
      <c r="B6215"/>
      <c r="C6215"/>
      <c r="D6215"/>
    </row>
    <row r="6216" spans="1:4" x14ac:dyDescent="0.2">
      <c r="A6216"/>
      <c r="B6216"/>
      <c r="C6216"/>
      <c r="D6216"/>
    </row>
    <row r="6217" spans="1:4" x14ac:dyDescent="0.2">
      <c r="A6217"/>
      <c r="B6217"/>
      <c r="C6217"/>
      <c r="D6217"/>
    </row>
    <row r="6218" spans="1:4" x14ac:dyDescent="0.2">
      <c r="A6218"/>
      <c r="B6218"/>
      <c r="C6218"/>
      <c r="D6218"/>
    </row>
    <row r="6219" spans="1:4" x14ac:dyDescent="0.2">
      <c r="A6219"/>
      <c r="B6219"/>
      <c r="C6219"/>
      <c r="D6219"/>
    </row>
    <row r="6220" spans="1:4" x14ac:dyDescent="0.2">
      <c r="A6220"/>
      <c r="B6220"/>
      <c r="C6220"/>
      <c r="D6220"/>
    </row>
    <row r="6221" spans="1:4" x14ac:dyDescent="0.2">
      <c r="A6221"/>
      <c r="B6221"/>
      <c r="C6221"/>
      <c r="D6221"/>
    </row>
    <row r="6222" spans="1:4" x14ac:dyDescent="0.2">
      <c r="A6222"/>
      <c r="B6222"/>
      <c r="C6222"/>
      <c r="D6222"/>
    </row>
    <row r="6223" spans="1:4" x14ac:dyDescent="0.2">
      <c r="A6223"/>
      <c r="B6223"/>
      <c r="C6223"/>
      <c r="D6223"/>
    </row>
    <row r="6224" spans="1:4" x14ac:dyDescent="0.2">
      <c r="A6224"/>
      <c r="B6224"/>
      <c r="C6224"/>
      <c r="D6224"/>
    </row>
    <row r="6225" spans="1:4" x14ac:dyDescent="0.2">
      <c r="A6225"/>
      <c r="B6225"/>
      <c r="C6225"/>
      <c r="D6225"/>
    </row>
    <row r="6226" spans="1:4" x14ac:dyDescent="0.2">
      <c r="A6226"/>
      <c r="B6226"/>
      <c r="C6226"/>
      <c r="D6226"/>
    </row>
    <row r="6227" spans="1:4" x14ac:dyDescent="0.2">
      <c r="A6227"/>
      <c r="B6227"/>
      <c r="C6227"/>
      <c r="D6227"/>
    </row>
    <row r="6228" spans="1:4" x14ac:dyDescent="0.2">
      <c r="A6228"/>
      <c r="B6228"/>
      <c r="C6228"/>
      <c r="D6228"/>
    </row>
    <row r="6229" spans="1:4" x14ac:dyDescent="0.2">
      <c r="A6229"/>
      <c r="B6229"/>
      <c r="C6229"/>
      <c r="D6229"/>
    </row>
    <row r="6230" spans="1:4" x14ac:dyDescent="0.2">
      <c r="A6230"/>
      <c r="B6230"/>
      <c r="C6230"/>
      <c r="D6230"/>
    </row>
    <row r="6231" spans="1:4" x14ac:dyDescent="0.2">
      <c r="A6231"/>
      <c r="B6231"/>
      <c r="C6231"/>
      <c r="D6231"/>
    </row>
    <row r="6232" spans="1:4" x14ac:dyDescent="0.2">
      <c r="A6232"/>
      <c r="B6232"/>
      <c r="C6232"/>
      <c r="D6232"/>
    </row>
    <row r="6233" spans="1:4" x14ac:dyDescent="0.2">
      <c r="A6233"/>
      <c r="B6233"/>
      <c r="C6233"/>
      <c r="D6233"/>
    </row>
    <row r="6234" spans="1:4" x14ac:dyDescent="0.2">
      <c r="A6234"/>
      <c r="B6234"/>
      <c r="C6234"/>
      <c r="D6234"/>
    </row>
    <row r="6235" spans="1:4" x14ac:dyDescent="0.2">
      <c r="A6235"/>
      <c r="B6235"/>
      <c r="C6235"/>
      <c r="D6235"/>
    </row>
    <row r="6236" spans="1:4" x14ac:dyDescent="0.2">
      <c r="A6236"/>
      <c r="B6236"/>
      <c r="C6236"/>
      <c r="D6236"/>
    </row>
    <row r="6237" spans="1:4" x14ac:dyDescent="0.2">
      <c r="A6237"/>
      <c r="B6237"/>
      <c r="C6237"/>
      <c r="D6237"/>
    </row>
    <row r="6238" spans="1:4" x14ac:dyDescent="0.2">
      <c r="A6238"/>
      <c r="B6238"/>
      <c r="C6238"/>
      <c r="D6238"/>
    </row>
    <row r="6239" spans="1:4" x14ac:dyDescent="0.2">
      <c r="A6239"/>
      <c r="B6239"/>
      <c r="C6239"/>
      <c r="D6239"/>
    </row>
    <row r="6240" spans="1:4" x14ac:dyDescent="0.2">
      <c r="A6240"/>
      <c r="B6240"/>
      <c r="C6240"/>
      <c r="D6240"/>
    </row>
    <row r="6241" spans="1:4" x14ac:dyDescent="0.2">
      <c r="A6241"/>
      <c r="B6241"/>
      <c r="C6241"/>
      <c r="D6241"/>
    </row>
    <row r="6242" spans="1:4" x14ac:dyDescent="0.2">
      <c r="A6242"/>
      <c r="B6242"/>
      <c r="C6242"/>
      <c r="D6242"/>
    </row>
    <row r="6243" spans="1:4" x14ac:dyDescent="0.2">
      <c r="A6243"/>
      <c r="B6243"/>
      <c r="C6243"/>
      <c r="D6243"/>
    </row>
    <row r="6244" spans="1:4" x14ac:dyDescent="0.2">
      <c r="A6244"/>
      <c r="B6244"/>
      <c r="C6244"/>
      <c r="D6244"/>
    </row>
    <row r="6245" spans="1:4" x14ac:dyDescent="0.2">
      <c r="A6245"/>
      <c r="B6245"/>
      <c r="C6245"/>
      <c r="D6245"/>
    </row>
    <row r="6246" spans="1:4" x14ac:dyDescent="0.2">
      <c r="A6246"/>
      <c r="B6246"/>
      <c r="C6246"/>
      <c r="D6246"/>
    </row>
    <row r="6247" spans="1:4" x14ac:dyDescent="0.2">
      <c r="A6247"/>
      <c r="B6247"/>
      <c r="C6247"/>
      <c r="D6247"/>
    </row>
    <row r="6248" spans="1:4" x14ac:dyDescent="0.2">
      <c r="A6248"/>
      <c r="B6248"/>
      <c r="C6248"/>
      <c r="D6248"/>
    </row>
    <row r="6249" spans="1:4" x14ac:dyDescent="0.2">
      <c r="A6249"/>
      <c r="B6249"/>
      <c r="C6249"/>
      <c r="D6249"/>
    </row>
    <row r="6250" spans="1:4" x14ac:dyDescent="0.2">
      <c r="A6250"/>
      <c r="B6250"/>
      <c r="C6250"/>
      <c r="D6250"/>
    </row>
    <row r="6251" spans="1:4" x14ac:dyDescent="0.2">
      <c r="A6251"/>
      <c r="B6251"/>
      <c r="C6251"/>
      <c r="D6251"/>
    </row>
    <row r="6252" spans="1:4" x14ac:dyDescent="0.2">
      <c r="A6252"/>
      <c r="B6252"/>
      <c r="C6252"/>
      <c r="D6252"/>
    </row>
    <row r="6253" spans="1:4" x14ac:dyDescent="0.2">
      <c r="A6253"/>
      <c r="B6253"/>
      <c r="C6253"/>
      <c r="D6253"/>
    </row>
    <row r="6254" spans="1:4" x14ac:dyDescent="0.2">
      <c r="A6254"/>
      <c r="B6254"/>
      <c r="C6254"/>
      <c r="D6254"/>
    </row>
    <row r="6255" spans="1:4" x14ac:dyDescent="0.2">
      <c r="A6255"/>
      <c r="B6255"/>
      <c r="C6255"/>
      <c r="D6255"/>
    </row>
    <row r="6256" spans="1:4" x14ac:dyDescent="0.2">
      <c r="A6256"/>
      <c r="B6256"/>
      <c r="C6256"/>
      <c r="D6256"/>
    </row>
    <row r="6257" spans="1:4" x14ac:dyDescent="0.2">
      <c r="A6257"/>
      <c r="B6257"/>
      <c r="C6257"/>
      <c r="D6257"/>
    </row>
    <row r="6258" spans="1:4" x14ac:dyDescent="0.2">
      <c r="A6258"/>
      <c r="B6258"/>
      <c r="C6258"/>
      <c r="D6258"/>
    </row>
    <row r="6259" spans="1:4" x14ac:dyDescent="0.2">
      <c r="A6259"/>
      <c r="B6259"/>
      <c r="C6259"/>
      <c r="D6259"/>
    </row>
    <row r="6260" spans="1:4" x14ac:dyDescent="0.2">
      <c r="A6260"/>
      <c r="B6260"/>
      <c r="C6260"/>
      <c r="D6260"/>
    </row>
    <row r="6261" spans="1:4" x14ac:dyDescent="0.2">
      <c r="A6261"/>
      <c r="B6261"/>
      <c r="C6261"/>
      <c r="D6261"/>
    </row>
    <row r="6262" spans="1:4" x14ac:dyDescent="0.2">
      <c r="A6262"/>
      <c r="B6262"/>
      <c r="C6262"/>
      <c r="D6262"/>
    </row>
    <row r="6263" spans="1:4" x14ac:dyDescent="0.2">
      <c r="A6263"/>
      <c r="B6263"/>
      <c r="C6263"/>
      <c r="D6263"/>
    </row>
    <row r="6264" spans="1:4" x14ac:dyDescent="0.2">
      <c r="A6264"/>
      <c r="B6264"/>
      <c r="C6264"/>
      <c r="D6264"/>
    </row>
    <row r="6265" spans="1:4" x14ac:dyDescent="0.2">
      <c r="A6265"/>
      <c r="B6265"/>
      <c r="C6265"/>
      <c r="D6265"/>
    </row>
    <row r="6266" spans="1:4" x14ac:dyDescent="0.2">
      <c r="A6266"/>
      <c r="B6266"/>
      <c r="C6266"/>
      <c r="D6266"/>
    </row>
    <row r="6267" spans="1:4" x14ac:dyDescent="0.2">
      <c r="A6267"/>
      <c r="B6267"/>
      <c r="C6267"/>
      <c r="D6267"/>
    </row>
    <row r="6268" spans="1:4" x14ac:dyDescent="0.2">
      <c r="A6268"/>
      <c r="B6268"/>
      <c r="C6268"/>
      <c r="D6268"/>
    </row>
    <row r="6269" spans="1:4" x14ac:dyDescent="0.2">
      <c r="A6269"/>
      <c r="B6269"/>
      <c r="C6269"/>
      <c r="D6269"/>
    </row>
    <row r="6270" spans="1:4" x14ac:dyDescent="0.2">
      <c r="A6270"/>
      <c r="B6270"/>
      <c r="C6270"/>
      <c r="D6270"/>
    </row>
    <row r="6271" spans="1:4" x14ac:dyDescent="0.2">
      <c r="A6271"/>
      <c r="B6271"/>
      <c r="C6271"/>
      <c r="D6271"/>
    </row>
    <row r="6272" spans="1:4" x14ac:dyDescent="0.2">
      <c r="A6272"/>
      <c r="B6272"/>
      <c r="C6272"/>
      <c r="D6272"/>
    </row>
    <row r="6273" spans="1:4" x14ac:dyDescent="0.2">
      <c r="A6273"/>
      <c r="B6273"/>
      <c r="C6273"/>
      <c r="D6273"/>
    </row>
    <row r="6274" spans="1:4" x14ac:dyDescent="0.2">
      <c r="A6274"/>
      <c r="B6274"/>
      <c r="C6274"/>
      <c r="D6274"/>
    </row>
    <row r="6275" spans="1:4" x14ac:dyDescent="0.2">
      <c r="A6275"/>
      <c r="B6275"/>
      <c r="C6275"/>
      <c r="D6275"/>
    </row>
    <row r="6276" spans="1:4" x14ac:dyDescent="0.2">
      <c r="A6276"/>
      <c r="B6276"/>
      <c r="C6276"/>
      <c r="D6276"/>
    </row>
    <row r="6277" spans="1:4" x14ac:dyDescent="0.2">
      <c r="A6277"/>
      <c r="B6277"/>
      <c r="C6277"/>
      <c r="D6277"/>
    </row>
    <row r="6278" spans="1:4" x14ac:dyDescent="0.2">
      <c r="A6278"/>
      <c r="B6278"/>
      <c r="C6278"/>
      <c r="D6278"/>
    </row>
    <row r="6279" spans="1:4" x14ac:dyDescent="0.2">
      <c r="A6279"/>
      <c r="B6279"/>
      <c r="C6279"/>
      <c r="D6279"/>
    </row>
    <row r="6280" spans="1:4" x14ac:dyDescent="0.2">
      <c r="A6280"/>
      <c r="B6280"/>
      <c r="C6280"/>
      <c r="D6280"/>
    </row>
    <row r="6281" spans="1:4" x14ac:dyDescent="0.2">
      <c r="A6281"/>
      <c r="B6281"/>
      <c r="C6281"/>
      <c r="D6281"/>
    </row>
    <row r="6282" spans="1:4" x14ac:dyDescent="0.2">
      <c r="A6282"/>
      <c r="B6282"/>
      <c r="C6282"/>
      <c r="D6282"/>
    </row>
    <row r="6283" spans="1:4" x14ac:dyDescent="0.2">
      <c r="A6283"/>
      <c r="B6283"/>
      <c r="C6283"/>
      <c r="D6283"/>
    </row>
    <row r="6284" spans="1:4" x14ac:dyDescent="0.2">
      <c r="A6284"/>
      <c r="B6284"/>
      <c r="C6284"/>
      <c r="D6284"/>
    </row>
    <row r="6285" spans="1:4" x14ac:dyDescent="0.2">
      <c r="A6285"/>
      <c r="B6285"/>
      <c r="C6285"/>
      <c r="D6285"/>
    </row>
    <row r="6286" spans="1:4" x14ac:dyDescent="0.2">
      <c r="A6286"/>
      <c r="B6286"/>
      <c r="C6286"/>
      <c r="D6286"/>
    </row>
    <row r="6287" spans="1:4" x14ac:dyDescent="0.2">
      <c r="A6287"/>
      <c r="B6287"/>
      <c r="C6287"/>
      <c r="D6287"/>
    </row>
    <row r="6288" spans="1:4" x14ac:dyDescent="0.2">
      <c r="A6288"/>
      <c r="B6288"/>
      <c r="C6288"/>
      <c r="D6288"/>
    </row>
    <row r="6289" spans="1:4" x14ac:dyDescent="0.2">
      <c r="A6289"/>
      <c r="B6289"/>
      <c r="C6289"/>
      <c r="D6289"/>
    </row>
    <row r="6290" spans="1:4" x14ac:dyDescent="0.2">
      <c r="A6290"/>
      <c r="B6290"/>
      <c r="C6290"/>
      <c r="D6290"/>
    </row>
    <row r="6291" spans="1:4" x14ac:dyDescent="0.2">
      <c r="A6291"/>
      <c r="B6291"/>
      <c r="C6291"/>
      <c r="D6291"/>
    </row>
    <row r="6292" spans="1:4" x14ac:dyDescent="0.2">
      <c r="A6292"/>
      <c r="B6292"/>
      <c r="C6292"/>
      <c r="D6292"/>
    </row>
    <row r="6293" spans="1:4" x14ac:dyDescent="0.2">
      <c r="A6293"/>
      <c r="B6293"/>
      <c r="C6293"/>
      <c r="D6293"/>
    </row>
    <row r="6294" spans="1:4" x14ac:dyDescent="0.2">
      <c r="A6294"/>
      <c r="B6294"/>
      <c r="C6294"/>
      <c r="D6294"/>
    </row>
    <row r="6295" spans="1:4" x14ac:dyDescent="0.2">
      <c r="A6295"/>
      <c r="B6295"/>
      <c r="C6295"/>
      <c r="D6295"/>
    </row>
    <row r="6296" spans="1:4" x14ac:dyDescent="0.2">
      <c r="A6296"/>
      <c r="B6296"/>
      <c r="C6296"/>
      <c r="D6296"/>
    </row>
    <row r="6297" spans="1:4" x14ac:dyDescent="0.2">
      <c r="A6297"/>
      <c r="B6297"/>
      <c r="C6297"/>
      <c r="D6297"/>
    </row>
    <row r="6298" spans="1:4" x14ac:dyDescent="0.2">
      <c r="A6298"/>
      <c r="B6298"/>
      <c r="C6298"/>
      <c r="D6298"/>
    </row>
    <row r="6299" spans="1:4" x14ac:dyDescent="0.2">
      <c r="A6299"/>
      <c r="B6299"/>
      <c r="C6299"/>
      <c r="D6299"/>
    </row>
    <row r="6300" spans="1:4" x14ac:dyDescent="0.2">
      <c r="A6300"/>
      <c r="B6300"/>
      <c r="C6300"/>
      <c r="D6300"/>
    </row>
    <row r="6301" spans="1:4" x14ac:dyDescent="0.2">
      <c r="A6301"/>
      <c r="B6301"/>
      <c r="C6301"/>
      <c r="D6301"/>
    </row>
    <row r="6302" spans="1:4" x14ac:dyDescent="0.2">
      <c r="A6302"/>
      <c r="B6302"/>
      <c r="C6302"/>
      <c r="D6302"/>
    </row>
    <row r="6303" spans="1:4" x14ac:dyDescent="0.2">
      <c r="A6303"/>
      <c r="B6303"/>
      <c r="C6303"/>
      <c r="D6303"/>
    </row>
    <row r="6304" spans="1:4" x14ac:dyDescent="0.2">
      <c r="A6304"/>
      <c r="B6304"/>
      <c r="C6304"/>
      <c r="D6304"/>
    </row>
    <row r="6305" spans="1:4" x14ac:dyDescent="0.2">
      <c r="A6305"/>
      <c r="B6305"/>
      <c r="C6305"/>
      <c r="D6305"/>
    </row>
    <row r="6306" spans="1:4" x14ac:dyDescent="0.2">
      <c r="A6306"/>
      <c r="B6306"/>
      <c r="C6306"/>
      <c r="D6306"/>
    </row>
    <row r="6307" spans="1:4" x14ac:dyDescent="0.2">
      <c r="A6307"/>
      <c r="B6307"/>
      <c r="C6307"/>
      <c r="D6307"/>
    </row>
    <row r="6308" spans="1:4" x14ac:dyDescent="0.2">
      <c r="A6308"/>
      <c r="B6308"/>
      <c r="C6308"/>
      <c r="D6308"/>
    </row>
    <row r="6309" spans="1:4" x14ac:dyDescent="0.2">
      <c r="A6309"/>
      <c r="B6309"/>
      <c r="C6309"/>
      <c r="D6309"/>
    </row>
    <row r="6310" spans="1:4" x14ac:dyDescent="0.2">
      <c r="A6310"/>
      <c r="B6310"/>
      <c r="C6310"/>
      <c r="D6310"/>
    </row>
    <row r="6311" spans="1:4" x14ac:dyDescent="0.2">
      <c r="A6311"/>
      <c r="B6311"/>
      <c r="C6311"/>
      <c r="D6311"/>
    </row>
    <row r="6312" spans="1:4" x14ac:dyDescent="0.2">
      <c r="A6312"/>
      <c r="B6312"/>
      <c r="C6312"/>
      <c r="D6312"/>
    </row>
    <row r="6313" spans="1:4" x14ac:dyDescent="0.2">
      <c r="A6313"/>
      <c r="B6313"/>
      <c r="C6313"/>
      <c r="D6313"/>
    </row>
    <row r="6314" spans="1:4" x14ac:dyDescent="0.2">
      <c r="A6314"/>
      <c r="B6314"/>
      <c r="C6314"/>
      <c r="D6314"/>
    </row>
    <row r="6315" spans="1:4" x14ac:dyDescent="0.2">
      <c r="A6315"/>
      <c r="B6315"/>
      <c r="C6315"/>
      <c r="D6315"/>
    </row>
    <row r="6316" spans="1:4" x14ac:dyDescent="0.2">
      <c r="A6316"/>
      <c r="B6316"/>
      <c r="C6316"/>
      <c r="D6316"/>
    </row>
    <row r="6317" spans="1:4" x14ac:dyDescent="0.2">
      <c r="A6317"/>
      <c r="B6317"/>
      <c r="C6317"/>
      <c r="D6317"/>
    </row>
    <row r="6318" spans="1:4" x14ac:dyDescent="0.2">
      <c r="A6318"/>
      <c r="B6318"/>
      <c r="C6318"/>
      <c r="D6318"/>
    </row>
    <row r="6319" spans="1:4" x14ac:dyDescent="0.2">
      <c r="A6319"/>
      <c r="B6319"/>
      <c r="C6319"/>
      <c r="D6319"/>
    </row>
    <row r="6320" spans="1:4" x14ac:dyDescent="0.2">
      <c r="A6320"/>
      <c r="B6320"/>
      <c r="C6320"/>
      <c r="D6320"/>
    </row>
    <row r="6321" spans="1:4" x14ac:dyDescent="0.2">
      <c r="A6321"/>
      <c r="B6321"/>
      <c r="C6321"/>
      <c r="D6321"/>
    </row>
    <row r="6322" spans="1:4" x14ac:dyDescent="0.2">
      <c r="A6322"/>
      <c r="B6322"/>
      <c r="C6322"/>
      <c r="D6322"/>
    </row>
    <row r="6323" spans="1:4" x14ac:dyDescent="0.2">
      <c r="A6323"/>
      <c r="B6323"/>
      <c r="C6323"/>
      <c r="D6323"/>
    </row>
    <row r="6324" spans="1:4" x14ac:dyDescent="0.2">
      <c r="A6324"/>
      <c r="B6324"/>
      <c r="C6324"/>
      <c r="D6324"/>
    </row>
    <row r="6325" spans="1:4" x14ac:dyDescent="0.2">
      <c r="A6325"/>
      <c r="B6325"/>
      <c r="C6325"/>
      <c r="D6325"/>
    </row>
    <row r="6326" spans="1:4" x14ac:dyDescent="0.2">
      <c r="A6326"/>
      <c r="B6326"/>
      <c r="C6326"/>
      <c r="D6326"/>
    </row>
    <row r="6327" spans="1:4" x14ac:dyDescent="0.2">
      <c r="A6327"/>
      <c r="B6327"/>
      <c r="C6327"/>
      <c r="D6327"/>
    </row>
    <row r="6328" spans="1:4" x14ac:dyDescent="0.2">
      <c r="A6328"/>
      <c r="B6328"/>
      <c r="C6328"/>
      <c r="D6328"/>
    </row>
    <row r="6329" spans="1:4" x14ac:dyDescent="0.2">
      <c r="A6329"/>
      <c r="B6329"/>
      <c r="C6329"/>
      <c r="D6329"/>
    </row>
    <row r="6330" spans="1:4" x14ac:dyDescent="0.2">
      <c r="A6330"/>
      <c r="B6330"/>
      <c r="C6330"/>
      <c r="D6330"/>
    </row>
    <row r="6331" spans="1:4" x14ac:dyDescent="0.2">
      <c r="A6331"/>
      <c r="B6331"/>
      <c r="C6331"/>
      <c r="D6331"/>
    </row>
    <row r="6332" spans="1:4" x14ac:dyDescent="0.2">
      <c r="A6332"/>
      <c r="B6332"/>
      <c r="C6332"/>
      <c r="D6332"/>
    </row>
    <row r="6333" spans="1:4" x14ac:dyDescent="0.2">
      <c r="A6333"/>
      <c r="B6333"/>
      <c r="C6333"/>
      <c r="D6333"/>
    </row>
    <row r="6334" spans="1:4" x14ac:dyDescent="0.2">
      <c r="A6334"/>
      <c r="B6334"/>
      <c r="C6334"/>
      <c r="D6334"/>
    </row>
    <row r="6335" spans="1:4" x14ac:dyDescent="0.2">
      <c r="A6335"/>
      <c r="B6335"/>
      <c r="C6335"/>
      <c r="D6335"/>
    </row>
    <row r="6336" spans="1:4" x14ac:dyDescent="0.2">
      <c r="A6336"/>
      <c r="B6336"/>
      <c r="C6336"/>
      <c r="D6336"/>
    </row>
    <row r="6337" spans="1:4" x14ac:dyDescent="0.2">
      <c r="A6337"/>
      <c r="B6337"/>
      <c r="C6337"/>
      <c r="D6337"/>
    </row>
    <row r="6338" spans="1:4" x14ac:dyDescent="0.2">
      <c r="A6338"/>
      <c r="B6338"/>
      <c r="C6338"/>
      <c r="D6338"/>
    </row>
    <row r="6339" spans="1:4" x14ac:dyDescent="0.2">
      <c r="A6339"/>
      <c r="B6339"/>
      <c r="C6339"/>
      <c r="D6339"/>
    </row>
    <row r="6340" spans="1:4" x14ac:dyDescent="0.2">
      <c r="A6340"/>
      <c r="B6340"/>
      <c r="C6340"/>
      <c r="D6340"/>
    </row>
    <row r="6341" spans="1:4" x14ac:dyDescent="0.2">
      <c r="A6341"/>
      <c r="B6341"/>
      <c r="C6341"/>
      <c r="D6341"/>
    </row>
    <row r="6342" spans="1:4" x14ac:dyDescent="0.2">
      <c r="A6342"/>
      <c r="B6342"/>
      <c r="C6342"/>
      <c r="D6342"/>
    </row>
    <row r="6343" spans="1:4" x14ac:dyDescent="0.2">
      <c r="A6343"/>
      <c r="B6343"/>
      <c r="C6343"/>
      <c r="D6343"/>
    </row>
    <row r="6344" spans="1:4" x14ac:dyDescent="0.2">
      <c r="A6344"/>
      <c r="B6344"/>
      <c r="C6344"/>
      <c r="D6344"/>
    </row>
    <row r="6345" spans="1:4" x14ac:dyDescent="0.2">
      <c r="A6345"/>
      <c r="B6345"/>
      <c r="C6345"/>
      <c r="D6345"/>
    </row>
    <row r="6346" spans="1:4" x14ac:dyDescent="0.2">
      <c r="A6346"/>
      <c r="B6346"/>
      <c r="C6346"/>
      <c r="D6346"/>
    </row>
    <row r="6347" spans="1:4" x14ac:dyDescent="0.2">
      <c r="A6347"/>
      <c r="B6347"/>
      <c r="C6347"/>
      <c r="D6347"/>
    </row>
    <row r="6348" spans="1:4" x14ac:dyDescent="0.2">
      <c r="A6348"/>
      <c r="B6348"/>
      <c r="C6348"/>
      <c r="D6348"/>
    </row>
    <row r="6349" spans="1:4" x14ac:dyDescent="0.2">
      <c r="A6349"/>
      <c r="B6349"/>
      <c r="C6349"/>
      <c r="D6349"/>
    </row>
    <row r="6350" spans="1:4" x14ac:dyDescent="0.2">
      <c r="A6350"/>
      <c r="B6350"/>
      <c r="C6350"/>
      <c r="D6350"/>
    </row>
    <row r="6351" spans="1:4" x14ac:dyDescent="0.2">
      <c r="A6351"/>
      <c r="B6351"/>
      <c r="C6351"/>
      <c r="D6351"/>
    </row>
    <row r="6352" spans="1:4" x14ac:dyDescent="0.2">
      <c r="A6352"/>
      <c r="B6352"/>
      <c r="C6352"/>
      <c r="D6352"/>
    </row>
    <row r="6353" spans="1:4" x14ac:dyDescent="0.2">
      <c r="A6353"/>
      <c r="B6353"/>
      <c r="C6353"/>
      <c r="D6353"/>
    </row>
    <row r="6354" spans="1:4" x14ac:dyDescent="0.2">
      <c r="A6354"/>
      <c r="B6354"/>
      <c r="C6354"/>
      <c r="D6354"/>
    </row>
    <row r="6355" spans="1:4" x14ac:dyDescent="0.2">
      <c r="A6355"/>
      <c r="B6355"/>
      <c r="C6355"/>
      <c r="D6355"/>
    </row>
    <row r="6356" spans="1:4" x14ac:dyDescent="0.2">
      <c r="A6356"/>
      <c r="B6356"/>
      <c r="C6356"/>
      <c r="D6356"/>
    </row>
    <row r="6357" spans="1:4" x14ac:dyDescent="0.2">
      <c r="A6357"/>
      <c r="B6357"/>
      <c r="C6357"/>
      <c r="D6357"/>
    </row>
    <row r="6358" spans="1:4" x14ac:dyDescent="0.2">
      <c r="A6358"/>
      <c r="B6358"/>
      <c r="C6358"/>
      <c r="D6358"/>
    </row>
    <row r="6359" spans="1:4" x14ac:dyDescent="0.2">
      <c r="A6359"/>
      <c r="B6359"/>
      <c r="C6359"/>
      <c r="D6359"/>
    </row>
    <row r="6360" spans="1:4" x14ac:dyDescent="0.2">
      <c r="A6360"/>
      <c r="B6360"/>
      <c r="C6360"/>
      <c r="D6360"/>
    </row>
    <row r="6361" spans="1:4" x14ac:dyDescent="0.2">
      <c r="A6361"/>
      <c r="B6361"/>
      <c r="C6361"/>
      <c r="D6361"/>
    </row>
    <row r="6362" spans="1:4" x14ac:dyDescent="0.2">
      <c r="A6362"/>
      <c r="B6362"/>
      <c r="C6362"/>
      <c r="D6362"/>
    </row>
    <row r="6363" spans="1:4" x14ac:dyDescent="0.2">
      <c r="A6363"/>
      <c r="B6363"/>
      <c r="C6363"/>
      <c r="D6363"/>
    </row>
    <row r="6364" spans="1:4" x14ac:dyDescent="0.2">
      <c r="A6364"/>
      <c r="B6364"/>
      <c r="C6364"/>
      <c r="D6364"/>
    </row>
    <row r="6365" spans="1:4" x14ac:dyDescent="0.2">
      <c r="A6365"/>
      <c r="B6365"/>
      <c r="C6365"/>
      <c r="D6365"/>
    </row>
    <row r="6366" spans="1:4" x14ac:dyDescent="0.2">
      <c r="A6366"/>
      <c r="B6366"/>
      <c r="C6366"/>
      <c r="D6366"/>
    </row>
    <row r="6367" spans="1:4" x14ac:dyDescent="0.2">
      <c r="A6367"/>
      <c r="B6367"/>
      <c r="C6367"/>
      <c r="D6367"/>
    </row>
    <row r="6368" spans="1:4" x14ac:dyDescent="0.2">
      <c r="A6368"/>
      <c r="B6368"/>
      <c r="C6368"/>
      <c r="D6368"/>
    </row>
    <row r="6369" spans="1:4" x14ac:dyDescent="0.2">
      <c r="A6369"/>
      <c r="B6369"/>
      <c r="C6369"/>
      <c r="D6369"/>
    </row>
    <row r="6370" spans="1:4" x14ac:dyDescent="0.2">
      <c r="A6370"/>
      <c r="B6370"/>
      <c r="C6370"/>
      <c r="D6370"/>
    </row>
    <row r="6371" spans="1:4" x14ac:dyDescent="0.2">
      <c r="A6371"/>
      <c r="B6371"/>
      <c r="C6371"/>
      <c r="D6371"/>
    </row>
    <row r="6372" spans="1:4" x14ac:dyDescent="0.2">
      <c r="A6372"/>
      <c r="B6372"/>
      <c r="C6372"/>
      <c r="D6372"/>
    </row>
    <row r="6373" spans="1:4" x14ac:dyDescent="0.2">
      <c r="A6373"/>
      <c r="B6373"/>
      <c r="C6373"/>
      <c r="D6373"/>
    </row>
    <row r="6374" spans="1:4" x14ac:dyDescent="0.2">
      <c r="A6374"/>
      <c r="B6374"/>
      <c r="C6374"/>
      <c r="D6374"/>
    </row>
    <row r="6375" spans="1:4" x14ac:dyDescent="0.2">
      <c r="A6375"/>
      <c r="B6375"/>
      <c r="C6375"/>
      <c r="D6375"/>
    </row>
    <row r="6376" spans="1:4" x14ac:dyDescent="0.2">
      <c r="A6376"/>
      <c r="B6376"/>
      <c r="C6376"/>
      <c r="D6376"/>
    </row>
    <row r="6377" spans="1:4" x14ac:dyDescent="0.2">
      <c r="A6377"/>
      <c r="B6377"/>
      <c r="C6377"/>
      <c r="D6377"/>
    </row>
    <row r="6378" spans="1:4" x14ac:dyDescent="0.2">
      <c r="A6378"/>
      <c r="B6378"/>
      <c r="C6378"/>
      <c r="D6378"/>
    </row>
    <row r="6379" spans="1:4" x14ac:dyDescent="0.2">
      <c r="A6379"/>
      <c r="B6379"/>
      <c r="C6379"/>
      <c r="D6379"/>
    </row>
    <row r="6380" spans="1:4" x14ac:dyDescent="0.2">
      <c r="A6380"/>
      <c r="B6380"/>
      <c r="C6380"/>
      <c r="D6380"/>
    </row>
    <row r="6381" spans="1:4" x14ac:dyDescent="0.2">
      <c r="A6381"/>
      <c r="B6381"/>
      <c r="C6381"/>
      <c r="D6381"/>
    </row>
    <row r="6382" spans="1:4" x14ac:dyDescent="0.2">
      <c r="A6382"/>
      <c r="B6382"/>
      <c r="C6382"/>
      <c r="D6382"/>
    </row>
    <row r="6383" spans="1:4" x14ac:dyDescent="0.2">
      <c r="A6383"/>
      <c r="B6383"/>
      <c r="C6383"/>
      <c r="D6383"/>
    </row>
    <row r="6384" spans="1:4" x14ac:dyDescent="0.2">
      <c r="A6384"/>
      <c r="B6384"/>
      <c r="C6384"/>
      <c r="D6384"/>
    </row>
    <row r="6385" spans="1:4" x14ac:dyDescent="0.2">
      <c r="A6385"/>
      <c r="B6385"/>
      <c r="C6385"/>
      <c r="D6385"/>
    </row>
    <row r="6386" spans="1:4" x14ac:dyDescent="0.2">
      <c r="A6386"/>
      <c r="B6386"/>
      <c r="C6386"/>
      <c r="D6386"/>
    </row>
    <row r="6387" spans="1:4" x14ac:dyDescent="0.2">
      <c r="A6387"/>
      <c r="B6387"/>
      <c r="C6387"/>
      <c r="D6387"/>
    </row>
    <row r="6388" spans="1:4" x14ac:dyDescent="0.2">
      <c r="A6388"/>
      <c r="B6388"/>
      <c r="C6388"/>
      <c r="D6388"/>
    </row>
    <row r="6389" spans="1:4" x14ac:dyDescent="0.2">
      <c r="A6389"/>
      <c r="B6389"/>
      <c r="C6389"/>
      <c r="D6389"/>
    </row>
    <row r="6390" spans="1:4" x14ac:dyDescent="0.2">
      <c r="A6390"/>
      <c r="B6390"/>
      <c r="C6390"/>
      <c r="D6390"/>
    </row>
    <row r="6391" spans="1:4" x14ac:dyDescent="0.2">
      <c r="A6391"/>
      <c r="B6391"/>
      <c r="C6391"/>
      <c r="D6391"/>
    </row>
    <row r="6392" spans="1:4" x14ac:dyDescent="0.2">
      <c r="A6392"/>
      <c r="B6392"/>
      <c r="C6392"/>
      <c r="D6392"/>
    </row>
    <row r="6393" spans="1:4" x14ac:dyDescent="0.2">
      <c r="A6393"/>
      <c r="B6393"/>
      <c r="C6393"/>
      <c r="D6393"/>
    </row>
    <row r="6394" spans="1:4" x14ac:dyDescent="0.2">
      <c r="A6394"/>
      <c r="B6394"/>
      <c r="C6394"/>
      <c r="D6394"/>
    </row>
    <row r="6395" spans="1:4" x14ac:dyDescent="0.2">
      <c r="A6395"/>
      <c r="B6395"/>
      <c r="C6395"/>
      <c r="D6395"/>
    </row>
    <row r="6396" spans="1:4" x14ac:dyDescent="0.2">
      <c r="A6396"/>
      <c r="B6396"/>
      <c r="C6396"/>
      <c r="D6396"/>
    </row>
    <row r="6397" spans="1:4" x14ac:dyDescent="0.2">
      <c r="A6397"/>
      <c r="B6397"/>
      <c r="C6397"/>
      <c r="D6397"/>
    </row>
    <row r="6398" spans="1:4" x14ac:dyDescent="0.2">
      <c r="A6398"/>
      <c r="B6398"/>
      <c r="C6398"/>
      <c r="D6398"/>
    </row>
    <row r="6399" spans="1:4" x14ac:dyDescent="0.2">
      <c r="A6399"/>
      <c r="B6399"/>
      <c r="C6399"/>
      <c r="D6399"/>
    </row>
    <row r="6400" spans="1:4" x14ac:dyDescent="0.2">
      <c r="A6400"/>
      <c r="B6400"/>
      <c r="C6400"/>
      <c r="D6400"/>
    </row>
    <row r="6401" spans="1:4" x14ac:dyDescent="0.2">
      <c r="A6401"/>
      <c r="B6401"/>
      <c r="C6401"/>
      <c r="D6401"/>
    </row>
    <row r="6402" spans="1:4" x14ac:dyDescent="0.2">
      <c r="A6402"/>
      <c r="B6402"/>
      <c r="C6402"/>
      <c r="D6402"/>
    </row>
    <row r="6403" spans="1:4" x14ac:dyDescent="0.2">
      <c r="A6403"/>
      <c r="B6403"/>
      <c r="C6403"/>
      <c r="D6403"/>
    </row>
    <row r="6404" spans="1:4" x14ac:dyDescent="0.2">
      <c r="A6404"/>
      <c r="B6404"/>
      <c r="C6404"/>
      <c r="D6404"/>
    </row>
    <row r="6405" spans="1:4" x14ac:dyDescent="0.2">
      <c r="A6405"/>
      <c r="B6405"/>
      <c r="C6405"/>
      <c r="D6405"/>
    </row>
    <row r="6406" spans="1:4" x14ac:dyDescent="0.2">
      <c r="A6406"/>
      <c r="B6406"/>
      <c r="C6406"/>
      <c r="D6406"/>
    </row>
    <row r="6407" spans="1:4" x14ac:dyDescent="0.2">
      <c r="A6407"/>
      <c r="B6407"/>
      <c r="C6407"/>
      <c r="D6407"/>
    </row>
    <row r="6408" spans="1:4" x14ac:dyDescent="0.2">
      <c r="A6408"/>
      <c r="B6408"/>
      <c r="C6408"/>
      <c r="D6408"/>
    </row>
    <row r="6409" spans="1:4" x14ac:dyDescent="0.2">
      <c r="A6409"/>
      <c r="B6409"/>
      <c r="C6409"/>
      <c r="D6409"/>
    </row>
    <row r="6410" spans="1:4" x14ac:dyDescent="0.2">
      <c r="A6410"/>
      <c r="B6410"/>
      <c r="C6410"/>
      <c r="D6410"/>
    </row>
    <row r="6411" spans="1:4" x14ac:dyDescent="0.2">
      <c r="A6411"/>
      <c r="B6411"/>
      <c r="C6411"/>
      <c r="D6411"/>
    </row>
    <row r="6412" spans="1:4" x14ac:dyDescent="0.2">
      <c r="A6412"/>
      <c r="B6412"/>
      <c r="C6412"/>
      <c r="D6412"/>
    </row>
    <row r="6413" spans="1:4" x14ac:dyDescent="0.2">
      <c r="A6413"/>
      <c r="B6413"/>
      <c r="C6413"/>
      <c r="D6413"/>
    </row>
    <row r="6414" spans="1:4" x14ac:dyDescent="0.2">
      <c r="A6414"/>
      <c r="B6414"/>
      <c r="C6414"/>
      <c r="D6414"/>
    </row>
    <row r="6415" spans="1:4" x14ac:dyDescent="0.2">
      <c r="A6415"/>
      <c r="B6415"/>
      <c r="C6415"/>
      <c r="D6415"/>
    </row>
    <row r="6416" spans="1:4" x14ac:dyDescent="0.2">
      <c r="A6416"/>
      <c r="B6416"/>
      <c r="C6416"/>
      <c r="D6416"/>
    </row>
    <row r="6417" spans="1:4" x14ac:dyDescent="0.2">
      <c r="A6417"/>
      <c r="B6417"/>
      <c r="C6417"/>
      <c r="D6417"/>
    </row>
    <row r="6418" spans="1:4" x14ac:dyDescent="0.2">
      <c r="A6418"/>
      <c r="B6418"/>
      <c r="C6418"/>
      <c r="D6418"/>
    </row>
    <row r="6419" spans="1:4" x14ac:dyDescent="0.2">
      <c r="A6419"/>
      <c r="B6419"/>
      <c r="C6419"/>
      <c r="D6419"/>
    </row>
    <row r="6420" spans="1:4" x14ac:dyDescent="0.2">
      <c r="A6420"/>
      <c r="B6420"/>
      <c r="C6420"/>
      <c r="D6420"/>
    </row>
    <row r="6421" spans="1:4" x14ac:dyDescent="0.2">
      <c r="A6421"/>
      <c r="B6421"/>
      <c r="C6421"/>
      <c r="D6421"/>
    </row>
    <row r="6422" spans="1:4" x14ac:dyDescent="0.2">
      <c r="A6422"/>
      <c r="B6422"/>
      <c r="C6422"/>
      <c r="D6422"/>
    </row>
    <row r="6423" spans="1:4" x14ac:dyDescent="0.2">
      <c r="A6423"/>
      <c r="B6423"/>
      <c r="C6423"/>
      <c r="D6423"/>
    </row>
    <row r="6424" spans="1:4" x14ac:dyDescent="0.2">
      <c r="A6424"/>
      <c r="B6424"/>
      <c r="C6424"/>
      <c r="D6424"/>
    </row>
    <row r="6425" spans="1:4" x14ac:dyDescent="0.2">
      <c r="A6425"/>
      <c r="B6425"/>
      <c r="C6425"/>
      <c r="D6425"/>
    </row>
    <row r="6426" spans="1:4" x14ac:dyDescent="0.2">
      <c r="A6426"/>
      <c r="B6426"/>
      <c r="C6426"/>
      <c r="D6426"/>
    </row>
    <row r="6427" spans="1:4" x14ac:dyDescent="0.2">
      <c r="A6427"/>
      <c r="B6427"/>
      <c r="C6427"/>
      <c r="D6427"/>
    </row>
    <row r="6428" spans="1:4" x14ac:dyDescent="0.2">
      <c r="A6428"/>
      <c r="B6428"/>
      <c r="C6428"/>
      <c r="D6428"/>
    </row>
    <row r="6429" spans="1:4" x14ac:dyDescent="0.2">
      <c r="A6429"/>
      <c r="B6429"/>
      <c r="C6429"/>
      <c r="D6429"/>
    </row>
    <row r="6430" spans="1:4" x14ac:dyDescent="0.2">
      <c r="A6430"/>
      <c r="B6430"/>
      <c r="C6430"/>
      <c r="D6430"/>
    </row>
    <row r="6431" spans="1:4" x14ac:dyDescent="0.2">
      <c r="A6431"/>
      <c r="B6431"/>
      <c r="C6431"/>
      <c r="D6431"/>
    </row>
    <row r="6432" spans="1:4" x14ac:dyDescent="0.2">
      <c r="A6432"/>
      <c r="B6432"/>
      <c r="C6432"/>
      <c r="D6432"/>
    </row>
    <row r="6433" spans="1:4" x14ac:dyDescent="0.2">
      <c r="A6433"/>
      <c r="B6433"/>
      <c r="C6433"/>
      <c r="D6433"/>
    </row>
    <row r="6434" spans="1:4" x14ac:dyDescent="0.2">
      <c r="A6434"/>
      <c r="B6434"/>
      <c r="C6434"/>
      <c r="D6434"/>
    </row>
    <row r="6435" spans="1:4" x14ac:dyDescent="0.2">
      <c r="A6435"/>
      <c r="B6435"/>
      <c r="C6435"/>
      <c r="D6435"/>
    </row>
    <row r="6436" spans="1:4" x14ac:dyDescent="0.2">
      <c r="A6436"/>
      <c r="B6436"/>
      <c r="C6436"/>
      <c r="D6436"/>
    </row>
    <row r="6437" spans="1:4" x14ac:dyDescent="0.2">
      <c r="A6437"/>
      <c r="B6437"/>
      <c r="C6437"/>
      <c r="D6437"/>
    </row>
    <row r="6438" spans="1:4" x14ac:dyDescent="0.2">
      <c r="A6438"/>
      <c r="B6438"/>
      <c r="C6438"/>
      <c r="D6438"/>
    </row>
    <row r="6439" spans="1:4" x14ac:dyDescent="0.2">
      <c r="A6439"/>
      <c r="B6439"/>
      <c r="C6439"/>
      <c r="D6439"/>
    </row>
    <row r="6440" spans="1:4" x14ac:dyDescent="0.2">
      <c r="A6440"/>
      <c r="B6440"/>
      <c r="C6440"/>
      <c r="D6440"/>
    </row>
    <row r="6441" spans="1:4" x14ac:dyDescent="0.2">
      <c r="A6441"/>
      <c r="B6441"/>
      <c r="C6441"/>
      <c r="D6441"/>
    </row>
    <row r="6442" spans="1:4" x14ac:dyDescent="0.2">
      <c r="A6442"/>
      <c r="B6442"/>
      <c r="C6442"/>
      <c r="D6442"/>
    </row>
    <row r="6443" spans="1:4" x14ac:dyDescent="0.2">
      <c r="A6443"/>
      <c r="B6443"/>
      <c r="C6443"/>
      <c r="D6443"/>
    </row>
    <row r="6444" spans="1:4" x14ac:dyDescent="0.2">
      <c r="A6444"/>
      <c r="B6444"/>
      <c r="C6444"/>
      <c r="D6444"/>
    </row>
    <row r="6445" spans="1:4" x14ac:dyDescent="0.2">
      <c r="A6445"/>
      <c r="B6445"/>
      <c r="C6445"/>
      <c r="D6445"/>
    </row>
    <row r="6446" spans="1:4" x14ac:dyDescent="0.2">
      <c r="A6446"/>
      <c r="B6446"/>
      <c r="C6446"/>
      <c r="D6446"/>
    </row>
    <row r="6447" spans="1:4" x14ac:dyDescent="0.2">
      <c r="A6447"/>
      <c r="B6447"/>
      <c r="C6447"/>
      <c r="D6447"/>
    </row>
    <row r="6448" spans="1:4" x14ac:dyDescent="0.2">
      <c r="A6448"/>
      <c r="B6448"/>
      <c r="C6448"/>
      <c r="D6448"/>
    </row>
    <row r="6449" spans="1:4" x14ac:dyDescent="0.2">
      <c r="A6449"/>
      <c r="B6449"/>
      <c r="C6449"/>
      <c r="D6449"/>
    </row>
    <row r="6450" spans="1:4" x14ac:dyDescent="0.2">
      <c r="A6450"/>
      <c r="B6450"/>
      <c r="C6450"/>
      <c r="D6450"/>
    </row>
    <row r="6451" spans="1:4" x14ac:dyDescent="0.2">
      <c r="A6451"/>
      <c r="B6451"/>
      <c r="C6451"/>
      <c r="D6451"/>
    </row>
    <row r="6452" spans="1:4" x14ac:dyDescent="0.2">
      <c r="A6452"/>
      <c r="B6452"/>
      <c r="C6452"/>
      <c r="D6452"/>
    </row>
    <row r="6453" spans="1:4" x14ac:dyDescent="0.2">
      <c r="A6453"/>
      <c r="B6453"/>
      <c r="C6453"/>
      <c r="D6453"/>
    </row>
    <row r="6454" spans="1:4" x14ac:dyDescent="0.2">
      <c r="A6454"/>
      <c r="B6454"/>
      <c r="C6454"/>
      <c r="D6454"/>
    </row>
    <row r="6455" spans="1:4" x14ac:dyDescent="0.2">
      <c r="A6455"/>
      <c r="B6455"/>
      <c r="C6455"/>
      <c r="D6455"/>
    </row>
    <row r="6456" spans="1:4" x14ac:dyDescent="0.2">
      <c r="A6456"/>
      <c r="B6456"/>
      <c r="C6456"/>
      <c r="D6456"/>
    </row>
    <row r="6457" spans="1:4" x14ac:dyDescent="0.2">
      <c r="A6457"/>
      <c r="B6457"/>
      <c r="C6457"/>
      <c r="D6457"/>
    </row>
    <row r="6458" spans="1:4" x14ac:dyDescent="0.2">
      <c r="A6458"/>
      <c r="B6458"/>
      <c r="C6458"/>
      <c r="D6458"/>
    </row>
    <row r="6459" spans="1:4" x14ac:dyDescent="0.2">
      <c r="A6459"/>
      <c r="B6459"/>
      <c r="C6459"/>
      <c r="D6459"/>
    </row>
    <row r="6460" spans="1:4" x14ac:dyDescent="0.2">
      <c r="A6460"/>
      <c r="B6460"/>
      <c r="C6460"/>
      <c r="D6460"/>
    </row>
    <row r="6461" spans="1:4" x14ac:dyDescent="0.2">
      <c r="A6461"/>
      <c r="B6461"/>
      <c r="C6461"/>
      <c r="D6461"/>
    </row>
    <row r="6462" spans="1:4" x14ac:dyDescent="0.2">
      <c r="A6462"/>
      <c r="B6462"/>
      <c r="C6462"/>
      <c r="D6462"/>
    </row>
    <row r="6463" spans="1:4" x14ac:dyDescent="0.2">
      <c r="A6463"/>
      <c r="B6463"/>
      <c r="C6463"/>
      <c r="D6463"/>
    </row>
    <row r="6464" spans="1:4" x14ac:dyDescent="0.2">
      <c r="A6464"/>
      <c r="B6464"/>
      <c r="C6464"/>
      <c r="D6464"/>
    </row>
    <row r="6465" spans="1:4" x14ac:dyDescent="0.2">
      <c r="A6465"/>
      <c r="B6465"/>
      <c r="C6465"/>
      <c r="D6465"/>
    </row>
    <row r="6466" spans="1:4" x14ac:dyDescent="0.2">
      <c r="A6466"/>
      <c r="B6466"/>
      <c r="C6466"/>
      <c r="D6466"/>
    </row>
    <row r="6467" spans="1:4" x14ac:dyDescent="0.2">
      <c r="A6467"/>
      <c r="B6467"/>
      <c r="C6467"/>
      <c r="D6467"/>
    </row>
    <row r="6468" spans="1:4" x14ac:dyDescent="0.2">
      <c r="A6468"/>
      <c r="B6468"/>
      <c r="C6468"/>
      <c r="D6468"/>
    </row>
    <row r="6469" spans="1:4" x14ac:dyDescent="0.2">
      <c r="A6469"/>
      <c r="B6469"/>
      <c r="C6469"/>
      <c r="D6469"/>
    </row>
    <row r="6470" spans="1:4" x14ac:dyDescent="0.2">
      <c r="A6470"/>
      <c r="B6470"/>
      <c r="C6470"/>
      <c r="D6470"/>
    </row>
    <row r="6471" spans="1:4" x14ac:dyDescent="0.2">
      <c r="A6471"/>
      <c r="B6471"/>
      <c r="C6471"/>
      <c r="D6471"/>
    </row>
    <row r="6472" spans="1:4" x14ac:dyDescent="0.2">
      <c r="A6472"/>
      <c r="B6472"/>
      <c r="C6472"/>
      <c r="D6472"/>
    </row>
    <row r="6473" spans="1:4" x14ac:dyDescent="0.2">
      <c r="A6473"/>
      <c r="B6473"/>
      <c r="C6473"/>
      <c r="D6473"/>
    </row>
    <row r="6474" spans="1:4" x14ac:dyDescent="0.2">
      <c r="A6474"/>
      <c r="B6474"/>
      <c r="C6474"/>
      <c r="D6474"/>
    </row>
    <row r="6475" spans="1:4" x14ac:dyDescent="0.2">
      <c r="A6475"/>
      <c r="B6475"/>
      <c r="C6475"/>
      <c r="D6475"/>
    </row>
    <row r="6476" spans="1:4" x14ac:dyDescent="0.2">
      <c r="A6476"/>
      <c r="B6476"/>
      <c r="C6476"/>
      <c r="D6476"/>
    </row>
    <row r="6477" spans="1:4" x14ac:dyDescent="0.2">
      <c r="A6477"/>
      <c r="B6477"/>
      <c r="C6477"/>
      <c r="D6477"/>
    </row>
    <row r="6478" spans="1:4" x14ac:dyDescent="0.2">
      <c r="A6478"/>
      <c r="B6478"/>
      <c r="C6478"/>
      <c r="D6478"/>
    </row>
    <row r="6479" spans="1:4" x14ac:dyDescent="0.2">
      <c r="A6479"/>
      <c r="B6479"/>
      <c r="C6479"/>
      <c r="D6479"/>
    </row>
    <row r="6480" spans="1:4" x14ac:dyDescent="0.2">
      <c r="A6480"/>
      <c r="B6480"/>
      <c r="C6480"/>
      <c r="D6480"/>
    </row>
    <row r="6481" spans="1:4" x14ac:dyDescent="0.2">
      <c r="A6481"/>
      <c r="B6481"/>
      <c r="C6481"/>
      <c r="D6481"/>
    </row>
    <row r="6482" spans="1:4" x14ac:dyDescent="0.2">
      <c r="A6482"/>
      <c r="B6482"/>
      <c r="C6482"/>
      <c r="D6482"/>
    </row>
    <row r="6483" spans="1:4" x14ac:dyDescent="0.2">
      <c r="A6483"/>
      <c r="B6483"/>
      <c r="C6483"/>
      <c r="D6483"/>
    </row>
    <row r="6484" spans="1:4" x14ac:dyDescent="0.2">
      <c r="A6484"/>
      <c r="B6484"/>
      <c r="C6484"/>
      <c r="D6484"/>
    </row>
    <row r="6485" spans="1:4" x14ac:dyDescent="0.2">
      <c r="A6485"/>
      <c r="B6485"/>
      <c r="C6485"/>
      <c r="D6485"/>
    </row>
    <row r="6486" spans="1:4" x14ac:dyDescent="0.2">
      <c r="A6486"/>
      <c r="B6486"/>
      <c r="C6486"/>
      <c r="D6486"/>
    </row>
    <row r="6487" spans="1:4" x14ac:dyDescent="0.2">
      <c r="A6487"/>
      <c r="B6487"/>
      <c r="C6487"/>
      <c r="D6487"/>
    </row>
    <row r="6488" spans="1:4" x14ac:dyDescent="0.2">
      <c r="A6488"/>
      <c r="B6488"/>
      <c r="C6488"/>
      <c r="D6488"/>
    </row>
    <row r="6489" spans="1:4" x14ac:dyDescent="0.2">
      <c r="A6489"/>
      <c r="B6489"/>
      <c r="C6489"/>
      <c r="D6489"/>
    </row>
    <row r="6490" spans="1:4" x14ac:dyDescent="0.2">
      <c r="A6490"/>
      <c r="B6490"/>
      <c r="C6490"/>
      <c r="D6490"/>
    </row>
    <row r="6491" spans="1:4" x14ac:dyDescent="0.2">
      <c r="A6491"/>
      <c r="B6491"/>
      <c r="C6491"/>
      <c r="D6491"/>
    </row>
    <row r="6492" spans="1:4" x14ac:dyDescent="0.2">
      <c r="A6492"/>
      <c r="B6492"/>
      <c r="C6492"/>
      <c r="D6492"/>
    </row>
    <row r="6493" spans="1:4" x14ac:dyDescent="0.2">
      <c r="A6493"/>
      <c r="B6493"/>
      <c r="C6493"/>
      <c r="D6493"/>
    </row>
    <row r="6494" spans="1:4" x14ac:dyDescent="0.2">
      <c r="A6494"/>
      <c r="B6494"/>
      <c r="C6494"/>
      <c r="D6494"/>
    </row>
    <row r="6495" spans="1:4" x14ac:dyDescent="0.2">
      <c r="A6495"/>
      <c r="B6495"/>
      <c r="C6495"/>
      <c r="D6495"/>
    </row>
    <row r="6496" spans="1:4" x14ac:dyDescent="0.2">
      <c r="A6496"/>
      <c r="B6496"/>
      <c r="C6496"/>
      <c r="D6496"/>
    </row>
    <row r="6497" spans="1:4" x14ac:dyDescent="0.2">
      <c r="A6497"/>
      <c r="B6497"/>
      <c r="C6497"/>
      <c r="D6497"/>
    </row>
    <row r="6498" spans="1:4" x14ac:dyDescent="0.2">
      <c r="A6498"/>
      <c r="B6498"/>
      <c r="C6498"/>
      <c r="D6498"/>
    </row>
    <row r="6499" spans="1:4" x14ac:dyDescent="0.2">
      <c r="A6499"/>
      <c r="B6499"/>
      <c r="C6499"/>
      <c r="D6499"/>
    </row>
    <row r="6500" spans="1:4" x14ac:dyDescent="0.2">
      <c r="A6500"/>
      <c r="B6500"/>
      <c r="C6500"/>
      <c r="D6500"/>
    </row>
    <row r="6501" spans="1:4" x14ac:dyDescent="0.2">
      <c r="A6501"/>
      <c r="B6501"/>
      <c r="C6501"/>
      <c r="D6501"/>
    </row>
    <row r="6502" spans="1:4" x14ac:dyDescent="0.2">
      <c r="A6502"/>
      <c r="B6502"/>
      <c r="C6502"/>
      <c r="D6502"/>
    </row>
    <row r="6503" spans="1:4" x14ac:dyDescent="0.2">
      <c r="A6503"/>
      <c r="B6503"/>
      <c r="C6503"/>
      <c r="D6503"/>
    </row>
    <row r="6504" spans="1:4" x14ac:dyDescent="0.2">
      <c r="A6504"/>
      <c r="B6504"/>
      <c r="C6504"/>
      <c r="D6504"/>
    </row>
    <row r="6505" spans="1:4" x14ac:dyDescent="0.2">
      <c r="A6505"/>
      <c r="B6505"/>
      <c r="C6505"/>
      <c r="D6505"/>
    </row>
    <row r="6506" spans="1:4" x14ac:dyDescent="0.2">
      <c r="A6506"/>
      <c r="B6506"/>
      <c r="C6506"/>
      <c r="D6506"/>
    </row>
    <row r="6507" spans="1:4" x14ac:dyDescent="0.2">
      <c r="A6507"/>
      <c r="B6507"/>
      <c r="C6507"/>
      <c r="D6507"/>
    </row>
    <row r="6508" spans="1:4" x14ac:dyDescent="0.2">
      <c r="A6508"/>
      <c r="B6508"/>
      <c r="C6508"/>
      <c r="D6508"/>
    </row>
    <row r="6509" spans="1:4" x14ac:dyDescent="0.2">
      <c r="A6509"/>
      <c r="B6509"/>
      <c r="C6509"/>
      <c r="D6509"/>
    </row>
    <row r="6510" spans="1:4" x14ac:dyDescent="0.2">
      <c r="A6510"/>
      <c r="B6510"/>
      <c r="C6510"/>
      <c r="D6510"/>
    </row>
    <row r="6511" spans="1:4" x14ac:dyDescent="0.2">
      <c r="A6511"/>
      <c r="B6511"/>
      <c r="C6511"/>
      <c r="D6511"/>
    </row>
    <row r="6512" spans="1:4" x14ac:dyDescent="0.2">
      <c r="A6512"/>
      <c r="B6512"/>
      <c r="C6512"/>
      <c r="D6512"/>
    </row>
    <row r="6513" spans="1:4" x14ac:dyDescent="0.2">
      <c r="A6513"/>
      <c r="B6513"/>
      <c r="C6513"/>
      <c r="D6513"/>
    </row>
    <row r="6514" spans="1:4" x14ac:dyDescent="0.2">
      <c r="A6514"/>
      <c r="B6514"/>
      <c r="C6514"/>
      <c r="D6514"/>
    </row>
    <row r="6515" spans="1:4" x14ac:dyDescent="0.2">
      <c r="A6515"/>
      <c r="B6515"/>
      <c r="C6515"/>
      <c r="D6515"/>
    </row>
    <row r="6516" spans="1:4" x14ac:dyDescent="0.2">
      <c r="A6516"/>
      <c r="B6516"/>
      <c r="C6516"/>
      <c r="D6516"/>
    </row>
    <row r="6517" spans="1:4" x14ac:dyDescent="0.2">
      <c r="A6517"/>
      <c r="B6517"/>
      <c r="C6517"/>
      <c r="D6517"/>
    </row>
    <row r="6518" spans="1:4" x14ac:dyDescent="0.2">
      <c r="A6518"/>
      <c r="B6518"/>
      <c r="C6518"/>
      <c r="D6518"/>
    </row>
    <row r="6519" spans="1:4" x14ac:dyDescent="0.2">
      <c r="A6519"/>
      <c r="B6519"/>
      <c r="C6519"/>
      <c r="D6519"/>
    </row>
    <row r="6520" spans="1:4" x14ac:dyDescent="0.2">
      <c r="A6520"/>
      <c r="B6520"/>
      <c r="C6520"/>
      <c r="D6520"/>
    </row>
    <row r="6521" spans="1:4" x14ac:dyDescent="0.2">
      <c r="A6521"/>
      <c r="B6521"/>
      <c r="C6521"/>
      <c r="D6521"/>
    </row>
    <row r="6522" spans="1:4" x14ac:dyDescent="0.2">
      <c r="A6522"/>
      <c r="B6522"/>
      <c r="C6522"/>
      <c r="D6522"/>
    </row>
    <row r="6523" spans="1:4" x14ac:dyDescent="0.2">
      <c r="A6523"/>
      <c r="B6523"/>
      <c r="C6523"/>
      <c r="D6523"/>
    </row>
    <row r="6524" spans="1:4" x14ac:dyDescent="0.2">
      <c r="A6524"/>
      <c r="B6524"/>
      <c r="C6524"/>
      <c r="D6524"/>
    </row>
    <row r="6525" spans="1:4" x14ac:dyDescent="0.2">
      <c r="A6525"/>
      <c r="B6525"/>
      <c r="C6525"/>
      <c r="D6525"/>
    </row>
    <row r="6526" spans="1:4" x14ac:dyDescent="0.2">
      <c r="A6526"/>
      <c r="B6526"/>
      <c r="C6526"/>
      <c r="D6526"/>
    </row>
    <row r="6527" spans="1:4" x14ac:dyDescent="0.2">
      <c r="A6527"/>
      <c r="B6527"/>
      <c r="C6527"/>
      <c r="D6527"/>
    </row>
    <row r="6528" spans="1:4" x14ac:dyDescent="0.2">
      <c r="A6528"/>
      <c r="B6528"/>
      <c r="C6528"/>
      <c r="D6528"/>
    </row>
    <row r="6529" spans="1:4" x14ac:dyDescent="0.2">
      <c r="A6529"/>
      <c r="B6529"/>
      <c r="C6529"/>
      <c r="D6529"/>
    </row>
    <row r="6530" spans="1:4" x14ac:dyDescent="0.2">
      <c r="A6530"/>
      <c r="B6530"/>
      <c r="C6530"/>
      <c r="D6530"/>
    </row>
    <row r="6531" spans="1:4" x14ac:dyDescent="0.2">
      <c r="A6531"/>
      <c r="B6531"/>
      <c r="C6531"/>
      <c r="D6531"/>
    </row>
    <row r="6532" spans="1:4" x14ac:dyDescent="0.2">
      <c r="A6532"/>
      <c r="B6532"/>
      <c r="C6532"/>
      <c r="D6532"/>
    </row>
    <row r="6533" spans="1:4" x14ac:dyDescent="0.2">
      <c r="A6533"/>
      <c r="B6533"/>
      <c r="C6533"/>
      <c r="D6533"/>
    </row>
    <row r="6534" spans="1:4" x14ac:dyDescent="0.2">
      <c r="A6534"/>
      <c r="B6534"/>
      <c r="C6534"/>
      <c r="D6534"/>
    </row>
    <row r="6535" spans="1:4" x14ac:dyDescent="0.2">
      <c r="A6535"/>
      <c r="B6535"/>
      <c r="C6535"/>
      <c r="D6535"/>
    </row>
    <row r="6536" spans="1:4" x14ac:dyDescent="0.2">
      <c r="A6536"/>
      <c r="B6536"/>
      <c r="C6536"/>
      <c r="D6536"/>
    </row>
    <row r="6537" spans="1:4" x14ac:dyDescent="0.2">
      <c r="A6537"/>
      <c r="B6537"/>
      <c r="C6537"/>
      <c r="D6537"/>
    </row>
    <row r="6538" spans="1:4" x14ac:dyDescent="0.2">
      <c r="A6538"/>
      <c r="B6538"/>
      <c r="C6538"/>
      <c r="D6538"/>
    </row>
    <row r="6539" spans="1:4" x14ac:dyDescent="0.2">
      <c r="A6539"/>
      <c r="B6539"/>
      <c r="C6539"/>
      <c r="D6539"/>
    </row>
    <row r="6540" spans="1:4" x14ac:dyDescent="0.2">
      <c r="A6540"/>
      <c r="B6540"/>
      <c r="C6540"/>
      <c r="D6540"/>
    </row>
    <row r="6541" spans="1:4" x14ac:dyDescent="0.2">
      <c r="A6541"/>
      <c r="B6541"/>
      <c r="C6541"/>
      <c r="D6541"/>
    </row>
    <row r="6542" spans="1:4" x14ac:dyDescent="0.2">
      <c r="A6542"/>
      <c r="B6542"/>
      <c r="C6542"/>
      <c r="D6542"/>
    </row>
    <row r="6543" spans="1:4" x14ac:dyDescent="0.2">
      <c r="A6543"/>
      <c r="B6543"/>
      <c r="C6543"/>
      <c r="D6543"/>
    </row>
    <row r="6544" spans="1:4" x14ac:dyDescent="0.2">
      <c r="A6544"/>
      <c r="B6544"/>
      <c r="C6544"/>
      <c r="D6544"/>
    </row>
    <row r="6545" spans="1:4" x14ac:dyDescent="0.2">
      <c r="A6545"/>
      <c r="B6545"/>
      <c r="C6545"/>
      <c r="D6545"/>
    </row>
    <row r="6546" spans="1:4" x14ac:dyDescent="0.2">
      <c r="A6546"/>
      <c r="B6546"/>
      <c r="C6546"/>
      <c r="D6546"/>
    </row>
    <row r="6547" spans="1:4" x14ac:dyDescent="0.2">
      <c r="A6547"/>
      <c r="B6547"/>
      <c r="C6547"/>
      <c r="D6547"/>
    </row>
    <row r="6548" spans="1:4" x14ac:dyDescent="0.2">
      <c r="A6548"/>
      <c r="B6548"/>
      <c r="C6548"/>
      <c r="D6548"/>
    </row>
    <row r="6549" spans="1:4" x14ac:dyDescent="0.2">
      <c r="A6549"/>
      <c r="B6549"/>
      <c r="C6549"/>
      <c r="D6549"/>
    </row>
    <row r="6550" spans="1:4" x14ac:dyDescent="0.2">
      <c r="A6550"/>
      <c r="B6550"/>
      <c r="C6550"/>
      <c r="D6550"/>
    </row>
    <row r="6551" spans="1:4" x14ac:dyDescent="0.2">
      <c r="A6551"/>
      <c r="B6551"/>
      <c r="C6551"/>
      <c r="D6551"/>
    </row>
    <row r="6552" spans="1:4" x14ac:dyDescent="0.2">
      <c r="A6552"/>
      <c r="B6552"/>
      <c r="C6552"/>
      <c r="D6552"/>
    </row>
    <row r="6553" spans="1:4" x14ac:dyDescent="0.2">
      <c r="A6553"/>
      <c r="B6553"/>
      <c r="C6553"/>
      <c r="D6553"/>
    </row>
    <row r="6554" spans="1:4" x14ac:dyDescent="0.2">
      <c r="A6554"/>
      <c r="B6554"/>
      <c r="C6554"/>
      <c r="D6554"/>
    </row>
    <row r="6555" spans="1:4" x14ac:dyDescent="0.2">
      <c r="A6555"/>
      <c r="B6555"/>
      <c r="C6555"/>
      <c r="D6555"/>
    </row>
    <row r="6556" spans="1:4" x14ac:dyDescent="0.2">
      <c r="A6556"/>
      <c r="B6556"/>
      <c r="C6556"/>
      <c r="D6556"/>
    </row>
    <row r="6557" spans="1:4" x14ac:dyDescent="0.2">
      <c r="A6557"/>
      <c r="B6557"/>
      <c r="C6557"/>
      <c r="D6557"/>
    </row>
    <row r="6558" spans="1:4" x14ac:dyDescent="0.2">
      <c r="A6558"/>
      <c r="B6558"/>
      <c r="C6558"/>
      <c r="D6558"/>
    </row>
    <row r="6559" spans="1:4" x14ac:dyDescent="0.2">
      <c r="A6559"/>
      <c r="B6559"/>
      <c r="C6559"/>
      <c r="D6559"/>
    </row>
    <row r="6560" spans="1:4" x14ac:dyDescent="0.2">
      <c r="A6560"/>
      <c r="B6560"/>
      <c r="C6560"/>
      <c r="D6560"/>
    </row>
    <row r="6561" spans="1:4" x14ac:dyDescent="0.2">
      <c r="A6561"/>
      <c r="B6561"/>
      <c r="C6561"/>
      <c r="D6561"/>
    </row>
    <row r="6562" spans="1:4" x14ac:dyDescent="0.2">
      <c r="A6562"/>
      <c r="B6562"/>
      <c r="C6562"/>
      <c r="D6562"/>
    </row>
    <row r="6563" spans="1:4" x14ac:dyDescent="0.2">
      <c r="A6563"/>
      <c r="B6563"/>
      <c r="C6563"/>
      <c r="D6563"/>
    </row>
    <row r="6564" spans="1:4" x14ac:dyDescent="0.2">
      <c r="A6564"/>
      <c r="B6564"/>
      <c r="C6564"/>
      <c r="D6564"/>
    </row>
    <row r="6565" spans="1:4" x14ac:dyDescent="0.2">
      <c r="A6565"/>
      <c r="B6565"/>
      <c r="C6565"/>
      <c r="D6565"/>
    </row>
    <row r="6566" spans="1:4" x14ac:dyDescent="0.2">
      <c r="A6566"/>
      <c r="B6566"/>
      <c r="C6566"/>
      <c r="D6566"/>
    </row>
    <row r="6567" spans="1:4" x14ac:dyDescent="0.2">
      <c r="A6567"/>
      <c r="B6567"/>
      <c r="C6567"/>
      <c r="D6567"/>
    </row>
    <row r="6568" spans="1:4" x14ac:dyDescent="0.2">
      <c r="A6568"/>
      <c r="B6568"/>
      <c r="C6568"/>
      <c r="D6568"/>
    </row>
    <row r="6569" spans="1:4" x14ac:dyDescent="0.2">
      <c r="A6569"/>
      <c r="B6569"/>
      <c r="C6569"/>
      <c r="D6569"/>
    </row>
    <row r="6570" spans="1:4" x14ac:dyDescent="0.2">
      <c r="A6570"/>
      <c r="B6570"/>
      <c r="C6570"/>
      <c r="D6570"/>
    </row>
    <row r="6571" spans="1:4" x14ac:dyDescent="0.2">
      <c r="A6571"/>
      <c r="B6571"/>
      <c r="C6571"/>
      <c r="D6571"/>
    </row>
    <row r="6572" spans="1:4" x14ac:dyDescent="0.2">
      <c r="A6572"/>
      <c r="B6572"/>
      <c r="C6572"/>
      <c r="D6572"/>
    </row>
    <row r="6573" spans="1:4" x14ac:dyDescent="0.2">
      <c r="A6573"/>
      <c r="B6573"/>
      <c r="C6573"/>
      <c r="D6573"/>
    </row>
    <row r="6574" spans="1:4" x14ac:dyDescent="0.2">
      <c r="A6574"/>
      <c r="B6574"/>
      <c r="C6574"/>
      <c r="D6574"/>
    </row>
    <row r="6575" spans="1:4" x14ac:dyDescent="0.2">
      <c r="A6575"/>
      <c r="B6575"/>
      <c r="C6575"/>
      <c r="D6575"/>
    </row>
    <row r="6576" spans="1:4" x14ac:dyDescent="0.2">
      <c r="A6576"/>
      <c r="B6576"/>
      <c r="C6576"/>
      <c r="D6576"/>
    </row>
    <row r="6577" spans="1:4" x14ac:dyDescent="0.2">
      <c r="A6577"/>
      <c r="B6577"/>
      <c r="C6577"/>
      <c r="D6577"/>
    </row>
    <row r="6578" spans="1:4" x14ac:dyDescent="0.2">
      <c r="A6578"/>
      <c r="B6578"/>
      <c r="C6578"/>
      <c r="D6578"/>
    </row>
    <row r="6579" spans="1:4" x14ac:dyDescent="0.2">
      <c r="A6579"/>
      <c r="B6579"/>
      <c r="C6579"/>
      <c r="D6579"/>
    </row>
    <row r="6580" spans="1:4" x14ac:dyDescent="0.2">
      <c r="A6580"/>
      <c r="B6580"/>
      <c r="C6580"/>
      <c r="D6580"/>
    </row>
    <row r="6581" spans="1:4" x14ac:dyDescent="0.2">
      <c r="A6581"/>
      <c r="B6581"/>
      <c r="C6581"/>
      <c r="D6581"/>
    </row>
    <row r="6582" spans="1:4" x14ac:dyDescent="0.2">
      <c r="A6582"/>
      <c r="B6582"/>
      <c r="C6582"/>
      <c r="D6582"/>
    </row>
    <row r="6583" spans="1:4" x14ac:dyDescent="0.2">
      <c r="A6583"/>
      <c r="B6583"/>
      <c r="C6583"/>
      <c r="D6583"/>
    </row>
    <row r="6584" spans="1:4" x14ac:dyDescent="0.2">
      <c r="A6584"/>
      <c r="B6584"/>
      <c r="C6584"/>
      <c r="D6584"/>
    </row>
    <row r="6585" spans="1:4" x14ac:dyDescent="0.2">
      <c r="A6585"/>
      <c r="B6585"/>
      <c r="C6585"/>
      <c r="D6585"/>
    </row>
    <row r="6586" spans="1:4" x14ac:dyDescent="0.2">
      <c r="A6586"/>
      <c r="B6586"/>
      <c r="C6586"/>
      <c r="D6586"/>
    </row>
    <row r="6587" spans="1:4" x14ac:dyDescent="0.2">
      <c r="A6587"/>
      <c r="B6587"/>
      <c r="C6587"/>
      <c r="D6587"/>
    </row>
    <row r="6588" spans="1:4" x14ac:dyDescent="0.2">
      <c r="A6588"/>
      <c r="B6588"/>
      <c r="C6588"/>
      <c r="D6588"/>
    </row>
    <row r="6589" spans="1:4" x14ac:dyDescent="0.2">
      <c r="A6589"/>
      <c r="B6589"/>
      <c r="C6589"/>
      <c r="D6589"/>
    </row>
    <row r="6590" spans="1:4" x14ac:dyDescent="0.2">
      <c r="A6590"/>
      <c r="B6590"/>
      <c r="C6590"/>
      <c r="D6590"/>
    </row>
    <row r="6591" spans="1:4" x14ac:dyDescent="0.2">
      <c r="A6591"/>
      <c r="B6591"/>
      <c r="C6591"/>
      <c r="D6591"/>
    </row>
    <row r="6592" spans="1:4" x14ac:dyDescent="0.2">
      <c r="A6592"/>
      <c r="B6592"/>
      <c r="C6592"/>
      <c r="D6592"/>
    </row>
    <row r="6593" spans="1:4" x14ac:dyDescent="0.2">
      <c r="A6593"/>
      <c r="B6593"/>
      <c r="C6593"/>
      <c r="D6593"/>
    </row>
    <row r="6594" spans="1:4" x14ac:dyDescent="0.2">
      <c r="A6594"/>
      <c r="B6594"/>
      <c r="C6594"/>
      <c r="D6594"/>
    </row>
    <row r="6595" spans="1:4" x14ac:dyDescent="0.2">
      <c r="A6595"/>
      <c r="B6595"/>
      <c r="C6595"/>
      <c r="D6595"/>
    </row>
    <row r="6596" spans="1:4" x14ac:dyDescent="0.2">
      <c r="A6596"/>
      <c r="B6596"/>
      <c r="C6596"/>
      <c r="D6596"/>
    </row>
    <row r="6597" spans="1:4" x14ac:dyDescent="0.2">
      <c r="A6597"/>
      <c r="B6597"/>
      <c r="C6597"/>
      <c r="D6597"/>
    </row>
    <row r="6598" spans="1:4" x14ac:dyDescent="0.2">
      <c r="A6598"/>
      <c r="B6598"/>
      <c r="C6598"/>
      <c r="D6598"/>
    </row>
    <row r="6599" spans="1:4" x14ac:dyDescent="0.2">
      <c r="A6599"/>
      <c r="B6599"/>
      <c r="C6599"/>
      <c r="D6599"/>
    </row>
    <row r="6600" spans="1:4" x14ac:dyDescent="0.2">
      <c r="A6600"/>
      <c r="B6600"/>
      <c r="C6600"/>
      <c r="D6600"/>
    </row>
    <row r="6601" spans="1:4" x14ac:dyDescent="0.2">
      <c r="A6601"/>
      <c r="B6601"/>
      <c r="C6601"/>
      <c r="D6601"/>
    </row>
    <row r="6602" spans="1:4" x14ac:dyDescent="0.2">
      <c r="A6602"/>
      <c r="B6602"/>
      <c r="C6602"/>
      <c r="D6602"/>
    </row>
    <row r="6603" spans="1:4" x14ac:dyDescent="0.2">
      <c r="A6603"/>
      <c r="B6603"/>
      <c r="C6603"/>
      <c r="D6603"/>
    </row>
    <row r="6604" spans="1:4" x14ac:dyDescent="0.2">
      <c r="A6604"/>
      <c r="B6604"/>
      <c r="C6604"/>
      <c r="D6604"/>
    </row>
    <row r="6605" spans="1:4" x14ac:dyDescent="0.2">
      <c r="A6605"/>
      <c r="B6605"/>
      <c r="C6605"/>
      <c r="D6605"/>
    </row>
    <row r="6606" spans="1:4" x14ac:dyDescent="0.2">
      <c r="A6606"/>
      <c r="B6606"/>
      <c r="C6606"/>
      <c r="D6606"/>
    </row>
    <row r="6607" spans="1:4" x14ac:dyDescent="0.2">
      <c r="A6607"/>
      <c r="B6607"/>
      <c r="C6607"/>
      <c r="D6607"/>
    </row>
    <row r="6608" spans="1:4" x14ac:dyDescent="0.2">
      <c r="A6608"/>
      <c r="B6608"/>
      <c r="C6608"/>
      <c r="D6608"/>
    </row>
    <row r="6609" spans="1:4" x14ac:dyDescent="0.2">
      <c r="A6609"/>
      <c r="B6609"/>
      <c r="C6609"/>
      <c r="D6609"/>
    </row>
    <row r="6610" spans="1:4" x14ac:dyDescent="0.2">
      <c r="A6610"/>
      <c r="B6610"/>
      <c r="C6610"/>
      <c r="D6610"/>
    </row>
    <row r="6611" spans="1:4" x14ac:dyDescent="0.2">
      <c r="A6611"/>
      <c r="B6611"/>
      <c r="C6611"/>
      <c r="D6611"/>
    </row>
    <row r="6612" spans="1:4" x14ac:dyDescent="0.2">
      <c r="A6612"/>
      <c r="B6612"/>
      <c r="C6612"/>
      <c r="D6612"/>
    </row>
    <row r="6613" spans="1:4" x14ac:dyDescent="0.2">
      <c r="A6613"/>
      <c r="B6613"/>
      <c r="C6613"/>
      <c r="D6613"/>
    </row>
    <row r="6614" spans="1:4" x14ac:dyDescent="0.2">
      <c r="A6614"/>
      <c r="B6614"/>
      <c r="C6614"/>
      <c r="D6614"/>
    </row>
    <row r="6615" spans="1:4" x14ac:dyDescent="0.2">
      <c r="A6615"/>
      <c r="B6615"/>
      <c r="C6615"/>
      <c r="D6615"/>
    </row>
    <row r="6616" spans="1:4" x14ac:dyDescent="0.2">
      <c r="A6616"/>
      <c r="B6616"/>
      <c r="C6616"/>
      <c r="D6616"/>
    </row>
    <row r="6617" spans="1:4" x14ac:dyDescent="0.2">
      <c r="A6617"/>
      <c r="B6617"/>
      <c r="C6617"/>
      <c r="D6617"/>
    </row>
    <row r="6618" spans="1:4" x14ac:dyDescent="0.2">
      <c r="A6618"/>
      <c r="B6618"/>
      <c r="C6618"/>
      <c r="D6618"/>
    </row>
    <row r="6619" spans="1:4" x14ac:dyDescent="0.2">
      <c r="A6619"/>
      <c r="B6619"/>
      <c r="C6619"/>
      <c r="D6619"/>
    </row>
    <row r="6620" spans="1:4" x14ac:dyDescent="0.2">
      <c r="A6620"/>
      <c r="B6620"/>
      <c r="C6620"/>
      <c r="D6620"/>
    </row>
    <row r="6621" spans="1:4" x14ac:dyDescent="0.2">
      <c r="A6621"/>
      <c r="B6621"/>
      <c r="C6621"/>
      <c r="D6621"/>
    </row>
    <row r="6622" spans="1:4" x14ac:dyDescent="0.2">
      <c r="A6622"/>
      <c r="B6622"/>
      <c r="C6622"/>
      <c r="D6622"/>
    </row>
    <row r="6623" spans="1:4" x14ac:dyDescent="0.2">
      <c r="A6623"/>
      <c r="B6623"/>
      <c r="C6623"/>
      <c r="D6623"/>
    </row>
    <row r="6624" spans="1:4" x14ac:dyDescent="0.2">
      <c r="A6624"/>
      <c r="B6624"/>
      <c r="C6624"/>
      <c r="D6624"/>
    </row>
    <row r="6625" spans="1:4" x14ac:dyDescent="0.2">
      <c r="A6625"/>
      <c r="B6625"/>
      <c r="C6625"/>
      <c r="D6625"/>
    </row>
    <row r="6626" spans="1:4" x14ac:dyDescent="0.2">
      <c r="A6626"/>
      <c r="B6626"/>
      <c r="C6626"/>
      <c r="D6626"/>
    </row>
    <row r="6627" spans="1:4" x14ac:dyDescent="0.2">
      <c r="A6627"/>
      <c r="B6627"/>
      <c r="C6627"/>
      <c r="D6627"/>
    </row>
    <row r="6628" spans="1:4" x14ac:dyDescent="0.2">
      <c r="A6628"/>
      <c r="B6628"/>
      <c r="C6628"/>
      <c r="D6628"/>
    </row>
    <row r="6629" spans="1:4" x14ac:dyDescent="0.2">
      <c r="A6629"/>
      <c r="B6629"/>
      <c r="C6629"/>
      <c r="D6629"/>
    </row>
    <row r="6630" spans="1:4" x14ac:dyDescent="0.2">
      <c r="A6630"/>
      <c r="B6630"/>
      <c r="C6630"/>
      <c r="D6630"/>
    </row>
    <row r="6631" spans="1:4" x14ac:dyDescent="0.2">
      <c r="A6631"/>
      <c r="B6631"/>
      <c r="C6631"/>
      <c r="D6631"/>
    </row>
    <row r="6632" spans="1:4" x14ac:dyDescent="0.2">
      <c r="A6632"/>
      <c r="B6632"/>
      <c r="C6632"/>
      <c r="D6632"/>
    </row>
    <row r="6633" spans="1:4" x14ac:dyDescent="0.2">
      <c r="A6633"/>
      <c r="B6633"/>
      <c r="C6633"/>
      <c r="D6633"/>
    </row>
    <row r="6634" spans="1:4" x14ac:dyDescent="0.2">
      <c r="A6634"/>
      <c r="B6634"/>
      <c r="C6634"/>
      <c r="D6634"/>
    </row>
    <row r="6635" spans="1:4" x14ac:dyDescent="0.2">
      <c r="A6635"/>
      <c r="B6635"/>
      <c r="C6635"/>
      <c r="D6635"/>
    </row>
    <row r="6636" spans="1:4" x14ac:dyDescent="0.2">
      <c r="A6636"/>
      <c r="B6636"/>
      <c r="C6636"/>
      <c r="D6636"/>
    </row>
    <row r="6637" spans="1:4" x14ac:dyDescent="0.2">
      <c r="A6637"/>
      <c r="B6637"/>
      <c r="C6637"/>
      <c r="D6637"/>
    </row>
    <row r="6638" spans="1:4" x14ac:dyDescent="0.2">
      <c r="A6638"/>
      <c r="B6638"/>
      <c r="C6638"/>
      <c r="D6638"/>
    </row>
    <row r="6639" spans="1:4" x14ac:dyDescent="0.2">
      <c r="A6639"/>
      <c r="B6639"/>
      <c r="C6639"/>
      <c r="D6639"/>
    </row>
    <row r="6640" spans="1:4" x14ac:dyDescent="0.2">
      <c r="A6640"/>
      <c r="B6640"/>
      <c r="C6640"/>
      <c r="D6640"/>
    </row>
    <row r="6641" spans="1:4" x14ac:dyDescent="0.2">
      <c r="A6641"/>
      <c r="B6641"/>
      <c r="C6641"/>
      <c r="D6641"/>
    </row>
    <row r="6642" spans="1:4" x14ac:dyDescent="0.2">
      <c r="A6642"/>
      <c r="B6642"/>
      <c r="C6642"/>
      <c r="D6642"/>
    </row>
    <row r="6643" spans="1:4" x14ac:dyDescent="0.2">
      <c r="A6643"/>
      <c r="B6643"/>
      <c r="C6643"/>
      <c r="D6643"/>
    </row>
    <row r="6644" spans="1:4" x14ac:dyDescent="0.2">
      <c r="A6644"/>
      <c r="B6644"/>
      <c r="C6644"/>
      <c r="D6644"/>
    </row>
    <row r="6645" spans="1:4" x14ac:dyDescent="0.2">
      <c r="A6645"/>
      <c r="B6645"/>
      <c r="C6645"/>
      <c r="D6645"/>
    </row>
    <row r="6646" spans="1:4" x14ac:dyDescent="0.2">
      <c r="A6646"/>
      <c r="B6646"/>
      <c r="C6646"/>
      <c r="D6646"/>
    </row>
    <row r="6647" spans="1:4" x14ac:dyDescent="0.2">
      <c r="A6647"/>
      <c r="B6647"/>
      <c r="C6647"/>
      <c r="D6647"/>
    </row>
    <row r="6648" spans="1:4" x14ac:dyDescent="0.2">
      <c r="A6648"/>
      <c r="B6648"/>
      <c r="C6648"/>
      <c r="D6648"/>
    </row>
    <row r="6649" spans="1:4" x14ac:dyDescent="0.2">
      <c r="A6649"/>
      <c r="B6649"/>
      <c r="C6649"/>
      <c r="D6649"/>
    </row>
    <row r="6650" spans="1:4" x14ac:dyDescent="0.2">
      <c r="A6650"/>
      <c r="B6650"/>
      <c r="C6650"/>
      <c r="D6650"/>
    </row>
    <row r="6651" spans="1:4" x14ac:dyDescent="0.2">
      <c r="A6651"/>
      <c r="B6651"/>
      <c r="C6651"/>
      <c r="D6651"/>
    </row>
    <row r="6652" spans="1:4" x14ac:dyDescent="0.2">
      <c r="A6652"/>
      <c r="B6652"/>
      <c r="C6652"/>
      <c r="D6652"/>
    </row>
    <row r="6653" spans="1:4" x14ac:dyDescent="0.2">
      <c r="A6653"/>
      <c r="B6653"/>
      <c r="C6653"/>
      <c r="D6653"/>
    </row>
    <row r="6654" spans="1:4" x14ac:dyDescent="0.2">
      <c r="A6654"/>
      <c r="B6654"/>
      <c r="C6654"/>
      <c r="D6654"/>
    </row>
    <row r="6655" spans="1:4" x14ac:dyDescent="0.2">
      <c r="A6655"/>
      <c r="B6655"/>
      <c r="C6655"/>
      <c r="D6655"/>
    </row>
    <row r="6656" spans="1:4" x14ac:dyDescent="0.2">
      <c r="A6656"/>
      <c r="B6656"/>
      <c r="C6656"/>
      <c r="D6656"/>
    </row>
    <row r="6657" spans="1:4" x14ac:dyDescent="0.2">
      <c r="A6657"/>
      <c r="B6657"/>
      <c r="C6657"/>
      <c r="D6657"/>
    </row>
    <row r="6658" spans="1:4" x14ac:dyDescent="0.2">
      <c r="A6658"/>
      <c r="B6658"/>
      <c r="C6658"/>
      <c r="D6658"/>
    </row>
    <row r="6659" spans="1:4" x14ac:dyDescent="0.2">
      <c r="A6659"/>
      <c r="B6659"/>
      <c r="C6659"/>
      <c r="D6659"/>
    </row>
    <row r="6660" spans="1:4" x14ac:dyDescent="0.2">
      <c r="A6660"/>
      <c r="B6660"/>
      <c r="C6660"/>
      <c r="D6660"/>
    </row>
    <row r="6661" spans="1:4" x14ac:dyDescent="0.2">
      <c r="A6661"/>
      <c r="B6661"/>
      <c r="C6661"/>
      <c r="D6661"/>
    </row>
    <row r="6662" spans="1:4" x14ac:dyDescent="0.2">
      <c r="A6662"/>
      <c r="B6662"/>
      <c r="C6662"/>
      <c r="D6662"/>
    </row>
    <row r="6663" spans="1:4" x14ac:dyDescent="0.2">
      <c r="A6663"/>
      <c r="B6663"/>
      <c r="C6663"/>
      <c r="D6663"/>
    </row>
    <row r="6664" spans="1:4" x14ac:dyDescent="0.2">
      <c r="A6664"/>
      <c r="B6664"/>
      <c r="C6664"/>
      <c r="D6664"/>
    </row>
    <row r="6665" spans="1:4" x14ac:dyDescent="0.2">
      <c r="A6665"/>
      <c r="B6665"/>
      <c r="C6665"/>
      <c r="D6665"/>
    </row>
    <row r="6666" spans="1:4" x14ac:dyDescent="0.2">
      <c r="A6666"/>
      <c r="B6666"/>
      <c r="C6666"/>
      <c r="D6666"/>
    </row>
    <row r="6667" spans="1:4" x14ac:dyDescent="0.2">
      <c r="A6667"/>
      <c r="B6667"/>
      <c r="C6667"/>
      <c r="D6667"/>
    </row>
    <row r="6668" spans="1:4" x14ac:dyDescent="0.2">
      <c r="A6668"/>
      <c r="B6668"/>
      <c r="C6668"/>
      <c r="D6668"/>
    </row>
    <row r="6669" spans="1:4" x14ac:dyDescent="0.2">
      <c r="A6669"/>
      <c r="B6669"/>
      <c r="C6669"/>
      <c r="D6669"/>
    </row>
    <row r="6670" spans="1:4" x14ac:dyDescent="0.2">
      <c r="A6670"/>
      <c r="B6670"/>
      <c r="C6670"/>
      <c r="D6670"/>
    </row>
    <row r="6671" spans="1:4" x14ac:dyDescent="0.2">
      <c r="A6671"/>
      <c r="B6671"/>
      <c r="C6671"/>
      <c r="D6671"/>
    </row>
    <row r="6672" spans="1:4" x14ac:dyDescent="0.2">
      <c r="A6672"/>
      <c r="B6672"/>
      <c r="C6672"/>
      <c r="D6672"/>
    </row>
    <row r="6673" spans="1:4" x14ac:dyDescent="0.2">
      <c r="A6673"/>
      <c r="B6673"/>
      <c r="C6673"/>
      <c r="D6673"/>
    </row>
    <row r="6674" spans="1:4" x14ac:dyDescent="0.2">
      <c r="A6674"/>
      <c r="B6674"/>
      <c r="C6674"/>
      <c r="D6674"/>
    </row>
    <row r="6675" spans="1:4" x14ac:dyDescent="0.2">
      <c r="A6675"/>
      <c r="B6675"/>
      <c r="C6675"/>
      <c r="D6675"/>
    </row>
    <row r="6676" spans="1:4" x14ac:dyDescent="0.2">
      <c r="A6676"/>
      <c r="B6676"/>
      <c r="C6676"/>
      <c r="D6676"/>
    </row>
    <row r="6677" spans="1:4" x14ac:dyDescent="0.2">
      <c r="A6677"/>
      <c r="B6677"/>
      <c r="C6677"/>
      <c r="D6677"/>
    </row>
    <row r="6678" spans="1:4" x14ac:dyDescent="0.2">
      <c r="A6678"/>
      <c r="B6678"/>
      <c r="C6678"/>
      <c r="D6678"/>
    </row>
    <row r="6679" spans="1:4" x14ac:dyDescent="0.2">
      <c r="A6679"/>
      <c r="B6679"/>
      <c r="C6679"/>
      <c r="D6679"/>
    </row>
    <row r="6680" spans="1:4" x14ac:dyDescent="0.2">
      <c r="A6680"/>
      <c r="B6680"/>
      <c r="C6680"/>
      <c r="D6680"/>
    </row>
    <row r="6681" spans="1:4" x14ac:dyDescent="0.2">
      <c r="A6681"/>
      <c r="B6681"/>
      <c r="C6681"/>
      <c r="D6681"/>
    </row>
    <row r="6682" spans="1:4" x14ac:dyDescent="0.2">
      <c r="A6682"/>
      <c r="B6682"/>
      <c r="C6682"/>
      <c r="D6682"/>
    </row>
    <row r="6683" spans="1:4" x14ac:dyDescent="0.2">
      <c r="A6683"/>
      <c r="B6683"/>
      <c r="C6683"/>
      <c r="D6683"/>
    </row>
    <row r="6684" spans="1:4" x14ac:dyDescent="0.2">
      <c r="A6684"/>
      <c r="B6684"/>
      <c r="C6684"/>
      <c r="D6684"/>
    </row>
    <row r="6685" spans="1:4" x14ac:dyDescent="0.2">
      <c r="A6685"/>
      <c r="B6685"/>
      <c r="C6685"/>
      <c r="D6685"/>
    </row>
    <row r="6686" spans="1:4" x14ac:dyDescent="0.2">
      <c r="A6686"/>
      <c r="B6686"/>
      <c r="C6686"/>
      <c r="D6686"/>
    </row>
    <row r="6687" spans="1:4" x14ac:dyDescent="0.2">
      <c r="A6687"/>
      <c r="B6687"/>
      <c r="C6687"/>
      <c r="D6687"/>
    </row>
    <row r="6688" spans="1:4" x14ac:dyDescent="0.2">
      <c r="A6688"/>
      <c r="B6688"/>
      <c r="C6688"/>
      <c r="D6688"/>
    </row>
    <row r="6689" spans="1:4" x14ac:dyDescent="0.2">
      <c r="A6689"/>
      <c r="B6689"/>
      <c r="C6689"/>
      <c r="D6689"/>
    </row>
    <row r="6690" spans="1:4" x14ac:dyDescent="0.2">
      <c r="A6690"/>
      <c r="B6690"/>
      <c r="C6690"/>
      <c r="D6690"/>
    </row>
    <row r="6691" spans="1:4" x14ac:dyDescent="0.2">
      <c r="A6691"/>
      <c r="B6691"/>
      <c r="C6691"/>
      <c r="D6691"/>
    </row>
    <row r="6692" spans="1:4" x14ac:dyDescent="0.2">
      <c r="A6692"/>
      <c r="B6692"/>
      <c r="C6692"/>
      <c r="D6692"/>
    </row>
    <row r="6693" spans="1:4" x14ac:dyDescent="0.2">
      <c r="A6693"/>
      <c r="B6693"/>
      <c r="C6693"/>
      <c r="D6693"/>
    </row>
    <row r="6694" spans="1:4" x14ac:dyDescent="0.2">
      <c r="A6694"/>
      <c r="B6694"/>
      <c r="C6694"/>
      <c r="D6694"/>
    </row>
    <row r="6695" spans="1:4" x14ac:dyDescent="0.2">
      <c r="A6695"/>
      <c r="B6695"/>
      <c r="C6695"/>
      <c r="D6695"/>
    </row>
    <row r="6696" spans="1:4" x14ac:dyDescent="0.2">
      <c r="A6696"/>
      <c r="B6696"/>
      <c r="C6696"/>
      <c r="D6696"/>
    </row>
    <row r="6697" spans="1:4" x14ac:dyDescent="0.2">
      <c r="A6697"/>
      <c r="B6697"/>
      <c r="C6697"/>
      <c r="D6697"/>
    </row>
    <row r="6698" spans="1:4" x14ac:dyDescent="0.2">
      <c r="A6698"/>
      <c r="B6698"/>
      <c r="C6698"/>
      <c r="D6698"/>
    </row>
    <row r="6699" spans="1:4" x14ac:dyDescent="0.2">
      <c r="A6699"/>
      <c r="B6699"/>
      <c r="C6699"/>
      <c r="D6699"/>
    </row>
    <row r="6700" spans="1:4" x14ac:dyDescent="0.2">
      <c r="A6700"/>
      <c r="B6700"/>
      <c r="C6700"/>
      <c r="D6700"/>
    </row>
    <row r="6701" spans="1:4" x14ac:dyDescent="0.2">
      <c r="A6701"/>
      <c r="B6701"/>
      <c r="C6701"/>
      <c r="D6701"/>
    </row>
    <row r="6702" spans="1:4" x14ac:dyDescent="0.2">
      <c r="A6702"/>
      <c r="B6702"/>
      <c r="C6702"/>
      <c r="D6702"/>
    </row>
    <row r="6703" spans="1:4" x14ac:dyDescent="0.2">
      <c r="A6703"/>
      <c r="B6703"/>
      <c r="C6703"/>
      <c r="D6703"/>
    </row>
    <row r="6704" spans="1:4" x14ac:dyDescent="0.2">
      <c r="A6704"/>
      <c r="B6704"/>
      <c r="C6704"/>
      <c r="D6704"/>
    </row>
    <row r="6705" spans="1:4" x14ac:dyDescent="0.2">
      <c r="A6705"/>
      <c r="B6705"/>
      <c r="C6705"/>
      <c r="D6705"/>
    </row>
    <row r="6706" spans="1:4" x14ac:dyDescent="0.2">
      <c r="A6706"/>
      <c r="B6706"/>
      <c r="C6706"/>
      <c r="D6706"/>
    </row>
    <row r="6707" spans="1:4" x14ac:dyDescent="0.2">
      <c r="A6707"/>
      <c r="B6707"/>
      <c r="C6707"/>
      <c r="D6707"/>
    </row>
    <row r="6708" spans="1:4" x14ac:dyDescent="0.2">
      <c r="A6708"/>
      <c r="B6708"/>
      <c r="C6708"/>
      <c r="D6708"/>
    </row>
    <row r="6709" spans="1:4" x14ac:dyDescent="0.2">
      <c r="A6709"/>
      <c r="B6709"/>
      <c r="C6709"/>
      <c r="D6709"/>
    </row>
    <row r="6710" spans="1:4" x14ac:dyDescent="0.2">
      <c r="A6710"/>
      <c r="B6710"/>
      <c r="C6710"/>
      <c r="D6710"/>
    </row>
    <row r="6711" spans="1:4" x14ac:dyDescent="0.2">
      <c r="A6711"/>
      <c r="B6711"/>
      <c r="C6711"/>
      <c r="D6711"/>
    </row>
    <row r="6712" spans="1:4" x14ac:dyDescent="0.2">
      <c r="A6712"/>
      <c r="B6712"/>
      <c r="C6712"/>
      <c r="D6712"/>
    </row>
    <row r="6713" spans="1:4" x14ac:dyDescent="0.2">
      <c r="A6713"/>
      <c r="B6713"/>
      <c r="C6713"/>
      <c r="D6713"/>
    </row>
    <row r="6714" spans="1:4" x14ac:dyDescent="0.2">
      <c r="A6714"/>
      <c r="B6714"/>
      <c r="C6714"/>
      <c r="D6714"/>
    </row>
    <row r="6715" spans="1:4" x14ac:dyDescent="0.2">
      <c r="A6715"/>
      <c r="B6715"/>
      <c r="C6715"/>
      <c r="D6715"/>
    </row>
    <row r="6716" spans="1:4" x14ac:dyDescent="0.2">
      <c r="A6716"/>
      <c r="B6716"/>
      <c r="C6716"/>
      <c r="D6716"/>
    </row>
    <row r="6717" spans="1:4" x14ac:dyDescent="0.2">
      <c r="A6717"/>
      <c r="B6717"/>
      <c r="C6717"/>
      <c r="D6717"/>
    </row>
    <row r="6718" spans="1:4" x14ac:dyDescent="0.2">
      <c r="A6718"/>
      <c r="B6718"/>
      <c r="C6718"/>
      <c r="D6718"/>
    </row>
    <row r="6719" spans="1:4" x14ac:dyDescent="0.2">
      <c r="A6719"/>
      <c r="B6719"/>
      <c r="C6719"/>
      <c r="D6719"/>
    </row>
    <row r="6720" spans="1:4" x14ac:dyDescent="0.2">
      <c r="A6720"/>
      <c r="B6720"/>
      <c r="C6720"/>
      <c r="D6720"/>
    </row>
    <row r="6721" spans="1:4" x14ac:dyDescent="0.2">
      <c r="A6721"/>
      <c r="B6721"/>
      <c r="C6721"/>
      <c r="D6721"/>
    </row>
    <row r="6722" spans="1:4" x14ac:dyDescent="0.2">
      <c r="A6722"/>
      <c r="B6722"/>
      <c r="C6722"/>
      <c r="D6722"/>
    </row>
    <row r="6723" spans="1:4" x14ac:dyDescent="0.2">
      <c r="A6723"/>
      <c r="B6723"/>
      <c r="C6723"/>
      <c r="D6723"/>
    </row>
    <row r="6724" spans="1:4" x14ac:dyDescent="0.2">
      <c r="A6724"/>
      <c r="B6724"/>
      <c r="C6724"/>
      <c r="D6724"/>
    </row>
    <row r="6725" spans="1:4" x14ac:dyDescent="0.2">
      <c r="A6725"/>
      <c r="B6725"/>
      <c r="C6725"/>
      <c r="D6725"/>
    </row>
    <row r="6726" spans="1:4" x14ac:dyDescent="0.2">
      <c r="A6726"/>
      <c r="B6726"/>
      <c r="C6726"/>
      <c r="D6726"/>
    </row>
    <row r="6727" spans="1:4" x14ac:dyDescent="0.2">
      <c r="A6727"/>
      <c r="B6727"/>
      <c r="C6727"/>
      <c r="D6727"/>
    </row>
    <row r="6728" spans="1:4" x14ac:dyDescent="0.2">
      <c r="A6728"/>
      <c r="B6728"/>
      <c r="C6728"/>
      <c r="D6728"/>
    </row>
    <row r="6729" spans="1:4" x14ac:dyDescent="0.2">
      <c r="A6729"/>
      <c r="B6729"/>
      <c r="C6729"/>
      <c r="D6729"/>
    </row>
    <row r="6730" spans="1:4" x14ac:dyDescent="0.2">
      <c r="A6730"/>
      <c r="B6730"/>
      <c r="C6730"/>
      <c r="D6730"/>
    </row>
    <row r="6731" spans="1:4" x14ac:dyDescent="0.2">
      <c r="A6731"/>
      <c r="B6731"/>
      <c r="C6731"/>
      <c r="D6731"/>
    </row>
    <row r="6732" spans="1:4" x14ac:dyDescent="0.2">
      <c r="A6732"/>
      <c r="B6732"/>
      <c r="C6732"/>
      <c r="D6732"/>
    </row>
    <row r="6733" spans="1:4" x14ac:dyDescent="0.2">
      <c r="A6733"/>
      <c r="B6733"/>
      <c r="C6733"/>
      <c r="D6733"/>
    </row>
    <row r="6734" spans="1:4" x14ac:dyDescent="0.2">
      <c r="A6734"/>
      <c r="B6734"/>
      <c r="C6734"/>
      <c r="D6734"/>
    </row>
    <row r="6735" spans="1:4" x14ac:dyDescent="0.2">
      <c r="A6735"/>
      <c r="B6735"/>
      <c r="C6735"/>
      <c r="D6735"/>
    </row>
    <row r="6736" spans="1:4" x14ac:dyDescent="0.2">
      <c r="A6736"/>
      <c r="B6736"/>
      <c r="C6736"/>
      <c r="D6736"/>
    </row>
    <row r="6737" spans="1:4" x14ac:dyDescent="0.2">
      <c r="A6737"/>
      <c r="B6737"/>
      <c r="C6737"/>
      <c r="D6737"/>
    </row>
    <row r="6738" spans="1:4" x14ac:dyDescent="0.2">
      <c r="A6738"/>
      <c r="B6738"/>
      <c r="C6738"/>
      <c r="D6738"/>
    </row>
    <row r="6739" spans="1:4" x14ac:dyDescent="0.2">
      <c r="A6739"/>
      <c r="B6739"/>
      <c r="C6739"/>
      <c r="D6739"/>
    </row>
    <row r="6740" spans="1:4" x14ac:dyDescent="0.2">
      <c r="A6740"/>
      <c r="B6740"/>
      <c r="C6740"/>
      <c r="D6740"/>
    </row>
    <row r="6741" spans="1:4" x14ac:dyDescent="0.2">
      <c r="A6741"/>
      <c r="B6741"/>
      <c r="C6741"/>
      <c r="D6741"/>
    </row>
    <row r="6742" spans="1:4" x14ac:dyDescent="0.2">
      <c r="A6742"/>
      <c r="B6742"/>
      <c r="C6742"/>
      <c r="D6742"/>
    </row>
    <row r="6743" spans="1:4" x14ac:dyDescent="0.2">
      <c r="A6743"/>
      <c r="B6743"/>
      <c r="C6743"/>
      <c r="D6743"/>
    </row>
    <row r="6744" spans="1:4" x14ac:dyDescent="0.2">
      <c r="A6744"/>
      <c r="B6744"/>
      <c r="C6744"/>
      <c r="D6744"/>
    </row>
    <row r="6745" spans="1:4" x14ac:dyDescent="0.2">
      <c r="A6745"/>
      <c r="B6745"/>
      <c r="C6745"/>
      <c r="D6745"/>
    </row>
    <row r="6746" spans="1:4" x14ac:dyDescent="0.2">
      <c r="A6746"/>
      <c r="B6746"/>
      <c r="C6746"/>
      <c r="D6746"/>
    </row>
    <row r="6747" spans="1:4" x14ac:dyDescent="0.2">
      <c r="A6747"/>
      <c r="B6747"/>
      <c r="C6747"/>
      <c r="D6747"/>
    </row>
    <row r="6748" spans="1:4" x14ac:dyDescent="0.2">
      <c r="A6748"/>
      <c r="B6748"/>
      <c r="C6748"/>
      <c r="D6748"/>
    </row>
    <row r="6749" spans="1:4" x14ac:dyDescent="0.2">
      <c r="A6749"/>
      <c r="B6749"/>
      <c r="C6749"/>
      <c r="D6749"/>
    </row>
    <row r="6750" spans="1:4" x14ac:dyDescent="0.2">
      <c r="A6750"/>
      <c r="B6750"/>
      <c r="C6750"/>
      <c r="D6750"/>
    </row>
    <row r="6751" spans="1:4" x14ac:dyDescent="0.2">
      <c r="A6751"/>
      <c r="B6751"/>
      <c r="C6751"/>
      <c r="D6751"/>
    </row>
    <row r="6752" spans="1:4" x14ac:dyDescent="0.2">
      <c r="A6752"/>
      <c r="B6752"/>
      <c r="C6752"/>
      <c r="D6752"/>
    </row>
    <row r="6753" spans="1:4" x14ac:dyDescent="0.2">
      <c r="A6753"/>
      <c r="B6753"/>
      <c r="C6753"/>
      <c r="D6753"/>
    </row>
    <row r="6754" spans="1:4" x14ac:dyDescent="0.2">
      <c r="A6754"/>
      <c r="B6754"/>
      <c r="C6754"/>
      <c r="D6754"/>
    </row>
    <row r="6755" spans="1:4" x14ac:dyDescent="0.2">
      <c r="A6755"/>
      <c r="B6755"/>
      <c r="C6755"/>
      <c r="D6755"/>
    </row>
    <row r="6756" spans="1:4" x14ac:dyDescent="0.2">
      <c r="A6756"/>
      <c r="B6756"/>
      <c r="C6756"/>
      <c r="D6756"/>
    </row>
    <row r="6757" spans="1:4" x14ac:dyDescent="0.2">
      <c r="A6757"/>
      <c r="B6757"/>
      <c r="C6757"/>
      <c r="D6757"/>
    </row>
    <row r="6758" spans="1:4" x14ac:dyDescent="0.2">
      <c r="A6758"/>
      <c r="B6758"/>
      <c r="C6758"/>
      <c r="D6758"/>
    </row>
    <row r="6759" spans="1:4" x14ac:dyDescent="0.2">
      <c r="A6759"/>
      <c r="B6759"/>
      <c r="C6759"/>
      <c r="D6759"/>
    </row>
    <row r="6760" spans="1:4" x14ac:dyDescent="0.2">
      <c r="A6760"/>
      <c r="B6760"/>
      <c r="C6760"/>
      <c r="D6760"/>
    </row>
    <row r="6761" spans="1:4" x14ac:dyDescent="0.2">
      <c r="A6761"/>
      <c r="B6761"/>
      <c r="C6761"/>
      <c r="D6761"/>
    </row>
    <row r="6762" spans="1:4" x14ac:dyDescent="0.2">
      <c r="A6762"/>
      <c r="B6762"/>
      <c r="C6762"/>
      <c r="D6762"/>
    </row>
    <row r="6763" spans="1:4" x14ac:dyDescent="0.2">
      <c r="A6763"/>
      <c r="B6763"/>
      <c r="C6763"/>
      <c r="D6763"/>
    </row>
    <row r="6764" spans="1:4" x14ac:dyDescent="0.2">
      <c r="A6764"/>
      <c r="B6764"/>
      <c r="C6764"/>
      <c r="D6764"/>
    </row>
    <row r="6765" spans="1:4" x14ac:dyDescent="0.2">
      <c r="A6765"/>
      <c r="B6765"/>
      <c r="C6765"/>
      <c r="D6765"/>
    </row>
    <row r="6766" spans="1:4" x14ac:dyDescent="0.2">
      <c r="A6766"/>
      <c r="B6766"/>
      <c r="C6766"/>
      <c r="D6766"/>
    </row>
    <row r="6767" spans="1:4" x14ac:dyDescent="0.2">
      <c r="A6767"/>
      <c r="B6767"/>
      <c r="C6767"/>
      <c r="D6767"/>
    </row>
    <row r="6768" spans="1:4" x14ac:dyDescent="0.2">
      <c r="A6768"/>
      <c r="B6768"/>
      <c r="C6768"/>
      <c r="D6768"/>
    </row>
    <row r="6769" spans="1:4" x14ac:dyDescent="0.2">
      <c r="A6769"/>
      <c r="B6769"/>
      <c r="C6769"/>
      <c r="D6769"/>
    </row>
    <row r="6770" spans="1:4" x14ac:dyDescent="0.2">
      <c r="A6770"/>
      <c r="B6770"/>
      <c r="C6770"/>
      <c r="D6770"/>
    </row>
    <row r="6771" spans="1:4" x14ac:dyDescent="0.2">
      <c r="A6771"/>
      <c r="B6771"/>
      <c r="C6771"/>
      <c r="D6771"/>
    </row>
    <row r="6772" spans="1:4" x14ac:dyDescent="0.2">
      <c r="A6772"/>
      <c r="B6772"/>
      <c r="C6772"/>
      <c r="D6772"/>
    </row>
    <row r="6773" spans="1:4" x14ac:dyDescent="0.2">
      <c r="A6773"/>
      <c r="B6773"/>
      <c r="C6773"/>
      <c r="D6773"/>
    </row>
    <row r="6774" spans="1:4" x14ac:dyDescent="0.2">
      <c r="A6774"/>
      <c r="B6774"/>
      <c r="C6774"/>
      <c r="D6774"/>
    </row>
    <row r="6775" spans="1:4" x14ac:dyDescent="0.2">
      <c r="A6775"/>
      <c r="B6775"/>
      <c r="C6775"/>
      <c r="D6775"/>
    </row>
    <row r="6776" spans="1:4" x14ac:dyDescent="0.2">
      <c r="A6776"/>
      <c r="B6776"/>
      <c r="C6776"/>
      <c r="D6776"/>
    </row>
    <row r="6777" spans="1:4" x14ac:dyDescent="0.2">
      <c r="A6777"/>
      <c r="B6777"/>
      <c r="C6777"/>
      <c r="D6777"/>
    </row>
    <row r="6778" spans="1:4" x14ac:dyDescent="0.2">
      <c r="A6778"/>
      <c r="B6778"/>
      <c r="C6778"/>
      <c r="D6778"/>
    </row>
    <row r="6779" spans="1:4" x14ac:dyDescent="0.2">
      <c r="A6779"/>
      <c r="B6779"/>
      <c r="C6779"/>
      <c r="D6779"/>
    </row>
    <row r="6780" spans="1:4" x14ac:dyDescent="0.2">
      <c r="A6780"/>
      <c r="B6780"/>
      <c r="C6780"/>
      <c r="D6780"/>
    </row>
    <row r="6781" spans="1:4" x14ac:dyDescent="0.2">
      <c r="A6781"/>
      <c r="B6781"/>
      <c r="C6781"/>
      <c r="D6781"/>
    </row>
    <row r="6782" spans="1:4" x14ac:dyDescent="0.2">
      <c r="A6782"/>
      <c r="B6782"/>
      <c r="C6782"/>
      <c r="D6782"/>
    </row>
    <row r="6783" spans="1:4" x14ac:dyDescent="0.2">
      <c r="A6783"/>
      <c r="B6783"/>
      <c r="C6783"/>
      <c r="D6783"/>
    </row>
    <row r="6784" spans="1:4" x14ac:dyDescent="0.2">
      <c r="A6784"/>
      <c r="B6784"/>
      <c r="C6784"/>
      <c r="D6784"/>
    </row>
    <row r="6785" spans="1:4" x14ac:dyDescent="0.2">
      <c r="A6785"/>
      <c r="B6785"/>
      <c r="C6785"/>
      <c r="D6785"/>
    </row>
    <row r="6786" spans="1:4" x14ac:dyDescent="0.2">
      <c r="A6786"/>
      <c r="B6786"/>
      <c r="C6786"/>
      <c r="D6786"/>
    </row>
    <row r="6787" spans="1:4" x14ac:dyDescent="0.2">
      <c r="A6787"/>
      <c r="B6787"/>
      <c r="C6787"/>
      <c r="D6787"/>
    </row>
    <row r="6788" spans="1:4" x14ac:dyDescent="0.2">
      <c r="A6788"/>
      <c r="B6788"/>
      <c r="C6788"/>
      <c r="D6788"/>
    </row>
    <row r="6789" spans="1:4" x14ac:dyDescent="0.2">
      <c r="A6789"/>
      <c r="B6789"/>
      <c r="C6789"/>
      <c r="D6789"/>
    </row>
    <row r="6790" spans="1:4" x14ac:dyDescent="0.2">
      <c r="A6790"/>
      <c r="B6790"/>
      <c r="C6790"/>
      <c r="D6790"/>
    </row>
    <row r="6791" spans="1:4" x14ac:dyDescent="0.2">
      <c r="A6791"/>
      <c r="B6791"/>
      <c r="C6791"/>
      <c r="D6791"/>
    </row>
    <row r="6792" spans="1:4" x14ac:dyDescent="0.2">
      <c r="A6792"/>
      <c r="B6792"/>
      <c r="C6792"/>
      <c r="D6792"/>
    </row>
    <row r="6793" spans="1:4" x14ac:dyDescent="0.2">
      <c r="A6793"/>
      <c r="B6793"/>
      <c r="C6793"/>
      <c r="D6793"/>
    </row>
    <row r="6794" spans="1:4" x14ac:dyDescent="0.2">
      <c r="A6794"/>
      <c r="B6794"/>
      <c r="C6794"/>
      <c r="D6794"/>
    </row>
    <row r="6795" spans="1:4" x14ac:dyDescent="0.2">
      <c r="A6795"/>
      <c r="B6795"/>
      <c r="C6795"/>
      <c r="D6795"/>
    </row>
    <row r="6796" spans="1:4" x14ac:dyDescent="0.2">
      <c r="A6796"/>
      <c r="B6796"/>
      <c r="C6796"/>
      <c r="D6796"/>
    </row>
    <row r="6797" spans="1:4" x14ac:dyDescent="0.2">
      <c r="A6797"/>
      <c r="B6797"/>
      <c r="C6797"/>
      <c r="D6797"/>
    </row>
    <row r="6798" spans="1:4" x14ac:dyDescent="0.2">
      <c r="A6798"/>
      <c r="B6798"/>
      <c r="C6798"/>
      <c r="D6798"/>
    </row>
    <row r="6799" spans="1:4" x14ac:dyDescent="0.2">
      <c r="A6799"/>
      <c r="B6799"/>
      <c r="C6799"/>
      <c r="D6799"/>
    </row>
    <row r="6800" spans="1:4" x14ac:dyDescent="0.2">
      <c r="A6800"/>
      <c r="B6800"/>
      <c r="C6800"/>
      <c r="D6800"/>
    </row>
    <row r="6801" spans="1:4" x14ac:dyDescent="0.2">
      <c r="A6801"/>
      <c r="B6801"/>
      <c r="C6801"/>
      <c r="D6801"/>
    </row>
    <row r="6802" spans="1:4" x14ac:dyDescent="0.2">
      <c r="A6802"/>
      <c r="B6802"/>
      <c r="C6802"/>
      <c r="D6802"/>
    </row>
    <row r="6803" spans="1:4" x14ac:dyDescent="0.2">
      <c r="A6803"/>
      <c r="B6803"/>
      <c r="C6803"/>
      <c r="D6803"/>
    </row>
    <row r="6804" spans="1:4" x14ac:dyDescent="0.2">
      <c r="A6804"/>
      <c r="B6804"/>
      <c r="C6804"/>
      <c r="D6804"/>
    </row>
    <row r="6805" spans="1:4" x14ac:dyDescent="0.2">
      <c r="A6805"/>
      <c r="B6805"/>
      <c r="C6805"/>
      <c r="D6805"/>
    </row>
    <row r="6806" spans="1:4" x14ac:dyDescent="0.2">
      <c r="A6806"/>
      <c r="B6806"/>
      <c r="C6806"/>
      <c r="D6806"/>
    </row>
    <row r="6807" spans="1:4" x14ac:dyDescent="0.2">
      <c r="A6807"/>
      <c r="B6807"/>
      <c r="C6807"/>
      <c r="D6807"/>
    </row>
    <row r="6808" spans="1:4" x14ac:dyDescent="0.2">
      <c r="A6808"/>
      <c r="B6808"/>
      <c r="C6808"/>
      <c r="D6808"/>
    </row>
    <row r="6809" spans="1:4" x14ac:dyDescent="0.2">
      <c r="A6809"/>
      <c r="B6809"/>
      <c r="C6809"/>
      <c r="D6809"/>
    </row>
    <row r="6810" spans="1:4" x14ac:dyDescent="0.2">
      <c r="A6810"/>
      <c r="B6810"/>
      <c r="C6810"/>
      <c r="D6810"/>
    </row>
    <row r="6811" spans="1:4" x14ac:dyDescent="0.2">
      <c r="A6811"/>
      <c r="B6811"/>
      <c r="C6811"/>
      <c r="D6811"/>
    </row>
    <row r="6812" spans="1:4" x14ac:dyDescent="0.2">
      <c r="A6812"/>
      <c r="B6812"/>
      <c r="C6812"/>
      <c r="D6812"/>
    </row>
    <row r="6813" spans="1:4" x14ac:dyDescent="0.2">
      <c r="A6813"/>
      <c r="B6813"/>
      <c r="C6813"/>
      <c r="D6813"/>
    </row>
    <row r="6814" spans="1:4" x14ac:dyDescent="0.2">
      <c r="A6814"/>
      <c r="B6814"/>
      <c r="C6814"/>
      <c r="D6814"/>
    </row>
    <row r="6815" spans="1:4" x14ac:dyDescent="0.2">
      <c r="A6815"/>
      <c r="B6815"/>
      <c r="C6815"/>
      <c r="D6815"/>
    </row>
    <row r="6816" spans="1:4" x14ac:dyDescent="0.2">
      <c r="A6816"/>
      <c r="B6816"/>
      <c r="C6816"/>
      <c r="D6816"/>
    </row>
    <row r="6817" spans="1:4" x14ac:dyDescent="0.2">
      <c r="A6817"/>
      <c r="B6817"/>
      <c r="C6817"/>
      <c r="D6817"/>
    </row>
    <row r="6818" spans="1:4" x14ac:dyDescent="0.2">
      <c r="A6818"/>
      <c r="B6818"/>
      <c r="C6818"/>
      <c r="D6818"/>
    </row>
    <row r="6819" spans="1:4" x14ac:dyDescent="0.2">
      <c r="A6819"/>
      <c r="B6819"/>
      <c r="C6819"/>
      <c r="D6819"/>
    </row>
    <row r="6820" spans="1:4" x14ac:dyDescent="0.2">
      <c r="A6820"/>
      <c r="B6820"/>
      <c r="C6820"/>
      <c r="D6820"/>
    </row>
    <row r="6821" spans="1:4" x14ac:dyDescent="0.2">
      <c r="A6821"/>
      <c r="B6821"/>
      <c r="C6821"/>
      <c r="D6821"/>
    </row>
    <row r="6822" spans="1:4" x14ac:dyDescent="0.2">
      <c r="A6822"/>
      <c r="B6822"/>
      <c r="C6822"/>
      <c r="D6822"/>
    </row>
    <row r="6823" spans="1:4" x14ac:dyDescent="0.2">
      <c r="A6823"/>
      <c r="B6823"/>
      <c r="C6823"/>
      <c r="D6823"/>
    </row>
    <row r="6824" spans="1:4" x14ac:dyDescent="0.2">
      <c r="A6824"/>
      <c r="B6824"/>
      <c r="C6824"/>
      <c r="D6824"/>
    </row>
    <row r="6825" spans="1:4" x14ac:dyDescent="0.2">
      <c r="A6825"/>
      <c r="B6825"/>
      <c r="C6825"/>
      <c r="D6825"/>
    </row>
    <row r="6826" spans="1:4" x14ac:dyDescent="0.2">
      <c r="A6826"/>
      <c r="B6826"/>
      <c r="C6826"/>
      <c r="D6826"/>
    </row>
    <row r="6827" spans="1:4" x14ac:dyDescent="0.2">
      <c r="A6827"/>
      <c r="B6827"/>
      <c r="C6827"/>
      <c r="D6827"/>
    </row>
    <row r="6828" spans="1:4" x14ac:dyDescent="0.2">
      <c r="A6828"/>
      <c r="B6828"/>
      <c r="C6828"/>
      <c r="D6828"/>
    </row>
    <row r="6829" spans="1:4" x14ac:dyDescent="0.2">
      <c r="A6829"/>
      <c r="B6829"/>
      <c r="C6829"/>
      <c r="D6829"/>
    </row>
    <row r="6830" spans="1:4" x14ac:dyDescent="0.2">
      <c r="A6830"/>
      <c r="B6830"/>
      <c r="C6830"/>
      <c r="D6830"/>
    </row>
    <row r="6831" spans="1:4" x14ac:dyDescent="0.2">
      <c r="A6831"/>
      <c r="B6831"/>
      <c r="C6831"/>
      <c r="D6831"/>
    </row>
    <row r="6832" spans="1:4" x14ac:dyDescent="0.2">
      <c r="A6832"/>
      <c r="B6832"/>
      <c r="C6832"/>
      <c r="D6832"/>
    </row>
    <row r="6833" spans="1:4" x14ac:dyDescent="0.2">
      <c r="A6833"/>
      <c r="B6833"/>
      <c r="C6833"/>
      <c r="D6833"/>
    </row>
    <row r="6834" spans="1:4" x14ac:dyDescent="0.2">
      <c r="A6834"/>
      <c r="B6834"/>
      <c r="C6834"/>
      <c r="D6834"/>
    </row>
    <row r="6835" spans="1:4" x14ac:dyDescent="0.2">
      <c r="A6835"/>
      <c r="B6835"/>
      <c r="C6835"/>
      <c r="D6835"/>
    </row>
    <row r="6836" spans="1:4" x14ac:dyDescent="0.2">
      <c r="A6836"/>
      <c r="B6836"/>
      <c r="C6836"/>
      <c r="D6836"/>
    </row>
    <row r="6837" spans="1:4" x14ac:dyDescent="0.2">
      <c r="A6837"/>
      <c r="B6837"/>
      <c r="C6837"/>
      <c r="D6837"/>
    </row>
    <row r="6838" spans="1:4" x14ac:dyDescent="0.2">
      <c r="A6838"/>
      <c r="B6838"/>
      <c r="C6838"/>
      <c r="D6838"/>
    </row>
    <row r="6839" spans="1:4" x14ac:dyDescent="0.2">
      <c r="A6839"/>
      <c r="B6839"/>
      <c r="C6839"/>
      <c r="D6839"/>
    </row>
    <row r="6840" spans="1:4" x14ac:dyDescent="0.2">
      <c r="A6840"/>
      <c r="B6840"/>
      <c r="C6840"/>
      <c r="D6840"/>
    </row>
    <row r="6841" spans="1:4" x14ac:dyDescent="0.2">
      <c r="A6841"/>
      <c r="B6841"/>
      <c r="C6841"/>
      <c r="D6841"/>
    </row>
    <row r="6842" spans="1:4" x14ac:dyDescent="0.2">
      <c r="A6842"/>
      <c r="B6842"/>
      <c r="C6842"/>
      <c r="D6842"/>
    </row>
    <row r="6843" spans="1:4" x14ac:dyDescent="0.2">
      <c r="A6843"/>
      <c r="B6843"/>
      <c r="C6843"/>
      <c r="D6843"/>
    </row>
    <row r="6844" spans="1:4" x14ac:dyDescent="0.2">
      <c r="A6844"/>
      <c r="B6844"/>
      <c r="C6844"/>
      <c r="D6844"/>
    </row>
    <row r="6845" spans="1:4" x14ac:dyDescent="0.2">
      <c r="A6845"/>
      <c r="B6845"/>
      <c r="C6845"/>
      <c r="D6845"/>
    </row>
    <row r="6846" spans="1:4" x14ac:dyDescent="0.2">
      <c r="A6846"/>
      <c r="B6846"/>
      <c r="C6846"/>
      <c r="D6846"/>
    </row>
    <row r="6847" spans="1:4" x14ac:dyDescent="0.2">
      <c r="A6847"/>
      <c r="B6847"/>
      <c r="C6847"/>
      <c r="D6847"/>
    </row>
    <row r="6848" spans="1:4" x14ac:dyDescent="0.2">
      <c r="A6848"/>
      <c r="B6848"/>
      <c r="C6848"/>
      <c r="D6848"/>
    </row>
    <row r="6849" spans="1:4" x14ac:dyDescent="0.2">
      <c r="A6849"/>
      <c r="B6849"/>
      <c r="C6849"/>
      <c r="D6849"/>
    </row>
    <row r="6850" spans="1:4" x14ac:dyDescent="0.2">
      <c r="A6850"/>
      <c r="B6850"/>
      <c r="C6850"/>
      <c r="D6850"/>
    </row>
    <row r="6851" spans="1:4" x14ac:dyDescent="0.2">
      <c r="A6851"/>
      <c r="B6851"/>
      <c r="C6851"/>
      <c r="D6851"/>
    </row>
    <row r="6852" spans="1:4" x14ac:dyDescent="0.2">
      <c r="A6852"/>
      <c r="B6852"/>
      <c r="C6852"/>
      <c r="D6852"/>
    </row>
    <row r="6853" spans="1:4" x14ac:dyDescent="0.2">
      <c r="A6853"/>
      <c r="B6853"/>
      <c r="C6853"/>
      <c r="D6853"/>
    </row>
    <row r="6854" spans="1:4" x14ac:dyDescent="0.2">
      <c r="A6854"/>
      <c r="B6854"/>
      <c r="C6854"/>
      <c r="D6854"/>
    </row>
    <row r="6855" spans="1:4" x14ac:dyDescent="0.2">
      <c r="A6855"/>
      <c r="B6855"/>
      <c r="C6855"/>
      <c r="D6855"/>
    </row>
    <row r="6856" spans="1:4" x14ac:dyDescent="0.2">
      <c r="A6856"/>
      <c r="B6856"/>
      <c r="C6856"/>
      <c r="D6856"/>
    </row>
    <row r="6857" spans="1:4" x14ac:dyDescent="0.2">
      <c r="A6857"/>
      <c r="B6857"/>
      <c r="C6857"/>
      <c r="D6857"/>
    </row>
    <row r="6858" spans="1:4" x14ac:dyDescent="0.2">
      <c r="A6858"/>
      <c r="B6858"/>
      <c r="C6858"/>
      <c r="D6858"/>
    </row>
    <row r="6859" spans="1:4" x14ac:dyDescent="0.2">
      <c r="A6859"/>
      <c r="B6859"/>
      <c r="C6859"/>
      <c r="D6859"/>
    </row>
    <row r="6860" spans="1:4" x14ac:dyDescent="0.2">
      <c r="A6860"/>
      <c r="B6860"/>
      <c r="C6860"/>
      <c r="D6860"/>
    </row>
    <row r="6861" spans="1:4" x14ac:dyDescent="0.2">
      <c r="A6861"/>
      <c r="B6861"/>
      <c r="C6861"/>
      <c r="D6861"/>
    </row>
    <row r="6862" spans="1:4" x14ac:dyDescent="0.2">
      <c r="A6862"/>
      <c r="B6862"/>
      <c r="C6862"/>
      <c r="D6862"/>
    </row>
    <row r="6863" spans="1:4" x14ac:dyDescent="0.2">
      <c r="A6863"/>
      <c r="B6863"/>
      <c r="C6863"/>
      <c r="D6863"/>
    </row>
    <row r="6864" spans="1:4" x14ac:dyDescent="0.2">
      <c r="A6864"/>
      <c r="B6864"/>
      <c r="C6864"/>
      <c r="D6864"/>
    </row>
    <row r="6865" spans="1:4" x14ac:dyDescent="0.2">
      <c r="A6865"/>
      <c r="B6865"/>
      <c r="C6865"/>
      <c r="D6865"/>
    </row>
    <row r="6866" spans="1:4" x14ac:dyDescent="0.2">
      <c r="A6866"/>
      <c r="B6866"/>
      <c r="C6866"/>
      <c r="D6866"/>
    </row>
    <row r="6867" spans="1:4" x14ac:dyDescent="0.2">
      <c r="A6867"/>
      <c r="B6867"/>
      <c r="C6867"/>
      <c r="D6867"/>
    </row>
    <row r="6868" spans="1:4" x14ac:dyDescent="0.2">
      <c r="A6868"/>
      <c r="B6868"/>
      <c r="C6868"/>
      <c r="D6868"/>
    </row>
    <row r="6869" spans="1:4" x14ac:dyDescent="0.2">
      <c r="A6869"/>
      <c r="B6869"/>
      <c r="C6869"/>
      <c r="D6869"/>
    </row>
    <row r="6870" spans="1:4" x14ac:dyDescent="0.2">
      <c r="A6870"/>
      <c r="B6870"/>
      <c r="C6870"/>
      <c r="D6870"/>
    </row>
    <row r="6871" spans="1:4" x14ac:dyDescent="0.2">
      <c r="A6871"/>
      <c r="B6871"/>
      <c r="C6871"/>
      <c r="D6871"/>
    </row>
    <row r="6872" spans="1:4" x14ac:dyDescent="0.2">
      <c r="A6872"/>
      <c r="B6872"/>
      <c r="C6872"/>
      <c r="D6872"/>
    </row>
    <row r="6873" spans="1:4" x14ac:dyDescent="0.2">
      <c r="A6873"/>
      <c r="B6873"/>
      <c r="C6873"/>
      <c r="D6873"/>
    </row>
    <row r="6874" spans="1:4" x14ac:dyDescent="0.2">
      <c r="A6874"/>
      <c r="B6874"/>
      <c r="C6874"/>
      <c r="D6874"/>
    </row>
    <row r="6875" spans="1:4" x14ac:dyDescent="0.2">
      <c r="A6875"/>
      <c r="B6875"/>
      <c r="C6875"/>
      <c r="D6875"/>
    </row>
    <row r="6876" spans="1:4" x14ac:dyDescent="0.2">
      <c r="A6876"/>
      <c r="B6876"/>
      <c r="C6876"/>
      <c r="D6876"/>
    </row>
    <row r="6877" spans="1:4" x14ac:dyDescent="0.2">
      <c r="A6877"/>
      <c r="B6877"/>
      <c r="C6877"/>
      <c r="D6877"/>
    </row>
    <row r="6878" spans="1:4" x14ac:dyDescent="0.2">
      <c r="A6878"/>
      <c r="B6878"/>
      <c r="C6878"/>
      <c r="D6878"/>
    </row>
    <row r="6879" spans="1:4" x14ac:dyDescent="0.2">
      <c r="A6879"/>
      <c r="B6879"/>
      <c r="C6879"/>
      <c r="D6879"/>
    </row>
    <row r="6880" spans="1:4" x14ac:dyDescent="0.2">
      <c r="A6880"/>
      <c r="B6880"/>
      <c r="C6880"/>
      <c r="D6880"/>
    </row>
    <row r="6881" spans="1:4" x14ac:dyDescent="0.2">
      <c r="A6881"/>
      <c r="B6881"/>
      <c r="C6881"/>
      <c r="D6881"/>
    </row>
    <row r="6882" spans="1:4" x14ac:dyDescent="0.2">
      <c r="A6882"/>
      <c r="B6882"/>
      <c r="C6882"/>
      <c r="D6882"/>
    </row>
    <row r="6883" spans="1:4" x14ac:dyDescent="0.2">
      <c r="A6883"/>
      <c r="B6883"/>
      <c r="C6883"/>
      <c r="D6883"/>
    </row>
    <row r="6884" spans="1:4" x14ac:dyDescent="0.2">
      <c r="A6884"/>
      <c r="B6884"/>
      <c r="C6884"/>
      <c r="D6884"/>
    </row>
    <row r="6885" spans="1:4" x14ac:dyDescent="0.2">
      <c r="A6885"/>
      <c r="B6885"/>
      <c r="C6885"/>
      <c r="D6885"/>
    </row>
    <row r="6886" spans="1:4" x14ac:dyDescent="0.2">
      <c r="A6886"/>
      <c r="B6886"/>
      <c r="C6886"/>
      <c r="D6886"/>
    </row>
    <row r="6887" spans="1:4" x14ac:dyDescent="0.2">
      <c r="A6887"/>
      <c r="B6887"/>
      <c r="C6887"/>
      <c r="D6887"/>
    </row>
    <row r="6888" spans="1:4" x14ac:dyDescent="0.2">
      <c r="A6888"/>
      <c r="B6888"/>
      <c r="C6888"/>
      <c r="D6888"/>
    </row>
    <row r="6889" spans="1:4" x14ac:dyDescent="0.2">
      <c r="A6889"/>
      <c r="B6889"/>
      <c r="C6889"/>
      <c r="D6889"/>
    </row>
    <row r="6890" spans="1:4" x14ac:dyDescent="0.2">
      <c r="A6890"/>
      <c r="B6890"/>
      <c r="C6890"/>
      <c r="D6890"/>
    </row>
    <row r="6891" spans="1:4" x14ac:dyDescent="0.2">
      <c r="A6891"/>
      <c r="B6891"/>
      <c r="C6891"/>
      <c r="D6891"/>
    </row>
    <row r="6892" spans="1:4" x14ac:dyDescent="0.2">
      <c r="A6892"/>
      <c r="B6892"/>
      <c r="C6892"/>
      <c r="D6892"/>
    </row>
    <row r="6893" spans="1:4" x14ac:dyDescent="0.2">
      <c r="A6893"/>
      <c r="B6893"/>
      <c r="C6893"/>
      <c r="D6893"/>
    </row>
    <row r="6894" spans="1:4" x14ac:dyDescent="0.2">
      <c r="A6894"/>
      <c r="B6894"/>
      <c r="C6894"/>
      <c r="D6894"/>
    </row>
    <row r="6895" spans="1:4" x14ac:dyDescent="0.2">
      <c r="A6895"/>
      <c r="B6895"/>
      <c r="C6895"/>
      <c r="D6895"/>
    </row>
    <row r="6896" spans="1:4" x14ac:dyDescent="0.2">
      <c r="A6896"/>
      <c r="B6896"/>
      <c r="C6896"/>
      <c r="D6896"/>
    </row>
    <row r="6897" spans="1:4" x14ac:dyDescent="0.2">
      <c r="A6897"/>
      <c r="B6897"/>
      <c r="C6897"/>
      <c r="D6897"/>
    </row>
    <row r="6898" spans="1:4" x14ac:dyDescent="0.2">
      <c r="A6898"/>
      <c r="B6898"/>
      <c r="C6898"/>
      <c r="D6898"/>
    </row>
    <row r="6899" spans="1:4" x14ac:dyDescent="0.2">
      <c r="A6899"/>
      <c r="B6899"/>
      <c r="C6899"/>
      <c r="D6899"/>
    </row>
    <row r="6900" spans="1:4" x14ac:dyDescent="0.2">
      <c r="A6900"/>
      <c r="B6900"/>
      <c r="C6900"/>
      <c r="D6900"/>
    </row>
    <row r="6901" spans="1:4" x14ac:dyDescent="0.2">
      <c r="A6901"/>
      <c r="B6901"/>
      <c r="C6901"/>
      <c r="D6901"/>
    </row>
    <row r="6902" spans="1:4" x14ac:dyDescent="0.2">
      <c r="A6902"/>
      <c r="B6902"/>
      <c r="C6902"/>
      <c r="D6902"/>
    </row>
    <row r="6903" spans="1:4" x14ac:dyDescent="0.2">
      <c r="A6903"/>
      <c r="B6903"/>
      <c r="C6903"/>
      <c r="D6903"/>
    </row>
    <row r="6904" spans="1:4" x14ac:dyDescent="0.2">
      <c r="A6904"/>
      <c r="B6904"/>
      <c r="C6904"/>
      <c r="D6904"/>
    </row>
    <row r="6905" spans="1:4" x14ac:dyDescent="0.2">
      <c r="A6905"/>
      <c r="B6905"/>
      <c r="C6905"/>
      <c r="D6905"/>
    </row>
    <row r="6906" spans="1:4" x14ac:dyDescent="0.2">
      <c r="A6906"/>
      <c r="B6906"/>
      <c r="C6906"/>
      <c r="D6906"/>
    </row>
    <row r="6907" spans="1:4" x14ac:dyDescent="0.2">
      <c r="A6907"/>
      <c r="B6907"/>
      <c r="C6907"/>
      <c r="D6907"/>
    </row>
    <row r="6908" spans="1:4" x14ac:dyDescent="0.2">
      <c r="A6908"/>
      <c r="B6908"/>
      <c r="C6908"/>
      <c r="D6908"/>
    </row>
    <row r="6909" spans="1:4" x14ac:dyDescent="0.2">
      <c r="A6909"/>
      <c r="B6909"/>
      <c r="C6909"/>
      <c r="D6909"/>
    </row>
    <row r="6910" spans="1:4" x14ac:dyDescent="0.2">
      <c r="A6910"/>
      <c r="B6910"/>
      <c r="C6910"/>
      <c r="D6910"/>
    </row>
    <row r="6911" spans="1:4" x14ac:dyDescent="0.2">
      <c r="A6911"/>
      <c r="B6911"/>
      <c r="C6911"/>
      <c r="D6911"/>
    </row>
    <row r="6912" spans="1:4" x14ac:dyDescent="0.2">
      <c r="A6912"/>
      <c r="B6912"/>
      <c r="C6912"/>
      <c r="D6912"/>
    </row>
    <row r="6913" spans="1:4" x14ac:dyDescent="0.2">
      <c r="A6913"/>
      <c r="B6913"/>
      <c r="C6913"/>
      <c r="D6913"/>
    </row>
    <row r="6914" spans="1:4" x14ac:dyDescent="0.2">
      <c r="A6914"/>
      <c r="B6914"/>
      <c r="C6914"/>
      <c r="D6914"/>
    </row>
    <row r="6915" spans="1:4" x14ac:dyDescent="0.2">
      <c r="A6915"/>
      <c r="B6915"/>
      <c r="C6915"/>
      <c r="D6915"/>
    </row>
    <row r="6916" spans="1:4" x14ac:dyDescent="0.2">
      <c r="A6916"/>
      <c r="B6916"/>
      <c r="C6916"/>
      <c r="D6916"/>
    </row>
    <row r="6917" spans="1:4" x14ac:dyDescent="0.2">
      <c r="A6917"/>
      <c r="B6917"/>
      <c r="C6917"/>
      <c r="D6917"/>
    </row>
    <row r="6918" spans="1:4" x14ac:dyDescent="0.2">
      <c r="A6918"/>
      <c r="B6918"/>
      <c r="C6918"/>
      <c r="D6918"/>
    </row>
    <row r="6919" spans="1:4" x14ac:dyDescent="0.2">
      <c r="A6919"/>
      <c r="B6919"/>
      <c r="C6919"/>
      <c r="D6919"/>
    </row>
    <row r="6920" spans="1:4" x14ac:dyDescent="0.2">
      <c r="A6920"/>
      <c r="B6920"/>
      <c r="C6920"/>
      <c r="D6920"/>
    </row>
    <row r="6921" spans="1:4" x14ac:dyDescent="0.2">
      <c r="A6921"/>
      <c r="B6921"/>
      <c r="C6921"/>
      <c r="D6921"/>
    </row>
    <row r="6922" spans="1:4" x14ac:dyDescent="0.2">
      <c r="A6922"/>
      <c r="B6922"/>
      <c r="C6922"/>
      <c r="D6922"/>
    </row>
    <row r="6923" spans="1:4" x14ac:dyDescent="0.2">
      <c r="A6923"/>
      <c r="B6923"/>
      <c r="C6923"/>
      <c r="D6923"/>
    </row>
    <row r="6924" spans="1:4" x14ac:dyDescent="0.2">
      <c r="A6924"/>
      <c r="B6924"/>
      <c r="C6924"/>
      <c r="D6924"/>
    </row>
    <row r="6925" spans="1:4" x14ac:dyDescent="0.2">
      <c r="A6925"/>
      <c r="B6925"/>
      <c r="C6925"/>
      <c r="D6925"/>
    </row>
    <row r="6926" spans="1:4" x14ac:dyDescent="0.2">
      <c r="A6926"/>
      <c r="B6926"/>
      <c r="C6926"/>
      <c r="D6926"/>
    </row>
    <row r="6927" spans="1:4" x14ac:dyDescent="0.2">
      <c r="A6927"/>
      <c r="B6927"/>
      <c r="C6927"/>
      <c r="D6927"/>
    </row>
    <row r="6928" spans="1:4" x14ac:dyDescent="0.2">
      <c r="A6928"/>
      <c r="B6928"/>
      <c r="C6928"/>
      <c r="D6928"/>
    </row>
    <row r="6929" spans="1:4" x14ac:dyDescent="0.2">
      <c r="A6929"/>
      <c r="B6929"/>
      <c r="C6929"/>
      <c r="D6929"/>
    </row>
    <row r="6930" spans="1:4" x14ac:dyDescent="0.2">
      <c r="A6930"/>
      <c r="B6930"/>
      <c r="C6930"/>
      <c r="D6930"/>
    </row>
    <row r="6931" spans="1:4" x14ac:dyDescent="0.2">
      <c r="A6931"/>
      <c r="B6931"/>
      <c r="C6931"/>
      <c r="D6931"/>
    </row>
    <row r="6932" spans="1:4" x14ac:dyDescent="0.2">
      <c r="A6932"/>
      <c r="B6932"/>
      <c r="C6932"/>
      <c r="D6932"/>
    </row>
    <row r="6933" spans="1:4" x14ac:dyDescent="0.2">
      <c r="A6933"/>
      <c r="B6933"/>
      <c r="C6933"/>
      <c r="D6933"/>
    </row>
    <row r="6934" spans="1:4" x14ac:dyDescent="0.2">
      <c r="A6934"/>
      <c r="B6934"/>
      <c r="C6934"/>
      <c r="D6934"/>
    </row>
    <row r="6935" spans="1:4" x14ac:dyDescent="0.2">
      <c r="A6935"/>
      <c r="B6935"/>
      <c r="C6935"/>
      <c r="D6935"/>
    </row>
    <row r="6936" spans="1:4" x14ac:dyDescent="0.2">
      <c r="A6936"/>
      <c r="B6936"/>
      <c r="C6936"/>
      <c r="D6936"/>
    </row>
    <row r="6937" spans="1:4" x14ac:dyDescent="0.2">
      <c r="A6937"/>
      <c r="B6937"/>
      <c r="C6937"/>
      <c r="D6937"/>
    </row>
    <row r="6938" spans="1:4" x14ac:dyDescent="0.2">
      <c r="A6938"/>
      <c r="B6938"/>
      <c r="C6938"/>
      <c r="D6938"/>
    </row>
    <row r="6939" spans="1:4" x14ac:dyDescent="0.2">
      <c r="A6939"/>
      <c r="B6939"/>
      <c r="C6939"/>
      <c r="D6939"/>
    </row>
    <row r="6940" spans="1:4" x14ac:dyDescent="0.2">
      <c r="A6940"/>
      <c r="B6940"/>
      <c r="C6940"/>
      <c r="D6940"/>
    </row>
    <row r="6941" spans="1:4" x14ac:dyDescent="0.2">
      <c r="A6941"/>
      <c r="B6941"/>
      <c r="C6941"/>
      <c r="D6941"/>
    </row>
    <row r="6942" spans="1:4" x14ac:dyDescent="0.2">
      <c r="A6942"/>
      <c r="B6942"/>
      <c r="C6942"/>
      <c r="D6942"/>
    </row>
    <row r="6943" spans="1:4" x14ac:dyDescent="0.2">
      <c r="A6943"/>
      <c r="B6943"/>
      <c r="C6943"/>
      <c r="D6943"/>
    </row>
    <row r="6944" spans="1:4" x14ac:dyDescent="0.2">
      <c r="A6944"/>
      <c r="B6944"/>
      <c r="C6944"/>
      <c r="D6944"/>
    </row>
    <row r="6945" spans="1:4" x14ac:dyDescent="0.2">
      <c r="A6945"/>
      <c r="B6945"/>
      <c r="C6945"/>
      <c r="D6945"/>
    </row>
    <row r="6946" spans="1:4" x14ac:dyDescent="0.2">
      <c r="A6946"/>
      <c r="B6946"/>
      <c r="C6946"/>
      <c r="D6946"/>
    </row>
    <row r="6947" spans="1:4" x14ac:dyDescent="0.2">
      <c r="A6947"/>
      <c r="B6947"/>
      <c r="C6947"/>
      <c r="D6947"/>
    </row>
    <row r="6948" spans="1:4" x14ac:dyDescent="0.2">
      <c r="A6948"/>
      <c r="B6948"/>
      <c r="C6948"/>
      <c r="D6948"/>
    </row>
    <row r="6949" spans="1:4" x14ac:dyDescent="0.2">
      <c r="A6949"/>
      <c r="B6949"/>
      <c r="C6949"/>
      <c r="D6949"/>
    </row>
    <row r="6950" spans="1:4" x14ac:dyDescent="0.2">
      <c r="A6950"/>
      <c r="B6950"/>
      <c r="C6950"/>
      <c r="D6950"/>
    </row>
    <row r="6951" spans="1:4" x14ac:dyDescent="0.2">
      <c r="A6951"/>
      <c r="B6951"/>
      <c r="C6951"/>
      <c r="D6951"/>
    </row>
    <row r="6952" spans="1:4" x14ac:dyDescent="0.2">
      <c r="A6952"/>
      <c r="B6952"/>
      <c r="C6952"/>
      <c r="D6952"/>
    </row>
    <row r="6953" spans="1:4" x14ac:dyDescent="0.2">
      <c r="A6953"/>
      <c r="B6953"/>
      <c r="C6953"/>
      <c r="D6953"/>
    </row>
    <row r="6954" spans="1:4" x14ac:dyDescent="0.2">
      <c r="A6954"/>
      <c r="B6954"/>
      <c r="C6954"/>
      <c r="D6954"/>
    </row>
    <row r="6955" spans="1:4" x14ac:dyDescent="0.2">
      <c r="A6955"/>
      <c r="B6955"/>
      <c r="C6955"/>
      <c r="D6955"/>
    </row>
    <row r="6956" spans="1:4" x14ac:dyDescent="0.2">
      <c r="A6956"/>
      <c r="B6956"/>
      <c r="C6956"/>
      <c r="D6956"/>
    </row>
    <row r="6957" spans="1:4" x14ac:dyDescent="0.2">
      <c r="A6957"/>
      <c r="B6957"/>
      <c r="C6957"/>
      <c r="D6957"/>
    </row>
    <row r="6958" spans="1:4" x14ac:dyDescent="0.2">
      <c r="A6958"/>
      <c r="B6958"/>
      <c r="C6958"/>
      <c r="D6958"/>
    </row>
    <row r="6959" spans="1:4" x14ac:dyDescent="0.2">
      <c r="A6959"/>
      <c r="B6959"/>
      <c r="C6959"/>
      <c r="D6959"/>
    </row>
    <row r="6960" spans="1:4" x14ac:dyDescent="0.2">
      <c r="A6960"/>
      <c r="B6960"/>
      <c r="C6960"/>
      <c r="D6960"/>
    </row>
    <row r="6961" spans="1:4" x14ac:dyDescent="0.2">
      <c r="A6961"/>
      <c r="B6961"/>
      <c r="C6961"/>
      <c r="D6961"/>
    </row>
    <row r="6962" spans="1:4" x14ac:dyDescent="0.2">
      <c r="A6962"/>
      <c r="B6962"/>
      <c r="C6962"/>
      <c r="D6962"/>
    </row>
    <row r="6963" spans="1:4" x14ac:dyDescent="0.2">
      <c r="A6963"/>
      <c r="B6963"/>
      <c r="C6963"/>
      <c r="D6963"/>
    </row>
    <row r="6964" spans="1:4" x14ac:dyDescent="0.2">
      <c r="A6964"/>
      <c r="B6964"/>
      <c r="C6964"/>
      <c r="D6964"/>
    </row>
    <row r="6965" spans="1:4" x14ac:dyDescent="0.2">
      <c r="A6965"/>
      <c r="B6965"/>
      <c r="C6965"/>
      <c r="D6965"/>
    </row>
    <row r="6966" spans="1:4" x14ac:dyDescent="0.2">
      <c r="A6966"/>
      <c r="B6966"/>
      <c r="C6966"/>
      <c r="D6966"/>
    </row>
    <row r="6967" spans="1:4" x14ac:dyDescent="0.2">
      <c r="A6967"/>
      <c r="B6967"/>
      <c r="C6967"/>
      <c r="D6967"/>
    </row>
    <row r="6968" spans="1:4" x14ac:dyDescent="0.2">
      <c r="A6968"/>
      <c r="B6968"/>
      <c r="C6968"/>
      <c r="D6968"/>
    </row>
    <row r="6969" spans="1:4" x14ac:dyDescent="0.2">
      <c r="A6969"/>
      <c r="B6969"/>
      <c r="C6969"/>
      <c r="D6969"/>
    </row>
    <row r="6970" spans="1:4" x14ac:dyDescent="0.2">
      <c r="A6970"/>
      <c r="B6970"/>
      <c r="C6970"/>
      <c r="D6970"/>
    </row>
    <row r="6971" spans="1:4" x14ac:dyDescent="0.2">
      <c r="A6971"/>
      <c r="B6971"/>
      <c r="C6971"/>
      <c r="D6971"/>
    </row>
    <row r="6972" spans="1:4" x14ac:dyDescent="0.2">
      <c r="A6972"/>
      <c r="B6972"/>
      <c r="C6972"/>
      <c r="D6972"/>
    </row>
    <row r="6973" spans="1:4" x14ac:dyDescent="0.2">
      <c r="A6973"/>
      <c r="B6973"/>
      <c r="C6973"/>
      <c r="D6973"/>
    </row>
    <row r="6974" spans="1:4" x14ac:dyDescent="0.2">
      <c r="A6974"/>
      <c r="B6974"/>
      <c r="C6974"/>
      <c r="D6974"/>
    </row>
    <row r="6975" spans="1:4" x14ac:dyDescent="0.2">
      <c r="A6975"/>
      <c r="B6975"/>
      <c r="C6975"/>
      <c r="D6975"/>
    </row>
    <row r="6976" spans="1:4" x14ac:dyDescent="0.2">
      <c r="A6976"/>
      <c r="B6976"/>
      <c r="C6976"/>
      <c r="D6976"/>
    </row>
    <row r="6977" spans="1:4" x14ac:dyDescent="0.2">
      <c r="A6977"/>
      <c r="B6977"/>
      <c r="C6977"/>
      <c r="D6977"/>
    </row>
    <row r="6978" spans="1:4" x14ac:dyDescent="0.2">
      <c r="A6978"/>
      <c r="B6978"/>
      <c r="C6978"/>
      <c r="D6978"/>
    </row>
    <row r="6979" spans="1:4" x14ac:dyDescent="0.2">
      <c r="A6979"/>
      <c r="B6979"/>
      <c r="C6979"/>
      <c r="D6979"/>
    </row>
    <row r="6980" spans="1:4" x14ac:dyDescent="0.2">
      <c r="A6980"/>
      <c r="B6980"/>
      <c r="C6980"/>
      <c r="D6980"/>
    </row>
    <row r="6981" spans="1:4" x14ac:dyDescent="0.2">
      <c r="A6981"/>
      <c r="B6981"/>
      <c r="C6981"/>
      <c r="D6981"/>
    </row>
    <row r="6982" spans="1:4" x14ac:dyDescent="0.2">
      <c r="A6982"/>
      <c r="B6982"/>
      <c r="C6982"/>
      <c r="D6982"/>
    </row>
    <row r="6983" spans="1:4" x14ac:dyDescent="0.2">
      <c r="A6983"/>
      <c r="B6983"/>
      <c r="C6983"/>
      <c r="D6983"/>
    </row>
    <row r="6984" spans="1:4" x14ac:dyDescent="0.2">
      <c r="A6984"/>
      <c r="B6984"/>
      <c r="C6984"/>
      <c r="D6984"/>
    </row>
    <row r="6985" spans="1:4" x14ac:dyDescent="0.2">
      <c r="A6985"/>
      <c r="B6985"/>
      <c r="C6985"/>
      <c r="D6985"/>
    </row>
    <row r="6986" spans="1:4" x14ac:dyDescent="0.2">
      <c r="A6986"/>
      <c r="B6986"/>
      <c r="C6986"/>
      <c r="D6986"/>
    </row>
    <row r="6987" spans="1:4" x14ac:dyDescent="0.2">
      <c r="A6987"/>
      <c r="B6987"/>
      <c r="C6987"/>
      <c r="D6987"/>
    </row>
    <row r="6988" spans="1:4" x14ac:dyDescent="0.2">
      <c r="A6988"/>
      <c r="B6988"/>
      <c r="C6988"/>
      <c r="D6988"/>
    </row>
    <row r="6989" spans="1:4" x14ac:dyDescent="0.2">
      <c r="A6989"/>
      <c r="B6989"/>
      <c r="C6989"/>
      <c r="D6989"/>
    </row>
    <row r="6990" spans="1:4" x14ac:dyDescent="0.2">
      <c r="A6990"/>
      <c r="B6990"/>
      <c r="C6990"/>
      <c r="D6990"/>
    </row>
    <row r="6991" spans="1:4" x14ac:dyDescent="0.2">
      <c r="A6991"/>
      <c r="B6991"/>
      <c r="C6991"/>
      <c r="D6991"/>
    </row>
    <row r="6992" spans="1:4" x14ac:dyDescent="0.2">
      <c r="A6992"/>
      <c r="B6992"/>
      <c r="C6992"/>
      <c r="D6992"/>
    </row>
    <row r="6993" spans="1:4" x14ac:dyDescent="0.2">
      <c r="A6993"/>
      <c r="B6993"/>
      <c r="C6993"/>
      <c r="D6993"/>
    </row>
    <row r="6994" spans="1:4" x14ac:dyDescent="0.2">
      <c r="A6994"/>
      <c r="B6994"/>
      <c r="C6994"/>
      <c r="D6994"/>
    </row>
    <row r="6995" spans="1:4" x14ac:dyDescent="0.2">
      <c r="A6995"/>
      <c r="B6995"/>
      <c r="C6995"/>
      <c r="D6995"/>
    </row>
    <row r="6996" spans="1:4" x14ac:dyDescent="0.2">
      <c r="A6996"/>
      <c r="B6996"/>
      <c r="C6996"/>
      <c r="D6996"/>
    </row>
    <row r="6997" spans="1:4" x14ac:dyDescent="0.2">
      <c r="A6997"/>
      <c r="B6997"/>
      <c r="C6997"/>
      <c r="D6997"/>
    </row>
    <row r="6998" spans="1:4" x14ac:dyDescent="0.2">
      <c r="A6998"/>
      <c r="B6998"/>
      <c r="C6998"/>
      <c r="D6998"/>
    </row>
    <row r="6999" spans="1:4" x14ac:dyDescent="0.2">
      <c r="A6999"/>
      <c r="B6999"/>
      <c r="C6999"/>
      <c r="D6999"/>
    </row>
    <row r="7000" spans="1:4" x14ac:dyDescent="0.2">
      <c r="A7000"/>
      <c r="B7000"/>
      <c r="C7000"/>
      <c r="D7000"/>
    </row>
    <row r="7001" spans="1:4" x14ac:dyDescent="0.2">
      <c r="A7001"/>
      <c r="B7001"/>
      <c r="C7001"/>
      <c r="D7001"/>
    </row>
    <row r="7002" spans="1:4" x14ac:dyDescent="0.2">
      <c r="A7002"/>
      <c r="B7002"/>
      <c r="C7002"/>
      <c r="D7002"/>
    </row>
    <row r="7003" spans="1:4" x14ac:dyDescent="0.2">
      <c r="A7003"/>
      <c r="B7003"/>
      <c r="C7003"/>
      <c r="D7003"/>
    </row>
    <row r="7004" spans="1:4" x14ac:dyDescent="0.2">
      <c r="A7004"/>
      <c r="B7004"/>
      <c r="C7004"/>
      <c r="D7004"/>
    </row>
    <row r="7005" spans="1:4" x14ac:dyDescent="0.2">
      <c r="A7005"/>
      <c r="B7005"/>
      <c r="C7005"/>
      <c r="D7005"/>
    </row>
    <row r="7006" spans="1:4" x14ac:dyDescent="0.2">
      <c r="A7006"/>
      <c r="B7006"/>
      <c r="C7006"/>
      <c r="D7006"/>
    </row>
    <row r="7007" spans="1:4" x14ac:dyDescent="0.2">
      <c r="A7007"/>
      <c r="B7007"/>
      <c r="C7007"/>
      <c r="D7007"/>
    </row>
    <row r="7008" spans="1:4" x14ac:dyDescent="0.2">
      <c r="A7008"/>
      <c r="B7008"/>
      <c r="C7008"/>
      <c r="D7008"/>
    </row>
    <row r="7009" spans="1:4" x14ac:dyDescent="0.2">
      <c r="A7009"/>
      <c r="B7009"/>
      <c r="C7009"/>
      <c r="D7009"/>
    </row>
    <row r="7010" spans="1:4" x14ac:dyDescent="0.2">
      <c r="A7010"/>
      <c r="B7010"/>
      <c r="C7010"/>
      <c r="D7010"/>
    </row>
    <row r="7011" spans="1:4" x14ac:dyDescent="0.2">
      <c r="A7011"/>
      <c r="B7011"/>
      <c r="C7011"/>
      <c r="D7011"/>
    </row>
    <row r="7012" spans="1:4" x14ac:dyDescent="0.2">
      <c r="A7012"/>
      <c r="B7012"/>
      <c r="C7012"/>
      <c r="D7012"/>
    </row>
    <row r="7013" spans="1:4" x14ac:dyDescent="0.2">
      <c r="A7013"/>
      <c r="B7013"/>
      <c r="C7013"/>
      <c r="D7013"/>
    </row>
    <row r="7014" spans="1:4" x14ac:dyDescent="0.2">
      <c r="A7014"/>
      <c r="B7014"/>
      <c r="C7014"/>
      <c r="D7014"/>
    </row>
    <row r="7015" spans="1:4" x14ac:dyDescent="0.2">
      <c r="A7015"/>
      <c r="B7015"/>
      <c r="C7015"/>
      <c r="D7015"/>
    </row>
    <row r="7016" spans="1:4" x14ac:dyDescent="0.2">
      <c r="A7016"/>
      <c r="B7016"/>
      <c r="C7016"/>
      <c r="D7016"/>
    </row>
    <row r="7017" spans="1:4" x14ac:dyDescent="0.2">
      <c r="A7017"/>
      <c r="B7017"/>
      <c r="C7017"/>
      <c r="D7017"/>
    </row>
    <row r="7018" spans="1:4" x14ac:dyDescent="0.2">
      <c r="A7018"/>
      <c r="B7018"/>
      <c r="C7018"/>
      <c r="D7018"/>
    </row>
    <row r="7019" spans="1:4" x14ac:dyDescent="0.2">
      <c r="A7019"/>
      <c r="B7019"/>
      <c r="C7019"/>
      <c r="D7019"/>
    </row>
    <row r="7020" spans="1:4" x14ac:dyDescent="0.2">
      <c r="A7020"/>
      <c r="B7020"/>
      <c r="C7020"/>
      <c r="D7020"/>
    </row>
    <row r="7021" spans="1:4" x14ac:dyDescent="0.2">
      <c r="A7021"/>
      <c r="B7021"/>
      <c r="C7021"/>
      <c r="D7021"/>
    </row>
    <row r="7022" spans="1:4" x14ac:dyDescent="0.2">
      <c r="A7022"/>
      <c r="B7022"/>
      <c r="C7022"/>
      <c r="D7022"/>
    </row>
    <row r="7023" spans="1:4" x14ac:dyDescent="0.2">
      <c r="A7023"/>
      <c r="B7023"/>
      <c r="C7023"/>
      <c r="D7023"/>
    </row>
    <row r="7024" spans="1:4" x14ac:dyDescent="0.2">
      <c r="A7024"/>
      <c r="B7024"/>
      <c r="C7024"/>
      <c r="D7024"/>
    </row>
    <row r="7025" spans="1:4" x14ac:dyDescent="0.2">
      <c r="A7025"/>
      <c r="B7025"/>
      <c r="C7025"/>
      <c r="D7025"/>
    </row>
    <row r="7026" spans="1:4" x14ac:dyDescent="0.2">
      <c r="A7026"/>
      <c r="B7026"/>
      <c r="C7026"/>
      <c r="D7026"/>
    </row>
    <row r="7027" spans="1:4" x14ac:dyDescent="0.2">
      <c r="A7027"/>
      <c r="B7027"/>
      <c r="C7027"/>
      <c r="D7027"/>
    </row>
    <row r="7028" spans="1:4" x14ac:dyDescent="0.2">
      <c r="A7028"/>
      <c r="B7028"/>
      <c r="C7028"/>
      <c r="D7028"/>
    </row>
    <row r="7029" spans="1:4" x14ac:dyDescent="0.2">
      <c r="A7029"/>
      <c r="B7029"/>
      <c r="C7029"/>
      <c r="D7029"/>
    </row>
    <row r="7030" spans="1:4" x14ac:dyDescent="0.2">
      <c r="A7030"/>
      <c r="B7030"/>
      <c r="C7030"/>
      <c r="D7030"/>
    </row>
    <row r="7031" spans="1:4" x14ac:dyDescent="0.2">
      <c r="A7031"/>
      <c r="B7031"/>
      <c r="C7031"/>
      <c r="D7031"/>
    </row>
    <row r="7032" spans="1:4" x14ac:dyDescent="0.2">
      <c r="A7032"/>
      <c r="B7032"/>
      <c r="C7032"/>
      <c r="D7032"/>
    </row>
    <row r="7033" spans="1:4" x14ac:dyDescent="0.2">
      <c r="A7033"/>
      <c r="B7033"/>
      <c r="C7033"/>
      <c r="D7033"/>
    </row>
    <row r="7034" spans="1:4" x14ac:dyDescent="0.2">
      <c r="A7034"/>
      <c r="B7034"/>
      <c r="C7034"/>
      <c r="D7034"/>
    </row>
    <row r="7035" spans="1:4" x14ac:dyDescent="0.2">
      <c r="A7035"/>
      <c r="B7035"/>
      <c r="C7035"/>
      <c r="D7035"/>
    </row>
    <row r="7036" spans="1:4" x14ac:dyDescent="0.2">
      <c r="A7036"/>
      <c r="B7036"/>
      <c r="C7036"/>
      <c r="D7036"/>
    </row>
    <row r="7037" spans="1:4" x14ac:dyDescent="0.2">
      <c r="A7037"/>
      <c r="B7037"/>
      <c r="C7037"/>
      <c r="D7037"/>
    </row>
    <row r="7038" spans="1:4" x14ac:dyDescent="0.2">
      <c r="A7038"/>
      <c r="B7038"/>
      <c r="C7038"/>
      <c r="D7038"/>
    </row>
    <row r="7039" spans="1:4" x14ac:dyDescent="0.2">
      <c r="A7039"/>
      <c r="B7039"/>
      <c r="C7039"/>
      <c r="D7039"/>
    </row>
    <row r="7040" spans="1:4" x14ac:dyDescent="0.2">
      <c r="A7040"/>
      <c r="B7040"/>
      <c r="C7040"/>
      <c r="D7040"/>
    </row>
    <row r="7041" spans="1:4" x14ac:dyDescent="0.2">
      <c r="A7041"/>
      <c r="B7041"/>
      <c r="C7041"/>
      <c r="D7041"/>
    </row>
    <row r="7042" spans="1:4" x14ac:dyDescent="0.2">
      <c r="A7042"/>
      <c r="B7042"/>
      <c r="C7042"/>
      <c r="D7042"/>
    </row>
    <row r="7043" spans="1:4" x14ac:dyDescent="0.2">
      <c r="A7043"/>
      <c r="B7043"/>
      <c r="C7043"/>
      <c r="D7043"/>
    </row>
    <row r="7044" spans="1:4" x14ac:dyDescent="0.2">
      <c r="A7044"/>
      <c r="B7044"/>
      <c r="C7044"/>
      <c r="D7044"/>
    </row>
    <row r="7045" spans="1:4" x14ac:dyDescent="0.2">
      <c r="A7045"/>
      <c r="B7045"/>
      <c r="C7045"/>
      <c r="D7045"/>
    </row>
    <row r="7046" spans="1:4" x14ac:dyDescent="0.2">
      <c r="A7046"/>
      <c r="B7046"/>
      <c r="C7046"/>
      <c r="D7046"/>
    </row>
    <row r="7047" spans="1:4" x14ac:dyDescent="0.2">
      <c r="A7047"/>
      <c r="B7047"/>
      <c r="C7047"/>
      <c r="D7047"/>
    </row>
    <row r="7048" spans="1:4" x14ac:dyDescent="0.2">
      <c r="A7048"/>
      <c r="B7048"/>
      <c r="C7048"/>
      <c r="D7048"/>
    </row>
    <row r="7049" spans="1:4" x14ac:dyDescent="0.2">
      <c r="A7049"/>
      <c r="B7049"/>
      <c r="C7049"/>
      <c r="D7049"/>
    </row>
    <row r="7050" spans="1:4" x14ac:dyDescent="0.2">
      <c r="A7050"/>
      <c r="B7050"/>
      <c r="C7050"/>
      <c r="D7050"/>
    </row>
    <row r="7051" spans="1:4" x14ac:dyDescent="0.2">
      <c r="A7051"/>
      <c r="B7051"/>
      <c r="C7051"/>
      <c r="D7051"/>
    </row>
    <row r="7052" spans="1:4" x14ac:dyDescent="0.2">
      <c r="A7052"/>
      <c r="B7052"/>
      <c r="C7052"/>
      <c r="D7052"/>
    </row>
    <row r="7053" spans="1:4" x14ac:dyDescent="0.2">
      <c r="A7053"/>
      <c r="B7053"/>
      <c r="C7053"/>
      <c r="D7053"/>
    </row>
    <row r="7054" spans="1:4" x14ac:dyDescent="0.2">
      <c r="A7054"/>
      <c r="B7054"/>
      <c r="C7054"/>
      <c r="D7054"/>
    </row>
    <row r="7055" spans="1:4" x14ac:dyDescent="0.2">
      <c r="A7055"/>
      <c r="B7055"/>
      <c r="C7055"/>
      <c r="D7055"/>
    </row>
    <row r="7056" spans="1:4" x14ac:dyDescent="0.2">
      <c r="A7056"/>
      <c r="B7056"/>
      <c r="C7056"/>
      <c r="D7056"/>
    </row>
    <row r="7057" spans="1:4" x14ac:dyDescent="0.2">
      <c r="A7057"/>
      <c r="B7057"/>
      <c r="C7057"/>
      <c r="D7057"/>
    </row>
    <row r="7058" spans="1:4" x14ac:dyDescent="0.2">
      <c r="A7058"/>
      <c r="B7058"/>
      <c r="C7058"/>
      <c r="D7058"/>
    </row>
    <row r="7059" spans="1:4" x14ac:dyDescent="0.2">
      <c r="A7059"/>
      <c r="B7059"/>
      <c r="C7059"/>
      <c r="D7059"/>
    </row>
    <row r="7060" spans="1:4" x14ac:dyDescent="0.2">
      <c r="A7060"/>
      <c r="B7060"/>
      <c r="C7060"/>
      <c r="D7060"/>
    </row>
    <row r="7061" spans="1:4" x14ac:dyDescent="0.2">
      <c r="A7061"/>
      <c r="B7061"/>
      <c r="C7061"/>
      <c r="D7061"/>
    </row>
    <row r="7062" spans="1:4" x14ac:dyDescent="0.2">
      <c r="A7062"/>
      <c r="B7062"/>
      <c r="C7062"/>
      <c r="D7062"/>
    </row>
    <row r="7063" spans="1:4" x14ac:dyDescent="0.2">
      <c r="A7063"/>
      <c r="B7063"/>
      <c r="C7063"/>
      <c r="D7063"/>
    </row>
    <row r="7064" spans="1:4" x14ac:dyDescent="0.2">
      <c r="A7064"/>
      <c r="B7064"/>
      <c r="C7064"/>
      <c r="D7064"/>
    </row>
    <row r="7065" spans="1:4" x14ac:dyDescent="0.2">
      <c r="A7065"/>
      <c r="B7065"/>
      <c r="C7065"/>
      <c r="D7065"/>
    </row>
    <row r="7066" spans="1:4" x14ac:dyDescent="0.2">
      <c r="A7066"/>
      <c r="B7066"/>
      <c r="C7066"/>
      <c r="D7066"/>
    </row>
    <row r="7067" spans="1:4" x14ac:dyDescent="0.2">
      <c r="A7067"/>
      <c r="B7067"/>
      <c r="C7067"/>
      <c r="D7067"/>
    </row>
    <row r="7068" spans="1:4" x14ac:dyDescent="0.2">
      <c r="A7068"/>
      <c r="B7068"/>
      <c r="C7068"/>
      <c r="D7068"/>
    </row>
    <row r="7069" spans="1:4" x14ac:dyDescent="0.2">
      <c r="A7069"/>
      <c r="B7069"/>
      <c r="C7069"/>
      <c r="D7069"/>
    </row>
    <row r="7070" spans="1:4" x14ac:dyDescent="0.2">
      <c r="A7070"/>
      <c r="B7070"/>
      <c r="C7070"/>
      <c r="D7070"/>
    </row>
    <row r="7071" spans="1:4" x14ac:dyDescent="0.2">
      <c r="A7071"/>
      <c r="B7071"/>
      <c r="C7071"/>
      <c r="D7071"/>
    </row>
    <row r="7072" spans="1:4" x14ac:dyDescent="0.2">
      <c r="A7072"/>
      <c r="B7072"/>
      <c r="C7072"/>
      <c r="D7072"/>
    </row>
    <row r="7073" spans="1:4" x14ac:dyDescent="0.2">
      <c r="A7073"/>
      <c r="B7073"/>
      <c r="C7073"/>
      <c r="D7073"/>
    </row>
    <row r="7074" spans="1:4" x14ac:dyDescent="0.2">
      <c r="A7074"/>
      <c r="B7074"/>
      <c r="C7074"/>
      <c r="D7074"/>
    </row>
    <row r="7075" spans="1:4" x14ac:dyDescent="0.2">
      <c r="A7075"/>
      <c r="B7075"/>
      <c r="C7075"/>
      <c r="D7075"/>
    </row>
    <row r="7076" spans="1:4" x14ac:dyDescent="0.2">
      <c r="A7076"/>
      <c r="B7076"/>
      <c r="C7076"/>
      <c r="D7076"/>
    </row>
    <row r="7077" spans="1:4" x14ac:dyDescent="0.2">
      <c r="A7077"/>
      <c r="B7077"/>
      <c r="C7077"/>
      <c r="D7077"/>
    </row>
    <row r="7078" spans="1:4" x14ac:dyDescent="0.2">
      <c r="A7078"/>
      <c r="B7078"/>
      <c r="C7078"/>
      <c r="D7078"/>
    </row>
    <row r="7079" spans="1:4" x14ac:dyDescent="0.2">
      <c r="A7079"/>
      <c r="B7079"/>
      <c r="C7079"/>
      <c r="D7079"/>
    </row>
    <row r="7080" spans="1:4" x14ac:dyDescent="0.2">
      <c r="A7080"/>
      <c r="B7080"/>
      <c r="C7080"/>
      <c r="D7080"/>
    </row>
    <row r="7081" spans="1:4" x14ac:dyDescent="0.2">
      <c r="A7081"/>
      <c r="B7081"/>
      <c r="C7081"/>
      <c r="D7081"/>
    </row>
    <row r="7082" spans="1:4" x14ac:dyDescent="0.2">
      <c r="A7082"/>
      <c r="B7082"/>
      <c r="C7082"/>
      <c r="D7082"/>
    </row>
    <row r="7083" spans="1:4" x14ac:dyDescent="0.2">
      <c r="A7083"/>
      <c r="B7083"/>
      <c r="C7083"/>
      <c r="D7083"/>
    </row>
    <row r="7084" spans="1:4" x14ac:dyDescent="0.2">
      <c r="A7084"/>
      <c r="B7084"/>
      <c r="C7084"/>
      <c r="D7084"/>
    </row>
    <row r="7085" spans="1:4" x14ac:dyDescent="0.2">
      <c r="A7085"/>
      <c r="B7085"/>
      <c r="C7085"/>
      <c r="D7085"/>
    </row>
    <row r="7086" spans="1:4" x14ac:dyDescent="0.2">
      <c r="A7086"/>
      <c r="B7086"/>
      <c r="C7086"/>
      <c r="D7086"/>
    </row>
    <row r="7087" spans="1:4" x14ac:dyDescent="0.2">
      <c r="A7087"/>
      <c r="B7087"/>
      <c r="C7087"/>
      <c r="D7087"/>
    </row>
    <row r="7088" spans="1:4" x14ac:dyDescent="0.2">
      <c r="A7088"/>
      <c r="B7088"/>
      <c r="C7088"/>
      <c r="D7088"/>
    </row>
    <row r="7089" spans="1:4" x14ac:dyDescent="0.2">
      <c r="A7089"/>
      <c r="B7089"/>
      <c r="C7089"/>
      <c r="D7089"/>
    </row>
    <row r="7090" spans="1:4" x14ac:dyDescent="0.2">
      <c r="A7090"/>
      <c r="B7090"/>
      <c r="C7090"/>
      <c r="D7090"/>
    </row>
    <row r="7091" spans="1:4" x14ac:dyDescent="0.2">
      <c r="A7091"/>
      <c r="B7091"/>
      <c r="C7091"/>
      <c r="D7091"/>
    </row>
    <row r="7092" spans="1:4" x14ac:dyDescent="0.2">
      <c r="A7092"/>
      <c r="B7092"/>
      <c r="C7092"/>
      <c r="D7092"/>
    </row>
    <row r="7093" spans="1:4" x14ac:dyDescent="0.2">
      <c r="A7093"/>
      <c r="B7093"/>
      <c r="C7093"/>
      <c r="D7093"/>
    </row>
    <row r="7094" spans="1:4" x14ac:dyDescent="0.2">
      <c r="A7094"/>
      <c r="B7094"/>
      <c r="C7094"/>
      <c r="D7094"/>
    </row>
    <row r="7095" spans="1:4" x14ac:dyDescent="0.2">
      <c r="A7095"/>
      <c r="B7095"/>
      <c r="C7095"/>
      <c r="D7095"/>
    </row>
    <row r="7096" spans="1:4" x14ac:dyDescent="0.2">
      <c r="A7096"/>
      <c r="B7096"/>
      <c r="C7096"/>
      <c r="D7096"/>
    </row>
    <row r="7097" spans="1:4" x14ac:dyDescent="0.2">
      <c r="A7097"/>
      <c r="B7097"/>
      <c r="C7097"/>
      <c r="D7097"/>
    </row>
    <row r="7098" spans="1:4" x14ac:dyDescent="0.2">
      <c r="A7098"/>
      <c r="B7098"/>
      <c r="C7098"/>
      <c r="D7098"/>
    </row>
    <row r="7099" spans="1:4" x14ac:dyDescent="0.2">
      <c r="A7099"/>
      <c r="B7099"/>
      <c r="C7099"/>
      <c r="D7099"/>
    </row>
    <row r="7100" spans="1:4" x14ac:dyDescent="0.2">
      <c r="A7100"/>
      <c r="B7100"/>
      <c r="C7100"/>
      <c r="D7100"/>
    </row>
    <row r="7101" spans="1:4" x14ac:dyDescent="0.2">
      <c r="A7101"/>
      <c r="B7101"/>
      <c r="C7101"/>
      <c r="D7101"/>
    </row>
    <row r="7102" spans="1:4" x14ac:dyDescent="0.2">
      <c r="A7102"/>
      <c r="B7102"/>
      <c r="C7102"/>
      <c r="D7102"/>
    </row>
    <row r="7103" spans="1:4" x14ac:dyDescent="0.2">
      <c r="A7103"/>
      <c r="B7103"/>
      <c r="C7103"/>
      <c r="D7103"/>
    </row>
    <row r="7104" spans="1:4" x14ac:dyDescent="0.2">
      <c r="A7104"/>
      <c r="B7104"/>
      <c r="C7104"/>
      <c r="D7104"/>
    </row>
    <row r="7105" spans="1:4" x14ac:dyDescent="0.2">
      <c r="A7105"/>
      <c r="B7105"/>
      <c r="C7105"/>
      <c r="D7105"/>
    </row>
    <row r="7106" spans="1:4" x14ac:dyDescent="0.2">
      <c r="A7106"/>
      <c r="B7106"/>
      <c r="C7106"/>
      <c r="D7106"/>
    </row>
    <row r="7107" spans="1:4" x14ac:dyDescent="0.2">
      <c r="A7107"/>
      <c r="B7107"/>
      <c r="C7107"/>
      <c r="D7107"/>
    </row>
    <row r="7108" spans="1:4" x14ac:dyDescent="0.2">
      <c r="A7108"/>
      <c r="B7108"/>
      <c r="C7108"/>
      <c r="D7108"/>
    </row>
    <row r="7109" spans="1:4" x14ac:dyDescent="0.2">
      <c r="A7109"/>
      <c r="B7109"/>
      <c r="C7109"/>
      <c r="D7109"/>
    </row>
    <row r="7110" spans="1:4" x14ac:dyDescent="0.2">
      <c r="A7110"/>
      <c r="B7110"/>
      <c r="C7110"/>
      <c r="D7110"/>
    </row>
    <row r="7111" spans="1:4" x14ac:dyDescent="0.2">
      <c r="A7111"/>
      <c r="B7111"/>
      <c r="C7111"/>
      <c r="D7111"/>
    </row>
    <row r="7112" spans="1:4" x14ac:dyDescent="0.2">
      <c r="A7112"/>
      <c r="B7112"/>
      <c r="C7112"/>
      <c r="D7112"/>
    </row>
    <row r="7113" spans="1:4" x14ac:dyDescent="0.2">
      <c r="A7113"/>
      <c r="B7113"/>
      <c r="C7113"/>
      <c r="D7113"/>
    </row>
    <row r="7114" spans="1:4" x14ac:dyDescent="0.2">
      <c r="A7114"/>
      <c r="B7114"/>
      <c r="C7114"/>
      <c r="D7114"/>
    </row>
    <row r="7115" spans="1:4" x14ac:dyDescent="0.2">
      <c r="A7115"/>
      <c r="B7115"/>
      <c r="C7115"/>
      <c r="D7115"/>
    </row>
    <row r="7116" spans="1:4" x14ac:dyDescent="0.2">
      <c r="A7116"/>
      <c r="B7116"/>
      <c r="C7116"/>
      <c r="D7116"/>
    </row>
    <row r="7117" spans="1:4" x14ac:dyDescent="0.2">
      <c r="A7117"/>
      <c r="B7117"/>
      <c r="C7117"/>
      <c r="D7117"/>
    </row>
    <row r="7118" spans="1:4" x14ac:dyDescent="0.2">
      <c r="A7118"/>
      <c r="B7118"/>
      <c r="C7118"/>
      <c r="D7118"/>
    </row>
    <row r="7119" spans="1:4" x14ac:dyDescent="0.2">
      <c r="A7119"/>
      <c r="B7119"/>
      <c r="C7119"/>
      <c r="D7119"/>
    </row>
    <row r="7120" spans="1:4" x14ac:dyDescent="0.2">
      <c r="A7120"/>
      <c r="B7120"/>
      <c r="C7120"/>
      <c r="D7120"/>
    </row>
    <row r="7121" spans="1:4" x14ac:dyDescent="0.2">
      <c r="A7121"/>
      <c r="B7121"/>
      <c r="C7121"/>
      <c r="D7121"/>
    </row>
    <row r="7122" spans="1:4" x14ac:dyDescent="0.2">
      <c r="A7122"/>
      <c r="B7122"/>
      <c r="C7122"/>
      <c r="D7122"/>
    </row>
    <row r="7123" spans="1:4" x14ac:dyDescent="0.2">
      <c r="A7123"/>
      <c r="B7123"/>
      <c r="C7123"/>
      <c r="D7123"/>
    </row>
    <row r="7124" spans="1:4" x14ac:dyDescent="0.2">
      <c r="A7124"/>
      <c r="B7124"/>
      <c r="C7124"/>
      <c r="D7124"/>
    </row>
    <row r="7125" spans="1:4" x14ac:dyDescent="0.2">
      <c r="A7125"/>
      <c r="B7125"/>
      <c r="C7125"/>
      <c r="D7125"/>
    </row>
    <row r="7126" spans="1:4" x14ac:dyDescent="0.2">
      <c r="A7126"/>
      <c r="B7126"/>
      <c r="C7126"/>
      <c r="D7126"/>
    </row>
    <row r="7127" spans="1:4" x14ac:dyDescent="0.2">
      <c r="A7127"/>
      <c r="B7127"/>
      <c r="C7127"/>
      <c r="D7127"/>
    </row>
    <row r="7128" spans="1:4" x14ac:dyDescent="0.2">
      <c r="A7128"/>
      <c r="B7128"/>
      <c r="C7128"/>
      <c r="D7128"/>
    </row>
    <row r="7129" spans="1:4" x14ac:dyDescent="0.2">
      <c r="A7129"/>
      <c r="B7129"/>
      <c r="C7129"/>
      <c r="D7129"/>
    </row>
    <row r="7130" spans="1:4" x14ac:dyDescent="0.2">
      <c r="A7130"/>
      <c r="B7130"/>
      <c r="C7130"/>
      <c r="D7130"/>
    </row>
    <row r="7131" spans="1:4" x14ac:dyDescent="0.2">
      <c r="A7131"/>
      <c r="B7131"/>
      <c r="C7131"/>
      <c r="D7131"/>
    </row>
    <row r="7132" spans="1:4" x14ac:dyDescent="0.2">
      <c r="A7132"/>
      <c r="B7132"/>
      <c r="C7132"/>
      <c r="D7132"/>
    </row>
    <row r="7133" spans="1:4" x14ac:dyDescent="0.2">
      <c r="A7133"/>
      <c r="B7133"/>
      <c r="C7133"/>
      <c r="D7133"/>
    </row>
    <row r="7134" spans="1:4" x14ac:dyDescent="0.2">
      <c r="A7134"/>
      <c r="B7134"/>
      <c r="C7134"/>
      <c r="D7134"/>
    </row>
    <row r="7135" spans="1:4" x14ac:dyDescent="0.2">
      <c r="A7135"/>
      <c r="B7135"/>
      <c r="C7135"/>
      <c r="D7135"/>
    </row>
    <row r="7136" spans="1:4" x14ac:dyDescent="0.2">
      <c r="A7136"/>
      <c r="B7136"/>
      <c r="C7136"/>
      <c r="D7136"/>
    </row>
    <row r="7137" spans="1:4" x14ac:dyDescent="0.2">
      <c r="A7137"/>
      <c r="B7137"/>
      <c r="C7137"/>
      <c r="D7137"/>
    </row>
    <row r="7138" spans="1:4" x14ac:dyDescent="0.2">
      <c r="A7138"/>
      <c r="B7138"/>
      <c r="C7138"/>
      <c r="D7138"/>
    </row>
    <row r="7139" spans="1:4" x14ac:dyDescent="0.2">
      <c r="A7139"/>
      <c r="B7139"/>
      <c r="C7139"/>
      <c r="D7139"/>
    </row>
    <row r="7140" spans="1:4" x14ac:dyDescent="0.2">
      <c r="A7140"/>
      <c r="B7140"/>
      <c r="C7140"/>
      <c r="D7140"/>
    </row>
    <row r="7141" spans="1:4" x14ac:dyDescent="0.2">
      <c r="A7141"/>
      <c r="B7141"/>
      <c r="C7141"/>
      <c r="D7141"/>
    </row>
    <row r="7142" spans="1:4" x14ac:dyDescent="0.2">
      <c r="A7142"/>
      <c r="B7142"/>
      <c r="C7142"/>
      <c r="D7142"/>
    </row>
    <row r="7143" spans="1:4" x14ac:dyDescent="0.2">
      <c r="A7143"/>
      <c r="B7143"/>
      <c r="C7143"/>
      <c r="D7143"/>
    </row>
    <row r="7144" spans="1:4" x14ac:dyDescent="0.2">
      <c r="A7144"/>
      <c r="B7144"/>
      <c r="C7144"/>
      <c r="D7144"/>
    </row>
    <row r="7145" spans="1:4" x14ac:dyDescent="0.2">
      <c r="A7145"/>
      <c r="B7145"/>
      <c r="C7145"/>
      <c r="D7145"/>
    </row>
    <row r="7146" spans="1:4" x14ac:dyDescent="0.2">
      <c r="A7146"/>
      <c r="B7146"/>
      <c r="C7146"/>
      <c r="D7146"/>
    </row>
    <row r="7147" spans="1:4" x14ac:dyDescent="0.2">
      <c r="A7147"/>
      <c r="B7147"/>
      <c r="C7147"/>
      <c r="D7147"/>
    </row>
    <row r="7148" spans="1:4" x14ac:dyDescent="0.2">
      <c r="A7148"/>
      <c r="B7148"/>
      <c r="C7148"/>
      <c r="D7148"/>
    </row>
    <row r="7149" spans="1:4" x14ac:dyDescent="0.2">
      <c r="A7149"/>
      <c r="B7149"/>
      <c r="C7149"/>
      <c r="D7149"/>
    </row>
    <row r="7150" spans="1:4" x14ac:dyDescent="0.2">
      <c r="A7150"/>
      <c r="B7150"/>
      <c r="C7150"/>
      <c r="D7150"/>
    </row>
    <row r="7151" spans="1:4" x14ac:dyDescent="0.2">
      <c r="A7151"/>
      <c r="B7151"/>
      <c r="C7151"/>
      <c r="D7151"/>
    </row>
    <row r="7152" spans="1:4" x14ac:dyDescent="0.2">
      <c r="A7152"/>
      <c r="B7152"/>
      <c r="C7152"/>
      <c r="D7152"/>
    </row>
    <row r="7153" spans="1:4" x14ac:dyDescent="0.2">
      <c r="A7153"/>
      <c r="B7153"/>
      <c r="C7153"/>
      <c r="D7153"/>
    </row>
    <row r="7154" spans="1:4" x14ac:dyDescent="0.2">
      <c r="A7154"/>
      <c r="B7154"/>
      <c r="C7154"/>
      <c r="D7154"/>
    </row>
    <row r="7155" spans="1:4" x14ac:dyDescent="0.2">
      <c r="A7155"/>
      <c r="B7155"/>
      <c r="C7155"/>
      <c r="D7155"/>
    </row>
    <row r="7156" spans="1:4" x14ac:dyDescent="0.2">
      <c r="A7156"/>
      <c r="B7156"/>
      <c r="C7156"/>
      <c r="D7156"/>
    </row>
    <row r="7157" spans="1:4" x14ac:dyDescent="0.2">
      <c r="A7157"/>
      <c r="B7157"/>
      <c r="C7157"/>
      <c r="D7157"/>
    </row>
    <row r="7158" spans="1:4" x14ac:dyDescent="0.2">
      <c r="A7158"/>
      <c r="B7158"/>
      <c r="C7158"/>
      <c r="D7158"/>
    </row>
    <row r="7159" spans="1:4" x14ac:dyDescent="0.2">
      <c r="A7159"/>
      <c r="B7159"/>
      <c r="C7159"/>
      <c r="D7159"/>
    </row>
    <row r="7160" spans="1:4" x14ac:dyDescent="0.2">
      <c r="A7160"/>
      <c r="B7160"/>
      <c r="C7160"/>
      <c r="D7160"/>
    </row>
    <row r="7161" spans="1:4" x14ac:dyDescent="0.2">
      <c r="A7161"/>
      <c r="B7161"/>
      <c r="C7161"/>
      <c r="D7161"/>
    </row>
    <row r="7162" spans="1:4" x14ac:dyDescent="0.2">
      <c r="A7162"/>
      <c r="B7162"/>
      <c r="C7162"/>
      <c r="D7162"/>
    </row>
    <row r="7163" spans="1:4" x14ac:dyDescent="0.2">
      <c r="A7163"/>
      <c r="B7163"/>
      <c r="C7163"/>
      <c r="D7163"/>
    </row>
    <row r="7164" spans="1:4" x14ac:dyDescent="0.2">
      <c r="A7164"/>
      <c r="B7164"/>
      <c r="C7164"/>
      <c r="D7164"/>
    </row>
    <row r="7165" spans="1:4" x14ac:dyDescent="0.2">
      <c r="A7165"/>
      <c r="B7165"/>
      <c r="C7165"/>
      <c r="D7165"/>
    </row>
    <row r="7166" spans="1:4" x14ac:dyDescent="0.2">
      <c r="A7166"/>
      <c r="B7166"/>
      <c r="C7166"/>
      <c r="D7166"/>
    </row>
    <row r="7167" spans="1:4" x14ac:dyDescent="0.2">
      <c r="A7167"/>
      <c r="B7167"/>
      <c r="C7167"/>
      <c r="D7167"/>
    </row>
    <row r="7168" spans="1:4" x14ac:dyDescent="0.2">
      <c r="A7168"/>
      <c r="B7168"/>
      <c r="C7168"/>
      <c r="D7168"/>
    </row>
    <row r="7169" spans="1:4" x14ac:dyDescent="0.2">
      <c r="A7169"/>
      <c r="B7169"/>
      <c r="C7169"/>
      <c r="D7169"/>
    </row>
    <row r="7170" spans="1:4" x14ac:dyDescent="0.2">
      <c r="A7170"/>
      <c r="B7170"/>
      <c r="C7170"/>
      <c r="D7170"/>
    </row>
    <row r="7171" spans="1:4" x14ac:dyDescent="0.2">
      <c r="A7171"/>
      <c r="B7171"/>
      <c r="C7171"/>
      <c r="D7171"/>
    </row>
    <row r="7172" spans="1:4" x14ac:dyDescent="0.2">
      <c r="A7172"/>
      <c r="B7172"/>
      <c r="C7172"/>
      <c r="D7172"/>
    </row>
    <row r="7173" spans="1:4" x14ac:dyDescent="0.2">
      <c r="A7173"/>
      <c r="B7173"/>
      <c r="C7173"/>
      <c r="D7173"/>
    </row>
    <row r="7174" spans="1:4" x14ac:dyDescent="0.2">
      <c r="A7174"/>
      <c r="B7174"/>
      <c r="C7174"/>
      <c r="D7174"/>
    </row>
    <row r="7175" spans="1:4" x14ac:dyDescent="0.2">
      <c r="A7175"/>
      <c r="B7175"/>
      <c r="C7175"/>
      <c r="D7175"/>
    </row>
    <row r="7176" spans="1:4" x14ac:dyDescent="0.2">
      <c r="A7176"/>
      <c r="B7176"/>
      <c r="C7176"/>
      <c r="D7176"/>
    </row>
    <row r="7177" spans="1:4" x14ac:dyDescent="0.2">
      <c r="A7177"/>
      <c r="B7177"/>
      <c r="C7177"/>
      <c r="D7177"/>
    </row>
    <row r="7178" spans="1:4" x14ac:dyDescent="0.2">
      <c r="A7178"/>
      <c r="B7178"/>
      <c r="C7178"/>
      <c r="D7178"/>
    </row>
    <row r="7179" spans="1:4" x14ac:dyDescent="0.2">
      <c r="A7179"/>
      <c r="B7179"/>
      <c r="C7179"/>
      <c r="D7179"/>
    </row>
    <row r="7180" spans="1:4" x14ac:dyDescent="0.2">
      <c r="A7180"/>
      <c r="B7180"/>
      <c r="C7180"/>
      <c r="D7180"/>
    </row>
    <row r="7181" spans="1:4" x14ac:dyDescent="0.2">
      <c r="A7181"/>
      <c r="B7181"/>
      <c r="C7181"/>
      <c r="D7181"/>
    </row>
    <row r="7182" spans="1:4" x14ac:dyDescent="0.2">
      <c r="A7182"/>
      <c r="B7182"/>
      <c r="C7182"/>
      <c r="D7182"/>
    </row>
    <row r="7183" spans="1:4" x14ac:dyDescent="0.2">
      <c r="A7183"/>
      <c r="B7183"/>
      <c r="C7183"/>
      <c r="D7183"/>
    </row>
    <row r="7184" spans="1:4" x14ac:dyDescent="0.2">
      <c r="A7184"/>
      <c r="B7184"/>
      <c r="C7184"/>
      <c r="D7184"/>
    </row>
    <row r="7185" spans="1:4" x14ac:dyDescent="0.2">
      <c r="A7185"/>
      <c r="B7185"/>
      <c r="C7185"/>
      <c r="D7185"/>
    </row>
    <row r="7186" spans="1:4" x14ac:dyDescent="0.2">
      <c r="A7186"/>
      <c r="B7186"/>
      <c r="C7186"/>
      <c r="D7186"/>
    </row>
    <row r="7187" spans="1:4" x14ac:dyDescent="0.2">
      <c r="A7187"/>
      <c r="B7187"/>
      <c r="C7187"/>
      <c r="D7187"/>
    </row>
    <row r="7188" spans="1:4" x14ac:dyDescent="0.2">
      <c r="A7188"/>
      <c r="B7188"/>
      <c r="C7188"/>
      <c r="D7188"/>
    </row>
    <row r="7189" spans="1:4" x14ac:dyDescent="0.2">
      <c r="A7189"/>
      <c r="B7189"/>
      <c r="C7189"/>
      <c r="D7189"/>
    </row>
    <row r="7190" spans="1:4" x14ac:dyDescent="0.2">
      <c r="A7190"/>
      <c r="B7190"/>
      <c r="C7190"/>
      <c r="D7190"/>
    </row>
    <row r="7191" spans="1:4" x14ac:dyDescent="0.2">
      <c r="A7191"/>
      <c r="B7191"/>
      <c r="C7191"/>
      <c r="D7191"/>
    </row>
    <row r="7192" spans="1:4" x14ac:dyDescent="0.2">
      <c r="A7192"/>
      <c r="B7192"/>
      <c r="C7192"/>
      <c r="D7192"/>
    </row>
    <row r="7193" spans="1:4" x14ac:dyDescent="0.2">
      <c r="A7193"/>
      <c r="B7193"/>
      <c r="C7193"/>
      <c r="D7193"/>
    </row>
    <row r="7194" spans="1:4" x14ac:dyDescent="0.2">
      <c r="A7194"/>
      <c r="B7194"/>
      <c r="C7194"/>
      <c r="D7194"/>
    </row>
    <row r="7195" spans="1:4" x14ac:dyDescent="0.2">
      <c r="A7195"/>
      <c r="B7195"/>
      <c r="C7195"/>
      <c r="D7195"/>
    </row>
    <row r="7196" spans="1:4" x14ac:dyDescent="0.2">
      <c r="A7196"/>
      <c r="B7196"/>
      <c r="C7196"/>
      <c r="D7196"/>
    </row>
    <row r="7197" spans="1:4" x14ac:dyDescent="0.2">
      <c r="A7197"/>
      <c r="B7197"/>
      <c r="C7197"/>
      <c r="D7197"/>
    </row>
    <row r="7198" spans="1:4" x14ac:dyDescent="0.2">
      <c r="A7198"/>
      <c r="B7198"/>
      <c r="C7198"/>
      <c r="D7198"/>
    </row>
    <row r="7199" spans="1:4" x14ac:dyDescent="0.2">
      <c r="A7199"/>
      <c r="B7199"/>
      <c r="C7199"/>
      <c r="D7199"/>
    </row>
    <row r="7200" spans="1:4" x14ac:dyDescent="0.2">
      <c r="A7200"/>
      <c r="B7200"/>
      <c r="C7200"/>
      <c r="D7200"/>
    </row>
    <row r="7201" spans="1:4" x14ac:dyDescent="0.2">
      <c r="A7201"/>
      <c r="B7201"/>
      <c r="C7201"/>
      <c r="D7201"/>
    </row>
    <row r="7202" spans="1:4" x14ac:dyDescent="0.2">
      <c r="A7202"/>
      <c r="B7202"/>
      <c r="C7202"/>
      <c r="D7202"/>
    </row>
    <row r="7203" spans="1:4" x14ac:dyDescent="0.2">
      <c r="A7203"/>
      <c r="B7203"/>
      <c r="C7203"/>
      <c r="D7203"/>
    </row>
    <row r="7204" spans="1:4" x14ac:dyDescent="0.2">
      <c r="A7204"/>
      <c r="B7204"/>
      <c r="C7204"/>
      <c r="D7204"/>
    </row>
    <row r="7205" spans="1:4" x14ac:dyDescent="0.2">
      <c r="A7205"/>
      <c r="B7205"/>
      <c r="C7205"/>
      <c r="D7205"/>
    </row>
    <row r="7206" spans="1:4" x14ac:dyDescent="0.2">
      <c r="A7206"/>
      <c r="B7206"/>
      <c r="C7206"/>
      <c r="D7206"/>
    </row>
    <row r="7207" spans="1:4" x14ac:dyDescent="0.2">
      <c r="A7207"/>
      <c r="B7207"/>
      <c r="C7207"/>
      <c r="D7207"/>
    </row>
    <row r="7208" spans="1:4" x14ac:dyDescent="0.2">
      <c r="A7208"/>
      <c r="B7208"/>
      <c r="C7208"/>
      <c r="D7208"/>
    </row>
    <row r="7209" spans="1:4" x14ac:dyDescent="0.2">
      <c r="A7209"/>
      <c r="B7209"/>
      <c r="C7209"/>
      <c r="D7209"/>
    </row>
    <row r="7210" spans="1:4" x14ac:dyDescent="0.2">
      <c r="A7210"/>
      <c r="B7210"/>
      <c r="C7210"/>
      <c r="D7210"/>
    </row>
    <row r="7211" spans="1:4" x14ac:dyDescent="0.2">
      <c r="A7211"/>
      <c r="B7211"/>
      <c r="C7211"/>
      <c r="D7211"/>
    </row>
    <row r="7212" spans="1:4" x14ac:dyDescent="0.2">
      <c r="A7212"/>
      <c r="B7212"/>
      <c r="C7212"/>
      <c r="D7212"/>
    </row>
    <row r="7213" spans="1:4" x14ac:dyDescent="0.2">
      <c r="A7213"/>
      <c r="B7213"/>
      <c r="C7213"/>
      <c r="D7213"/>
    </row>
    <row r="7214" spans="1:4" x14ac:dyDescent="0.2">
      <c r="A7214"/>
      <c r="B7214"/>
      <c r="C7214"/>
      <c r="D7214"/>
    </row>
    <row r="7215" spans="1:4" x14ac:dyDescent="0.2">
      <c r="A7215"/>
      <c r="B7215"/>
      <c r="C7215"/>
      <c r="D7215"/>
    </row>
    <row r="7216" spans="1:4" x14ac:dyDescent="0.2">
      <c r="A7216"/>
      <c r="B7216"/>
      <c r="C7216"/>
      <c r="D7216"/>
    </row>
    <row r="7217" spans="1:4" x14ac:dyDescent="0.2">
      <c r="A7217"/>
      <c r="B7217"/>
      <c r="C7217"/>
      <c r="D7217"/>
    </row>
    <row r="7218" spans="1:4" x14ac:dyDescent="0.2">
      <c r="A7218"/>
      <c r="B7218"/>
      <c r="C7218"/>
      <c r="D7218"/>
    </row>
    <row r="7219" spans="1:4" x14ac:dyDescent="0.2">
      <c r="A7219"/>
      <c r="B7219"/>
      <c r="C7219"/>
      <c r="D7219"/>
    </row>
    <row r="7220" spans="1:4" x14ac:dyDescent="0.2">
      <c r="A7220"/>
      <c r="B7220"/>
      <c r="C7220"/>
      <c r="D7220"/>
    </row>
    <row r="7221" spans="1:4" x14ac:dyDescent="0.2">
      <c r="A7221"/>
      <c r="B7221"/>
      <c r="C7221"/>
      <c r="D7221"/>
    </row>
    <row r="7222" spans="1:4" x14ac:dyDescent="0.2">
      <c r="A7222"/>
      <c r="B7222"/>
      <c r="C7222"/>
      <c r="D7222"/>
    </row>
    <row r="7223" spans="1:4" x14ac:dyDescent="0.2">
      <c r="A7223"/>
      <c r="B7223"/>
      <c r="C7223"/>
      <c r="D7223"/>
    </row>
    <row r="7224" spans="1:4" x14ac:dyDescent="0.2">
      <c r="A7224"/>
      <c r="B7224"/>
      <c r="C7224"/>
      <c r="D7224"/>
    </row>
    <row r="7225" spans="1:4" x14ac:dyDescent="0.2">
      <c r="A7225"/>
      <c r="B7225"/>
      <c r="C7225"/>
      <c r="D7225"/>
    </row>
    <row r="7226" spans="1:4" x14ac:dyDescent="0.2">
      <c r="A7226"/>
      <c r="B7226"/>
      <c r="C7226"/>
      <c r="D7226"/>
    </row>
    <row r="7227" spans="1:4" x14ac:dyDescent="0.2">
      <c r="A7227"/>
      <c r="B7227"/>
      <c r="C7227"/>
      <c r="D7227"/>
    </row>
    <row r="7228" spans="1:4" x14ac:dyDescent="0.2">
      <c r="A7228"/>
      <c r="B7228"/>
      <c r="C7228"/>
      <c r="D7228"/>
    </row>
    <row r="7229" spans="1:4" x14ac:dyDescent="0.2">
      <c r="A7229"/>
      <c r="B7229"/>
      <c r="C7229"/>
      <c r="D7229"/>
    </row>
    <row r="7230" spans="1:4" x14ac:dyDescent="0.2">
      <c r="A7230"/>
      <c r="B7230"/>
      <c r="C7230"/>
      <c r="D7230"/>
    </row>
    <row r="7231" spans="1:4" x14ac:dyDescent="0.2">
      <c r="A7231"/>
      <c r="B7231"/>
      <c r="C7231"/>
      <c r="D7231"/>
    </row>
    <row r="7232" spans="1:4" x14ac:dyDescent="0.2">
      <c r="A7232"/>
      <c r="B7232"/>
      <c r="C7232"/>
      <c r="D7232"/>
    </row>
    <row r="7233" spans="1:4" x14ac:dyDescent="0.2">
      <c r="A7233"/>
      <c r="B7233"/>
      <c r="C7233"/>
      <c r="D7233"/>
    </row>
    <row r="7234" spans="1:4" x14ac:dyDescent="0.2">
      <c r="A7234"/>
      <c r="B7234"/>
      <c r="C7234"/>
      <c r="D7234"/>
    </row>
    <row r="7235" spans="1:4" x14ac:dyDescent="0.2">
      <c r="A7235"/>
      <c r="B7235"/>
      <c r="C7235"/>
      <c r="D7235"/>
    </row>
    <row r="7236" spans="1:4" x14ac:dyDescent="0.2">
      <c r="A7236"/>
      <c r="B7236"/>
      <c r="C7236"/>
      <c r="D7236"/>
    </row>
    <row r="7237" spans="1:4" x14ac:dyDescent="0.2">
      <c r="A7237"/>
      <c r="B7237"/>
      <c r="C7237"/>
      <c r="D7237"/>
    </row>
    <row r="7238" spans="1:4" x14ac:dyDescent="0.2">
      <c r="A7238"/>
      <c r="B7238"/>
      <c r="C7238"/>
      <c r="D7238"/>
    </row>
    <row r="7239" spans="1:4" x14ac:dyDescent="0.2">
      <c r="A7239"/>
      <c r="B7239"/>
      <c r="C7239"/>
      <c r="D7239"/>
    </row>
    <row r="7240" spans="1:4" x14ac:dyDescent="0.2">
      <c r="A7240"/>
      <c r="B7240"/>
      <c r="C7240"/>
      <c r="D7240"/>
    </row>
    <row r="7241" spans="1:4" x14ac:dyDescent="0.2">
      <c r="A7241"/>
      <c r="B7241"/>
      <c r="C7241"/>
      <c r="D7241"/>
    </row>
    <row r="7242" spans="1:4" x14ac:dyDescent="0.2">
      <c r="A7242"/>
      <c r="B7242"/>
      <c r="C7242"/>
      <c r="D7242"/>
    </row>
    <row r="7243" spans="1:4" x14ac:dyDescent="0.2">
      <c r="A7243"/>
      <c r="B7243"/>
      <c r="C7243"/>
      <c r="D7243"/>
    </row>
    <row r="7244" spans="1:4" x14ac:dyDescent="0.2">
      <c r="A7244"/>
      <c r="B7244"/>
      <c r="C7244"/>
      <c r="D7244"/>
    </row>
    <row r="7245" spans="1:4" x14ac:dyDescent="0.2">
      <c r="A7245"/>
      <c r="B7245"/>
      <c r="C7245"/>
      <c r="D7245"/>
    </row>
    <row r="7246" spans="1:4" x14ac:dyDescent="0.2">
      <c r="A7246"/>
      <c r="B7246"/>
      <c r="C7246"/>
      <c r="D7246"/>
    </row>
    <row r="7247" spans="1:4" x14ac:dyDescent="0.2">
      <c r="A7247"/>
      <c r="B7247"/>
      <c r="C7247"/>
      <c r="D7247"/>
    </row>
    <row r="7248" spans="1:4" x14ac:dyDescent="0.2">
      <c r="A7248"/>
      <c r="B7248"/>
      <c r="C7248"/>
      <c r="D7248"/>
    </row>
    <row r="7249" spans="1:4" x14ac:dyDescent="0.2">
      <c r="A7249"/>
      <c r="B7249"/>
      <c r="C7249"/>
      <c r="D7249"/>
    </row>
    <row r="7250" spans="1:4" x14ac:dyDescent="0.2">
      <c r="A7250"/>
      <c r="B7250"/>
      <c r="C7250"/>
      <c r="D7250"/>
    </row>
    <row r="7251" spans="1:4" x14ac:dyDescent="0.2">
      <c r="A7251"/>
      <c r="B7251"/>
      <c r="C7251"/>
      <c r="D7251"/>
    </row>
    <row r="7252" spans="1:4" x14ac:dyDescent="0.2">
      <c r="A7252"/>
      <c r="B7252"/>
      <c r="C7252"/>
      <c r="D7252"/>
    </row>
    <row r="7253" spans="1:4" x14ac:dyDescent="0.2">
      <c r="A7253"/>
      <c r="B7253"/>
      <c r="C7253"/>
      <c r="D7253"/>
    </row>
    <row r="7254" spans="1:4" x14ac:dyDescent="0.2">
      <c r="A7254"/>
      <c r="B7254"/>
      <c r="C7254"/>
      <c r="D7254"/>
    </row>
    <row r="7255" spans="1:4" x14ac:dyDescent="0.2">
      <c r="A7255"/>
      <c r="B7255"/>
      <c r="C7255"/>
      <c r="D7255"/>
    </row>
    <row r="7256" spans="1:4" x14ac:dyDescent="0.2">
      <c r="A7256"/>
      <c r="B7256"/>
      <c r="C7256"/>
      <c r="D7256"/>
    </row>
    <row r="7257" spans="1:4" x14ac:dyDescent="0.2">
      <c r="A7257"/>
      <c r="B7257"/>
      <c r="C7257"/>
      <c r="D7257"/>
    </row>
    <row r="7258" spans="1:4" x14ac:dyDescent="0.2">
      <c r="A7258"/>
      <c r="B7258"/>
      <c r="C7258"/>
      <c r="D7258"/>
    </row>
    <row r="7259" spans="1:4" x14ac:dyDescent="0.2">
      <c r="A7259"/>
      <c r="B7259"/>
      <c r="C7259"/>
      <c r="D7259"/>
    </row>
    <row r="7260" spans="1:4" x14ac:dyDescent="0.2">
      <c r="A7260"/>
      <c r="B7260"/>
      <c r="C7260"/>
      <c r="D7260"/>
    </row>
    <row r="7261" spans="1:4" x14ac:dyDescent="0.2">
      <c r="A7261"/>
      <c r="B7261"/>
      <c r="C7261"/>
      <c r="D7261"/>
    </row>
    <row r="7262" spans="1:4" x14ac:dyDescent="0.2">
      <c r="A7262"/>
      <c r="B7262"/>
      <c r="C7262"/>
      <c r="D7262"/>
    </row>
    <row r="7263" spans="1:4" x14ac:dyDescent="0.2">
      <c r="A7263"/>
      <c r="B7263"/>
      <c r="C7263"/>
      <c r="D7263"/>
    </row>
    <row r="7264" spans="1:4" x14ac:dyDescent="0.2">
      <c r="A7264"/>
      <c r="B7264"/>
      <c r="C7264"/>
      <c r="D7264"/>
    </row>
    <row r="7265" spans="1:4" x14ac:dyDescent="0.2">
      <c r="A7265"/>
      <c r="B7265"/>
      <c r="C7265"/>
      <c r="D7265"/>
    </row>
    <row r="7266" spans="1:4" x14ac:dyDescent="0.2">
      <c r="A7266"/>
      <c r="B7266"/>
      <c r="C7266"/>
      <c r="D7266"/>
    </row>
    <row r="7267" spans="1:4" x14ac:dyDescent="0.2">
      <c r="A7267"/>
      <c r="B7267"/>
      <c r="C7267"/>
      <c r="D7267"/>
    </row>
    <row r="7268" spans="1:4" x14ac:dyDescent="0.2">
      <c r="A7268"/>
      <c r="B7268"/>
      <c r="C7268"/>
      <c r="D7268"/>
    </row>
    <row r="7269" spans="1:4" x14ac:dyDescent="0.2">
      <c r="A7269"/>
      <c r="B7269"/>
      <c r="C7269"/>
      <c r="D7269"/>
    </row>
    <row r="7270" spans="1:4" x14ac:dyDescent="0.2">
      <c r="A7270"/>
      <c r="B7270"/>
      <c r="C7270"/>
      <c r="D7270"/>
    </row>
    <row r="7271" spans="1:4" x14ac:dyDescent="0.2">
      <c r="A7271"/>
      <c r="B7271"/>
      <c r="C7271"/>
      <c r="D7271"/>
    </row>
    <row r="7272" spans="1:4" x14ac:dyDescent="0.2">
      <c r="A7272"/>
      <c r="B7272"/>
      <c r="C7272"/>
      <c r="D7272"/>
    </row>
    <row r="7273" spans="1:4" x14ac:dyDescent="0.2">
      <c r="A7273"/>
      <c r="B7273"/>
      <c r="C7273"/>
      <c r="D7273"/>
    </row>
    <row r="7274" spans="1:4" x14ac:dyDescent="0.2">
      <c r="A7274"/>
      <c r="B7274"/>
      <c r="C7274"/>
      <c r="D7274"/>
    </row>
    <row r="7275" spans="1:4" x14ac:dyDescent="0.2">
      <c r="A7275"/>
      <c r="B7275"/>
      <c r="C7275"/>
      <c r="D7275"/>
    </row>
    <row r="7276" spans="1:4" x14ac:dyDescent="0.2">
      <c r="A7276"/>
      <c r="B7276"/>
      <c r="C7276"/>
      <c r="D7276"/>
    </row>
    <row r="7277" spans="1:4" x14ac:dyDescent="0.2">
      <c r="A7277"/>
      <c r="B7277"/>
      <c r="C7277"/>
      <c r="D7277"/>
    </row>
    <row r="7278" spans="1:4" x14ac:dyDescent="0.2">
      <c r="A7278"/>
      <c r="B7278"/>
      <c r="C7278"/>
      <c r="D7278"/>
    </row>
    <row r="7279" spans="1:4" x14ac:dyDescent="0.2">
      <c r="A7279"/>
      <c r="B7279"/>
      <c r="C7279"/>
      <c r="D7279"/>
    </row>
    <row r="7280" spans="1:4" x14ac:dyDescent="0.2">
      <c r="A7280"/>
      <c r="B7280"/>
      <c r="C7280"/>
      <c r="D7280"/>
    </row>
    <row r="7281" spans="1:4" x14ac:dyDescent="0.2">
      <c r="A7281"/>
      <c r="B7281"/>
      <c r="C7281"/>
      <c r="D7281"/>
    </row>
    <row r="7282" spans="1:4" x14ac:dyDescent="0.2">
      <c r="A7282"/>
      <c r="B7282"/>
      <c r="C7282"/>
      <c r="D7282"/>
    </row>
    <row r="7283" spans="1:4" x14ac:dyDescent="0.2">
      <c r="A7283"/>
      <c r="B7283"/>
      <c r="C7283"/>
      <c r="D7283"/>
    </row>
    <row r="7284" spans="1:4" x14ac:dyDescent="0.2">
      <c r="A7284"/>
      <c r="B7284"/>
      <c r="C7284"/>
      <c r="D7284"/>
    </row>
    <row r="7285" spans="1:4" x14ac:dyDescent="0.2">
      <c r="A7285"/>
      <c r="B7285"/>
      <c r="C7285"/>
      <c r="D7285"/>
    </row>
    <row r="7286" spans="1:4" x14ac:dyDescent="0.2">
      <c r="A7286"/>
      <c r="B7286"/>
      <c r="C7286"/>
      <c r="D7286"/>
    </row>
    <row r="7287" spans="1:4" x14ac:dyDescent="0.2">
      <c r="A7287"/>
      <c r="B7287"/>
      <c r="C7287"/>
      <c r="D7287"/>
    </row>
    <row r="7288" spans="1:4" x14ac:dyDescent="0.2">
      <c r="A7288"/>
      <c r="B7288"/>
      <c r="C7288"/>
      <c r="D7288"/>
    </row>
    <row r="7289" spans="1:4" x14ac:dyDescent="0.2">
      <c r="A7289"/>
      <c r="B7289"/>
      <c r="C7289"/>
      <c r="D7289"/>
    </row>
    <row r="7290" spans="1:4" x14ac:dyDescent="0.2">
      <c r="A7290"/>
      <c r="B7290"/>
      <c r="C7290"/>
      <c r="D7290"/>
    </row>
    <row r="7291" spans="1:4" x14ac:dyDescent="0.2">
      <c r="A7291"/>
      <c r="B7291"/>
      <c r="C7291"/>
      <c r="D7291"/>
    </row>
    <row r="7292" spans="1:4" x14ac:dyDescent="0.2">
      <c r="A7292"/>
      <c r="B7292"/>
      <c r="C7292"/>
      <c r="D7292"/>
    </row>
    <row r="7293" spans="1:4" x14ac:dyDescent="0.2">
      <c r="A7293"/>
      <c r="B7293"/>
      <c r="C7293"/>
      <c r="D7293"/>
    </row>
    <row r="7294" spans="1:4" x14ac:dyDescent="0.2">
      <c r="A7294"/>
      <c r="B7294"/>
      <c r="C7294"/>
      <c r="D7294"/>
    </row>
    <row r="7295" spans="1:4" x14ac:dyDescent="0.2">
      <c r="A7295"/>
      <c r="B7295"/>
      <c r="C7295"/>
      <c r="D7295"/>
    </row>
    <row r="7296" spans="1:4" x14ac:dyDescent="0.2">
      <c r="A7296"/>
      <c r="B7296"/>
      <c r="C7296"/>
      <c r="D7296"/>
    </row>
    <row r="7297" spans="1:4" x14ac:dyDescent="0.2">
      <c r="A7297"/>
      <c r="B7297"/>
      <c r="C7297"/>
      <c r="D7297"/>
    </row>
    <row r="7298" spans="1:4" x14ac:dyDescent="0.2">
      <c r="A7298"/>
      <c r="B7298"/>
      <c r="C7298"/>
      <c r="D7298"/>
    </row>
    <row r="7299" spans="1:4" x14ac:dyDescent="0.2">
      <c r="A7299"/>
      <c r="B7299"/>
      <c r="C7299"/>
      <c r="D7299"/>
    </row>
    <row r="7300" spans="1:4" x14ac:dyDescent="0.2">
      <c r="A7300"/>
      <c r="B7300"/>
      <c r="C7300"/>
      <c r="D7300"/>
    </row>
    <row r="7301" spans="1:4" x14ac:dyDescent="0.2">
      <c r="A7301"/>
      <c r="B7301"/>
      <c r="C7301"/>
      <c r="D7301"/>
    </row>
    <row r="7302" spans="1:4" x14ac:dyDescent="0.2">
      <c r="A7302"/>
      <c r="B7302"/>
      <c r="C7302"/>
      <c r="D7302"/>
    </row>
    <row r="7303" spans="1:4" x14ac:dyDescent="0.2">
      <c r="A7303"/>
      <c r="B7303"/>
      <c r="C7303"/>
      <c r="D7303"/>
    </row>
    <row r="7304" spans="1:4" x14ac:dyDescent="0.2">
      <c r="A7304"/>
      <c r="B7304"/>
      <c r="C7304"/>
      <c r="D7304"/>
    </row>
    <row r="7305" spans="1:4" x14ac:dyDescent="0.2">
      <c r="A7305"/>
      <c r="B7305"/>
      <c r="C7305"/>
      <c r="D7305"/>
    </row>
    <row r="7306" spans="1:4" x14ac:dyDescent="0.2">
      <c r="A7306"/>
      <c r="B7306"/>
      <c r="C7306"/>
      <c r="D7306"/>
    </row>
    <row r="7307" spans="1:4" x14ac:dyDescent="0.2">
      <c r="A7307"/>
      <c r="B7307"/>
      <c r="C7307"/>
      <c r="D7307"/>
    </row>
    <row r="7308" spans="1:4" x14ac:dyDescent="0.2">
      <c r="A7308"/>
      <c r="B7308"/>
      <c r="C7308"/>
      <c r="D7308"/>
    </row>
    <row r="7309" spans="1:4" x14ac:dyDescent="0.2">
      <c r="A7309"/>
      <c r="B7309"/>
      <c r="C7309"/>
      <c r="D7309"/>
    </row>
    <row r="7310" spans="1:4" x14ac:dyDescent="0.2">
      <c r="A7310"/>
      <c r="B7310"/>
      <c r="C7310"/>
      <c r="D7310"/>
    </row>
    <row r="7311" spans="1:4" x14ac:dyDescent="0.2">
      <c r="A7311"/>
      <c r="B7311"/>
      <c r="C7311"/>
      <c r="D7311"/>
    </row>
    <row r="7312" spans="1:4" x14ac:dyDescent="0.2">
      <c r="A7312"/>
      <c r="B7312"/>
      <c r="C7312"/>
      <c r="D7312"/>
    </row>
    <row r="7313" spans="1:4" x14ac:dyDescent="0.2">
      <c r="A7313"/>
      <c r="B7313"/>
      <c r="C7313"/>
      <c r="D7313"/>
    </row>
    <row r="7314" spans="1:4" x14ac:dyDescent="0.2">
      <c r="A7314"/>
      <c r="B7314"/>
      <c r="C7314"/>
      <c r="D7314"/>
    </row>
    <row r="7315" spans="1:4" x14ac:dyDescent="0.2">
      <c r="A7315"/>
      <c r="B7315"/>
      <c r="C7315"/>
      <c r="D7315"/>
    </row>
    <row r="7316" spans="1:4" x14ac:dyDescent="0.2">
      <c r="A7316"/>
      <c r="B7316"/>
      <c r="C7316"/>
      <c r="D7316"/>
    </row>
    <row r="7317" spans="1:4" x14ac:dyDescent="0.2">
      <c r="A7317"/>
      <c r="B7317"/>
      <c r="C7317"/>
      <c r="D7317"/>
    </row>
    <row r="7318" spans="1:4" x14ac:dyDescent="0.2">
      <c r="A7318"/>
      <c r="B7318"/>
      <c r="C7318"/>
      <c r="D7318"/>
    </row>
    <row r="7319" spans="1:4" x14ac:dyDescent="0.2">
      <c r="A7319"/>
      <c r="B7319"/>
      <c r="C7319"/>
      <c r="D7319"/>
    </row>
    <row r="7320" spans="1:4" x14ac:dyDescent="0.2">
      <c r="A7320"/>
      <c r="B7320"/>
      <c r="C7320"/>
      <c r="D7320"/>
    </row>
    <row r="7321" spans="1:4" x14ac:dyDescent="0.2">
      <c r="A7321"/>
      <c r="B7321"/>
      <c r="C7321"/>
      <c r="D7321"/>
    </row>
    <row r="7322" spans="1:4" x14ac:dyDescent="0.2">
      <c r="A7322"/>
      <c r="B7322"/>
      <c r="C7322"/>
      <c r="D7322"/>
    </row>
    <row r="7323" spans="1:4" x14ac:dyDescent="0.2">
      <c r="A7323"/>
      <c r="B7323"/>
      <c r="C7323"/>
      <c r="D7323"/>
    </row>
    <row r="7324" spans="1:4" x14ac:dyDescent="0.2">
      <c r="A7324"/>
      <c r="B7324"/>
      <c r="C7324"/>
      <c r="D7324"/>
    </row>
    <row r="7325" spans="1:4" x14ac:dyDescent="0.2">
      <c r="A7325"/>
      <c r="B7325"/>
      <c r="C7325"/>
      <c r="D7325"/>
    </row>
    <row r="7326" spans="1:4" x14ac:dyDescent="0.2">
      <c r="A7326"/>
      <c r="B7326"/>
      <c r="C7326"/>
      <c r="D7326"/>
    </row>
    <row r="7327" spans="1:4" x14ac:dyDescent="0.2">
      <c r="A7327"/>
      <c r="B7327"/>
      <c r="C7327"/>
      <c r="D7327"/>
    </row>
    <row r="7328" spans="1:4" x14ac:dyDescent="0.2">
      <c r="A7328"/>
      <c r="B7328"/>
      <c r="C7328"/>
      <c r="D7328"/>
    </row>
    <row r="7329" spans="1:4" x14ac:dyDescent="0.2">
      <c r="A7329"/>
      <c r="B7329"/>
      <c r="C7329"/>
      <c r="D7329"/>
    </row>
    <row r="7330" spans="1:4" x14ac:dyDescent="0.2">
      <c r="A7330"/>
      <c r="B7330"/>
      <c r="C7330"/>
      <c r="D7330"/>
    </row>
    <row r="7331" spans="1:4" x14ac:dyDescent="0.2">
      <c r="A7331"/>
      <c r="B7331"/>
      <c r="C7331"/>
      <c r="D7331"/>
    </row>
    <row r="7332" spans="1:4" x14ac:dyDescent="0.2">
      <c r="A7332"/>
      <c r="B7332"/>
      <c r="C7332"/>
      <c r="D7332"/>
    </row>
    <row r="7333" spans="1:4" x14ac:dyDescent="0.2">
      <c r="A7333"/>
      <c r="B7333"/>
      <c r="C7333"/>
      <c r="D7333"/>
    </row>
    <row r="7334" spans="1:4" x14ac:dyDescent="0.2">
      <c r="A7334"/>
      <c r="B7334"/>
      <c r="C7334"/>
      <c r="D7334"/>
    </row>
    <row r="7335" spans="1:4" x14ac:dyDescent="0.2">
      <c r="A7335"/>
      <c r="B7335"/>
      <c r="C7335"/>
      <c r="D7335"/>
    </row>
    <row r="7336" spans="1:4" x14ac:dyDescent="0.2">
      <c r="A7336"/>
      <c r="B7336"/>
      <c r="C7336"/>
      <c r="D7336"/>
    </row>
    <row r="7337" spans="1:4" x14ac:dyDescent="0.2">
      <c r="A7337"/>
      <c r="B7337"/>
      <c r="C7337"/>
      <c r="D7337"/>
    </row>
    <row r="7338" spans="1:4" x14ac:dyDescent="0.2">
      <c r="A7338"/>
      <c r="B7338"/>
      <c r="C7338"/>
      <c r="D7338"/>
    </row>
    <row r="7339" spans="1:4" x14ac:dyDescent="0.2">
      <c r="A7339"/>
      <c r="B7339"/>
      <c r="C7339"/>
      <c r="D7339"/>
    </row>
    <row r="7340" spans="1:4" x14ac:dyDescent="0.2">
      <c r="A7340"/>
      <c r="B7340"/>
      <c r="C7340"/>
      <c r="D7340"/>
    </row>
    <row r="7341" spans="1:4" x14ac:dyDescent="0.2">
      <c r="A7341"/>
      <c r="B7341"/>
      <c r="C7341"/>
      <c r="D7341"/>
    </row>
    <row r="7342" spans="1:4" x14ac:dyDescent="0.2">
      <c r="A7342"/>
      <c r="B7342"/>
      <c r="C7342"/>
      <c r="D7342"/>
    </row>
    <row r="7343" spans="1:4" x14ac:dyDescent="0.2">
      <c r="A7343"/>
      <c r="B7343"/>
      <c r="C7343"/>
      <c r="D7343"/>
    </row>
    <row r="7344" spans="1:4" x14ac:dyDescent="0.2">
      <c r="A7344"/>
      <c r="B7344"/>
      <c r="C7344"/>
      <c r="D7344"/>
    </row>
    <row r="7345" spans="1:4" x14ac:dyDescent="0.2">
      <c r="A7345"/>
      <c r="B7345"/>
      <c r="C7345"/>
      <c r="D7345"/>
    </row>
    <row r="7346" spans="1:4" x14ac:dyDescent="0.2">
      <c r="A7346"/>
      <c r="B7346"/>
      <c r="C7346"/>
      <c r="D7346"/>
    </row>
    <row r="7347" spans="1:4" x14ac:dyDescent="0.2">
      <c r="A7347"/>
      <c r="B7347"/>
      <c r="C7347"/>
      <c r="D7347"/>
    </row>
    <row r="7348" spans="1:4" x14ac:dyDescent="0.2">
      <c r="A7348"/>
      <c r="B7348"/>
      <c r="C7348"/>
      <c r="D7348"/>
    </row>
    <row r="7349" spans="1:4" x14ac:dyDescent="0.2">
      <c r="A7349"/>
      <c r="B7349"/>
      <c r="C7349"/>
      <c r="D7349"/>
    </row>
    <row r="7350" spans="1:4" x14ac:dyDescent="0.2">
      <c r="A7350"/>
      <c r="B7350"/>
      <c r="C7350"/>
      <c r="D7350"/>
    </row>
    <row r="7351" spans="1:4" x14ac:dyDescent="0.2">
      <c r="A7351"/>
      <c r="B7351"/>
      <c r="C7351"/>
      <c r="D7351"/>
    </row>
    <row r="7352" spans="1:4" x14ac:dyDescent="0.2">
      <c r="A7352"/>
      <c r="B7352"/>
      <c r="C7352"/>
      <c r="D7352"/>
    </row>
    <row r="7353" spans="1:4" x14ac:dyDescent="0.2">
      <c r="A7353"/>
      <c r="B7353"/>
      <c r="C7353"/>
      <c r="D7353"/>
    </row>
    <row r="7354" spans="1:4" x14ac:dyDescent="0.2">
      <c r="A7354"/>
      <c r="B7354"/>
      <c r="C7354"/>
      <c r="D7354"/>
    </row>
    <row r="7355" spans="1:4" x14ac:dyDescent="0.2">
      <c r="A7355"/>
      <c r="B7355"/>
      <c r="C7355"/>
      <c r="D7355"/>
    </row>
    <row r="7356" spans="1:4" x14ac:dyDescent="0.2">
      <c r="A7356"/>
      <c r="B7356"/>
      <c r="C7356"/>
      <c r="D7356"/>
    </row>
    <row r="7357" spans="1:4" x14ac:dyDescent="0.2">
      <c r="A7357"/>
      <c r="B7357"/>
      <c r="C7357"/>
      <c r="D7357"/>
    </row>
    <row r="7358" spans="1:4" x14ac:dyDescent="0.2">
      <c r="A7358"/>
      <c r="B7358"/>
      <c r="C7358"/>
      <c r="D7358"/>
    </row>
    <row r="7359" spans="1:4" x14ac:dyDescent="0.2">
      <c r="A7359"/>
      <c r="B7359"/>
      <c r="C7359"/>
      <c r="D7359"/>
    </row>
    <row r="7360" spans="1:4" x14ac:dyDescent="0.2">
      <c r="A7360"/>
      <c r="B7360"/>
      <c r="C7360"/>
      <c r="D7360"/>
    </row>
    <row r="7361" spans="1:4" x14ac:dyDescent="0.2">
      <c r="A7361"/>
      <c r="B7361"/>
      <c r="C7361"/>
      <c r="D7361"/>
    </row>
    <row r="7362" spans="1:4" x14ac:dyDescent="0.2">
      <c r="A7362"/>
      <c r="B7362"/>
      <c r="C7362"/>
      <c r="D7362"/>
    </row>
    <row r="7363" spans="1:4" x14ac:dyDescent="0.2">
      <c r="A7363"/>
      <c r="B7363"/>
      <c r="C7363"/>
      <c r="D7363"/>
    </row>
    <row r="7364" spans="1:4" x14ac:dyDescent="0.2">
      <c r="A7364"/>
      <c r="B7364"/>
      <c r="C7364"/>
      <c r="D7364"/>
    </row>
    <row r="7365" spans="1:4" x14ac:dyDescent="0.2">
      <c r="A7365"/>
      <c r="B7365"/>
      <c r="C7365"/>
      <c r="D7365"/>
    </row>
    <row r="7366" spans="1:4" x14ac:dyDescent="0.2">
      <c r="A7366"/>
      <c r="B7366"/>
      <c r="C7366"/>
      <c r="D7366"/>
    </row>
    <row r="7367" spans="1:4" x14ac:dyDescent="0.2">
      <c r="A7367"/>
      <c r="B7367"/>
      <c r="C7367"/>
      <c r="D7367"/>
    </row>
    <row r="7368" spans="1:4" x14ac:dyDescent="0.2">
      <c r="A7368"/>
      <c r="B7368"/>
      <c r="C7368"/>
      <c r="D7368"/>
    </row>
    <row r="7369" spans="1:4" x14ac:dyDescent="0.2">
      <c r="A7369"/>
      <c r="B7369"/>
      <c r="C7369"/>
      <c r="D7369"/>
    </row>
    <row r="7370" spans="1:4" x14ac:dyDescent="0.2">
      <c r="A7370"/>
      <c r="B7370"/>
      <c r="C7370"/>
      <c r="D7370"/>
    </row>
    <row r="7371" spans="1:4" x14ac:dyDescent="0.2">
      <c r="A7371"/>
      <c r="B7371"/>
      <c r="C7371"/>
      <c r="D7371"/>
    </row>
    <row r="7372" spans="1:4" x14ac:dyDescent="0.2">
      <c r="A7372"/>
      <c r="B7372"/>
      <c r="C7372"/>
      <c r="D7372"/>
    </row>
    <row r="7373" spans="1:4" x14ac:dyDescent="0.2">
      <c r="A7373"/>
      <c r="B7373"/>
      <c r="C7373"/>
      <c r="D7373"/>
    </row>
    <row r="7374" spans="1:4" x14ac:dyDescent="0.2">
      <c r="A7374"/>
      <c r="B7374"/>
      <c r="C7374"/>
      <c r="D7374"/>
    </row>
    <row r="7375" spans="1:4" x14ac:dyDescent="0.2">
      <c r="A7375"/>
      <c r="B7375"/>
      <c r="C7375"/>
      <c r="D7375"/>
    </row>
    <row r="7376" spans="1:4" x14ac:dyDescent="0.2">
      <c r="A7376"/>
      <c r="B7376"/>
      <c r="C7376"/>
      <c r="D7376"/>
    </row>
    <row r="7377" spans="1:4" x14ac:dyDescent="0.2">
      <c r="A7377"/>
      <c r="B7377"/>
      <c r="C7377"/>
      <c r="D7377"/>
    </row>
    <row r="7378" spans="1:4" x14ac:dyDescent="0.2">
      <c r="A7378"/>
      <c r="B7378"/>
      <c r="C7378"/>
      <c r="D7378"/>
    </row>
    <row r="7379" spans="1:4" x14ac:dyDescent="0.2">
      <c r="A7379"/>
      <c r="B7379"/>
      <c r="C7379"/>
      <c r="D7379"/>
    </row>
    <row r="7380" spans="1:4" x14ac:dyDescent="0.2">
      <c r="A7380"/>
      <c r="B7380"/>
      <c r="C7380"/>
      <c r="D7380"/>
    </row>
    <row r="7381" spans="1:4" x14ac:dyDescent="0.2">
      <c r="A7381"/>
      <c r="B7381"/>
      <c r="C7381"/>
      <c r="D7381"/>
    </row>
    <row r="7382" spans="1:4" x14ac:dyDescent="0.2">
      <c r="A7382"/>
      <c r="B7382"/>
      <c r="C7382"/>
      <c r="D7382"/>
    </row>
    <row r="7383" spans="1:4" x14ac:dyDescent="0.2">
      <c r="A7383"/>
      <c r="B7383"/>
      <c r="C7383"/>
      <c r="D7383"/>
    </row>
    <row r="7384" spans="1:4" x14ac:dyDescent="0.2">
      <c r="A7384"/>
      <c r="B7384"/>
      <c r="C7384"/>
      <c r="D7384"/>
    </row>
    <row r="7385" spans="1:4" x14ac:dyDescent="0.2">
      <c r="A7385"/>
      <c r="B7385"/>
      <c r="C7385"/>
      <c r="D7385"/>
    </row>
    <row r="7386" spans="1:4" x14ac:dyDescent="0.2">
      <c r="A7386"/>
      <c r="B7386"/>
      <c r="C7386"/>
      <c r="D7386"/>
    </row>
    <row r="7387" spans="1:4" x14ac:dyDescent="0.2">
      <c r="A7387"/>
      <c r="B7387"/>
      <c r="C7387"/>
      <c r="D7387"/>
    </row>
    <row r="7388" spans="1:4" x14ac:dyDescent="0.2">
      <c r="A7388"/>
      <c r="B7388"/>
      <c r="C7388"/>
      <c r="D7388"/>
    </row>
    <row r="7389" spans="1:4" x14ac:dyDescent="0.2">
      <c r="A7389"/>
      <c r="B7389"/>
      <c r="C7389"/>
      <c r="D7389"/>
    </row>
    <row r="7390" spans="1:4" x14ac:dyDescent="0.2">
      <c r="A7390"/>
      <c r="B7390"/>
      <c r="C7390"/>
      <c r="D7390"/>
    </row>
    <row r="7391" spans="1:4" x14ac:dyDescent="0.2">
      <c r="A7391"/>
      <c r="B7391"/>
      <c r="C7391"/>
      <c r="D7391"/>
    </row>
    <row r="7392" spans="1:4" x14ac:dyDescent="0.2">
      <c r="A7392"/>
      <c r="B7392"/>
      <c r="C7392"/>
      <c r="D7392"/>
    </row>
    <row r="7393" spans="1:4" x14ac:dyDescent="0.2">
      <c r="A7393"/>
      <c r="B7393"/>
      <c r="C7393"/>
      <c r="D7393"/>
    </row>
    <row r="7394" spans="1:4" x14ac:dyDescent="0.2">
      <c r="A7394"/>
      <c r="B7394"/>
      <c r="C7394"/>
      <c r="D7394"/>
    </row>
    <row r="7395" spans="1:4" x14ac:dyDescent="0.2">
      <c r="A7395"/>
      <c r="B7395"/>
      <c r="C7395"/>
      <c r="D7395"/>
    </row>
    <row r="7396" spans="1:4" x14ac:dyDescent="0.2">
      <c r="A7396"/>
      <c r="B7396"/>
      <c r="C7396"/>
      <c r="D7396"/>
    </row>
    <row r="7397" spans="1:4" x14ac:dyDescent="0.2">
      <c r="A7397"/>
      <c r="B7397"/>
      <c r="C7397"/>
      <c r="D7397"/>
    </row>
    <row r="7398" spans="1:4" x14ac:dyDescent="0.2">
      <c r="A7398"/>
      <c r="B7398"/>
      <c r="C7398"/>
      <c r="D7398"/>
    </row>
    <row r="7399" spans="1:4" x14ac:dyDescent="0.2">
      <c r="A7399"/>
      <c r="B7399"/>
      <c r="C7399"/>
      <c r="D7399"/>
    </row>
    <row r="7400" spans="1:4" x14ac:dyDescent="0.2">
      <c r="A7400"/>
      <c r="B7400"/>
      <c r="C7400"/>
      <c r="D7400"/>
    </row>
    <row r="7401" spans="1:4" x14ac:dyDescent="0.2">
      <c r="A7401"/>
      <c r="B7401"/>
      <c r="C7401"/>
      <c r="D7401"/>
    </row>
    <row r="7402" spans="1:4" x14ac:dyDescent="0.2">
      <c r="A7402"/>
      <c r="B7402"/>
      <c r="C7402"/>
      <c r="D7402"/>
    </row>
    <row r="7403" spans="1:4" x14ac:dyDescent="0.2">
      <c r="A7403"/>
      <c r="B7403"/>
      <c r="C7403"/>
      <c r="D7403"/>
    </row>
    <row r="7404" spans="1:4" x14ac:dyDescent="0.2">
      <c r="A7404"/>
      <c r="B7404"/>
      <c r="C7404"/>
      <c r="D7404"/>
    </row>
    <row r="7405" spans="1:4" x14ac:dyDescent="0.2">
      <c r="A7405"/>
      <c r="B7405"/>
      <c r="C7405"/>
      <c r="D7405"/>
    </row>
    <row r="7406" spans="1:4" x14ac:dyDescent="0.2">
      <c r="A7406"/>
      <c r="B7406"/>
      <c r="C7406"/>
      <c r="D7406"/>
    </row>
    <row r="7407" spans="1:4" x14ac:dyDescent="0.2">
      <c r="A7407"/>
      <c r="B7407"/>
      <c r="C7407"/>
      <c r="D7407"/>
    </row>
    <row r="7408" spans="1:4" x14ac:dyDescent="0.2">
      <c r="A7408"/>
      <c r="B7408"/>
      <c r="C7408"/>
      <c r="D7408"/>
    </row>
    <row r="7409" spans="1:4" x14ac:dyDescent="0.2">
      <c r="A7409"/>
      <c r="B7409"/>
      <c r="C7409"/>
      <c r="D7409"/>
    </row>
    <row r="7410" spans="1:4" x14ac:dyDescent="0.2">
      <c r="A7410"/>
      <c r="B7410"/>
      <c r="C7410"/>
      <c r="D7410"/>
    </row>
    <row r="7411" spans="1:4" x14ac:dyDescent="0.2">
      <c r="A7411"/>
      <c r="B7411"/>
      <c r="C7411"/>
      <c r="D7411"/>
    </row>
    <row r="7412" spans="1:4" x14ac:dyDescent="0.2">
      <c r="A7412"/>
      <c r="B7412"/>
      <c r="C7412"/>
      <c r="D7412"/>
    </row>
    <row r="7413" spans="1:4" x14ac:dyDescent="0.2">
      <c r="A7413"/>
      <c r="B7413"/>
      <c r="C7413"/>
      <c r="D7413"/>
    </row>
    <row r="7414" spans="1:4" x14ac:dyDescent="0.2">
      <c r="A7414"/>
      <c r="B7414"/>
      <c r="C7414"/>
      <c r="D7414"/>
    </row>
    <row r="7415" spans="1:4" x14ac:dyDescent="0.2">
      <c r="A7415"/>
      <c r="B7415"/>
      <c r="C7415"/>
      <c r="D7415"/>
    </row>
    <row r="7416" spans="1:4" x14ac:dyDescent="0.2">
      <c r="A7416"/>
      <c r="B7416"/>
      <c r="C7416"/>
      <c r="D7416"/>
    </row>
    <row r="7417" spans="1:4" x14ac:dyDescent="0.2">
      <c r="A7417"/>
      <c r="B7417"/>
      <c r="C7417"/>
      <c r="D7417"/>
    </row>
    <row r="7418" spans="1:4" x14ac:dyDescent="0.2">
      <c r="A7418"/>
      <c r="B7418"/>
      <c r="C7418"/>
      <c r="D7418"/>
    </row>
    <row r="7419" spans="1:4" x14ac:dyDescent="0.2">
      <c r="A7419"/>
      <c r="B7419"/>
      <c r="C7419"/>
      <c r="D7419"/>
    </row>
    <row r="7420" spans="1:4" x14ac:dyDescent="0.2">
      <c r="A7420"/>
      <c r="B7420"/>
      <c r="C7420"/>
      <c r="D7420"/>
    </row>
    <row r="7421" spans="1:4" x14ac:dyDescent="0.2">
      <c r="A7421"/>
      <c r="B7421"/>
      <c r="C7421"/>
      <c r="D7421"/>
    </row>
    <row r="7422" spans="1:4" x14ac:dyDescent="0.2">
      <c r="A7422"/>
      <c r="B7422"/>
      <c r="C7422"/>
      <c r="D7422"/>
    </row>
    <row r="7423" spans="1:4" x14ac:dyDescent="0.2">
      <c r="A7423"/>
      <c r="B7423"/>
      <c r="C7423"/>
      <c r="D7423"/>
    </row>
    <row r="7424" spans="1:4" x14ac:dyDescent="0.2">
      <c r="A7424"/>
      <c r="B7424"/>
      <c r="C7424"/>
      <c r="D7424"/>
    </row>
    <row r="7425" spans="1:4" x14ac:dyDescent="0.2">
      <c r="A7425"/>
      <c r="B7425"/>
      <c r="C7425"/>
      <c r="D7425"/>
    </row>
    <row r="7426" spans="1:4" x14ac:dyDescent="0.2">
      <c r="A7426"/>
      <c r="B7426"/>
      <c r="C7426"/>
      <c r="D7426"/>
    </row>
    <row r="7427" spans="1:4" x14ac:dyDescent="0.2">
      <c r="A7427"/>
      <c r="B7427"/>
      <c r="C7427"/>
      <c r="D7427"/>
    </row>
    <row r="7428" spans="1:4" x14ac:dyDescent="0.2">
      <c r="A7428"/>
      <c r="B7428"/>
      <c r="C7428"/>
      <c r="D7428"/>
    </row>
    <row r="7429" spans="1:4" x14ac:dyDescent="0.2">
      <c r="A7429"/>
      <c r="B7429"/>
      <c r="C7429"/>
      <c r="D7429"/>
    </row>
    <row r="7430" spans="1:4" x14ac:dyDescent="0.2">
      <c r="A7430"/>
      <c r="B7430"/>
      <c r="C7430"/>
      <c r="D7430"/>
    </row>
    <row r="7431" spans="1:4" x14ac:dyDescent="0.2">
      <c r="A7431"/>
      <c r="B7431"/>
      <c r="C7431"/>
      <c r="D7431"/>
    </row>
    <row r="7432" spans="1:4" x14ac:dyDescent="0.2">
      <c r="A7432"/>
      <c r="B7432"/>
      <c r="C7432"/>
      <c r="D7432"/>
    </row>
    <row r="7433" spans="1:4" x14ac:dyDescent="0.2">
      <c r="A7433"/>
      <c r="B7433"/>
      <c r="C7433"/>
      <c r="D7433"/>
    </row>
    <row r="7434" spans="1:4" x14ac:dyDescent="0.2">
      <c r="A7434"/>
      <c r="B7434"/>
      <c r="C7434"/>
      <c r="D7434"/>
    </row>
    <row r="7435" spans="1:4" x14ac:dyDescent="0.2">
      <c r="A7435"/>
      <c r="B7435"/>
      <c r="C7435"/>
      <c r="D7435"/>
    </row>
    <row r="7436" spans="1:4" x14ac:dyDescent="0.2">
      <c r="A7436"/>
      <c r="B7436"/>
      <c r="C7436"/>
      <c r="D7436"/>
    </row>
    <row r="7437" spans="1:4" x14ac:dyDescent="0.2">
      <c r="A7437"/>
      <c r="B7437"/>
      <c r="C7437"/>
      <c r="D7437"/>
    </row>
    <row r="7438" spans="1:4" x14ac:dyDescent="0.2">
      <c r="A7438"/>
      <c r="B7438"/>
      <c r="C7438"/>
      <c r="D7438"/>
    </row>
    <row r="7439" spans="1:4" x14ac:dyDescent="0.2">
      <c r="A7439"/>
      <c r="B7439"/>
      <c r="C7439"/>
      <c r="D7439"/>
    </row>
    <row r="7440" spans="1:4" x14ac:dyDescent="0.2">
      <c r="A7440"/>
      <c r="B7440"/>
      <c r="C7440"/>
      <c r="D7440"/>
    </row>
    <row r="7441" spans="1:4" x14ac:dyDescent="0.2">
      <c r="A7441"/>
      <c r="B7441"/>
      <c r="C7441"/>
      <c r="D7441"/>
    </row>
    <row r="7442" spans="1:4" x14ac:dyDescent="0.2">
      <c r="A7442"/>
      <c r="B7442"/>
      <c r="C7442"/>
      <c r="D7442"/>
    </row>
    <row r="7443" spans="1:4" x14ac:dyDescent="0.2">
      <c r="A7443"/>
      <c r="B7443"/>
      <c r="C7443"/>
      <c r="D7443"/>
    </row>
    <row r="7444" spans="1:4" x14ac:dyDescent="0.2">
      <c r="A7444"/>
      <c r="B7444"/>
      <c r="C7444"/>
      <c r="D7444"/>
    </row>
    <row r="7445" spans="1:4" x14ac:dyDescent="0.2">
      <c r="A7445"/>
      <c r="B7445"/>
      <c r="C7445"/>
      <c r="D7445"/>
    </row>
    <row r="7446" spans="1:4" x14ac:dyDescent="0.2">
      <c r="A7446"/>
      <c r="B7446"/>
      <c r="C7446"/>
      <c r="D7446"/>
    </row>
    <row r="7447" spans="1:4" x14ac:dyDescent="0.2">
      <c r="A7447"/>
      <c r="B7447"/>
      <c r="C7447"/>
      <c r="D7447"/>
    </row>
    <row r="7448" spans="1:4" x14ac:dyDescent="0.2">
      <c r="A7448"/>
      <c r="B7448"/>
      <c r="C7448"/>
      <c r="D7448"/>
    </row>
    <row r="7449" spans="1:4" x14ac:dyDescent="0.2">
      <c r="A7449"/>
      <c r="B7449"/>
      <c r="C7449"/>
      <c r="D7449"/>
    </row>
    <row r="7450" spans="1:4" x14ac:dyDescent="0.2">
      <c r="A7450"/>
      <c r="B7450"/>
      <c r="C7450"/>
      <c r="D7450"/>
    </row>
    <row r="7451" spans="1:4" x14ac:dyDescent="0.2">
      <c r="A7451"/>
      <c r="B7451"/>
      <c r="C7451"/>
      <c r="D7451"/>
    </row>
    <row r="7452" spans="1:4" x14ac:dyDescent="0.2">
      <c r="A7452"/>
      <c r="B7452"/>
      <c r="C7452"/>
      <c r="D7452"/>
    </row>
    <row r="7453" spans="1:4" x14ac:dyDescent="0.2">
      <c r="A7453"/>
      <c r="B7453"/>
      <c r="C7453"/>
      <c r="D7453"/>
    </row>
    <row r="7454" spans="1:4" x14ac:dyDescent="0.2">
      <c r="A7454"/>
      <c r="B7454"/>
      <c r="C7454"/>
      <c r="D7454"/>
    </row>
    <row r="7455" spans="1:4" x14ac:dyDescent="0.2">
      <c r="A7455"/>
      <c r="B7455"/>
      <c r="C7455"/>
      <c r="D7455"/>
    </row>
    <row r="7456" spans="1:4" x14ac:dyDescent="0.2">
      <c r="A7456"/>
      <c r="B7456"/>
      <c r="C7456"/>
      <c r="D7456"/>
    </row>
    <row r="7457" spans="1:4" x14ac:dyDescent="0.2">
      <c r="A7457"/>
      <c r="B7457"/>
      <c r="C7457"/>
      <c r="D7457"/>
    </row>
    <row r="7458" spans="1:4" x14ac:dyDescent="0.2">
      <c r="A7458"/>
      <c r="B7458"/>
      <c r="C7458"/>
      <c r="D7458"/>
    </row>
    <row r="7459" spans="1:4" x14ac:dyDescent="0.2">
      <c r="A7459"/>
      <c r="B7459"/>
      <c r="C7459"/>
      <c r="D7459"/>
    </row>
    <row r="7460" spans="1:4" x14ac:dyDescent="0.2">
      <c r="A7460"/>
      <c r="B7460"/>
      <c r="C7460"/>
      <c r="D7460"/>
    </row>
    <row r="7461" spans="1:4" x14ac:dyDescent="0.2">
      <c r="A7461"/>
      <c r="B7461"/>
      <c r="C7461"/>
      <c r="D7461"/>
    </row>
    <row r="7462" spans="1:4" x14ac:dyDescent="0.2">
      <c r="A7462"/>
      <c r="B7462"/>
      <c r="C7462"/>
      <c r="D7462"/>
    </row>
    <row r="7463" spans="1:4" x14ac:dyDescent="0.2">
      <c r="A7463"/>
      <c r="B7463"/>
      <c r="C7463"/>
      <c r="D7463"/>
    </row>
    <row r="7464" spans="1:4" x14ac:dyDescent="0.2">
      <c r="A7464"/>
      <c r="B7464"/>
      <c r="C7464"/>
      <c r="D7464"/>
    </row>
    <row r="7465" spans="1:4" x14ac:dyDescent="0.2">
      <c r="A7465"/>
      <c r="B7465"/>
      <c r="C7465"/>
      <c r="D7465"/>
    </row>
    <row r="7466" spans="1:4" x14ac:dyDescent="0.2">
      <c r="A7466"/>
      <c r="B7466"/>
      <c r="C7466"/>
      <c r="D7466"/>
    </row>
    <row r="7467" spans="1:4" x14ac:dyDescent="0.2">
      <c r="A7467"/>
      <c r="B7467"/>
      <c r="C7467"/>
      <c r="D7467"/>
    </row>
    <row r="7468" spans="1:4" x14ac:dyDescent="0.2">
      <c r="A7468"/>
      <c r="B7468"/>
      <c r="C7468"/>
      <c r="D7468"/>
    </row>
    <row r="7469" spans="1:4" x14ac:dyDescent="0.2">
      <c r="A7469"/>
      <c r="B7469"/>
      <c r="C7469"/>
      <c r="D7469"/>
    </row>
    <row r="7470" spans="1:4" x14ac:dyDescent="0.2">
      <c r="A7470"/>
      <c r="B7470"/>
      <c r="C7470"/>
      <c r="D7470"/>
    </row>
    <row r="7471" spans="1:4" x14ac:dyDescent="0.2">
      <c r="A7471"/>
      <c r="B7471"/>
      <c r="C7471"/>
      <c r="D7471"/>
    </row>
    <row r="7472" spans="1:4" x14ac:dyDescent="0.2">
      <c r="A7472"/>
      <c r="B7472"/>
      <c r="C7472"/>
      <c r="D7472"/>
    </row>
    <row r="7473" spans="1:4" x14ac:dyDescent="0.2">
      <c r="A7473"/>
      <c r="B7473"/>
      <c r="C7473"/>
      <c r="D7473"/>
    </row>
    <row r="7474" spans="1:4" x14ac:dyDescent="0.2">
      <c r="A7474"/>
      <c r="B7474"/>
      <c r="C7474"/>
      <c r="D7474"/>
    </row>
    <row r="7475" spans="1:4" x14ac:dyDescent="0.2">
      <c r="A7475"/>
      <c r="B7475"/>
      <c r="C7475"/>
      <c r="D7475"/>
    </row>
    <row r="7476" spans="1:4" x14ac:dyDescent="0.2">
      <c r="A7476"/>
      <c r="B7476"/>
      <c r="C7476"/>
      <c r="D7476"/>
    </row>
    <row r="7477" spans="1:4" x14ac:dyDescent="0.2">
      <c r="A7477"/>
      <c r="B7477"/>
      <c r="C7477"/>
      <c r="D7477"/>
    </row>
    <row r="7478" spans="1:4" x14ac:dyDescent="0.2">
      <c r="A7478"/>
      <c r="B7478"/>
      <c r="C7478"/>
      <c r="D7478"/>
    </row>
    <row r="7479" spans="1:4" x14ac:dyDescent="0.2">
      <c r="A7479"/>
      <c r="B7479"/>
      <c r="C7479"/>
      <c r="D7479"/>
    </row>
    <row r="7480" spans="1:4" x14ac:dyDescent="0.2">
      <c r="A7480"/>
      <c r="B7480"/>
      <c r="C7480"/>
      <c r="D7480"/>
    </row>
    <row r="7481" spans="1:4" x14ac:dyDescent="0.2">
      <c r="A7481"/>
      <c r="B7481"/>
      <c r="C7481"/>
      <c r="D7481"/>
    </row>
    <row r="7482" spans="1:4" x14ac:dyDescent="0.2">
      <c r="A7482"/>
      <c r="B7482"/>
      <c r="C7482"/>
      <c r="D7482"/>
    </row>
    <row r="7483" spans="1:4" x14ac:dyDescent="0.2">
      <c r="A7483"/>
      <c r="B7483"/>
      <c r="C7483"/>
      <c r="D7483"/>
    </row>
    <row r="7484" spans="1:4" x14ac:dyDescent="0.2">
      <c r="A7484"/>
      <c r="B7484"/>
      <c r="C7484"/>
      <c r="D7484"/>
    </row>
    <row r="7485" spans="1:4" x14ac:dyDescent="0.2">
      <c r="A7485"/>
      <c r="B7485"/>
      <c r="C7485"/>
      <c r="D7485"/>
    </row>
    <row r="7486" spans="1:4" x14ac:dyDescent="0.2">
      <c r="A7486"/>
      <c r="B7486"/>
      <c r="C7486"/>
      <c r="D7486"/>
    </row>
    <row r="7487" spans="1:4" x14ac:dyDescent="0.2">
      <c r="A7487"/>
      <c r="B7487"/>
      <c r="C7487"/>
      <c r="D7487"/>
    </row>
    <row r="7488" spans="1:4" x14ac:dyDescent="0.2">
      <c r="A7488"/>
      <c r="B7488"/>
      <c r="C7488"/>
      <c r="D7488"/>
    </row>
    <row r="7489" spans="1:4" x14ac:dyDescent="0.2">
      <c r="A7489"/>
      <c r="B7489"/>
      <c r="C7489"/>
      <c r="D7489"/>
    </row>
    <row r="7490" spans="1:4" x14ac:dyDescent="0.2">
      <c r="A7490"/>
      <c r="B7490"/>
      <c r="C7490"/>
      <c r="D7490"/>
    </row>
    <row r="7491" spans="1:4" x14ac:dyDescent="0.2">
      <c r="A7491"/>
      <c r="B7491"/>
      <c r="C7491"/>
      <c r="D7491"/>
    </row>
    <row r="7492" spans="1:4" x14ac:dyDescent="0.2">
      <c r="A7492"/>
      <c r="B7492"/>
      <c r="C7492"/>
      <c r="D7492"/>
    </row>
    <row r="7493" spans="1:4" x14ac:dyDescent="0.2">
      <c r="A7493"/>
      <c r="B7493"/>
      <c r="C7493"/>
      <c r="D7493"/>
    </row>
    <row r="7494" spans="1:4" x14ac:dyDescent="0.2">
      <c r="A7494"/>
      <c r="B7494"/>
      <c r="C7494"/>
      <c r="D7494"/>
    </row>
    <row r="7495" spans="1:4" x14ac:dyDescent="0.2">
      <c r="A7495"/>
      <c r="B7495"/>
      <c r="C7495"/>
      <c r="D7495"/>
    </row>
    <row r="7496" spans="1:4" x14ac:dyDescent="0.2">
      <c r="A7496"/>
      <c r="B7496"/>
      <c r="C7496"/>
      <c r="D7496"/>
    </row>
    <row r="7497" spans="1:4" x14ac:dyDescent="0.2">
      <c r="A7497"/>
      <c r="B7497"/>
      <c r="C7497"/>
      <c r="D7497"/>
    </row>
    <row r="7498" spans="1:4" x14ac:dyDescent="0.2">
      <c r="A7498"/>
      <c r="B7498"/>
      <c r="C7498"/>
      <c r="D7498"/>
    </row>
    <row r="7499" spans="1:4" x14ac:dyDescent="0.2">
      <c r="A7499"/>
      <c r="B7499"/>
      <c r="C7499"/>
      <c r="D7499"/>
    </row>
    <row r="7500" spans="1:4" x14ac:dyDescent="0.2">
      <c r="A7500"/>
      <c r="B7500"/>
      <c r="C7500"/>
      <c r="D7500"/>
    </row>
    <row r="7501" spans="1:4" x14ac:dyDescent="0.2">
      <c r="A7501"/>
      <c r="B7501"/>
      <c r="C7501"/>
      <c r="D7501"/>
    </row>
    <row r="7502" spans="1:4" x14ac:dyDescent="0.2">
      <c r="A7502"/>
      <c r="B7502"/>
      <c r="C7502"/>
      <c r="D7502"/>
    </row>
    <row r="7503" spans="1:4" x14ac:dyDescent="0.2">
      <c r="A7503"/>
      <c r="B7503"/>
      <c r="C7503"/>
      <c r="D7503"/>
    </row>
    <row r="7504" spans="1:4" x14ac:dyDescent="0.2">
      <c r="A7504"/>
      <c r="B7504"/>
      <c r="C7504"/>
      <c r="D7504"/>
    </row>
    <row r="7505" spans="1:4" x14ac:dyDescent="0.2">
      <c r="A7505"/>
      <c r="B7505"/>
      <c r="C7505"/>
      <c r="D7505"/>
    </row>
    <row r="7506" spans="1:4" x14ac:dyDescent="0.2">
      <c r="A7506"/>
      <c r="B7506"/>
      <c r="C7506"/>
      <c r="D7506"/>
    </row>
    <row r="7507" spans="1:4" x14ac:dyDescent="0.2">
      <c r="A7507"/>
      <c r="B7507"/>
      <c r="C7507"/>
      <c r="D7507"/>
    </row>
    <row r="7508" spans="1:4" x14ac:dyDescent="0.2">
      <c r="A7508"/>
      <c r="B7508"/>
      <c r="C7508"/>
      <c r="D7508"/>
    </row>
    <row r="7509" spans="1:4" x14ac:dyDescent="0.2">
      <c r="A7509"/>
      <c r="B7509"/>
      <c r="C7509"/>
      <c r="D7509"/>
    </row>
    <row r="7510" spans="1:4" x14ac:dyDescent="0.2">
      <c r="A7510"/>
      <c r="B7510"/>
      <c r="C7510"/>
      <c r="D7510"/>
    </row>
    <row r="7511" spans="1:4" x14ac:dyDescent="0.2">
      <c r="A7511"/>
      <c r="B7511"/>
      <c r="C7511"/>
      <c r="D7511"/>
    </row>
    <row r="7512" spans="1:4" x14ac:dyDescent="0.2">
      <c r="A7512"/>
      <c r="B7512"/>
      <c r="C7512"/>
      <c r="D7512"/>
    </row>
    <row r="7513" spans="1:4" x14ac:dyDescent="0.2">
      <c r="A7513"/>
      <c r="B7513"/>
      <c r="C7513"/>
      <c r="D7513"/>
    </row>
    <row r="7514" spans="1:4" x14ac:dyDescent="0.2">
      <c r="A7514"/>
      <c r="B7514"/>
      <c r="C7514"/>
      <c r="D7514"/>
    </row>
    <row r="7515" spans="1:4" x14ac:dyDescent="0.2">
      <c r="A7515"/>
      <c r="B7515"/>
      <c r="C7515"/>
      <c r="D7515"/>
    </row>
    <row r="7516" spans="1:4" x14ac:dyDescent="0.2">
      <c r="A7516"/>
      <c r="B7516"/>
      <c r="C7516"/>
      <c r="D7516"/>
    </row>
    <row r="7517" spans="1:4" x14ac:dyDescent="0.2">
      <c r="A7517"/>
      <c r="B7517"/>
      <c r="C7517"/>
      <c r="D7517"/>
    </row>
    <row r="7518" spans="1:4" x14ac:dyDescent="0.2">
      <c r="A7518"/>
      <c r="B7518"/>
      <c r="C7518"/>
      <c r="D7518"/>
    </row>
    <row r="7519" spans="1:4" x14ac:dyDescent="0.2">
      <c r="A7519"/>
      <c r="B7519"/>
      <c r="C7519"/>
      <c r="D7519"/>
    </row>
    <row r="7520" spans="1:4" x14ac:dyDescent="0.2">
      <c r="A7520"/>
      <c r="B7520"/>
      <c r="C7520"/>
      <c r="D7520"/>
    </row>
    <row r="7521" spans="1:4" x14ac:dyDescent="0.2">
      <c r="A7521"/>
      <c r="B7521"/>
      <c r="C7521"/>
      <c r="D7521"/>
    </row>
    <row r="7522" spans="1:4" x14ac:dyDescent="0.2">
      <c r="A7522"/>
      <c r="B7522"/>
      <c r="C7522"/>
      <c r="D7522"/>
    </row>
    <row r="7523" spans="1:4" x14ac:dyDescent="0.2">
      <c r="A7523"/>
      <c r="B7523"/>
      <c r="C7523"/>
      <c r="D7523"/>
    </row>
    <row r="7524" spans="1:4" x14ac:dyDescent="0.2">
      <c r="A7524"/>
      <c r="B7524"/>
      <c r="C7524"/>
      <c r="D7524"/>
    </row>
    <row r="7525" spans="1:4" x14ac:dyDescent="0.2">
      <c r="A7525"/>
      <c r="B7525"/>
      <c r="C7525"/>
      <c r="D7525"/>
    </row>
    <row r="7526" spans="1:4" x14ac:dyDescent="0.2">
      <c r="A7526"/>
      <c r="B7526"/>
      <c r="C7526"/>
      <c r="D7526"/>
    </row>
    <row r="7527" spans="1:4" x14ac:dyDescent="0.2">
      <c r="A7527"/>
      <c r="B7527"/>
      <c r="C7527"/>
      <c r="D7527"/>
    </row>
    <row r="7528" spans="1:4" x14ac:dyDescent="0.2">
      <c r="A7528"/>
      <c r="B7528"/>
      <c r="C7528"/>
      <c r="D7528"/>
    </row>
    <row r="7529" spans="1:4" x14ac:dyDescent="0.2">
      <c r="A7529"/>
      <c r="B7529"/>
      <c r="C7529"/>
      <c r="D7529"/>
    </row>
    <row r="7530" spans="1:4" x14ac:dyDescent="0.2">
      <c r="A7530"/>
      <c r="B7530"/>
      <c r="C7530"/>
      <c r="D7530"/>
    </row>
    <row r="7531" spans="1:4" x14ac:dyDescent="0.2">
      <c r="A7531"/>
      <c r="B7531"/>
      <c r="C7531"/>
      <c r="D7531"/>
    </row>
    <row r="7532" spans="1:4" x14ac:dyDescent="0.2">
      <c r="A7532"/>
      <c r="B7532"/>
      <c r="C7532"/>
      <c r="D7532"/>
    </row>
    <row r="7533" spans="1:4" x14ac:dyDescent="0.2">
      <c r="A7533"/>
      <c r="B7533"/>
      <c r="C7533"/>
      <c r="D7533"/>
    </row>
    <row r="7534" spans="1:4" x14ac:dyDescent="0.2">
      <c r="A7534"/>
      <c r="B7534"/>
      <c r="C7534"/>
      <c r="D7534"/>
    </row>
    <row r="7535" spans="1:4" x14ac:dyDescent="0.2">
      <c r="A7535"/>
      <c r="B7535"/>
      <c r="C7535"/>
      <c r="D7535"/>
    </row>
    <row r="7536" spans="1:4" x14ac:dyDescent="0.2">
      <c r="A7536"/>
      <c r="B7536"/>
      <c r="C7536"/>
      <c r="D7536"/>
    </row>
    <row r="7537" spans="1:4" x14ac:dyDescent="0.2">
      <c r="A7537"/>
      <c r="B7537"/>
      <c r="C7537"/>
      <c r="D7537"/>
    </row>
    <row r="7538" spans="1:4" x14ac:dyDescent="0.2">
      <c r="A7538"/>
      <c r="B7538"/>
      <c r="C7538"/>
      <c r="D7538"/>
    </row>
    <row r="7539" spans="1:4" x14ac:dyDescent="0.2">
      <c r="A7539"/>
      <c r="B7539"/>
      <c r="C7539"/>
      <c r="D7539"/>
    </row>
    <row r="7540" spans="1:4" x14ac:dyDescent="0.2">
      <c r="A7540"/>
      <c r="B7540"/>
      <c r="C7540"/>
      <c r="D7540"/>
    </row>
    <row r="7541" spans="1:4" x14ac:dyDescent="0.2">
      <c r="A7541"/>
      <c r="B7541"/>
      <c r="C7541"/>
      <c r="D7541"/>
    </row>
    <row r="7542" spans="1:4" x14ac:dyDescent="0.2">
      <c r="A7542"/>
      <c r="B7542"/>
      <c r="C7542"/>
      <c r="D7542"/>
    </row>
    <row r="7543" spans="1:4" x14ac:dyDescent="0.2">
      <c r="A7543"/>
      <c r="B7543"/>
      <c r="C7543"/>
      <c r="D7543"/>
    </row>
    <row r="7544" spans="1:4" x14ac:dyDescent="0.2">
      <c r="A7544"/>
      <c r="B7544"/>
      <c r="C7544"/>
      <c r="D7544"/>
    </row>
    <row r="7545" spans="1:4" x14ac:dyDescent="0.2">
      <c r="A7545"/>
      <c r="B7545"/>
      <c r="C7545"/>
      <c r="D7545"/>
    </row>
    <row r="7546" spans="1:4" x14ac:dyDescent="0.2">
      <c r="A7546"/>
      <c r="B7546"/>
      <c r="C7546"/>
      <c r="D7546"/>
    </row>
    <row r="7547" spans="1:4" x14ac:dyDescent="0.2">
      <c r="A7547"/>
      <c r="B7547"/>
      <c r="C7547"/>
      <c r="D7547"/>
    </row>
    <row r="7548" spans="1:4" x14ac:dyDescent="0.2">
      <c r="A7548"/>
      <c r="B7548"/>
      <c r="C7548"/>
      <c r="D7548"/>
    </row>
    <row r="7549" spans="1:4" x14ac:dyDescent="0.2">
      <c r="A7549"/>
      <c r="B7549"/>
      <c r="C7549"/>
      <c r="D7549"/>
    </row>
    <row r="7550" spans="1:4" x14ac:dyDescent="0.2">
      <c r="A7550"/>
      <c r="B7550"/>
      <c r="C7550"/>
      <c r="D7550"/>
    </row>
    <row r="7551" spans="1:4" x14ac:dyDescent="0.2">
      <c r="A7551"/>
      <c r="B7551"/>
      <c r="C7551"/>
      <c r="D7551"/>
    </row>
    <row r="7552" spans="1:4" x14ac:dyDescent="0.2">
      <c r="A7552"/>
      <c r="B7552"/>
      <c r="C7552"/>
      <c r="D7552"/>
    </row>
    <row r="7553" spans="1:4" x14ac:dyDescent="0.2">
      <c r="A7553"/>
      <c r="B7553"/>
      <c r="C7553"/>
      <c r="D7553"/>
    </row>
    <row r="7554" spans="1:4" x14ac:dyDescent="0.2">
      <c r="A7554"/>
      <c r="B7554"/>
      <c r="C7554"/>
      <c r="D7554"/>
    </row>
    <row r="7555" spans="1:4" x14ac:dyDescent="0.2">
      <c r="A7555"/>
      <c r="B7555"/>
      <c r="C7555"/>
      <c r="D7555"/>
    </row>
    <row r="7556" spans="1:4" x14ac:dyDescent="0.2">
      <c r="A7556"/>
      <c r="B7556"/>
      <c r="C7556"/>
      <c r="D7556"/>
    </row>
  </sheetData>
  <pageMargins left="0.7" right="0.7" top="0.75" bottom="0.75" header="0.3" footer="0.3"/>
  <tableParts count="1">
    <tablePart r:id="rId1"/>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D7106659C9D26643AA540CBD094E0397" ma:contentTypeVersion="14" ma:contentTypeDescription="Create a new document." ma:contentTypeScope="" ma:versionID="5018c6155e8e4379c85041cfa1560781">
  <xsd:schema xmlns:xsd="http://www.w3.org/2001/XMLSchema" xmlns:xs="http://www.w3.org/2001/XMLSchema" xmlns:p="http://schemas.microsoft.com/office/2006/metadata/properties" xmlns:ns2="a7c4c7f9-987c-475d-a26a-521e5d0f4dc5" xmlns:ns3="1ed8a9e0-df63-4c43-b0d4-c670c11769ef" targetNamespace="http://schemas.microsoft.com/office/2006/metadata/properties" ma:root="true" ma:fieldsID="e78bda9f13f2b71844c90a831e5f907d" ns2:_="" ns3:_="">
    <xsd:import namespace="a7c4c7f9-987c-475d-a26a-521e5d0f4dc5"/>
    <xsd:import namespace="1ed8a9e0-df63-4c43-b0d4-c670c11769ef"/>
    <xsd:element name="properties">
      <xsd:complexType>
        <xsd:sequence>
          <xsd:element name="documentManagement">
            <xsd:complexType>
              <xsd:all>
                <xsd:element ref="ns2:MediaServiceMetadata" minOccurs="0"/>
                <xsd:element ref="ns2:MediaServiceFastMetadata" minOccurs="0"/>
                <xsd:element ref="ns2:MediaServiceSearchProperties" minOccurs="0"/>
                <xsd:element ref="ns2:MediaServiceObjectDetectorVersions" minOccurs="0"/>
                <xsd:element ref="ns2:MediaServiceGenerationTime" minOccurs="0"/>
                <xsd:element ref="ns2:MediaServiceEventHashCode" minOccurs="0"/>
                <xsd:element ref="ns2:MediaLengthInSeconds" minOccurs="0"/>
                <xsd:element ref="ns2:MediaServiceDateTaken" minOccurs="0"/>
                <xsd:element ref="ns2:lcf76f155ced4ddcb4097134ff3c332f" minOccurs="0"/>
                <xsd:element ref="ns3:TaxCatchAll" minOccurs="0"/>
                <xsd:element ref="ns2:MediaServiceOCR" minOccurs="0"/>
                <xsd:element ref="ns3:SharedWithUsers" minOccurs="0"/>
                <xsd:element ref="ns3:SharedWithDetail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a7c4c7f9-987c-475d-a26a-521e5d0f4dc5"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SearchProperties" ma:index="10" nillable="true" ma:displayName="MediaServiceSearchProperties" ma:hidden="true" ma:internalName="MediaServiceSearchProperties" ma:readOnly="true">
      <xsd:simpleType>
        <xsd:restriction base="dms:Note"/>
      </xsd:simpleType>
    </xsd:element>
    <xsd:element name="MediaServiceObjectDetectorVersions" ma:index="11" nillable="true" ma:displayName="MediaServiceObjectDetectorVersions" ma:hidden="true" ma:indexed="true" ma:internalName="MediaServiceObjectDetectorVersions" ma:readOnly="true">
      <xsd:simpleType>
        <xsd:restriction base="dms:Text"/>
      </xsd:simpleType>
    </xsd:element>
    <xsd:element name="MediaServiceGenerationTime" ma:index="12" nillable="true" ma:displayName="MediaServiceGenerationTime" ma:hidden="true" ma:internalName="MediaServiceGenerationTime" ma:readOnly="true">
      <xsd:simpleType>
        <xsd:restriction base="dms:Text"/>
      </xsd:simpleType>
    </xsd:element>
    <xsd:element name="MediaServiceEventHashCode" ma:index="13" nillable="true" ma:displayName="MediaServiceEventHashCode" ma:hidden="true" ma:internalName="MediaServiceEventHashCode" ma:readOnly="true">
      <xsd:simpleType>
        <xsd:restriction base="dms:Text"/>
      </xsd:simpleType>
    </xsd:element>
    <xsd:element name="MediaLengthInSeconds" ma:index="14" nillable="true" ma:displayName="MediaLengthInSeconds" ma:hidden="true" ma:internalName="MediaLengthInSeconds" ma:readOnly="true">
      <xsd:simpleType>
        <xsd:restriction base="dms:Unknown"/>
      </xsd:simpleType>
    </xsd:element>
    <xsd:element name="MediaServiceDateTaken" ma:index="15" nillable="true" ma:displayName="MediaServiceDateTaken" ma:hidden="true" ma:indexed="true" ma:internalName="MediaServiceDateTaken" ma:readOnly="true">
      <xsd:simpleType>
        <xsd:restriction base="dms:Text"/>
      </xsd:simpleType>
    </xsd:element>
    <xsd:element name="lcf76f155ced4ddcb4097134ff3c332f" ma:index="17" nillable="true" ma:taxonomy="true" ma:internalName="lcf76f155ced4ddcb4097134ff3c332f" ma:taxonomyFieldName="MediaServiceImageTags" ma:displayName="Image Tags" ma:readOnly="false" ma:fieldId="{5cf76f15-5ced-4ddc-b409-7134ff3c332f}" ma:taxonomyMulti="true" ma:sspId="df72c3d0-7fd0-4fbd-ab6b-9c2f7dd1f9d2" ma:termSetId="09814cd3-568e-fe90-9814-8d621ff8fb84" ma:anchorId="fba54fb3-c3e1-fe81-a776-ca4b69148c4d" ma:open="true" ma:isKeyword="false">
      <xsd:complexType>
        <xsd:sequence>
          <xsd:element ref="pc:Terms" minOccurs="0" maxOccurs="1"/>
        </xsd:sequence>
      </xsd:complexType>
    </xsd:element>
    <xsd:element name="MediaServiceOCR" ma:index="19" nillable="true" ma:displayName="Extracted Text" ma:internalName="MediaServiceOCR"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1ed8a9e0-df63-4c43-b0d4-c670c11769ef" elementFormDefault="qualified">
    <xsd:import namespace="http://schemas.microsoft.com/office/2006/documentManagement/types"/>
    <xsd:import namespace="http://schemas.microsoft.com/office/infopath/2007/PartnerControls"/>
    <xsd:element name="TaxCatchAll" ma:index="18" nillable="true" ma:displayName="Taxonomy Catch All Column" ma:hidden="true" ma:list="{40d5f31d-8b80-432c-9f59-750b76e5ea61}" ma:internalName="TaxCatchAll" ma:showField="CatchAllData" ma:web="1ed8a9e0-df63-4c43-b0d4-c670c11769ef">
      <xsd:complexType>
        <xsd:complexContent>
          <xsd:extension base="dms:MultiChoiceLookup">
            <xsd:sequence>
              <xsd:element name="Value" type="dms:Lookup" maxOccurs="unbounded" minOccurs="0" nillable="true"/>
            </xsd:sequence>
          </xsd:extension>
        </xsd:complexContent>
      </xsd:complexType>
    </xsd:element>
    <xsd:element name="SharedWithUsers" ma:index="2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21" nillable="true" ma:displayName="Shared With Details" ma:internalName="SharedWithDetails"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p:properties xmlns:p="http://schemas.microsoft.com/office/2006/metadata/properties" xmlns:xsi="http://www.w3.org/2001/XMLSchema-instance" xmlns:pc="http://schemas.microsoft.com/office/infopath/2007/PartnerControls">
  <documentManagement>
    <lcf76f155ced4ddcb4097134ff3c332f xmlns="a7c4c7f9-987c-475d-a26a-521e5d0f4dc5">
      <Terms xmlns="http://schemas.microsoft.com/office/infopath/2007/PartnerControls"/>
    </lcf76f155ced4ddcb4097134ff3c332f>
    <TaxCatchAll xmlns="1ed8a9e0-df63-4c43-b0d4-c670c11769ef" xsi:nil="true"/>
  </documentManagement>
</p:properties>
</file>

<file path=customXml/item3.xml><?xml version="1.0" encoding="utf-8"?>
<?mso-contentType ?>
<FormTemplates xmlns="http://schemas.microsoft.com/sharepoint/v3/contenttype/forms">
  <Display>DocumentLibraryForm</Display>
  <Edit>DocumentLibraryForm</Edit>
  <New>DocumentLibraryForm</New>
</FormTemplates>
</file>

<file path=customXml/item4.xml>�� 
</file>

<file path=customXml/itemProps1.xml><?xml version="1.0" encoding="utf-8"?>
<ds:datastoreItem xmlns:ds="http://schemas.openxmlformats.org/officeDocument/2006/customXml" ds:itemID="{CD499E9B-19FA-43B1-B148-8981F3875956}">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a7c4c7f9-987c-475d-a26a-521e5d0f4dc5"/>
    <ds:schemaRef ds:uri="1ed8a9e0-df63-4c43-b0d4-c670c11769ef"/>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A08ABE5B-F5AF-422D-8D65-914F4E49BE3C}">
  <ds:schemaRefs>
    <ds:schemaRef ds:uri="a7c4c7f9-987c-475d-a26a-521e5d0f4dc5"/>
    <ds:schemaRef ds:uri="http://schemas.microsoft.com/office/2006/documentManagement/types"/>
    <ds:schemaRef ds:uri="http://schemas.microsoft.com/office/infopath/2007/PartnerControls"/>
    <ds:schemaRef ds:uri="1ed8a9e0-df63-4c43-b0d4-c670c11769ef"/>
    <ds:schemaRef ds:uri="http://purl.org/dc/elements/1.1/"/>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customXml/itemProps3.xml><?xml version="1.0" encoding="utf-8"?>
<ds:datastoreItem xmlns:ds="http://schemas.openxmlformats.org/officeDocument/2006/customXml" ds:itemID="{10FE15C8-54E2-4CF8-9892-1D8B4F8B2DB9}">
  <ds:schemaRefs>
    <ds:schemaRef ds:uri="http://schemas.microsoft.com/sharepoint/v3/contenttype/forms"/>
  </ds:schemaRefs>
</ds:datastoreItem>
</file>

<file path=customXml/itemProps4.xml><?xml version="1.0" encoding="utf-8"?>
<ds:datastoreItem xmlns:ds="http://schemas.openxmlformats.org/officeDocument/2006/customXml" ds:itemID="{4B09CCFE-A6CF-4E73-912C-655404F0A753}">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28</vt:i4>
      </vt:variant>
      <vt:variant>
        <vt:lpstr>Named Ranges</vt:lpstr>
      </vt:variant>
      <vt:variant>
        <vt:i4>64</vt:i4>
      </vt:variant>
    </vt:vector>
  </HeadingPairs>
  <TitlesOfParts>
    <vt:vector size="92" baseType="lpstr">
      <vt:lpstr>WireSets</vt:lpstr>
      <vt:lpstr>WorkItemDetails</vt:lpstr>
      <vt:lpstr>Query1</vt:lpstr>
      <vt:lpstr>WireOffsets</vt:lpstr>
      <vt:lpstr>Employee</vt:lpstr>
      <vt:lpstr>Main</vt:lpstr>
      <vt:lpstr>WireCertData</vt:lpstr>
      <vt:lpstr>Wire Ranges</vt:lpstr>
      <vt:lpstr>DaqBook_RAW_Data</vt:lpstr>
      <vt:lpstr>Packet_Content</vt:lpstr>
      <vt:lpstr>CERT</vt:lpstr>
      <vt:lpstr>Header_Info</vt:lpstr>
      <vt:lpstr>Customer Table</vt:lpstr>
      <vt:lpstr>AssetPool</vt:lpstr>
      <vt:lpstr>DaqbookServiceRecords</vt:lpstr>
      <vt:lpstr>Employees</vt:lpstr>
      <vt:lpstr>DaqbookOffsets</vt:lpstr>
      <vt:lpstr>Data_Sheet</vt:lpstr>
      <vt:lpstr>Data_Sheet_15_28</vt:lpstr>
      <vt:lpstr>Data_Sheet_29_40</vt:lpstr>
      <vt:lpstr>Comparison_Report</vt:lpstr>
      <vt:lpstr>TUS_Worksheet</vt:lpstr>
      <vt:lpstr>Interp</vt:lpstr>
      <vt:lpstr>Access_Data</vt:lpstr>
      <vt:lpstr>CMCs</vt:lpstr>
      <vt:lpstr>UncBudgets</vt:lpstr>
      <vt:lpstr>Standards_Info</vt:lpstr>
      <vt:lpstr>AllDaqbookOffsets</vt:lpstr>
      <vt:lpstr>AddressLine1</vt:lpstr>
      <vt:lpstr>AddressLine2</vt:lpstr>
      <vt:lpstr>AddressLine3</vt:lpstr>
      <vt:lpstr>CalInterval</vt:lpstr>
      <vt:lpstr>CalMethod</vt:lpstr>
      <vt:lpstr>CheckRec</vt:lpstr>
      <vt:lpstr>Class</vt:lpstr>
      <vt:lpstr>companyName</vt:lpstr>
      <vt:lpstr>Condition</vt:lpstr>
      <vt:lpstr>Controller</vt:lpstr>
      <vt:lpstr>ContSN</vt:lpstr>
      <vt:lpstr>ContTol</vt:lpstr>
      <vt:lpstr>CubicFeet</vt:lpstr>
      <vt:lpstr>DaqbookAssetId</vt:lpstr>
      <vt:lpstr>DBTrace</vt:lpstr>
      <vt:lpstr>Derivative</vt:lpstr>
      <vt:lpstr>ExpendableWireData</vt:lpstr>
      <vt:lpstr>FormNumber</vt:lpstr>
      <vt:lpstr>Furnace</vt:lpstr>
      <vt:lpstr>FurnaceSpecificComments</vt:lpstr>
      <vt:lpstr>HeatingMethod</vt:lpstr>
      <vt:lpstr>Integral</vt:lpstr>
      <vt:lpstr>Item</vt:lpstr>
      <vt:lpstr>LagLimit</vt:lpstr>
      <vt:lpstr>ListCompRange</vt:lpstr>
      <vt:lpstr>Load</vt:lpstr>
      <vt:lpstr>Load_Type</vt:lpstr>
      <vt:lpstr>Locator</vt:lpstr>
      <vt:lpstr>ModelNumber</vt:lpstr>
      <vt:lpstr>Other1</vt:lpstr>
      <vt:lpstr>Other2</vt:lpstr>
      <vt:lpstr>OvenLocation</vt:lpstr>
      <vt:lpstr>Packet_Content</vt:lpstr>
      <vt:lpstr>PB</vt:lpstr>
      <vt:lpstr>CERT!Print_Area</vt:lpstr>
      <vt:lpstr>Comparison_Report!Print_Area</vt:lpstr>
      <vt:lpstr>Data_Sheet!Print_Area</vt:lpstr>
      <vt:lpstr>Data_Sheet_15_28!Print_Area</vt:lpstr>
      <vt:lpstr>Data_Sheet_29_40!Print_Area</vt:lpstr>
      <vt:lpstr>Packet_Content!Print_Area</vt:lpstr>
      <vt:lpstr>TUS_Worksheet!Print_Area</vt:lpstr>
      <vt:lpstr>Range</vt:lpstr>
      <vt:lpstr>Recorder</vt:lpstr>
      <vt:lpstr>RecoveryLimit</vt:lpstr>
      <vt:lpstr>RecSN</vt:lpstr>
      <vt:lpstr>RecTol</vt:lpstr>
      <vt:lpstr>SerialNumber</vt:lpstr>
      <vt:lpstr>Spec_Class</vt:lpstr>
      <vt:lpstr>Temperature</vt:lpstr>
      <vt:lpstr>TestLocation</vt:lpstr>
      <vt:lpstr>TestTemp</vt:lpstr>
      <vt:lpstr>TN</vt:lpstr>
      <vt:lpstr>Tolerance</vt:lpstr>
      <vt:lpstr>TolSource</vt:lpstr>
      <vt:lpstr>Tracability</vt:lpstr>
      <vt:lpstr>UnitNumber</vt:lpstr>
      <vt:lpstr>UsedWireSNs</vt:lpstr>
      <vt:lpstr>Wire_Sets_Probes</vt:lpstr>
      <vt:lpstr>Wire_Type</vt:lpstr>
      <vt:lpstr>WireLotNos</vt:lpstr>
      <vt:lpstr>Wirelots</vt:lpstr>
      <vt:lpstr>WireSetSNs</vt:lpstr>
      <vt:lpstr>WorkingZoneSize</vt:lpstr>
      <vt:lpstr>WorkItemNumber</vt:lpstr>
    </vt:vector>
  </TitlesOfParts>
  <Company>JG&amp;I</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TUS Worksheet Version 1.0 Beta</dc:title>
  <dc:creator>Keith Poulos</dc:creator>
  <cp:lastModifiedBy>Jeff Hall</cp:lastModifiedBy>
  <cp:lastPrinted>2025-05-09T19:52:39Z</cp:lastPrinted>
  <dcterms:created xsi:type="dcterms:W3CDTF">2005-05-27T19:03:57Z</dcterms:created>
  <dcterms:modified xsi:type="dcterms:W3CDTF">2025-06-26T21:47:48Z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QualerDomainName">
    <vt:lpwstr>jgiquality.qualer.com</vt:lpwstr>
  </property>
  <property fmtid="{D5CDD505-2E9C-101B-9397-08002B2CF9AE}" pid="3" name="QualerFileName">
    <vt:lpwstr>J3103123-02.xlsm</vt:lpwstr>
  </property>
  <property fmtid="{D5CDD505-2E9C-101B-9397-08002B2CF9AE}" pid="4" name="QualerRecordGuid">
    <vt:lpwstr>{11a876ab-eea0-4eae-8938-f786492973a6}</vt:lpwstr>
  </property>
  <property fmtid="{D5CDD505-2E9C-101B-9397-08002B2CF9AE}" pid="5" name="QualerContainer">
    <vt:lpwstr>ServiceOrderItem</vt:lpwstr>
  </property>
  <property fmtid="{D5CDD505-2E9C-101B-9397-08002B2CF9AE}" pid="6" name="QualerRecordId">
    <vt:i4>2634875</vt:i4>
  </property>
  <property fmtid="{D5CDD505-2E9C-101B-9397-08002B2CF9AE}" pid="7" name="OwnerId">
    <vt:i4>78641</vt:i4>
  </property>
  <property fmtid="{D5CDD505-2E9C-101B-9397-08002B2CF9AE}" pid="8" name="Hash">
    <vt:i4>-1917873094</vt:i4>
  </property>
  <property fmtid="{D5CDD505-2E9C-101B-9397-08002B2CF9AE}" pid="9" name="ContentTypeId">
    <vt:lpwstr>0x010100D7106659C9D26643AA540CBD094E0397</vt:lpwstr>
  </property>
  <property fmtid="{D5CDD505-2E9C-101B-9397-08002B2CF9AE}" pid="10" name="MediaServiceImageTags">
    <vt:lpwstr/>
  </property>
</Properties>
</file>