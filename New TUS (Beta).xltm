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0.xml" ContentType="application/vnd.openxmlformats-officedocument.spreadsheetml.queryTable+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BDDF348-2C07-4678-A2AD-C0C64D2A692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AssetPool!$A$1:$R$61</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19" hidden="1">DaqbookServiceRecords!$A$1:$B$39</definedName>
    <definedName name="ExternalData_1" localSheetId="20" hidden="1">Employees!$A$1:$D$55</definedName>
    <definedName name="ExternalData_1" localSheetId="10" hidden="1">Header_Info!$A$1:$AK$407</definedName>
    <definedName name="ExternalData_1" localSheetId="6" hidden="1">Survey!$A$1:$D$2</definedName>
    <definedName name="ExternalData_1" localSheetId="8" hidden="1">UncBudgets!$A$1:$I$13</definedName>
    <definedName name="ExternalData_1" localSheetId="11" hidden="1">UUTRangeTol!$A$1:$H$419</definedName>
    <definedName name="ExternalData_1" localSheetId="3" hidden="1">WireCertData!$A$1:$AL$67</definedName>
    <definedName name="ExternalData_1" localSheetId="2" hidden="1">WireOffsets!$A$1:$C$181</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Table'!$A$1:$O$1679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95" l="1"/>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K325" i="95" s="1"/>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K3" i="95" s="1"/>
  <c r="J4" i="95"/>
  <c r="K4" i="95" s="1"/>
  <c r="J5" i="95"/>
  <c r="J6" i="95"/>
  <c r="J7" i="95"/>
  <c r="J8" i="95"/>
  <c r="J9" i="95"/>
  <c r="K9" i="95" s="1"/>
  <c r="J10" i="95"/>
  <c r="K10" i="95" s="1"/>
  <c r="J11" i="95"/>
  <c r="K11" i="95" s="1"/>
  <c r="J12" i="95"/>
  <c r="K12" i="95" s="1"/>
  <c r="J13" i="95"/>
  <c r="K13" i="95" s="1"/>
  <c r="J14" i="95"/>
  <c r="J15" i="95"/>
  <c r="K15" i="95" s="1"/>
  <c r="J16" i="95"/>
  <c r="K16" i="95" s="1"/>
  <c r="J17" i="95"/>
  <c r="J18" i="95"/>
  <c r="J19" i="95"/>
  <c r="J20" i="95"/>
  <c r="K20" i="95" s="1"/>
  <c r="J21" i="95"/>
  <c r="K21" i="95" s="1"/>
  <c r="J22" i="95"/>
  <c r="K22" i="95" s="1"/>
  <c r="J23" i="95"/>
  <c r="K23" i="95" s="1"/>
  <c r="J24" i="95"/>
  <c r="K24" i="95" s="1"/>
  <c r="J25" i="95"/>
  <c r="K25" i="95" s="1"/>
  <c r="J26" i="95"/>
  <c r="K26" i="95" s="1"/>
  <c r="J27" i="95"/>
  <c r="J28" i="95"/>
  <c r="J29" i="95"/>
  <c r="K29" i="95" s="1"/>
  <c r="J30" i="95"/>
  <c r="K30" i="95" s="1"/>
  <c r="J31" i="95"/>
  <c r="K31" i="95" s="1"/>
  <c r="J32" i="95"/>
  <c r="J33" i="95"/>
  <c r="J34" i="95"/>
  <c r="J35" i="95"/>
  <c r="K35" i="95" s="1"/>
  <c r="J36" i="95"/>
  <c r="K36" i="95" s="1"/>
  <c r="J37" i="95"/>
  <c r="J38" i="95"/>
  <c r="J39" i="95"/>
  <c r="J40" i="95"/>
  <c r="K40" i="95" s="1"/>
  <c r="J41" i="95"/>
  <c r="K41" i="95" s="1"/>
  <c r="J42" i="95"/>
  <c r="K42" i="95" s="1"/>
  <c r="J43" i="95"/>
  <c r="K43" i="95" s="1"/>
  <c r="J44" i="95"/>
  <c r="K44" i="95" s="1"/>
  <c r="J45" i="95"/>
  <c r="K45" i="95" s="1"/>
  <c r="J46" i="95"/>
  <c r="K46" i="95" s="1"/>
  <c r="J47" i="95"/>
  <c r="K47" i="95" s="1"/>
  <c r="J48" i="95"/>
  <c r="K48" i="95" s="1"/>
  <c r="J49" i="95"/>
  <c r="K49" i="95" s="1"/>
  <c r="J50" i="95"/>
  <c r="J51" i="95"/>
  <c r="J52" i="95"/>
  <c r="K52" i="95" s="1"/>
  <c r="J53" i="95"/>
  <c r="K53" i="95" s="1"/>
  <c r="J54" i="95"/>
  <c r="J55" i="95"/>
  <c r="K55" i="95" s="1"/>
  <c r="J56" i="95"/>
  <c r="K56" i="95" s="1"/>
  <c r="J57" i="95"/>
  <c r="K57" i="95" s="1"/>
  <c r="J58" i="95"/>
  <c r="K58" i="95" s="1"/>
  <c r="J59" i="95"/>
  <c r="J60" i="95"/>
  <c r="K60" i="95" s="1"/>
  <c r="J61" i="95"/>
  <c r="K61" i="95" s="1"/>
  <c r="J62" i="95"/>
  <c r="K62" i="95" s="1"/>
  <c r="J63" i="95"/>
  <c r="K63" i="95" s="1"/>
  <c r="J64" i="95"/>
  <c r="J65" i="95"/>
  <c r="J66" i="95"/>
  <c r="J67" i="95"/>
  <c r="K67" i="95" s="1"/>
  <c r="J68" i="95"/>
  <c r="K68" i="95" s="1"/>
  <c r="J69" i="95"/>
  <c r="J70" i="95"/>
  <c r="J71" i="95"/>
  <c r="J72" i="95"/>
  <c r="J73" i="95"/>
  <c r="K73" i="95" s="1"/>
  <c r="J74" i="95"/>
  <c r="J75" i="95"/>
  <c r="J76" i="95"/>
  <c r="K76" i="95" s="1"/>
  <c r="J77" i="95"/>
  <c r="J78" i="95"/>
  <c r="J79" i="95"/>
  <c r="J80" i="95"/>
  <c r="K80" i="95" s="1"/>
  <c r="J81" i="95"/>
  <c r="K81" i="95" s="1"/>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K99" i="95" s="1"/>
  <c r="J100" i="95"/>
  <c r="K100" i="95" s="1"/>
  <c r="J101" i="95"/>
  <c r="J102" i="95"/>
  <c r="J103" i="95"/>
  <c r="J104" i="95"/>
  <c r="J105" i="95"/>
  <c r="K105" i="95" s="1"/>
  <c r="J106" i="95"/>
  <c r="J107" i="95"/>
  <c r="K107" i="95" s="1"/>
  <c r="J108" i="95"/>
  <c r="K108" i="95" s="1"/>
  <c r="J109" i="95"/>
  <c r="K109" i="95" s="1"/>
  <c r="J110" i="95"/>
  <c r="J111" i="95"/>
  <c r="K111" i="95" s="1"/>
  <c r="J112" i="95"/>
  <c r="K112" i="95" s="1"/>
  <c r="J113" i="95"/>
  <c r="J114" i="95"/>
  <c r="J115" i="95"/>
  <c r="J116" i="95"/>
  <c r="K116" i="95" s="1"/>
  <c r="J117" i="95"/>
  <c r="K117" i="95" s="1"/>
  <c r="J118" i="95"/>
  <c r="J119" i="95"/>
  <c r="K119" i="95" s="1"/>
  <c r="J120" i="95"/>
  <c r="J121" i="95"/>
  <c r="J122" i="95"/>
  <c r="J123" i="95"/>
  <c r="K123" i="95" s="1"/>
  <c r="J124" i="95"/>
  <c r="K124" i="95" s="1"/>
  <c r="J125" i="95"/>
  <c r="K125" i="95" s="1"/>
  <c r="J126" i="95"/>
  <c r="K126" i="95" s="1"/>
  <c r="J127" i="95"/>
  <c r="K127" i="95" s="1"/>
  <c r="J128" i="95"/>
  <c r="J129" i="95"/>
  <c r="J130" i="95"/>
  <c r="J131" i="95"/>
  <c r="K131" i="95" s="1"/>
  <c r="J132" i="95"/>
  <c r="K132" i="95" s="1"/>
  <c r="J133" i="95"/>
  <c r="J134" i="95"/>
  <c r="J135" i="95"/>
  <c r="J136" i="95"/>
  <c r="J137" i="95"/>
  <c r="K137" i="95" s="1"/>
  <c r="J138" i="95"/>
  <c r="K138" i="95" s="1"/>
  <c r="J139" i="95"/>
  <c r="K139" i="95" s="1"/>
  <c r="J140" i="95"/>
  <c r="K140" i="95" s="1"/>
  <c r="J141" i="95"/>
  <c r="K141" i="95" s="1"/>
  <c r="J142" i="95"/>
  <c r="J143" i="95"/>
  <c r="K143" i="95" s="1"/>
  <c r="J144" i="95"/>
  <c r="K144" i="95" s="1"/>
  <c r="J145" i="95"/>
  <c r="J146" i="95"/>
  <c r="J147" i="95"/>
  <c r="J148" i="95"/>
  <c r="K148" i="95" s="1"/>
  <c r="J149" i="95"/>
  <c r="K149" i="95" s="1"/>
  <c r="J150" i="95"/>
  <c r="K150" i="95" s="1"/>
  <c r="J151" i="95"/>
  <c r="K151" i="95" s="1"/>
  <c r="J152" i="95"/>
  <c r="K152" i="95" s="1"/>
  <c r="J153" i="95"/>
  <c r="K153" i="95" s="1"/>
  <c r="J154" i="95"/>
  <c r="K154" i="95" s="1"/>
  <c r="J155" i="95"/>
  <c r="J156" i="95"/>
  <c r="K156" i="95" s="1"/>
  <c r="J157" i="95"/>
  <c r="K157" i="95" s="1"/>
  <c r="J158" i="95"/>
  <c r="K158" i="95" s="1"/>
  <c r="J159" i="95"/>
  <c r="K159" i="95" s="1"/>
  <c r="J160" i="95"/>
  <c r="J161" i="95"/>
  <c r="J162" i="95"/>
  <c r="J163" i="95"/>
  <c r="K163" i="95" s="1"/>
  <c r="J164" i="95"/>
  <c r="K164" i="95" s="1"/>
  <c r="J165" i="95"/>
  <c r="J166" i="95"/>
  <c r="J167" i="95"/>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J179" i="95"/>
  <c r="J180" i="95"/>
  <c r="K180" i="95" s="1"/>
  <c r="J181" i="95"/>
  <c r="K181" i="95" s="1"/>
  <c r="J182" i="95"/>
  <c r="K182" i="95" s="1"/>
  <c r="J183" i="95"/>
  <c r="K183" i="95" s="1"/>
  <c r="J184" i="95"/>
  <c r="K184" i="95" s="1"/>
  <c r="J185" i="95"/>
  <c r="K185" i="95" s="1"/>
  <c r="J186" i="95"/>
  <c r="K186" i="95" s="1"/>
  <c r="J187" i="95"/>
  <c r="J188" i="95"/>
  <c r="K188" i="95" s="1"/>
  <c r="J189" i="95"/>
  <c r="K189" i="95" s="1"/>
  <c r="J190" i="95"/>
  <c r="K190" i="95" s="1"/>
  <c r="J191" i="95"/>
  <c r="K191" i="95" s="1"/>
  <c r="J192" i="95"/>
  <c r="J193" i="95"/>
  <c r="J194" i="95"/>
  <c r="J195" i="95"/>
  <c r="K195" i="95" s="1"/>
  <c r="J196" i="95"/>
  <c r="K196" i="95" s="1"/>
  <c r="J197" i="95"/>
  <c r="J198" i="95"/>
  <c r="J199" i="95"/>
  <c r="J200" i="95"/>
  <c r="J201" i="95"/>
  <c r="K201" i="95" s="1"/>
  <c r="J202" i="95"/>
  <c r="J203" i="95"/>
  <c r="J204" i="95"/>
  <c r="K204" i="95" s="1"/>
  <c r="J205" i="95"/>
  <c r="J206" i="95"/>
  <c r="J207" i="95"/>
  <c r="J208" i="95"/>
  <c r="K208" i="95" s="1"/>
  <c r="J209" i="95"/>
  <c r="J210" i="95"/>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J225" i="95"/>
  <c r="J226" i="95"/>
  <c r="J227" i="95"/>
  <c r="K227" i="95" s="1"/>
  <c r="J228" i="95"/>
  <c r="K228" i="95" s="1"/>
  <c r="J229" i="95"/>
  <c r="J230" i="95"/>
  <c r="J231" i="95"/>
  <c r="J232" i="95"/>
  <c r="J233" i="95"/>
  <c r="K233" i="95" s="1"/>
  <c r="J234" i="95"/>
  <c r="J235" i="95"/>
  <c r="J236" i="95"/>
  <c r="K236" i="95" s="1"/>
  <c r="J237" i="95"/>
  <c r="K237" i="95" s="1"/>
  <c r="J238" i="95"/>
  <c r="J239" i="95"/>
  <c r="J240" i="95"/>
  <c r="K240" i="95" s="1"/>
  <c r="J241" i="95"/>
  <c r="J242" i="95"/>
  <c r="J243" i="95"/>
  <c r="J244" i="95"/>
  <c r="K244" i="95" s="1"/>
  <c r="J245" i="95"/>
  <c r="K245" i="95" s="1"/>
  <c r="J246" i="95"/>
  <c r="J247" i="95"/>
  <c r="J248" i="95"/>
  <c r="K248" i="95" s="1"/>
  <c r="J249" i="95"/>
  <c r="J250" i="95"/>
  <c r="J251" i="95"/>
  <c r="J252" i="95"/>
  <c r="K252" i="95" s="1"/>
  <c r="J253" i="95"/>
  <c r="K253" i="95" s="1"/>
  <c r="J254" i="95"/>
  <c r="K254" i="95" s="1"/>
  <c r="J255" i="95"/>
  <c r="K255" i="95" s="1"/>
  <c r="J256" i="95"/>
  <c r="J257" i="95"/>
  <c r="J258" i="95"/>
  <c r="J259" i="95"/>
  <c r="K259" i="95" s="1"/>
  <c r="J260" i="95"/>
  <c r="K260" i="95" s="1"/>
  <c r="J261" i="95"/>
  <c r="J262" i="95"/>
  <c r="J263" i="95"/>
  <c r="J264" i="95"/>
  <c r="J265" i="95"/>
  <c r="K265" i="95" s="1"/>
  <c r="J266" i="95"/>
  <c r="K266" i="95" s="1"/>
  <c r="J267" i="95"/>
  <c r="K267" i="95" s="1"/>
  <c r="J268" i="95"/>
  <c r="K268" i="95" s="1"/>
  <c r="J269" i="95"/>
  <c r="K269" i="95" s="1"/>
  <c r="J270" i="95"/>
  <c r="J271" i="95"/>
  <c r="K271" i="95" s="1"/>
  <c r="J272" i="95"/>
  <c r="K272" i="95" s="1"/>
  <c r="J273" i="95"/>
  <c r="J274" i="95"/>
  <c r="J275" i="95"/>
  <c r="J276" i="95"/>
  <c r="K276" i="95" s="1"/>
  <c r="J277" i="95"/>
  <c r="K277" i="95" s="1"/>
  <c r="J278" i="95"/>
  <c r="J279" i="95"/>
  <c r="K279" i="95" s="1"/>
  <c r="J280" i="95"/>
  <c r="K280" i="95" s="1"/>
  <c r="J281" i="95"/>
  <c r="K281" i="95" s="1"/>
  <c r="J282" i="95"/>
  <c r="K282" i="95" s="1"/>
  <c r="J283" i="95"/>
  <c r="J284" i="95"/>
  <c r="K284" i="95" s="1"/>
  <c r="J285" i="95"/>
  <c r="K285" i="95" s="1"/>
  <c r="J286" i="95"/>
  <c r="K286" i="95" s="1"/>
  <c r="J287" i="95"/>
  <c r="K287" i="95" s="1"/>
  <c r="J288" i="95"/>
  <c r="J289" i="95"/>
  <c r="J290" i="95"/>
  <c r="J291" i="95"/>
  <c r="K291" i="95" s="1"/>
  <c r="J292" i="95"/>
  <c r="K292" i="95" s="1"/>
  <c r="J293" i="95"/>
  <c r="J294" i="95"/>
  <c r="J295" i="95"/>
  <c r="J296" i="95"/>
  <c r="J297" i="95"/>
  <c r="K297" i="95" s="1"/>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K323" i="95" s="1"/>
  <c r="J324" i="95"/>
  <c r="K324" i="95" s="1"/>
  <c r="J325" i="95"/>
  <c r="J326" i="95"/>
  <c r="J327" i="95"/>
  <c r="J328" i="95"/>
  <c r="J329" i="95"/>
  <c r="J330" i="95"/>
  <c r="J331" i="95"/>
  <c r="J332" i="95"/>
  <c r="J333" i="95"/>
  <c r="J334" i="95"/>
  <c r="J335" i="95"/>
  <c r="J336" i="95"/>
  <c r="K336" i="95" s="1"/>
  <c r="J337" i="95"/>
  <c r="J338" i="95"/>
  <c r="J339" i="95"/>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K355" i="95" s="1"/>
  <c r="J356" i="95"/>
  <c r="K356" i="95" s="1"/>
  <c r="J357" i="95"/>
  <c r="J358" i="95"/>
  <c r="J359" i="95"/>
  <c r="J360" i="95"/>
  <c r="J361" i="95"/>
  <c r="J362" i="95"/>
  <c r="J363" i="95"/>
  <c r="J364" i="95"/>
  <c r="K364" i="95" s="1"/>
  <c r="J365" i="95"/>
  <c r="K365" i="95" s="1"/>
  <c r="J366" i="95"/>
  <c r="J367" i="95"/>
  <c r="J368" i="95"/>
  <c r="K368" i="95" s="1"/>
  <c r="J369" i="95"/>
  <c r="J370" i="95"/>
  <c r="J371" i="95"/>
  <c r="J372" i="95"/>
  <c r="K372" i="95" s="1"/>
  <c r="J373" i="95"/>
  <c r="K373" i="95" s="1"/>
  <c r="J374" i="95"/>
  <c r="J375" i="95"/>
  <c r="J376" i="95"/>
  <c r="K376" i="95" s="1"/>
  <c r="J377" i="95"/>
  <c r="J378" i="95"/>
  <c r="J379" i="95"/>
  <c r="J380" i="95"/>
  <c r="K380" i="95" s="1"/>
  <c r="J381" i="95"/>
  <c r="K381" i="95" s="1"/>
  <c r="J382" i="95"/>
  <c r="K382" i="95" s="1"/>
  <c r="J383" i="95"/>
  <c r="K383" i="95" s="1"/>
  <c r="J384" i="95"/>
  <c r="J385" i="95"/>
  <c r="J386" i="95"/>
  <c r="J387" i="95"/>
  <c r="K387" i="95" s="1"/>
  <c r="J388" i="95"/>
  <c r="K388" i="95" s="1"/>
  <c r="J389" i="95"/>
  <c r="J390" i="95"/>
  <c r="K390" i="95" s="1"/>
  <c r="J391" i="95"/>
  <c r="J392" i="95"/>
  <c r="K392" i="95" s="1"/>
  <c r="J393" i="95"/>
  <c r="K393" i="95" s="1"/>
  <c r="J394" i="95"/>
  <c r="K394" i="95" s="1"/>
  <c r="J395" i="95"/>
  <c r="K395" i="95" s="1"/>
  <c r="J396" i="95"/>
  <c r="K396" i="95" s="1"/>
  <c r="J397" i="95"/>
  <c r="K397" i="95" s="1"/>
  <c r="J398" i="95"/>
  <c r="J399" i="95"/>
  <c r="K399" i="95" s="1"/>
  <c r="J400" i="95"/>
  <c r="K400" i="95" s="1"/>
  <c r="J401" i="95"/>
  <c r="J402" i="95"/>
  <c r="J403" i="95"/>
  <c r="J404" i="95"/>
  <c r="K404" i="95" s="1"/>
  <c r="J405" i="95"/>
  <c r="K405" i="95" s="1"/>
  <c r="J406" i="95"/>
  <c r="K406" i="95" s="1"/>
  <c r="J407" i="95"/>
  <c r="K407" i="95" s="1"/>
  <c r="J408" i="95"/>
  <c r="K408" i="95" s="1"/>
  <c r="J409" i="95"/>
  <c r="K409" i="95" s="1"/>
  <c r="J410" i="95"/>
  <c r="K410" i="95" s="1"/>
  <c r="J411" i="95"/>
  <c r="J412" i="95"/>
  <c r="K412" i="95" s="1"/>
  <c r="J413" i="95"/>
  <c r="K413" i="95" s="1"/>
  <c r="J414" i="95"/>
  <c r="K414" i="95" s="1"/>
  <c r="J415" i="95"/>
  <c r="K415" i="95" s="1"/>
  <c r="J416" i="95"/>
  <c r="J417" i="95"/>
  <c r="J418" i="95"/>
  <c r="J419" i="95"/>
  <c r="K419" i="95" s="1"/>
  <c r="K2" i="95"/>
  <c r="K5" i="95"/>
  <c r="K6" i="95"/>
  <c r="K7" i="95"/>
  <c r="K8" i="95"/>
  <c r="K14" i="95"/>
  <c r="K17" i="95"/>
  <c r="K18" i="95"/>
  <c r="K19" i="95"/>
  <c r="K27" i="95"/>
  <c r="K28" i="95"/>
  <c r="K32" i="95"/>
  <c r="K33" i="95"/>
  <c r="K34" i="95"/>
  <c r="K37" i="95"/>
  <c r="K38" i="95"/>
  <c r="K39" i="95"/>
  <c r="K50" i="95"/>
  <c r="K51" i="95"/>
  <c r="K54" i="95"/>
  <c r="K59" i="95"/>
  <c r="K64" i="95"/>
  <c r="K65" i="95"/>
  <c r="K66" i="95"/>
  <c r="K69" i="95"/>
  <c r="K70" i="95"/>
  <c r="K71" i="95"/>
  <c r="K72" i="95"/>
  <c r="K74" i="95"/>
  <c r="K75" i="95"/>
  <c r="K77" i="95"/>
  <c r="K78" i="95"/>
  <c r="K79" i="95"/>
  <c r="K82" i="95"/>
  <c r="K96" i="95"/>
  <c r="K97" i="95"/>
  <c r="K98" i="95"/>
  <c r="K101" i="95"/>
  <c r="K102" i="95"/>
  <c r="K103" i="95"/>
  <c r="K104" i="95"/>
  <c r="K106" i="95"/>
  <c r="K110" i="95"/>
  <c r="K113" i="95"/>
  <c r="K114" i="95"/>
  <c r="K115" i="95"/>
  <c r="K118" i="95"/>
  <c r="K120" i="95"/>
  <c r="K121" i="95"/>
  <c r="K122" i="95"/>
  <c r="K128" i="95"/>
  <c r="K129" i="95"/>
  <c r="K130" i="95"/>
  <c r="K133" i="95"/>
  <c r="K134" i="95"/>
  <c r="K135" i="95"/>
  <c r="K136" i="95"/>
  <c r="K142" i="95"/>
  <c r="K145" i="95"/>
  <c r="K146" i="95"/>
  <c r="K147" i="95"/>
  <c r="K155" i="95"/>
  <c r="K160" i="95"/>
  <c r="K161" i="95"/>
  <c r="K162" i="95"/>
  <c r="K165" i="95"/>
  <c r="K166" i="95"/>
  <c r="K167" i="95"/>
  <c r="K178" i="95"/>
  <c r="K179" i="95"/>
  <c r="K187" i="95"/>
  <c r="K192" i="95"/>
  <c r="K193" i="95"/>
  <c r="K194" i="95"/>
  <c r="K197" i="95"/>
  <c r="K198" i="95"/>
  <c r="K199" i="95"/>
  <c r="K200" i="95"/>
  <c r="K202" i="95"/>
  <c r="K203" i="95"/>
  <c r="K205" i="95"/>
  <c r="K206" i="95"/>
  <c r="K207" i="95"/>
  <c r="K224" i="95"/>
  <c r="K225" i="95"/>
  <c r="K226" i="95"/>
  <c r="K229" i="95"/>
  <c r="K230" i="95"/>
  <c r="K231" i="95"/>
  <c r="K232" i="95"/>
  <c r="K234" i="95"/>
  <c r="K235" i="95"/>
  <c r="K238" i="95"/>
  <c r="K239" i="95"/>
  <c r="K241" i="95"/>
  <c r="K242" i="95"/>
  <c r="K243" i="95"/>
  <c r="K246" i="95"/>
  <c r="K247" i="95"/>
  <c r="K249" i="95"/>
  <c r="K250" i="95"/>
  <c r="K251" i="95"/>
  <c r="K257" i="95"/>
  <c r="K258" i="95"/>
  <c r="K261" i="95"/>
  <c r="K262" i="95"/>
  <c r="K263" i="95"/>
  <c r="K264" i="95"/>
  <c r="K270" i="95"/>
  <c r="K273" i="95"/>
  <c r="K274" i="95"/>
  <c r="K275" i="95"/>
  <c r="K278" i="95"/>
  <c r="K283" i="95"/>
  <c r="K288" i="95"/>
  <c r="K289" i="95"/>
  <c r="K290" i="95"/>
  <c r="K293" i="95"/>
  <c r="K294" i="95"/>
  <c r="K295" i="95"/>
  <c r="K296" i="95"/>
  <c r="K322" i="95"/>
  <c r="K326" i="95"/>
  <c r="K327" i="95"/>
  <c r="K328" i="95"/>
  <c r="K329" i="95"/>
  <c r="K330" i="95"/>
  <c r="K331" i="95"/>
  <c r="K332" i="95"/>
  <c r="K333" i="95"/>
  <c r="K334" i="95"/>
  <c r="K335" i="95"/>
  <c r="K337" i="95"/>
  <c r="K338" i="95"/>
  <c r="K339" i="95"/>
  <c r="K352" i="95"/>
  <c r="K353" i="95"/>
  <c r="K354" i="95"/>
  <c r="K357" i="95"/>
  <c r="K358" i="95"/>
  <c r="K359" i="95"/>
  <c r="K360" i="95"/>
  <c r="K361" i="95"/>
  <c r="K362" i="95"/>
  <c r="K363" i="95"/>
  <c r="K366" i="95"/>
  <c r="K367" i="95"/>
  <c r="K369" i="95"/>
  <c r="K370" i="95"/>
  <c r="K371" i="95"/>
  <c r="K374" i="95"/>
  <c r="K375" i="95"/>
  <c r="K377" i="95"/>
  <c r="K378" i="95"/>
  <c r="K379" i="95"/>
  <c r="K384" i="95"/>
  <c r="K385" i="95"/>
  <c r="K386" i="95"/>
  <c r="K389" i="95"/>
  <c r="K391" i="95"/>
  <c r="K398" i="95"/>
  <c r="K401" i="95"/>
  <c r="K402" i="95"/>
  <c r="K403" i="95"/>
  <c r="K411" i="95"/>
  <c r="K416" i="95"/>
  <c r="K417" i="95"/>
  <c r="K418" i="95"/>
  <c r="L2" i="95"/>
  <c r="M2" i="95" s="1"/>
  <c r="L3" i="95"/>
  <c r="M3" i="95" s="1"/>
  <c r="L4" i="95"/>
  <c r="M4" i="95" s="1"/>
  <c r="L5" i="95"/>
  <c r="L6" i="95"/>
  <c r="L7" i="95"/>
  <c r="L8" i="95"/>
  <c r="M8" i="95" s="1"/>
  <c r="L9" i="95"/>
  <c r="M9" i="95" s="1"/>
  <c r="L10" i="95"/>
  <c r="L11" i="95"/>
  <c r="L12" i="95"/>
  <c r="M12" i="95" s="1"/>
  <c r="L13" i="95"/>
  <c r="L14" i="95"/>
  <c r="L15" i="95"/>
  <c r="L16" i="95"/>
  <c r="M16" i="95" s="1"/>
  <c r="L17" i="95"/>
  <c r="L18" i="95"/>
  <c r="L19" i="95"/>
  <c r="L20" i="95"/>
  <c r="L21" i="95"/>
  <c r="L22" i="95"/>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L40" i="95"/>
  <c r="L41" i="95"/>
  <c r="M41" i="95" s="1"/>
  <c r="L42" i="95"/>
  <c r="L43" i="95"/>
  <c r="L44" i="95"/>
  <c r="M44" i="95" s="1"/>
  <c r="L45" i="95"/>
  <c r="L46" i="95"/>
  <c r="M46" i="95" s="1"/>
  <c r="L47" i="95"/>
  <c r="M47" i="95" s="1"/>
  <c r="L48" i="95"/>
  <c r="M48" i="95" s="1"/>
  <c r="L49" i="95"/>
  <c r="M49" i="95" s="1"/>
  <c r="L50" i="95"/>
  <c r="M50" i="95" s="1"/>
  <c r="L51" i="95"/>
  <c r="M51" i="95" s="1"/>
  <c r="L52" i="95"/>
  <c r="M52" i="95" s="1"/>
  <c r="L53" i="95"/>
  <c r="M53" i="95" s="1"/>
  <c r="L54" i="95"/>
  <c r="M54" i="95" s="1"/>
  <c r="L55" i="95"/>
  <c r="L56" i="95"/>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L72" i="95"/>
  <c r="L73" i="95"/>
  <c r="L74" i="95"/>
  <c r="L75" i="95"/>
  <c r="L76" i="95"/>
  <c r="M76" i="95" s="1"/>
  <c r="L77" i="95"/>
  <c r="L78" i="95"/>
  <c r="L79" i="95"/>
  <c r="M79" i="95" s="1"/>
  <c r="L80" i="95"/>
  <c r="M80" i="95" s="1"/>
  <c r="L81" i="95"/>
  <c r="M81" i="95" s="1"/>
  <c r="L82" i="95"/>
  <c r="M82" i="95" s="1"/>
  <c r="L83" i="95"/>
  <c r="M83" i="95" s="1"/>
  <c r="L84" i="95"/>
  <c r="M84" i="95" s="1"/>
  <c r="L85" i="95"/>
  <c r="M85" i="95" s="1"/>
  <c r="L86" i="95"/>
  <c r="M86" i="95" s="1"/>
  <c r="L87" i="95"/>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M103" i="95" s="1"/>
  <c r="L104" i="95"/>
  <c r="L105" i="95"/>
  <c r="L106" i="95"/>
  <c r="L107" i="95"/>
  <c r="L108" i="95"/>
  <c r="M108" i="95" s="1"/>
  <c r="L109" i="95"/>
  <c r="L110" i="95"/>
  <c r="L111" i="95"/>
  <c r="L112" i="95"/>
  <c r="M112" i="95" s="1"/>
  <c r="L113" i="95"/>
  <c r="L114" i="95"/>
  <c r="L115" i="95"/>
  <c r="L116" i="95"/>
  <c r="L117" i="95"/>
  <c r="L118" i="95"/>
  <c r="M118" i="95" s="1"/>
  <c r="L119" i="95"/>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L134" i="95"/>
  <c r="L135" i="95"/>
  <c r="L136" i="95"/>
  <c r="L137" i="95"/>
  <c r="L138" i="95"/>
  <c r="L139" i="95"/>
  <c r="L140" i="95"/>
  <c r="M140" i="95" s="1"/>
  <c r="L141" i="95"/>
  <c r="L142" i="95"/>
  <c r="M142" i="95" s="1"/>
  <c r="L143" i="95"/>
  <c r="M143" i="95" s="1"/>
  <c r="L144" i="95"/>
  <c r="M144" i="95" s="1"/>
  <c r="L145" i="95"/>
  <c r="M145" i="95" s="1"/>
  <c r="L146" i="95"/>
  <c r="L147" i="95"/>
  <c r="L148" i="95"/>
  <c r="L149" i="95"/>
  <c r="L150" i="95"/>
  <c r="L151" i="95"/>
  <c r="L152" i="95"/>
  <c r="L153" i="95"/>
  <c r="L154" i="95"/>
  <c r="M154" i="95" s="1"/>
  <c r="L155" i="95"/>
  <c r="M155" i="95" s="1"/>
  <c r="L156" i="95"/>
  <c r="L157" i="95"/>
  <c r="L158" i="95"/>
  <c r="M158" i="95" s="1"/>
  <c r="L159" i="95"/>
  <c r="M159" i="95" s="1"/>
  <c r="L160" i="95"/>
  <c r="M160" i="95" s="1"/>
  <c r="L161" i="95"/>
  <c r="M161" i="95" s="1"/>
  <c r="L162" i="95"/>
  <c r="M162" i="95" s="1"/>
  <c r="L163" i="95"/>
  <c r="M163" i="95" s="1"/>
  <c r="L164" i="95"/>
  <c r="M164" i="95" s="1"/>
  <c r="L165" i="95"/>
  <c r="L166" i="95"/>
  <c r="M166" i="95" s="1"/>
  <c r="L167" i="95"/>
  <c r="M167" i="95" s="1"/>
  <c r="L168" i="95"/>
  <c r="M168" i="95" s="1"/>
  <c r="L169" i="95"/>
  <c r="M169" i="95" s="1"/>
  <c r="L170" i="95"/>
  <c r="L171" i="95"/>
  <c r="L172" i="95"/>
  <c r="M172" i="95" s="1"/>
  <c r="L173" i="95"/>
  <c r="L174" i="95"/>
  <c r="L175" i="95"/>
  <c r="L176" i="95"/>
  <c r="M176" i="95" s="1"/>
  <c r="L177" i="95"/>
  <c r="M177" i="95" s="1"/>
  <c r="L178" i="95"/>
  <c r="L179" i="95"/>
  <c r="L180" i="95"/>
  <c r="M180" i="95" s="1"/>
  <c r="L181" i="95"/>
  <c r="M181" i="95" s="1"/>
  <c r="L182" i="95"/>
  <c r="M182" i="95" s="1"/>
  <c r="L183" i="95"/>
  <c r="L184" i="95"/>
  <c r="L185" i="95"/>
  <c r="L186" i="95"/>
  <c r="M186" i="95" s="1"/>
  <c r="L187" i="95"/>
  <c r="M187" i="95" s="1"/>
  <c r="L188" i="95"/>
  <c r="M188" i="95" s="1"/>
  <c r="L189" i="95"/>
  <c r="L190" i="95"/>
  <c r="L191" i="95"/>
  <c r="M191" i="95" s="1"/>
  <c r="L192" i="95"/>
  <c r="M192" i="95" s="1"/>
  <c r="L193" i="95"/>
  <c r="L194" i="95"/>
  <c r="M194" i="95" s="1"/>
  <c r="L195" i="95"/>
  <c r="M195" i="95" s="1"/>
  <c r="L196" i="95"/>
  <c r="L197" i="95"/>
  <c r="L198" i="95"/>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M210" i="95" s="1"/>
  <c r="L211" i="95"/>
  <c r="M211" i="95" s="1"/>
  <c r="L212" i="95"/>
  <c r="M212" i="95" s="1"/>
  <c r="L213" i="95"/>
  <c r="M213" i="95" s="1"/>
  <c r="L214" i="95"/>
  <c r="L215" i="95"/>
  <c r="L216" i="95"/>
  <c r="L217" i="95"/>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L230" i="95"/>
  <c r="L231" i="95"/>
  <c r="L232" i="95"/>
  <c r="L233" i="95"/>
  <c r="L234" i="95"/>
  <c r="L235" i="95"/>
  <c r="L236" i="95"/>
  <c r="M236" i="95" s="1"/>
  <c r="L237" i="95"/>
  <c r="L238" i="95"/>
  <c r="M238" i="95" s="1"/>
  <c r="L239" i="95"/>
  <c r="M239" i="95" s="1"/>
  <c r="L240" i="95"/>
  <c r="M240" i="95" s="1"/>
  <c r="L241" i="95"/>
  <c r="M241" i="95" s="1"/>
  <c r="L242" i="95"/>
  <c r="M242" i="95" s="1"/>
  <c r="L243" i="95"/>
  <c r="M243" i="95" s="1"/>
  <c r="L244" i="95"/>
  <c r="M244" i="95" s="1"/>
  <c r="L245" i="95"/>
  <c r="M245" i="95" s="1"/>
  <c r="L246" i="95"/>
  <c r="M246" i="95" s="1"/>
  <c r="L247" i="95"/>
  <c r="L248" i="95"/>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L261" i="95"/>
  <c r="L262" i="95"/>
  <c r="L263" i="95"/>
  <c r="L264" i="95"/>
  <c r="L265" i="95"/>
  <c r="L266" i="95"/>
  <c r="L267" i="95"/>
  <c r="L268" i="95"/>
  <c r="M268" i="95" s="1"/>
  <c r="L269" i="95"/>
  <c r="L270" i="95"/>
  <c r="L271" i="95"/>
  <c r="L272" i="95"/>
  <c r="M272" i="95" s="1"/>
  <c r="L273" i="95"/>
  <c r="L274" i="95"/>
  <c r="L275" i="95"/>
  <c r="L276" i="95"/>
  <c r="M276" i="95" s="1"/>
  <c r="L277" i="95"/>
  <c r="M277" i="95" s="1"/>
  <c r="L278" i="95"/>
  <c r="M278" i="95" s="1"/>
  <c r="L279" i="95"/>
  <c r="L280" i="95"/>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L295" i="95"/>
  <c r="L296" i="95"/>
  <c r="L297" i="95"/>
  <c r="L298" i="95"/>
  <c r="L299" i="95"/>
  <c r="M299" i="95" s="1"/>
  <c r="L300" i="95"/>
  <c r="M300" i="95" s="1"/>
  <c r="L301" i="95"/>
  <c r="L302" i="95"/>
  <c r="L303" i="95"/>
  <c r="L304" i="95"/>
  <c r="M304" i="95" s="1"/>
  <c r="L305" i="95"/>
  <c r="L306" i="95"/>
  <c r="L307" i="95"/>
  <c r="L308" i="95"/>
  <c r="L309" i="95"/>
  <c r="L310" i="95"/>
  <c r="L311" i="95"/>
  <c r="L312" i="95"/>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M326" i="95" s="1"/>
  <c r="L327" i="95"/>
  <c r="L328" i="95"/>
  <c r="L329" i="95"/>
  <c r="L330" i="95"/>
  <c r="L331" i="95"/>
  <c r="L332" i="95"/>
  <c r="M332" i="95" s="1"/>
  <c r="L333" i="95"/>
  <c r="L334" i="95"/>
  <c r="L335" i="95"/>
  <c r="L336" i="95"/>
  <c r="M336" i="95" s="1"/>
  <c r="L337" i="95"/>
  <c r="L338" i="95"/>
  <c r="M338" i="95" s="1"/>
  <c r="L339" i="95"/>
  <c r="M339" i="95" s="1"/>
  <c r="L340" i="95"/>
  <c r="M340" i="95" s="1"/>
  <c r="L341" i="95"/>
  <c r="M341" i="95" s="1"/>
  <c r="L342" i="95"/>
  <c r="L343" i="95"/>
  <c r="L344" i="95"/>
  <c r="L345" i="95"/>
  <c r="L346" i="95"/>
  <c r="M346" i="95" s="1"/>
  <c r="L347" i="95"/>
  <c r="M347" i="95" s="1"/>
  <c r="L348" i="95"/>
  <c r="L349" i="95"/>
  <c r="L350" i="95"/>
  <c r="M350" i="95" s="1"/>
  <c r="L351" i="95"/>
  <c r="M351" i="95" s="1"/>
  <c r="L352" i="95"/>
  <c r="M352" i="95" s="1"/>
  <c r="L353" i="95"/>
  <c r="L354" i="95"/>
  <c r="L355" i="95"/>
  <c r="L356" i="95"/>
  <c r="L357" i="95"/>
  <c r="L358" i="95"/>
  <c r="L359" i="95"/>
  <c r="L360" i="95"/>
  <c r="L361" i="95"/>
  <c r="L362" i="95"/>
  <c r="L363" i="95"/>
  <c r="L364" i="95"/>
  <c r="M364" i="95" s="1"/>
  <c r="L365" i="95"/>
  <c r="M365" i="95" s="1"/>
  <c r="L366" i="95"/>
  <c r="M366" i="95" s="1"/>
  <c r="L367" i="95"/>
  <c r="M367" i="95" s="1"/>
  <c r="L368" i="95"/>
  <c r="M368" i="95" s="1"/>
  <c r="L369" i="95"/>
  <c r="M369" i="95" s="1"/>
  <c r="L370" i="95"/>
  <c r="M370" i="95" s="1"/>
  <c r="L371" i="95"/>
  <c r="L372" i="95"/>
  <c r="M372" i="95" s="1"/>
  <c r="L373" i="95"/>
  <c r="M373" i="95" s="1"/>
  <c r="L374" i="95"/>
  <c r="L375" i="95"/>
  <c r="L376" i="95"/>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L391" i="95"/>
  <c r="L392" i="95"/>
  <c r="L393" i="95"/>
  <c r="L394" i="95"/>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L408" i="95"/>
  <c r="L409" i="95"/>
  <c r="L410" i="95"/>
  <c r="M410" i="95" s="1"/>
  <c r="L411" i="95"/>
  <c r="M411" i="95" s="1"/>
  <c r="L412" i="95"/>
  <c r="M412" i="95" s="1"/>
  <c r="L413" i="95"/>
  <c r="M413" i="95" s="1"/>
  <c r="L414" i="95"/>
  <c r="M414" i="95" s="1"/>
  <c r="L415" i="95"/>
  <c r="M415" i="95" s="1"/>
  <c r="L416" i="95"/>
  <c r="M416" i="95" s="1"/>
  <c r="L417" i="95"/>
  <c r="M417" i="95" s="1"/>
  <c r="L418" i="95"/>
  <c r="M418" i="95" s="1"/>
  <c r="L419" i="95"/>
  <c r="M419" i="95" s="1"/>
  <c r="M5" i="95"/>
  <c r="M6" i="95"/>
  <c r="M7" i="95"/>
  <c r="M10" i="95"/>
  <c r="M11" i="95"/>
  <c r="M13" i="95"/>
  <c r="M14" i="95"/>
  <c r="M15" i="95"/>
  <c r="M17" i="95"/>
  <c r="M18" i="95"/>
  <c r="M19" i="95"/>
  <c r="M20" i="95"/>
  <c r="M21" i="95"/>
  <c r="M22" i="95"/>
  <c r="M23" i="95"/>
  <c r="M24" i="95"/>
  <c r="M25" i="95"/>
  <c r="M36" i="95"/>
  <c r="M37" i="95"/>
  <c r="M38" i="95"/>
  <c r="M39" i="95"/>
  <c r="M40" i="95"/>
  <c r="M42" i="95"/>
  <c r="M43" i="95"/>
  <c r="M45" i="95"/>
  <c r="M55" i="95"/>
  <c r="M56" i="95"/>
  <c r="M68" i="95"/>
  <c r="M69" i="95"/>
  <c r="M70" i="95"/>
  <c r="M71" i="95"/>
  <c r="M72" i="95"/>
  <c r="M73" i="95"/>
  <c r="M74" i="95"/>
  <c r="M75" i="95"/>
  <c r="M77" i="95"/>
  <c r="M78" i="95"/>
  <c r="M87" i="95"/>
  <c r="M100" i="95"/>
  <c r="M101" i="95"/>
  <c r="M102" i="95"/>
  <c r="M104" i="95"/>
  <c r="M105" i="95"/>
  <c r="M106" i="95"/>
  <c r="M107" i="95"/>
  <c r="M109" i="95"/>
  <c r="M110" i="95"/>
  <c r="M111" i="95"/>
  <c r="M113" i="95"/>
  <c r="M114" i="95"/>
  <c r="M115" i="95"/>
  <c r="M116" i="95"/>
  <c r="M117" i="95"/>
  <c r="M119" i="95"/>
  <c r="M132" i="95"/>
  <c r="M133" i="95"/>
  <c r="M134" i="95"/>
  <c r="M135" i="95"/>
  <c r="M136" i="95"/>
  <c r="M137" i="95"/>
  <c r="M138" i="95"/>
  <c r="M139" i="95"/>
  <c r="M141" i="95"/>
  <c r="M146" i="95"/>
  <c r="M147" i="95"/>
  <c r="M148" i="95"/>
  <c r="M149" i="95"/>
  <c r="M150" i="95"/>
  <c r="M151" i="95"/>
  <c r="M152" i="95"/>
  <c r="M153" i="95"/>
  <c r="M156" i="95"/>
  <c r="M157" i="95"/>
  <c r="M165" i="95"/>
  <c r="M170" i="95"/>
  <c r="M171" i="95"/>
  <c r="M173" i="95"/>
  <c r="M174" i="95"/>
  <c r="M175" i="95"/>
  <c r="M178" i="95"/>
  <c r="M179" i="95"/>
  <c r="M183" i="95"/>
  <c r="M184" i="95"/>
  <c r="M185" i="95"/>
  <c r="M189" i="95"/>
  <c r="M190" i="95"/>
  <c r="M193" i="95"/>
  <c r="M196" i="95"/>
  <c r="M197" i="95"/>
  <c r="M198" i="95"/>
  <c r="M202" i="95"/>
  <c r="M203" i="95"/>
  <c r="M214" i="95"/>
  <c r="M215" i="95"/>
  <c r="M216" i="95"/>
  <c r="M217" i="95"/>
  <c r="M228" i="95"/>
  <c r="M229" i="95"/>
  <c r="M230" i="95"/>
  <c r="M231" i="95"/>
  <c r="M232" i="95"/>
  <c r="M233" i="95"/>
  <c r="M234" i="95"/>
  <c r="M235" i="95"/>
  <c r="M237" i="95"/>
  <c r="M247" i="95"/>
  <c r="M248" i="95"/>
  <c r="M260" i="95"/>
  <c r="M261" i="95"/>
  <c r="M262" i="95"/>
  <c r="M263" i="95"/>
  <c r="M264" i="95"/>
  <c r="M265" i="95"/>
  <c r="M266" i="95"/>
  <c r="M267" i="95"/>
  <c r="M269" i="95"/>
  <c r="M270" i="95"/>
  <c r="M271" i="95"/>
  <c r="M273" i="95"/>
  <c r="M274" i="95"/>
  <c r="M275" i="95"/>
  <c r="M279" i="95"/>
  <c r="M280" i="95"/>
  <c r="M292" i="95"/>
  <c r="M293" i="95"/>
  <c r="M294" i="95"/>
  <c r="M295" i="95"/>
  <c r="M296" i="95"/>
  <c r="M297" i="95"/>
  <c r="M298" i="95"/>
  <c r="M301" i="95"/>
  <c r="M302" i="95"/>
  <c r="M303" i="95"/>
  <c r="M305" i="95"/>
  <c r="M306" i="95"/>
  <c r="M307" i="95"/>
  <c r="M308" i="95"/>
  <c r="M309" i="95"/>
  <c r="M310" i="95"/>
  <c r="M311" i="95"/>
  <c r="M312" i="95"/>
  <c r="M313" i="95"/>
  <c r="M325" i="95"/>
  <c r="M327" i="95"/>
  <c r="M328" i="95"/>
  <c r="M329" i="95"/>
  <c r="M330" i="95"/>
  <c r="M331" i="95"/>
  <c r="M333" i="95"/>
  <c r="M334" i="95"/>
  <c r="M335" i="95"/>
  <c r="M337" i="95"/>
  <c r="M342" i="95"/>
  <c r="M343" i="95"/>
  <c r="M344" i="95"/>
  <c r="M345" i="95"/>
  <c r="M348" i="95"/>
  <c r="M349" i="95"/>
  <c r="M353" i="95"/>
  <c r="M354" i="95"/>
  <c r="M355" i="95"/>
  <c r="M356" i="95"/>
  <c r="M357" i="95"/>
  <c r="M358" i="95"/>
  <c r="M359" i="95"/>
  <c r="M360" i="95"/>
  <c r="M361" i="95"/>
  <c r="M362" i="95"/>
  <c r="M363" i="95"/>
  <c r="M371" i="95"/>
  <c r="M374" i="95"/>
  <c r="M375" i="95"/>
  <c r="M376" i="95"/>
  <c r="M388" i="95"/>
  <c r="M389" i="95"/>
  <c r="M390" i="95"/>
  <c r="M391" i="95"/>
  <c r="M392" i="95"/>
  <c r="M393" i="95"/>
  <c r="M394" i="95"/>
  <c r="M407" i="95"/>
  <c r="M408" i="95"/>
  <c r="M40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O32" i="78" a="1"/>
  <c r="O32" i="78" s="1"/>
  <c r="O33" i="78" a="1"/>
  <c r="O33" i="78" s="1"/>
  <c r="P13" i="78"/>
  <c r="R13" i="78" s="1"/>
  <c r="S13" i="78" s="1"/>
  <c r="P15" i="78"/>
  <c r="R15" i="78" s="1"/>
  <c r="S15" i="78" s="1"/>
  <c r="P16" i="78"/>
  <c r="R16" i="78" s="1"/>
  <c r="S16" i="78" s="1"/>
  <c r="P17" i="78"/>
  <c r="R17" i="78" s="1"/>
  <c r="S17" i="78" s="1"/>
  <c r="P20" i="78"/>
  <c r="R20" i="78" s="1"/>
  <c r="S20" i="78" s="1"/>
  <c r="T20" i="78" s="1"/>
  <c r="P27" i="78"/>
  <c r="R27" i="78" s="1"/>
  <c r="S27" i="78" s="1"/>
  <c r="T27"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P14" i="78" s="1"/>
  <c r="R14" i="78" s="1"/>
  <c r="S14" i="78" s="1"/>
  <c r="Q15" i="78"/>
  <c r="Q16" i="78"/>
  <c r="Q17" i="78"/>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K319" i="95" l="1"/>
  <c r="K209" i="95"/>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I10" i="15"/>
  <c r="D12" i="21" a="1"/>
  <c r="D11"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2"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<sst xmlns="http://schemas.openxmlformats.org/spreadsheetml/2006/main" count="2501" uniqueCount="1255">
  <si>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</si>
  <si>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</si>
  <si>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</si>
  <si>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</si>
  <si>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</si>
  <si>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</si>
  <si>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</si>
  <si>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</si>
  <si>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</si>
  <si>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</si>
  <si>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</si>
  <si>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</si>
  <si>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</si>
  <si>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</si>
  <si>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</si>
  <si>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</si>
  <si>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</si>
  <si>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</si>
  <si>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</si>
  <si>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</si>
  <si>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</si>
  <si>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</si>
  <si>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</si>
  <si>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</si>
  <si>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</si>
  <si>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</si>
  <si>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</si>
  <si>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</si>
  <si>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</si>
  <si>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</si>
  <si>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</si>
  <si>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</si>
  <si>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</si>
  <si>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</si>
  <si>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</si>
  <si>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</si>
  <si>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</si>
  <si>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</si>
  <si>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</si>
  <si>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</si>
  <si>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</si>
  <si>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</si>
  <si>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</si>
  <si>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</si>
  <si>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</si>
  <si>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</si>
  <si>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</si>
  <si>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</si>
  <si>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</si>
  <si>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</si>
  <si>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</si>
  <si>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</si>
  <si>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</si>
  <si>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</si>
  <si>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</si>
  <si>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</si>
  <si>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</si>
  <si>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</si>
  <si>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</si>
  <si>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</si>
  <si>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</si>
  <si>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</si>
  <si>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</si>
  <si>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</si>
  <si>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</si>
  <si>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</si>
  <si>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</si>
  <si>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</si>
  <si>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</si>
  <si>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</si>
  <si>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</si>
  <si>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</si>
  <si>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</si>
  <si>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</si>
  <si>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</si>
  <si>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</si>
  <si>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</si>
  <si>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</si>
  <si>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</si>
  <si>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</si>
  <si>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</si>
  <si>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</si>
  <si>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</si>
  <si>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</si>
  <si>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</si>
  <si>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</si>
  <si>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</si>
  <si>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</si>
  <si>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</si>
  <si>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</si>
  <si>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</si>
  <si>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</si>
  <si>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</si>
  <si>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</si>
  <si>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</si>
  <si>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</si>
  <si>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</si>
  <si>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</si>
  <si>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</si>
  <si>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</si>
  <si>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</si>
  <si>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</si>
  <si>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</si>
  <si>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</si>
  <si>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</si>
  <si>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</si>
  <si>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</si>
  <si>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</si>
  <si>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</si>
  <si>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</si>
  <si>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</si>
  <si>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</si>
  <si>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</si>
  <si>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</si>
  <si>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</si>
  <si>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</si>
  <si>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</si>
  <si>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</si>
  <si>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</si>
  <si>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</si>
  <si>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</si>
  <si>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</si>
  <si>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</si>
  <si>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</si>
  <si>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</si>
  <si>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</si>
  <si>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</si>
  <si>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</si>
  <si>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</si>
  <si>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</si>
  <si>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</si>
  <si>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</si>
  <si>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</si>
  <si>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</si>
  <si>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</si>
  <si>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</si>
  <si>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</si>
  <si>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</si>
  <si>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</si>
  <si>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</si>
  <si>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</si>
  <si>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</si>
  <si>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</si>
  <si>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</si>
  <si>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</si>
  <si>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</si>
  <si>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</si>
  <si>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</si>
  <si>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</si>
  <si>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</si>
  <si>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</si>
  <si>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</si>
  <si>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</si>
  <si>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</si>
  <si>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</si>
  <si>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</si>
  <si>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</si>
  <si>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</si>
  <si>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</si>
  <si>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</si>
  <si>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</si>
  <si>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</si>
  <si>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</si>
  <si>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</si>
  <si>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</si>
  <si>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</si>
  <si>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</si>
  <si>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</si>
  <si>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</si>
  <si>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</si>
  <si>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</si>
  <si>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</si>
  <si>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</si>
  <si>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</si>
  <si>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</si>
  <si>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</si>
  <si>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</si>
  <si>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</si>
  <si>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</si>
  <si>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</si>
  <si>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</si>
  <si>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</si>
  <si>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</si>
  <si>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</si>
  <si>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</si>
  <si>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</si>
  <si>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</si>
  <si>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</si>
  <si>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</si>
  <si>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</si>
  <si>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</si>
  <si>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</si>
  <si>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</si>
  <si>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</si>
  <si>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</si>
  <si>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</si>
  <si>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</si>
  <si>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</si>
  <si>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</si>
  <si>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</si>
  <si>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</si>
  <si>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</si>
  <si>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</si>
  <si>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</si>
  <si>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</si>
  <si>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</si>
  <si>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</si>
  <si>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</si>
  <si>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</si>
  <si>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</si>
  <si>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</si>
  <si>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</si>
  <si>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</si>
  <si>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</si>
  <si>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</si>
  <si>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</si>
  <si>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</si>
  <si>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</si>
  <si>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</si>
  <si>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</si>
  <si>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</si>
  <si>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</si>
  <si>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</si>
  <si>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</si>
  <si>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</si>
  <si>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</si>
  <si>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</si>
  <si>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</si>
  <si>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</si>
  <si>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</si>
  <si>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</si>
  <si>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</si>
  <si>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</si>
  <si>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</si>
  <si>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</si>
  <si>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</si>
  <si>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</si>
  <si>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</si>
  <si>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</si>
  <si>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</si>
  <si>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</si>
  <si>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</si>
  <si>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</si>
  <si>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</si>
  <si>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</si>
  <si>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</si>
  <si>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</si>
  <si>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</si>
  <si>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</si>
  <si>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</si>
  <si>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</si>
  <si>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</si>
  <si>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</si>
  <si>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</si>
  <si>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</si>
  <si>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</si>
  <si>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</si>
  <si>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</si>
  <si>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</si>
  <si>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</si>
  <si>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</si>
  <si>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</si>
  <si>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</si>
  <si>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</si>
  <si>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</si>
  <si>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</si>
  <si>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</si>
  <si>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</si>
  <si>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</si>
  <si>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</si>
  <si>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</si>
  <si>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</si>
  <si>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</si>
  <si>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</si>
  <si>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</si>
  <si>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</si>
  <si>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</si>
  <si>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</si>
  <si>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</si>
  <si>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</si>
  <si>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</si>
  <si>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</si>
  <si>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</si>
  <si>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</si>
  <si>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</si>
  <si>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</si>
  <si>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</si>
  <si>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</si>
  <si>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</si>
  <si>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</si>
  <si>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</si>
  <si>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</si>
  <si>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</si>
  <si>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</si>
  <si>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</si>
  <si>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</si>
  <si>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</si>
  <si>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</si>
  <si>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</si>
  <si>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</si>
  <si>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</si>
  <si>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</si>
  <si>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</si>
  <si>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</si>
  <si>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</si>
  <si>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</si>
  <si>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</si>
  <si>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</si>
  <si>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</si>
  <si>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</si>
  <si>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</si>
  <si>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</si>
  <si>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</si>
  <si>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</si>
  <si>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</si>
  <si>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</si>
  <si>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</si>
  <si>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</si>
  <si>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</si>
  <si>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</si>
  <si>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</si>
  <si>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</si>
  <si>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</si>
  <si>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</si>
  <si>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</si>
  <si>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</si>
  <si>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</si>
  <si>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</si>
  <si>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</si>
  <si>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</si>
  <si>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</si>
  <si>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</si>
  <si>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</si>
  <si>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</si>
  <si>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</si>
  <si>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</si>
  <si>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</si>
  <si>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</si>
  <si>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</si>
  <si>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</si>
  <si>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</si>
  <si>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</si>
  <si>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</si>
  <si>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</si>
  <si>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</si>
  <si>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</si>
  <si>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</si>
  <si>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</si>
  <si>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</si>
  <si>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</si>
  <si>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</si>
  <si>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</si>
  <si>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</si>
  <si>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</si>
  <si>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</si>
  <si>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</si>
  <si>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</si>
  <si>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</si>
  <si>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</si>
  <si>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</si>
  <si>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</si>
  <si>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</si>
  <si>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</si>
  <si>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</si>
  <si>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</si>
  <si>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</si>
  <si>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</si>
  <si>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</si>
  <si>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</si>
  <si>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</si>
  <si>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</si>
  <si>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</si>
  <si>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</si>
  <si>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</si>
  <si>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</si>
  <si>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</si>
  <si>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</si>
  <si>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</si>
  <si>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</si>
  <si>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</si>
  <si>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</si>
  <si>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</si>
  <si>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</si>
  <si>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</si>
  <si>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</si>
  <si>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</si>
  <si>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</si>
  <si>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</si>
  <si>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</si>
  <si>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</si>
  <si>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</si>
  <si>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</si>
  <si>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</si>
  <si>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</si>
  <si>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</si>
  <si>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</si>
  <si>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</si>
  <si>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</si>
  <si>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</si>
  <si>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</si>
  <si>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</si>
  <si>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</si>
  <si>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</si>
  <si>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</si>
  <si>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</si>
  <si>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</si>
  <si>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</si>
  <si>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</si>
  <si>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</si>
  <si>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</si>
  <si>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</si>
  <si>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</si>
  <si>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</si>
  <si>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</si>
  <si>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</si>
  <si>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</si>
  <si>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</si>
  <si>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</si>
  <si>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</si>
  <si>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</si>
  <si>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</si>
  <si>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</si>
  <si>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</si>
  <si>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</si>
  <si>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</si>
  <si>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</si>
  <si>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</si>
  <si>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</si>
  <si>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</si>
  <si>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</si>
  <si>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</si>
  <si>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</si>
  <si>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</si>
  <si>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</si>
  <si>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</si>
  <si>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</si>
  <si>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</si>
  <si>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</si>
  <si>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</si>
  <si>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</si>
  <si>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</si>
  <si>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</si>
  <si>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</si>
  <si>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</si>
  <si>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</si>
  <si>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</si>
  <si>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</si>
  <si>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</si>
  <si>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</si>
  <si>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</si>
  <si>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</si>
  <si>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</si>
  <si>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</si>
  <si>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</si>
  <si>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</si>
  <si>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</si>
  <si>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</si>
  <si>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</si>
  <si>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</si>
  <si>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</si>
  <si>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</si>
  <si>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</si>
  <si>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</si>
  <si>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</si>
  <si>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</si>
  <si>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</si>
  <si>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</si>
  <si>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</si>
  <si>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</si>
  <si>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</si>
  <si>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</si>
  <si>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</si>
  <si>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</si>
  <si>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</si>
  <si>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</si>
  <si>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</si>
  <si>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</si>
  <si>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</si>
  <si>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</si>
  <si>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</si>
  <si>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</si>
  <si>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</si>
  <si>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</si>
  <si>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</si>
  <si>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</si>
  <si>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</si>
  <si>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</si>
  <si>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</si>
  <si>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</si>
  <si>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</si>
  <si>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</si>
  <si>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</si>
  <si>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</si>
  <si>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</si>
  <si>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</si>
  <si>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</si>
  <si>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</si>
  <si>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</si>
  <si>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</si>
  <si>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</si>
  <si>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</si>
  <si>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</si>
  <si>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</si>
  <si>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</si>
  <si>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</si>
  <si>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</si>
  <si>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</si>
  <si>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</si>
  <si>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</si>
  <si>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</si>
  <si>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</si>
  <si>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</si>
  <si>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</si>
  <si>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</si>
  <si>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</si>
  <si>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</si>
  <si>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</si>
  <si>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</si>
  <si>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</si>
  <si>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</si>
  <si>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</si>
  <si>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</si>
  <si>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</si>
  <si>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</si>
  <si>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</si>
  <si>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</si>
  <si>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</si>
  <si>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</si>
  <si>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</si>
  <si>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</si>
  <si>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</si>
  <si>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</si>
  <si>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</si>
  <si>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</si>
  <si>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</si>
  <si>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</si>
  <si>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</si>
  <si>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</si>
  <si>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</si>
  <si>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</si>
  <si>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</si>
  <si>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</si>
  <si>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</si>
  <si>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</si>
  <si>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</si>
  <si>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</si>
  <si>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</si>
  <si>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</si>
  <si>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</si>
  <si>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</si>
  <si>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</si>
  <si>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</si>
  <si>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</si>
  <si>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</si>
  <si>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</si>
  <si>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</si>
  <si>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</si>
  <si>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</si>
  <si>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</si>
  <si>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</si>
  <si>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</si>
  <si>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</si>
  <si>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</si>
  <si>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</si>
  <si>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</si>
  <si>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</si>
  <si>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</si>
  <si>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</si>
  <si>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</si>
  <si>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</si>
  <si>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</si>
  <si>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</si>
  <si>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</si>
  <si>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</si>
  <si>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</si>
  <si>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</si>
  <si>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</si>
  <si>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</si>
  <si>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</si>
  <si>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</si>
  <si>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</si>
  <si>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</si>
  <si>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</si>
  <si>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</si>
  <si>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</si>
  <si>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</si>
  <si>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</si>
  <si>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</si>
  <si>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</si>
  <si>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</si>
  <si>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</si>
  <si>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</si>
  <si>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</si>
  <si>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</si>
  <si>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</si>
  <si>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</si>
  <si>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</si>
  <si>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</si>
  <si>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</si>
  <si>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</si>
  <si>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</si>
  <si>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</si>
  <si>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</si>
  <si>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</si>
  <si>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</si>
  <si>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</si>
  <si>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</si>
  <si>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</si>
  <si>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</si>
  <si>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</si>
  <si>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</si>
  <si>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</si>
  <si>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</si>
  <si>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</si>
  <si>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</si>
  <si>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</si>
  <si>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</si>
  <si>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</si>
  <si>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</si>
  <si>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</si>
  <si>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</si>
  <si>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</si>
  <si>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</si>
  <si>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</si>
  <si>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</si>
  <si>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</si>
  <si>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</si>
  <si>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</si>
  <si>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</si>
  <si>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</si>
  <si>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</si>
  <si>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</si>
  <si>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</si>
  <si>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</si>
  <si>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</si>
  <si>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</si>
  <si>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</si>
  <si>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</si>
  <si>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</si>
  <si>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</si>
  <si>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</si>
  <si>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</si>
  <si>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</si>
  <si>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</si>
  <si>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</si>
  <si>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</si>
  <si>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</si>
  <si>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</si>
  <si>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</si>
  <si>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</si>
  <si>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</si>
  <si>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</si>
  <si>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</si>
  <si>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</si>
  <si>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</si>
  <si>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</si>
  <si>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</si>
  <si>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</si>
  <si>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</si>
  <si>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</si>
  <si>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</si>
  <si>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</si>
  <si>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</si>
  <si>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</si>
  <si>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</si>
  <si>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</si>
  <si>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</si>
  <si>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</si>
  <si>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</si>
  <si>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</si>
  <si>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</si>
  <si>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</si>
  <si>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</si>
  <si>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</si>
  <si>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</si>
  <si>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</si>
  <si>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</si>
  <si>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</si>
  <si>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</si>
  <si>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</si>
  <si>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</si>
  <si>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</si>
  <si>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</si>
  <si>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</si>
  <si>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</si>
  <si>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</si>
  <si>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</si>
  <si>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</si>
  <si>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</si>
  <si>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</si>
  <si>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</si>
  <si>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</si>
  <si>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</si>
  <si>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</si>
  <si>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</si>
  <si>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</si>
  <si>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</si>
  <si>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</si>
  <si>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</si>
  <si>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</si>
  <si>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</si>
  <si>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</si>
  <si>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</si>
  <si>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</si>
  <si>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</si>
  <si>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</si>
  <si>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</si>
  <si>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</si>
  <si>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</si>
  <si>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</si>
  <si>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</si>
  <si>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</si>
  <si>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</si>
  <si>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</si>
  <si>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</si>
  <si>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</si>
  <si>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</si>
  <si>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</si>
  <si>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</si>
  <si>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</si>
  <si>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</si>
  <si>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</si>
  <si>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</si>
  <si>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</si>
  <si>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</si>
  <si>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</si>
  <si>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</si>
  <si>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</si>
  <si>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</si>
  <si>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</si>
  <si>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</si>
  <si>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</si>
  <si>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</si>
  <si>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</si>
  <si>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</si>
  <si>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</si>
  <si>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</si>
  <si>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</si>
  <si>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</si>
  <si>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</si>
  <si>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</si>
  <si>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</si>
  <si>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</si>
  <si>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</si>
  <si>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</si>
  <si>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</si>
  <si>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</si>
  <si>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</si>
  <si>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</si>
  <si>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</si>
  <si>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</si>
  <si>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</si>
  <si>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</si>
  <si>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</si>
  <si>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</si>
  <si>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</si>
  <si>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</si>
  <si>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</si>
  <si>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</si>
  <si>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</si>
  <si>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</si>
  <si>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</si>
  <si>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</si>
  <si>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</si>
  <si>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</si>
  <si>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</si>
  <si>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</si>
  <si>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</si>
  <si>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</si>
  <si>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</si>
  <si>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</si>
  <si>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</si>
  <si>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</si>
  <si>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</si>
  <si>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</si>
  <si>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</si>
  <si>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</si>
  <si>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</si>
  <si>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</si>
  <si>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</si>
  <si>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</si>
  <si>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</si>
  <si>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</si>
  <si>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</si>
  <si>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</si>
  <si>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</si>
  <si>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</si>
  <si>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</si>
  <si>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</si>
  <si>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</si>
  <si>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</si>
  <si>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</si>
  <si>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</si>
  <si>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</si>
  <si>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</si>
  <si>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</si>
  <si>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</si>
  <si>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</si>
  <si>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</si>
  <si>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</si>
  <si>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</si>
  <si>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</si>
  <si>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</si>
  <si>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</si>
  <si>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</si>
  <si>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</si>
  <si>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</si>
  <si>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</si>
  <si>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</si>
  <si>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</si>
  <si>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</si>
  <si>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</si>
  <si>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</si>
  <si>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</si>
  <si>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</si>
  <si>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</si>
  <si>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</si>
  <si>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</si>
  <si>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</si>
  <si>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</si>
  <si>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</si>
  <si>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</si>
  <si>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</si>
  <si>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</si>
  <si>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</si>
  <si>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</si>
  <si>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</si>
  <si>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</si>
  <si>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</si>
  <si>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</si>
  <si>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</si>
  <si>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</si>
  <si>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</si>
  <si>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</si>
  <si>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</si>
  <si>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</si>
  <si>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</si>
  <si>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</si>
  <si>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</si>
  <si>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</si>
  <si>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</si>
  <si>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</si>
  <si>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</si>
  <si>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</si>
  <si>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</si>
  <si>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</si>
  <si>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</si>
  <si>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</si>
  <si>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</si>
  <si>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</si>
  <si>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</si>
  <si>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</si>
  <si>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</si>
  <si>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</si>
  <si>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</si>
  <si>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</si>
  <si>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</si>
  <si>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</si>
  <si>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</si>
  <si>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</si>
  <si>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</si>
  <si>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</si>
  <si>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</si>
  <si>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</si>
  <si>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</si>
  <si>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</si>
  <si>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</si>
  <si>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</si>
  <si>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</si>
  <si>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</si>
  <si>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</si>
  <si>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</si>
  <si>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</si>
  <si>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</si>
  <si>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</si>
  <si>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</si>
  <si>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</si>
  <si>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</si>
  <si>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</si>
  <si>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</si>
  <si>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</si>
  <si>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</si>
  <si>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</si>
  <si>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</si>
  <si>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</si>
  <si>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</si>
  <si>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</si>
  <si>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</si>
  <si>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</si>
  <si>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</si>
  <si>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</si>
  <si>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</si>
  <si>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</si>
  <si>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</si>
  <si>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</si>
  <si>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</si>
  <si>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</si>
  <si>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</si>
  <si>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</si>
  <si>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</si>
  <si>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</si>
  <si>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</si>
  <si>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</si>
  <si>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</si>
  <si>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</si>
  <si>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</si>
  <si>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</si>
  <si>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</si>
  <si>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</si>
  <si>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</si>
  <si>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</si>
  <si>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</si>
  <si>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</si>
  <si>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</si>
  <si>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</si>
  <si>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</si>
  <si>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</si>
  <si>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</si>
  <si>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</si>
  <si>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</si>
  <si>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</si>
  <si>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</si>
  <si>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</si>
  <si>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</si>
  <si>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</si>
  <si>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</si>
  <si>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</si>
  <si>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</si>
  <si>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</si>
  <si>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</si>
  <si>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</si>
  <si>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</si>
  <si>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</si>
  <si>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</si>
  <si>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</si>
  <si>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</si>
  <si>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</si>
  <si>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</si>
  <si>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</si>
  <si>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</si>
  <si>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</si>
  <si>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</si>
  <si>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</si>
  <si>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</si>
  <si>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</si>
  <si>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</si>
  <si>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</si>
  <si>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</si>
  <si>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</si>
  <si>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</si>
  <si>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</si>
  <si>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</si>
  <si>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</si>
  <si>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</si>
  <si>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</si>
  <si>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</si>
  <si>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</si>
  <si>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</si>
  <si>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</si>
  <si>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</si>
  <si>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</si>
  <si>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</si>
  <si>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</si>
  <si>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</si>
  <si>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065908J</t>
  </si>
  <si>
    <t>059078G</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</si>
  <si>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</si>
  <si>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</si>
  <si>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</si>
  <si>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</si>
  <si>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</si>
  <si>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</si>
  <si>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</si>
  <si>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</si>
  <si>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</si>
  <si>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</si>
  <si>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</si>
  <si>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</si>
  <si>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</si>
  <si>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</si>
  <si>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</si>
  <si>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</si>
  <si>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</si>
  <si>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</si>
  <si>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</si>
  <si>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</si>
  <si>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</si>
  <si>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</si>
  <si>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</si>
  <si>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</si>
  <si>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</si>
  <si>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</si>
  <si>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</si>
  <si>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</si>
  <si>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</si>
  <si>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</si>
  <si>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</si>
  <si>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</si>
  <si>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</si>
  <si>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</si>
  <si>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</si>
  <si>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</si>
  <si>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</si>
  <si>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</si>
  <si>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</si>
  <si>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</si>
  <si>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</si>
  <si>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</si>
  <si>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</si>
  <si>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</si>
  <si>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</si>
  <si>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</si>
  <si>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</si>
  <si>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</si>
  <si>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</si>
  <si>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</si>
  <si>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</si>
  <si>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</si>
  <si>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</si>
  <si>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</si>
  <si>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</si>
  <si>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</si>
  <si>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</si>
  <si>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</si>
  <si>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</si>
  <si>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</si>
  <si>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</si>
  <si>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</si>
  <si>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</si>
  <si>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</si>
  <si>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</si>
  <si>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</si>
  <si>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</si>
  <si>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</si>
  <si>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</si>
  <si>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</si>
  <si>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</si>
  <si>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</si>
  <si>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</si>
  <si>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</si>
  <si>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</si>
  <si>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</si>
  <si>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</si>
  <si>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</si>
  <si>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</si>
  <si>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</si>
  <si>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</si>
  <si>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</si>
  <si>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</si>
  <si>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</si>
  <si>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</si>
  <si>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</si>
  <si>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</si>
  <si>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</si>
  <si>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</si>
  <si>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</si>
  <si>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</si>
  <si>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</si>
  <si>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</si>
  <si>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</si>
  <si>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</si>
  <si>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</si>
  <si>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</si>
  <si>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</si>
  <si>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</si>
  <si>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</si>
  <si>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</si>
  <si>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</si>
  <si>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</si>
  <si>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</si>
  <si>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</si>
  <si>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</si>
  <si>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</si>
  <si>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</si>
  <si>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</si>
  <si>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</si>
  <si>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</si>
  <si>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</si>
  <si>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</si>
  <si>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</si>
  <si>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</si>
  <si>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</si>
  <si>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</si>
  <si>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</si>
  <si>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</si>
  <si>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</si>
  <si>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</si>
  <si>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</si>
  <si>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</si>
  <si>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</si>
  <si>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</si>
  <si>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</si>
  <si>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</si>
  <si>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</si>
  <si>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</si>
  <si>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</si>
  <si>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</si>
  <si>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</si>
  <si>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</si>
  <si>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</si>
  <si>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</si>
  <si>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</si>
  <si>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</si>
  <si>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</si>
  <si>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</si>
  <si>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</si>
  <si>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</si>
  <si>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</si>
  <si>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</si>
  <si>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</si>
  <si>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</si>
  <si>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</si>
  <si>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</si>
  <si>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</si>
  <si>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</si>
  <si>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</si>
  <si>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</si>
  <si>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</si>
  <si>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</si>
  <si>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</si>
  <si>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</si>
  <si>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</si>
  <si>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</si>
  <si>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</si>
  <si>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</si>
  <si>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</si>
  <si>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</si>
  <si>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</si>
  <si>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</si>
  <si>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</si>
  <si>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</si>
  <si>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</si>
  <si>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</si>
  <si>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</si>
  <si>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</si>
  <si>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</si>
  <si>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</si>
  <si>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</si>
  <si>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</si>
  <si>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</si>
  <si>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</si>
  <si>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</si>
  <si>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</si>
  <si>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</si>
  <si>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</si>
  <si>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</si>
  <si>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</si>
  <si>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</si>
  <si>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</si>
  <si>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</si>
  <si>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</si>
  <si>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</si>
  <si>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</si>
  <si>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</si>
  <si>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</si>
  <si>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</si>
  <si>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</si>
  <si>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</si>
  <si>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</si>
  <si>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</si>
  <si>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</si>
  <si>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</si>
  <si>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</si>
  <si>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</si>
  <si>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</si>
  <si>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</si>
  <si>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</si>
  <si>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</si>
  <si>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</si>
  <si>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</si>
  <si>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</si>
  <si>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</si>
  <si>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</si>
  <si>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</si>
  <si>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</si>
  <si>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</si>
  <si>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</si>
  <si>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</si>
  <si>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</si>
  <si>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</si>
  <si>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</si>
  <si>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</si>
  <si>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</si>
  <si>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</si>
  <si>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</si>
  <si>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</si>
  <si>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</si>
  <si>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</si>
  <si>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</si>
  <si>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</si>
  <si>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</si>
  <si>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</si>
  <si>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</si>
  <si>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</si>
  <si>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</si>
  <si>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</si>
  <si>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</si>
  <si>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</si>
  <si>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</si>
  <si>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</si>
  <si>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</si>
  <si>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</si>
  <si>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</si>
  <si>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</si>
  <si>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</si>
  <si>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</si>
  <si>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</si>
  <si>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</si>
  <si>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</si>
  <si>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</si>
  <si>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</si>
  <si>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</si>
  <si>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</si>
  <si>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</si>
  <si>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</si>
  <si>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</si>
  <si>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</si>
  <si>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</si>
  <si>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</si>
  <si>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</si>
  <si>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</si>
  <si>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</si>
  <si>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</si>
  <si>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</si>
  <si>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</si>
  <si>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</si>
  <si>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</si>
  <si>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</si>
  <si>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</si>
  <si>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</si>
  <si>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</si>
  <si>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</si>
  <si>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</si>
  <si>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</si>
  <si>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</si>
  <si>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</si>
  <si>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</si>
  <si>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</si>
  <si>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</si>
  <si>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</si>
  <si>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</si>
  <si>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</si>
  <si>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</si>
  <si>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</si>
  <si>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</si>
  <si>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</si>
  <si>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</si>
  <si>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</si>
  <si>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</si>
  <si>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</si>
  <si>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</si>
  <si>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</si>
  <si>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</si>
  <si>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</si>
  <si>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11.08.25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</si>
</sst>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0" fontId="130" fillId="0" borderId="1" xfId="1" applyFont="1" applyBorder="1"/>
    <xf numFmtId="0" fontId="130"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184" fontId="92" fillId="2" borderId="0" xfId="0" applyNumberFormat="1" applyFont="1" applyFill="1"/>
    <xf numFmtId="0" fontId="126"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31"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6" fillId="15" borderId="14" xfId="0" applyFont="1" applyFill="1" applyBorder="1" applyAlignment="1">
      <alignment horizontal="center"/>
    </xf>
    <xf numFmtId="0" fontId="126"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3" fillId="12" borderId="0" xfId="0" applyFont="1" applyFill="1" applyAlignment="1">
      <alignment horizontal="center"/>
    </xf>
    <xf numFmtId="0" fontId="38" fillId="0" borderId="0" xfId="0" applyFont="1" applyAlignment="1">
      <alignment horizontal="center"/>
    </xf>
    <xf numFmtId="0" fontId="102" fillId="0" borderId="0" xfId="0" applyFont="1"/>
    <xf numFmtId="0" fontId="102" fillId="0" borderId="0" xfId="0" applyFont="1" applyAlignment="1">
      <alignment horizontal="left" vertical="top" wrapText="1"/>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104"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8">
    <dxf>
      <numFmt numFmtId="0" formatCode="General"/>
    </dxf>
    <dxf>
      <numFmt numFmtId="2" formatCode="0.00"/>
    </dxf>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1"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7"/>
    <tableColumn id="2" xr3:uid="{D07D770F-21F7-425E-8CCA-AA85FFD513A3}" uniqueName="2" name="serial_number" queryTableFieldId="2" dataDxfId="196"/>
    <tableColumn id="3" xr3:uid="{D963BD5C-EE98-4CDD-ABAE-5315BBDA1135}" uniqueName="3" name="asset_tag" queryTableFieldId="3" dataDxfId="195"/>
    <tableColumn id="4" xr3:uid="{44F03B5B-6C09-4D5C-B2E2-D809B4EDF2B0}" uniqueName="4" name="custom_order_number" queryTableFieldId="4" dataDxfId="194"/>
    <tableColumn id="5" xr3:uid="{412A70E1-7452-417E-A3A9-BD3499EBD33C}" uniqueName="5" name="service_date" queryTableFieldId="5" dataDxfId="68"/>
    <tableColumn id="7" xr3:uid="{297A4F29-F6E9-4BD3-A7A2-5F1039480BAE}" uniqueName="7" name="certificate_number" queryTableFieldId="7" dataDxfId="193"/>
    <tableColumn id="6" xr3:uid="{7231074C-78F5-4F41-8E96-7068B6555E6F}" uniqueName="6" name="traceability_number" queryTableFieldId="61"/>
    <tableColumn id="8" xr3:uid="{7C740CB9-37DA-435E-A87E-AF050E31623C}" uniqueName="8" name="wire_roll_cert_number" queryTableFieldId="8" dataDxfId="192"/>
    <tableColumn id="9" xr3:uid="{5B17E9FC-0D68-4EA9-9145-B5DC8FAF5A93}" uniqueName="9" name="type" queryTableFieldId="9"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3"/>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1" tableType="queryTable" totalsRowShown="0">
  <autoFilter ref="A1:C181" xr:uid="{DD841DB9-A242-4050-A7E6-984852778526}"/>
  <tableColumns count="3">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0">
  <autoFilter ref="A1:C9" xr:uid="{8AF992F3-27EF-4265-960D-70EC6F74FAFA}"/>
  <sortState xmlns:xlrd2="http://schemas.microsoft.com/office/spreadsheetml/2017/richdata2" ref="A2:C9">
    <sortCondition ref="B1:B9"/>
  </sortState>
  <tableColumns count="3">
    <tableColumn id="1" xr3:uid="{1F7D0D09-7152-4679-B25C-65CF0E0AB2D4}" name="Type" dataDxfId="189"/>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2"/>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7">
      <calculatedColumnFormula>IF(Main!O3="","",Main!N3)</calculatedColumnFormula>
    </tableColumn>
    <tableColumn id="3" xr3:uid="{FCE5D856-7234-4CCA-97EE-22B74741E437}" name="Alert" dataDxfId="186">
      <calculatedColumnFormula array="1">_xlfn.TEXTJOIN("; ", TRUE, IF(Alerts[[#This Row],[Dropped]],"DROPPED",""),
    IF(Alerts[[#This Row],[High]:[Out Of Tolerance]] &lt;&gt; "",
        Alerts[[#Headers],[High]:[Out Of Tolerance]],
        "")
)</calculatedColumnFormula>
    </tableColumn>
    <tableColumn id="4" xr3:uid="{8AD94D64-1483-4168-80EC-0F5FF5FBFB54}" name="Temp" dataDxfId="185">
      <calculatedColumnFormula array="1">_xlfn.XLOOKUP(1,
  (Survey[TestPoint]=Alerts[[#This Row],[TestPoint]])*(Survey[Time]=--Alerts[[#This Row],[Time]]),
  Survey[RawTemp],
  "")</calculatedColumnFormula>
    </tableColumn>
    <tableColumn id="5" xr3:uid="{7F528BD7-7CA6-42E2-8288-BF3DEA461539}" name="Time" dataDxfId="184">
      <calculatedColumnFormula>IFERROR(IF(OR(Alerts[[#This Row],[High]],Alerts[[#This Row],[Low]]),VALUE(Alerts[[#This Row],[High]]&amp;Alerts[[#This Row],[Low]]),Alerts[[#This Row],[Out Of Tolerance]]),"")</calculatedColumnFormula>
    </tableColumn>
    <tableColumn id="6" xr3:uid="{C6C3F45B-0C03-4E9C-9412-DBABE4DA80B3}" name="Dropped" dataDxfId="183">
      <calculatedColumnFormula>IF(
  Main!O5 = "",
  FALSE,
  COUNTIF(Survey[TestPoint], Alerts[[#This Row],[TestPoint]]) = 0
)</calculatedColumnFormula>
    </tableColumn>
    <tableColumn id="8" xr3:uid="{96F3D492-9D35-4D95-988A-C7309D2CB11D}" name="High" dataDxfId="182">
      <calculatedColumnFormula array="1">_xlfn.XLOOKUP(1,
  (Survey[TestPoint]=Alerts[[#This Row],[TestPoint]])*Survey[High],
  Survey[Time],
  "")</calculatedColumnFormula>
    </tableColumn>
    <tableColumn id="9" xr3:uid="{FA598A09-68F3-4996-908B-720C01A5CB36}" name="Low" dataDxfId="181">
      <calculatedColumnFormula array="1">_xlfn.XLOOKUP(1,
  (Survey[TestPoint]=Alerts[[#This Row],[TestPoint]])*Survey[Low],
  Survey[Time],
  "")</calculatedColumnFormula>
    </tableColumn>
    <tableColumn id="10" xr3:uid="{8BF38346-ED30-41C4-A7C5-C5AD74EDAE4E}" name="Out Of Tolerance" dataDxfId="18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9"/>
    <tableColumn id="2" xr3:uid="{80F1DE28-79AD-483F-A7F0-673E715EECBE}" uniqueName="2" name="reading" queryTableFieldId="2" dataDxfId="178"/>
    <tableColumn id="1" xr3:uid="{B4839395-B86E-4AA6-ADFB-57CDD2F7F61D}" uniqueName="1" name="point" queryTableFieldId="1"/>
    <tableColumn id="3" xr3:uid="{2724CA85-C781-4E38-A0DA-097BFEEFE8B1}" uniqueName="3" name="Temp" queryTableFieldId="3" dataDxfId="177"/>
    <tableColumn id="5" xr3:uid="{D8FBA668-C3CE-41DC-B112-B2663A4558F7}" uniqueName="5" name="Offset" queryTableFieldId="5" dataDxfId="176"/>
    <tableColumn id="4" xr3:uid="{3984E3BA-ECF9-4974-BA1B-4E1212BB2A83}" uniqueName="4" name="AssetTag" queryTableFieldId="8" dataDxfId="17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4" headerRowBorderDxfId="173">
  <autoFilter ref="M1:T41" xr:uid="{26B6A9B0-C535-497C-80B0-B1E532DC9DFD}"/>
  <tableColumns count="8">
    <tableColumn id="2" xr3:uid="{AA763339-65AF-434D-A711-61DA35F163AD}" name="Point"/>
    <tableColumn id="3" xr3:uid="{3B356035-E587-4027-87A0-DE8E0B2FE7E1}" name="DaqbookInterp" dataDxfId="17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1">
      <calculatedColumnFormula array="1">IF(DaqbookInterp[[#This Row],[Include]],QRound(N2),NA())</calculatedColumnFormula>
    </tableColumn>
    <tableColumn id="5" xr3:uid="{D54F6D03-3723-4E00-912E-150DF9F71E5B}" name="T/C Name" dataDxfId="170">
      <calculatedColumnFormula>IF(DaqbookInterp[[#This Row],[Include]],Main!O5, NA())</calculatedColumnFormula>
    </tableColumn>
    <tableColumn id="6" xr3:uid="{4A823077-65D9-48F8-825F-BAEBD9008EA4}" name="Include" dataDxfId="169">
      <calculatedColumnFormula>NOT(ISBLANK(Main!O5))</calculatedColumnFormula>
    </tableColumn>
    <tableColumn id="7" xr3:uid="{9B0EC045-52DF-4F3C-A037-09C5D494BF52}" name="WireSet" dataDxfId="168">
      <calculatedColumnFormula>LOOKUP(DaqbookInterp[[#This Row],[T/C Name]],WireSNs[])</calculatedColumnFormula>
    </tableColumn>
    <tableColumn id="8" xr3:uid="{FEFB3CF3-C3B5-4AEA-A75C-80F9610E9833}" name="Wire Lot #" dataDxfId="167">
      <calculatedColumnFormula>HLOOKUP(DaqbookInterp[[#This Row],[WireSet]],Main!$D$48:$I$55,8,0)</calculatedColumnFormula>
    </tableColumn>
    <tableColumn id="9" xr3:uid="{C4BC88F4-CA08-4EF4-9C53-A23F32164EA9}" name="TC CF" dataDxfId="166">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59"/>
    <tableColumn id="40" xr3:uid="{1FD78DD8-6141-4BCC-8B64-71669B160E7A}" uniqueName="40" name="ClientCompanyId" queryTableFieldId="165" dataDxfId="158"/>
    <tableColumn id="41" xr3:uid="{5BCE0CCA-D40E-445A-B69F-BF9E8EC302E6}" uniqueName="41" name="Furnace" queryTableFieldId="166"/>
    <tableColumn id="42" xr3:uid="{FE44BF6E-7160-4F10-BB7C-5C6B8F55C8DB}" uniqueName="42" name="FormNumber" queryTableFieldId="167" dataDxfId="157"/>
    <tableColumn id="43" xr3:uid="{EC576AA5-7F07-4B99-BBD1-C006A3FF4861}" uniqueName="43" name="CalibrationMethod" queryTableFieldId="168" dataDxfId="156"/>
    <tableColumn id="44" xr3:uid="{11784700-CE79-4C3A-B181-67F89C94AC89}" uniqueName="44" name="ToleranceSource" queryTableFieldId="169" dataDxfId="155"/>
    <tableColumn id="45" xr3:uid="{F8D57A3B-9D48-4C00-8E7C-AC29615D88F6}" uniqueName="45" name="Item" queryTableFieldId="170" dataDxfId="15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3"/>
    <tableColumn id="51" xr3:uid="{5B79DBE7-7CAB-41DA-AF62-362ADDE2AED9}" uniqueName="51" name="WorkingZoneSize" queryTableFieldId="176" dataDxfId="15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1"/>
    <tableColumn id="63" xr3:uid="{478884C5-ACFA-42A0-A5A5-3FD7354DF395}" uniqueName="63" name="TestLocation" queryTableFieldId="188" dataDxfId="150"/>
    <tableColumn id="64" xr3:uid="{8742E83A-8953-4A6F-B342-02A544F42A3E}" uniqueName="64" name="OvenLocation" queryTableFieldId="189" dataDxfId="149"/>
    <tableColumn id="65" xr3:uid="{D2C69FD9-EF22-4D46-9BCA-A04DCD92EC4B}" uniqueName="65" name="Condition" queryTableFieldId="190" dataDxfId="14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7"/>
    <tableColumn id="73" xr3:uid="{5C1EA854-4A8F-420A-8A21-EED95DA3A02D}" uniqueName="73" name="LagLimit" queryTableFieldId="198" dataDxfId="146"/>
    <tableColumn id="74" xr3:uid="{E0D578AE-61B1-4F16-BC5A-DF5388800162}" uniqueName="74" name="RecoveryLimit" queryTableFieldId="199" dataDxfId="14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4"/>
    <tableColumn id="8" xr3:uid="{6A970319-4DB4-4470-AD18-810376DE6248}" uniqueName="8" name="Flags" queryTableFieldId="8" dataDxfId="143"/>
    <tableColumn id="10" xr3:uid="{C036645E-37FD-4D8C-A495-9B7CD74F1924}" uniqueName="10" name="TolMinText" queryTableFieldId="10" dataDxfId="142">
      <calculatedColumnFormula>TEXT(UUTRangeTol[[#This Row],[TolMin]],SUBSTITUTE(UUTRangeTol[[#This Row],[TolResolution]],"1","0"))&amp;UUTRangeTol[[#This Row],[Unit]]</calculatedColumnFormula>
    </tableColumn>
    <tableColumn id="11" xr3:uid="{7185F013-BA2C-4D79-99A0-8DCC297E6118}" uniqueName="11" name="TolMaxText" queryTableFieldId="11" dataDxfId="141">
      <calculatedColumnFormula>TEXT(UUTRangeTol[[#This Row],[TolMax]],SUBSTITUTE(UUTRangeTol[[#This Row],[TolResolution]],"1","0"))&amp;UUTRangeTol[[#This Row],[Unit]]</calculatedColumnFormula>
    </tableColumn>
    <tableColumn id="12" xr3:uid="{EE0701A7-578C-482F-B1ED-DBCB9E95A0C6}" uniqueName="12" name="TolText" queryTableFieldId="12" dataDxfId="14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9">
      <calculatedColumnFormula>UUTRangeTol[[#This Row],[RangeMax]]&amp;UUTRangeTol[[#This Row],[Unit]]</calculatedColumnFormula>
    </tableColumn>
    <tableColumn id="14" xr3:uid="{EF348E52-D936-44CC-A058-66DD7A780488}" uniqueName="14" name="RangeText" queryTableFieldId="14" dataDxfId="13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7"/>
    <tableColumn id="2" xr3:uid="{18C84E6F-0395-44B7-82E8-3E3C3338D295}" name="TUS Tol" dataDxfId="136" totalsRowDxfId="135"/>
    <tableColumn id="5" xr3:uid="{DB50C328-B2A6-44C5-853C-318053CB9F8D}" name="SAT Multiplier" dataDxfId="134" totalsRowDxfId="13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2" dataDxfId="131" tableBorderDxfId="130">
  <autoFilter ref="AG2:AS3" xr:uid="{B114758F-16E1-4C54-AA0B-E7F64DE85242}"/>
  <tableColumns count="13">
    <tableColumn id="1" xr3:uid="{0D0312AF-C987-4CC8-97F8-A45434AD138A}" name="Time" dataDxfId="129" dataCellStyle="Normal 3"/>
    <tableColumn id="2" xr3:uid="{E5CD88A1-1988-41C9-8D07-30908E60C0B6}" name="29" dataDxfId="128" dataCellStyle="Normal 3"/>
    <tableColumn id="3" xr3:uid="{52334E52-C590-4A01-82BC-CCC9DA2C2817}" name="30" dataDxfId="127" dataCellStyle="Normal 3"/>
    <tableColumn id="4" xr3:uid="{145DAD22-055B-47E2-958D-C0E0B68ECCC8}" name="31" dataDxfId="126" dataCellStyle="Normal 3"/>
    <tableColumn id="5" xr3:uid="{09C3BF4E-C2AE-4497-AAA2-CF5A8A70B030}" name="32" dataDxfId="125" dataCellStyle="Normal 3"/>
    <tableColumn id="6" xr3:uid="{E9F444F5-7F75-4B80-BC2D-E9E92BB7C32D}" name="33" dataDxfId="124" dataCellStyle="Normal 3"/>
    <tableColumn id="7" xr3:uid="{C42F56B6-C38E-41DC-811A-50AF69D04B80}" name="34" dataDxfId="123" dataCellStyle="Normal 3"/>
    <tableColumn id="8" xr3:uid="{1930235F-D2C0-482D-8CC0-6B3AC765E7EA}" name="35" dataDxfId="122" dataCellStyle="Normal 3"/>
    <tableColumn id="9" xr3:uid="{6FCF613B-A86F-4DC6-9CC5-0A1E44E3DFE0}" name="36" dataDxfId="121" dataCellStyle="Normal 3"/>
    <tableColumn id="10" xr3:uid="{19EA3429-FD7E-4BA0-96B7-70F520D9FE0F}" name="37" dataDxfId="120" dataCellStyle="Normal 3"/>
    <tableColumn id="11" xr3:uid="{A5D0DAE1-1017-4DE3-AEA6-1BAF97E0FBDC}" name="38" dataDxfId="119" dataCellStyle="Normal 3"/>
    <tableColumn id="12" xr3:uid="{ABC8E507-1120-436F-9E9F-E3A8852E2E1A}" name="39" dataDxfId="118"/>
    <tableColumn id="13" xr3:uid="{C69AC669-10C2-4E64-9F60-B4AA135FB3DF}" name="40" dataDxfId="11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6" tableBorderDxfId="115">
  <autoFilter ref="Q2:AE3" xr:uid="{6D9D14EA-1966-4240-9028-DABDD72BB7BC}"/>
  <tableColumns count="15">
    <tableColumn id="1" xr3:uid="{F199066A-0899-4173-8784-FC618D5EFA3C}" name="Time" dataDxfId="114" dataCellStyle="Normal 3"/>
    <tableColumn id="2" xr3:uid="{DB040280-BEC7-49AA-A925-A050027B33E3}" name="15" dataDxfId="113" dataCellStyle="Normal 3"/>
    <tableColumn id="3" xr3:uid="{5D74EEBF-1FB4-4DF9-8EDD-C656F929ADA2}" name="16" dataDxfId="112" dataCellStyle="Normal 3"/>
    <tableColumn id="4" xr3:uid="{B1176DF8-22B4-4741-A534-22D0C72EF1F0}" name="17" dataDxfId="111" dataCellStyle="Normal 3"/>
    <tableColumn id="5" xr3:uid="{1E29EA65-5182-4B3E-817F-0D30B2884EC7}" name="18" dataDxfId="110" dataCellStyle="Normal 3"/>
    <tableColumn id="6" xr3:uid="{AF53AEFB-F310-4F08-91BC-82FB0F484ECA}" name="19" dataDxfId="109" dataCellStyle="Normal 3"/>
    <tableColumn id="7" xr3:uid="{EE472F61-D1B5-43CF-A661-FA1D47001C17}" name="20" dataDxfId="108" dataCellStyle="Normal 3"/>
    <tableColumn id="8" xr3:uid="{841D54C1-AB74-4CB1-8C7F-C38D11EFAD3F}" name="21" dataDxfId="107" dataCellStyle="Normal 3"/>
    <tableColumn id="9" xr3:uid="{F1FB485B-DEAA-4958-8C40-80934EA1437F}" name="22" dataDxfId="106" dataCellStyle="Normal 3"/>
    <tableColumn id="10" xr3:uid="{5C552A76-BD54-46C5-93AD-8F25289FA051}" name="23" dataDxfId="105" dataCellStyle="Normal 3"/>
    <tableColumn id="11" xr3:uid="{B20FA5F1-0522-49D0-9B5A-34570A8AE6EA}" name="24" dataDxfId="104" dataCellStyle="Normal 3"/>
    <tableColumn id="12" xr3:uid="{0BC87A98-B9AC-4CD6-9F9B-D04190073E2A}" name="25" dataDxfId="103"/>
    <tableColumn id="13" xr3:uid="{D62EA80B-BBE3-4A29-89AB-EE04C6E03547}" name="26" dataDxfId="102"/>
    <tableColumn id="14" xr3:uid="{6D7DE537-763F-40F1-AC16-33F228CBC8D1}" name="27" dataDxfId="101"/>
    <tableColumn id="15" xr3:uid="{F8FA9620-DB21-4BAE-8D97-FF38B70679C9}" name="28" dataDxfId="10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9" dataDxfId="98" tableBorderDxfId="97">
  <autoFilter ref="A2:O3" xr:uid="{73A9D9BA-FF58-4A3F-98F7-9A835492E25D}"/>
  <tableColumns count="15">
    <tableColumn id="1" xr3:uid="{73B888B4-4146-4E26-9B39-0FC537A113C8}" name="Time" dataDxfId="96" dataCellStyle="Normal 3"/>
    <tableColumn id="2" xr3:uid="{6F1EF879-7C87-4A56-A394-30C6E5BDB32A}" name="1" dataDxfId="95" dataCellStyle="Normal 3"/>
    <tableColumn id="3" xr3:uid="{B2FA8A6A-D50A-41E8-942A-379C757B6A2B}" name="2" dataDxfId="94" dataCellStyle="Normal 3"/>
    <tableColumn id="4" xr3:uid="{F92FE975-D84B-4B73-B49D-3B746FAA3D21}" name="3" dataDxfId="93" dataCellStyle="Normal 3"/>
    <tableColumn id="5" xr3:uid="{7820E0E9-F621-4361-A572-234B3CB7F864}" name="4" dataDxfId="92" dataCellStyle="Normal 3"/>
    <tableColumn id="6" xr3:uid="{A46C0BCA-2139-4CD3-B02F-C4D3F8E65309}" name="5" dataDxfId="91" dataCellStyle="Normal 3"/>
    <tableColumn id="7" xr3:uid="{334BDF50-1D79-41BC-BA09-7B69018332AE}" name="6" dataDxfId="90" dataCellStyle="Normal 3"/>
    <tableColumn id="8" xr3:uid="{6C11BC6A-3E21-4CDE-9CD4-C8EBCF50B6DB}" name="7" dataDxfId="89" dataCellStyle="Normal 3"/>
    <tableColumn id="9" xr3:uid="{1EEEA607-5177-4C19-A1BC-B12D19FF055B}" name="8" dataDxfId="88" dataCellStyle="Normal 3"/>
    <tableColumn id="10" xr3:uid="{ACF909CE-C221-4157-9298-18F2C140C147}" name="9" dataDxfId="87" dataCellStyle="Normal 3"/>
    <tableColumn id="11" xr3:uid="{182688D3-AD0D-4518-A7FE-0C281ABCDF76}" name="10" dataDxfId="86" dataCellStyle="Normal 3"/>
    <tableColumn id="12" xr3:uid="{54AFFA30-00C2-440A-92A2-139F62F751BE}" name="11" dataDxfId="85"/>
    <tableColumn id="13" xr3:uid="{DCF0B43C-F320-4031-91C6-8514285AF6CA}" name="12" dataDxfId="84"/>
    <tableColumn id="14" xr3:uid="{53A56FC8-0536-4D94-A335-FFCBCBEAF45E}" name="13" dataDxfId="83"/>
    <tableColumn id="15" xr3:uid="{F49FEB6E-05C2-4E90-A6CE-A0C9C694642A}" name="14" dataDxfId="8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1" dataDxfId="80">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79"/>
    <tableColumn id="3" xr3:uid="{5F5E8FED-27C7-498A-86F2-8DE1BF0A773A}" uniqueName="3" name="Address2" queryTableFieldId="82" dataDxfId="7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7"/>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6" dataDxfId="75">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0"/>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67"/>
      <c r="F2"/>
      <c r="G2"/>
      <c r="H2"/>
      <c r="I2" s="73"/>
    </row>
    <row r="3" spans="1:9" x14ac:dyDescent="0.2">
      <c r="A3"/>
      <c r="B3"/>
      <c r="C3"/>
      <c r="D3"/>
      <c r="E3" s="467"/>
      <c r="F3"/>
      <c r="G3"/>
      <c r="H3"/>
      <c r="I3" s="73"/>
    </row>
    <row r="4" spans="1:9" x14ac:dyDescent="0.2">
      <c r="A4"/>
      <c r="B4"/>
      <c r="C4"/>
      <c r="D4"/>
      <c r="E4" s="467"/>
      <c r="F4"/>
      <c r="G4"/>
      <c r="H4"/>
      <c r="I4" s="73"/>
    </row>
    <row r="5" spans="1:9" x14ac:dyDescent="0.2">
      <c r="A5"/>
      <c r="B5"/>
      <c r="C5"/>
      <c r="D5"/>
      <c r="E5" s="467"/>
      <c r="F5"/>
      <c r="G5"/>
      <c r="H5"/>
      <c r="I5" s="73"/>
    </row>
    <row r="6" spans="1:9" x14ac:dyDescent="0.2">
      <c r="A6"/>
      <c r="B6"/>
      <c r="C6"/>
      <c r="D6"/>
      <c r="E6" s="467"/>
      <c r="F6"/>
      <c r="G6"/>
      <c r="H6"/>
      <c r="I6" s="73"/>
    </row>
    <row r="7" spans="1:9" x14ac:dyDescent="0.2">
      <c r="A7"/>
      <c r="B7"/>
      <c r="C7"/>
      <c r="D7"/>
      <c r="E7" s="467"/>
      <c r="F7"/>
      <c r="G7"/>
      <c r="H7"/>
      <c r="I7" s="73"/>
    </row>
    <row r="8" spans="1:9" x14ac:dyDescent="0.2">
      <c r="A8"/>
      <c r="B8"/>
      <c r="C8"/>
      <c r="D8"/>
      <c r="E8" s="467"/>
      <c r="F8"/>
      <c r="G8"/>
      <c r="H8"/>
      <c r="I8" s="73"/>
    </row>
    <row r="9" spans="1:9" x14ac:dyDescent="0.2">
      <c r="A9"/>
      <c r="B9"/>
      <c r="C9"/>
      <c r="D9"/>
      <c r="E9" s="467"/>
      <c r="F9"/>
      <c r="G9"/>
      <c r="H9"/>
      <c r="I9" s="73"/>
    </row>
    <row r="10" spans="1:9" x14ac:dyDescent="0.2">
      <c r="A10"/>
      <c r="B10"/>
      <c r="C10"/>
      <c r="D10"/>
      <c r="E10" s="467"/>
      <c r="F10"/>
      <c r="G10"/>
      <c r="H10"/>
      <c r="I10" s="73"/>
    </row>
    <row r="11" spans="1:9" x14ac:dyDescent="0.2">
      <c r="A11"/>
      <c r="B11"/>
      <c r="C11"/>
      <c r="D11"/>
      <c r="E11" s="467"/>
      <c r="F11"/>
      <c r="G11"/>
      <c r="H11"/>
      <c r="I11" s="73"/>
    </row>
    <row r="12" spans="1:9" x14ac:dyDescent="0.2">
      <c r="A12"/>
      <c r="B12"/>
      <c r="C12"/>
      <c r="D12"/>
      <c r="E12" s="467"/>
      <c r="F12"/>
      <c r="G12"/>
      <c r="H12"/>
      <c r="I12" s="73"/>
    </row>
    <row r="13" spans="1:9" x14ac:dyDescent="0.2">
      <c r="A13"/>
      <c r="B13"/>
      <c r="C13"/>
      <c r="D13"/>
      <c r="E13" s="467"/>
      <c r="F13"/>
      <c r="G13"/>
      <c r="H13"/>
      <c r="I13" s="73"/>
    </row>
    <row r="14" spans="1:9" x14ac:dyDescent="0.2">
      <c r="A14"/>
      <c r="B14"/>
      <c r="C14"/>
      <c r="D14"/>
      <c r="E14" s="467"/>
      <c r="F14"/>
      <c r="G14"/>
      <c r="H14"/>
      <c r="I14" s="73"/>
    </row>
    <row r="15" spans="1:9" x14ac:dyDescent="0.2">
      <c r="A15"/>
      <c r="B15"/>
      <c r="C15"/>
      <c r="D15"/>
      <c r="E15" s="467"/>
      <c r="F15"/>
      <c r="G15"/>
      <c r="H15"/>
      <c r="I15" s="73"/>
    </row>
    <row r="16" spans="1:9" x14ac:dyDescent="0.2">
      <c r="A16"/>
      <c r="B16"/>
      <c r="C16"/>
      <c r="D16"/>
      <c r="E16" s="467"/>
      <c r="F16"/>
      <c r="G16"/>
      <c r="H16"/>
      <c r="I16" s="73"/>
    </row>
    <row r="17" spans="1:9" x14ac:dyDescent="0.2">
      <c r="A17"/>
      <c r="B17"/>
      <c r="C17"/>
      <c r="D17"/>
      <c r="E17" s="467"/>
      <c r="F17"/>
      <c r="G17"/>
      <c r="H17"/>
      <c r="I17" s="73"/>
    </row>
    <row r="18" spans="1:9" x14ac:dyDescent="0.2">
      <c r="A18"/>
      <c r="B18"/>
      <c r="C18"/>
      <c r="D18"/>
      <c r="E18" s="467"/>
      <c r="F18"/>
      <c r="G18"/>
      <c r="H18"/>
      <c r="I18" s="73"/>
    </row>
    <row r="19" spans="1:9" x14ac:dyDescent="0.2">
      <c r="A19"/>
      <c r="B19"/>
      <c r="C19"/>
      <c r="D19"/>
      <c r="E19" s="467"/>
      <c r="F19"/>
      <c r="G19"/>
      <c r="H19"/>
      <c r="I19" s="73"/>
    </row>
    <row r="20" spans="1:9" x14ac:dyDescent="0.2">
      <c r="A20"/>
      <c r="B20"/>
      <c r="C20"/>
      <c r="D20"/>
      <c r="E20" s="467"/>
      <c r="F20"/>
      <c r="G20"/>
      <c r="H20"/>
      <c r="I20" s="73"/>
    </row>
    <row r="21" spans="1:9" x14ac:dyDescent="0.2">
      <c r="A21"/>
      <c r="B21"/>
      <c r="C21"/>
      <c r="D21"/>
      <c r="E21" s="467"/>
      <c r="F21"/>
      <c r="G21"/>
      <c r="H21"/>
      <c r="I21" s="73"/>
    </row>
    <row r="22" spans="1:9" x14ac:dyDescent="0.2">
      <c r="A22"/>
      <c r="B22"/>
      <c r="C22"/>
      <c r="D22"/>
      <c r="E22" s="467"/>
      <c r="F22"/>
      <c r="G22"/>
      <c r="H22"/>
      <c r="I22" s="73"/>
    </row>
    <row r="23" spans="1:9" x14ac:dyDescent="0.2">
      <c r="A23"/>
      <c r="B23"/>
      <c r="C23"/>
      <c r="D23"/>
      <c r="E23" s="467"/>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81"/>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37">_xlfn._xlws.SORT(_xlfn.UNIQUE(AllWireOffsets[traceability_no]))</f>
        <v>047655B</v>
      </c>
      <c r="G2" t="str" cm="1">
        <f t="array" ref="G2:G7">TRANSPOSE(WireLotNos)</f>
        <v>059078G</v>
      </c>
      <c r="H2" t="e" c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#N/A</v>
      </c>
    </row>
    <row r="3" spans="1:8" x14ac:dyDescent="0.2">
      <c r="A3"/>
      <c r="B3"/>
      <c r="C3"/>
      <c r="E3" t="str">
        <v>059078F</v>
      </c>
      <c r="G3" t="str">
        <v>065908J</v>
      </c>
      <c r="H3" t="e" c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#N/A</v>
      </c>
    </row>
    <row r="4" spans="1:8" x14ac:dyDescent="0.2">
      <c r="A4"/>
      <c r="B4"/>
      <c r="C4"/>
      <c r="E4" t="str">
        <v>059078G</v>
      </c>
      <c r="G4" t="str">
        <v/>
      </c>
    </row>
    <row r="5" spans="1:8" x14ac:dyDescent="0.2">
      <c r="A5"/>
      <c r="B5"/>
      <c r="C5"/>
      <c r="E5" t="str">
        <v>061486E</v>
      </c>
      <c r="G5" t="str">
        <v/>
      </c>
    </row>
    <row r="6" spans="1:8" x14ac:dyDescent="0.2">
      <c r="A6"/>
      <c r="B6"/>
      <c r="C6"/>
      <c r="E6" t="str">
        <v>065908H</v>
      </c>
      <c r="G6" t="str">
        <v/>
      </c>
    </row>
    <row r="7" spans="1:8" x14ac:dyDescent="0.2">
      <c r="A7"/>
      <c r="B7"/>
      <c r="C7"/>
      <c r="E7" t="str">
        <v>065908I</v>
      </c>
      <c r="G7" t="str">
        <v/>
      </c>
    </row>
    <row r="8" spans="1:8" x14ac:dyDescent="0.2">
      <c r="A8"/>
      <c r="B8"/>
      <c r="C8"/>
      <c r="E8" t="str">
        <v>065908J</v>
      </c>
    </row>
    <row r="9" spans="1:8" x14ac:dyDescent="0.2">
      <c r="A9"/>
      <c r="B9"/>
      <c r="C9"/>
      <c r="E9" t="str">
        <v>065908K</v>
      </c>
    </row>
    <row r="10" spans="1:8" x14ac:dyDescent="0.2">
      <c r="A10"/>
      <c r="B10"/>
      <c r="C10"/>
      <c r="E10" t="str">
        <v>065908L</v>
      </c>
    </row>
    <row r="11" spans="1:8" x14ac:dyDescent="0.2">
      <c r="A11"/>
      <c r="B11"/>
      <c r="C11"/>
      <c r="E11" t="str">
        <v>065908M</v>
      </c>
    </row>
    <row r="12" spans="1:8" x14ac:dyDescent="0.2">
      <c r="A12"/>
      <c r="B12"/>
      <c r="C12"/>
      <c r="E12" t="str">
        <v>065908N</v>
      </c>
    </row>
    <row r="13" spans="1:8" x14ac:dyDescent="0.2">
      <c r="A13"/>
      <c r="B13"/>
      <c r="C13"/>
      <c r="E13" t="str">
        <v>065908O</v>
      </c>
    </row>
    <row r="14" spans="1:8" x14ac:dyDescent="0.2">
      <c r="A14"/>
      <c r="B14"/>
      <c r="C14"/>
      <c r="E14" t="str">
        <v>065908P</v>
      </c>
    </row>
    <row r="15" spans="1:8" x14ac:dyDescent="0.2">
      <c r="A15"/>
      <c r="B15"/>
      <c r="C15"/>
      <c r="E15" t="str">
        <v>065908Q</v>
      </c>
    </row>
    <row r="16" spans="1:8" x14ac:dyDescent="0.2">
      <c r="A16"/>
      <c r="B16"/>
      <c r="C16"/>
      <c r="E16" t="str">
        <v>065908R</v>
      </c>
      <c r="G16" s="37"/>
    </row>
    <row r="17" spans="1:7" x14ac:dyDescent="0.2">
      <c r="A17"/>
      <c r="B17"/>
      <c r="C17"/>
      <c r="E17" t="str">
        <v>065908S</v>
      </c>
      <c r="G17" s="37"/>
    </row>
    <row r="18" spans="1:7" x14ac:dyDescent="0.2">
      <c r="A18"/>
      <c r="B18"/>
      <c r="C18"/>
      <c r="E18" t="str">
        <v>069220A</v>
      </c>
    </row>
    <row r="19" spans="1:7" x14ac:dyDescent="0.2">
      <c r="A19"/>
      <c r="B19"/>
      <c r="C19"/>
      <c r="E19" t="str">
        <v>069220B</v>
      </c>
    </row>
    <row r="20" spans="1:7" x14ac:dyDescent="0.2">
      <c r="A20"/>
      <c r="B20"/>
      <c r="C20"/>
      <c r="E20" t="str">
        <v>069220C</v>
      </c>
      <c r="G20" s="37"/>
    </row>
    <row r="21" spans="1:7" x14ac:dyDescent="0.2">
      <c r="A21"/>
      <c r="B21"/>
      <c r="C21"/>
      <c r="E21" t="str">
        <v>069220D</v>
      </c>
    </row>
    <row r="22" spans="1:7" x14ac:dyDescent="0.2">
      <c r="A22"/>
      <c r="B22"/>
      <c r="C22"/>
      <c r="E22" t="str">
        <v>069220E</v>
      </c>
    </row>
    <row r="23" spans="1:7" x14ac:dyDescent="0.2">
      <c r="A23"/>
      <c r="B23"/>
      <c r="C23"/>
      <c r="E23" t="str">
        <v>069220F</v>
      </c>
    </row>
    <row r="24" spans="1:7" x14ac:dyDescent="0.2">
      <c r="A24"/>
      <c r="B24"/>
      <c r="C24"/>
      <c r="E24" t="str">
        <v>069220G</v>
      </c>
    </row>
    <row r="25" spans="1:7" x14ac:dyDescent="0.2">
      <c r="A25"/>
      <c r="B25"/>
      <c r="C25"/>
      <c r="E25" t="str">
        <v>069220H</v>
      </c>
    </row>
    <row r="26" spans="1:7" x14ac:dyDescent="0.2">
      <c r="A26"/>
      <c r="B26"/>
      <c r="C26"/>
      <c r="E26" t="str">
        <v>072513B</v>
      </c>
    </row>
    <row r="27" spans="1:7" x14ac:dyDescent="0.2">
      <c r="A27"/>
      <c r="B27"/>
      <c r="C27"/>
      <c r="E27" t="str">
        <v>072513C</v>
      </c>
    </row>
    <row r="28" spans="1:7" x14ac:dyDescent="0.2">
      <c r="A28"/>
      <c r="B28"/>
      <c r="C28"/>
      <c r="E28" t="str">
        <v>072513D</v>
      </c>
    </row>
    <row r="29" spans="1:7" x14ac:dyDescent="0.2">
      <c r="A29"/>
      <c r="B29"/>
      <c r="C29"/>
      <c r="E29" t="str">
        <v>072513E</v>
      </c>
    </row>
    <row r="30" spans="1:7" x14ac:dyDescent="0.2">
      <c r="A30"/>
      <c r="B30"/>
      <c r="C30"/>
      <c r="E30" t="str">
        <v>072513F</v>
      </c>
    </row>
    <row r="31" spans="1:7" x14ac:dyDescent="0.2">
      <c r="A31"/>
      <c r="B31"/>
      <c r="C31"/>
      <c r="E31" t="str">
        <v>072513I</v>
      </c>
    </row>
    <row r="32" spans="1:7"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fBWm91CoJndOXURTZ7lyW5mCOZ74WtOmN/5JQZpqRF+gB83RD6ITarNHpMThZ1ry/WPQVGofputYnRCXWgav3A==" saltValue="0RfNQHYs4jVhze2U2058v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gYTXdaUDMWdxLpWPjcRO3kl8jV8oXjRWbgdF+hmdKP5vwAU5AoF/Hbc3G3DiGj7e+wIdvgG03kxPD+vR4JycZQ==" saltValue="9rdBaMIUncZeuAHhkEugn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W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3" x14ac:dyDescent="0.2">
      <c r="A1" s="37"/>
      <c r="B1" s="37"/>
      <c r="C1" s="37"/>
      <c r="D1" s="37"/>
      <c r="E1" s="37" t="s">
        <v>909</v>
      </c>
      <c r="F1" s="37" t="s">
        <v>266</v>
      </c>
      <c r="G1" s="37" t="s">
        <v>267</v>
      </c>
      <c r="H1" s="37" t="s">
        <v>912</v>
      </c>
      <c r="J1" s="498" t="s">
        <v>907</v>
      </c>
      <c r="K1" s="499"/>
      <c r="M1" s="427" t="s">
        <v>902</v>
      </c>
      <c r="N1" s="428" t="s">
        <v>906</v>
      </c>
      <c r="O1" s="428" t="s">
        <v>897</v>
      </c>
      <c r="P1" s="428" t="s">
        <v>14</v>
      </c>
      <c r="Q1" s="486" t="s">
        <v>962</v>
      </c>
      <c r="R1" s="486" t="s">
        <v>266</v>
      </c>
      <c r="S1" s="486" t="s">
        <v>267</v>
      </c>
      <c r="T1" s="486" t="s">
        <v>963</v>
      </c>
      <c r="V1" s="37"/>
      <c r="W1" s="37"/>
    </row>
    <row r="2" spans="1:23" x14ac:dyDescent="0.2">
      <c r="A2" s="416"/>
      <c r="J2" s="430" t="s">
        <v>903</v>
      </c>
      <c r="K2" s="431">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416" t="str">
        <f>IFERROR(IF(OR(Alerts[[#This Row],[High]],Alerts[[#This Row],[Low]]),VALUE(Alerts[[#This Row],[High]]&amp;Alerts[[#This Row],[Low]]),Alerts[[#This Row],[Out Of Tolerance]]),"")</f>
        <v/>
      </c>
      <c r="Q2" t="b">
        <f>IF(
  Main!O5 = "",
  FALSE,
  COUNTIF(Survey[TestPoint], Alerts[[#This Row],[TestPoint]]) = 0
)</f>
        <v>0</v>
      </c>
      <c r="R2" s="416" t="str" cm="1">
        <f t="array" ref="R2">_xlfn.XLOOKUP(1,
  (Survey[TestPoint]=Alerts[[#This Row],[TestPoint]])*Survey[High],
  Survey[Time],
  "")</f>
        <v/>
      </c>
      <c r="S2" s="416" t="str" cm="1">
        <f t="array" ref="S2">_xlfn.XLOOKUP(1,
  (Survey[TestPoint]=Alerts[[#This Row],[TestPoint]])*Survey[Low],
  Survey[Time],
  "")</f>
        <v/>
      </c>
      <c r="T2" s="416" t="str" cm="1">
        <f t="array" ref="T2">_xlfn.XLOOKUP(1,
  (Survey[TestPoint]=Alerts[[#This Row],[TestPoint]])*Survey[OutOfTolerance],
  Survey[Time],
  "")</f>
        <v/>
      </c>
    </row>
    <row r="3" spans="1:23" x14ac:dyDescent="0.2">
      <c r="J3" s="436" t="s">
        <v>910</v>
      </c>
      <c r="K3" s="437">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416" t="str">
        <f>IFERROR(IF(OR(Alerts[[#This Row],[High]],Alerts[[#This Row],[Low]]),VALUE(Alerts[[#This Row],[High]]&amp;Alerts[[#This Row],[Low]]),Alerts[[#This Row],[Out Of Tolerance]]),"")</f>
        <v/>
      </c>
      <c r="Q3" t="b">
        <f>IF(
  Main!O6 = "",
  FALSE,
  COUNTIF(Survey[TestPoint], Alerts[[#This Row],[TestPoint]]) = 0
)</f>
        <v>0</v>
      </c>
      <c r="R3" s="416" t="str" cm="1">
        <f t="array" ref="R3">_xlfn.XLOOKUP(1,
  (Survey[TestPoint]=Alerts[[#This Row],[TestPoint]])*Survey[High],
  Survey[Time],
  "")</f>
        <v/>
      </c>
      <c r="S3" s="416" t="str" cm="1">
        <f t="array" ref="S3">_xlfn.XLOOKUP(1,
  (Survey[TestPoint]=Alerts[[#This Row],[TestPoint]])*Survey[Low],
  Survey[Time],
  "")</f>
        <v/>
      </c>
      <c r="T3" s="416" t="str" cm="1">
        <f t="array" ref="T3">_xlfn.XLOOKUP(1,
  (Survey[TestPoint]=Alerts[[#This Row],[TestPoint]])*Survey[OutOfTolerance],
  Survey[Time],
  "")</f>
        <v/>
      </c>
    </row>
    <row r="4" spans="1:23" x14ac:dyDescent="0.2">
      <c r="J4" s="432" t="s">
        <v>914</v>
      </c>
      <c r="K4" s="433"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416" t="str">
        <f>IFERROR(IF(OR(Alerts[[#This Row],[High]],Alerts[[#This Row],[Low]]),VALUE(Alerts[[#This Row],[High]]&amp;Alerts[[#This Row],[Low]]),Alerts[[#This Row],[Out Of Tolerance]]),"")</f>
        <v/>
      </c>
      <c r="Q4" t="b">
        <f>IF(
  Main!O7 = "",
  FALSE,
  COUNTIF(Survey[TestPoint], Alerts[[#This Row],[TestPoint]]) = 0
)</f>
        <v>0</v>
      </c>
      <c r="R4" s="416" t="str" cm="1">
        <f t="array" ref="R4">_xlfn.XLOOKUP(1,
  (Survey[TestPoint]=Alerts[[#This Row],[TestPoint]])*Survey[High],
  Survey[Time],
  "")</f>
        <v/>
      </c>
      <c r="S4" s="416" t="str" cm="1">
        <f t="array" ref="S4">_xlfn.XLOOKUP(1,
  (Survey[TestPoint]=Alerts[[#This Row],[TestPoint]])*Survey[Low],
  Survey[Time],
  "")</f>
        <v/>
      </c>
      <c r="T4" s="416" t="str" cm="1">
        <f t="array" ref="T4">_xlfn.XLOOKUP(1,
  (Survey[TestPoint]=Alerts[[#This Row],[TestPoint]])*Survey[OutOfTolerance],
  Survey[Time],
  "")</f>
        <v/>
      </c>
    </row>
    <row r="5" spans="1:23" x14ac:dyDescent="0.2">
      <c r="J5" s="436" t="s">
        <v>915</v>
      </c>
      <c r="K5" s="438"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416" t="str">
        <f>IFERROR(IF(OR(Alerts[[#This Row],[High]],Alerts[[#This Row],[Low]]),VALUE(Alerts[[#This Row],[High]]&amp;Alerts[[#This Row],[Low]]),Alerts[[#This Row],[Out Of Tolerance]]),"")</f>
        <v/>
      </c>
      <c r="Q5" t="b">
        <f>IF(
  Main!O8 = "",
  FALSE,
  COUNTIF(Survey[TestPoint], Alerts[[#This Row],[TestPoint]]) = 0
)</f>
        <v>0</v>
      </c>
      <c r="R5" s="416" t="str" cm="1">
        <f t="array" ref="R5">_xlfn.XLOOKUP(1,
  (Survey[TestPoint]=Alerts[[#This Row],[TestPoint]])*Survey[High],
  Survey[Time],
  "")</f>
        <v/>
      </c>
      <c r="S5" s="416" t="str" cm="1">
        <f t="array" ref="S5">_xlfn.XLOOKUP(1,
  (Survey[TestPoint]=Alerts[[#This Row],[TestPoint]])*Survey[Low],
  Survey[Time],
  "")</f>
        <v/>
      </c>
      <c r="T5" s="416" t="str" cm="1">
        <f t="array" ref="T5">_xlfn.XLOOKUP(1,
  (Survey[TestPoint]=Alerts[[#This Row],[TestPoint]])*Survey[OutOfTolerance],
  Survey[Time],
  "")</f>
        <v/>
      </c>
    </row>
    <row r="6" spans="1:23" x14ac:dyDescent="0.2">
      <c r="J6" s="432" t="s">
        <v>913</v>
      </c>
      <c r="K6" s="433">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416" t="str">
        <f>IFERROR(IF(OR(Alerts[[#This Row],[High]],Alerts[[#This Row],[Low]]),VALUE(Alerts[[#This Row],[High]]&amp;Alerts[[#This Row],[Low]]),Alerts[[#This Row],[Out Of Tolerance]]),"")</f>
        <v/>
      </c>
      <c r="Q6" t="b">
        <f>IF(
  Main!O9 = "",
  FALSE,
  COUNTIF(Survey[TestPoint], Alerts[[#This Row],[TestPoint]]) = 0
)</f>
        <v>0</v>
      </c>
      <c r="R6" s="416" t="str" cm="1">
        <f t="array" ref="R6">_xlfn.XLOOKUP(1,
  (Survey[TestPoint]=Alerts[[#This Row],[TestPoint]])*Survey[High],
  Survey[Time],
  "")</f>
        <v/>
      </c>
      <c r="S6" s="416" t="str" cm="1">
        <f t="array" ref="S6">_xlfn.XLOOKUP(1,
  (Survey[TestPoint]=Alerts[[#This Row],[TestPoint]])*Survey[Low],
  Survey[Time],
  "")</f>
        <v/>
      </c>
      <c r="T6" s="416" t="str" cm="1">
        <f t="array" ref="T6">_xlfn.XLOOKUP(1,
  (Survey[TestPoint]=Alerts[[#This Row],[TestPoint]])*Survey[OutOfTolerance],
  Survey[Time],
  "")</f>
        <v/>
      </c>
    </row>
    <row r="7" spans="1:23" x14ac:dyDescent="0.2">
      <c r="J7" s="436" t="s">
        <v>904</v>
      </c>
      <c r="K7" s="439">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416" t="str">
        <f>IFERROR(IF(OR(Alerts[[#This Row],[High]],Alerts[[#This Row],[Low]]),VALUE(Alerts[[#This Row],[High]]&amp;Alerts[[#This Row],[Low]]),Alerts[[#This Row],[Out Of Tolerance]]),"")</f>
        <v/>
      </c>
      <c r="Q7" t="b">
        <f>IF(
  Main!O10 = "",
  FALSE,
  COUNTIF(Survey[TestPoint], Alerts[[#This Row],[TestPoint]]) = 0
)</f>
        <v>0</v>
      </c>
      <c r="R7" s="416" t="str" cm="1">
        <f t="array" ref="R7">_xlfn.XLOOKUP(1,
  (Survey[TestPoint]=Alerts[[#This Row],[TestPoint]])*Survey[High],
  Survey[Time],
  "")</f>
        <v/>
      </c>
      <c r="S7" s="416" t="str" cm="1">
        <f t="array" ref="S7">_xlfn.XLOOKUP(1,
  (Survey[TestPoint]=Alerts[[#This Row],[TestPoint]])*Survey[Low],
  Survey[Time],
  "")</f>
        <v/>
      </c>
      <c r="T7" s="416" t="str" cm="1">
        <f t="array" ref="T7">_xlfn.XLOOKUP(1,
  (Survey[TestPoint]=Alerts[[#This Row],[TestPoint]])*Survey[OutOfTolerance],
  Survey[Time],
  "")</f>
        <v/>
      </c>
    </row>
    <row r="8" spans="1:23" ht="13.5" thickBot="1" x14ac:dyDescent="0.25">
      <c r="J8" s="434" t="s">
        <v>905</v>
      </c>
      <c r="K8" s="435">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416" t="str">
        <f>IFERROR(IF(OR(Alerts[[#This Row],[High]],Alerts[[#This Row],[Low]]),VALUE(Alerts[[#This Row],[High]]&amp;Alerts[[#This Row],[Low]]),Alerts[[#This Row],[Out Of Tolerance]]),"")</f>
        <v/>
      </c>
      <c r="Q8" t="b">
        <f>IF(
  Main!O11 = "",
  FALSE,
  COUNTIF(Survey[TestPoint], Alerts[[#This Row],[TestPoint]]) = 0
)</f>
        <v>0</v>
      </c>
      <c r="R8" s="416" t="str" cm="1">
        <f t="array" ref="R8">_xlfn.XLOOKUP(1,
  (Survey[TestPoint]=Alerts[[#This Row],[TestPoint]])*Survey[High],
  Survey[Time],
  "")</f>
        <v/>
      </c>
      <c r="S8" s="416" t="str" cm="1">
        <f t="array" ref="S8">_xlfn.XLOOKUP(1,
  (Survey[TestPoint]=Alerts[[#This Row],[TestPoint]])*Survey[Low],
  Survey[Time],
  "")</f>
        <v/>
      </c>
      <c r="T8" s="416" t="str" cm="1">
        <f t="array" ref="T8">_xlfn.XLOOKUP(1,
  (Survey[TestPoint]=Alerts[[#This Row],[TestPoint]])*Survey[OutOfTolerance],
  Survey[Time],
  "")</f>
        <v/>
      </c>
    </row>
    <row r="9" spans="1:23" ht="13.5" thickTop="1" x14ac:dyDescent="0.2">
      <c r="J9" s="440" t="s">
        <v>911</v>
      </c>
      <c r="K9" s="441">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416" t="str">
        <f>IFERROR(IF(OR(Alerts[[#This Row],[High]],Alerts[[#This Row],[Low]]),VALUE(Alerts[[#This Row],[High]]&amp;Alerts[[#This Row],[Low]]),Alerts[[#This Row],[Out Of Tolerance]]),"")</f>
        <v/>
      </c>
      <c r="Q9" t="b">
        <f>IF(
  Main!O12 = "",
  FALSE,
  COUNTIF(Survey[TestPoint], Alerts[[#This Row],[TestPoint]]) = 0
)</f>
        <v>0</v>
      </c>
      <c r="R9" s="416" t="str" cm="1">
        <f t="array" ref="R9">_xlfn.XLOOKUP(1,
  (Survey[TestPoint]=Alerts[[#This Row],[TestPoint]])*Survey[High],
  Survey[Time],
  "")</f>
        <v/>
      </c>
      <c r="S9" s="416" t="str" cm="1">
        <f t="array" ref="S9">_xlfn.XLOOKUP(1,
  (Survey[TestPoint]=Alerts[[#This Row],[TestPoint]])*Survey[Low],
  Survey[Time],
  "")</f>
        <v/>
      </c>
      <c r="T9" s="416" t="str" cm="1">
        <f t="array" ref="T9">_xlfn.XLOOKUP(1,
  (Survey[TestPoint]=Alerts[[#This Row],[TestPoint]])*Survey[OutOfTolerance],
  Survey[Time],
  "")</f>
        <v/>
      </c>
    </row>
    <row r="10" spans="1:23"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416" t="str">
        <f>IFERROR(IF(OR(Alerts[[#This Row],[High]],Alerts[[#This Row],[Low]]),VALUE(Alerts[[#This Row],[High]]&amp;Alerts[[#This Row],[Low]]),Alerts[[#This Row],[Out Of Tolerance]]),"")</f>
        <v/>
      </c>
      <c r="Q10" t="b">
        <f>IF(
  Main!O13 = "",
  FALSE,
  COUNTIF(Survey[TestPoint], Alerts[[#This Row],[TestPoint]]) = 0
)</f>
        <v>0</v>
      </c>
      <c r="R10" s="416" t="str" cm="1">
        <f t="array" ref="R10">_xlfn.XLOOKUP(1,
  (Survey[TestPoint]=Alerts[[#This Row],[TestPoint]])*Survey[High],
  Survey[Time],
  "")</f>
        <v/>
      </c>
      <c r="S10" s="416" t="str" cm="1">
        <f t="array" ref="S10">_xlfn.XLOOKUP(1,
  (Survey[TestPoint]=Alerts[[#This Row],[TestPoint]])*Survey[Low],
  Survey[Time],
  "")</f>
        <v/>
      </c>
      <c r="T10" s="416" t="str" cm="1">
        <f t="array" ref="T10">_xlfn.XLOOKUP(1,
  (Survey[TestPoint]=Alerts[[#This Row],[TestPoint]])*Survey[OutOfTolerance],
  Survey[Time],
  "")</f>
        <v/>
      </c>
    </row>
    <row r="11" spans="1:23"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416" t="str">
        <f>IFERROR(IF(OR(Alerts[[#This Row],[High]],Alerts[[#This Row],[Low]]),VALUE(Alerts[[#This Row],[High]]&amp;Alerts[[#This Row],[Low]]),Alerts[[#This Row],[Out Of Tolerance]]),"")</f>
        <v/>
      </c>
      <c r="Q11" t="b">
        <f>IF(
  Main!O14 = "",
  FALSE,
  COUNTIF(Survey[TestPoint], Alerts[[#This Row],[TestPoint]]) = 0
)</f>
        <v>0</v>
      </c>
      <c r="R11" s="416" t="str" cm="1">
        <f t="array" ref="R11">_xlfn.XLOOKUP(1,
  (Survey[TestPoint]=Alerts[[#This Row],[TestPoint]])*Survey[High],
  Survey[Time],
  "")</f>
        <v/>
      </c>
      <c r="S11" s="416" t="str" cm="1">
        <f t="array" ref="S11">_xlfn.XLOOKUP(1,
  (Survey[TestPoint]=Alerts[[#This Row],[TestPoint]])*Survey[Low],
  Survey[Time],
  "")</f>
        <v/>
      </c>
      <c r="T11" s="416" t="str" cm="1">
        <f t="array" ref="T11">_xlfn.XLOOKUP(1,
  (Survey[TestPoint]=Alerts[[#This Row],[TestPoint]])*Survey[OutOfTolerance],
  Survey[Time],
  "")</f>
        <v/>
      </c>
    </row>
    <row r="12" spans="1:23"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416" t="str">
        <f>IFERROR(IF(OR(Alerts[[#This Row],[High]],Alerts[[#This Row],[Low]]),VALUE(Alerts[[#This Row],[High]]&amp;Alerts[[#This Row],[Low]]),Alerts[[#This Row],[Out Of Tolerance]]),"")</f>
        <v/>
      </c>
      <c r="Q12" t="b">
        <f>IF(
  Main!O15 = "",
  FALSE,
  COUNTIF(Survey[TestPoint], Alerts[[#This Row],[TestPoint]]) = 0
)</f>
        <v>0</v>
      </c>
      <c r="R12" s="416" t="str" cm="1">
        <f t="array" ref="R12">_xlfn.XLOOKUP(1,
  (Survey[TestPoint]=Alerts[[#This Row],[TestPoint]])*Survey[High],
  Survey[Time],
  "")</f>
        <v/>
      </c>
      <c r="S12" s="416" t="str" cm="1">
        <f t="array" ref="S12">_xlfn.XLOOKUP(1,
  (Survey[TestPoint]=Alerts[[#This Row],[TestPoint]])*Survey[Low],
  Survey[Time],
  "")</f>
        <v/>
      </c>
      <c r="T12" s="416" t="str" cm="1">
        <f t="array" ref="T12">_xlfn.XLOOKUP(1,
  (Survey[TestPoint]=Alerts[[#This Row],[TestPoint]])*Survey[OutOfTolerance],
  Survey[Time],
  "")</f>
        <v/>
      </c>
    </row>
    <row r="13" spans="1:23"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416" t="str">
        <f>IFERROR(IF(OR(Alerts[[#This Row],[High]],Alerts[[#This Row],[Low]]),VALUE(Alerts[[#This Row],[High]]&amp;Alerts[[#This Row],[Low]]),Alerts[[#This Row],[Out Of Tolerance]]),"")</f>
        <v/>
      </c>
      <c r="Q13" t="b">
        <f>IF(
  Main!O16 = "",
  FALSE,
  COUNTIF(Survey[TestPoint], Alerts[[#This Row],[TestPoint]]) = 0
)</f>
        <v>0</v>
      </c>
      <c r="R13" s="416" t="str" cm="1">
        <f t="array" ref="R13">_xlfn.XLOOKUP(1,
  (Survey[TestPoint]=Alerts[[#This Row],[TestPoint]])*Survey[High],
  Survey[Time],
  "")</f>
        <v/>
      </c>
      <c r="S13" s="416" t="str" cm="1">
        <f t="array" ref="S13">_xlfn.XLOOKUP(1,
  (Survey[TestPoint]=Alerts[[#This Row],[TestPoint]])*Survey[Low],
  Survey[Time],
  "")</f>
        <v/>
      </c>
      <c r="T13" s="416" t="str" cm="1">
        <f t="array" ref="T13">_xlfn.XLOOKUP(1,
  (Survey[TestPoint]=Alerts[[#This Row],[TestPoint]])*Survey[OutOfTolerance],
  Survey[Time],
  "")</f>
        <v/>
      </c>
    </row>
    <row r="14" spans="1:23"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416" t="str">
        <f>IFERROR(IF(OR(Alerts[[#This Row],[High]],Alerts[[#This Row],[Low]]),VALUE(Alerts[[#This Row],[High]]&amp;Alerts[[#This Row],[Low]]),Alerts[[#This Row],[Out Of Tolerance]]),"")</f>
        <v/>
      </c>
      <c r="Q14" t="b">
        <f>IF(
  Main!O17 = "",
  FALSE,
  COUNTIF(Survey[TestPoint], Alerts[[#This Row],[TestPoint]]) = 0
)</f>
        <v>0</v>
      </c>
      <c r="R14" s="416" t="str" cm="1">
        <f t="array" ref="R14">_xlfn.XLOOKUP(1,
  (Survey[TestPoint]=Alerts[[#This Row],[TestPoint]])*Survey[High],
  Survey[Time],
  "")</f>
        <v/>
      </c>
      <c r="S14" s="416" t="str" cm="1">
        <f t="array" ref="S14">_xlfn.XLOOKUP(1,
  (Survey[TestPoint]=Alerts[[#This Row],[TestPoint]])*Survey[Low],
  Survey[Time],
  "")</f>
        <v/>
      </c>
      <c r="T14" s="416" t="str" cm="1">
        <f t="array" ref="T14">_xlfn.XLOOKUP(1,
  (Survey[TestPoint]=Alerts[[#This Row],[TestPoint]])*Survey[OutOfTolerance],
  Survey[Time],
  "")</f>
        <v/>
      </c>
    </row>
    <row r="15" spans="1:23"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416" t="str">
        <f>IFERROR(IF(OR(Alerts[[#This Row],[High]],Alerts[[#This Row],[Low]]),VALUE(Alerts[[#This Row],[High]]&amp;Alerts[[#This Row],[Low]]),Alerts[[#This Row],[Out Of Tolerance]]),"")</f>
        <v/>
      </c>
      <c r="Q15" t="b">
        <f>IF(
  Main!O18 = "",
  FALSE,
  COUNTIF(Survey[TestPoint], Alerts[[#This Row],[TestPoint]]) = 0
)</f>
        <v>0</v>
      </c>
      <c r="R15" s="416" t="str" cm="1">
        <f t="array" ref="R15">_xlfn.XLOOKUP(1,
  (Survey[TestPoint]=Alerts[[#This Row],[TestPoint]])*Survey[High],
  Survey[Time],
  "")</f>
        <v/>
      </c>
      <c r="S15" s="416" t="str" cm="1">
        <f t="array" ref="S15">_xlfn.XLOOKUP(1,
  (Survey[TestPoint]=Alerts[[#This Row],[TestPoint]])*Survey[Low],
  Survey[Time],
  "")</f>
        <v/>
      </c>
      <c r="T15" s="416" t="str" cm="1">
        <f t="array" ref="T15">_xlfn.XLOOKUP(1,
  (Survey[TestPoint]=Alerts[[#This Row],[TestPoint]])*Survey[OutOfTolerance],
  Survey[Time],
  "")</f>
        <v/>
      </c>
    </row>
    <row r="16" spans="1:23"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416" t="str">
        <f>IFERROR(IF(OR(Alerts[[#This Row],[High]],Alerts[[#This Row],[Low]]),VALUE(Alerts[[#This Row],[High]]&amp;Alerts[[#This Row],[Low]]),Alerts[[#This Row],[Out Of Tolerance]]),"")</f>
        <v/>
      </c>
      <c r="Q16" t="b">
        <f>IF(
  Main!O19 = "",
  FALSE,
  COUNTIF(Survey[TestPoint], Alerts[[#This Row],[TestPoint]]) = 0
)</f>
        <v>0</v>
      </c>
      <c r="R16" s="416" t="str" cm="1">
        <f t="array" ref="R16">_xlfn.XLOOKUP(1,
  (Survey[TestPoint]=Alerts[[#This Row],[TestPoint]])*Survey[High],
  Survey[Time],
  "")</f>
        <v/>
      </c>
      <c r="S16" s="416" t="str" cm="1">
        <f t="array" ref="S16">_xlfn.XLOOKUP(1,
  (Survey[TestPoint]=Alerts[[#This Row],[TestPoint]])*Survey[Low],
  Survey[Time],
  "")</f>
        <v/>
      </c>
      <c r="T16" s="416"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416" t="str">
        <f>IFERROR(IF(OR(Alerts[[#This Row],[High]],Alerts[[#This Row],[Low]]),VALUE(Alerts[[#This Row],[High]]&amp;Alerts[[#This Row],[Low]]),Alerts[[#This Row],[Out Of Tolerance]]),"")</f>
        <v/>
      </c>
      <c r="Q17" t="b">
        <f>IF(
  Main!O20 = "",
  FALSE,
  COUNTIF(Survey[TestPoint], Alerts[[#This Row],[TestPoint]]) = 0
)</f>
        <v>0</v>
      </c>
      <c r="R17" s="416" t="str" cm="1">
        <f t="array" ref="R17">_xlfn.XLOOKUP(1,
  (Survey[TestPoint]=Alerts[[#This Row],[TestPoint]])*Survey[High],
  Survey[Time],
  "")</f>
        <v/>
      </c>
      <c r="S17" s="416" t="str" cm="1">
        <f t="array" ref="S17">_xlfn.XLOOKUP(1,
  (Survey[TestPoint]=Alerts[[#This Row],[TestPoint]])*Survey[Low],
  Survey[Time],
  "")</f>
        <v/>
      </c>
      <c r="T17" s="416"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416" t="str">
        <f>IFERROR(IF(OR(Alerts[[#This Row],[High]],Alerts[[#This Row],[Low]]),VALUE(Alerts[[#This Row],[High]]&amp;Alerts[[#This Row],[Low]]),Alerts[[#This Row],[Out Of Tolerance]]),"")</f>
        <v/>
      </c>
      <c r="Q18" t="b">
        <f>IF(
  Main!O21 = "",
  FALSE,
  COUNTIF(Survey[TestPoint], Alerts[[#This Row],[TestPoint]]) = 0
)</f>
        <v>0</v>
      </c>
      <c r="R18" s="416" t="str" cm="1">
        <f t="array" ref="R18">_xlfn.XLOOKUP(1,
  (Survey[TestPoint]=Alerts[[#This Row],[TestPoint]])*Survey[High],
  Survey[Time],
  "")</f>
        <v/>
      </c>
      <c r="S18" s="416" t="str" cm="1">
        <f t="array" ref="S18">_xlfn.XLOOKUP(1,
  (Survey[TestPoint]=Alerts[[#This Row],[TestPoint]])*Survey[Low],
  Survey[Time],
  "")</f>
        <v/>
      </c>
      <c r="T18" s="416"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416" t="str">
        <f>IFERROR(IF(OR(Alerts[[#This Row],[High]],Alerts[[#This Row],[Low]]),VALUE(Alerts[[#This Row],[High]]&amp;Alerts[[#This Row],[Low]]),Alerts[[#This Row],[Out Of Tolerance]]),"")</f>
        <v/>
      </c>
      <c r="Q19" t="b">
        <f>IF(
  Main!O22 = "",
  FALSE,
  COUNTIF(Survey[TestPoint], Alerts[[#This Row],[TestPoint]]) = 0
)</f>
        <v>0</v>
      </c>
      <c r="R19" s="416" t="str" cm="1">
        <f t="array" ref="R19">_xlfn.XLOOKUP(1,
  (Survey[TestPoint]=Alerts[[#This Row],[TestPoint]])*Survey[High],
  Survey[Time],
  "")</f>
        <v/>
      </c>
      <c r="S19" s="416" t="str" cm="1">
        <f t="array" ref="S19">_xlfn.XLOOKUP(1,
  (Survey[TestPoint]=Alerts[[#This Row],[TestPoint]])*Survey[Low],
  Survey[Time],
  "")</f>
        <v/>
      </c>
      <c r="T19" s="416"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416" t="str">
        <f>IFERROR(IF(OR(Alerts[[#This Row],[High]],Alerts[[#This Row],[Low]]),VALUE(Alerts[[#This Row],[High]]&amp;Alerts[[#This Row],[Low]]),Alerts[[#This Row],[Out Of Tolerance]]),"")</f>
        <v/>
      </c>
      <c r="Q20" t="b">
        <f>IF(
  Main!O23 = "",
  FALSE,
  COUNTIF(Survey[TestPoint], Alerts[[#This Row],[TestPoint]]) = 0
)</f>
        <v>0</v>
      </c>
      <c r="R20" s="416" t="str" cm="1">
        <f t="array" ref="R20">_xlfn.XLOOKUP(1,
  (Survey[TestPoint]=Alerts[[#This Row],[TestPoint]])*Survey[High],
  Survey[Time],
  "")</f>
        <v/>
      </c>
      <c r="S20" s="416" t="str" cm="1">
        <f t="array" ref="S20">_xlfn.XLOOKUP(1,
  (Survey[TestPoint]=Alerts[[#This Row],[TestPoint]])*Survey[Low],
  Survey[Time],
  "")</f>
        <v/>
      </c>
      <c r="T20" s="416"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416" t="str">
        <f>IFERROR(IF(OR(Alerts[[#This Row],[High]],Alerts[[#This Row],[Low]]),VALUE(Alerts[[#This Row],[High]]&amp;Alerts[[#This Row],[Low]]),Alerts[[#This Row],[Out Of Tolerance]]),"")</f>
        <v/>
      </c>
      <c r="Q21" t="b">
        <f>IF(
  Main!O24 = "",
  FALSE,
  COUNTIF(Survey[TestPoint], Alerts[[#This Row],[TestPoint]]) = 0
)</f>
        <v>0</v>
      </c>
      <c r="R21" s="416" t="str" cm="1">
        <f t="array" ref="R21">_xlfn.XLOOKUP(1,
  (Survey[TestPoint]=Alerts[[#This Row],[TestPoint]])*Survey[High],
  Survey[Time],
  "")</f>
        <v/>
      </c>
      <c r="S21" s="416" t="str" cm="1">
        <f t="array" ref="S21">_xlfn.XLOOKUP(1,
  (Survey[TestPoint]=Alerts[[#This Row],[TestPoint]])*Survey[Low],
  Survey[Time],
  "")</f>
        <v/>
      </c>
      <c r="T21" s="416"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416" t="str">
        <f>IFERROR(IF(OR(Alerts[[#This Row],[High]],Alerts[[#This Row],[Low]]),VALUE(Alerts[[#This Row],[High]]&amp;Alerts[[#This Row],[Low]]),Alerts[[#This Row],[Out Of Tolerance]]),"")</f>
        <v/>
      </c>
      <c r="Q22" t="b">
        <f>IF(
  Main!O25 = "",
  FALSE,
  COUNTIF(Survey[TestPoint], Alerts[[#This Row],[TestPoint]]) = 0
)</f>
        <v>0</v>
      </c>
      <c r="R22" s="416" t="str" cm="1">
        <f t="array" ref="R22">_xlfn.XLOOKUP(1,
  (Survey[TestPoint]=Alerts[[#This Row],[TestPoint]])*Survey[High],
  Survey[Time],
  "")</f>
        <v/>
      </c>
      <c r="S22" s="416" t="str" cm="1">
        <f t="array" ref="S22">_xlfn.XLOOKUP(1,
  (Survey[TestPoint]=Alerts[[#This Row],[TestPoint]])*Survey[Low],
  Survey[Time],
  "")</f>
        <v/>
      </c>
      <c r="T22" s="416"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416" t="str">
        <f>IFERROR(IF(OR(Alerts[[#This Row],[High]],Alerts[[#This Row],[Low]]),VALUE(Alerts[[#This Row],[High]]&amp;Alerts[[#This Row],[Low]]),Alerts[[#This Row],[Out Of Tolerance]]),"")</f>
        <v/>
      </c>
      <c r="Q23" t="b">
        <f>IF(
  Main!O26 = "",
  FALSE,
  COUNTIF(Survey[TestPoint], Alerts[[#This Row],[TestPoint]]) = 0
)</f>
        <v>0</v>
      </c>
      <c r="R23" s="416" t="str" cm="1">
        <f t="array" ref="R23">_xlfn.XLOOKUP(1,
  (Survey[TestPoint]=Alerts[[#This Row],[TestPoint]])*Survey[High],
  Survey[Time],
  "")</f>
        <v/>
      </c>
      <c r="S23" s="416" t="str" cm="1">
        <f t="array" ref="S23">_xlfn.XLOOKUP(1,
  (Survey[TestPoint]=Alerts[[#This Row],[TestPoint]])*Survey[Low],
  Survey[Time],
  "")</f>
        <v/>
      </c>
      <c r="T23" s="416"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416" t="str">
        <f>IFERROR(IF(OR(Alerts[[#This Row],[High]],Alerts[[#This Row],[Low]]),VALUE(Alerts[[#This Row],[High]]&amp;Alerts[[#This Row],[Low]]),Alerts[[#This Row],[Out Of Tolerance]]),"")</f>
        <v/>
      </c>
      <c r="Q24" t="b">
        <f>IF(
  Main!O27 = "",
  FALSE,
  COUNTIF(Survey[TestPoint], Alerts[[#This Row],[TestPoint]]) = 0
)</f>
        <v>0</v>
      </c>
      <c r="R24" s="416" t="str" cm="1">
        <f t="array" ref="R24">_xlfn.XLOOKUP(1,
  (Survey[TestPoint]=Alerts[[#This Row],[TestPoint]])*Survey[High],
  Survey[Time],
  "")</f>
        <v/>
      </c>
      <c r="S24" s="416" t="str" cm="1">
        <f t="array" ref="S24">_xlfn.XLOOKUP(1,
  (Survey[TestPoint]=Alerts[[#This Row],[TestPoint]])*Survey[Low],
  Survey[Time],
  "")</f>
        <v/>
      </c>
      <c r="T24" s="416"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416" t="str">
        <f>IFERROR(IF(OR(Alerts[[#This Row],[High]],Alerts[[#This Row],[Low]]),VALUE(Alerts[[#This Row],[High]]&amp;Alerts[[#This Row],[Low]]),Alerts[[#This Row],[Out Of Tolerance]]),"")</f>
        <v/>
      </c>
      <c r="Q25" t="b">
        <f>IF(
  Main!O28 = "",
  FALSE,
  COUNTIF(Survey[TestPoint], Alerts[[#This Row],[TestPoint]]) = 0
)</f>
        <v>0</v>
      </c>
      <c r="R25" s="416" t="str" cm="1">
        <f t="array" ref="R25">_xlfn.XLOOKUP(1,
  (Survey[TestPoint]=Alerts[[#This Row],[TestPoint]])*Survey[High],
  Survey[Time],
  "")</f>
        <v/>
      </c>
      <c r="S25" s="416" t="str" cm="1">
        <f t="array" ref="S25">_xlfn.XLOOKUP(1,
  (Survey[TestPoint]=Alerts[[#This Row],[TestPoint]])*Survey[Low],
  Survey[Time],
  "")</f>
        <v/>
      </c>
      <c r="T25" s="416"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416" t="str">
        <f>IFERROR(IF(OR(Alerts[[#This Row],[High]],Alerts[[#This Row],[Low]]),VALUE(Alerts[[#This Row],[High]]&amp;Alerts[[#This Row],[Low]]),Alerts[[#This Row],[Out Of Tolerance]]),"")</f>
        <v/>
      </c>
      <c r="Q26" t="b">
        <f>IF(
  Main!O29 = "",
  FALSE,
  COUNTIF(Survey[TestPoint], Alerts[[#This Row],[TestPoint]]) = 0
)</f>
        <v>0</v>
      </c>
      <c r="R26" s="416" t="str" cm="1">
        <f t="array" ref="R26">_xlfn.XLOOKUP(1,
  (Survey[TestPoint]=Alerts[[#This Row],[TestPoint]])*Survey[High],
  Survey[Time],
  "")</f>
        <v/>
      </c>
      <c r="S26" s="416" t="str" cm="1">
        <f t="array" ref="S26">_xlfn.XLOOKUP(1,
  (Survey[TestPoint]=Alerts[[#This Row],[TestPoint]])*Survey[Low],
  Survey[Time],
  "")</f>
        <v/>
      </c>
      <c r="T26" s="416"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416" t="str">
        <f>IFERROR(IF(OR(Alerts[[#This Row],[High]],Alerts[[#This Row],[Low]]),VALUE(Alerts[[#This Row],[High]]&amp;Alerts[[#This Row],[Low]]),Alerts[[#This Row],[Out Of Tolerance]]),"")</f>
        <v/>
      </c>
      <c r="Q27" t="b">
        <f>IF(
  Main!O30 = "",
  FALSE,
  COUNTIF(Survey[TestPoint], Alerts[[#This Row],[TestPoint]]) = 0
)</f>
        <v>0</v>
      </c>
      <c r="R27" s="416" t="str" cm="1">
        <f t="array" ref="R27">_xlfn.XLOOKUP(1,
  (Survey[TestPoint]=Alerts[[#This Row],[TestPoint]])*Survey[High],
  Survey[Time],
  "")</f>
        <v/>
      </c>
      <c r="S27" s="416" t="str" cm="1">
        <f t="array" ref="S27">_xlfn.XLOOKUP(1,
  (Survey[TestPoint]=Alerts[[#This Row],[TestPoint]])*Survey[Low],
  Survey[Time],
  "")</f>
        <v/>
      </c>
      <c r="T27" s="416"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416" t="str">
        <f>IFERROR(IF(OR(Alerts[[#This Row],[High]],Alerts[[#This Row],[Low]]),VALUE(Alerts[[#This Row],[High]]&amp;Alerts[[#This Row],[Low]]),Alerts[[#This Row],[Out Of Tolerance]]),"")</f>
        <v/>
      </c>
      <c r="Q28" t="b">
        <f>IF(
  Main!O31 = "",
  FALSE,
  COUNTIF(Survey[TestPoint], Alerts[[#This Row],[TestPoint]]) = 0
)</f>
        <v>0</v>
      </c>
      <c r="R28" s="416" t="str" cm="1">
        <f t="array" ref="R28">_xlfn.XLOOKUP(1,
  (Survey[TestPoint]=Alerts[[#This Row],[TestPoint]])*Survey[High],
  Survey[Time],
  "")</f>
        <v/>
      </c>
      <c r="S28" s="416" t="str" cm="1">
        <f t="array" ref="S28">_xlfn.XLOOKUP(1,
  (Survey[TestPoint]=Alerts[[#This Row],[TestPoint]])*Survey[Low],
  Survey[Time],
  "")</f>
        <v/>
      </c>
      <c r="T28" s="416"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416" t="str">
        <f>IFERROR(IF(OR(Alerts[[#This Row],[High]],Alerts[[#This Row],[Low]]),VALUE(Alerts[[#This Row],[High]]&amp;Alerts[[#This Row],[Low]]),Alerts[[#This Row],[Out Of Tolerance]]),"")</f>
        <v/>
      </c>
      <c r="Q29" t="b">
        <f>IF(
  Main!O32 = "",
  FALSE,
  COUNTIF(Survey[TestPoint], Alerts[[#This Row],[TestPoint]]) = 0
)</f>
        <v>0</v>
      </c>
      <c r="R29" s="416" t="str" cm="1">
        <f t="array" ref="R29">_xlfn.XLOOKUP(1,
  (Survey[TestPoint]=Alerts[[#This Row],[TestPoint]])*Survey[High],
  Survey[Time],
  "")</f>
        <v/>
      </c>
      <c r="S29" s="416" t="str" cm="1">
        <f t="array" ref="S29">_xlfn.XLOOKUP(1,
  (Survey[TestPoint]=Alerts[[#This Row],[TestPoint]])*Survey[Low],
  Survey[Time],
  "")</f>
        <v/>
      </c>
      <c r="T29" s="416"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416" t="str">
        <f>IFERROR(IF(OR(Alerts[[#This Row],[High]],Alerts[[#This Row],[Low]]),VALUE(Alerts[[#This Row],[High]]&amp;Alerts[[#This Row],[Low]]),Alerts[[#This Row],[Out Of Tolerance]]),"")</f>
        <v/>
      </c>
      <c r="Q30" t="b">
        <f>IF(
  Main!O33 = "",
  FALSE,
  COUNTIF(Survey[TestPoint], Alerts[[#This Row],[TestPoint]]) = 0
)</f>
        <v>0</v>
      </c>
      <c r="R30" s="416" t="str" cm="1">
        <f t="array" ref="R30">_xlfn.XLOOKUP(1,
  (Survey[TestPoint]=Alerts[[#This Row],[TestPoint]])*Survey[High],
  Survey[Time],
  "")</f>
        <v/>
      </c>
      <c r="S30" s="416" t="str" cm="1">
        <f t="array" ref="S30">_xlfn.XLOOKUP(1,
  (Survey[TestPoint]=Alerts[[#This Row],[TestPoint]])*Survey[Low],
  Survey[Time],
  "")</f>
        <v/>
      </c>
      <c r="T30" s="416"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416" t="str">
        <f>IFERROR(IF(OR(Alerts[[#This Row],[High]],Alerts[[#This Row],[Low]]),VALUE(Alerts[[#This Row],[High]]&amp;Alerts[[#This Row],[Low]]),Alerts[[#This Row],[Out Of Tolerance]]),"")</f>
        <v/>
      </c>
      <c r="Q31" t="b">
        <f>IF(
  Main!O34 = "",
  FALSE,
  COUNTIF(Survey[TestPoint], Alerts[[#This Row],[TestPoint]]) = 0
)</f>
        <v>0</v>
      </c>
      <c r="R31" s="416" t="str" cm="1">
        <f t="array" ref="R31">_xlfn.XLOOKUP(1,
  (Survey[TestPoint]=Alerts[[#This Row],[TestPoint]])*Survey[High],
  Survey[Time],
  "")</f>
        <v/>
      </c>
      <c r="S31" s="416" t="str" cm="1">
        <f t="array" ref="S31">_xlfn.XLOOKUP(1,
  (Survey[TestPoint]=Alerts[[#This Row],[TestPoint]])*Survey[Low],
  Survey[Time],
  "")</f>
        <v/>
      </c>
      <c r="T31" s="416"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416" t="str">
        <f>IFERROR(IF(OR(Alerts[[#This Row],[High]],Alerts[[#This Row],[Low]]),VALUE(Alerts[[#This Row],[High]]&amp;Alerts[[#This Row],[Low]]),Alerts[[#This Row],[Out Of Tolerance]]),"")</f>
        <v/>
      </c>
      <c r="Q32" t="b">
        <f>IF(
  Main!O35 = "",
  FALSE,
  COUNTIF(Survey[TestPoint], Alerts[[#This Row],[TestPoint]]) = 0
)</f>
        <v>0</v>
      </c>
      <c r="R32" s="416" t="str" cm="1">
        <f t="array" ref="R32">_xlfn.XLOOKUP(1,
  (Survey[TestPoint]=Alerts[[#This Row],[TestPoint]])*Survey[High],
  Survey[Time],
  "")</f>
        <v/>
      </c>
      <c r="S32" s="416" t="str" cm="1">
        <f t="array" ref="S32">_xlfn.XLOOKUP(1,
  (Survey[TestPoint]=Alerts[[#This Row],[TestPoint]])*Survey[Low],
  Survey[Time],
  "")</f>
        <v/>
      </c>
      <c r="T32" s="416"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416" t="str">
        <f>IFERROR(IF(OR(Alerts[[#This Row],[High]],Alerts[[#This Row],[Low]]),VALUE(Alerts[[#This Row],[High]]&amp;Alerts[[#This Row],[Low]]),Alerts[[#This Row],[Out Of Tolerance]]),"")</f>
        <v/>
      </c>
      <c r="Q33" t="b">
        <f>IF(
  Main!O36 = "",
  FALSE,
  COUNTIF(Survey[TestPoint], Alerts[[#This Row],[TestPoint]]) = 0
)</f>
        <v>0</v>
      </c>
      <c r="R33" s="416" t="str" cm="1">
        <f t="array" ref="R33">_xlfn.XLOOKUP(1,
  (Survey[TestPoint]=Alerts[[#This Row],[TestPoint]])*Survey[High],
  Survey[Time],
  "")</f>
        <v/>
      </c>
      <c r="S33" s="416" t="str" cm="1">
        <f t="array" ref="S33">_xlfn.XLOOKUP(1,
  (Survey[TestPoint]=Alerts[[#This Row],[TestPoint]])*Survey[Low],
  Survey[Time],
  "")</f>
        <v/>
      </c>
      <c r="T33" s="416"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416" t="str">
        <f>IFERROR(IF(OR(Alerts[[#This Row],[High]],Alerts[[#This Row],[Low]]),VALUE(Alerts[[#This Row],[High]]&amp;Alerts[[#This Row],[Low]]),Alerts[[#This Row],[Out Of Tolerance]]),"")</f>
        <v/>
      </c>
      <c r="Q34" t="b">
        <f>IF(
  Main!O37 = "",
  FALSE,
  COUNTIF(Survey[TestPoint], Alerts[[#This Row],[TestPoint]]) = 0
)</f>
        <v>0</v>
      </c>
      <c r="R34" s="416" t="str" cm="1">
        <f t="array" ref="R34">_xlfn.XLOOKUP(1,
  (Survey[TestPoint]=Alerts[[#This Row],[TestPoint]])*Survey[High],
  Survey[Time],
  "")</f>
        <v/>
      </c>
      <c r="S34" s="416" t="str" cm="1">
        <f t="array" ref="S34">_xlfn.XLOOKUP(1,
  (Survey[TestPoint]=Alerts[[#This Row],[TestPoint]])*Survey[Low],
  Survey[Time],
  "")</f>
        <v/>
      </c>
      <c r="T34" s="416"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416" t="str">
        <f>IFERROR(IF(OR(Alerts[[#This Row],[High]],Alerts[[#This Row],[Low]]),VALUE(Alerts[[#This Row],[High]]&amp;Alerts[[#This Row],[Low]]),Alerts[[#This Row],[Out Of Tolerance]]),"")</f>
        <v/>
      </c>
      <c r="Q35" t="b">
        <f>IF(
  Main!O38 = "",
  FALSE,
  COUNTIF(Survey[TestPoint], Alerts[[#This Row],[TestPoint]]) = 0
)</f>
        <v>0</v>
      </c>
      <c r="R35" s="416" t="str" cm="1">
        <f t="array" ref="R35">_xlfn.XLOOKUP(1,
  (Survey[TestPoint]=Alerts[[#This Row],[TestPoint]])*Survey[High],
  Survey[Time],
  "")</f>
        <v/>
      </c>
      <c r="S35" s="416" t="str" cm="1">
        <f t="array" ref="S35">_xlfn.XLOOKUP(1,
  (Survey[TestPoint]=Alerts[[#This Row],[TestPoint]])*Survey[Low],
  Survey[Time],
  "")</f>
        <v/>
      </c>
      <c r="T35" s="416"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416" t="str">
        <f>IFERROR(IF(OR(Alerts[[#This Row],[High]],Alerts[[#This Row],[Low]]),VALUE(Alerts[[#This Row],[High]]&amp;Alerts[[#This Row],[Low]]),Alerts[[#This Row],[Out Of Tolerance]]),"")</f>
        <v/>
      </c>
      <c r="Q36" t="b">
        <f>IF(
  Main!O39 = "",
  FALSE,
  COUNTIF(Survey[TestPoint], Alerts[[#This Row],[TestPoint]]) = 0
)</f>
        <v>0</v>
      </c>
      <c r="R36" s="416" t="str" cm="1">
        <f t="array" ref="R36">_xlfn.XLOOKUP(1,
  (Survey[TestPoint]=Alerts[[#This Row],[TestPoint]])*Survey[High],
  Survey[Time],
  "")</f>
        <v/>
      </c>
      <c r="S36" s="416" t="str" cm="1">
        <f t="array" ref="S36">_xlfn.XLOOKUP(1,
  (Survey[TestPoint]=Alerts[[#This Row],[TestPoint]])*Survey[Low],
  Survey[Time],
  "")</f>
        <v/>
      </c>
      <c r="T36" s="416"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416" t="str">
        <f>IFERROR(IF(OR(Alerts[[#This Row],[High]],Alerts[[#This Row],[Low]]),VALUE(Alerts[[#This Row],[High]]&amp;Alerts[[#This Row],[Low]]),Alerts[[#This Row],[Out Of Tolerance]]),"")</f>
        <v/>
      </c>
      <c r="Q37" t="b">
        <f>IF(
  Main!O40 = "",
  FALSE,
  COUNTIF(Survey[TestPoint], Alerts[[#This Row],[TestPoint]]) = 0
)</f>
        <v>0</v>
      </c>
      <c r="R37" s="416" t="str" cm="1">
        <f t="array" ref="R37">_xlfn.XLOOKUP(1,
  (Survey[TestPoint]=Alerts[[#This Row],[TestPoint]])*Survey[High],
  Survey[Time],
  "")</f>
        <v/>
      </c>
      <c r="S37" s="416" t="str" cm="1">
        <f t="array" ref="S37">_xlfn.XLOOKUP(1,
  (Survey[TestPoint]=Alerts[[#This Row],[TestPoint]])*Survey[Low],
  Survey[Time],
  "")</f>
        <v/>
      </c>
      <c r="T37" s="416"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416" t="str">
        <f>IFERROR(IF(OR(Alerts[[#This Row],[High]],Alerts[[#This Row],[Low]]),VALUE(Alerts[[#This Row],[High]]&amp;Alerts[[#This Row],[Low]]),Alerts[[#This Row],[Out Of Tolerance]]),"")</f>
        <v/>
      </c>
      <c r="Q38" t="b">
        <f>IF(
  Main!O41 = "",
  FALSE,
  COUNTIF(Survey[TestPoint], Alerts[[#This Row],[TestPoint]]) = 0
)</f>
        <v>0</v>
      </c>
      <c r="R38" s="416" t="str" cm="1">
        <f t="array" ref="R38">_xlfn.XLOOKUP(1,
  (Survey[TestPoint]=Alerts[[#This Row],[TestPoint]])*Survey[High],
  Survey[Time],
  "")</f>
        <v/>
      </c>
      <c r="S38" s="416" t="str" cm="1">
        <f t="array" ref="S38">_xlfn.XLOOKUP(1,
  (Survey[TestPoint]=Alerts[[#This Row],[TestPoint]])*Survey[Low],
  Survey[Time],
  "")</f>
        <v/>
      </c>
      <c r="T38" s="416"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416" t="str">
        <f>IFERROR(IF(OR(Alerts[[#This Row],[High]],Alerts[[#This Row],[Low]]),VALUE(Alerts[[#This Row],[High]]&amp;Alerts[[#This Row],[Low]]),Alerts[[#This Row],[Out Of Tolerance]]),"")</f>
        <v/>
      </c>
      <c r="Q39" t="b">
        <f>IF(
  Main!O42 = "",
  FALSE,
  COUNTIF(Survey[TestPoint], Alerts[[#This Row],[TestPoint]]) = 0
)</f>
        <v>0</v>
      </c>
      <c r="R39" s="416" t="str" cm="1">
        <f t="array" ref="R39">_xlfn.XLOOKUP(1,
  (Survey[TestPoint]=Alerts[[#This Row],[TestPoint]])*Survey[High],
  Survey[Time],
  "")</f>
        <v/>
      </c>
      <c r="S39" s="416" t="str" cm="1">
        <f t="array" ref="S39">_xlfn.XLOOKUP(1,
  (Survey[TestPoint]=Alerts[[#This Row],[TestPoint]])*Survey[Low],
  Survey[Time],
  "")</f>
        <v/>
      </c>
      <c r="T39" s="416"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416" t="str">
        <f>IFERROR(IF(OR(Alerts[[#This Row],[High]],Alerts[[#This Row],[Low]]),VALUE(Alerts[[#This Row],[High]]&amp;Alerts[[#This Row],[Low]]),Alerts[[#This Row],[Out Of Tolerance]]),"")</f>
        <v/>
      </c>
      <c r="Q40" t="b">
        <f>IF(
  Main!O43 = "",
  FALSE,
  COUNTIF(Survey[TestPoint], Alerts[[#This Row],[TestPoint]]) = 0
)</f>
        <v>0</v>
      </c>
      <c r="R40" s="416" t="str" cm="1">
        <f t="array" ref="R40">_xlfn.XLOOKUP(1,
  (Survey[TestPoint]=Alerts[[#This Row],[TestPoint]])*Survey[High],
  Survey[Time],
  "")</f>
        <v/>
      </c>
      <c r="S40" s="416" t="str" cm="1">
        <f t="array" ref="S40">_xlfn.XLOOKUP(1,
  (Survey[TestPoint]=Alerts[[#This Row],[TestPoint]])*Survey[Low],
  Survey[Time],
  "")</f>
        <v/>
      </c>
      <c r="T40" s="416"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416" t="str">
        <f>IFERROR(IF(OR(Alerts[[#This Row],[High]],Alerts[[#This Row],[Low]]),VALUE(Alerts[[#This Row],[High]]&amp;Alerts[[#This Row],[Low]]),Alerts[[#This Row],[Out Of Tolerance]]),"")</f>
        <v/>
      </c>
      <c r="Q41" t="b">
        <f>IF(
  Main!O44 = "",
  FALSE,
  COUNTIF(Survey[TestPoint], Alerts[[#This Row],[TestPoint]]) = 0
)</f>
        <v>0</v>
      </c>
      <c r="R41" s="416" t="str" cm="1">
        <f t="array" ref="R41">_xlfn.XLOOKUP(1,
  (Survey[TestPoint]=Alerts[[#This Row],[TestPoint]])*Survey[High],
  Survey[Time],
  "")</f>
        <v/>
      </c>
      <c r="S41" s="416" t="str" cm="1">
        <f t="array" ref="S41">_xlfn.XLOOKUP(1,
  (Survey[TestPoint]=Alerts[[#This Row],[TestPoint]])*Survey[Low],
  Survey[Time],
  "")</f>
        <v/>
      </c>
      <c r="T41" s="416"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9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94" t="s">
        <v>967</v>
      </c>
      <c r="J1" s="494" t="s">
        <v>897</v>
      </c>
      <c r="K1" s="494" t="s">
        <v>966</v>
      </c>
      <c r="M1" s="494" t="s">
        <v>967</v>
      </c>
      <c r="N1" s="494" t="s">
        <v>1252</v>
      </c>
      <c r="O1" s="494" t="s">
        <v>1253</v>
      </c>
      <c r="P1" s="494" t="s">
        <v>89</v>
      </c>
      <c r="Q1" s="494" t="s">
        <v>987</v>
      </c>
      <c r="R1" s="494" t="s">
        <v>1249</v>
      </c>
      <c r="S1" s="494" t="s">
        <v>1250</v>
      </c>
      <c r="T1" s="494" t="s">
        <v>1251</v>
      </c>
      <c r="W1" t="s">
        <v>1066</v>
      </c>
      <c r="X1" t="s">
        <v>1065</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9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95"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968</v>
      </c>
      <c r="X2" t="s">
        <v>196</v>
      </c>
    </row>
    <row r="3" spans="1:24" x14ac:dyDescent="0.2">
      <c r="A3"/>
      <c r="B3"/>
      <c r="C3"/>
      <c r="D3"/>
      <c r="E3"/>
      <c r="F3" t="str">
        <f>LEFT(AllDaqbookOffsets[[#This Row],[traceability_no]],2)</f>
        <v>J1</v>
      </c>
      <c r="M3">
        <v>2</v>
      </c>
      <c r="N3" s="49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95"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969</v>
      </c>
      <c r="X3" t="s">
        <v>196</v>
      </c>
    </row>
    <row r="4" spans="1:24" x14ac:dyDescent="0.2">
      <c r="A4"/>
      <c r="B4"/>
      <c r="C4"/>
      <c r="D4"/>
      <c r="E4"/>
      <c r="F4" t="str">
        <f>LEFT(AllDaqbookOffsets[[#This Row],[traceability_no]],2)</f>
        <v>J1</v>
      </c>
      <c r="M4">
        <v>3</v>
      </c>
      <c r="N4" s="49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95"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970</v>
      </c>
      <c r="X4" t="s">
        <v>196</v>
      </c>
    </row>
    <row r="5" spans="1:24" x14ac:dyDescent="0.2">
      <c r="A5"/>
      <c r="B5"/>
      <c r="C5"/>
      <c r="D5"/>
      <c r="E5"/>
      <c r="F5" t="str">
        <f>LEFT(AllDaqbookOffsets[[#This Row],[traceability_no]],2)</f>
        <v>J1</v>
      </c>
      <c r="M5">
        <v>4</v>
      </c>
      <c r="N5" s="49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95"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971</v>
      </c>
      <c r="X5" t="s">
        <v>196</v>
      </c>
    </row>
    <row r="6" spans="1:24" x14ac:dyDescent="0.2">
      <c r="A6"/>
      <c r="B6"/>
      <c r="C6"/>
      <c r="D6"/>
      <c r="E6"/>
      <c r="F6" t="str">
        <f>LEFT(AllDaqbookOffsets[[#This Row],[traceability_no]],2)</f>
        <v>J1</v>
      </c>
      <c r="M6">
        <v>5</v>
      </c>
      <c r="N6" s="49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95"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972</v>
      </c>
      <c r="X6" t="s">
        <v>196</v>
      </c>
    </row>
    <row r="7" spans="1:24" x14ac:dyDescent="0.2">
      <c r="A7"/>
      <c r="B7"/>
      <c r="C7"/>
      <c r="D7"/>
      <c r="E7"/>
      <c r="F7" t="str">
        <f>LEFT(AllDaqbookOffsets[[#This Row],[traceability_no]],2)</f>
        <v>J1</v>
      </c>
      <c r="M7">
        <v>6</v>
      </c>
      <c r="N7" s="49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95"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973</v>
      </c>
      <c r="X7" t="s">
        <v>196</v>
      </c>
    </row>
    <row r="8" spans="1:24" x14ac:dyDescent="0.2">
      <c r="A8"/>
      <c r="B8"/>
      <c r="C8"/>
      <c r="D8"/>
      <c r="E8"/>
      <c r="F8" t="str">
        <f>LEFT(AllDaqbookOffsets[[#This Row],[traceability_no]],2)</f>
        <v>J1</v>
      </c>
      <c r="M8">
        <v>7</v>
      </c>
      <c r="N8" s="49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95" t="e" cm="1">
        <f t="array" ref="O8">IF(DaqbookInterp[[#This Row],[Include]],QRound(N8),NA())</f>
        <v>#N/A</v>
      </c>
      <c r="P8" t="e">
        <f>IF(DaqbookInterp[[#This Row],[Include]],Main!O11, NA())</f>
        <v>#N/A</v>
      </c>
      <c r="Q8" s="497" t="b">
        <f>NOT(ISBLANK(Main!O11))</f>
        <v>0</v>
      </c>
      <c r="R8" t="e">
        <f>LOOKUP(DaqbookInterp[[#This Row],[T/C Name]],WireSNs[])</f>
        <v>#N/A</v>
      </c>
      <c r="S8" t="e">
        <f>HLOOKUP(DaqbookInterp[[#This Row],[WireSet]],Main!$D$48:$I$55,8,0)</f>
        <v>#N/A</v>
      </c>
      <c r="T8" t="e">
        <f>_xlfn.XLOOKUP(DaqbookInterp[[#This Row],[Wire Lot '#]],Interp!$B$11:$B$16,Interp!$D$11:$D$16)</f>
        <v>#N/A</v>
      </c>
      <c r="W8" t="s">
        <v>974</v>
      </c>
      <c r="X8" t="s">
        <v>196</v>
      </c>
    </row>
    <row r="9" spans="1:24" x14ac:dyDescent="0.2">
      <c r="A9"/>
      <c r="B9"/>
      <c r="C9"/>
      <c r="D9"/>
      <c r="E9"/>
      <c r="F9" t="str">
        <f>LEFT(AllDaqbookOffsets[[#This Row],[traceability_no]],2)</f>
        <v>J1</v>
      </c>
      <c r="M9">
        <v>8</v>
      </c>
      <c r="N9" s="49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95" t="e" cm="1">
        <f t="array" ref="O9">IF(DaqbookInterp[[#This Row],[Include]],QRound(N9),NA())</f>
        <v>#N/A</v>
      </c>
      <c r="P9" s="497"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975</v>
      </c>
      <c r="X9" t="s">
        <v>196</v>
      </c>
    </row>
    <row r="10" spans="1:24" x14ac:dyDescent="0.2">
      <c r="A10"/>
      <c r="B10"/>
      <c r="C10"/>
      <c r="D10"/>
      <c r="E10"/>
      <c r="F10" t="str">
        <f>LEFT(AllDaqbookOffsets[[#This Row],[traceability_no]],2)</f>
        <v>J1</v>
      </c>
      <c r="M10">
        <v>9</v>
      </c>
      <c r="N10" s="49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95"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976</v>
      </c>
      <c r="X10" t="s">
        <v>196</v>
      </c>
    </row>
    <row r="11" spans="1:24" x14ac:dyDescent="0.2">
      <c r="A11"/>
      <c r="B11"/>
      <c r="C11"/>
      <c r="D11"/>
      <c r="E11"/>
      <c r="F11" t="str">
        <f>LEFT(AllDaqbookOffsets[[#This Row],[traceability_no]],2)</f>
        <v>J1</v>
      </c>
      <c r="M11">
        <v>10</v>
      </c>
      <c r="N11" s="49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95" t="e" cm="1">
        <f t="array" ref="O11">IF(DaqbookInterp[[#This Row],[Include]],QRound(N11),NA())</f>
        <v>#N/A</v>
      </c>
      <c r="P11" t="e">
        <f>IF(DaqbookInterp[[#This Row],[Include]],Main!O14, NA())</f>
        <v>#N/A</v>
      </c>
      <c r="Q11" s="497" t="b">
        <f>NOT(ISBLANK(Main!O14))</f>
        <v>0</v>
      </c>
      <c r="R11" t="e">
        <f>LOOKUP(DaqbookInterp[[#This Row],[T/C Name]],WireSNs[])</f>
        <v>#N/A</v>
      </c>
      <c r="S11" t="e">
        <f>HLOOKUP(DaqbookInterp[[#This Row],[WireSet]],Main!$D$48:$I$55,8,0)</f>
        <v>#N/A</v>
      </c>
      <c r="T11" t="e">
        <f>_xlfn.XLOOKUP(DaqbookInterp[[#This Row],[Wire Lot '#]],Interp!$B$11:$B$16,Interp!$D$11:$D$16)</f>
        <v>#N/A</v>
      </c>
      <c r="W11" t="s">
        <v>977</v>
      </c>
      <c r="X11" t="s">
        <v>196</v>
      </c>
    </row>
    <row r="12" spans="1:24" x14ac:dyDescent="0.2">
      <c r="A12"/>
      <c r="B12"/>
      <c r="C12"/>
      <c r="D12"/>
      <c r="E12"/>
      <c r="F12" t="str">
        <f>LEFT(AllDaqbookOffsets[[#This Row],[traceability_no]],2)</f>
        <v>J1</v>
      </c>
      <c r="M12">
        <v>11</v>
      </c>
      <c r="N12" s="49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95"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980</v>
      </c>
      <c r="X12" t="s">
        <v>197</v>
      </c>
    </row>
    <row r="13" spans="1:24" x14ac:dyDescent="0.2">
      <c r="A13"/>
      <c r="B13"/>
      <c r="C13"/>
      <c r="D13"/>
      <c r="E13"/>
      <c r="F13" t="str">
        <f>LEFT(AllDaqbookOffsets[[#This Row],[traceability_no]],2)</f>
        <v>J1</v>
      </c>
      <c r="M13">
        <v>12</v>
      </c>
      <c r="N13" s="49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95"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981</v>
      </c>
      <c r="X13" t="s">
        <v>197</v>
      </c>
    </row>
    <row r="14" spans="1:24" x14ac:dyDescent="0.2">
      <c r="A14"/>
      <c r="B14"/>
      <c r="C14"/>
      <c r="D14"/>
      <c r="E14"/>
      <c r="F14" t="str">
        <f>LEFT(AllDaqbookOffsets[[#This Row],[traceability_no]],2)</f>
        <v>J1</v>
      </c>
      <c r="M14">
        <v>13</v>
      </c>
      <c r="N14" s="49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95"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982</v>
      </c>
      <c r="X14" t="s">
        <v>197</v>
      </c>
    </row>
    <row r="15" spans="1:24" x14ac:dyDescent="0.2">
      <c r="A15"/>
      <c r="B15"/>
      <c r="C15"/>
      <c r="D15"/>
      <c r="E15"/>
      <c r="F15" t="str">
        <f>LEFT(AllDaqbookOffsets[[#This Row],[traceability_no]],2)</f>
        <v>J1</v>
      </c>
      <c r="M15">
        <v>14</v>
      </c>
      <c r="N15" s="49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95"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983</v>
      </c>
      <c r="X15" t="s">
        <v>197</v>
      </c>
    </row>
    <row r="16" spans="1:24" x14ac:dyDescent="0.2">
      <c r="A16"/>
      <c r="B16"/>
      <c r="C16"/>
      <c r="D16"/>
      <c r="E16"/>
      <c r="F16" t="str">
        <f>LEFT(AllDaqbookOffsets[[#This Row],[traceability_no]],2)</f>
        <v>J1</v>
      </c>
      <c r="M16">
        <v>15</v>
      </c>
      <c r="N16" s="49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95"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984</v>
      </c>
      <c r="X16" t="s">
        <v>197</v>
      </c>
    </row>
    <row r="17" spans="1:24" x14ac:dyDescent="0.2">
      <c r="A17"/>
      <c r="B17"/>
      <c r="C17"/>
      <c r="D17"/>
      <c r="E17"/>
      <c r="F17" t="str">
        <f>LEFT(AllDaqbookOffsets[[#This Row],[traceability_no]],2)</f>
        <v>J1</v>
      </c>
      <c r="M17">
        <v>16</v>
      </c>
      <c r="N17" s="49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95"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985</v>
      </c>
      <c r="X17" t="s">
        <v>197</v>
      </c>
    </row>
    <row r="18" spans="1:24" x14ac:dyDescent="0.2">
      <c r="A18"/>
      <c r="B18"/>
      <c r="C18"/>
      <c r="D18"/>
      <c r="E18"/>
      <c r="F18" t="str">
        <f>LEFT(AllDaqbookOffsets[[#This Row],[traceability_no]],2)</f>
        <v>J1</v>
      </c>
      <c r="M18">
        <v>17</v>
      </c>
      <c r="N18" s="49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95"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986</v>
      </c>
      <c r="X18" t="s">
        <v>197</v>
      </c>
    </row>
    <row r="19" spans="1:24" x14ac:dyDescent="0.2">
      <c r="A19"/>
      <c r="B19"/>
      <c r="C19"/>
      <c r="D19"/>
      <c r="E19"/>
      <c r="F19" t="str">
        <f>LEFT(AllDaqbookOffsets[[#This Row],[traceability_no]],2)</f>
        <v>J1</v>
      </c>
      <c r="M19">
        <v>18</v>
      </c>
      <c r="N19" s="49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95"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1000</v>
      </c>
      <c r="X19" t="s">
        <v>197</v>
      </c>
    </row>
    <row r="20" spans="1:24" x14ac:dyDescent="0.2">
      <c r="A20"/>
      <c r="B20"/>
      <c r="C20"/>
      <c r="D20"/>
      <c r="E20"/>
      <c r="F20" t="str">
        <f>LEFT(AllDaqbookOffsets[[#This Row],[traceability_no]],2)</f>
        <v>J1</v>
      </c>
      <c r="M20">
        <v>19</v>
      </c>
      <c r="N20" s="49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95"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1001</v>
      </c>
      <c r="X20" t="s">
        <v>197</v>
      </c>
    </row>
    <row r="21" spans="1:24" x14ac:dyDescent="0.2">
      <c r="A21"/>
      <c r="B21"/>
      <c r="C21"/>
      <c r="D21"/>
      <c r="E21"/>
      <c r="F21" t="str">
        <f>LEFT(AllDaqbookOffsets[[#This Row],[traceability_no]],2)</f>
        <v>J1</v>
      </c>
      <c r="M21">
        <v>20</v>
      </c>
      <c r="N21" s="49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95" t="e" cm="1">
        <f t="array" ref="O21">IF(DaqbookInterp[[#This Row],[Include]],QRound(N21),NA())</f>
        <v>#N/A</v>
      </c>
      <c r="P21" s="497"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978</v>
      </c>
      <c r="X21" t="s">
        <v>196</v>
      </c>
    </row>
    <row r="22" spans="1:24" x14ac:dyDescent="0.2">
      <c r="A22"/>
      <c r="B22"/>
      <c r="C22"/>
      <c r="D22"/>
      <c r="E22"/>
      <c r="F22" t="str">
        <f>LEFT(AllDaqbookOffsets[[#This Row],[traceability_no]],2)</f>
        <v>J1</v>
      </c>
      <c r="M22">
        <v>21</v>
      </c>
      <c r="N22" s="49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95"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1002</v>
      </c>
      <c r="X22" t="s">
        <v>197</v>
      </c>
    </row>
    <row r="23" spans="1:24" x14ac:dyDescent="0.2">
      <c r="A23"/>
      <c r="B23"/>
      <c r="C23"/>
      <c r="D23"/>
      <c r="E23"/>
      <c r="F23" t="str">
        <f>LEFT(AllDaqbookOffsets[[#This Row],[traceability_no]],2)</f>
        <v>J1</v>
      </c>
      <c r="M23">
        <v>22</v>
      </c>
      <c r="N23" s="49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95"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1003</v>
      </c>
      <c r="X23" t="s">
        <v>198</v>
      </c>
    </row>
    <row r="24" spans="1:24" x14ac:dyDescent="0.2">
      <c r="A24"/>
      <c r="B24"/>
      <c r="C24"/>
      <c r="D24"/>
      <c r="E24"/>
      <c r="F24" t="str">
        <f>LEFT(AllDaqbookOffsets[[#This Row],[traceability_no]],2)</f>
        <v>J1</v>
      </c>
      <c r="M24">
        <v>23</v>
      </c>
      <c r="N24" s="49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95"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1004</v>
      </c>
      <c r="X24" t="s">
        <v>198</v>
      </c>
    </row>
    <row r="25" spans="1:24" x14ac:dyDescent="0.2">
      <c r="A25"/>
      <c r="B25"/>
      <c r="C25"/>
      <c r="D25"/>
      <c r="E25"/>
      <c r="F25" t="str">
        <f>LEFT(AllDaqbookOffsets[[#This Row],[traceability_no]],2)</f>
        <v>J1</v>
      </c>
      <c r="M25">
        <v>24</v>
      </c>
      <c r="N25" s="49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95"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1005</v>
      </c>
      <c r="X25" t="s">
        <v>198</v>
      </c>
    </row>
    <row r="26" spans="1:24" x14ac:dyDescent="0.2">
      <c r="A26"/>
      <c r="B26"/>
      <c r="C26"/>
      <c r="D26"/>
      <c r="E26"/>
      <c r="F26" t="str">
        <f>LEFT(AllDaqbookOffsets[[#This Row],[traceability_no]],2)</f>
        <v>J1</v>
      </c>
      <c r="M26">
        <v>25</v>
      </c>
      <c r="N26" s="49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95"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1006</v>
      </c>
      <c r="X26" t="s">
        <v>198</v>
      </c>
    </row>
    <row r="27" spans="1:24" x14ac:dyDescent="0.2">
      <c r="A27"/>
      <c r="B27"/>
      <c r="C27"/>
      <c r="D27"/>
      <c r="E27"/>
      <c r="F27" t="str">
        <f>LEFT(AllDaqbookOffsets[[#This Row],[traceability_no]],2)</f>
        <v>J1</v>
      </c>
      <c r="M27">
        <v>26</v>
      </c>
      <c r="N27" s="49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95" t="e" cm="1">
        <f t="array" ref="O27">IF(DaqbookInterp[[#This Row],[Include]],QRound(N27),NA())</f>
        <v>#N/A</v>
      </c>
      <c r="P27" s="497"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1007</v>
      </c>
      <c r="X27" t="s">
        <v>198</v>
      </c>
    </row>
    <row r="28" spans="1:24" x14ac:dyDescent="0.2">
      <c r="A28"/>
      <c r="B28"/>
      <c r="C28"/>
      <c r="D28"/>
      <c r="E28"/>
      <c r="F28" t="str">
        <f>LEFT(AllDaqbookOffsets[[#This Row],[traceability_no]],2)</f>
        <v>J1</v>
      </c>
      <c r="M28">
        <v>27</v>
      </c>
      <c r="N28" s="49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95"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1008</v>
      </c>
      <c r="X28" t="s">
        <v>198</v>
      </c>
    </row>
    <row r="29" spans="1:24" x14ac:dyDescent="0.2">
      <c r="A29"/>
      <c r="B29"/>
      <c r="C29"/>
      <c r="D29"/>
      <c r="E29"/>
      <c r="F29" t="str">
        <f>LEFT(AllDaqbookOffsets[[#This Row],[traceability_no]],2)</f>
        <v>J1</v>
      </c>
      <c r="M29">
        <v>28</v>
      </c>
      <c r="N29" s="49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95"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1009</v>
      </c>
      <c r="X29" t="s">
        <v>198</v>
      </c>
    </row>
    <row r="30" spans="1:24" x14ac:dyDescent="0.2">
      <c r="A30"/>
      <c r="B30"/>
      <c r="C30"/>
      <c r="D30"/>
      <c r="E30"/>
      <c r="F30" t="str">
        <f>LEFT(AllDaqbookOffsets[[#This Row],[traceability_no]],2)</f>
        <v>J1</v>
      </c>
      <c r="M30">
        <v>29</v>
      </c>
      <c r="N30" s="49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95"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1010</v>
      </c>
      <c r="X30" t="s">
        <v>198</v>
      </c>
    </row>
    <row r="31" spans="1:24" x14ac:dyDescent="0.2">
      <c r="A31"/>
      <c r="B31"/>
      <c r="C31"/>
      <c r="D31"/>
      <c r="E31"/>
      <c r="F31" t="str">
        <f>LEFT(AllDaqbookOffsets[[#This Row],[traceability_no]],2)</f>
        <v>J1</v>
      </c>
      <c r="M31">
        <v>30</v>
      </c>
      <c r="N31" s="49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95"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1011</v>
      </c>
      <c r="X31" t="s">
        <v>198</v>
      </c>
    </row>
    <row r="32" spans="1:24" x14ac:dyDescent="0.2">
      <c r="A32"/>
      <c r="B32"/>
      <c r="C32"/>
      <c r="D32"/>
      <c r="E32"/>
      <c r="F32" t="str">
        <f>LEFT(AllDaqbookOffsets[[#This Row],[traceability_no]],2)</f>
        <v>J1</v>
      </c>
      <c r="M32">
        <v>31</v>
      </c>
      <c r="N32" s="49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95" t="e" cm="1">
        <f t="array" ref="O32">IF(DaqbookInterp[[#This Row],[Include]],QRound(N32),NA())</f>
        <v>#N/A</v>
      </c>
      <c r="P32" s="497"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979</v>
      </c>
      <c r="X32" t="s">
        <v>196</v>
      </c>
    </row>
    <row r="33" spans="1:24" x14ac:dyDescent="0.2">
      <c r="A33"/>
      <c r="B33"/>
      <c r="C33"/>
      <c r="D33"/>
      <c r="E33"/>
      <c r="F33" t="str">
        <f>LEFT(AllDaqbookOffsets[[#This Row],[traceability_no]],2)</f>
        <v>J1</v>
      </c>
      <c r="M33">
        <v>32</v>
      </c>
      <c r="N33" s="49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95"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1012</v>
      </c>
      <c r="X33" t="s">
        <v>198</v>
      </c>
    </row>
    <row r="34" spans="1:24" x14ac:dyDescent="0.2">
      <c r="A34"/>
      <c r="B34"/>
      <c r="C34"/>
      <c r="D34"/>
      <c r="E34"/>
      <c r="F34" t="str">
        <f>LEFT(AllDaqbookOffsets[[#This Row],[traceability_no]],2)</f>
        <v>J1</v>
      </c>
      <c r="M34">
        <v>33</v>
      </c>
      <c r="N34" s="49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95"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988</v>
      </c>
      <c r="X34" t="s">
        <v>196</v>
      </c>
    </row>
    <row r="35" spans="1:24" x14ac:dyDescent="0.2">
      <c r="A35"/>
      <c r="B35"/>
      <c r="C35"/>
      <c r="D35"/>
      <c r="E35"/>
      <c r="F35" t="str">
        <f>LEFT(AllDaqbookOffsets[[#This Row],[traceability_no]],2)</f>
        <v>J1</v>
      </c>
      <c r="M35">
        <v>34</v>
      </c>
      <c r="N35" s="49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95"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989</v>
      </c>
      <c r="X35" t="s">
        <v>196</v>
      </c>
    </row>
    <row r="36" spans="1:24" x14ac:dyDescent="0.2">
      <c r="A36"/>
      <c r="B36"/>
      <c r="C36"/>
      <c r="D36"/>
      <c r="E36"/>
      <c r="F36" t="str">
        <f>LEFT(AllDaqbookOffsets[[#This Row],[traceability_no]],2)</f>
        <v>J1</v>
      </c>
      <c r="M36">
        <v>35</v>
      </c>
      <c r="N36" s="49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95"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990</v>
      </c>
      <c r="X36" t="s">
        <v>196</v>
      </c>
    </row>
    <row r="37" spans="1:24" x14ac:dyDescent="0.2">
      <c r="A37"/>
      <c r="B37"/>
      <c r="C37"/>
      <c r="D37"/>
      <c r="E37"/>
      <c r="F37" t="str">
        <f>LEFT(AllDaqbookOffsets[[#This Row],[traceability_no]],2)</f>
        <v>J1</v>
      </c>
      <c r="M37">
        <v>36</v>
      </c>
      <c r="N37" s="49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95"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991</v>
      </c>
      <c r="X37" t="s">
        <v>196</v>
      </c>
    </row>
    <row r="38" spans="1:24" x14ac:dyDescent="0.2">
      <c r="A38"/>
      <c r="B38"/>
      <c r="C38"/>
      <c r="D38"/>
      <c r="E38"/>
      <c r="F38" t="str">
        <f>LEFT(AllDaqbookOffsets[[#This Row],[traceability_no]],2)</f>
        <v>J1</v>
      </c>
      <c r="M38">
        <v>37</v>
      </c>
      <c r="N38" s="49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95"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992</v>
      </c>
      <c r="X38" t="s">
        <v>196</v>
      </c>
    </row>
    <row r="39" spans="1:24" x14ac:dyDescent="0.2">
      <c r="A39"/>
      <c r="B39"/>
      <c r="C39"/>
      <c r="D39"/>
      <c r="E39"/>
      <c r="F39" t="str">
        <f>LEFT(AllDaqbookOffsets[[#This Row],[traceability_no]],2)</f>
        <v>J1</v>
      </c>
      <c r="M39">
        <v>38</v>
      </c>
      <c r="N39" s="49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95"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993</v>
      </c>
      <c r="X39" t="s">
        <v>196</v>
      </c>
    </row>
    <row r="40" spans="1:24" x14ac:dyDescent="0.2">
      <c r="A40"/>
      <c r="B40"/>
      <c r="C40"/>
      <c r="D40"/>
      <c r="E40"/>
      <c r="F40" t="str">
        <f>LEFT(AllDaqbookOffsets[[#This Row],[traceability_no]],2)</f>
        <v>J1</v>
      </c>
      <c r="M40">
        <v>39</v>
      </c>
      <c r="N40" s="49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95"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994</v>
      </c>
      <c r="X40" t="s">
        <v>196</v>
      </c>
    </row>
    <row r="41" spans="1:24" x14ac:dyDescent="0.2">
      <c r="A41"/>
      <c r="B41"/>
      <c r="C41"/>
      <c r="D41"/>
      <c r="E41"/>
      <c r="F41" t="str">
        <f>LEFT(AllDaqbookOffsets[[#This Row],[traceability_no]],2)</f>
        <v>J1</v>
      </c>
      <c r="M41">
        <v>40</v>
      </c>
      <c r="N41" s="49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95"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995</v>
      </c>
      <c r="X41" t="s">
        <v>196</v>
      </c>
    </row>
    <row r="42" spans="1:24" x14ac:dyDescent="0.2">
      <c r="A42"/>
      <c r="B42"/>
      <c r="C42"/>
      <c r="D42"/>
      <c r="E42"/>
      <c r="F42" t="str">
        <f>LEFT(AllDaqbookOffsets[[#This Row],[traceability_no]],2)</f>
        <v>J1</v>
      </c>
      <c r="W42" t="s">
        <v>1013</v>
      </c>
      <c r="X42" t="s">
        <v>199</v>
      </c>
    </row>
    <row r="43" spans="1:24" x14ac:dyDescent="0.2">
      <c r="A43"/>
      <c r="B43"/>
      <c r="C43"/>
      <c r="D43"/>
      <c r="E43"/>
      <c r="F43" t="str">
        <f>LEFT(AllDaqbookOffsets[[#This Row],[traceability_no]],2)</f>
        <v>J1</v>
      </c>
      <c r="W43" t="s">
        <v>1014</v>
      </c>
      <c r="X43" t="s">
        <v>199</v>
      </c>
    </row>
    <row r="44" spans="1:24" x14ac:dyDescent="0.2">
      <c r="A44"/>
      <c r="B44"/>
      <c r="C44"/>
      <c r="D44"/>
      <c r="E44"/>
      <c r="F44" t="str">
        <f>LEFT(AllDaqbookOffsets[[#This Row],[traceability_no]],2)</f>
        <v>J1</v>
      </c>
      <c r="W44" t="s">
        <v>1015</v>
      </c>
      <c r="X44" t="s">
        <v>199</v>
      </c>
    </row>
    <row r="45" spans="1:24" x14ac:dyDescent="0.2">
      <c r="A45"/>
      <c r="B45"/>
      <c r="C45"/>
      <c r="D45"/>
      <c r="E45"/>
      <c r="F45" t="str">
        <f>LEFT(AllDaqbookOffsets[[#This Row],[traceability_no]],2)</f>
        <v>J1</v>
      </c>
      <c r="W45" t="s">
        <v>1016</v>
      </c>
      <c r="X45" t="s">
        <v>199</v>
      </c>
    </row>
    <row r="46" spans="1:24" x14ac:dyDescent="0.2">
      <c r="A46"/>
      <c r="B46"/>
      <c r="C46"/>
      <c r="D46"/>
      <c r="E46"/>
      <c r="F46" t="str">
        <f>LEFT(AllDaqbookOffsets[[#This Row],[traceability_no]],2)</f>
        <v>J1</v>
      </c>
      <c r="W46" t="s">
        <v>1017</v>
      </c>
      <c r="X46" t="s">
        <v>199</v>
      </c>
    </row>
    <row r="47" spans="1:24" x14ac:dyDescent="0.2">
      <c r="A47"/>
      <c r="B47"/>
      <c r="C47"/>
      <c r="D47"/>
      <c r="E47"/>
      <c r="F47" t="str">
        <f>LEFT(AllDaqbookOffsets[[#This Row],[traceability_no]],2)</f>
        <v>J1</v>
      </c>
      <c r="W47" t="s">
        <v>1018</v>
      </c>
      <c r="X47" t="s">
        <v>199</v>
      </c>
    </row>
    <row r="48" spans="1:24" x14ac:dyDescent="0.2">
      <c r="A48"/>
      <c r="B48"/>
      <c r="C48"/>
      <c r="D48"/>
      <c r="E48"/>
      <c r="F48" t="str">
        <f>LEFT(AllDaqbookOffsets[[#This Row],[traceability_no]],2)</f>
        <v>J1</v>
      </c>
      <c r="W48" t="s">
        <v>1019</v>
      </c>
      <c r="X48" t="s">
        <v>199</v>
      </c>
    </row>
    <row r="49" spans="1:24" x14ac:dyDescent="0.2">
      <c r="A49"/>
      <c r="B49"/>
      <c r="C49"/>
      <c r="D49"/>
      <c r="E49"/>
      <c r="F49" t="str">
        <f>LEFT(AllDaqbookOffsets[[#This Row],[traceability_no]],2)</f>
        <v>J1</v>
      </c>
      <c r="W49" t="s">
        <v>1020</v>
      </c>
      <c r="X49" t="s">
        <v>199</v>
      </c>
    </row>
    <row r="50" spans="1:24" x14ac:dyDescent="0.2">
      <c r="A50"/>
      <c r="B50"/>
      <c r="C50"/>
      <c r="D50"/>
      <c r="E50"/>
      <c r="F50" t="str">
        <f>LEFT(AllDaqbookOffsets[[#This Row],[traceability_no]],2)</f>
        <v>J1</v>
      </c>
      <c r="W50" t="s">
        <v>1021</v>
      </c>
      <c r="X50" t="s">
        <v>199</v>
      </c>
    </row>
    <row r="51" spans="1:24" x14ac:dyDescent="0.2">
      <c r="A51"/>
      <c r="B51"/>
      <c r="C51"/>
      <c r="D51"/>
      <c r="E51"/>
      <c r="F51" t="str">
        <f>LEFT(AllDaqbookOffsets[[#This Row],[traceability_no]],2)</f>
        <v>J1</v>
      </c>
      <c r="W51" t="s">
        <v>996</v>
      </c>
      <c r="X51" t="s">
        <v>196</v>
      </c>
    </row>
    <row r="52" spans="1:24" x14ac:dyDescent="0.2">
      <c r="A52"/>
      <c r="B52"/>
      <c r="C52"/>
      <c r="D52"/>
      <c r="E52"/>
      <c r="F52" t="str">
        <f>LEFT(AllDaqbookOffsets[[#This Row],[traceability_no]],2)</f>
        <v>J1</v>
      </c>
      <c r="W52" t="s">
        <v>1022</v>
      </c>
      <c r="X52" t="s">
        <v>199</v>
      </c>
    </row>
    <row r="53" spans="1:24" x14ac:dyDescent="0.2">
      <c r="A53"/>
      <c r="B53"/>
      <c r="C53"/>
      <c r="D53"/>
      <c r="E53"/>
      <c r="F53" t="str">
        <f>LEFT(AllDaqbookOffsets[[#This Row],[traceability_no]],2)</f>
        <v>J1</v>
      </c>
      <c r="W53" t="s">
        <v>1023</v>
      </c>
      <c r="X53" t="s">
        <v>199</v>
      </c>
    </row>
    <row r="54" spans="1:24" x14ac:dyDescent="0.2">
      <c r="A54"/>
      <c r="B54"/>
      <c r="C54"/>
      <c r="D54"/>
      <c r="E54"/>
      <c r="F54" t="str">
        <f>LEFT(AllDaqbookOffsets[[#This Row],[traceability_no]],2)</f>
        <v>J1</v>
      </c>
      <c r="W54" t="s">
        <v>1024</v>
      </c>
      <c r="X54" t="s">
        <v>199</v>
      </c>
    </row>
    <row r="55" spans="1:24" x14ac:dyDescent="0.2">
      <c r="A55"/>
      <c r="B55"/>
      <c r="C55"/>
      <c r="D55"/>
      <c r="E55"/>
      <c r="F55" t="str">
        <f>LEFT(AllDaqbookOffsets[[#This Row],[traceability_no]],2)</f>
        <v>J1</v>
      </c>
      <c r="W55" t="s">
        <v>1025</v>
      </c>
      <c r="X55" t="s">
        <v>199</v>
      </c>
    </row>
    <row r="56" spans="1:24" x14ac:dyDescent="0.2">
      <c r="A56"/>
      <c r="B56"/>
      <c r="C56"/>
      <c r="D56"/>
      <c r="E56"/>
      <c r="F56" t="str">
        <f>LEFT(AllDaqbookOffsets[[#This Row],[traceability_no]],2)</f>
        <v>J1</v>
      </c>
      <c r="W56" t="s">
        <v>1026</v>
      </c>
      <c r="X56" t="s">
        <v>199</v>
      </c>
    </row>
    <row r="57" spans="1:24" x14ac:dyDescent="0.2">
      <c r="A57"/>
      <c r="B57"/>
      <c r="C57"/>
      <c r="D57"/>
      <c r="E57"/>
      <c r="F57" t="str">
        <f>LEFT(AllDaqbookOffsets[[#This Row],[traceability_no]],2)</f>
        <v>J1</v>
      </c>
      <c r="W57" t="s">
        <v>997</v>
      </c>
      <c r="X57" t="s">
        <v>196</v>
      </c>
    </row>
    <row r="58" spans="1:24" x14ac:dyDescent="0.2">
      <c r="A58"/>
      <c r="B58"/>
      <c r="C58"/>
      <c r="D58"/>
      <c r="E58"/>
      <c r="F58" t="str">
        <f>LEFT(AllDaqbookOffsets[[#This Row],[traceability_no]],2)</f>
        <v>J1</v>
      </c>
      <c r="W58" t="s">
        <v>998</v>
      </c>
      <c r="X58" t="s">
        <v>196</v>
      </c>
    </row>
    <row r="59" spans="1:24" x14ac:dyDescent="0.2">
      <c r="A59"/>
      <c r="B59"/>
      <c r="C59"/>
      <c r="D59"/>
      <c r="E59"/>
      <c r="F59" t="str">
        <f>LEFT(AllDaqbookOffsets[[#This Row],[traceability_no]],2)</f>
        <v>J1</v>
      </c>
      <c r="W59" t="s">
        <v>999</v>
      </c>
      <c r="X59" t="s">
        <v>196</v>
      </c>
    </row>
    <row r="60" spans="1:24" x14ac:dyDescent="0.2">
      <c r="A60"/>
      <c r="B60"/>
      <c r="C60"/>
      <c r="D60"/>
      <c r="E60"/>
      <c r="F60" t="str">
        <f>LEFT(AllDaqbookOffsets[[#This Row],[traceability_no]],2)</f>
        <v>J1</v>
      </c>
      <c r="W60" t="s">
        <v>1027</v>
      </c>
      <c r="X60" t="s">
        <v>200</v>
      </c>
    </row>
    <row r="61" spans="1:24" x14ac:dyDescent="0.2">
      <c r="A61"/>
      <c r="B61"/>
      <c r="C61"/>
      <c r="D61"/>
      <c r="E61"/>
      <c r="F61" t="str">
        <f>LEFT(AllDaqbookOffsets[[#This Row],[traceability_no]],2)</f>
        <v>J1</v>
      </c>
      <c r="W61" t="s">
        <v>1028</v>
      </c>
      <c r="X61" t="s">
        <v>200</v>
      </c>
    </row>
    <row r="62" spans="1:24" x14ac:dyDescent="0.2">
      <c r="A62"/>
      <c r="B62"/>
      <c r="C62"/>
      <c r="D62"/>
      <c r="E62"/>
      <c r="F62" t="str">
        <f>LEFT(AllDaqbookOffsets[[#This Row],[traceability_no]],2)</f>
        <v>J1</v>
      </c>
      <c r="W62" t="s">
        <v>1029</v>
      </c>
      <c r="X62" t="s">
        <v>200</v>
      </c>
    </row>
    <row r="63" spans="1:24" x14ac:dyDescent="0.2">
      <c r="A63"/>
      <c r="B63"/>
      <c r="C63"/>
      <c r="D63"/>
      <c r="E63"/>
      <c r="F63" t="str">
        <f>LEFT(AllDaqbookOffsets[[#This Row],[traceability_no]],2)</f>
        <v>J1</v>
      </c>
      <c r="W63" t="s">
        <v>1030</v>
      </c>
      <c r="X63" t="s">
        <v>200</v>
      </c>
    </row>
    <row r="64" spans="1:24" x14ac:dyDescent="0.2">
      <c r="A64"/>
      <c r="B64"/>
      <c r="C64"/>
      <c r="D64"/>
      <c r="E64"/>
      <c r="F64" t="str">
        <f>LEFT(AllDaqbookOffsets[[#This Row],[traceability_no]],2)</f>
        <v>J1</v>
      </c>
      <c r="W64" t="s">
        <v>1031</v>
      </c>
      <c r="X64" t="s">
        <v>200</v>
      </c>
    </row>
    <row r="65" spans="1:24" x14ac:dyDescent="0.2">
      <c r="A65"/>
      <c r="B65"/>
      <c r="C65"/>
      <c r="D65"/>
      <c r="E65"/>
      <c r="F65" t="str">
        <f>LEFT(AllDaqbookOffsets[[#This Row],[traceability_no]],2)</f>
        <v>J1</v>
      </c>
      <c r="W65" t="s">
        <v>1032</v>
      </c>
      <c r="X65" t="s">
        <v>200</v>
      </c>
    </row>
    <row r="66" spans="1:24" x14ac:dyDescent="0.2">
      <c r="A66"/>
      <c r="B66"/>
      <c r="C66"/>
      <c r="D66"/>
      <c r="E66"/>
      <c r="F66" t="str">
        <f>LEFT(AllDaqbookOffsets[[#This Row],[traceability_no]],2)</f>
        <v>J1</v>
      </c>
      <c r="W66" t="s">
        <v>1033</v>
      </c>
      <c r="X66" t="s">
        <v>200</v>
      </c>
    </row>
    <row r="67" spans="1:24" x14ac:dyDescent="0.2">
      <c r="A67"/>
      <c r="B67"/>
      <c r="C67"/>
      <c r="D67"/>
      <c r="E67"/>
      <c r="F67" t="str">
        <f>LEFT(AllDaqbookOffsets[[#This Row],[traceability_no]],2)</f>
        <v>J1</v>
      </c>
      <c r="W67" t="s">
        <v>1034</v>
      </c>
      <c r="X67" t="s">
        <v>200</v>
      </c>
    </row>
    <row r="68" spans="1:24" x14ac:dyDescent="0.2">
      <c r="A68"/>
      <c r="B68"/>
      <c r="C68"/>
      <c r="D68"/>
      <c r="E68"/>
      <c r="F68" t="str">
        <f>LEFT(AllDaqbookOffsets[[#This Row],[traceability_no]],2)</f>
        <v>J1</v>
      </c>
      <c r="W68" t="s">
        <v>1035</v>
      </c>
      <c r="X68" t="s">
        <v>200</v>
      </c>
    </row>
    <row r="69" spans="1:24" x14ac:dyDescent="0.2">
      <c r="A69"/>
      <c r="B69"/>
      <c r="C69"/>
      <c r="D69"/>
      <c r="E69"/>
      <c r="F69" t="str">
        <f>LEFT(AllDaqbookOffsets[[#This Row],[traceability_no]],2)</f>
        <v>J1</v>
      </c>
      <c r="W69" t="s">
        <v>1036</v>
      </c>
      <c r="X69" t="s">
        <v>200</v>
      </c>
    </row>
    <row r="70" spans="1:24" x14ac:dyDescent="0.2">
      <c r="A70"/>
      <c r="B70"/>
      <c r="C70"/>
      <c r="D70"/>
      <c r="E70"/>
      <c r="F70" t="str">
        <f>LEFT(AllDaqbookOffsets[[#This Row],[traceability_no]],2)</f>
        <v>J1</v>
      </c>
      <c r="W70" t="s">
        <v>1037</v>
      </c>
      <c r="X70" t="s">
        <v>200</v>
      </c>
    </row>
    <row r="71" spans="1:24" x14ac:dyDescent="0.2">
      <c r="A71"/>
      <c r="B71"/>
      <c r="C71"/>
      <c r="D71"/>
      <c r="E71"/>
      <c r="F71" t="str">
        <f>LEFT(AllDaqbookOffsets[[#This Row],[traceability_no]],2)</f>
        <v>J1</v>
      </c>
      <c r="W71" t="s">
        <v>1038</v>
      </c>
      <c r="X71" t="s">
        <v>200</v>
      </c>
    </row>
    <row r="72" spans="1:24" x14ac:dyDescent="0.2">
      <c r="A72"/>
      <c r="B72"/>
      <c r="C72"/>
      <c r="D72"/>
      <c r="E72"/>
      <c r="F72" t="str">
        <f>LEFT(AllDaqbookOffsets[[#This Row],[traceability_no]],2)</f>
        <v>J1</v>
      </c>
      <c r="W72" t="s">
        <v>1039</v>
      </c>
      <c r="X72" t="s">
        <v>200</v>
      </c>
    </row>
    <row r="73" spans="1:24" x14ac:dyDescent="0.2">
      <c r="A73"/>
      <c r="B73"/>
      <c r="C73"/>
      <c r="D73"/>
      <c r="E73"/>
      <c r="F73" t="str">
        <f>LEFT(AllDaqbookOffsets[[#This Row],[traceability_no]],2)</f>
        <v>J1</v>
      </c>
      <c r="W73" t="s">
        <v>1040</v>
      </c>
      <c r="X73" t="s">
        <v>200</v>
      </c>
    </row>
    <row r="74" spans="1:24" x14ac:dyDescent="0.2">
      <c r="A74"/>
      <c r="B74"/>
      <c r="C74"/>
      <c r="D74"/>
      <c r="E74"/>
      <c r="F74" t="str">
        <f>LEFT(AllDaqbookOffsets[[#This Row],[traceability_no]],2)</f>
        <v>J1</v>
      </c>
      <c r="W74" t="s">
        <v>1041</v>
      </c>
      <c r="X74" t="s">
        <v>201</v>
      </c>
    </row>
    <row r="75" spans="1:24" x14ac:dyDescent="0.2">
      <c r="A75"/>
      <c r="B75"/>
      <c r="C75"/>
      <c r="D75"/>
      <c r="E75"/>
      <c r="F75" t="str">
        <f>LEFT(AllDaqbookOffsets[[#This Row],[traceability_no]],2)</f>
        <v>J1</v>
      </c>
      <c r="W75" t="s">
        <v>1042</v>
      </c>
      <c r="X75" t="s">
        <v>201</v>
      </c>
    </row>
    <row r="76" spans="1:24" x14ac:dyDescent="0.2">
      <c r="A76"/>
      <c r="B76"/>
      <c r="C76"/>
      <c r="D76"/>
      <c r="E76"/>
      <c r="F76" t="str">
        <f>LEFT(AllDaqbookOffsets[[#This Row],[traceability_no]],2)</f>
        <v>J1</v>
      </c>
      <c r="W76" t="s">
        <v>1043</v>
      </c>
      <c r="X76" t="s">
        <v>201</v>
      </c>
    </row>
    <row r="77" spans="1:24" x14ac:dyDescent="0.2">
      <c r="A77"/>
      <c r="B77"/>
      <c r="C77"/>
      <c r="D77"/>
      <c r="E77"/>
      <c r="F77" t="str">
        <f>LEFT(AllDaqbookOffsets[[#This Row],[traceability_no]],2)</f>
        <v>J1</v>
      </c>
      <c r="W77" t="s">
        <v>1044</v>
      </c>
      <c r="X77" t="s">
        <v>201</v>
      </c>
    </row>
    <row r="78" spans="1:24" x14ac:dyDescent="0.2">
      <c r="A78"/>
      <c r="B78"/>
      <c r="C78"/>
      <c r="D78"/>
      <c r="E78"/>
      <c r="F78" t="str">
        <f>LEFT(AllDaqbookOffsets[[#This Row],[traceability_no]],2)</f>
        <v>J1</v>
      </c>
      <c r="W78" t="s">
        <v>1045</v>
      </c>
      <c r="X78" t="s">
        <v>201</v>
      </c>
    </row>
    <row r="79" spans="1:24" x14ac:dyDescent="0.2">
      <c r="A79"/>
      <c r="B79"/>
      <c r="C79"/>
      <c r="D79"/>
      <c r="E79"/>
      <c r="F79" t="str">
        <f>LEFT(AllDaqbookOffsets[[#This Row],[traceability_no]],2)</f>
        <v>J1</v>
      </c>
      <c r="W79" t="s">
        <v>1046</v>
      </c>
      <c r="X79" t="s">
        <v>201</v>
      </c>
    </row>
    <row r="80" spans="1:24" x14ac:dyDescent="0.2">
      <c r="A80"/>
      <c r="B80"/>
      <c r="C80"/>
      <c r="D80"/>
      <c r="E80"/>
      <c r="F80" t="str">
        <f>LEFT(AllDaqbookOffsets[[#This Row],[traceability_no]],2)</f>
        <v>J1</v>
      </c>
      <c r="W80" t="s">
        <v>1047</v>
      </c>
      <c r="X80" t="s">
        <v>201</v>
      </c>
    </row>
    <row r="81" spans="1:24" x14ac:dyDescent="0.2">
      <c r="A81"/>
      <c r="B81"/>
      <c r="C81"/>
      <c r="D81"/>
      <c r="E81"/>
      <c r="F81" t="str">
        <f>LEFT(AllDaqbookOffsets[[#This Row],[traceability_no]],2)</f>
        <v>J1</v>
      </c>
      <c r="W81" t="s">
        <v>1048</v>
      </c>
      <c r="X81" t="s">
        <v>201</v>
      </c>
    </row>
    <row r="82" spans="1:24" x14ac:dyDescent="0.2">
      <c r="A82"/>
      <c r="B82"/>
      <c r="C82"/>
      <c r="D82"/>
      <c r="E82"/>
      <c r="F82" t="str">
        <f>LEFT(AllDaqbookOffsets[[#This Row],[traceability_no]],2)</f>
        <v>J1</v>
      </c>
      <c r="W82" t="s">
        <v>1049</v>
      </c>
      <c r="X82" t="s">
        <v>201</v>
      </c>
    </row>
    <row r="83" spans="1:24" x14ac:dyDescent="0.2">
      <c r="A83"/>
      <c r="B83"/>
      <c r="C83"/>
      <c r="D83"/>
      <c r="E83"/>
      <c r="F83" t="str">
        <f>LEFT(AllDaqbookOffsets[[#This Row],[traceability_no]],2)</f>
        <v>J1</v>
      </c>
      <c r="W83" t="s">
        <v>1050</v>
      </c>
      <c r="X83" t="s">
        <v>201</v>
      </c>
    </row>
    <row r="84" spans="1:24" x14ac:dyDescent="0.2">
      <c r="A84"/>
      <c r="B84"/>
      <c r="C84"/>
      <c r="D84"/>
      <c r="E84"/>
      <c r="F84" t="str">
        <f>LEFT(AllDaqbookOffsets[[#This Row],[traceability_no]],2)</f>
        <v>J1</v>
      </c>
      <c r="W84" t="s">
        <v>1051</v>
      </c>
      <c r="X84" t="s">
        <v>201</v>
      </c>
    </row>
    <row r="85" spans="1:24" x14ac:dyDescent="0.2">
      <c r="A85"/>
      <c r="B85"/>
      <c r="C85"/>
      <c r="D85"/>
      <c r="E85"/>
      <c r="F85" t="str">
        <f>LEFT(AllDaqbookOffsets[[#This Row],[traceability_no]],2)</f>
        <v>J1</v>
      </c>
      <c r="W85" t="s">
        <v>1052</v>
      </c>
      <c r="X85" t="s">
        <v>201</v>
      </c>
    </row>
    <row r="86" spans="1:24" x14ac:dyDescent="0.2">
      <c r="A86"/>
      <c r="B86"/>
      <c r="C86"/>
      <c r="D86"/>
      <c r="E86"/>
      <c r="F86" t="str">
        <f>LEFT(AllDaqbookOffsets[[#This Row],[traceability_no]],2)</f>
        <v>J1</v>
      </c>
      <c r="W86" t="s">
        <v>1053</v>
      </c>
      <c r="X86" t="s">
        <v>201</v>
      </c>
    </row>
    <row r="87" spans="1:24" x14ac:dyDescent="0.2">
      <c r="A87"/>
      <c r="B87"/>
      <c r="C87"/>
      <c r="D87"/>
      <c r="E87"/>
      <c r="F87" t="str">
        <f>LEFT(AllDaqbookOffsets[[#This Row],[traceability_no]],2)</f>
        <v>J1</v>
      </c>
      <c r="W87" t="s">
        <v>1054</v>
      </c>
      <c r="X87" t="s">
        <v>201</v>
      </c>
    </row>
    <row r="88" spans="1:24" x14ac:dyDescent="0.2">
      <c r="A88"/>
      <c r="B88"/>
      <c r="C88"/>
      <c r="D88"/>
      <c r="E88"/>
      <c r="F88" t="str">
        <f>LEFT(AllDaqbookOffsets[[#This Row],[traceability_no]],2)</f>
        <v>J1</v>
      </c>
      <c r="W88" t="s">
        <v>1055</v>
      </c>
      <c r="X88" t="s">
        <v>202</v>
      </c>
    </row>
    <row r="89" spans="1:24" x14ac:dyDescent="0.2">
      <c r="A89"/>
      <c r="B89"/>
      <c r="C89"/>
      <c r="D89"/>
      <c r="E89"/>
      <c r="F89" t="str">
        <f>LEFT(AllDaqbookOffsets[[#This Row],[traceability_no]],2)</f>
        <v>J1</v>
      </c>
      <c r="W89" t="s">
        <v>1056</v>
      </c>
      <c r="X89" t="s">
        <v>202</v>
      </c>
    </row>
    <row r="90" spans="1:24" x14ac:dyDescent="0.2">
      <c r="A90"/>
      <c r="B90"/>
      <c r="C90"/>
      <c r="D90"/>
      <c r="E90"/>
      <c r="F90" t="str">
        <f>LEFT(AllDaqbookOffsets[[#This Row],[traceability_no]],2)</f>
        <v>J1</v>
      </c>
      <c r="W90" t="s">
        <v>1057</v>
      </c>
      <c r="X90" t="s">
        <v>202</v>
      </c>
    </row>
    <row r="91" spans="1:24" x14ac:dyDescent="0.2">
      <c r="A91"/>
      <c r="B91"/>
      <c r="C91"/>
      <c r="D91"/>
      <c r="E91"/>
      <c r="F91" t="str">
        <f>LEFT(AllDaqbookOffsets[[#This Row],[traceability_no]],2)</f>
        <v>J1</v>
      </c>
      <c r="W91" t="s">
        <v>1058</v>
      </c>
      <c r="X91" t="s">
        <v>202</v>
      </c>
    </row>
    <row r="92" spans="1:24" x14ac:dyDescent="0.2">
      <c r="A92"/>
      <c r="B92"/>
      <c r="C92"/>
      <c r="D92"/>
      <c r="E92"/>
      <c r="F92" t="str">
        <f>LEFT(AllDaqbookOffsets[[#This Row],[traceability_no]],2)</f>
        <v>J1</v>
      </c>
      <c r="W92" t="s">
        <v>1059</v>
      </c>
      <c r="X92" t="s">
        <v>202</v>
      </c>
    </row>
    <row r="93" spans="1:24" x14ac:dyDescent="0.2">
      <c r="A93"/>
      <c r="B93"/>
      <c r="C93"/>
      <c r="D93"/>
      <c r="E93"/>
      <c r="F93" t="str">
        <f>LEFT(AllDaqbookOffsets[[#This Row],[traceability_no]],2)</f>
        <v>J1</v>
      </c>
      <c r="W93" t="s">
        <v>1060</v>
      </c>
      <c r="X93" t="s">
        <v>202</v>
      </c>
    </row>
    <row r="94" spans="1:24" x14ac:dyDescent="0.2">
      <c r="A94"/>
      <c r="B94"/>
      <c r="C94"/>
      <c r="D94"/>
      <c r="E94"/>
      <c r="F94" t="str">
        <f>LEFT(AllDaqbookOffsets[[#This Row],[traceability_no]],2)</f>
        <v>J1</v>
      </c>
      <c r="W94" t="s">
        <v>1061</v>
      </c>
      <c r="X94" t="s">
        <v>202</v>
      </c>
    </row>
    <row r="95" spans="1:24" x14ac:dyDescent="0.2">
      <c r="A95"/>
      <c r="B95"/>
      <c r="C95"/>
      <c r="D95"/>
      <c r="E95"/>
      <c r="F95" t="str">
        <f>LEFT(AllDaqbookOffsets[[#This Row],[traceability_no]],2)</f>
        <v>J1</v>
      </c>
      <c r="W95" t="s">
        <v>1062</v>
      </c>
      <c r="X95" t="s">
        <v>202</v>
      </c>
    </row>
    <row r="96" spans="1:24" x14ac:dyDescent="0.2">
      <c r="A96"/>
      <c r="B96"/>
      <c r="C96"/>
      <c r="D96"/>
      <c r="E96"/>
      <c r="F96" t="str">
        <f>LEFT(AllDaqbookOffsets[[#This Row],[traceability_no]],2)</f>
        <v>J1</v>
      </c>
      <c r="W96" t="s">
        <v>1063</v>
      </c>
      <c r="X96" t="s">
        <v>202</v>
      </c>
    </row>
    <row r="97" spans="1:24" x14ac:dyDescent="0.2">
      <c r="A97"/>
      <c r="B97"/>
      <c r="C97"/>
      <c r="D97"/>
      <c r="E97"/>
      <c r="F97" t="str">
        <f>LEFT(AllDaqbookOffsets[[#This Row],[traceability_no]],2)</f>
        <v>J1</v>
      </c>
      <c r="W97" t="s">
        <v>1064</v>
      </c>
      <c r="X97" t="s">
        <v>202</v>
      </c>
    </row>
    <row r="98" spans="1:24" x14ac:dyDescent="0.2">
      <c r="A98"/>
      <c r="B98"/>
      <c r="C98"/>
      <c r="D98"/>
      <c r="E98"/>
      <c r="F98" t="str">
        <f>LEFT(AllDaqbookOffsets[[#This Row],[traceability_no]],2)</f>
        <v>J1</v>
      </c>
      <c r="W98" t="s">
        <v>1067</v>
      </c>
      <c r="X98" t="s">
        <v>203</v>
      </c>
    </row>
    <row r="99" spans="1:24" x14ac:dyDescent="0.2">
      <c r="A99"/>
      <c r="B99"/>
      <c r="C99"/>
      <c r="D99"/>
      <c r="E99"/>
      <c r="F99" t="str">
        <f>LEFT(AllDaqbookOffsets[[#This Row],[traceability_no]],2)</f>
        <v>J1</v>
      </c>
      <c r="W99" t="s">
        <v>1068</v>
      </c>
      <c r="X99" t="s">
        <v>203</v>
      </c>
    </row>
    <row r="100" spans="1:24" x14ac:dyDescent="0.2">
      <c r="A100"/>
      <c r="B100"/>
      <c r="C100"/>
      <c r="D100"/>
      <c r="E100"/>
      <c r="F100" t="str">
        <f>LEFT(AllDaqbookOffsets[[#This Row],[traceability_no]],2)</f>
        <v>J1</v>
      </c>
      <c r="W100" t="s">
        <v>1069</v>
      </c>
      <c r="X100" t="s">
        <v>203</v>
      </c>
    </row>
    <row r="101" spans="1:24" x14ac:dyDescent="0.2">
      <c r="A101"/>
      <c r="B101"/>
      <c r="C101"/>
      <c r="D101"/>
      <c r="E101"/>
      <c r="F101" t="str">
        <f>LEFT(AllDaqbookOffsets[[#This Row],[traceability_no]],2)</f>
        <v>J1</v>
      </c>
      <c r="W101" t="s">
        <v>1070</v>
      </c>
      <c r="X101" t="s">
        <v>203</v>
      </c>
    </row>
    <row r="102" spans="1:24" x14ac:dyDescent="0.2">
      <c r="A102"/>
      <c r="B102"/>
      <c r="C102"/>
      <c r="D102"/>
      <c r="E102"/>
      <c r="F102" t="str">
        <f>LEFT(AllDaqbookOffsets[[#This Row],[traceability_no]],2)</f>
        <v>J1</v>
      </c>
      <c r="W102" t="s">
        <v>1071</v>
      </c>
      <c r="X102" t="s">
        <v>203</v>
      </c>
    </row>
    <row r="103" spans="1:24" x14ac:dyDescent="0.2">
      <c r="A103"/>
      <c r="B103"/>
      <c r="C103"/>
      <c r="D103"/>
      <c r="E103"/>
      <c r="F103" t="str">
        <f>LEFT(AllDaqbookOffsets[[#This Row],[traceability_no]],2)</f>
        <v>J1</v>
      </c>
      <c r="W103" t="s">
        <v>1072</v>
      </c>
      <c r="X103" t="s">
        <v>203</v>
      </c>
    </row>
    <row r="104" spans="1:24" x14ac:dyDescent="0.2">
      <c r="A104"/>
      <c r="B104"/>
      <c r="C104"/>
      <c r="D104"/>
      <c r="E104"/>
      <c r="F104" t="str">
        <f>LEFT(AllDaqbookOffsets[[#This Row],[traceability_no]],2)</f>
        <v>J1</v>
      </c>
      <c r="W104" t="s">
        <v>1073</v>
      </c>
      <c r="X104" t="s">
        <v>203</v>
      </c>
    </row>
    <row r="105" spans="1:24" x14ac:dyDescent="0.2">
      <c r="A105"/>
      <c r="B105"/>
      <c r="C105"/>
      <c r="D105"/>
      <c r="E105"/>
      <c r="F105" t="str">
        <f>LEFT(AllDaqbookOffsets[[#This Row],[traceability_no]],2)</f>
        <v>J1</v>
      </c>
      <c r="W105" t="s">
        <v>1074</v>
      </c>
      <c r="X105" t="s">
        <v>203</v>
      </c>
    </row>
    <row r="106" spans="1:24" x14ac:dyDescent="0.2">
      <c r="A106"/>
      <c r="B106"/>
      <c r="C106"/>
      <c r="D106"/>
      <c r="E106"/>
      <c r="F106" t="str">
        <f>LEFT(AllDaqbookOffsets[[#This Row],[traceability_no]],2)</f>
        <v>J1</v>
      </c>
      <c r="W106" t="s">
        <v>1075</v>
      </c>
      <c r="X106" t="s">
        <v>203</v>
      </c>
    </row>
    <row r="107" spans="1:24" x14ac:dyDescent="0.2">
      <c r="A107"/>
      <c r="B107"/>
      <c r="C107"/>
      <c r="D107"/>
      <c r="E107"/>
      <c r="F107" t="str">
        <f>LEFT(AllDaqbookOffsets[[#This Row],[traceability_no]],2)</f>
        <v>J1</v>
      </c>
      <c r="W107" t="s">
        <v>1076</v>
      </c>
      <c r="X107" t="s">
        <v>203</v>
      </c>
    </row>
    <row r="108" spans="1:24" x14ac:dyDescent="0.2">
      <c r="A108"/>
      <c r="B108"/>
      <c r="C108"/>
      <c r="D108"/>
      <c r="E108"/>
      <c r="F108" t="str">
        <f>LEFT(AllDaqbookOffsets[[#This Row],[traceability_no]],2)</f>
        <v>J1</v>
      </c>
      <c r="W108" t="s">
        <v>1077</v>
      </c>
      <c r="X108" t="s">
        <v>367</v>
      </c>
    </row>
    <row r="109" spans="1:24" x14ac:dyDescent="0.2">
      <c r="A109"/>
      <c r="B109"/>
      <c r="C109"/>
      <c r="D109"/>
      <c r="E109"/>
      <c r="F109" t="str">
        <f>LEFT(AllDaqbookOffsets[[#This Row],[traceability_no]],2)</f>
        <v>J1</v>
      </c>
      <c r="W109" t="s">
        <v>1078</v>
      </c>
      <c r="X109" t="s">
        <v>367</v>
      </c>
    </row>
    <row r="110" spans="1:24" x14ac:dyDescent="0.2">
      <c r="A110"/>
      <c r="B110"/>
      <c r="C110"/>
      <c r="D110"/>
      <c r="E110"/>
      <c r="F110" t="str">
        <f>LEFT(AllDaqbookOffsets[[#This Row],[traceability_no]],2)</f>
        <v>J1</v>
      </c>
      <c r="W110" t="s">
        <v>1079</v>
      </c>
      <c r="X110" t="s">
        <v>367</v>
      </c>
    </row>
    <row r="111" spans="1:24" x14ac:dyDescent="0.2">
      <c r="A111"/>
      <c r="B111"/>
      <c r="C111"/>
      <c r="D111"/>
      <c r="E111"/>
      <c r="F111" t="str">
        <f>LEFT(AllDaqbookOffsets[[#This Row],[traceability_no]],2)</f>
        <v>J1</v>
      </c>
      <c r="W111" t="s">
        <v>1080</v>
      </c>
      <c r="X111" t="s">
        <v>367</v>
      </c>
    </row>
    <row r="112" spans="1:24" x14ac:dyDescent="0.2">
      <c r="A112"/>
      <c r="B112"/>
      <c r="C112"/>
      <c r="D112"/>
      <c r="E112"/>
      <c r="F112" t="str">
        <f>LEFT(AllDaqbookOffsets[[#This Row],[traceability_no]],2)</f>
        <v>J1</v>
      </c>
      <c r="W112" t="s">
        <v>1081</v>
      </c>
      <c r="X112" t="s">
        <v>367</v>
      </c>
    </row>
    <row r="113" spans="1:24" x14ac:dyDescent="0.2">
      <c r="A113"/>
      <c r="B113"/>
      <c r="C113"/>
      <c r="D113"/>
      <c r="E113"/>
      <c r="F113" t="str">
        <f>LEFT(AllDaqbookOffsets[[#This Row],[traceability_no]],2)</f>
        <v>J1</v>
      </c>
      <c r="W113" t="s">
        <v>1082</v>
      </c>
      <c r="X113" t="s">
        <v>367</v>
      </c>
    </row>
    <row r="114" spans="1:24" x14ac:dyDescent="0.2">
      <c r="A114"/>
      <c r="B114"/>
      <c r="C114"/>
      <c r="D114"/>
      <c r="E114"/>
      <c r="F114" t="str">
        <f>LEFT(AllDaqbookOffsets[[#This Row],[traceability_no]],2)</f>
        <v>J1</v>
      </c>
      <c r="W114" t="s">
        <v>1083</v>
      </c>
      <c r="X114" t="s">
        <v>367</v>
      </c>
    </row>
    <row r="115" spans="1:24" x14ac:dyDescent="0.2">
      <c r="A115"/>
      <c r="B115"/>
      <c r="C115"/>
      <c r="D115"/>
      <c r="E115"/>
      <c r="F115" t="str">
        <f>LEFT(AllDaqbookOffsets[[#This Row],[traceability_no]],2)</f>
        <v>J1</v>
      </c>
      <c r="W115" t="s">
        <v>1084</v>
      </c>
      <c r="X115" t="s">
        <v>367</v>
      </c>
    </row>
    <row r="116" spans="1:24" x14ac:dyDescent="0.2">
      <c r="A116"/>
      <c r="B116"/>
      <c r="C116"/>
      <c r="D116"/>
      <c r="E116"/>
      <c r="F116" t="str">
        <f>LEFT(AllDaqbookOffsets[[#This Row],[traceability_no]],2)</f>
        <v>J1</v>
      </c>
      <c r="W116" t="s">
        <v>1085</v>
      </c>
      <c r="X116" t="s">
        <v>367</v>
      </c>
    </row>
    <row r="117" spans="1:24" x14ac:dyDescent="0.2">
      <c r="A117"/>
      <c r="B117"/>
      <c r="C117"/>
      <c r="D117"/>
      <c r="E117"/>
      <c r="F117" t="str">
        <f>LEFT(AllDaqbookOffsets[[#This Row],[traceability_no]],2)</f>
        <v>J1</v>
      </c>
      <c r="W117" t="s">
        <v>1086</v>
      </c>
      <c r="X117" t="s">
        <v>367</v>
      </c>
    </row>
    <row r="118" spans="1:24" x14ac:dyDescent="0.2">
      <c r="A118"/>
      <c r="B118"/>
      <c r="C118"/>
      <c r="D118"/>
      <c r="E118"/>
      <c r="F118" t="str">
        <f>LEFT(AllDaqbookOffsets[[#This Row],[traceability_no]],2)</f>
        <v>J1</v>
      </c>
      <c r="W118" t="s">
        <v>1093</v>
      </c>
      <c r="X118" t="s">
        <v>206</v>
      </c>
    </row>
    <row r="119" spans="1:24" x14ac:dyDescent="0.2">
      <c r="A119"/>
      <c r="B119"/>
      <c r="C119"/>
      <c r="D119"/>
      <c r="E119"/>
      <c r="F119" t="str">
        <f>LEFT(AllDaqbookOffsets[[#This Row],[traceability_no]],2)</f>
        <v>J1</v>
      </c>
      <c r="W119" t="s">
        <v>1094</v>
      </c>
      <c r="X119" t="s">
        <v>206</v>
      </c>
    </row>
    <row r="120" spans="1:24" x14ac:dyDescent="0.2">
      <c r="A120"/>
      <c r="B120"/>
      <c r="C120"/>
      <c r="D120"/>
      <c r="E120"/>
      <c r="F120" t="str">
        <f>LEFT(AllDaqbookOffsets[[#This Row],[traceability_no]],2)</f>
        <v>J1</v>
      </c>
      <c r="W120" t="s">
        <v>1095</v>
      </c>
      <c r="X120" t="s">
        <v>206</v>
      </c>
    </row>
    <row r="121" spans="1:24" x14ac:dyDescent="0.2">
      <c r="A121"/>
      <c r="B121"/>
      <c r="C121"/>
      <c r="D121"/>
      <c r="E121"/>
      <c r="F121" t="str">
        <f>LEFT(AllDaqbookOffsets[[#This Row],[traceability_no]],2)</f>
        <v>J1</v>
      </c>
      <c r="W121" t="s">
        <v>1096</v>
      </c>
      <c r="X121" t="s">
        <v>206</v>
      </c>
    </row>
    <row r="122" spans="1:24" x14ac:dyDescent="0.2">
      <c r="A122"/>
      <c r="B122"/>
      <c r="C122"/>
      <c r="D122"/>
      <c r="E122"/>
      <c r="F122" t="str">
        <f>LEFT(AllDaqbookOffsets[[#This Row],[traceability_no]],2)</f>
        <v>J1</v>
      </c>
      <c r="W122" t="s">
        <v>1097</v>
      </c>
      <c r="X122" t="s">
        <v>206</v>
      </c>
    </row>
    <row r="123" spans="1:24" x14ac:dyDescent="0.2">
      <c r="A123"/>
      <c r="B123"/>
      <c r="C123"/>
      <c r="D123"/>
      <c r="E123"/>
      <c r="F123" t="str">
        <f>LEFT(AllDaqbookOffsets[[#This Row],[traceability_no]],2)</f>
        <v>J1</v>
      </c>
      <c r="W123" t="s">
        <v>1098</v>
      </c>
      <c r="X123" t="s">
        <v>206</v>
      </c>
    </row>
    <row r="124" spans="1:24" x14ac:dyDescent="0.2">
      <c r="A124"/>
      <c r="B124"/>
      <c r="C124"/>
      <c r="D124"/>
      <c r="E124"/>
      <c r="F124" t="str">
        <f>LEFT(AllDaqbookOffsets[[#This Row],[traceability_no]],2)</f>
        <v>J1</v>
      </c>
      <c r="W124" t="s">
        <v>1099</v>
      </c>
      <c r="X124" t="s">
        <v>206</v>
      </c>
    </row>
    <row r="125" spans="1:24" x14ac:dyDescent="0.2">
      <c r="A125"/>
      <c r="B125"/>
      <c r="C125"/>
      <c r="D125"/>
      <c r="E125"/>
      <c r="F125" t="str">
        <f>LEFT(AllDaqbookOffsets[[#This Row],[traceability_no]],2)</f>
        <v>J1</v>
      </c>
      <c r="W125" t="s">
        <v>1100</v>
      </c>
      <c r="X125" t="s">
        <v>206</v>
      </c>
    </row>
    <row r="126" spans="1:24" x14ac:dyDescent="0.2">
      <c r="A126"/>
      <c r="B126"/>
      <c r="C126"/>
      <c r="D126"/>
      <c r="E126"/>
      <c r="F126" t="str">
        <f>LEFT(AllDaqbookOffsets[[#This Row],[traceability_no]],2)</f>
        <v>J1</v>
      </c>
      <c r="W126" t="s">
        <v>1101</v>
      </c>
      <c r="X126" t="s">
        <v>206</v>
      </c>
    </row>
    <row r="127" spans="1:24" x14ac:dyDescent="0.2">
      <c r="A127"/>
      <c r="B127"/>
      <c r="C127"/>
      <c r="D127"/>
      <c r="E127"/>
      <c r="F127" t="str">
        <f>LEFT(AllDaqbookOffsets[[#This Row],[traceability_no]],2)</f>
        <v>J1</v>
      </c>
      <c r="W127" t="s">
        <v>1087</v>
      </c>
      <c r="X127" t="s">
        <v>367</v>
      </c>
    </row>
    <row r="128" spans="1:24" x14ac:dyDescent="0.2">
      <c r="A128"/>
      <c r="B128"/>
      <c r="C128"/>
      <c r="D128"/>
      <c r="E128"/>
      <c r="F128" t="str">
        <f>LEFT(AllDaqbookOffsets[[#This Row],[traceability_no]],2)</f>
        <v>J1</v>
      </c>
      <c r="W128" t="s">
        <v>1102</v>
      </c>
      <c r="X128" t="s">
        <v>206</v>
      </c>
    </row>
    <row r="129" spans="1:24" x14ac:dyDescent="0.2">
      <c r="A129"/>
      <c r="B129"/>
      <c r="C129"/>
      <c r="D129"/>
      <c r="E129"/>
      <c r="F129" t="str">
        <f>LEFT(AllDaqbookOffsets[[#This Row],[traceability_no]],2)</f>
        <v>J1</v>
      </c>
      <c r="W129" t="s">
        <v>1088</v>
      </c>
      <c r="X129" t="s">
        <v>367</v>
      </c>
    </row>
    <row r="130" spans="1:24" x14ac:dyDescent="0.2">
      <c r="A130"/>
      <c r="B130"/>
      <c r="C130"/>
      <c r="D130"/>
      <c r="E130"/>
      <c r="F130" t="str">
        <f>LEFT(AllDaqbookOffsets[[#This Row],[traceability_no]],2)</f>
        <v>J1</v>
      </c>
      <c r="W130" t="s">
        <v>1089</v>
      </c>
      <c r="X130" t="s">
        <v>367</v>
      </c>
    </row>
    <row r="131" spans="1:24" x14ac:dyDescent="0.2">
      <c r="A131"/>
      <c r="B131"/>
      <c r="C131"/>
      <c r="D131"/>
      <c r="E131"/>
      <c r="F131" t="str">
        <f>LEFT(AllDaqbookOffsets[[#This Row],[traceability_no]],2)</f>
        <v>J1</v>
      </c>
      <c r="W131" t="s">
        <v>1090</v>
      </c>
      <c r="X131" t="s">
        <v>367</v>
      </c>
    </row>
    <row r="132" spans="1:24" x14ac:dyDescent="0.2">
      <c r="A132"/>
      <c r="B132"/>
      <c r="C132"/>
      <c r="D132"/>
      <c r="E132"/>
      <c r="F132" t="str">
        <f>LEFT(AllDaqbookOffsets[[#This Row],[traceability_no]],2)</f>
        <v>J1</v>
      </c>
      <c r="W132" t="s">
        <v>1091</v>
      </c>
      <c r="X132" t="s">
        <v>367</v>
      </c>
    </row>
    <row r="133" spans="1:24" x14ac:dyDescent="0.2">
      <c r="A133"/>
      <c r="B133"/>
      <c r="C133"/>
      <c r="D133"/>
      <c r="E133"/>
      <c r="F133" t="str">
        <f>LEFT(AllDaqbookOffsets[[#This Row],[traceability_no]],2)</f>
        <v>J1</v>
      </c>
      <c r="W133" t="s">
        <v>1092</v>
      </c>
      <c r="X133" t="s">
        <v>367</v>
      </c>
    </row>
    <row r="134" spans="1:24" x14ac:dyDescent="0.2">
      <c r="A134"/>
      <c r="B134"/>
      <c r="C134"/>
      <c r="D134"/>
      <c r="E134"/>
      <c r="F134" t="str">
        <f>LEFT(AllDaqbookOffsets[[#This Row],[traceability_no]],2)</f>
        <v>J1</v>
      </c>
      <c r="W134" t="s">
        <v>1103</v>
      </c>
      <c r="X134" t="s">
        <v>207</v>
      </c>
    </row>
    <row r="135" spans="1:24" x14ac:dyDescent="0.2">
      <c r="A135"/>
      <c r="B135"/>
      <c r="C135"/>
      <c r="D135"/>
      <c r="E135"/>
      <c r="F135" t="str">
        <f>LEFT(AllDaqbookOffsets[[#This Row],[traceability_no]],2)</f>
        <v>J1</v>
      </c>
      <c r="W135" t="s">
        <v>1104</v>
      </c>
      <c r="X135" t="s">
        <v>207</v>
      </c>
    </row>
    <row r="136" spans="1:24" x14ac:dyDescent="0.2">
      <c r="A136"/>
      <c r="B136"/>
      <c r="C136"/>
      <c r="D136"/>
      <c r="E136"/>
      <c r="F136" t="str">
        <f>LEFT(AllDaqbookOffsets[[#This Row],[traceability_no]],2)</f>
        <v>J1</v>
      </c>
      <c r="W136" t="s">
        <v>1105</v>
      </c>
      <c r="X136" t="s">
        <v>207</v>
      </c>
    </row>
    <row r="137" spans="1:24" x14ac:dyDescent="0.2">
      <c r="A137"/>
      <c r="B137"/>
      <c r="C137"/>
      <c r="D137"/>
      <c r="E137"/>
      <c r="F137" t="str">
        <f>LEFT(AllDaqbookOffsets[[#This Row],[traceability_no]],2)</f>
        <v>J1</v>
      </c>
      <c r="W137" t="s">
        <v>1106</v>
      </c>
      <c r="X137" t="s">
        <v>207</v>
      </c>
    </row>
    <row r="138" spans="1:24" x14ac:dyDescent="0.2">
      <c r="A138"/>
      <c r="B138"/>
      <c r="C138"/>
      <c r="D138"/>
      <c r="E138"/>
      <c r="F138" t="str">
        <f>LEFT(AllDaqbookOffsets[[#This Row],[traceability_no]],2)</f>
        <v>J1</v>
      </c>
      <c r="W138" t="s">
        <v>1107</v>
      </c>
      <c r="X138" t="s">
        <v>207</v>
      </c>
    </row>
    <row r="139" spans="1:24" x14ac:dyDescent="0.2">
      <c r="A139"/>
      <c r="B139"/>
      <c r="C139"/>
      <c r="D139"/>
      <c r="E139"/>
      <c r="F139" t="str">
        <f>LEFT(AllDaqbookOffsets[[#This Row],[traceability_no]],2)</f>
        <v>J1</v>
      </c>
      <c r="W139" t="s">
        <v>1108</v>
      </c>
      <c r="X139" t="s">
        <v>207</v>
      </c>
    </row>
    <row r="140" spans="1:24" x14ac:dyDescent="0.2">
      <c r="A140"/>
      <c r="B140"/>
      <c r="C140"/>
      <c r="D140"/>
      <c r="E140"/>
      <c r="F140" t="str">
        <f>LEFT(AllDaqbookOffsets[[#This Row],[traceability_no]],2)</f>
        <v>J1</v>
      </c>
      <c r="W140" t="s">
        <v>1109</v>
      </c>
      <c r="X140" t="s">
        <v>207</v>
      </c>
    </row>
    <row r="141" spans="1:24" x14ac:dyDescent="0.2">
      <c r="A141"/>
      <c r="B141"/>
      <c r="C141"/>
      <c r="D141"/>
      <c r="E141"/>
      <c r="F141" t="str">
        <f>LEFT(AllDaqbookOffsets[[#This Row],[traceability_no]],2)</f>
        <v>J1</v>
      </c>
      <c r="W141" t="s">
        <v>1110</v>
      </c>
      <c r="X141" t="s">
        <v>207</v>
      </c>
    </row>
    <row r="142" spans="1:24" x14ac:dyDescent="0.2">
      <c r="A142"/>
      <c r="B142"/>
      <c r="C142"/>
      <c r="D142"/>
      <c r="E142"/>
      <c r="F142" t="str">
        <f>LEFT(AllDaqbookOffsets[[#This Row],[traceability_no]],2)</f>
        <v>J1</v>
      </c>
      <c r="W142" t="s">
        <v>1111</v>
      </c>
      <c r="X142" t="s">
        <v>207</v>
      </c>
    </row>
    <row r="143" spans="1:24" x14ac:dyDescent="0.2">
      <c r="A143"/>
      <c r="B143"/>
      <c r="C143"/>
      <c r="D143"/>
      <c r="E143"/>
      <c r="F143" t="str">
        <f>LEFT(AllDaqbookOffsets[[#This Row],[traceability_no]],2)</f>
        <v>J1</v>
      </c>
      <c r="W143" t="s">
        <v>1112</v>
      </c>
      <c r="X143" t="s">
        <v>207</v>
      </c>
    </row>
    <row r="144" spans="1:24" x14ac:dyDescent="0.2">
      <c r="A144"/>
      <c r="B144"/>
      <c r="C144"/>
      <c r="D144"/>
      <c r="E144"/>
      <c r="F144" t="str">
        <f>LEFT(AllDaqbookOffsets[[#This Row],[traceability_no]],2)</f>
        <v>J1</v>
      </c>
      <c r="W144" t="s">
        <v>1113</v>
      </c>
      <c r="X144" t="s">
        <v>207</v>
      </c>
    </row>
    <row r="145" spans="1:24" x14ac:dyDescent="0.2">
      <c r="A145"/>
      <c r="B145"/>
      <c r="C145"/>
      <c r="D145"/>
      <c r="E145"/>
      <c r="F145" t="str">
        <f>LEFT(AllDaqbookOffsets[[#This Row],[traceability_no]],2)</f>
        <v>J1</v>
      </c>
      <c r="W145" t="s">
        <v>1114</v>
      </c>
      <c r="X145" t="s">
        <v>207</v>
      </c>
    </row>
    <row r="146" spans="1:24" x14ac:dyDescent="0.2">
      <c r="A146"/>
      <c r="B146"/>
      <c r="C146"/>
      <c r="D146"/>
      <c r="E146"/>
      <c r="F146" t="str">
        <f>LEFT(AllDaqbookOffsets[[#This Row],[traceability_no]],2)</f>
        <v>J1</v>
      </c>
      <c r="W146" t="s">
        <v>1115</v>
      </c>
      <c r="X146" t="s">
        <v>207</v>
      </c>
    </row>
    <row r="147" spans="1:24" x14ac:dyDescent="0.2">
      <c r="A147"/>
      <c r="B147"/>
      <c r="C147"/>
      <c r="D147"/>
      <c r="E147"/>
      <c r="F147" t="str">
        <f>LEFT(AllDaqbookOffsets[[#This Row],[traceability_no]],2)</f>
        <v>J1</v>
      </c>
      <c r="W147" t="s">
        <v>1116</v>
      </c>
      <c r="X147" t="s">
        <v>207</v>
      </c>
    </row>
    <row r="148" spans="1:24" x14ac:dyDescent="0.2">
      <c r="A148"/>
      <c r="B148"/>
      <c r="C148"/>
      <c r="D148"/>
      <c r="E148"/>
      <c r="F148" t="str">
        <f>LEFT(AllDaqbookOffsets[[#This Row],[traceability_no]],2)</f>
        <v>J1</v>
      </c>
      <c r="W148" t="s">
        <v>1117</v>
      </c>
      <c r="X148" t="s">
        <v>208</v>
      </c>
    </row>
    <row r="149" spans="1:24" x14ac:dyDescent="0.2">
      <c r="A149"/>
      <c r="B149"/>
      <c r="C149"/>
      <c r="D149"/>
      <c r="E149"/>
      <c r="F149" t="str">
        <f>LEFT(AllDaqbookOffsets[[#This Row],[traceability_no]],2)</f>
        <v>J1</v>
      </c>
      <c r="W149" t="s">
        <v>1118</v>
      </c>
      <c r="X149" t="s">
        <v>208</v>
      </c>
    </row>
    <row r="150" spans="1:24" x14ac:dyDescent="0.2">
      <c r="A150"/>
      <c r="B150"/>
      <c r="C150"/>
      <c r="D150"/>
      <c r="E150"/>
      <c r="F150" t="str">
        <f>LEFT(AllDaqbookOffsets[[#This Row],[traceability_no]],2)</f>
        <v>J1</v>
      </c>
      <c r="W150" t="s">
        <v>1119</v>
      </c>
      <c r="X150" t="s">
        <v>208</v>
      </c>
    </row>
    <row r="151" spans="1:24" x14ac:dyDescent="0.2">
      <c r="A151"/>
      <c r="B151"/>
      <c r="C151"/>
      <c r="D151"/>
      <c r="E151"/>
      <c r="F151" t="str">
        <f>LEFT(AllDaqbookOffsets[[#This Row],[traceability_no]],2)</f>
        <v>J1</v>
      </c>
      <c r="W151" t="s">
        <v>1120</v>
      </c>
      <c r="X151" t="s">
        <v>208</v>
      </c>
    </row>
    <row r="152" spans="1:24" x14ac:dyDescent="0.2">
      <c r="A152"/>
      <c r="B152"/>
      <c r="C152"/>
      <c r="D152"/>
      <c r="E152"/>
      <c r="F152" t="str">
        <f>LEFT(AllDaqbookOffsets[[#This Row],[traceability_no]],2)</f>
        <v>J1</v>
      </c>
      <c r="W152" t="s">
        <v>1121</v>
      </c>
      <c r="X152" t="s">
        <v>208</v>
      </c>
    </row>
    <row r="153" spans="1:24" x14ac:dyDescent="0.2">
      <c r="A153"/>
      <c r="B153"/>
      <c r="C153"/>
      <c r="D153"/>
      <c r="E153"/>
      <c r="F153" t="str">
        <f>LEFT(AllDaqbookOffsets[[#This Row],[traceability_no]],2)</f>
        <v>J1</v>
      </c>
      <c r="W153" t="s">
        <v>1122</v>
      </c>
      <c r="X153" t="s">
        <v>208</v>
      </c>
    </row>
    <row r="154" spans="1:24" x14ac:dyDescent="0.2">
      <c r="A154"/>
      <c r="B154"/>
      <c r="C154"/>
      <c r="D154"/>
      <c r="E154"/>
      <c r="F154" t="str">
        <f>LEFT(AllDaqbookOffsets[[#This Row],[traceability_no]],2)</f>
        <v>J1</v>
      </c>
      <c r="W154" t="s">
        <v>1123</v>
      </c>
      <c r="X154" t="s">
        <v>208</v>
      </c>
    </row>
    <row r="155" spans="1:24" x14ac:dyDescent="0.2">
      <c r="A155"/>
      <c r="B155"/>
      <c r="C155"/>
      <c r="D155"/>
      <c r="E155"/>
      <c r="F155" t="str">
        <f>LEFT(AllDaqbookOffsets[[#This Row],[traceability_no]],2)</f>
        <v>J1</v>
      </c>
      <c r="W155" t="s">
        <v>1124</v>
      </c>
      <c r="X155" t="s">
        <v>208</v>
      </c>
    </row>
    <row r="156" spans="1:24" x14ac:dyDescent="0.2">
      <c r="A156"/>
      <c r="B156"/>
      <c r="C156"/>
      <c r="D156"/>
      <c r="E156"/>
      <c r="F156" t="str">
        <f>LEFT(AllDaqbookOffsets[[#This Row],[traceability_no]],2)</f>
        <v>J1</v>
      </c>
      <c r="W156" t="s">
        <v>1125</v>
      </c>
      <c r="X156" t="s">
        <v>208</v>
      </c>
    </row>
    <row r="157" spans="1:24" x14ac:dyDescent="0.2">
      <c r="A157"/>
      <c r="B157"/>
      <c r="C157"/>
      <c r="D157"/>
      <c r="E157"/>
      <c r="F157" t="str">
        <f>LEFT(AllDaqbookOffsets[[#This Row],[traceability_no]],2)</f>
        <v>J1</v>
      </c>
      <c r="W157" t="s">
        <v>1126</v>
      </c>
      <c r="X157" t="s">
        <v>208</v>
      </c>
    </row>
    <row r="158" spans="1:24" x14ac:dyDescent="0.2">
      <c r="A158"/>
      <c r="B158"/>
      <c r="C158"/>
      <c r="D158"/>
      <c r="E158"/>
      <c r="F158" t="str">
        <f>LEFT(AllDaqbookOffsets[[#This Row],[traceability_no]],2)</f>
        <v>J1</v>
      </c>
      <c r="W158" t="s">
        <v>1127</v>
      </c>
      <c r="X158" t="s">
        <v>208</v>
      </c>
    </row>
    <row r="159" spans="1:24" x14ac:dyDescent="0.2">
      <c r="A159"/>
      <c r="B159"/>
      <c r="C159"/>
      <c r="D159"/>
      <c r="E159"/>
      <c r="F159" t="str">
        <f>LEFT(AllDaqbookOffsets[[#This Row],[traceability_no]],2)</f>
        <v>J1</v>
      </c>
      <c r="W159" t="s">
        <v>1128</v>
      </c>
      <c r="X159" t="s">
        <v>208</v>
      </c>
    </row>
    <row r="160" spans="1:24" x14ac:dyDescent="0.2">
      <c r="A160"/>
      <c r="B160"/>
      <c r="C160"/>
      <c r="D160"/>
      <c r="E160"/>
      <c r="F160" t="str">
        <f>LEFT(AllDaqbookOffsets[[#This Row],[traceability_no]],2)</f>
        <v>J1</v>
      </c>
      <c r="W160" t="s">
        <v>1129</v>
      </c>
      <c r="X160" t="s">
        <v>208</v>
      </c>
    </row>
    <row r="161" spans="1:24" x14ac:dyDescent="0.2">
      <c r="A161"/>
      <c r="B161"/>
      <c r="C161"/>
      <c r="D161"/>
      <c r="E161"/>
      <c r="F161" t="str">
        <f>LEFT(AllDaqbookOffsets[[#This Row],[traceability_no]],2)</f>
        <v>J1</v>
      </c>
      <c r="W161" t="s">
        <v>1130</v>
      </c>
      <c r="X161" t="s">
        <v>208</v>
      </c>
    </row>
    <row r="162" spans="1:24" x14ac:dyDescent="0.2">
      <c r="A162"/>
      <c r="B162"/>
      <c r="C162"/>
      <c r="D162"/>
      <c r="E162"/>
      <c r="F162" t="str">
        <f>LEFT(AllDaqbookOffsets[[#This Row],[traceability_no]],2)</f>
        <v>J1</v>
      </c>
      <c r="W162" t="s">
        <v>1131</v>
      </c>
      <c r="X162" t="s">
        <v>209</v>
      </c>
    </row>
    <row r="163" spans="1:24" x14ac:dyDescent="0.2">
      <c r="A163"/>
      <c r="B163"/>
      <c r="C163"/>
      <c r="D163"/>
      <c r="E163"/>
      <c r="F163" t="str">
        <f>LEFT(AllDaqbookOffsets[[#This Row],[traceability_no]],2)</f>
        <v>J1</v>
      </c>
      <c r="W163" t="s">
        <v>1132</v>
      </c>
      <c r="X163" t="s">
        <v>209</v>
      </c>
    </row>
    <row r="164" spans="1:24" x14ac:dyDescent="0.2">
      <c r="A164"/>
      <c r="B164"/>
      <c r="C164"/>
      <c r="D164"/>
      <c r="E164"/>
      <c r="F164" t="str">
        <f>LEFT(AllDaqbookOffsets[[#This Row],[traceability_no]],2)</f>
        <v>J1</v>
      </c>
      <c r="W164" t="s">
        <v>1133</v>
      </c>
      <c r="X164" t="s">
        <v>209</v>
      </c>
    </row>
    <row r="165" spans="1:24" x14ac:dyDescent="0.2">
      <c r="A165"/>
      <c r="B165"/>
      <c r="C165"/>
      <c r="D165"/>
      <c r="E165"/>
      <c r="F165" t="str">
        <f>LEFT(AllDaqbookOffsets[[#This Row],[traceability_no]],2)</f>
        <v>J1</v>
      </c>
      <c r="W165" t="s">
        <v>1134</v>
      </c>
      <c r="X165" t="s">
        <v>209</v>
      </c>
    </row>
    <row r="166" spans="1:24" x14ac:dyDescent="0.2">
      <c r="A166"/>
      <c r="B166"/>
      <c r="C166"/>
      <c r="D166"/>
      <c r="E166"/>
      <c r="F166" t="str">
        <f>LEFT(AllDaqbookOffsets[[#This Row],[traceability_no]],2)</f>
        <v>J1</v>
      </c>
      <c r="W166" t="s">
        <v>1135</v>
      </c>
      <c r="X166" t="s">
        <v>209</v>
      </c>
    </row>
    <row r="167" spans="1:24" x14ac:dyDescent="0.2">
      <c r="A167"/>
      <c r="B167"/>
      <c r="C167"/>
      <c r="D167"/>
      <c r="E167"/>
      <c r="F167" t="str">
        <f>LEFT(AllDaqbookOffsets[[#This Row],[traceability_no]],2)</f>
        <v>J1</v>
      </c>
      <c r="W167" t="s">
        <v>1136</v>
      </c>
      <c r="X167" t="s">
        <v>209</v>
      </c>
    </row>
    <row r="168" spans="1:24" x14ac:dyDescent="0.2">
      <c r="A168"/>
      <c r="B168"/>
      <c r="C168"/>
      <c r="D168"/>
      <c r="E168"/>
      <c r="F168" t="str">
        <f>LEFT(AllDaqbookOffsets[[#This Row],[traceability_no]],2)</f>
        <v>J1</v>
      </c>
      <c r="W168" t="s">
        <v>1137</v>
      </c>
      <c r="X168" t="s">
        <v>209</v>
      </c>
    </row>
    <row r="169" spans="1:24" x14ac:dyDescent="0.2">
      <c r="A169"/>
      <c r="B169"/>
      <c r="C169"/>
      <c r="D169"/>
      <c r="E169"/>
      <c r="F169" t="str">
        <f>LEFT(AllDaqbookOffsets[[#This Row],[traceability_no]],2)</f>
        <v>J1</v>
      </c>
      <c r="W169" t="s">
        <v>1138</v>
      </c>
      <c r="X169" t="s">
        <v>209</v>
      </c>
    </row>
    <row r="170" spans="1:24" x14ac:dyDescent="0.2">
      <c r="A170"/>
      <c r="B170"/>
      <c r="C170"/>
      <c r="D170"/>
      <c r="E170"/>
      <c r="F170" t="str">
        <f>LEFT(AllDaqbookOffsets[[#This Row],[traceability_no]],2)</f>
        <v>J1</v>
      </c>
      <c r="W170" t="s">
        <v>1139</v>
      </c>
      <c r="X170" t="s">
        <v>209</v>
      </c>
    </row>
    <row r="171" spans="1:24" x14ac:dyDescent="0.2">
      <c r="A171"/>
      <c r="B171"/>
      <c r="C171"/>
      <c r="D171"/>
      <c r="E171"/>
      <c r="F171" t="str">
        <f>LEFT(AllDaqbookOffsets[[#This Row],[traceability_no]],2)</f>
        <v>J1</v>
      </c>
      <c r="W171" t="s">
        <v>1140</v>
      </c>
      <c r="X171" t="s">
        <v>209</v>
      </c>
    </row>
    <row r="172" spans="1:24" x14ac:dyDescent="0.2">
      <c r="A172"/>
      <c r="B172"/>
      <c r="C172"/>
      <c r="D172"/>
      <c r="E172"/>
      <c r="F172" t="str">
        <f>LEFT(AllDaqbookOffsets[[#This Row],[traceability_no]],2)</f>
        <v>J1</v>
      </c>
      <c r="W172" t="s">
        <v>1141</v>
      </c>
      <c r="X172" t="s">
        <v>209</v>
      </c>
    </row>
    <row r="173" spans="1:24" x14ac:dyDescent="0.2">
      <c r="A173"/>
      <c r="B173"/>
      <c r="C173"/>
      <c r="D173"/>
      <c r="E173"/>
      <c r="F173" t="str">
        <f>LEFT(AllDaqbookOffsets[[#This Row],[traceability_no]],2)</f>
        <v>J1</v>
      </c>
      <c r="W173" t="s">
        <v>1142</v>
      </c>
      <c r="X173" t="s">
        <v>209</v>
      </c>
    </row>
    <row r="174" spans="1:24" x14ac:dyDescent="0.2">
      <c r="A174"/>
      <c r="B174"/>
      <c r="C174"/>
      <c r="D174"/>
      <c r="E174"/>
      <c r="F174" t="str">
        <f>LEFT(AllDaqbookOffsets[[#This Row],[traceability_no]],2)</f>
        <v>J1</v>
      </c>
      <c r="W174" t="s">
        <v>1143</v>
      </c>
      <c r="X174" t="s">
        <v>209</v>
      </c>
    </row>
    <row r="175" spans="1:24" x14ac:dyDescent="0.2">
      <c r="A175"/>
      <c r="B175"/>
      <c r="C175"/>
      <c r="D175"/>
      <c r="E175"/>
      <c r="F175" t="str">
        <f>LEFT(AllDaqbookOffsets[[#This Row],[traceability_no]],2)</f>
        <v>J1</v>
      </c>
      <c r="W175" t="s">
        <v>1144</v>
      </c>
      <c r="X175" t="s">
        <v>209</v>
      </c>
    </row>
    <row r="176" spans="1:24" x14ac:dyDescent="0.2">
      <c r="A176"/>
      <c r="B176"/>
      <c r="C176"/>
      <c r="D176"/>
      <c r="E176"/>
      <c r="F176" t="str">
        <f>LEFT(AllDaqbookOffsets[[#This Row],[traceability_no]],2)</f>
        <v>J1</v>
      </c>
      <c r="W176" t="s">
        <v>1145</v>
      </c>
      <c r="X176" t="s">
        <v>209</v>
      </c>
    </row>
    <row r="177" spans="1:24" x14ac:dyDescent="0.2">
      <c r="A177"/>
      <c r="B177"/>
      <c r="C177"/>
      <c r="D177"/>
      <c r="E177"/>
      <c r="F177" t="str">
        <f>LEFT(AllDaqbookOffsets[[#This Row],[traceability_no]],2)</f>
        <v>J1</v>
      </c>
      <c r="W177" t="s">
        <v>1146</v>
      </c>
      <c r="X177" t="s">
        <v>209</v>
      </c>
    </row>
    <row r="178" spans="1:24" x14ac:dyDescent="0.2">
      <c r="A178"/>
      <c r="B178"/>
      <c r="C178"/>
      <c r="D178"/>
      <c r="E178"/>
      <c r="F178" t="str">
        <f>LEFT(AllDaqbookOffsets[[#This Row],[traceability_no]],2)</f>
        <v>J1</v>
      </c>
      <c r="W178" t="s">
        <v>1147</v>
      </c>
      <c r="X178" t="s">
        <v>210</v>
      </c>
    </row>
    <row r="179" spans="1:24" x14ac:dyDescent="0.2">
      <c r="A179"/>
      <c r="B179"/>
      <c r="C179"/>
      <c r="D179"/>
      <c r="E179"/>
      <c r="F179" t="str">
        <f>LEFT(AllDaqbookOffsets[[#This Row],[traceability_no]],2)</f>
        <v>J1</v>
      </c>
      <c r="W179" t="s">
        <v>1148</v>
      </c>
      <c r="X179" t="s">
        <v>210</v>
      </c>
    </row>
    <row r="180" spans="1:24" x14ac:dyDescent="0.2">
      <c r="A180"/>
      <c r="B180"/>
      <c r="C180"/>
      <c r="D180"/>
      <c r="E180"/>
      <c r="F180" t="str">
        <f>LEFT(AllDaqbookOffsets[[#This Row],[traceability_no]],2)</f>
        <v>J1</v>
      </c>
      <c r="W180" t="s">
        <v>1149</v>
      </c>
      <c r="X180" t="s">
        <v>210</v>
      </c>
    </row>
    <row r="181" spans="1:24" x14ac:dyDescent="0.2">
      <c r="A181"/>
      <c r="B181"/>
      <c r="C181"/>
      <c r="D181"/>
      <c r="E181"/>
      <c r="F181" t="str">
        <f>LEFT(AllDaqbookOffsets[[#This Row],[traceability_no]],2)</f>
        <v>J1</v>
      </c>
      <c r="W181" t="s">
        <v>1150</v>
      </c>
      <c r="X181" t="s">
        <v>210</v>
      </c>
    </row>
    <row r="182" spans="1:24" x14ac:dyDescent="0.2">
      <c r="A182"/>
      <c r="B182"/>
      <c r="C182"/>
      <c r="D182"/>
      <c r="E182"/>
      <c r="F182" t="str">
        <f>LEFT(AllDaqbookOffsets[[#This Row],[traceability_no]],2)</f>
        <v>J1</v>
      </c>
      <c r="W182" t="s">
        <v>1151</v>
      </c>
      <c r="X182" t="s">
        <v>210</v>
      </c>
    </row>
    <row r="183" spans="1:24" x14ac:dyDescent="0.2">
      <c r="A183"/>
      <c r="B183"/>
      <c r="C183"/>
      <c r="D183"/>
      <c r="E183"/>
      <c r="F183" t="str">
        <f>LEFT(AllDaqbookOffsets[[#This Row],[traceability_no]],2)</f>
        <v>J1</v>
      </c>
      <c r="W183" t="s">
        <v>1152</v>
      </c>
      <c r="X183" t="s">
        <v>210</v>
      </c>
    </row>
    <row r="184" spans="1:24" x14ac:dyDescent="0.2">
      <c r="A184"/>
      <c r="B184"/>
      <c r="C184"/>
      <c r="D184"/>
      <c r="E184"/>
      <c r="F184" t="str">
        <f>LEFT(AllDaqbookOffsets[[#This Row],[traceability_no]],2)</f>
        <v>J1</v>
      </c>
      <c r="W184" t="s">
        <v>1153</v>
      </c>
      <c r="X184" t="s">
        <v>210</v>
      </c>
    </row>
    <row r="185" spans="1:24" x14ac:dyDescent="0.2">
      <c r="A185"/>
      <c r="B185"/>
      <c r="C185"/>
      <c r="D185"/>
      <c r="E185"/>
      <c r="F185" t="str">
        <f>LEFT(AllDaqbookOffsets[[#This Row],[traceability_no]],2)</f>
        <v>J1</v>
      </c>
      <c r="W185" t="s">
        <v>1154</v>
      </c>
      <c r="X185" t="s">
        <v>210</v>
      </c>
    </row>
    <row r="186" spans="1:24" x14ac:dyDescent="0.2">
      <c r="A186"/>
      <c r="B186"/>
      <c r="C186"/>
      <c r="D186"/>
      <c r="E186"/>
      <c r="F186" t="str">
        <f>LEFT(AllDaqbookOffsets[[#This Row],[traceability_no]],2)</f>
        <v>J1</v>
      </c>
      <c r="W186" t="s">
        <v>1155</v>
      </c>
      <c r="X186" t="s">
        <v>210</v>
      </c>
    </row>
    <row r="187" spans="1:24" x14ac:dyDescent="0.2">
      <c r="A187"/>
      <c r="B187"/>
      <c r="C187"/>
      <c r="D187"/>
      <c r="E187"/>
      <c r="F187" t="str">
        <f>LEFT(AllDaqbookOffsets[[#This Row],[traceability_no]],2)</f>
        <v>J1</v>
      </c>
      <c r="W187" t="s">
        <v>1156</v>
      </c>
      <c r="X187" t="s">
        <v>210</v>
      </c>
    </row>
    <row r="188" spans="1:24" x14ac:dyDescent="0.2">
      <c r="A188"/>
      <c r="B188"/>
      <c r="C188"/>
      <c r="D188"/>
      <c r="E188"/>
      <c r="F188" t="str">
        <f>LEFT(AllDaqbookOffsets[[#This Row],[traceability_no]],2)</f>
        <v>J1</v>
      </c>
      <c r="W188" t="s">
        <v>1157</v>
      </c>
      <c r="X188" t="s">
        <v>210</v>
      </c>
    </row>
    <row r="189" spans="1:24" x14ac:dyDescent="0.2">
      <c r="A189"/>
      <c r="B189"/>
      <c r="C189"/>
      <c r="D189"/>
      <c r="E189"/>
      <c r="F189" t="str">
        <f>LEFT(AllDaqbookOffsets[[#This Row],[traceability_no]],2)</f>
        <v>J1</v>
      </c>
      <c r="W189" t="s">
        <v>1158</v>
      </c>
      <c r="X189" t="s">
        <v>210</v>
      </c>
    </row>
    <row r="190" spans="1:24" x14ac:dyDescent="0.2">
      <c r="A190"/>
      <c r="B190"/>
      <c r="C190"/>
      <c r="D190"/>
      <c r="E190"/>
      <c r="F190" t="str">
        <f>LEFT(AllDaqbookOffsets[[#This Row],[traceability_no]],2)</f>
        <v>J1</v>
      </c>
      <c r="W190" t="s">
        <v>1159</v>
      </c>
      <c r="X190" t="s">
        <v>210</v>
      </c>
    </row>
    <row r="191" spans="1:24" x14ac:dyDescent="0.2">
      <c r="A191"/>
      <c r="B191"/>
      <c r="C191"/>
      <c r="D191"/>
      <c r="E191"/>
      <c r="F191" t="str">
        <f>LEFT(AllDaqbookOffsets[[#This Row],[traceability_no]],2)</f>
        <v>J1</v>
      </c>
      <c r="W191" t="s">
        <v>1160</v>
      </c>
      <c r="X191" t="s">
        <v>210</v>
      </c>
    </row>
    <row r="192" spans="1:24" x14ac:dyDescent="0.2">
      <c r="A192"/>
      <c r="B192"/>
      <c r="C192"/>
      <c r="D192"/>
      <c r="E192"/>
      <c r="F192" t="str">
        <f>LEFT(AllDaqbookOffsets[[#This Row],[traceability_no]],2)</f>
        <v>J1</v>
      </c>
      <c r="W192" t="s">
        <v>1161</v>
      </c>
      <c r="X192" t="s">
        <v>211</v>
      </c>
    </row>
    <row r="193" spans="1:24" x14ac:dyDescent="0.2">
      <c r="A193"/>
      <c r="B193"/>
      <c r="C193"/>
      <c r="D193"/>
      <c r="E193"/>
      <c r="F193" t="str">
        <f>LEFT(AllDaqbookOffsets[[#This Row],[traceability_no]],2)</f>
        <v>J1</v>
      </c>
      <c r="W193" t="s">
        <v>1162</v>
      </c>
      <c r="X193" t="s">
        <v>211</v>
      </c>
    </row>
    <row r="194" spans="1:24" x14ac:dyDescent="0.2">
      <c r="A194"/>
      <c r="B194"/>
      <c r="C194"/>
      <c r="D194"/>
      <c r="E194"/>
      <c r="F194" t="str">
        <f>LEFT(AllDaqbookOffsets[[#This Row],[traceability_no]],2)</f>
        <v>J1</v>
      </c>
      <c r="W194" t="s">
        <v>1163</v>
      </c>
      <c r="X194" t="s">
        <v>211</v>
      </c>
    </row>
    <row r="195" spans="1:24" x14ac:dyDescent="0.2">
      <c r="A195"/>
      <c r="B195"/>
      <c r="C195"/>
      <c r="D195"/>
      <c r="E195"/>
      <c r="F195" t="str">
        <f>LEFT(AllDaqbookOffsets[[#This Row],[traceability_no]],2)</f>
        <v>J1</v>
      </c>
      <c r="W195" t="s">
        <v>1164</v>
      </c>
      <c r="X195" t="s">
        <v>211</v>
      </c>
    </row>
    <row r="196" spans="1:24" x14ac:dyDescent="0.2">
      <c r="A196"/>
      <c r="B196"/>
      <c r="C196"/>
      <c r="D196"/>
      <c r="E196"/>
      <c r="F196" t="str">
        <f>LEFT(AllDaqbookOffsets[[#This Row],[traceability_no]],2)</f>
        <v>J1</v>
      </c>
      <c r="W196" t="s">
        <v>1165</v>
      </c>
      <c r="X196" t="s">
        <v>211</v>
      </c>
    </row>
    <row r="197" spans="1:24" x14ac:dyDescent="0.2">
      <c r="A197"/>
      <c r="B197"/>
      <c r="C197"/>
      <c r="D197"/>
      <c r="E197"/>
      <c r="F197" t="str">
        <f>LEFT(AllDaqbookOffsets[[#This Row],[traceability_no]],2)</f>
        <v>J1</v>
      </c>
      <c r="W197" t="s">
        <v>1166</v>
      </c>
      <c r="X197" t="s">
        <v>211</v>
      </c>
    </row>
    <row r="198" spans="1:24" x14ac:dyDescent="0.2">
      <c r="A198"/>
      <c r="B198"/>
      <c r="C198"/>
      <c r="D198"/>
      <c r="E198"/>
      <c r="F198" t="str">
        <f>LEFT(AllDaqbookOffsets[[#This Row],[traceability_no]],2)</f>
        <v>J1</v>
      </c>
      <c r="W198" t="s">
        <v>1167</v>
      </c>
      <c r="X198" t="s">
        <v>211</v>
      </c>
    </row>
    <row r="199" spans="1:24" x14ac:dyDescent="0.2">
      <c r="A199"/>
      <c r="B199"/>
      <c r="C199"/>
      <c r="D199"/>
      <c r="E199"/>
      <c r="F199" t="str">
        <f>LEFT(AllDaqbookOffsets[[#This Row],[traceability_no]],2)</f>
        <v>J1</v>
      </c>
      <c r="W199" t="s">
        <v>1168</v>
      </c>
      <c r="X199" t="s">
        <v>211</v>
      </c>
    </row>
    <row r="200" spans="1:24" x14ac:dyDescent="0.2">
      <c r="A200"/>
      <c r="B200"/>
      <c r="C200"/>
      <c r="D200"/>
      <c r="E200"/>
      <c r="F200" t="str">
        <f>LEFT(AllDaqbookOffsets[[#This Row],[traceability_no]],2)</f>
        <v>J1</v>
      </c>
      <c r="W200" t="s">
        <v>1169</v>
      </c>
      <c r="X200" t="s">
        <v>211</v>
      </c>
    </row>
    <row r="201" spans="1:24" x14ac:dyDescent="0.2">
      <c r="A201"/>
      <c r="B201"/>
      <c r="C201"/>
      <c r="D201"/>
      <c r="E201"/>
      <c r="F201" t="str">
        <f>LEFT(AllDaqbookOffsets[[#This Row],[traceability_no]],2)</f>
        <v>J1</v>
      </c>
      <c r="W201" t="s">
        <v>1170</v>
      </c>
      <c r="X201" t="s">
        <v>211</v>
      </c>
    </row>
    <row r="202" spans="1:24" x14ac:dyDescent="0.2">
      <c r="A202"/>
      <c r="B202"/>
      <c r="C202"/>
      <c r="D202"/>
      <c r="E202"/>
      <c r="F202" t="str">
        <f>LEFT(AllDaqbookOffsets[[#This Row],[traceability_no]],2)</f>
        <v>J1</v>
      </c>
      <c r="W202" t="s">
        <v>1171</v>
      </c>
      <c r="X202" t="s">
        <v>212</v>
      </c>
    </row>
    <row r="203" spans="1:24" x14ac:dyDescent="0.2">
      <c r="A203"/>
      <c r="B203"/>
      <c r="C203"/>
      <c r="D203"/>
      <c r="E203"/>
      <c r="F203" t="str">
        <f>LEFT(AllDaqbookOffsets[[#This Row],[traceability_no]],2)</f>
        <v>J1</v>
      </c>
      <c r="W203" t="s">
        <v>1172</v>
      </c>
      <c r="X203" t="s">
        <v>212</v>
      </c>
    </row>
    <row r="204" spans="1:24" x14ac:dyDescent="0.2">
      <c r="A204"/>
      <c r="B204"/>
      <c r="C204"/>
      <c r="D204"/>
      <c r="E204"/>
      <c r="F204" t="str">
        <f>LEFT(AllDaqbookOffsets[[#This Row],[traceability_no]],2)</f>
        <v>J1</v>
      </c>
      <c r="W204" t="s">
        <v>1173</v>
      </c>
      <c r="X204" t="s">
        <v>212</v>
      </c>
    </row>
    <row r="205" spans="1:24" x14ac:dyDescent="0.2">
      <c r="A205"/>
      <c r="B205"/>
      <c r="C205"/>
      <c r="D205"/>
      <c r="E205"/>
      <c r="F205" t="str">
        <f>LEFT(AllDaqbookOffsets[[#This Row],[traceability_no]],2)</f>
        <v>J1</v>
      </c>
      <c r="W205" t="s">
        <v>1174</v>
      </c>
      <c r="X205" t="s">
        <v>212</v>
      </c>
    </row>
    <row r="206" spans="1:24" x14ac:dyDescent="0.2">
      <c r="A206"/>
      <c r="B206"/>
      <c r="C206"/>
      <c r="D206"/>
      <c r="E206"/>
      <c r="F206" t="str">
        <f>LEFT(AllDaqbookOffsets[[#This Row],[traceability_no]],2)</f>
        <v>J1</v>
      </c>
      <c r="W206" t="s">
        <v>1175</v>
      </c>
      <c r="X206" t="s">
        <v>212</v>
      </c>
    </row>
    <row r="207" spans="1:24" x14ac:dyDescent="0.2">
      <c r="A207"/>
      <c r="B207"/>
      <c r="C207"/>
      <c r="D207"/>
      <c r="E207"/>
      <c r="F207" t="str">
        <f>LEFT(AllDaqbookOffsets[[#This Row],[traceability_no]],2)</f>
        <v>J1</v>
      </c>
      <c r="W207" t="s">
        <v>1176</v>
      </c>
      <c r="X207" t="s">
        <v>212</v>
      </c>
    </row>
    <row r="208" spans="1:24" x14ac:dyDescent="0.2">
      <c r="A208"/>
      <c r="B208"/>
      <c r="C208"/>
      <c r="D208"/>
      <c r="E208"/>
      <c r="F208" t="str">
        <f>LEFT(AllDaqbookOffsets[[#This Row],[traceability_no]],2)</f>
        <v>J1</v>
      </c>
      <c r="W208" t="s">
        <v>1177</v>
      </c>
      <c r="X208" t="s">
        <v>212</v>
      </c>
    </row>
    <row r="209" spans="1:24" x14ac:dyDescent="0.2">
      <c r="A209"/>
      <c r="B209"/>
      <c r="C209"/>
      <c r="D209"/>
      <c r="E209"/>
      <c r="F209" t="str">
        <f>LEFT(AllDaqbookOffsets[[#This Row],[traceability_no]],2)</f>
        <v>J1</v>
      </c>
      <c r="W209" t="s">
        <v>1178</v>
      </c>
      <c r="X209" t="s">
        <v>212</v>
      </c>
    </row>
    <row r="210" spans="1:24" x14ac:dyDescent="0.2">
      <c r="A210"/>
      <c r="B210"/>
      <c r="C210"/>
      <c r="D210"/>
      <c r="E210"/>
      <c r="F210" t="str">
        <f>LEFT(AllDaqbookOffsets[[#This Row],[traceability_no]],2)</f>
        <v>J1</v>
      </c>
      <c r="W210" t="s">
        <v>1179</v>
      </c>
      <c r="X210" t="s">
        <v>212</v>
      </c>
    </row>
    <row r="211" spans="1:24" x14ac:dyDescent="0.2">
      <c r="A211"/>
      <c r="B211"/>
      <c r="C211"/>
      <c r="D211"/>
      <c r="E211"/>
      <c r="F211" t="str">
        <f>LEFT(AllDaqbookOffsets[[#This Row],[traceability_no]],2)</f>
        <v>J1</v>
      </c>
      <c r="W211" t="s">
        <v>1180</v>
      </c>
      <c r="X211" t="s">
        <v>212</v>
      </c>
    </row>
    <row r="212" spans="1:24" x14ac:dyDescent="0.2">
      <c r="A212"/>
      <c r="B212"/>
      <c r="C212"/>
      <c r="D212"/>
      <c r="E212"/>
      <c r="F212" t="str">
        <f>LEFT(AllDaqbookOffsets[[#This Row],[traceability_no]],2)</f>
        <v>J1</v>
      </c>
      <c r="W212" t="s">
        <v>1181</v>
      </c>
      <c r="X212" t="s">
        <v>213</v>
      </c>
    </row>
    <row r="213" spans="1:24" x14ac:dyDescent="0.2">
      <c r="A213"/>
      <c r="B213"/>
      <c r="C213"/>
      <c r="D213"/>
      <c r="E213"/>
      <c r="F213" t="str">
        <f>LEFT(AllDaqbookOffsets[[#This Row],[traceability_no]],2)</f>
        <v>J1</v>
      </c>
      <c r="W213" t="s">
        <v>1182</v>
      </c>
      <c r="X213" t="s">
        <v>213</v>
      </c>
    </row>
    <row r="214" spans="1:24" x14ac:dyDescent="0.2">
      <c r="A214"/>
      <c r="B214"/>
      <c r="C214"/>
      <c r="D214"/>
      <c r="E214"/>
      <c r="F214" t="str">
        <f>LEFT(AllDaqbookOffsets[[#This Row],[traceability_no]],2)</f>
        <v>J1</v>
      </c>
      <c r="W214" t="s">
        <v>1183</v>
      </c>
      <c r="X214" t="s">
        <v>213</v>
      </c>
    </row>
    <row r="215" spans="1:24" x14ac:dyDescent="0.2">
      <c r="A215"/>
      <c r="B215"/>
      <c r="C215"/>
      <c r="D215"/>
      <c r="E215"/>
      <c r="F215" t="str">
        <f>LEFT(AllDaqbookOffsets[[#This Row],[traceability_no]],2)</f>
        <v>J1</v>
      </c>
      <c r="W215" t="s">
        <v>1184</v>
      </c>
      <c r="X215" t="s">
        <v>213</v>
      </c>
    </row>
    <row r="216" spans="1:24" x14ac:dyDescent="0.2">
      <c r="A216"/>
      <c r="B216"/>
      <c r="C216"/>
      <c r="D216"/>
      <c r="E216"/>
      <c r="F216" t="str">
        <f>LEFT(AllDaqbookOffsets[[#This Row],[traceability_no]],2)</f>
        <v>J1</v>
      </c>
      <c r="W216" t="s">
        <v>1185</v>
      </c>
      <c r="X216" t="s">
        <v>213</v>
      </c>
    </row>
    <row r="217" spans="1:24" x14ac:dyDescent="0.2">
      <c r="A217"/>
      <c r="B217"/>
      <c r="C217"/>
      <c r="D217"/>
      <c r="E217"/>
      <c r="F217" t="str">
        <f>LEFT(AllDaqbookOffsets[[#This Row],[traceability_no]],2)</f>
        <v>J1</v>
      </c>
      <c r="W217" t="s">
        <v>1186</v>
      </c>
      <c r="X217" t="s">
        <v>213</v>
      </c>
    </row>
    <row r="218" spans="1:24" x14ac:dyDescent="0.2">
      <c r="A218"/>
      <c r="B218"/>
      <c r="C218"/>
      <c r="D218"/>
      <c r="E218"/>
      <c r="F218" t="str">
        <f>LEFT(AllDaqbookOffsets[[#This Row],[traceability_no]],2)</f>
        <v>J1</v>
      </c>
      <c r="W218" t="s">
        <v>1187</v>
      </c>
      <c r="X218" t="s">
        <v>213</v>
      </c>
    </row>
    <row r="219" spans="1:24" x14ac:dyDescent="0.2">
      <c r="A219"/>
      <c r="B219"/>
      <c r="C219"/>
      <c r="D219"/>
      <c r="E219"/>
      <c r="F219" t="str">
        <f>LEFT(AllDaqbookOffsets[[#This Row],[traceability_no]],2)</f>
        <v>J1</v>
      </c>
      <c r="W219" t="s">
        <v>1188</v>
      </c>
      <c r="X219" t="s">
        <v>213</v>
      </c>
    </row>
    <row r="220" spans="1:24" x14ac:dyDescent="0.2">
      <c r="A220"/>
      <c r="B220"/>
      <c r="C220"/>
      <c r="D220"/>
      <c r="E220"/>
      <c r="F220" t="str">
        <f>LEFT(AllDaqbookOffsets[[#This Row],[traceability_no]],2)</f>
        <v>J1</v>
      </c>
      <c r="W220" t="s">
        <v>1189</v>
      </c>
      <c r="X220" t="s">
        <v>213</v>
      </c>
    </row>
    <row r="221" spans="1:24" x14ac:dyDescent="0.2">
      <c r="A221"/>
      <c r="B221"/>
      <c r="C221"/>
      <c r="D221"/>
      <c r="E221"/>
      <c r="F221" t="str">
        <f>LEFT(AllDaqbookOffsets[[#This Row],[traceability_no]],2)</f>
        <v>J1</v>
      </c>
      <c r="W221" t="s">
        <v>1190</v>
      </c>
      <c r="X221" t="s">
        <v>213</v>
      </c>
    </row>
    <row r="222" spans="1:24" x14ac:dyDescent="0.2">
      <c r="A222"/>
      <c r="B222"/>
      <c r="C222"/>
      <c r="D222"/>
      <c r="E222"/>
      <c r="F222" t="str">
        <f>LEFT(AllDaqbookOffsets[[#This Row],[traceability_no]],2)</f>
        <v>J1</v>
      </c>
      <c r="W222" t="s">
        <v>1191</v>
      </c>
      <c r="X222" t="s">
        <v>213</v>
      </c>
    </row>
    <row r="223" spans="1:24" x14ac:dyDescent="0.2">
      <c r="A223"/>
      <c r="B223"/>
      <c r="C223"/>
      <c r="D223"/>
      <c r="E223"/>
      <c r="F223" t="str">
        <f>LEFT(AllDaqbookOffsets[[#This Row],[traceability_no]],2)</f>
        <v>J1</v>
      </c>
      <c r="W223" t="s">
        <v>1192</v>
      </c>
      <c r="X223" t="s">
        <v>213</v>
      </c>
    </row>
    <row r="224" spans="1:24" x14ac:dyDescent="0.2">
      <c r="A224"/>
      <c r="B224"/>
      <c r="C224"/>
      <c r="D224"/>
      <c r="E224"/>
      <c r="F224" t="str">
        <f>LEFT(AllDaqbookOffsets[[#This Row],[traceability_no]],2)</f>
        <v>J1</v>
      </c>
      <c r="W224" t="s">
        <v>1193</v>
      </c>
      <c r="X224" t="s">
        <v>213</v>
      </c>
    </row>
    <row r="225" spans="1:24" x14ac:dyDescent="0.2">
      <c r="A225"/>
      <c r="B225"/>
      <c r="C225"/>
      <c r="D225"/>
      <c r="E225"/>
      <c r="F225" t="str">
        <f>LEFT(AllDaqbookOffsets[[#This Row],[traceability_no]],2)</f>
        <v>J1</v>
      </c>
      <c r="W225" t="s">
        <v>1194</v>
      </c>
      <c r="X225" t="s">
        <v>213</v>
      </c>
    </row>
    <row r="226" spans="1:24" x14ac:dyDescent="0.2">
      <c r="A226"/>
      <c r="B226"/>
      <c r="C226"/>
      <c r="D226"/>
      <c r="E226"/>
      <c r="F226" t="str">
        <f>LEFT(AllDaqbookOffsets[[#This Row],[traceability_no]],2)</f>
        <v>J1</v>
      </c>
      <c r="W226" t="s">
        <v>1195</v>
      </c>
      <c r="X226" t="s">
        <v>213</v>
      </c>
    </row>
    <row r="227" spans="1:24" x14ac:dyDescent="0.2">
      <c r="A227"/>
      <c r="B227"/>
      <c r="C227"/>
      <c r="D227"/>
      <c r="E227"/>
      <c r="F227" t="str">
        <f>LEFT(AllDaqbookOffsets[[#This Row],[traceability_no]],2)</f>
        <v>J1</v>
      </c>
      <c r="W227" t="s">
        <v>1196</v>
      </c>
      <c r="X227" t="s">
        <v>213</v>
      </c>
    </row>
    <row r="228" spans="1:24" x14ac:dyDescent="0.2">
      <c r="A228"/>
      <c r="B228"/>
      <c r="C228"/>
      <c r="D228"/>
      <c r="E228"/>
      <c r="F228" t="str">
        <f>LEFT(AllDaqbookOffsets[[#This Row],[traceability_no]],2)</f>
        <v>J1</v>
      </c>
      <c r="W228" t="s">
        <v>1197</v>
      </c>
      <c r="X228" t="s">
        <v>214</v>
      </c>
    </row>
    <row r="229" spans="1:24" x14ac:dyDescent="0.2">
      <c r="A229"/>
      <c r="B229"/>
      <c r="C229"/>
      <c r="D229"/>
      <c r="E229"/>
      <c r="F229" t="str">
        <f>LEFT(AllDaqbookOffsets[[#This Row],[traceability_no]],2)</f>
        <v>J1</v>
      </c>
      <c r="W229" t="s">
        <v>1198</v>
      </c>
      <c r="X229" t="s">
        <v>214</v>
      </c>
    </row>
    <row r="230" spans="1:24" x14ac:dyDescent="0.2">
      <c r="A230"/>
      <c r="B230"/>
      <c r="C230"/>
      <c r="D230"/>
      <c r="E230"/>
      <c r="F230" t="str">
        <f>LEFT(AllDaqbookOffsets[[#This Row],[traceability_no]],2)</f>
        <v>J1</v>
      </c>
      <c r="W230" t="s">
        <v>1199</v>
      </c>
      <c r="X230" t="s">
        <v>214</v>
      </c>
    </row>
    <row r="231" spans="1:24" x14ac:dyDescent="0.2">
      <c r="A231"/>
      <c r="B231"/>
      <c r="C231"/>
      <c r="D231"/>
      <c r="E231"/>
      <c r="F231" t="str">
        <f>LEFT(AllDaqbookOffsets[[#This Row],[traceability_no]],2)</f>
        <v>J1</v>
      </c>
      <c r="W231" t="s">
        <v>1200</v>
      </c>
      <c r="X231" t="s">
        <v>214</v>
      </c>
    </row>
    <row r="232" spans="1:24" x14ac:dyDescent="0.2">
      <c r="A232"/>
      <c r="B232"/>
      <c r="C232"/>
      <c r="D232"/>
      <c r="E232"/>
      <c r="F232" t="str">
        <f>LEFT(AllDaqbookOffsets[[#This Row],[traceability_no]],2)</f>
        <v>J1</v>
      </c>
      <c r="W232" t="s">
        <v>1201</v>
      </c>
      <c r="X232" t="s">
        <v>214</v>
      </c>
    </row>
    <row r="233" spans="1:24" x14ac:dyDescent="0.2">
      <c r="A233"/>
      <c r="B233"/>
      <c r="C233"/>
      <c r="D233"/>
      <c r="E233"/>
      <c r="F233" t="str">
        <f>LEFT(AllDaqbookOffsets[[#This Row],[traceability_no]],2)</f>
        <v>J1</v>
      </c>
      <c r="W233" t="s">
        <v>1202</v>
      </c>
      <c r="X233" t="s">
        <v>214</v>
      </c>
    </row>
    <row r="234" spans="1:24" x14ac:dyDescent="0.2">
      <c r="A234"/>
      <c r="B234"/>
      <c r="C234"/>
      <c r="D234"/>
      <c r="E234"/>
      <c r="F234" t="str">
        <f>LEFT(AllDaqbookOffsets[[#This Row],[traceability_no]],2)</f>
        <v>J1</v>
      </c>
      <c r="W234" t="s">
        <v>1203</v>
      </c>
      <c r="X234" t="s">
        <v>214</v>
      </c>
    </row>
    <row r="235" spans="1:24" x14ac:dyDescent="0.2">
      <c r="A235"/>
      <c r="B235"/>
      <c r="C235"/>
      <c r="D235"/>
      <c r="E235"/>
      <c r="F235" t="str">
        <f>LEFT(AllDaqbookOffsets[[#This Row],[traceability_no]],2)</f>
        <v>J1</v>
      </c>
      <c r="W235" t="s">
        <v>1204</v>
      </c>
      <c r="X235" t="s">
        <v>214</v>
      </c>
    </row>
    <row r="236" spans="1:24" x14ac:dyDescent="0.2">
      <c r="A236"/>
      <c r="B236"/>
      <c r="C236"/>
      <c r="D236"/>
      <c r="E236"/>
      <c r="F236" t="str">
        <f>LEFT(AllDaqbookOffsets[[#This Row],[traceability_no]],2)</f>
        <v>J1</v>
      </c>
      <c r="W236" t="s">
        <v>1205</v>
      </c>
      <c r="X236" t="s">
        <v>214</v>
      </c>
    </row>
    <row r="237" spans="1:24" x14ac:dyDescent="0.2">
      <c r="A237"/>
      <c r="B237"/>
      <c r="C237"/>
      <c r="D237"/>
      <c r="E237"/>
      <c r="F237" t="str">
        <f>LEFT(AllDaqbookOffsets[[#This Row],[traceability_no]],2)</f>
        <v>J1</v>
      </c>
      <c r="W237" t="s">
        <v>1206</v>
      </c>
      <c r="X237" t="s">
        <v>214</v>
      </c>
    </row>
    <row r="238" spans="1:24" x14ac:dyDescent="0.2">
      <c r="A238"/>
      <c r="B238"/>
      <c r="C238"/>
      <c r="D238"/>
      <c r="E238"/>
      <c r="F238" t="str">
        <f>LEFT(AllDaqbookOffsets[[#This Row],[traceability_no]],2)</f>
        <v>J1</v>
      </c>
      <c r="W238" t="s">
        <v>1207</v>
      </c>
      <c r="X238" t="s">
        <v>325</v>
      </c>
    </row>
    <row r="239" spans="1:24" x14ac:dyDescent="0.2">
      <c r="A239"/>
      <c r="B239"/>
      <c r="C239"/>
      <c r="D239"/>
      <c r="E239"/>
      <c r="F239" t="str">
        <f>LEFT(AllDaqbookOffsets[[#This Row],[traceability_no]],2)</f>
        <v>J1</v>
      </c>
      <c r="W239" t="s">
        <v>1208</v>
      </c>
      <c r="X239" t="s">
        <v>325</v>
      </c>
    </row>
    <row r="240" spans="1:24" x14ac:dyDescent="0.2">
      <c r="A240"/>
      <c r="B240"/>
      <c r="C240"/>
      <c r="D240"/>
      <c r="E240"/>
      <c r="F240" t="str">
        <f>LEFT(AllDaqbookOffsets[[#This Row],[traceability_no]],2)</f>
        <v>J1</v>
      </c>
      <c r="W240" t="s">
        <v>1209</v>
      </c>
      <c r="X240" t="s">
        <v>325</v>
      </c>
    </row>
    <row r="241" spans="1:24" x14ac:dyDescent="0.2">
      <c r="A241"/>
      <c r="B241"/>
      <c r="C241"/>
      <c r="D241"/>
      <c r="E241"/>
      <c r="F241" t="str">
        <f>LEFT(AllDaqbookOffsets[[#This Row],[traceability_no]],2)</f>
        <v>J1</v>
      </c>
      <c r="W241" t="s">
        <v>1210</v>
      </c>
      <c r="X241" t="s">
        <v>325</v>
      </c>
    </row>
    <row r="242" spans="1:24" x14ac:dyDescent="0.2">
      <c r="A242"/>
      <c r="B242"/>
      <c r="C242"/>
      <c r="D242"/>
      <c r="E242"/>
      <c r="F242" t="str">
        <f>LEFT(AllDaqbookOffsets[[#This Row],[traceability_no]],2)</f>
        <v>J2</v>
      </c>
      <c r="W242" t="s">
        <v>1211</v>
      </c>
      <c r="X242" t="s">
        <v>325</v>
      </c>
    </row>
    <row r="243" spans="1:24" x14ac:dyDescent="0.2">
      <c r="A243"/>
      <c r="B243"/>
      <c r="C243"/>
      <c r="D243"/>
      <c r="E243"/>
      <c r="F243" t="str">
        <f>LEFT(AllDaqbookOffsets[[#This Row],[traceability_no]],2)</f>
        <v>J2</v>
      </c>
      <c r="W243" t="s">
        <v>1212</v>
      </c>
      <c r="X243" t="s">
        <v>325</v>
      </c>
    </row>
    <row r="244" spans="1:24" x14ac:dyDescent="0.2">
      <c r="A244"/>
      <c r="B244"/>
      <c r="C244"/>
      <c r="D244"/>
      <c r="E244"/>
      <c r="F244" t="str">
        <f>LEFT(AllDaqbookOffsets[[#This Row],[traceability_no]],2)</f>
        <v>J2</v>
      </c>
      <c r="W244" t="s">
        <v>1213</v>
      </c>
      <c r="X244" t="s">
        <v>325</v>
      </c>
    </row>
    <row r="245" spans="1:24" x14ac:dyDescent="0.2">
      <c r="A245"/>
      <c r="B245"/>
      <c r="C245"/>
      <c r="D245"/>
      <c r="E245"/>
      <c r="F245" t="str">
        <f>LEFT(AllDaqbookOffsets[[#This Row],[traceability_no]],2)</f>
        <v>J2</v>
      </c>
      <c r="W245" t="s">
        <v>1214</v>
      </c>
      <c r="X245" t="s">
        <v>325</v>
      </c>
    </row>
    <row r="246" spans="1:24" x14ac:dyDescent="0.2">
      <c r="A246"/>
      <c r="B246"/>
      <c r="C246"/>
      <c r="D246"/>
      <c r="E246"/>
      <c r="F246" t="str">
        <f>LEFT(AllDaqbookOffsets[[#This Row],[traceability_no]],2)</f>
        <v>J2</v>
      </c>
      <c r="W246" t="s">
        <v>1215</v>
      </c>
      <c r="X246" t="s">
        <v>325</v>
      </c>
    </row>
    <row r="247" spans="1:24" x14ac:dyDescent="0.2">
      <c r="A247"/>
      <c r="B247"/>
      <c r="C247"/>
      <c r="D247"/>
      <c r="E247"/>
      <c r="F247" t="str">
        <f>LEFT(AllDaqbookOffsets[[#This Row],[traceability_no]],2)</f>
        <v>J2</v>
      </c>
      <c r="W247" t="s">
        <v>1216</v>
      </c>
      <c r="X247" t="s">
        <v>325</v>
      </c>
    </row>
    <row r="248" spans="1:24" x14ac:dyDescent="0.2">
      <c r="A248"/>
      <c r="B248"/>
      <c r="C248"/>
      <c r="D248"/>
      <c r="E248"/>
      <c r="F248" t="str">
        <f>LEFT(AllDaqbookOffsets[[#This Row],[traceability_no]],2)</f>
        <v>J2</v>
      </c>
      <c r="W248" t="s">
        <v>1223</v>
      </c>
      <c r="X248" t="s">
        <v>215</v>
      </c>
    </row>
    <row r="249" spans="1:24" x14ac:dyDescent="0.2">
      <c r="A249"/>
      <c r="B249"/>
      <c r="C249"/>
      <c r="D249"/>
      <c r="E249"/>
      <c r="F249" t="str">
        <f>LEFT(AllDaqbookOffsets[[#This Row],[traceability_no]],2)</f>
        <v>J2</v>
      </c>
      <c r="W249" t="s">
        <v>1224</v>
      </c>
      <c r="X249" t="s">
        <v>215</v>
      </c>
    </row>
    <row r="250" spans="1:24" x14ac:dyDescent="0.2">
      <c r="A250"/>
      <c r="B250"/>
      <c r="C250"/>
      <c r="D250"/>
      <c r="E250"/>
      <c r="F250" t="str">
        <f>LEFT(AllDaqbookOffsets[[#This Row],[traceability_no]],2)</f>
        <v>J2</v>
      </c>
      <c r="W250" t="s">
        <v>1225</v>
      </c>
      <c r="X250" t="s">
        <v>215</v>
      </c>
    </row>
    <row r="251" spans="1:24" x14ac:dyDescent="0.2">
      <c r="A251"/>
      <c r="B251"/>
      <c r="C251"/>
      <c r="D251"/>
      <c r="E251"/>
      <c r="F251" t="str">
        <f>LEFT(AllDaqbookOffsets[[#This Row],[traceability_no]],2)</f>
        <v>J2</v>
      </c>
      <c r="W251" t="s">
        <v>1226</v>
      </c>
      <c r="X251" t="s">
        <v>215</v>
      </c>
    </row>
    <row r="252" spans="1:24" x14ac:dyDescent="0.2">
      <c r="A252"/>
      <c r="B252"/>
      <c r="C252"/>
      <c r="D252"/>
      <c r="E252"/>
      <c r="F252" t="str">
        <f>LEFT(AllDaqbookOffsets[[#This Row],[traceability_no]],2)</f>
        <v>J2</v>
      </c>
      <c r="W252" t="s">
        <v>1227</v>
      </c>
      <c r="X252" t="s">
        <v>215</v>
      </c>
    </row>
    <row r="253" spans="1:24" x14ac:dyDescent="0.2">
      <c r="A253"/>
      <c r="B253"/>
      <c r="C253"/>
      <c r="D253"/>
      <c r="E253"/>
      <c r="F253" t="str">
        <f>LEFT(AllDaqbookOffsets[[#This Row],[traceability_no]],2)</f>
        <v>J2</v>
      </c>
      <c r="W253" t="s">
        <v>1228</v>
      </c>
      <c r="X253" t="s">
        <v>215</v>
      </c>
    </row>
    <row r="254" spans="1:24" x14ac:dyDescent="0.2">
      <c r="A254"/>
      <c r="B254"/>
      <c r="C254"/>
      <c r="D254"/>
      <c r="E254"/>
      <c r="F254" t="str">
        <f>LEFT(AllDaqbookOffsets[[#This Row],[traceability_no]],2)</f>
        <v>J2</v>
      </c>
      <c r="W254" t="s">
        <v>1229</v>
      </c>
      <c r="X254" t="s">
        <v>215</v>
      </c>
    </row>
    <row r="255" spans="1:24" x14ac:dyDescent="0.2">
      <c r="A255"/>
      <c r="B255"/>
      <c r="C255"/>
      <c r="D255"/>
      <c r="E255"/>
      <c r="F255" t="str">
        <f>LEFT(AllDaqbookOffsets[[#This Row],[traceability_no]],2)</f>
        <v>J2</v>
      </c>
      <c r="W255" t="s">
        <v>1230</v>
      </c>
      <c r="X255" t="s">
        <v>215</v>
      </c>
    </row>
    <row r="256" spans="1:24" x14ac:dyDescent="0.2">
      <c r="A256"/>
      <c r="B256"/>
      <c r="C256"/>
      <c r="D256"/>
      <c r="E256"/>
      <c r="F256" t="str">
        <f>LEFT(AllDaqbookOffsets[[#This Row],[traceability_no]],2)</f>
        <v>J2</v>
      </c>
      <c r="W256" t="s">
        <v>1231</v>
      </c>
      <c r="X256" t="s">
        <v>215</v>
      </c>
    </row>
    <row r="257" spans="1:24" x14ac:dyDescent="0.2">
      <c r="A257"/>
      <c r="B257"/>
      <c r="C257"/>
      <c r="D257"/>
      <c r="E257"/>
      <c r="F257" t="str">
        <f>LEFT(AllDaqbookOffsets[[#This Row],[traceability_no]],2)</f>
        <v>J2</v>
      </c>
      <c r="W257" t="s">
        <v>1217</v>
      </c>
      <c r="X257" t="s">
        <v>325</v>
      </c>
    </row>
    <row r="258" spans="1:24" x14ac:dyDescent="0.2">
      <c r="A258"/>
      <c r="B258"/>
      <c r="C258"/>
      <c r="D258"/>
      <c r="E258"/>
      <c r="F258" t="str">
        <f>LEFT(AllDaqbookOffsets[[#This Row],[traceability_no]],2)</f>
        <v>J2</v>
      </c>
      <c r="W258" t="s">
        <v>1232</v>
      </c>
      <c r="X258" t="s">
        <v>215</v>
      </c>
    </row>
    <row r="259" spans="1:24" x14ac:dyDescent="0.2">
      <c r="A259"/>
      <c r="B259"/>
      <c r="C259"/>
      <c r="D259"/>
      <c r="E259"/>
      <c r="F259" t="str">
        <f>LEFT(AllDaqbookOffsets[[#This Row],[traceability_no]],2)</f>
        <v>J2</v>
      </c>
      <c r="W259" t="s">
        <v>1233</v>
      </c>
      <c r="X259" t="s">
        <v>215</v>
      </c>
    </row>
    <row r="260" spans="1:24" x14ac:dyDescent="0.2">
      <c r="A260"/>
      <c r="B260"/>
      <c r="C260"/>
      <c r="D260"/>
      <c r="E260"/>
      <c r="F260" t="str">
        <f>LEFT(AllDaqbookOffsets[[#This Row],[traceability_no]],2)</f>
        <v>J2</v>
      </c>
      <c r="W260" t="s">
        <v>1234</v>
      </c>
      <c r="X260" t="s">
        <v>215</v>
      </c>
    </row>
    <row r="261" spans="1:24" x14ac:dyDescent="0.2">
      <c r="A261"/>
      <c r="B261"/>
      <c r="C261"/>
      <c r="D261"/>
      <c r="E261"/>
      <c r="F261" t="str">
        <f>LEFT(AllDaqbookOffsets[[#This Row],[traceability_no]],2)</f>
        <v>J2</v>
      </c>
      <c r="W261" t="s">
        <v>1218</v>
      </c>
      <c r="X261" t="s">
        <v>325</v>
      </c>
    </row>
    <row r="262" spans="1:24" x14ac:dyDescent="0.2">
      <c r="A262"/>
      <c r="B262"/>
      <c r="C262"/>
      <c r="D262"/>
      <c r="E262"/>
      <c r="F262" t="str">
        <f>LEFT(AllDaqbookOffsets[[#This Row],[traceability_no]],2)</f>
        <v>J2</v>
      </c>
      <c r="W262" t="s">
        <v>1219</v>
      </c>
      <c r="X262" t="s">
        <v>325</v>
      </c>
    </row>
    <row r="263" spans="1:24" x14ac:dyDescent="0.2">
      <c r="A263"/>
      <c r="B263"/>
      <c r="C263"/>
      <c r="D263"/>
      <c r="E263"/>
      <c r="F263" t="str">
        <f>LEFT(AllDaqbookOffsets[[#This Row],[traceability_no]],2)</f>
        <v>J2</v>
      </c>
      <c r="W263" t="s">
        <v>1220</v>
      </c>
      <c r="X263" t="s">
        <v>325</v>
      </c>
    </row>
    <row r="264" spans="1:24" x14ac:dyDescent="0.2">
      <c r="A264"/>
      <c r="B264"/>
      <c r="C264"/>
      <c r="D264"/>
      <c r="E264"/>
      <c r="F264" t="str">
        <f>LEFT(AllDaqbookOffsets[[#This Row],[traceability_no]],2)</f>
        <v>J2</v>
      </c>
      <c r="W264" t="s">
        <v>1221</v>
      </c>
      <c r="X264" t="s">
        <v>325</v>
      </c>
    </row>
    <row r="265" spans="1:24" x14ac:dyDescent="0.2">
      <c r="A265"/>
      <c r="B265"/>
      <c r="C265"/>
      <c r="D265"/>
      <c r="E265"/>
      <c r="F265" t="str">
        <f>LEFT(AllDaqbookOffsets[[#This Row],[traceability_no]],2)</f>
        <v>J2</v>
      </c>
      <c r="W265" t="s">
        <v>1222</v>
      </c>
      <c r="X265" t="s">
        <v>325</v>
      </c>
    </row>
    <row r="266" spans="1:24" x14ac:dyDescent="0.2">
      <c r="A266"/>
      <c r="B266"/>
      <c r="C266"/>
      <c r="D266"/>
      <c r="E266"/>
      <c r="F266" t="str">
        <f>LEFT(AllDaqbookOffsets[[#This Row],[traceability_no]],2)</f>
        <v>J2</v>
      </c>
      <c r="W266" t="s">
        <v>1235</v>
      </c>
      <c r="X266" t="s">
        <v>216</v>
      </c>
    </row>
    <row r="267" spans="1:24" x14ac:dyDescent="0.2">
      <c r="A267"/>
      <c r="B267"/>
      <c r="C267"/>
      <c r="D267"/>
      <c r="E267"/>
      <c r="F267" t="str">
        <f>LEFT(AllDaqbookOffsets[[#This Row],[traceability_no]],2)</f>
        <v>J2</v>
      </c>
      <c r="W267" t="s">
        <v>1236</v>
      </c>
      <c r="X267" t="s">
        <v>216</v>
      </c>
    </row>
    <row r="268" spans="1:24" x14ac:dyDescent="0.2">
      <c r="A268"/>
      <c r="B268"/>
      <c r="C268"/>
      <c r="D268"/>
      <c r="E268"/>
      <c r="F268" t="str">
        <f>LEFT(AllDaqbookOffsets[[#This Row],[traceability_no]],2)</f>
        <v>J2</v>
      </c>
      <c r="W268" t="s">
        <v>1237</v>
      </c>
      <c r="X268" t="s">
        <v>216</v>
      </c>
    </row>
    <row r="269" spans="1:24" x14ac:dyDescent="0.2">
      <c r="A269"/>
      <c r="B269"/>
      <c r="C269"/>
      <c r="D269"/>
      <c r="E269"/>
      <c r="F269" t="str">
        <f>LEFT(AllDaqbookOffsets[[#This Row],[traceability_no]],2)</f>
        <v>J2</v>
      </c>
      <c r="W269" t="s">
        <v>1238</v>
      </c>
      <c r="X269" t="s">
        <v>216</v>
      </c>
    </row>
    <row r="270" spans="1:24" x14ac:dyDescent="0.2">
      <c r="A270"/>
      <c r="B270"/>
      <c r="C270"/>
      <c r="D270"/>
      <c r="E270"/>
      <c r="F270" t="str">
        <f>LEFT(AllDaqbookOffsets[[#This Row],[traceability_no]],2)</f>
        <v>J2</v>
      </c>
      <c r="W270" t="s">
        <v>1239</v>
      </c>
      <c r="X270" t="s">
        <v>216</v>
      </c>
    </row>
    <row r="271" spans="1:24" x14ac:dyDescent="0.2">
      <c r="A271"/>
      <c r="B271"/>
      <c r="C271"/>
      <c r="D271"/>
      <c r="E271"/>
      <c r="F271" t="str">
        <f>LEFT(AllDaqbookOffsets[[#This Row],[traceability_no]],2)</f>
        <v>J2</v>
      </c>
      <c r="W271" t="s">
        <v>1240</v>
      </c>
      <c r="X271" t="s">
        <v>216</v>
      </c>
    </row>
    <row r="272" spans="1:24" x14ac:dyDescent="0.2">
      <c r="A272"/>
      <c r="B272"/>
      <c r="C272"/>
      <c r="D272"/>
      <c r="E272"/>
      <c r="F272" t="str">
        <f>LEFT(AllDaqbookOffsets[[#This Row],[traceability_no]],2)</f>
        <v>J2</v>
      </c>
      <c r="W272" t="s">
        <v>1241</v>
      </c>
      <c r="X272" t="s">
        <v>216</v>
      </c>
    </row>
    <row r="273" spans="1:24" x14ac:dyDescent="0.2">
      <c r="A273"/>
      <c r="B273"/>
      <c r="C273"/>
      <c r="D273"/>
      <c r="E273"/>
      <c r="F273" t="str">
        <f>LEFT(AllDaqbookOffsets[[#This Row],[traceability_no]],2)</f>
        <v>J2</v>
      </c>
      <c r="W273" t="s">
        <v>1242</v>
      </c>
      <c r="X273" t="s">
        <v>216</v>
      </c>
    </row>
    <row r="274" spans="1:24" x14ac:dyDescent="0.2">
      <c r="A274"/>
      <c r="B274"/>
      <c r="C274"/>
      <c r="D274"/>
      <c r="E274"/>
      <c r="F274" t="str">
        <f>LEFT(AllDaqbookOffsets[[#This Row],[traceability_no]],2)</f>
        <v>J2</v>
      </c>
      <c r="W274" t="s">
        <v>1243</v>
      </c>
      <c r="X274" t="s">
        <v>216</v>
      </c>
    </row>
    <row r="275" spans="1:24" x14ac:dyDescent="0.2">
      <c r="A275"/>
      <c r="B275"/>
      <c r="C275"/>
      <c r="D275"/>
      <c r="E275"/>
      <c r="F275" t="str">
        <f>LEFT(AllDaqbookOffsets[[#This Row],[traceability_no]],2)</f>
        <v>J2</v>
      </c>
      <c r="W275" t="s">
        <v>1244</v>
      </c>
      <c r="X275" t="s">
        <v>216</v>
      </c>
    </row>
    <row r="276" spans="1:24" x14ac:dyDescent="0.2">
      <c r="A276"/>
      <c r="B276"/>
      <c r="C276"/>
      <c r="D276"/>
      <c r="E276"/>
      <c r="F276" t="str">
        <f>LEFT(AllDaqbookOffsets[[#This Row],[traceability_no]],2)</f>
        <v>J2</v>
      </c>
      <c r="W276" t="s">
        <v>1245</v>
      </c>
      <c r="X276" t="s">
        <v>216</v>
      </c>
    </row>
    <row r="277" spans="1:24" x14ac:dyDescent="0.2">
      <c r="A277"/>
      <c r="B277"/>
      <c r="C277"/>
      <c r="D277"/>
      <c r="E277"/>
      <c r="F277" t="str">
        <f>LEFT(AllDaqbookOffsets[[#This Row],[traceability_no]],2)</f>
        <v>J2</v>
      </c>
      <c r="W277" t="s">
        <v>1246</v>
      </c>
      <c r="X277" t="s">
        <v>216</v>
      </c>
    </row>
    <row r="278" spans="1:24" x14ac:dyDescent="0.2">
      <c r="A278"/>
      <c r="B278"/>
      <c r="C278"/>
      <c r="D278"/>
      <c r="E278"/>
      <c r="F278" t="str">
        <f>LEFT(AllDaqbookOffsets[[#This Row],[traceability_no]],2)</f>
        <v>J2</v>
      </c>
      <c r="W278" t="s">
        <v>1247</v>
      </c>
      <c r="X278" t="s">
        <v>216</v>
      </c>
    </row>
    <row r="279" spans="1:24" x14ac:dyDescent="0.2">
      <c r="A279"/>
      <c r="B279"/>
      <c r="C279"/>
      <c r="D279"/>
      <c r="E279"/>
      <c r="F279" t="str">
        <f>LEFT(AllDaqbookOffsets[[#This Row],[traceability_no]],2)</f>
        <v>J2</v>
      </c>
      <c r="W279" t="s">
        <v>1248</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5"/>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89" t="s">
        <v>856</v>
      </c>
    </row>
    <row r="2" spans="1:3" x14ac:dyDescent="0.2">
      <c r="A2" s="37"/>
      <c r="B2" s="37"/>
    </row>
    <row r="3" spans="1:3" x14ac:dyDescent="0.2">
      <c r="A3" s="37" t="s">
        <v>562</v>
      </c>
      <c r="B3" s="37" t="s">
        <v>563</v>
      </c>
      <c r="C3" s="37" t="s">
        <v>857</v>
      </c>
    </row>
    <row r="4" spans="1:3" x14ac:dyDescent="0.2">
      <c r="A4" s="388">
        <v>-100</v>
      </c>
      <c r="B4" s="388">
        <v>392</v>
      </c>
      <c r="C4" s="387">
        <v>1.6</v>
      </c>
    </row>
    <row r="5" spans="1:3" x14ac:dyDescent="0.2">
      <c r="A5" s="388">
        <v>392</v>
      </c>
      <c r="B5" s="388">
        <v>752</v>
      </c>
      <c r="C5" s="387">
        <v>4</v>
      </c>
    </row>
    <row r="6" spans="1:3" x14ac:dyDescent="0.2">
      <c r="A6" s="388">
        <v>752</v>
      </c>
      <c r="B6" s="388">
        <v>1200</v>
      </c>
      <c r="C6" s="387">
        <v>3</v>
      </c>
    </row>
    <row r="7" spans="1:3" x14ac:dyDescent="0.2">
      <c r="A7" s="388">
        <v>1200</v>
      </c>
      <c r="B7" s="388">
        <v>2000</v>
      </c>
      <c r="C7" s="387">
        <v>4.0999999999999996</v>
      </c>
    </row>
    <row r="8" spans="1:3" x14ac:dyDescent="0.2">
      <c r="A8" s="388">
        <v>1800</v>
      </c>
      <c r="B8" s="388">
        <v>2200</v>
      </c>
      <c r="C8" s="387">
        <v>4.0999999999999996</v>
      </c>
    </row>
  </sheetData>
  <sheetProtection algorithmName="SHA-512" hashValue="t7EA3RvnLjlVxNC2Ed3v6GzQJ/mlymPUP0HxntDXrQvoLSw8H7xnojTLEKx6d74qSzgS66weVLgn7tdeWdAm7A==" saltValue="2uzpHu32PCbSkmxfXxXah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66">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22" ht="23.25" x14ac:dyDescent="0.35">
      <c r="A1" s="462" t="s">
        <v>1254</v>
      </c>
      <c r="B1" s="320"/>
      <c r="C1" s="517" t="s">
        <v>50</v>
      </c>
      <c r="D1" s="518"/>
      <c r="E1" s="518"/>
      <c r="F1" s="518"/>
      <c r="G1" s="138" t="e" cm="1">
        <f t="array" ref="G1">GetFormattedWorkItemNumber(K14, D24)</f>
        <v>#VALUE!</v>
      </c>
      <c r="H1" s="138"/>
      <c r="I1" s="139"/>
      <c r="J1" s="303"/>
      <c r="K1" s="303"/>
      <c r="L1" s="303"/>
      <c r="M1" s="303"/>
      <c r="N1" s="303"/>
      <c r="O1" s="303"/>
      <c r="P1" s="303"/>
      <c r="Q1" s="303"/>
      <c r="R1" s="303"/>
      <c r="S1" s="303"/>
    </row>
    <row r="2" spans="1:22" ht="12.75" customHeight="1" x14ac:dyDescent="0.2">
      <c r="A2" s="321"/>
      <c r="B2" s="322"/>
      <c r="C2" s="303"/>
      <c r="D2" s="303"/>
      <c r="E2" s="323"/>
      <c r="F2" s="323"/>
      <c r="G2" s="322"/>
      <c r="H2" s="303"/>
      <c r="I2" s="303"/>
      <c r="J2" s="303"/>
      <c r="K2" s="303"/>
      <c r="L2" s="304"/>
      <c r="M2" s="304"/>
      <c r="N2" s="304"/>
      <c r="O2" s="304"/>
      <c r="P2" s="304"/>
      <c r="Q2" s="304"/>
      <c r="R2" s="304"/>
      <c r="S2" s="304"/>
      <c r="T2" s="304"/>
      <c r="U2" s="304"/>
      <c r="V2" s="304"/>
    </row>
    <row r="3" spans="1:22" s="278" customFormat="1" x14ac:dyDescent="0.2">
      <c r="A3" s="321"/>
      <c r="B3" s="141"/>
      <c r="C3" s="142" t="s">
        <v>72</v>
      </c>
      <c r="D3" s="280"/>
      <c r="E3" s="303"/>
      <c r="F3" s="303"/>
      <c r="G3" s="303"/>
      <c r="H3" s="303"/>
      <c r="I3" s="303"/>
      <c r="J3" s="519" t="s">
        <v>102</v>
      </c>
      <c r="K3" s="520"/>
      <c r="L3" s="521"/>
      <c r="M3" s="303"/>
      <c r="N3" s="535" t="s">
        <v>91</v>
      </c>
      <c r="O3" s="535"/>
      <c r="P3" s="535"/>
      <c r="Q3" s="535"/>
      <c r="R3" s="535"/>
      <c r="S3" s="535"/>
      <c r="T3" s="458"/>
    </row>
    <row r="4" spans="1:22" s="278" customFormat="1" x14ac:dyDescent="0.2">
      <c r="A4" s="321"/>
      <c r="B4" s="141"/>
      <c r="C4" s="142" t="s">
        <v>228</v>
      </c>
      <c r="D4" s="285" t="str">
        <f>IF(Condition="","",Condition)</f>
        <v/>
      </c>
      <c r="E4" s="303"/>
      <c r="F4" s="303"/>
      <c r="G4" s="303"/>
      <c r="H4" s="303"/>
      <c r="I4" s="303"/>
      <c r="J4" s="524" t="s">
        <v>1</v>
      </c>
      <c r="K4" s="525"/>
      <c r="L4" s="143">
        <f>MAX(Survey[Deviations])</f>
        <v>0</v>
      </c>
      <c r="M4" s="303"/>
      <c r="N4" s="144" t="s">
        <v>90</v>
      </c>
      <c r="O4" s="145" t="s">
        <v>89</v>
      </c>
      <c r="P4" s="522" t="s">
        <v>100</v>
      </c>
      <c r="Q4" s="523"/>
      <c r="R4" s="144" t="s">
        <v>137</v>
      </c>
      <c r="S4" s="144" t="s">
        <v>141</v>
      </c>
      <c r="T4" s="458"/>
    </row>
    <row r="5" spans="1:22" s="278" customFormat="1" x14ac:dyDescent="0.2">
      <c r="A5" s="321"/>
      <c r="B5" s="141"/>
      <c r="C5" s="142" t="s">
        <v>41</v>
      </c>
      <c r="D5" s="539" t="e">
        <f>companyName</f>
        <v>#N/A</v>
      </c>
      <c r="E5" s="540"/>
      <c r="F5" s="540"/>
      <c r="G5" s="540"/>
      <c r="H5" s="541"/>
      <c r="I5" s="286"/>
      <c r="J5" s="524" t="s">
        <v>2</v>
      </c>
      <c r="K5" s="525"/>
      <c r="L5" s="143">
        <f>MIN(Survey[Deviations])</f>
        <v>0</v>
      </c>
      <c r="M5" s="303"/>
      <c r="N5" s="429">
        <v>1</v>
      </c>
      <c r="O5" s="146"/>
      <c r="P5" s="488" t="str" cm="1">
        <f t="array" ref="P5:P44">Alerts[Alert]</f>
        <v/>
      </c>
      <c r="Q5" s="489"/>
      <c r="R5" s="147" t="e" cm="1">
        <f t="array" ref="R5:R44">Alerts[Temp]</f>
        <v>#VALUE!</v>
      </c>
      <c r="S5" s="147" t="str" cm="1">
        <f t="array" ref="S5:S44">Alerts[Time]</f>
        <v/>
      </c>
      <c r="T5" s="458"/>
    </row>
    <row r="6" spans="1:22" s="278" customFormat="1" x14ac:dyDescent="0.2">
      <c r="A6" s="321"/>
      <c r="B6" s="141"/>
      <c r="C6" s="142" t="s">
        <v>40</v>
      </c>
      <c r="D6" s="536" t="e">
        <f>VLOOKUP("assetName",WorkItemDetails[],2,FALSE)</f>
        <v>#N/A</v>
      </c>
      <c r="E6" s="537"/>
      <c r="F6" s="537"/>
      <c r="G6" s="537"/>
      <c r="H6" s="538"/>
      <c r="J6" s="524" t="s">
        <v>101</v>
      </c>
      <c r="K6" s="525"/>
      <c r="L6" s="143">
        <f>L4-L5</f>
        <v>0</v>
      </c>
      <c r="M6" s="303"/>
      <c r="N6" s="429">
        <v>2</v>
      </c>
      <c r="O6" s="146"/>
      <c r="P6" s="488" t="str">
        <v/>
      </c>
      <c r="Q6" s="489"/>
      <c r="R6" s="487" t="e">
        <v>#VALUE!</v>
      </c>
      <c r="S6" s="147" t="str">
        <v/>
      </c>
      <c r="T6" s="458"/>
    </row>
    <row r="7" spans="1:22" s="278" customFormat="1" x14ac:dyDescent="0.2">
      <c r="A7" s="321"/>
      <c r="B7" s="148"/>
      <c r="C7" s="149" t="s">
        <v>27</v>
      </c>
      <c r="D7" s="391" t="str" cm="1">
        <f t="array" ref="D7">_xlfn.XLOOKUP(User[User],Employees[login_email],Employees[Name])</f>
        <v>Jeff Hall</v>
      </c>
      <c r="E7" s="303"/>
      <c r="F7" s="303"/>
      <c r="G7" s="303"/>
      <c r="H7" s="303"/>
      <c r="I7" s="303"/>
      <c r="J7" s="324"/>
      <c r="K7" s="324"/>
      <c r="L7" s="324"/>
      <c r="M7" s="303"/>
      <c r="N7" s="429">
        <v>3</v>
      </c>
      <c r="O7" s="146"/>
      <c r="P7" s="488" t="str">
        <v/>
      </c>
      <c r="Q7" s="489"/>
      <c r="R7" s="487" t="e">
        <v>#VALUE!</v>
      </c>
      <c r="S7" s="147" t="str">
        <v/>
      </c>
      <c r="T7" s="458"/>
    </row>
    <row r="8" spans="1:22" s="278" customFormat="1" x14ac:dyDescent="0.2">
      <c r="A8" s="321"/>
      <c r="B8" s="318"/>
      <c r="C8" s="325"/>
      <c r="D8" s="326"/>
      <c r="E8" s="303"/>
      <c r="F8" s="327" t="str">
        <f>IF(N49="","CHECK TUNING CONSTANTS","")</f>
        <v>CHECK TUNING CONSTANTS</v>
      </c>
      <c r="G8" s="303"/>
      <c r="H8" s="303"/>
      <c r="I8" s="303"/>
      <c r="J8" s="303"/>
      <c r="K8" s="303"/>
      <c r="L8" s="303"/>
      <c r="M8" s="303"/>
      <c r="N8" s="429">
        <v>4</v>
      </c>
      <c r="O8" s="146"/>
      <c r="P8" s="488" t="str">
        <v/>
      </c>
      <c r="Q8" s="489"/>
      <c r="R8" s="487" t="e">
        <v>#VALUE!</v>
      </c>
      <c r="S8" s="147" t="str">
        <v/>
      </c>
      <c r="T8" s="458"/>
    </row>
    <row r="9" spans="1:22"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29">
        <v>5</v>
      </c>
      <c r="O9" s="146"/>
      <c r="P9" s="488" t="str">
        <v/>
      </c>
      <c r="Q9" s="489"/>
      <c r="R9" s="487" t="e">
        <v>#VALUE!</v>
      </c>
      <c r="S9" s="147" t="str">
        <v/>
      </c>
      <c r="T9" s="458"/>
    </row>
    <row r="10" spans="1:22" s="278" customFormat="1" x14ac:dyDescent="0.2">
      <c r="A10" s="321"/>
      <c r="B10" s="318"/>
      <c r="C10" s="319"/>
      <c r="D10" s="303"/>
      <c r="E10" s="303"/>
      <c r="F10" s="303"/>
      <c r="G10" s="304" t="str">
        <f>IFERROR(IF(OR(Survey[OutOfTolerance]),"!!!!! OVEN IS OOT !!!!!",""),"")</f>
        <v/>
      </c>
      <c r="H10" s="303"/>
      <c r="I10" s="303"/>
      <c r="J10" s="303"/>
      <c r="K10" s="303"/>
      <c r="L10" s="303"/>
      <c r="M10" s="303"/>
      <c r="N10" s="429">
        <v>6</v>
      </c>
      <c r="O10" s="146"/>
      <c r="P10" s="488" t="str">
        <v/>
      </c>
      <c r="Q10" s="489"/>
      <c r="R10" s="487" t="e">
        <v>#VALUE!</v>
      </c>
      <c r="S10" s="147" t="str">
        <v/>
      </c>
      <c r="T10" s="458"/>
    </row>
    <row r="11" spans="1:22" s="278" customFormat="1" x14ac:dyDescent="0.2">
      <c r="A11" s="321"/>
      <c r="B11" s="141"/>
      <c r="C11" s="150" t="s">
        <v>53</v>
      </c>
      <c r="D11" s="457">
        <f>VLOOKUP("serial_number",DaqbookServiceRecord[], 2, FALSE)</f>
        <v>0</v>
      </c>
      <c r="E11" s="303"/>
      <c r="F11" s="303"/>
      <c r="G11" s="304" t="str">
        <f>IF(OR(ISBLANK(D3),ISBLANK(D13)),"",IF(D13&lt;D3,"!!!!! DAQBOOK IS OUT OF CERTIFICATION !!!!!",""))</f>
        <v/>
      </c>
      <c r="H11" s="303"/>
      <c r="I11" s="303"/>
      <c r="J11" s="303"/>
      <c r="K11" s="303"/>
      <c r="L11" s="303"/>
      <c r="M11" s="303"/>
      <c r="N11" s="429">
        <v>7</v>
      </c>
      <c r="O11" s="146"/>
      <c r="P11" s="488" t="str">
        <v/>
      </c>
      <c r="Q11" s="489"/>
      <c r="R11" s="487" t="e">
        <v>#VALUE!</v>
      </c>
      <c r="S11" s="147" t="str">
        <v/>
      </c>
      <c r="T11" s="458"/>
    </row>
    <row r="12" spans="1:22" s="278" customFormat="1" x14ac:dyDescent="0.2">
      <c r="A12" s="321"/>
      <c r="B12" s="141"/>
      <c r="C12" s="150" t="s">
        <v>87</v>
      </c>
      <c r="D12" s="279">
        <f>VLOOKUP("service_date",DaqbookServiceRecord[], 2, FALSE)</f>
        <v>0</v>
      </c>
      <c r="E12" s="303"/>
      <c r="F12" s="303"/>
      <c r="G12" s="304" t="str">
        <f>IF(IF(COUNTIFS(DataForChannels1to14[],"&gt;"&amp;B2,DataForChannels1to14[],"&lt;"&amp;(B2+200))&gt;0,1,0)=1,"!!!!! OVEN OVERSHOT IN POINTS 1-14 !!!!!","")</f>
        <v/>
      </c>
      <c r="H12" s="303"/>
      <c r="I12" s="303"/>
      <c r="J12" s="324"/>
      <c r="K12" s="307"/>
      <c r="L12" s="324"/>
      <c r="M12" s="307"/>
      <c r="N12" s="429">
        <v>8</v>
      </c>
      <c r="O12" s="146"/>
      <c r="P12" s="488" t="str">
        <v/>
      </c>
      <c r="Q12" s="489"/>
      <c r="R12" s="487" t="e">
        <v>#VALUE!</v>
      </c>
      <c r="S12" s="147" t="str">
        <v/>
      </c>
      <c r="T12" s="458"/>
    </row>
    <row r="13" spans="1:22" s="278" customFormat="1" x14ac:dyDescent="0.2">
      <c r="A13" s="321"/>
      <c r="B13" s="151"/>
      <c r="C13" s="152" t="s">
        <v>86</v>
      </c>
      <c r="D13" s="279">
        <f>VLOOKUP("next_service_date",DaqbookServiceRecord[], 2, FALSE)</f>
        <v>0</v>
      </c>
      <c r="E13" s="303"/>
      <c r="F13" s="328"/>
      <c r="G13" s="319" t="str">
        <f>IF(IF(COUNTIFS(DataForChannels15to28[],"&gt;"&amp;B2,DataForChannels15to28[],"&lt;"&amp;(B2+200))&gt;0,1,0)=1,"!!!!! OVEN OVERSHOT IN POINTS 15-28 !!!!!","")</f>
        <v/>
      </c>
      <c r="H13" s="303"/>
      <c r="I13" s="303"/>
      <c r="J13" s="240" t="s">
        <v>321</v>
      </c>
      <c r="K13" s="533" t="str">
        <f>IFERROR(VLOOKUP("PoNumber",WorkItemDetails[],2,FALSE),"")</f>
        <v/>
      </c>
      <c r="L13" s="534"/>
      <c r="M13" s="303"/>
      <c r="N13" s="429">
        <v>9</v>
      </c>
      <c r="O13" s="146"/>
      <c r="P13" s="488" t="str">
        <v/>
      </c>
      <c r="Q13" s="489"/>
      <c r="R13" s="487" t="e">
        <v>#VALUE!</v>
      </c>
      <c r="S13" s="147" t="str">
        <v/>
      </c>
      <c r="T13" s="458"/>
    </row>
    <row r="14" spans="1:22" s="278" customFormat="1" x14ac:dyDescent="0.2">
      <c r="A14" s="321"/>
      <c r="B14" s="141"/>
      <c r="C14" s="150" t="s">
        <v>88</v>
      </c>
      <c r="D14" s="457">
        <f>VLOOKUP("certificate_number",DaqbookServiceRecord[], 2, FALSE)</f>
        <v>0</v>
      </c>
      <c r="E14" s="303"/>
      <c r="F14" s="303"/>
      <c r="G14" s="304" t="str">
        <f>IF(IF(COUNTIFS(DataForChannels29to40[],"&gt;"&amp;B2,DataForChannels29to40[],"&lt;"&amp;(B2+200))&gt;0,1,0)=1,"!!!!! OVEN OVERSHOT IN POINTS 29-40 !!!!!","")</f>
        <v/>
      </c>
      <c r="H14" s="303"/>
      <c r="I14" s="303"/>
      <c r="J14" s="153" t="s">
        <v>136</v>
      </c>
      <c r="K14" s="542"/>
      <c r="L14" s="543"/>
      <c r="M14" s="303"/>
      <c r="N14" s="429">
        <v>10</v>
      </c>
      <c r="O14" s="146"/>
      <c r="P14" s="488" t="str">
        <v/>
      </c>
      <c r="Q14" s="489"/>
      <c r="R14" s="487" t="e">
        <v>#VALUE!</v>
      </c>
      <c r="S14" s="147" t="str">
        <v/>
      </c>
      <c r="T14" s="458"/>
    </row>
    <row r="15" spans="1:22" s="278" customFormat="1" x14ac:dyDescent="0.2">
      <c r="A15" s="321"/>
      <c r="B15" s="188"/>
      <c r="C15" s="186" t="s">
        <v>65</v>
      </c>
      <c r="D15" s="296"/>
      <c r="E15" s="303"/>
      <c r="F15" s="303"/>
      <c r="G15" s="303"/>
      <c r="H15" s="444" t="b">
        <v>1</v>
      </c>
      <c r="I15" s="303"/>
      <c r="J15" s="154" t="s">
        <v>131</v>
      </c>
      <c r="K15" s="528"/>
      <c r="L15" s="529"/>
      <c r="M15" s="303"/>
      <c r="N15" s="429">
        <v>11</v>
      </c>
      <c r="O15" s="146"/>
      <c r="P15" s="488" t="str">
        <v/>
      </c>
      <c r="Q15" s="489"/>
      <c r="R15" s="487" t="e">
        <v>#VALUE!</v>
      </c>
      <c r="S15" s="147" t="str">
        <v/>
      </c>
      <c r="T15" s="458"/>
    </row>
    <row r="16" spans="1:22" s="278" customFormat="1" x14ac:dyDescent="0.2">
      <c r="A16" s="321"/>
      <c r="B16" s="155"/>
      <c r="C16" s="187" t="s">
        <v>262</v>
      </c>
      <c r="D16" s="296"/>
      <c r="E16" s="303"/>
      <c r="F16" s="153" t="s">
        <v>77</v>
      </c>
      <c r="G16" s="417" t="s">
        <v>265</v>
      </c>
      <c r="H16" s="418"/>
      <c r="I16" s="303"/>
      <c r="J16" s="547" t="s">
        <v>161</v>
      </c>
      <c r="K16" s="548"/>
      <c r="L16" s="284"/>
      <c r="M16" s="303"/>
      <c r="N16" s="429">
        <v>12</v>
      </c>
      <c r="O16" s="146"/>
      <c r="P16" s="488" t="str">
        <v/>
      </c>
      <c r="Q16" s="489"/>
      <c r="R16" s="487" t="e">
        <v>#VALUE!</v>
      </c>
      <c r="S16" s="147" t="str">
        <v/>
      </c>
      <c r="T16" s="458"/>
    </row>
    <row r="17" spans="1:22" s="278" customFormat="1" x14ac:dyDescent="0.2">
      <c r="A17" s="321"/>
      <c r="B17" s="141"/>
      <c r="C17" s="142" t="s">
        <v>64</v>
      </c>
      <c r="D17" s="297"/>
      <c r="E17" s="303"/>
      <c r="F17" s="154" t="s">
        <v>96</v>
      </c>
      <c r="G17" s="392" t="str">
        <f>IF(ISBLANK(Load),"",Load)</f>
        <v/>
      </c>
      <c r="H17" s="303"/>
      <c r="I17" s="304"/>
      <c r="J17" s="547" t="s">
        <v>162</v>
      </c>
      <c r="K17" s="548"/>
      <c r="L17" s="157" t="str">
        <f>IF(K15="SIM Load Hot",TEXT(D26,"hh:mm"),"")</f>
        <v/>
      </c>
      <c r="M17" s="303"/>
      <c r="N17" s="429">
        <v>13</v>
      </c>
      <c r="O17" s="146"/>
      <c r="P17" s="488" t="str">
        <v/>
      </c>
      <c r="Q17" s="489"/>
      <c r="R17" s="487" t="e">
        <v>#VALUE!</v>
      </c>
      <c r="S17" s="147" t="str">
        <v/>
      </c>
      <c r="T17" s="458"/>
    </row>
    <row r="18" spans="1:22" s="278" customFormat="1" x14ac:dyDescent="0.2">
      <c r="A18" s="321"/>
      <c r="B18" s="151"/>
      <c r="C18" s="158" t="s">
        <v>67</v>
      </c>
      <c r="D18" s="282"/>
      <c r="E18" s="303"/>
      <c r="F18" s="159" t="s">
        <v>78</v>
      </c>
      <c r="G18" s="500" t="s">
        <v>19</v>
      </c>
      <c r="H18" s="501"/>
      <c r="I18" s="304"/>
      <c r="J18" s="329"/>
      <c r="K18" s="303"/>
      <c r="L18" s="304"/>
      <c r="M18" s="303"/>
      <c r="N18" s="429">
        <v>14</v>
      </c>
      <c r="O18" s="146"/>
      <c r="P18" s="488" t="str">
        <v/>
      </c>
      <c r="Q18" s="489"/>
      <c r="R18" s="487" t="e">
        <v>#VALUE!</v>
      </c>
      <c r="S18" s="147" t="str">
        <v/>
      </c>
      <c r="T18" s="458"/>
    </row>
    <row r="19" spans="1:22" s="278" customFormat="1" x14ac:dyDescent="0.2">
      <c r="A19" s="321"/>
      <c r="B19" s="141"/>
      <c r="C19" s="142" t="s">
        <v>10</v>
      </c>
      <c r="D19" s="465"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26" t="str">
        <f>IF(K15="Salt",0, IF(OR(K15="Hot",K15="SIM Load Hot"),IF(OR(D26="",D28=""),"N/A",IF(ISBLANK(D26),"N/A",D28-D26)),"N/A"))</f>
        <v>N/A</v>
      </c>
      <c r="H19" s="527"/>
      <c r="I19" s="330" t="str">
        <f>IF(G19="N/A","N/A",IF(G19=0,"&lt;2",ROUND(IF(LEN(G19)&gt;3,G19*1440,RIGHT(TEXT(G19,"hh:mm"),2)),0))&amp;" MINUTES")</f>
        <v>N/A</v>
      </c>
      <c r="J19" s="460">
        <f>V21</f>
        <v>40</v>
      </c>
      <c r="K19" s="303"/>
      <c r="L19" s="304"/>
      <c r="M19" s="303"/>
      <c r="N19" s="429">
        <v>15</v>
      </c>
      <c r="O19" s="146"/>
      <c r="P19" s="488" t="str">
        <v/>
      </c>
      <c r="Q19" s="489"/>
      <c r="R19" s="487" t="e">
        <v>#VALUE!</v>
      </c>
      <c r="S19" s="147" t="str">
        <v/>
      </c>
      <c r="T19" s="458"/>
      <c r="U19" s="286" t="s">
        <v>940</v>
      </c>
      <c r="V19" s="286">
        <f>L20</f>
        <v>1</v>
      </c>
    </row>
    <row r="20" spans="1:22" s="278" customFormat="1" ht="13.7" customHeight="1" x14ac:dyDescent="0.2">
      <c r="A20" s="185"/>
      <c r="B20" s="530" t="s">
        <v>958</v>
      </c>
      <c r="C20" s="531"/>
      <c r="D20" s="390" t="str">
        <f>"±"&amp;SAT_Tolerance&amp;"°F"</f>
        <v>±0°F</v>
      </c>
      <c r="E20" s="442"/>
      <c r="F20" s="303"/>
      <c r="G20" s="303"/>
      <c r="H20" s="303"/>
      <c r="I20" s="304"/>
      <c r="J20" s="303"/>
      <c r="K20" s="303"/>
      <c r="L20" s="443">
        <v>1</v>
      </c>
      <c r="M20" s="303"/>
      <c r="N20" s="429">
        <v>16</v>
      </c>
      <c r="O20" s="146"/>
      <c r="P20" s="488" t="str">
        <v/>
      </c>
      <c r="Q20" s="489"/>
      <c r="R20" s="487" t="e">
        <v>#VALUE!</v>
      </c>
      <c r="S20" s="147" t="str">
        <v/>
      </c>
      <c r="T20" s="458"/>
      <c r="U20" s="286" t="s">
        <v>939</v>
      </c>
      <c r="V20" s="286">
        <f>(V19-1)*14</f>
        <v>0</v>
      </c>
    </row>
    <row r="21" spans="1:22" s="278" customFormat="1" x14ac:dyDescent="0.2">
      <c r="A21" s="321"/>
      <c r="B21" s="318"/>
      <c r="C21" s="331"/>
      <c r="D21" s="326"/>
      <c r="E21" s="303"/>
      <c r="F21" s="303"/>
      <c r="G21" s="303"/>
      <c r="H21" s="303"/>
      <c r="I21" s="304"/>
      <c r="J21" s="303"/>
      <c r="K21" s="303"/>
      <c r="L21" s="304"/>
      <c r="M21" s="303"/>
      <c r="N21" s="429">
        <v>17</v>
      </c>
      <c r="O21" s="146"/>
      <c r="P21" s="488" t="str">
        <v/>
      </c>
      <c r="Q21" s="489"/>
      <c r="R21" s="487" t="e">
        <v>#VALUE!</v>
      </c>
      <c r="S21" s="147" t="str">
        <v/>
      </c>
      <c r="T21" s="458"/>
      <c r="U21" s="286" t="s">
        <v>938</v>
      </c>
      <c r="V21" s="461">
        <f>IF(D17=0,40,D17)</f>
        <v>40</v>
      </c>
    </row>
    <row r="22" spans="1:22" s="278" customFormat="1" x14ac:dyDescent="0.2">
      <c r="A22" s="321"/>
      <c r="B22" s="155"/>
      <c r="C22" s="156" t="s">
        <v>42</v>
      </c>
      <c r="D22" s="281"/>
      <c r="E22" s="303"/>
      <c r="F22" s="332"/>
      <c r="G22" s="303"/>
      <c r="H22" s="303"/>
      <c r="I22" s="304"/>
      <c r="J22" s="303"/>
      <c r="K22" s="303"/>
      <c r="L22" s="304"/>
      <c r="M22" s="303"/>
      <c r="N22" s="429">
        <v>18</v>
      </c>
      <c r="O22" s="146"/>
      <c r="P22" s="488" t="str">
        <v/>
      </c>
      <c r="Q22" s="489"/>
      <c r="R22" s="487" t="e">
        <v>#VALUE!</v>
      </c>
      <c r="S22" s="147" t="str">
        <v/>
      </c>
      <c r="T22" s="458"/>
      <c r="U22" s="286" t="s">
        <v>937</v>
      </c>
      <c r="V22" s="286">
        <f>V20+1</f>
        <v>1</v>
      </c>
    </row>
    <row r="23" spans="1:22" s="278" customFormat="1" x14ac:dyDescent="0.2">
      <c r="A23" s="321"/>
      <c r="B23" s="141"/>
      <c r="C23" s="420" t="s">
        <v>908</v>
      </c>
      <c r="D23" s="282"/>
      <c r="E23" s="303"/>
      <c r="F23" s="160" t="s">
        <v>97</v>
      </c>
      <c r="G23" s="555" t="s">
        <v>368</v>
      </c>
      <c r="H23" s="556"/>
      <c r="I23" s="556"/>
      <c r="J23" s="556"/>
      <c r="K23" s="557"/>
      <c r="L23" s="304"/>
      <c r="M23" s="303"/>
      <c r="N23" s="429">
        <v>19</v>
      </c>
      <c r="O23" s="146"/>
      <c r="P23" s="488" t="str">
        <v/>
      </c>
      <c r="Q23" s="489"/>
      <c r="R23" s="487" t="e">
        <v>#VALUE!</v>
      </c>
      <c r="S23" s="147" t="str">
        <v/>
      </c>
      <c r="T23" s="458"/>
      <c r="U23" s="286" t="s">
        <v>936</v>
      </c>
      <c r="V23" s="286">
        <f>V20+V21</f>
        <v>40</v>
      </c>
    </row>
    <row r="24" spans="1:22" s="278" customFormat="1" x14ac:dyDescent="0.2">
      <c r="A24" s="321"/>
      <c r="B24" s="530" t="s">
        <v>549</v>
      </c>
      <c r="C24" s="532"/>
      <c r="D24" s="282">
        <v>1</v>
      </c>
      <c r="E24" s="303"/>
      <c r="F24" s="160" t="s">
        <v>98</v>
      </c>
      <c r="G24" s="558"/>
      <c r="H24" s="559"/>
      <c r="I24" s="559"/>
      <c r="J24" s="559"/>
      <c r="K24" s="560"/>
      <c r="L24" s="304"/>
      <c r="M24" s="303"/>
      <c r="N24" s="429">
        <v>20</v>
      </c>
      <c r="O24" s="146"/>
      <c r="P24" s="488" t="str">
        <v/>
      </c>
      <c r="Q24" s="489"/>
      <c r="R24" s="487" t="e">
        <v>#VALUE!</v>
      </c>
      <c r="S24" s="147" t="str">
        <v/>
      </c>
      <c r="T24" s="458"/>
      <c r="U24" s="286" t="s">
        <v>935</v>
      </c>
      <c r="V24" s="286" t="str">
        <f>IF(V19=1,"","DaqBook points "&amp;V22&amp;"-"&amp;V23&amp;" used.")</f>
        <v/>
      </c>
    </row>
    <row r="25" spans="1:22" s="278" customFormat="1" x14ac:dyDescent="0.2">
      <c r="A25" s="321"/>
      <c r="B25" s="318"/>
      <c r="C25" s="319"/>
      <c r="D25" s="326"/>
      <c r="E25" s="303"/>
      <c r="F25" s="160" t="s">
        <v>99</v>
      </c>
      <c r="G25" s="558"/>
      <c r="H25" s="559"/>
      <c r="I25" s="559"/>
      <c r="J25" s="559"/>
      <c r="K25" s="560"/>
      <c r="L25" s="304"/>
      <c r="M25" s="303"/>
      <c r="N25" s="429">
        <v>21</v>
      </c>
      <c r="O25" s="146"/>
      <c r="P25" s="488" t="str">
        <v/>
      </c>
      <c r="Q25" s="489"/>
      <c r="R25" s="487" t="e">
        <v>#VALUE!</v>
      </c>
      <c r="S25" s="147" t="str">
        <v/>
      </c>
      <c r="T25" s="458"/>
    </row>
    <row r="26" spans="1:22" s="278" customFormat="1" x14ac:dyDescent="0.2">
      <c r="A26" s="321"/>
      <c r="B26" s="155"/>
      <c r="C26" s="156" t="s">
        <v>60</v>
      </c>
      <c r="D26" s="292"/>
      <c r="E26" s="305" t="str">
        <f>TEXT(D26,"hh:mm")</f>
        <v>00:00</v>
      </c>
      <c r="F26" s="304"/>
      <c r="G26" s="304"/>
      <c r="H26" s="304"/>
      <c r="I26" s="304"/>
      <c r="J26" s="304"/>
      <c r="K26" s="304"/>
      <c r="L26" s="304"/>
      <c r="M26" s="303"/>
      <c r="N26" s="429">
        <v>22</v>
      </c>
      <c r="O26" s="146"/>
      <c r="P26" s="488" t="str">
        <v/>
      </c>
      <c r="Q26" s="489"/>
      <c r="R26" s="487" t="e">
        <v>#VALUE!</v>
      </c>
      <c r="S26" s="147" t="str">
        <v/>
      </c>
      <c r="T26" s="458"/>
    </row>
    <row r="27" spans="1:22" s="278" customFormat="1" x14ac:dyDescent="0.2">
      <c r="A27" s="321"/>
      <c r="B27" s="161">
        <v>10</v>
      </c>
      <c r="C27" s="142" t="s">
        <v>61</v>
      </c>
      <c r="D27" s="292"/>
      <c r="E27" s="305"/>
      <c r="F27" s="240" t="s">
        <v>268</v>
      </c>
      <c r="G27" s="239" t="str">
        <f>G28</f>
        <v/>
      </c>
      <c r="H27" s="553" t="str">
        <f>IF(ISBLANK(D6),"",IF(CheckRec="x","CHECK INSTRUMENT CAL DATES!!!!             CHECK INSTRUMENT CAL DATES!!!!",""))</f>
        <v/>
      </c>
      <c r="I27" s="554"/>
      <c r="J27" s="554"/>
      <c r="K27" s="554"/>
      <c r="L27" s="304"/>
      <c r="M27" s="303"/>
      <c r="N27" s="429">
        <v>23</v>
      </c>
      <c r="O27" s="146"/>
      <c r="P27" s="488" t="str">
        <v/>
      </c>
      <c r="Q27" s="489"/>
      <c r="R27" s="487" t="e">
        <v>#VALUE!</v>
      </c>
      <c r="S27" s="147" t="str">
        <v/>
      </c>
      <c r="T27" s="458"/>
    </row>
    <row r="28" spans="1:22" s="278" customFormat="1" x14ac:dyDescent="0.2">
      <c r="A28" s="321"/>
      <c r="B28" s="162">
        <v>30</v>
      </c>
      <c r="C28" s="158" t="s">
        <v>62</v>
      </c>
      <c r="D28" s="292"/>
      <c r="E28" s="305"/>
      <c r="F28" s="240" t="s">
        <v>269</v>
      </c>
      <c r="G28" s="239" t="str">
        <f>IF(CheckRec="y","Cal by Customer",IF(D$3,D$3,""))</f>
        <v/>
      </c>
      <c r="H28" s="553"/>
      <c r="I28" s="554"/>
      <c r="J28" s="554"/>
      <c r="K28" s="554"/>
      <c r="L28" s="304"/>
      <c r="M28" s="303"/>
      <c r="N28" s="429">
        <v>24</v>
      </c>
      <c r="O28" s="146"/>
      <c r="P28" s="488" t="str">
        <v/>
      </c>
      <c r="Q28" s="489"/>
      <c r="R28" s="487" t="e">
        <v>#VALUE!</v>
      </c>
      <c r="S28" s="147" t="str">
        <v/>
      </c>
      <c r="T28" s="458"/>
    </row>
    <row r="29" spans="1:22" s="278" customFormat="1" x14ac:dyDescent="0.2">
      <c r="A29" s="321"/>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29">
        <v>25</v>
      </c>
      <c r="O29" s="146"/>
      <c r="P29" s="488" t="str">
        <v/>
      </c>
      <c r="Q29" s="489"/>
      <c r="R29" s="487" t="e">
        <v>#VALUE!</v>
      </c>
      <c r="S29" s="147" t="str">
        <v/>
      </c>
      <c r="T29" s="458"/>
    </row>
    <row r="30" spans="1:22" s="278" customFormat="1" x14ac:dyDescent="0.2">
      <c r="A30" s="321"/>
      <c r="B30" s="247">
        <v>45</v>
      </c>
      <c r="C30" s="158" t="s">
        <v>63</v>
      </c>
      <c r="D30" s="386"/>
      <c r="E30" s="334" t="str">
        <f>IF(ISBLANK(D30), "", TEXT(D30, "H:mm"))</f>
        <v/>
      </c>
      <c r="F30" s="303"/>
      <c r="G30" s="306">
        <f>IF(D29="",0,D29)</f>
        <v>0</v>
      </c>
      <c r="H30" s="335">
        <f>D28-D26</f>
        <v>0</v>
      </c>
      <c r="I30" s="304"/>
      <c r="J30" s="304"/>
      <c r="K30" s="304"/>
      <c r="L30" s="336"/>
      <c r="M30" s="303"/>
      <c r="N30" s="429">
        <v>26</v>
      </c>
      <c r="O30" s="146"/>
      <c r="P30" s="488" t="str">
        <v/>
      </c>
      <c r="Q30" s="489"/>
      <c r="R30" s="487" t="e">
        <v>#VALUE!</v>
      </c>
      <c r="S30" s="147" t="str">
        <v/>
      </c>
      <c r="T30" s="458"/>
    </row>
    <row r="31" spans="1:22" s="278" customFormat="1" x14ac:dyDescent="0.2">
      <c r="A31" s="321"/>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29">
        <v>27</v>
      </c>
      <c r="O31" s="146"/>
      <c r="P31" s="488" t="str">
        <v/>
      </c>
      <c r="Q31" s="489"/>
      <c r="R31" s="487" t="e">
        <v>#VALUE!</v>
      </c>
      <c r="S31" s="147" t="str">
        <v/>
      </c>
      <c r="T31" s="458"/>
    </row>
    <row r="32" spans="1:22" s="278" customFormat="1" x14ac:dyDescent="0.2">
      <c r="A32" s="331"/>
      <c r="B32" s="164"/>
      <c r="C32" s="165" t="s">
        <v>81</v>
      </c>
      <c r="D32" s="283"/>
      <c r="E32" s="303"/>
      <c r="F32" s="304" t="str">
        <f>IF(COUNTIF(Comparison_Report!R1:R8, 1) &gt; 0, "CHECK COMPARISON REPORT!!!", "")</f>
        <v/>
      </c>
      <c r="G32" s="304"/>
      <c r="H32" s="304"/>
      <c r="I32" s="304"/>
      <c r="J32" s="304"/>
      <c r="K32" s="304"/>
      <c r="L32" s="304"/>
      <c r="M32" s="303"/>
      <c r="N32" s="429">
        <v>28</v>
      </c>
      <c r="O32" s="146"/>
      <c r="P32" s="488" t="str">
        <v/>
      </c>
      <c r="Q32" s="489"/>
      <c r="R32" s="487" t="e">
        <v>#VALUE!</v>
      </c>
      <c r="S32" s="147" t="str">
        <v/>
      </c>
      <c r="T32" s="458"/>
    </row>
    <row r="33" spans="1:24" s="278" customFormat="1" x14ac:dyDescent="0.2">
      <c r="A33" s="321"/>
      <c r="B33" s="318"/>
      <c r="C33" s="340"/>
      <c r="D33" s="140"/>
      <c r="E33" s="140"/>
      <c r="F33" s="140"/>
      <c r="G33" s="140"/>
      <c r="H33" s="140"/>
      <c r="I33" s="140"/>
      <c r="J33" s="140"/>
      <c r="K33" s="140"/>
      <c r="L33" s="140"/>
      <c r="M33" s="303"/>
      <c r="N33" s="429">
        <v>29</v>
      </c>
      <c r="O33" s="146"/>
      <c r="P33" s="488" t="str">
        <v/>
      </c>
      <c r="Q33" s="489"/>
      <c r="R33" s="487" t="e">
        <v>#VALUE!</v>
      </c>
      <c r="S33" s="147" t="str">
        <v/>
      </c>
      <c r="T33" s="458"/>
    </row>
    <row r="34" spans="1:24" s="278" customFormat="1" ht="12.75" customHeight="1" x14ac:dyDescent="0.2">
      <c r="A34" s="321"/>
      <c r="B34" s="519" t="s">
        <v>49</v>
      </c>
      <c r="C34" s="520"/>
      <c r="D34" s="520"/>
      <c r="E34" s="520"/>
      <c r="F34" s="520"/>
      <c r="G34" s="520"/>
      <c r="H34" s="520"/>
      <c r="I34" s="520"/>
      <c r="J34" s="520"/>
      <c r="K34" s="520"/>
      <c r="L34" s="521"/>
      <c r="M34" s="303"/>
      <c r="N34" s="429">
        <v>30</v>
      </c>
      <c r="O34" s="146"/>
      <c r="P34" s="488" t="str">
        <v/>
      </c>
      <c r="Q34" s="489"/>
      <c r="R34" s="487" t="e">
        <v>#VALUE!</v>
      </c>
      <c r="S34" s="147" t="str">
        <v/>
      </c>
      <c r="T34" s="459"/>
    </row>
    <row r="35" spans="1:24" s="278" customFormat="1" ht="12.75" customHeight="1" thickBot="1" x14ac:dyDescent="0.25">
      <c r="A35" s="463"/>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29">
        <v>31</v>
      </c>
      <c r="O35" s="146"/>
      <c r="P35" s="488" t="str">
        <v/>
      </c>
      <c r="Q35" s="489"/>
      <c r="R35" s="487" t="e">
        <v>#VALUE!</v>
      </c>
      <c r="S35" s="147" t="str">
        <v/>
      </c>
      <c r="T35" s="459"/>
    </row>
    <row r="36" spans="1:24" s="278" customFormat="1" ht="13.5" thickBot="1" x14ac:dyDescent="0.25">
      <c r="A36" s="464"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29">
        <v>32</v>
      </c>
      <c r="O36" s="146"/>
      <c r="P36" s="488" t="str">
        <v/>
      </c>
      <c r="Q36" s="489"/>
      <c r="R36" s="487" t="e">
        <v>#VALUE!</v>
      </c>
      <c r="S36" s="147" t="str">
        <v/>
      </c>
      <c r="T36" s="459"/>
    </row>
    <row r="37" spans="1:24" s="278" customFormat="1" x14ac:dyDescent="0.2">
      <c r="A37" s="490" t="str">
        <f t="shared" ref="A37:A44" si="0">IF(B37,1,"")</f>
        <v/>
      </c>
      <c r="B37" s="491"/>
      <c r="C37" s="471"/>
      <c r="D37" s="472"/>
      <c r="E37" s="472"/>
      <c r="F37" s="472"/>
      <c r="G37" s="472"/>
      <c r="H37" s="472"/>
      <c r="I37" s="473"/>
      <c r="J37" s="473"/>
      <c r="K37" s="473"/>
      <c r="L37" s="473"/>
      <c r="M37" s="303"/>
      <c r="N37" s="429">
        <v>33</v>
      </c>
      <c r="O37" s="146"/>
      <c r="P37" s="488" t="str">
        <v/>
      </c>
      <c r="Q37" s="489"/>
      <c r="R37" s="487" t="e">
        <v>#VALUE!</v>
      </c>
      <c r="S37" s="147" t="str">
        <v/>
      </c>
      <c r="T37" s="459"/>
    </row>
    <row r="38" spans="1:24" s="278" customFormat="1" x14ac:dyDescent="0.2">
      <c r="A38" s="490" t="str">
        <f t="shared" si="0"/>
        <v/>
      </c>
      <c r="B38" s="492"/>
      <c r="C38" s="474"/>
      <c r="D38" s="472"/>
      <c r="E38" s="472"/>
      <c r="F38" s="472"/>
      <c r="G38" s="472"/>
      <c r="H38" s="472"/>
      <c r="I38" s="473"/>
      <c r="J38" s="473"/>
      <c r="K38" s="473"/>
      <c r="L38" s="473"/>
      <c r="M38" s="303"/>
      <c r="N38" s="429">
        <v>34</v>
      </c>
      <c r="O38" s="146"/>
      <c r="P38" s="488" t="str">
        <v/>
      </c>
      <c r="Q38" s="489"/>
      <c r="R38" s="487" t="e">
        <v>#VALUE!</v>
      </c>
      <c r="S38" s="147" t="str">
        <v/>
      </c>
      <c r="T38" s="459"/>
    </row>
    <row r="39" spans="1:24" s="278" customFormat="1" x14ac:dyDescent="0.2">
      <c r="A39" s="490" t="str">
        <f t="shared" si="0"/>
        <v/>
      </c>
      <c r="B39" s="492"/>
      <c r="C39" s="474"/>
      <c r="D39" s="472"/>
      <c r="E39" s="472"/>
      <c r="F39" s="472"/>
      <c r="G39" s="472"/>
      <c r="H39" s="473"/>
      <c r="I39" s="473"/>
      <c r="J39" s="473"/>
      <c r="K39" s="473"/>
      <c r="L39" s="473"/>
      <c r="M39" s="303"/>
      <c r="N39" s="429">
        <v>35</v>
      </c>
      <c r="O39" s="146"/>
      <c r="P39" s="488" t="str">
        <v/>
      </c>
      <c r="Q39" s="489"/>
      <c r="R39" s="487" t="e">
        <v>#VALUE!</v>
      </c>
      <c r="S39" s="147" t="str">
        <v/>
      </c>
      <c r="T39" s="459"/>
    </row>
    <row r="40" spans="1:24" s="278" customFormat="1" x14ac:dyDescent="0.2">
      <c r="A40" s="490" t="str">
        <f t="shared" si="0"/>
        <v/>
      </c>
      <c r="B40" s="492"/>
      <c r="C40" s="474"/>
      <c r="D40" s="472"/>
      <c r="E40" s="472"/>
      <c r="F40" s="472"/>
      <c r="G40" s="472"/>
      <c r="H40" s="473"/>
      <c r="I40" s="473"/>
      <c r="J40" s="473"/>
      <c r="K40" s="473"/>
      <c r="L40" s="473"/>
      <c r="M40" s="303"/>
      <c r="N40" s="429">
        <v>36</v>
      </c>
      <c r="O40" s="146"/>
      <c r="P40" s="488" t="str">
        <v/>
      </c>
      <c r="Q40" s="489"/>
      <c r="R40" s="487" t="e">
        <v>#VALUE!</v>
      </c>
      <c r="S40" s="147" t="str">
        <v/>
      </c>
      <c r="T40" s="459"/>
    </row>
    <row r="41" spans="1:24" s="278" customFormat="1" x14ac:dyDescent="0.2">
      <c r="A41" s="490" t="str">
        <f t="shared" si="0"/>
        <v/>
      </c>
      <c r="B41" s="493"/>
      <c r="C41" s="475"/>
      <c r="D41" s="476"/>
      <c r="E41" s="476"/>
      <c r="F41" s="476"/>
      <c r="G41" s="476"/>
      <c r="H41" s="476"/>
      <c r="I41" s="476"/>
      <c r="J41" s="476"/>
      <c r="K41" s="476"/>
      <c r="L41" s="476"/>
      <c r="M41" s="303"/>
      <c r="N41" s="429">
        <v>37</v>
      </c>
      <c r="O41" s="146"/>
      <c r="P41" s="488" t="str">
        <v/>
      </c>
      <c r="Q41" s="489"/>
      <c r="R41" s="487" t="e">
        <v>#VALUE!</v>
      </c>
      <c r="S41" s="147" t="str">
        <v/>
      </c>
      <c r="T41" s="459"/>
    </row>
    <row r="42" spans="1:24" s="278" customFormat="1" x14ac:dyDescent="0.2">
      <c r="A42" s="490" t="str">
        <f t="shared" si="0"/>
        <v/>
      </c>
      <c r="B42" s="493"/>
      <c r="C42" s="475"/>
      <c r="D42" s="476"/>
      <c r="E42" s="476"/>
      <c r="F42" s="476"/>
      <c r="G42" s="476"/>
      <c r="H42" s="476"/>
      <c r="I42" s="476"/>
      <c r="J42" s="476"/>
      <c r="K42" s="476"/>
      <c r="L42" s="476"/>
      <c r="M42" s="303"/>
      <c r="N42" s="429">
        <v>38</v>
      </c>
      <c r="O42" s="146"/>
      <c r="P42" s="488" t="str">
        <v/>
      </c>
      <c r="Q42" s="489"/>
      <c r="R42" s="487" t="e">
        <v>#VALUE!</v>
      </c>
      <c r="S42" s="147" t="str">
        <v/>
      </c>
      <c r="T42" s="459"/>
    </row>
    <row r="43" spans="1:24" s="278" customFormat="1" x14ac:dyDescent="0.2">
      <c r="A43" s="490" t="str">
        <f t="shared" si="0"/>
        <v/>
      </c>
      <c r="B43" s="493"/>
      <c r="C43" s="475"/>
      <c r="D43" s="476"/>
      <c r="E43" s="476"/>
      <c r="F43" s="476"/>
      <c r="G43" s="476"/>
      <c r="H43" s="476"/>
      <c r="I43" s="476"/>
      <c r="J43" s="476"/>
      <c r="K43" s="476"/>
      <c r="L43" s="476"/>
      <c r="M43" s="303"/>
      <c r="N43" s="429">
        <v>39</v>
      </c>
      <c r="O43" s="146"/>
      <c r="P43" s="488" t="str">
        <v/>
      </c>
      <c r="Q43" s="489"/>
      <c r="R43" s="487" t="e">
        <v>#VALUE!</v>
      </c>
      <c r="S43" s="147" t="str">
        <v/>
      </c>
      <c r="T43" s="459"/>
    </row>
    <row r="44" spans="1:24" s="278" customFormat="1" x14ac:dyDescent="0.2">
      <c r="A44" s="490" t="str">
        <f t="shared" si="0"/>
        <v/>
      </c>
      <c r="B44" s="493"/>
      <c r="C44" s="475"/>
      <c r="D44" s="476"/>
      <c r="E44" s="476"/>
      <c r="F44" s="476"/>
      <c r="G44" s="476"/>
      <c r="H44" s="476"/>
      <c r="I44" s="476"/>
      <c r="J44" s="476"/>
      <c r="K44" s="476"/>
      <c r="L44" s="476"/>
      <c r="M44" s="303"/>
      <c r="N44" s="429">
        <v>40</v>
      </c>
      <c r="O44" s="146"/>
      <c r="P44" s="488" t="str">
        <v/>
      </c>
      <c r="Q44" s="489"/>
      <c r="R44" s="487" t="e">
        <v>#VALUE!</v>
      </c>
      <c r="S44" s="147" t="str">
        <v/>
      </c>
      <c r="T44" s="459"/>
    </row>
    <row r="45" spans="1:24" s="307" customFormat="1" x14ac:dyDescent="0.2">
      <c r="A45" s="321"/>
      <c r="B45" s="342"/>
      <c r="C45" s="343"/>
      <c r="D45" s="303"/>
      <c r="E45" s="303"/>
      <c r="F45" s="303"/>
      <c r="G45" s="303"/>
      <c r="H45" s="303"/>
      <c r="I45" s="303"/>
      <c r="J45" s="303"/>
      <c r="K45" s="344"/>
      <c r="L45" s="303"/>
      <c r="M45" s="303"/>
      <c r="N45" s="305"/>
      <c r="P45" s="305"/>
      <c r="Q45" s="305"/>
      <c r="R45" s="305"/>
      <c r="S45" s="481"/>
      <c r="T45" s="305"/>
      <c r="X45" s="481"/>
    </row>
    <row r="46" spans="1:24" x14ac:dyDescent="0.2">
      <c r="A46" s="325"/>
      <c r="B46" s="345"/>
      <c r="C46" s="346"/>
      <c r="D46" s="544" t="s">
        <v>33</v>
      </c>
      <c r="E46" s="545"/>
      <c r="F46" s="545"/>
      <c r="G46" s="545"/>
      <c r="H46" s="545"/>
      <c r="I46" s="546"/>
      <c r="J46" s="347"/>
      <c r="K46" s="347"/>
      <c r="L46" s="347"/>
      <c r="M46" s="561" t="s">
        <v>326</v>
      </c>
      <c r="N46" s="562"/>
      <c r="O46" s="563"/>
      <c r="P46" s="564"/>
      <c r="Q46" s="307"/>
      <c r="S46" s="307"/>
      <c r="T46" s="307"/>
      <c r="U46" s="307"/>
    </row>
    <row r="47" spans="1:24" x14ac:dyDescent="0.2">
      <c r="A47" s="325"/>
      <c r="B47" s="345"/>
      <c r="C47" s="406"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51" t="s">
        <v>329</v>
      </c>
      <c r="Q47" s="551"/>
      <c r="R47" s="409" t="s">
        <v>330</v>
      </c>
      <c r="T47" s="307"/>
      <c r="U47" s="307"/>
    </row>
    <row r="48" spans="1:24" x14ac:dyDescent="0.2">
      <c r="A48" s="321"/>
      <c r="B48" s="345"/>
      <c r="C48" s="407" t="s">
        <v>34</v>
      </c>
      <c r="D48" s="290"/>
      <c r="E48" s="290"/>
      <c r="F48" s="290"/>
      <c r="G48" s="290"/>
      <c r="H48" s="290"/>
      <c r="I48" s="290"/>
      <c r="J48" s="347"/>
      <c r="K48" s="347"/>
      <c r="L48" s="347"/>
      <c r="M48" s="552" t="s">
        <v>331</v>
      </c>
      <c r="N48" s="552"/>
      <c r="O48" s="349"/>
      <c r="P48" s="511" t="s">
        <v>377</v>
      </c>
      <c r="Q48" s="512"/>
      <c r="R48" s="513"/>
      <c r="S48" s="480" t="b">
        <f>_xlfn.REGEXTEST(TRIM(Class),"^[0-9][AC]",1)</f>
        <v>0</v>
      </c>
      <c r="T48" s="308"/>
      <c r="U48" s="511" t="s">
        <v>380</v>
      </c>
      <c r="V48" s="512"/>
      <c r="W48" s="513"/>
      <c r="X48" s="480" t="b">
        <f>_xlfn.REGEXTEST(TRIM(Class),"^[0-9][AC]",1)</f>
        <v>0</v>
      </c>
    </row>
    <row r="49" spans="1:24" x14ac:dyDescent="0.2">
      <c r="A49" s="321"/>
      <c r="B49" s="350"/>
      <c r="C49" s="406"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514" t="s">
        <v>382</v>
      </c>
      <c r="Q49" s="515"/>
      <c r="R49" s="516"/>
      <c r="S49" s="410" t="str">
        <f>IF(_xlfn.REGEXTEST(TRIM(Class),"^[0-9][AC]",1),
  IF(L4&lt;=HalfTolMax,"Yes","No"),
"N/A")</f>
        <v>N/A</v>
      </c>
      <c r="T49" s="309"/>
      <c r="U49" s="514" t="s">
        <v>381</v>
      </c>
      <c r="V49" s="515"/>
      <c r="W49" s="516"/>
      <c r="X49" s="410" t="str">
        <f>IF(_xlfn.REGEXTEST(TRIM(Class),"^[0-9][AC]",1),
  IF(L5&gt;=HalfTolMin,"Yes","No"),
"N/A")</f>
        <v>N/A</v>
      </c>
    </row>
    <row r="50" spans="1:24" x14ac:dyDescent="0.2">
      <c r="A50" s="321"/>
      <c r="B50" s="351"/>
      <c r="C50" s="406"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502" t="s">
        <v>334</v>
      </c>
      <c r="Q50" s="503"/>
      <c r="R50" s="504"/>
      <c r="S50" s="352"/>
      <c r="T50" s="310"/>
      <c r="U50" s="502" t="s">
        <v>334</v>
      </c>
      <c r="V50" s="503"/>
      <c r="W50" s="504"/>
      <c r="X50" s="307"/>
    </row>
    <row r="51" spans="1:24" x14ac:dyDescent="0.2">
      <c r="A51" s="321"/>
      <c r="B51" s="353"/>
      <c r="C51" s="406" t="s">
        <v>57</v>
      </c>
      <c r="D51" s="290"/>
      <c r="E51" s="290"/>
      <c r="F51" s="290"/>
      <c r="G51" s="290"/>
      <c r="H51" s="290"/>
      <c r="I51" s="290"/>
      <c r="J51" s="347"/>
      <c r="K51" s="354"/>
      <c r="L51" s="347"/>
      <c r="M51" s="393" t="s">
        <v>335</v>
      </c>
      <c r="N51" s="300" t="str">
        <f>IF(Derivative="","",Derivative)</f>
        <v/>
      </c>
      <c r="O51" s="303"/>
      <c r="P51" s="514" t="s">
        <v>378</v>
      </c>
      <c r="Q51" s="515"/>
      <c r="R51" s="516"/>
      <c r="S51" s="410"/>
      <c r="T51" s="311"/>
      <c r="U51" s="514" t="s">
        <v>383</v>
      </c>
      <c r="V51" s="515"/>
      <c r="W51" s="516"/>
      <c r="X51" s="410"/>
    </row>
    <row r="52" spans="1:24" x14ac:dyDescent="0.2">
      <c r="A52" s="321"/>
      <c r="B52" s="345"/>
      <c r="C52" s="406" t="s">
        <v>341</v>
      </c>
      <c r="D52" s="290"/>
      <c r="E52" s="290"/>
      <c r="F52" s="290"/>
      <c r="G52" s="290"/>
      <c r="H52" s="290"/>
      <c r="I52" s="290"/>
      <c r="J52" s="347"/>
      <c r="K52" s="354"/>
      <c r="L52" s="347"/>
      <c r="M52" s="393" t="s">
        <v>336</v>
      </c>
      <c r="N52" s="300" t="str">
        <f>IF(Other1="","",Other1)</f>
        <v/>
      </c>
      <c r="O52" s="317"/>
      <c r="P52" s="502" t="s">
        <v>334</v>
      </c>
      <c r="Q52" s="503"/>
      <c r="R52" s="504"/>
      <c r="S52" s="352"/>
      <c r="T52" s="312"/>
      <c r="U52" s="502" t="s">
        <v>334</v>
      </c>
      <c r="V52" s="503"/>
      <c r="W52" s="504"/>
      <c r="X52" s="307"/>
    </row>
    <row r="53" spans="1:24" ht="12.75" customHeight="1" x14ac:dyDescent="0.2">
      <c r="A53" s="321"/>
      <c r="B53" s="345"/>
      <c r="C53" s="406" t="s">
        <v>58</v>
      </c>
      <c r="D53" s="295"/>
      <c r="E53" s="295"/>
      <c r="F53" s="295"/>
      <c r="G53" s="295"/>
      <c r="H53" s="295"/>
      <c r="I53" s="295"/>
      <c r="J53" s="347"/>
      <c r="K53" s="355"/>
      <c r="L53" s="355"/>
      <c r="M53" s="394" t="s">
        <v>336</v>
      </c>
      <c r="N53" s="300" t="str">
        <f>IF(Other2="","",Other2)</f>
        <v/>
      </c>
      <c r="O53" s="317"/>
      <c r="P53" s="505" t="s">
        <v>379</v>
      </c>
      <c r="Q53" s="506"/>
      <c r="R53" s="507"/>
      <c r="S53" s="410"/>
      <c r="T53" s="313"/>
      <c r="U53" s="505" t="s">
        <v>384</v>
      </c>
      <c r="V53" s="506"/>
      <c r="W53" s="507"/>
      <c r="X53" s="410"/>
    </row>
    <row r="54" spans="1:24" x14ac:dyDescent="0.2">
      <c r="A54" s="321"/>
      <c r="B54" s="345"/>
      <c r="C54" s="408" t="s">
        <v>82</v>
      </c>
      <c r="D54" s="451" t="str">
        <f>_xlfn.XLOOKUP(D$48,WireSets[serial_number],WireSets[traceability_number],"",0)</f>
        <v/>
      </c>
      <c r="E54" s="451" t="str">
        <f>_xlfn.XLOOKUP(E$48,WireSets[serial_number],WireSets[traceability_number],"",0)</f>
        <v/>
      </c>
      <c r="F54" s="451" t="str">
        <f>_xlfn.XLOOKUP(F$48,WireSets[serial_number],WireSets[traceability_number],"",0)</f>
        <v/>
      </c>
      <c r="G54" s="451" t="str">
        <f>_xlfn.XLOOKUP(G$48,WireSets[serial_number],WireSets[traceability_number],"",0)</f>
        <v/>
      </c>
      <c r="H54" s="451" t="str">
        <f>_xlfn.XLOOKUP(H$48,WireSets[serial_number],WireSets[traceability_number],"",0)</f>
        <v/>
      </c>
      <c r="I54" s="451" t="str">
        <f>_xlfn.XLOOKUP(I$48,WireSets[serial_number],WireSets[traceability_number],"",0)</f>
        <v/>
      </c>
      <c r="J54" s="356"/>
      <c r="K54" s="395"/>
      <c r="L54" s="396"/>
      <c r="M54" s="397" t="s">
        <v>363</v>
      </c>
      <c r="N54" s="299">
        <v>0</v>
      </c>
      <c r="O54" s="305"/>
      <c r="P54" s="508"/>
      <c r="Q54" s="509"/>
      <c r="R54" s="510"/>
      <c r="S54" s="357"/>
      <c r="T54" s="314"/>
      <c r="U54" s="508"/>
      <c r="V54" s="509"/>
      <c r="W54" s="510"/>
    </row>
    <row r="55" spans="1:24" x14ac:dyDescent="0.2">
      <c r="A55" s="321"/>
      <c r="B55" s="345"/>
      <c r="C55" s="408" t="s">
        <v>150</v>
      </c>
      <c r="D55" s="452" t="s">
        <v>965</v>
      </c>
      <c r="E55" s="452" t="s">
        <v>964</v>
      </c>
      <c r="F55" s="452" t="str">
        <f>_xlfn.XLOOKUP(F$48,WireSets[serial_number],WireSets[wire_roll_cert_number],"",0)</f>
        <v/>
      </c>
      <c r="G55" s="452" t="str">
        <f>_xlfn.XLOOKUP(G$48,WireSets[serial_number],WireSets[wire_roll_cert_number],"",0)</f>
        <v/>
      </c>
      <c r="H55" s="452" t="str">
        <f>_xlfn.XLOOKUP(H$48,WireSets[serial_number],WireSets[wire_roll_cert_number],"",0)</f>
        <v/>
      </c>
      <c r="I55" s="452" t="str">
        <f>_xlfn.XLOOKUP(I$48,WireSets[serial_number],WireSets[wire_roll_cert_number],"",0)</f>
        <v/>
      </c>
      <c r="J55" s="358"/>
      <c r="K55" s="398"/>
      <c r="L55" s="399"/>
      <c r="M55" s="400" t="s">
        <v>364</v>
      </c>
      <c r="N55" s="299">
        <v>0</v>
      </c>
      <c r="O55" s="305"/>
      <c r="P55" s="243" t="s">
        <v>337</v>
      </c>
      <c r="Q55" s="243" t="s">
        <v>14</v>
      </c>
      <c r="R55" s="251" t="s">
        <v>338</v>
      </c>
      <c r="S55" s="359"/>
      <c r="T55" s="315"/>
      <c r="U55" s="302" t="s">
        <v>339</v>
      </c>
      <c r="V55" s="243" t="s">
        <v>14</v>
      </c>
      <c r="W55" s="243" t="s">
        <v>340</v>
      </c>
    </row>
    <row r="56" spans="1:24" x14ac:dyDescent="0.2">
      <c r="A56" s="321"/>
      <c r="B56" s="360"/>
      <c r="C56" s="408" t="s">
        <v>151</v>
      </c>
      <c r="D56" s="290"/>
      <c r="E56" s="290"/>
      <c r="F56" s="290"/>
      <c r="G56" s="290"/>
      <c r="H56" s="290"/>
      <c r="I56" s="290"/>
      <c r="J56" s="361"/>
      <c r="K56" s="401"/>
      <c r="L56" s="402"/>
      <c r="M56" s="400" t="s">
        <v>365</v>
      </c>
      <c r="N56" s="299">
        <v>0</v>
      </c>
      <c r="O56" s="305"/>
      <c r="P56" s="411">
        <f>MAX(Survey[RawTemp])</f>
        <v>0</v>
      </c>
      <c r="Q56" s="412" t="str" cm="1">
        <f t="array" ref="Q56">_xlfn.TEXTJOIN(", ",TRUE, _xlfn.UNIQUE(TEXT(Alerts[High],"h:mm am/pm")))</f>
        <v/>
      </c>
      <c r="R56" s="413"/>
      <c r="S56" s="362"/>
      <c r="T56" s="316"/>
      <c r="U56" s="414">
        <f>MIN(Survey[RawTemp])</f>
        <v>0</v>
      </c>
      <c r="V56" s="412" t="str" cm="1">
        <f t="array" ref="V56">_xlfn.TEXTJOIN(", ",TRUE, _xlfn.UNIQUE(TEXT(Alerts[Low],"h:mm am/pm")))</f>
        <v/>
      </c>
      <c r="W56" s="411"/>
    </row>
    <row r="57" spans="1:24" x14ac:dyDescent="0.2">
      <c r="A57" s="321"/>
      <c r="B57" s="342"/>
      <c r="C57" s="240" t="s">
        <v>342</v>
      </c>
      <c r="D57" s="291"/>
      <c r="E57" s="291"/>
      <c r="F57" s="291"/>
      <c r="G57" s="291"/>
      <c r="H57" s="291"/>
      <c r="I57" s="291"/>
      <c r="J57" s="303"/>
      <c r="K57" s="403"/>
      <c r="L57" s="404"/>
      <c r="M57" s="405" t="s">
        <v>366</v>
      </c>
      <c r="N57" s="299">
        <v>0</v>
      </c>
      <c r="O57" s="305"/>
      <c r="P57" s="303"/>
      <c r="Q57" s="482"/>
      <c r="S57" s="303"/>
      <c r="V57" s="482"/>
    </row>
    <row r="58" spans="1:24" x14ac:dyDescent="0.2">
      <c r="A58" s="321"/>
      <c r="B58" s="342"/>
      <c r="C58" s="544" t="s">
        <v>156</v>
      </c>
      <c r="D58" s="545"/>
      <c r="E58" s="545"/>
      <c r="F58" s="545"/>
      <c r="G58" s="545"/>
      <c r="H58" s="545"/>
      <c r="I58" s="545"/>
      <c r="J58" s="545"/>
      <c r="K58" s="549"/>
      <c r="L58" s="550"/>
      <c r="M58" s="307"/>
      <c r="N58" s="307"/>
      <c r="O58" s="307"/>
      <c r="P58" s="303"/>
      <c r="Q58" s="484"/>
      <c r="S58" s="307"/>
      <c r="T58" s="307"/>
      <c r="U58" s="307"/>
      <c r="V58" s="482"/>
    </row>
    <row r="59" spans="1:24" x14ac:dyDescent="0.2">
      <c r="A59" s="321"/>
      <c r="B59" s="342"/>
      <c r="C59" s="544" t="s">
        <v>159</v>
      </c>
      <c r="D59" s="545"/>
      <c r="E59" s="545"/>
      <c r="F59" s="545"/>
      <c r="G59" s="545"/>
      <c r="H59" s="545"/>
      <c r="I59" s="545"/>
      <c r="J59" s="545"/>
      <c r="K59" s="545"/>
      <c r="L59" s="546"/>
      <c r="M59" s="307"/>
      <c r="N59" s="317" t="str">
        <f>"DOORS OPENED FOR " &amp;L16&amp; " SECONDS TO SIMULATE LOAD ENTRY AT " &amp;L17&amp; "."</f>
        <v>DOORS OPENED FOR  SECONDS TO SIMULATE LOAD ENTRY AT .</v>
      </c>
      <c r="O59" s="317"/>
      <c r="P59" s="317"/>
      <c r="Q59" s="483"/>
      <c r="R59" s="317"/>
      <c r="S59" s="317"/>
      <c r="T59" s="317"/>
      <c r="U59" s="317"/>
      <c r="V59" s="483"/>
    </row>
    <row r="60" spans="1:24" x14ac:dyDescent="0.2">
      <c r="A60" s="363"/>
      <c r="B60" s="350"/>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64" t="str">
        <f>"AFTER TUS, HIGH LIMIT SET AT " &amp;E60&amp; "°F AND OVEN SETPOINT RAISED UNTIL HIGH LIMIT SYSTEM ACTIVATED AT " &amp;K60&amp; "°F."</f>
        <v>AFTER TUS, HIGH LIMIT SET AT °F AND OVEN SETPOINT RAISED UNTIL HIGH LIMIT SYSTEM ACTIVATED AT °F.</v>
      </c>
      <c r="O60" s="364"/>
      <c r="P60" s="317"/>
      <c r="Q60" s="483"/>
      <c r="R60" s="317"/>
      <c r="S60" s="317"/>
      <c r="T60" s="317"/>
      <c r="U60" s="317"/>
      <c r="V60" s="483"/>
    </row>
    <row r="61" spans="1:24" x14ac:dyDescent="0.2">
      <c r="A61" s="325"/>
      <c r="B61" s="318"/>
      <c r="C61" s="174"/>
      <c r="D61" s="174" t="s">
        <v>158</v>
      </c>
      <c r="E61" s="298"/>
      <c r="F61" s="180" t="s">
        <v>160</v>
      </c>
      <c r="G61" s="181"/>
      <c r="H61" s="181"/>
      <c r="I61" s="182"/>
      <c r="J61" s="298"/>
      <c r="K61" s="183" t="str">
        <f>Unit&amp;"."</f>
        <v>°F.</v>
      </c>
      <c r="L61" s="303"/>
      <c r="M61" s="307"/>
      <c r="N61" s="364" t="str">
        <f>"AFTER TUS, HIGH LIMIT READING " &amp;E61&amp; "°F AND HIGH LIMIT SETPOINT LOWERED UNTIL ACTIVATION AT " &amp;J61&amp; "°F."</f>
        <v>AFTER TUS, HIGH LIMIT READING °F AND HIGH LIMIT SETPOINT LOWERED UNTIL ACTIVATION AT °F.</v>
      </c>
      <c r="O61" s="365"/>
      <c r="P61" s="317"/>
      <c r="Q61" s="483"/>
      <c r="R61" s="317"/>
      <c r="S61" s="317"/>
      <c r="T61" s="317"/>
      <c r="U61" s="317"/>
      <c r="V61" s="483"/>
    </row>
    <row r="62" spans="1:24" x14ac:dyDescent="0.2">
      <c r="A62" s="325"/>
      <c r="B62" s="318"/>
      <c r="C62" s="319"/>
      <c r="D62" s="303"/>
      <c r="E62" s="303"/>
      <c r="F62" s="307" t="s">
        <v>361</v>
      </c>
      <c r="G62" s="341"/>
      <c r="H62" s="341"/>
      <c r="I62" s="341"/>
      <c r="J62" s="303"/>
      <c r="K62" s="303"/>
      <c r="L62" s="303"/>
      <c r="M62" s="366"/>
      <c r="N62" s="365"/>
      <c r="O62" s="365"/>
      <c r="P62" s="317"/>
      <c r="Q62" s="483"/>
      <c r="R62" s="317"/>
      <c r="S62" s="317"/>
      <c r="T62" s="317"/>
      <c r="U62" s="317"/>
      <c r="V62" s="483"/>
    </row>
    <row r="63" spans="1:24" x14ac:dyDescent="0.2">
      <c r="A63" s="325"/>
      <c r="B63" s="318"/>
      <c r="C63" s="340"/>
      <c r="D63" s="341"/>
      <c r="E63" s="341"/>
      <c r="F63" s="341"/>
      <c r="G63" s="341"/>
      <c r="H63" s="341"/>
      <c r="I63" s="341"/>
      <c r="J63" s="303"/>
      <c r="K63" s="303"/>
      <c r="L63" s="303"/>
      <c r="M63" s="307"/>
      <c r="N63" s="347"/>
      <c r="O63" s="347"/>
      <c r="P63" s="307"/>
      <c r="Q63" s="484"/>
      <c r="R63" s="307"/>
      <c r="S63" s="307"/>
      <c r="T63" s="307"/>
      <c r="U63" s="307"/>
      <c r="V63" s="482"/>
    </row>
    <row r="64" spans="1:24" x14ac:dyDescent="0.2">
      <c r="A64" s="367"/>
      <c r="B64" s="368"/>
      <c r="C64" s="369"/>
      <c r="D64" s="370"/>
      <c r="E64" s="376"/>
      <c r="F64" s="377"/>
      <c r="G64" s="378"/>
      <c r="H64" s="379"/>
      <c r="I64" s="380"/>
      <c r="J64" s="373"/>
      <c r="K64" s="374"/>
      <c r="L64" s="375"/>
      <c r="M64" s="370"/>
      <c r="N64" s="371"/>
      <c r="O64" s="371"/>
      <c r="P64" s="371"/>
      <c r="Q64" s="485"/>
      <c r="R64" s="303"/>
      <c r="S64" s="303"/>
      <c r="V64" s="482"/>
    </row>
    <row r="65" spans="1:26" x14ac:dyDescent="0.2">
      <c r="A65" s="367"/>
      <c r="B65" s="368"/>
      <c r="C65" s="369"/>
      <c r="D65" s="370"/>
      <c r="E65" s="68" t="s">
        <v>900</v>
      </c>
      <c r="F65" t="s">
        <v>149</v>
      </c>
      <c r="G65" s="37" t="s">
        <v>901</v>
      </c>
      <c r="I65" s="374"/>
      <c r="J65" s="375"/>
      <c r="K65" s="370"/>
      <c r="L65" s="371"/>
      <c r="M65" s="371"/>
      <c r="N65" s="371"/>
      <c r="O65" s="370"/>
      <c r="P65" s="303"/>
      <c r="Q65" s="482"/>
      <c r="R65" s="307"/>
      <c r="S65" s="303"/>
      <c r="V65" s="482"/>
    </row>
    <row r="66" spans="1:26" x14ac:dyDescent="0.2">
      <c r="A66" s="367"/>
      <c r="B66" s="368"/>
      <c r="C66" s="369"/>
      <c r="D66" s="370"/>
      <c r="E66">
        <v>1</v>
      </c>
      <c r="F66" s="388">
        <v>5</v>
      </c>
      <c r="G66" s="388">
        <v>2</v>
      </c>
      <c r="I66" s="374"/>
      <c r="J66" s="375"/>
      <c r="K66" s="370"/>
      <c r="L66" s="371"/>
      <c r="M66" s="371"/>
      <c r="N66" s="371"/>
      <c r="O66" s="370"/>
      <c r="P66" s="303"/>
      <c r="Q66" s="482"/>
      <c r="R66" s="303"/>
      <c r="S66" s="303"/>
      <c r="V66" s="482"/>
    </row>
    <row r="67" spans="1:26" x14ac:dyDescent="0.2">
      <c r="A67" s="367"/>
      <c r="B67" s="368"/>
      <c r="C67" s="369"/>
      <c r="D67" s="370"/>
      <c r="E67">
        <v>2</v>
      </c>
      <c r="F67" s="388">
        <v>10</v>
      </c>
      <c r="G67" s="388">
        <v>3</v>
      </c>
      <c r="I67" s="374"/>
      <c r="J67" s="375"/>
      <c r="K67" s="370"/>
      <c r="L67" s="371"/>
      <c r="M67" s="371"/>
      <c r="N67" s="371"/>
      <c r="O67" s="370"/>
      <c r="P67" s="303"/>
      <c r="Q67" s="482"/>
      <c r="R67" s="303"/>
      <c r="S67" s="303"/>
      <c r="V67" s="482"/>
    </row>
    <row r="68" spans="1:26" x14ac:dyDescent="0.2">
      <c r="A68" s="367"/>
      <c r="B68" s="368"/>
      <c r="C68" s="369"/>
      <c r="D68" s="370"/>
      <c r="E68">
        <v>3</v>
      </c>
      <c r="F68" s="388">
        <v>15</v>
      </c>
      <c r="G68" s="388">
        <v>4</v>
      </c>
      <c r="I68" s="374"/>
      <c r="J68" s="375"/>
      <c r="K68" s="370"/>
      <c r="L68" s="371"/>
      <c r="M68" s="371"/>
      <c r="N68" s="371"/>
      <c r="O68" s="370"/>
      <c r="P68" s="303"/>
      <c r="Q68" s="482"/>
      <c r="R68" s="303"/>
      <c r="S68" s="303"/>
      <c r="V68" s="482"/>
    </row>
    <row r="69" spans="1:26" x14ac:dyDescent="0.2">
      <c r="A69" s="367"/>
      <c r="B69" s="368"/>
      <c r="C69" s="369"/>
      <c r="D69" s="370"/>
      <c r="E69">
        <v>4</v>
      </c>
      <c r="F69" s="388">
        <v>20</v>
      </c>
      <c r="G69" s="388">
        <v>4</v>
      </c>
      <c r="I69" s="374"/>
      <c r="J69" s="375"/>
      <c r="K69" s="370"/>
      <c r="L69" s="371"/>
      <c r="M69" s="371"/>
      <c r="N69" s="371"/>
      <c r="O69" s="370"/>
      <c r="P69" s="303"/>
      <c r="Q69" s="482"/>
      <c r="R69" s="303"/>
      <c r="S69" s="303"/>
      <c r="V69" s="482"/>
    </row>
    <row r="70" spans="1:26" x14ac:dyDescent="0.2">
      <c r="A70" s="367"/>
      <c r="B70" s="368"/>
      <c r="C70" s="369"/>
      <c r="D70" s="370"/>
      <c r="E70">
        <v>5</v>
      </c>
      <c r="F70" s="388">
        <v>25</v>
      </c>
      <c r="G70" s="388">
        <v>5</v>
      </c>
      <c r="I70" s="374"/>
      <c r="J70" s="375"/>
      <c r="K70" s="370"/>
      <c r="L70" s="371"/>
      <c r="M70" s="371"/>
      <c r="N70" s="371"/>
      <c r="O70" s="370"/>
      <c r="P70" s="303"/>
      <c r="Q70" s="482"/>
      <c r="R70" s="303"/>
      <c r="S70" s="303"/>
      <c r="V70" s="482"/>
    </row>
    <row r="71" spans="1:26" x14ac:dyDescent="0.2">
      <c r="A71" s="367"/>
      <c r="B71" s="368"/>
      <c r="C71" s="369"/>
      <c r="D71" s="370"/>
      <c r="E71">
        <v>6</v>
      </c>
      <c r="F71" s="388">
        <v>50</v>
      </c>
      <c r="G71" s="388">
        <v>10</v>
      </c>
      <c r="I71" s="374"/>
      <c r="J71" s="375"/>
      <c r="K71" s="370"/>
      <c r="L71" s="371"/>
      <c r="M71" s="371"/>
      <c r="N71" s="371"/>
      <c r="O71" s="370"/>
      <c r="P71" s="303"/>
      <c r="Q71" s="303"/>
      <c r="R71" s="303"/>
      <c r="S71" s="303"/>
    </row>
    <row r="72" spans="1:26" x14ac:dyDescent="0.2">
      <c r="A72" s="367"/>
      <c r="B72" s="368"/>
      <c r="C72" s="369"/>
      <c r="D72" s="370"/>
      <c r="E72" s="376"/>
      <c r="F72" s="377"/>
      <c r="H72" s="379"/>
      <c r="I72" s="380"/>
      <c r="J72" s="373"/>
      <c r="K72" s="374"/>
      <c r="L72" s="375"/>
      <c r="M72" s="370"/>
      <c r="N72" s="371"/>
      <c r="O72" s="371"/>
      <c r="P72" s="371"/>
      <c r="Q72" s="370"/>
      <c r="R72" s="303"/>
      <c r="S72" s="303"/>
    </row>
    <row r="73" spans="1:26" x14ac:dyDescent="0.2">
      <c r="A73" s="367"/>
      <c r="B73" s="368"/>
      <c r="C73" s="369"/>
      <c r="D73" s="370"/>
      <c r="E73" s="376"/>
      <c r="F73" s="406" t="s">
        <v>959</v>
      </c>
      <c r="G73" s="469" t="b">
        <f>AND(UUTRangeTol!R2+UUTRangeTol!S2=0,UUTRangeTol!S2&gt;0)</f>
        <v>0</v>
      </c>
      <c r="H73" s="381"/>
      <c r="I73" s="380"/>
      <c r="J73" s="373"/>
      <c r="K73" s="374"/>
      <c r="L73" s="375"/>
      <c r="M73" s="370"/>
      <c r="N73" s="371"/>
      <c r="O73" s="371"/>
      <c r="P73" s="371"/>
      <c r="Q73" s="370"/>
      <c r="R73" s="303"/>
      <c r="S73" s="303"/>
    </row>
    <row r="74" spans="1:26" x14ac:dyDescent="0.2">
      <c r="A74" s="367"/>
      <c r="B74" s="368"/>
      <c r="C74" s="369"/>
      <c r="D74" s="370"/>
      <c r="E74" s="376"/>
      <c r="F74" s="406" t="s">
        <v>960</v>
      </c>
      <c r="G74" s="468">
        <f>IF(Symmetric_Tol,VLOOKUP(UUTRangeTol!S2,SAT_Tolerance_Lookup[[TUS Tol]:[SAT Multiplier]],2,FALSE),SAT_Tol)</f>
        <v>0</v>
      </c>
      <c r="H74" s="375"/>
      <c r="J74" s="373"/>
      <c r="K74" s="374"/>
      <c r="L74" s="375"/>
      <c r="M74" s="370"/>
      <c r="N74" s="371"/>
      <c r="O74" s="371"/>
      <c r="P74" s="371"/>
      <c r="Q74" s="370"/>
      <c r="R74" s="303"/>
      <c r="S74" s="303"/>
    </row>
    <row r="75" spans="1:26" x14ac:dyDescent="0.2">
      <c r="A75" s="367"/>
      <c r="B75" s="368"/>
      <c r="C75" s="369"/>
      <c r="D75" s="370"/>
      <c r="E75" s="372"/>
      <c r="F75" s="406" t="s">
        <v>961</v>
      </c>
      <c r="G75" s="470">
        <f>G74*MAX(NominalTemp/1000,1)</f>
        <v>0</v>
      </c>
      <c r="H75" s="370"/>
      <c r="I75" s="372"/>
      <c r="J75" s="373"/>
      <c r="K75" s="374"/>
      <c r="L75" s="375"/>
      <c r="M75" s="370"/>
      <c r="N75" s="371"/>
      <c r="O75" s="371"/>
      <c r="P75" s="371"/>
      <c r="Q75" s="370"/>
      <c r="R75" s="303"/>
      <c r="S75" s="303"/>
    </row>
    <row r="76" spans="1:26" x14ac:dyDescent="0.2">
      <c r="A76" s="367"/>
      <c r="B76" s="368"/>
      <c r="C76" s="369"/>
      <c r="D76" s="370"/>
      <c r="E76" s="367"/>
      <c r="H76" s="370"/>
      <c r="I76" s="367"/>
      <c r="J76" s="368"/>
      <c r="K76" s="369"/>
      <c r="L76" s="370"/>
      <c r="M76" s="370"/>
      <c r="N76" s="371"/>
      <c r="O76" s="371"/>
      <c r="P76" s="371"/>
      <c r="Q76" s="370"/>
      <c r="R76" s="303"/>
      <c r="S76" s="303"/>
    </row>
    <row r="77" spans="1:26" x14ac:dyDescent="0.2">
      <c r="A77" s="367"/>
      <c r="B77" s="368"/>
      <c r="C77" s="369"/>
      <c r="D77" s="370"/>
      <c r="E77" s="367"/>
      <c r="H77" s="370"/>
      <c r="I77" s="367"/>
      <c r="J77" s="368"/>
      <c r="K77" s="369"/>
      <c r="L77" s="370"/>
      <c r="M77" s="370"/>
      <c r="N77" s="371"/>
      <c r="O77" s="371"/>
      <c r="P77" s="371"/>
      <c r="Q77" s="370"/>
      <c r="R77" s="303"/>
      <c r="S77" s="303"/>
    </row>
    <row r="78" spans="1:26" x14ac:dyDescent="0.2">
      <c r="A78" s="367"/>
      <c r="B78" s="368"/>
      <c r="C78" s="369"/>
      <c r="D78" s="370"/>
      <c r="E78" s="370"/>
      <c r="F78" s="370"/>
      <c r="G78" s="370"/>
      <c r="H78" s="370"/>
      <c r="I78" s="370"/>
      <c r="J78" s="370"/>
      <c r="K78" s="370"/>
      <c r="L78" s="370"/>
      <c r="M78" s="370"/>
      <c r="N78" s="371"/>
      <c r="O78" s="371"/>
      <c r="P78" s="371"/>
      <c r="Q78" s="370"/>
      <c r="R78" s="303"/>
      <c r="S78" s="303"/>
    </row>
    <row r="79" spans="1:26" x14ac:dyDescent="0.2">
      <c r="A79" s="367"/>
      <c r="B79" s="368"/>
      <c r="C79" s="369"/>
      <c r="D79" s="370"/>
      <c r="E79" s="370"/>
      <c r="F79" s="370"/>
      <c r="G79" s="370"/>
      <c r="H79" s="370"/>
      <c r="I79" s="370"/>
      <c r="J79" s="370"/>
      <c r="K79" s="370"/>
      <c r="L79" s="370"/>
      <c r="M79" s="370"/>
      <c r="N79" s="371"/>
      <c r="O79" s="371"/>
      <c r="P79" s="371"/>
      <c r="Q79" s="370"/>
      <c r="R79" s="303"/>
      <c r="S79" s="303"/>
    </row>
    <row r="80" spans="1:26" x14ac:dyDescent="0.2">
      <c r="A80" s="367"/>
      <c r="B80" s="368"/>
      <c r="C80" s="369"/>
      <c r="D80" s="370"/>
      <c r="E80" s="370"/>
      <c r="F80" s="370"/>
      <c r="G80" s="370"/>
      <c r="H80" s="370"/>
      <c r="I80" s="370"/>
      <c r="J80" s="370"/>
      <c r="K80" s="370"/>
      <c r="L80" s="370"/>
      <c r="M80" s="370"/>
      <c r="N80" s="371"/>
      <c r="O80" s="371"/>
      <c r="P80" s="371"/>
      <c r="Q80" s="370"/>
      <c r="R80" s="303"/>
      <c r="S80" s="303"/>
      <c r="Z80" s="449"/>
    </row>
    <row r="81" spans="1:19" x14ac:dyDescent="0.2">
      <c r="A81" s="367"/>
      <c r="B81" s="368"/>
      <c r="C81" s="369"/>
      <c r="D81" s="370"/>
      <c r="E81" s="370"/>
      <c r="F81" s="370"/>
      <c r="G81" s="370"/>
      <c r="H81" s="370"/>
      <c r="I81" s="370"/>
      <c r="J81" s="370"/>
      <c r="K81" s="370"/>
      <c r="L81" s="370"/>
      <c r="M81" s="370"/>
      <c r="N81" s="371"/>
      <c r="O81" s="371"/>
      <c r="P81" s="371"/>
      <c r="Q81" s="370"/>
      <c r="R81" s="303"/>
      <c r="S81" s="303"/>
    </row>
    <row r="82" spans="1:19" x14ac:dyDescent="0.2">
      <c r="A82" s="367"/>
      <c r="B82" s="368"/>
      <c r="C82" s="369"/>
      <c r="D82" s="370"/>
      <c r="E82" s="370"/>
      <c r="F82" s="370"/>
      <c r="G82" s="370"/>
      <c r="H82" s="370"/>
      <c r="I82" s="370"/>
      <c r="J82" s="370"/>
      <c r="K82" s="370"/>
      <c r="L82" s="370"/>
      <c r="M82" s="370"/>
      <c r="N82" s="371"/>
      <c r="O82" s="371"/>
      <c r="P82" s="371"/>
      <c r="Q82" s="370"/>
      <c r="R82" s="303"/>
      <c r="S82" s="303"/>
    </row>
    <row r="83" spans="1:19" x14ac:dyDescent="0.2">
      <c r="A83" s="367"/>
      <c r="B83" s="368"/>
      <c r="C83" s="369"/>
      <c r="D83" s="370"/>
      <c r="E83" s="370"/>
      <c r="F83" s="370"/>
      <c r="G83" s="370"/>
      <c r="H83" s="370"/>
      <c r="I83" s="370"/>
      <c r="J83" s="370"/>
      <c r="K83" s="370"/>
      <c r="L83" s="370"/>
      <c r="M83" s="370"/>
      <c r="N83" s="371"/>
      <c r="O83" s="371"/>
      <c r="P83" s="371"/>
      <c r="Q83" s="370"/>
      <c r="R83" s="303"/>
      <c r="S83" s="303"/>
    </row>
    <row r="84" spans="1:19" x14ac:dyDescent="0.2">
      <c r="A84" s="367"/>
      <c r="B84" s="368"/>
      <c r="C84" s="369"/>
      <c r="D84" s="370"/>
      <c r="E84" s="370"/>
      <c r="F84" s="370"/>
      <c r="G84" s="370"/>
      <c r="H84" s="370"/>
      <c r="I84" s="370"/>
      <c r="J84" s="370"/>
      <c r="K84" s="370"/>
      <c r="L84" s="370"/>
      <c r="M84" s="370"/>
      <c r="N84" s="371"/>
      <c r="O84" s="371"/>
      <c r="P84" s="371"/>
      <c r="Q84" s="370"/>
      <c r="R84" s="303"/>
      <c r="S84" s="303"/>
    </row>
    <row r="85" spans="1:19" x14ac:dyDescent="0.2">
      <c r="A85" s="367"/>
      <c r="B85" s="368"/>
      <c r="C85" s="369"/>
      <c r="D85" s="370"/>
      <c r="E85" s="370"/>
      <c r="F85" s="370"/>
      <c r="G85" s="448"/>
      <c r="H85" s="370"/>
      <c r="I85" s="370"/>
      <c r="J85" s="370"/>
      <c r="K85" s="370"/>
      <c r="L85" s="370"/>
      <c r="M85" s="370"/>
      <c r="N85" s="371"/>
      <c r="O85" s="371"/>
      <c r="P85" s="371"/>
      <c r="Q85" s="370"/>
      <c r="R85" s="303"/>
      <c r="S85" s="303"/>
    </row>
    <row r="86" spans="1:19" x14ac:dyDescent="0.2">
      <c r="A86" s="367"/>
      <c r="B86" s="368"/>
      <c r="C86" s="369"/>
      <c r="D86" s="370"/>
      <c r="E86" s="370"/>
      <c r="F86" s="370"/>
      <c r="G86" s="370"/>
      <c r="H86" s="370"/>
      <c r="I86" s="370"/>
      <c r="J86" s="370"/>
      <c r="K86" s="370"/>
      <c r="L86" s="370"/>
      <c r="M86" s="370"/>
      <c r="N86" s="371"/>
      <c r="O86" s="371"/>
      <c r="P86" s="371"/>
      <c r="Q86" s="370"/>
      <c r="R86" s="303"/>
      <c r="S86" s="303"/>
    </row>
    <row r="87" spans="1:19" x14ac:dyDescent="0.2">
      <c r="A87" s="367"/>
      <c r="B87" s="368"/>
      <c r="C87" s="369"/>
      <c r="D87" s="370"/>
      <c r="E87" s="370"/>
      <c r="F87" s="370"/>
      <c r="G87" s="370"/>
      <c r="H87" s="370"/>
      <c r="I87" s="370"/>
      <c r="J87" s="370"/>
      <c r="K87" s="370"/>
      <c r="L87" s="370"/>
      <c r="M87" s="370"/>
      <c r="N87" s="371"/>
      <c r="O87" s="371"/>
      <c r="P87" s="371"/>
      <c r="Q87" s="370"/>
      <c r="R87" s="303"/>
      <c r="S87" s="303"/>
    </row>
    <row r="88" spans="1:19" x14ac:dyDescent="0.2">
      <c r="A88" s="367"/>
      <c r="B88" s="368"/>
      <c r="C88" s="369"/>
      <c r="D88" s="370"/>
      <c r="E88" s="370"/>
      <c r="F88" s="370"/>
      <c r="G88" s="370"/>
      <c r="H88" s="370"/>
      <c r="I88" s="370"/>
      <c r="J88" s="370"/>
      <c r="K88" s="370"/>
      <c r="L88" s="370"/>
      <c r="M88" s="370"/>
      <c r="N88" s="371"/>
      <c r="O88" s="371"/>
      <c r="P88" s="371"/>
      <c r="Q88" s="370"/>
      <c r="R88" s="303"/>
      <c r="S88" s="303"/>
    </row>
    <row r="89" spans="1:19" x14ac:dyDescent="0.2">
      <c r="A89" s="367"/>
      <c r="B89" s="368"/>
      <c r="C89" s="369"/>
      <c r="D89" s="370"/>
      <c r="E89" s="370"/>
      <c r="F89" s="370"/>
      <c r="G89" s="370"/>
      <c r="H89" s="370"/>
      <c r="I89" s="370"/>
      <c r="J89" s="370"/>
      <c r="K89" s="370"/>
      <c r="L89" s="370"/>
      <c r="M89" s="370"/>
      <c r="N89" s="371"/>
      <c r="O89" s="371"/>
      <c r="P89" s="371"/>
      <c r="Q89" s="370"/>
      <c r="R89" s="303"/>
      <c r="S89" s="303"/>
    </row>
    <row r="90" spans="1:19" x14ac:dyDescent="0.2">
      <c r="A90" s="367"/>
      <c r="B90" s="368"/>
      <c r="C90" s="369"/>
      <c r="D90" s="370"/>
      <c r="E90" s="370"/>
      <c r="F90" s="370"/>
      <c r="G90" s="370"/>
      <c r="H90" s="370"/>
      <c r="I90" s="370"/>
      <c r="J90" s="370"/>
      <c r="K90" s="370"/>
      <c r="L90" s="370"/>
      <c r="M90" s="370"/>
      <c r="N90" s="371"/>
      <c r="O90" s="371"/>
      <c r="P90" s="371"/>
      <c r="Q90" s="370"/>
      <c r="R90" s="303"/>
      <c r="S90" s="303"/>
    </row>
    <row r="91" spans="1:19" x14ac:dyDescent="0.2">
      <c r="A91" s="367"/>
      <c r="B91" s="368"/>
      <c r="C91" s="369"/>
      <c r="D91" s="370"/>
      <c r="E91" s="370"/>
      <c r="F91" s="370"/>
      <c r="G91" s="370"/>
      <c r="H91" s="370"/>
      <c r="I91" s="370"/>
      <c r="J91" s="370"/>
      <c r="K91" s="370"/>
      <c r="L91" s="370"/>
      <c r="M91" s="370"/>
      <c r="N91" s="371"/>
      <c r="O91" s="371"/>
      <c r="P91" s="371"/>
      <c r="Q91" s="370"/>
      <c r="R91" s="303"/>
      <c r="S91" s="303"/>
    </row>
    <row r="92" spans="1:19" x14ac:dyDescent="0.2">
      <c r="A92" s="367"/>
      <c r="B92" s="368"/>
      <c r="C92" s="369"/>
      <c r="D92" s="370"/>
      <c r="E92" s="370"/>
      <c r="F92" s="370"/>
      <c r="G92" s="370"/>
      <c r="H92" s="370"/>
      <c r="I92" s="370"/>
      <c r="J92" s="370"/>
      <c r="K92" s="370"/>
      <c r="L92" s="370"/>
      <c r="M92" s="370"/>
      <c r="N92" s="382"/>
      <c r="O92" s="382"/>
      <c r="P92" s="382"/>
      <c r="Q92" s="370"/>
      <c r="R92" s="303"/>
      <c r="S92" s="303"/>
    </row>
    <row r="93" spans="1:19" x14ac:dyDescent="0.2">
      <c r="A93" s="367"/>
      <c r="B93" s="368"/>
      <c r="C93" s="369"/>
      <c r="D93" s="370"/>
      <c r="E93" s="370"/>
      <c r="F93" s="370"/>
      <c r="G93" s="370"/>
      <c r="H93" s="370"/>
      <c r="I93" s="370"/>
      <c r="J93" s="370"/>
      <c r="K93" s="370"/>
      <c r="L93" s="370"/>
      <c r="M93" s="370"/>
      <c r="N93" s="382"/>
      <c r="O93" s="382"/>
      <c r="P93" s="382"/>
      <c r="Q93" s="370"/>
      <c r="R93" s="303"/>
      <c r="S93" s="303"/>
    </row>
    <row r="94" spans="1:19" x14ac:dyDescent="0.2">
      <c r="A94" s="367"/>
      <c r="B94" s="368"/>
      <c r="C94" s="369"/>
      <c r="D94" s="370"/>
      <c r="E94" s="370"/>
      <c r="F94" s="370"/>
      <c r="G94" s="370"/>
      <c r="H94" s="370"/>
      <c r="I94" s="370"/>
      <c r="J94" s="370"/>
      <c r="K94" s="370"/>
      <c r="L94" s="370"/>
      <c r="M94" s="370"/>
      <c r="N94" s="382"/>
      <c r="O94" s="382"/>
      <c r="P94" s="382"/>
      <c r="Q94" s="370"/>
      <c r="R94" s="303"/>
      <c r="S94" s="303"/>
    </row>
    <row r="95" spans="1:19" x14ac:dyDescent="0.2">
      <c r="A95" s="367"/>
      <c r="B95" s="368"/>
      <c r="C95" s="369"/>
      <c r="D95" s="370"/>
      <c r="E95" s="370"/>
      <c r="F95" s="370"/>
      <c r="G95" s="370"/>
      <c r="H95" s="370"/>
      <c r="I95" s="370"/>
      <c r="J95" s="370"/>
      <c r="K95" s="370"/>
      <c r="L95" s="370"/>
      <c r="M95" s="370"/>
      <c r="N95" s="382"/>
      <c r="O95" s="382"/>
      <c r="P95" s="382"/>
      <c r="Q95" s="370"/>
      <c r="R95" s="303"/>
      <c r="S95" s="303"/>
    </row>
    <row r="96" spans="1:19" x14ac:dyDescent="0.2">
      <c r="A96" s="367"/>
      <c r="B96" s="368"/>
      <c r="C96" s="369"/>
      <c r="D96" s="370"/>
      <c r="E96" s="370"/>
      <c r="F96" s="305"/>
      <c r="G96" s="305"/>
      <c r="H96" s="305"/>
      <c r="I96" s="370"/>
      <c r="J96" s="370"/>
      <c r="K96" s="370"/>
      <c r="L96" s="370"/>
      <c r="M96" s="370"/>
      <c r="N96" s="370"/>
      <c r="O96" s="370"/>
      <c r="P96" s="370"/>
      <c r="Q96" s="370"/>
      <c r="R96" s="303"/>
      <c r="S96" s="303"/>
    </row>
    <row r="97" spans="1:19" x14ac:dyDescent="0.2">
      <c r="A97" s="383"/>
      <c r="B97" s="384"/>
      <c r="C97" s="385"/>
      <c r="D97" s="305"/>
      <c r="E97" s="305"/>
      <c r="F97" s="305"/>
      <c r="G97" s="305"/>
      <c r="H97" s="305"/>
      <c r="I97" s="305"/>
      <c r="J97" s="303"/>
      <c r="K97" s="303"/>
      <c r="L97" s="303"/>
      <c r="M97" s="303"/>
      <c r="N97" s="303"/>
      <c r="O97" s="303"/>
      <c r="P97" s="303"/>
      <c r="Q97" s="303"/>
      <c r="R97" s="303"/>
      <c r="S97" s="303"/>
    </row>
    <row r="98" spans="1:19" x14ac:dyDescent="0.2">
      <c r="A98" s="383"/>
      <c r="B98" s="384"/>
      <c r="C98" s="385"/>
      <c r="D98" s="305"/>
      <c r="E98" s="305"/>
      <c r="F98" s="305"/>
      <c r="G98" s="305"/>
      <c r="H98" s="305"/>
      <c r="I98" s="305"/>
      <c r="J98" s="303"/>
      <c r="K98" s="303"/>
      <c r="L98" s="303"/>
      <c r="M98" s="303"/>
      <c r="N98" s="303"/>
      <c r="O98" s="303"/>
      <c r="P98" s="303"/>
      <c r="Q98" s="303"/>
      <c r="R98" s="303"/>
      <c r="S98" s="303"/>
    </row>
    <row r="99" spans="1:19" x14ac:dyDescent="0.2">
      <c r="A99" s="383"/>
      <c r="B99" s="384"/>
      <c r="C99" s="385"/>
      <c r="D99" s="305"/>
      <c r="E99" s="305"/>
      <c r="I99" s="305"/>
      <c r="J99" s="303"/>
      <c r="K99" s="303"/>
      <c r="L99" s="303"/>
      <c r="M99" s="303"/>
      <c r="N99" s="303"/>
      <c r="O99" s="303"/>
      <c r="P99" s="303"/>
      <c r="Q99" s="303"/>
      <c r="R99" s="303"/>
      <c r="S99" s="303"/>
    </row>
  </sheetData>
  <sheetProtection algorithmName="SHA-512" hashValue="ge9iza0ybrmJKNaJrWjHaMm2mTASHUNIarxshFQtd+hNlupg22YZ6S49/DUrP5Fs2yxx1HQ1QRHV4sB/CZ2HEA==" saltValue="vbB54XFvhmM0/icn1S2mgQ=="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AyukMUZyx8GZOgVuiwkZhXfY8+DgBRsCrCF4/RRDHjw/Qd2nUiqRh6JRd7CJofuusWUl9svmcIFvm1LTDmcTsQ==" saltValue="XX4x4sQOSIPXbmEnjckD8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53" bestFit="1" customWidth="1"/>
    <col min="2" max="15" width="6" style="50" customWidth="1"/>
    <col min="16" max="16" width="2.140625" style="50" customWidth="1"/>
    <col min="17" max="17" width="9" style="419" bestFit="1" customWidth="1"/>
    <col min="18" max="31" width="6" style="50" customWidth="1"/>
    <col min="32" max="32" width="2.140625" style="50" customWidth="1"/>
    <col min="33" max="33" width="9" style="419" bestFit="1" customWidth="1"/>
    <col min="34" max="45" width="6" style="50" customWidth="1"/>
    <col min="46" max="16384" width="9.140625" style="50"/>
  </cols>
  <sheetData>
    <row r="1" spans="1:45" s="421" customFormat="1" ht="24.75" customHeight="1" x14ac:dyDescent="0.25"/>
    <row r="2" spans="1:45" s="422" customFormat="1" x14ac:dyDescent="0.2">
      <c r="A2" s="419"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19"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19"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A3" s="662"/>
      <c r="B3" s="663"/>
      <c r="C3" s="663"/>
      <c r="D3" s="663"/>
      <c r="E3" s="663"/>
      <c r="F3" s="663"/>
      <c r="G3" s="663"/>
      <c r="H3" s="663"/>
      <c r="I3" s="663"/>
      <c r="J3" s="663"/>
      <c r="K3" s="663"/>
      <c r="L3" s="455"/>
      <c r="M3" s="455"/>
      <c r="N3" s="455"/>
      <c r="O3" s="450"/>
      <c r="Q3" s="453"/>
      <c r="R3" s="454"/>
      <c r="S3" s="454"/>
      <c r="T3" s="454"/>
      <c r="U3" s="454"/>
      <c r="V3" s="454"/>
      <c r="W3" s="454"/>
      <c r="X3" s="454"/>
      <c r="Y3" s="454"/>
      <c r="Z3" s="454"/>
      <c r="AA3" s="454"/>
      <c r="AD3" s="456"/>
      <c r="AE3" s="450"/>
      <c r="AG3" s="453"/>
      <c r="AH3" s="454"/>
      <c r="AI3" s="454"/>
      <c r="AJ3" s="454"/>
      <c r="AK3" s="454"/>
      <c r="AL3" s="454"/>
      <c r="AM3" s="454"/>
      <c r="AN3" s="454"/>
      <c r="AO3" s="454"/>
      <c r="AP3" s="454"/>
      <c r="AQ3" s="454"/>
    </row>
    <row r="4" spans="1:45" x14ac:dyDescent="0.2">
      <c r="Q4" s="453"/>
      <c r="AG4" s="453"/>
    </row>
    <row r="5" spans="1:45" x14ac:dyDescent="0.2">
      <c r="Q5" s="453"/>
      <c r="AG5" s="453"/>
    </row>
    <row r="6" spans="1:45" x14ac:dyDescent="0.2">
      <c r="Q6" s="453"/>
      <c r="AG6" s="453"/>
    </row>
    <row r="7" spans="1:45" x14ac:dyDescent="0.2">
      <c r="Q7" s="453"/>
      <c r="AG7" s="453"/>
    </row>
    <row r="8" spans="1:45" x14ac:dyDescent="0.2">
      <c r="Q8" s="453"/>
      <c r="AG8" s="453"/>
    </row>
    <row r="9" spans="1:45" x14ac:dyDescent="0.2">
      <c r="Q9" s="453"/>
      <c r="AG9" s="453"/>
    </row>
    <row r="10" spans="1:45" x14ac:dyDescent="0.2">
      <c r="Q10" s="453"/>
      <c r="AG10" s="453"/>
    </row>
    <row r="11" spans="1:45" x14ac:dyDescent="0.2">
      <c r="Q11" s="453"/>
      <c r="AG11" s="453"/>
    </row>
    <row r="12" spans="1:45" x14ac:dyDescent="0.2">
      <c r="Q12" s="453"/>
      <c r="AG12" s="453"/>
    </row>
    <row r="13" spans="1:45" x14ac:dyDescent="0.2">
      <c r="Q13" s="453"/>
      <c r="AG13" s="453"/>
    </row>
    <row r="14" spans="1:45" x14ac:dyDescent="0.2">
      <c r="Q14" s="453"/>
      <c r="AG14" s="453"/>
    </row>
    <row r="15" spans="1:45" x14ac:dyDescent="0.2">
      <c r="Q15" s="453"/>
      <c r="AG15" s="453"/>
    </row>
    <row r="16" spans="1:45" x14ac:dyDescent="0.2">
      <c r="Q16" s="453"/>
      <c r="AG16" s="453"/>
    </row>
    <row r="17" spans="17:33" x14ac:dyDescent="0.2">
      <c r="Q17" s="453"/>
      <c r="AG17" s="453"/>
    </row>
    <row r="18" spans="17:33" x14ac:dyDescent="0.2">
      <c r="Q18" s="453"/>
      <c r="AG18" s="453"/>
    </row>
    <row r="19" spans="17:33" x14ac:dyDescent="0.2">
      <c r="Q19" s="453"/>
      <c r="AG19" s="453"/>
    </row>
    <row r="20" spans="17:33" x14ac:dyDescent="0.2">
      <c r="Q20" s="453"/>
      <c r="AG20" s="453"/>
    </row>
    <row r="21" spans="17:33" x14ac:dyDescent="0.2">
      <c r="Q21" s="453"/>
      <c r="AG21" s="453"/>
    </row>
    <row r="22" spans="17:33" x14ac:dyDescent="0.2">
      <c r="Q22" s="453"/>
      <c r="AG22" s="453"/>
    </row>
    <row r="23" spans="17:33" x14ac:dyDescent="0.2">
      <c r="Q23" s="453"/>
      <c r="AG23" s="453"/>
    </row>
    <row r="24" spans="17:33" x14ac:dyDescent="0.2">
      <c r="Q24" s="453"/>
      <c r="AG24" s="453"/>
    </row>
    <row r="25" spans="17:33" x14ac:dyDescent="0.2">
      <c r="Q25" s="453"/>
      <c r="AG25" s="453"/>
    </row>
    <row r="26" spans="17:33" x14ac:dyDescent="0.2">
      <c r="Q26" s="453"/>
      <c r="AG26" s="453"/>
    </row>
    <row r="27" spans="17:33" x14ac:dyDescent="0.2">
      <c r="Q27" s="453"/>
      <c r="AG27" s="453"/>
    </row>
    <row r="28" spans="17:33" x14ac:dyDescent="0.2">
      <c r="Q28" s="453"/>
      <c r="AG28" s="453"/>
    </row>
    <row r="29" spans="17:33" x14ac:dyDescent="0.2">
      <c r="Q29" s="453"/>
      <c r="AG29" s="453"/>
    </row>
    <row r="30" spans="17:33" x14ac:dyDescent="0.2">
      <c r="Q30" s="453"/>
      <c r="AG30" s="453"/>
    </row>
    <row r="31" spans="17:33" x14ac:dyDescent="0.2">
      <c r="Q31" s="453"/>
      <c r="AG31" s="453"/>
    </row>
    <row r="32" spans="17:33" x14ac:dyDescent="0.2">
      <c r="Q32" s="453"/>
      <c r="AG32" s="453"/>
    </row>
    <row r="33" spans="17:33" x14ac:dyDescent="0.2">
      <c r="Q33" s="453"/>
      <c r="AG33" s="453"/>
    </row>
    <row r="34" spans="17:33" x14ac:dyDescent="0.2">
      <c r="Q34" s="453"/>
      <c r="AG34" s="453"/>
    </row>
    <row r="35" spans="17:33" x14ac:dyDescent="0.2">
      <c r="Q35" s="453"/>
      <c r="AG35" s="453"/>
    </row>
    <row r="36" spans="17:33" x14ac:dyDescent="0.2">
      <c r="Q36" s="453"/>
      <c r="AG36" s="453"/>
    </row>
    <row r="37" spans="17:33" x14ac:dyDescent="0.2">
      <c r="Q37" s="453"/>
      <c r="AG37" s="453"/>
    </row>
    <row r="38" spans="17:33" x14ac:dyDescent="0.2">
      <c r="Q38" s="453"/>
      <c r="AG38" s="453"/>
    </row>
    <row r="39" spans="17:33" x14ac:dyDescent="0.2">
      <c r="Q39" s="453"/>
      <c r="AG39" s="453"/>
    </row>
    <row r="40" spans="17:33" x14ac:dyDescent="0.2">
      <c r="Q40" s="453"/>
      <c r="AG40" s="453"/>
    </row>
    <row r="41" spans="17:33" x14ac:dyDescent="0.2">
      <c r="Q41" s="453"/>
      <c r="AG41" s="453"/>
    </row>
    <row r="42" spans="17:33" x14ac:dyDescent="0.2">
      <c r="Q42" s="453"/>
      <c r="AG42" s="453"/>
    </row>
    <row r="43" spans="17:33" x14ac:dyDescent="0.2">
      <c r="Q43" s="453"/>
      <c r="AG43" s="453"/>
    </row>
    <row r="44" spans="17:33" x14ac:dyDescent="0.2">
      <c r="Q44" s="453"/>
      <c r="AG44" s="453"/>
    </row>
    <row r="45" spans="17:33" x14ac:dyDescent="0.2">
      <c r="Q45" s="453"/>
      <c r="AG45" s="453"/>
    </row>
    <row r="46" spans="17:33" x14ac:dyDescent="0.2">
      <c r="Q46" s="453"/>
      <c r="AG46" s="453"/>
    </row>
    <row r="47" spans="17:33" x14ac:dyDescent="0.2">
      <c r="Q47" s="453"/>
      <c r="AG47" s="453"/>
    </row>
    <row r="48" spans="17:33" x14ac:dyDescent="0.2">
      <c r="Q48" s="453"/>
      <c r="AG48" s="453"/>
    </row>
    <row r="49" spans="17:33" x14ac:dyDescent="0.2">
      <c r="Q49" s="453"/>
      <c r="AG49" s="453"/>
    </row>
    <row r="50" spans="17:33" x14ac:dyDescent="0.2">
      <c r="Q50" s="453"/>
      <c r="AG50" s="453"/>
    </row>
    <row r="51" spans="17:33" x14ac:dyDescent="0.2">
      <c r="Q51" s="453"/>
      <c r="AG51" s="453"/>
    </row>
    <row r="52" spans="17:33" x14ac:dyDescent="0.2">
      <c r="Q52" s="453"/>
      <c r="AG52" s="453"/>
    </row>
    <row r="53" spans="17:33" x14ac:dyDescent="0.2">
      <c r="Q53" s="453"/>
      <c r="AG53" s="453"/>
    </row>
    <row r="54" spans="17:33" x14ac:dyDescent="0.2">
      <c r="Q54" s="453"/>
      <c r="AG54" s="453"/>
    </row>
    <row r="55" spans="17:33" x14ac:dyDescent="0.2">
      <c r="Q55" s="453"/>
      <c r="AG55" s="453"/>
    </row>
    <row r="56" spans="17:33" x14ac:dyDescent="0.2">
      <c r="Q56" s="453"/>
      <c r="AG56" s="453"/>
    </row>
    <row r="57" spans="17:33" x14ac:dyDescent="0.2">
      <c r="Q57" s="453"/>
      <c r="AG57" s="453"/>
    </row>
    <row r="58" spans="17:33" x14ac:dyDescent="0.2">
      <c r="Q58" s="453"/>
      <c r="AG58" s="453"/>
    </row>
    <row r="59" spans="17:33" x14ac:dyDescent="0.2">
      <c r="Q59" s="453"/>
      <c r="AG59" s="453"/>
    </row>
    <row r="60" spans="17:33" x14ac:dyDescent="0.2">
      <c r="Q60" s="453"/>
      <c r="AG60" s="453"/>
    </row>
    <row r="61" spans="17:33" x14ac:dyDescent="0.2">
      <c r="Q61" s="453"/>
      <c r="AG61" s="453"/>
    </row>
    <row r="62" spans="17:33" x14ac:dyDescent="0.2">
      <c r="Q62" s="453"/>
      <c r="AG62" s="453"/>
    </row>
    <row r="63" spans="17:33" x14ac:dyDescent="0.2">
      <c r="Q63" s="453"/>
      <c r="AG63" s="453"/>
    </row>
    <row r="64" spans="17:33" x14ac:dyDescent="0.2">
      <c r="Q64" s="453"/>
      <c r="AG64" s="453"/>
    </row>
    <row r="65" spans="17:33" x14ac:dyDescent="0.2">
      <c r="Q65" s="453"/>
      <c r="AG65" s="453"/>
    </row>
    <row r="66" spans="17:33" x14ac:dyDescent="0.2">
      <c r="Q66" s="453"/>
      <c r="AG66" s="453"/>
    </row>
    <row r="67" spans="17:33" x14ac:dyDescent="0.2">
      <c r="Q67" s="453"/>
      <c r="AG67" s="453"/>
    </row>
    <row r="68" spans="17:33" x14ac:dyDescent="0.2">
      <c r="Q68" s="453"/>
      <c r="AG68" s="453"/>
    </row>
    <row r="69" spans="17:33" x14ac:dyDescent="0.2">
      <c r="Q69" s="453"/>
      <c r="AG69" s="453"/>
    </row>
    <row r="70" spans="17:33" x14ac:dyDescent="0.2">
      <c r="Q70" s="453"/>
      <c r="AG70" s="453"/>
    </row>
    <row r="71" spans="17:33" x14ac:dyDescent="0.2">
      <c r="Q71" s="453"/>
      <c r="AG71" s="453"/>
    </row>
    <row r="72" spans="17:33" x14ac:dyDescent="0.2">
      <c r="Q72" s="453"/>
      <c r="AG72" s="453"/>
    </row>
    <row r="73" spans="17:33" x14ac:dyDescent="0.2">
      <c r="Q73" s="453"/>
      <c r="AG73" s="453"/>
    </row>
    <row r="74" spans="17:33" x14ac:dyDescent="0.2">
      <c r="Q74" s="453"/>
      <c r="AG74" s="453"/>
    </row>
    <row r="75" spans="17:33" x14ac:dyDescent="0.2">
      <c r="Q75" s="453"/>
      <c r="AG75" s="453"/>
    </row>
    <row r="76" spans="17:33" x14ac:dyDescent="0.2">
      <c r="Q76" s="453"/>
      <c r="AG76" s="453"/>
    </row>
    <row r="77" spans="17:33" x14ac:dyDescent="0.2">
      <c r="Q77" s="453"/>
      <c r="AG77" s="453"/>
    </row>
    <row r="78" spans="17:33" x14ac:dyDescent="0.2">
      <c r="Q78" s="453"/>
      <c r="AG78" s="453"/>
    </row>
    <row r="79" spans="17:33" x14ac:dyDescent="0.2">
      <c r="Q79" s="453"/>
      <c r="AG79" s="453"/>
    </row>
    <row r="80" spans="17:33" x14ac:dyDescent="0.2">
      <c r="Q80" s="453"/>
      <c r="AG80" s="453"/>
    </row>
    <row r="81" spans="17:33" x14ac:dyDescent="0.2">
      <c r="Q81" s="453"/>
      <c r="AG81" s="453"/>
    </row>
    <row r="82" spans="17:33" x14ac:dyDescent="0.2">
      <c r="Q82" s="453"/>
      <c r="AG82" s="453"/>
    </row>
    <row r="83" spans="17:33" x14ac:dyDescent="0.2">
      <c r="Q83" s="453"/>
      <c r="AG83" s="453"/>
    </row>
    <row r="84" spans="17:33" x14ac:dyDescent="0.2">
      <c r="Q84" s="453"/>
      <c r="AG84" s="453"/>
    </row>
    <row r="85" spans="17:33" x14ac:dyDescent="0.2">
      <c r="Q85" s="453"/>
      <c r="AG85" s="453"/>
    </row>
    <row r="86" spans="17:33" x14ac:dyDescent="0.2">
      <c r="Q86" s="453"/>
      <c r="AG86" s="453"/>
    </row>
    <row r="87" spans="17:33" x14ac:dyDescent="0.2">
      <c r="Q87" s="453"/>
      <c r="AG87" s="453"/>
    </row>
    <row r="88" spans="17:33" x14ac:dyDescent="0.2">
      <c r="Q88" s="453"/>
      <c r="AG88" s="453"/>
    </row>
    <row r="89" spans="17:33" x14ac:dyDescent="0.2">
      <c r="Q89" s="453"/>
      <c r="AG89" s="453"/>
    </row>
    <row r="90" spans="17:33" x14ac:dyDescent="0.2">
      <c r="Q90" s="453"/>
      <c r="AG90" s="453"/>
    </row>
    <row r="91" spans="17:33" x14ac:dyDescent="0.2">
      <c r="Q91" s="453"/>
      <c r="AG91" s="453"/>
    </row>
    <row r="92" spans="17:33" x14ac:dyDescent="0.2">
      <c r="Q92" s="453"/>
      <c r="AG92" s="453"/>
    </row>
    <row r="93" spans="17:33" x14ac:dyDescent="0.2">
      <c r="Q93" s="453"/>
      <c r="AG93" s="453"/>
    </row>
    <row r="94" spans="17:33" x14ac:dyDescent="0.2">
      <c r="Q94" s="453"/>
      <c r="AG94" s="453"/>
    </row>
    <row r="95" spans="17:33" x14ac:dyDescent="0.2">
      <c r="Q95" s="453"/>
      <c r="AG95" s="453"/>
    </row>
    <row r="96" spans="17:33" x14ac:dyDescent="0.2">
      <c r="Q96" s="453"/>
      <c r="AG96" s="453"/>
    </row>
    <row r="97" spans="17:33" x14ac:dyDescent="0.2">
      <c r="Q97" s="453"/>
      <c r="AG97" s="453"/>
    </row>
    <row r="98" spans="17:33" x14ac:dyDescent="0.2">
      <c r="Q98" s="453"/>
      <c r="AG98" s="453"/>
    </row>
    <row r="99" spans="17:33" x14ac:dyDescent="0.2">
      <c r="Q99" s="453"/>
      <c r="AG99" s="453"/>
    </row>
    <row r="100" spans="17:33" x14ac:dyDescent="0.2">
      <c r="Q100" s="453"/>
      <c r="AG100" s="453"/>
    </row>
    <row r="101" spans="17:33" x14ac:dyDescent="0.2">
      <c r="Q101" s="453"/>
      <c r="AG101" s="453"/>
    </row>
    <row r="102" spans="17:33" x14ac:dyDescent="0.2">
      <c r="Q102" s="453"/>
      <c r="AG102" s="453"/>
    </row>
    <row r="103" spans="17:33" x14ac:dyDescent="0.2">
      <c r="Q103" s="453"/>
      <c r="AG103" s="453"/>
    </row>
    <row r="104" spans="17:33" x14ac:dyDescent="0.2">
      <c r="Q104" s="453"/>
      <c r="AG104" s="453"/>
    </row>
    <row r="105" spans="17:33" x14ac:dyDescent="0.2">
      <c r="Q105" s="453"/>
      <c r="AG105" s="453"/>
    </row>
    <row r="106" spans="17:33" x14ac:dyDescent="0.2">
      <c r="Q106" s="453"/>
      <c r="AG106" s="453"/>
    </row>
    <row r="107" spans="17:33" x14ac:dyDescent="0.2">
      <c r="Q107" s="453"/>
      <c r="AG107" s="453"/>
    </row>
    <row r="108" spans="17:33" x14ac:dyDescent="0.2">
      <c r="Q108" s="453"/>
      <c r="AG108" s="453"/>
    </row>
    <row r="109" spans="17:33" x14ac:dyDescent="0.2">
      <c r="Q109" s="453"/>
      <c r="AG109" s="453"/>
    </row>
    <row r="110" spans="17:33" x14ac:dyDescent="0.2">
      <c r="Q110" s="453"/>
      <c r="AG110" s="453"/>
    </row>
    <row r="111" spans="17:33" x14ac:dyDescent="0.2">
      <c r="Q111" s="453"/>
      <c r="AG111" s="453"/>
    </row>
    <row r="112" spans="17:33" x14ac:dyDescent="0.2">
      <c r="Q112" s="453"/>
      <c r="AG112" s="453"/>
    </row>
    <row r="113" spans="17:33" x14ac:dyDescent="0.2">
      <c r="Q113" s="453"/>
      <c r="AG113" s="453"/>
    </row>
    <row r="114" spans="17:33" x14ac:dyDescent="0.2">
      <c r="Q114" s="453"/>
      <c r="AG114" s="453"/>
    </row>
    <row r="115" spans="17:33" x14ac:dyDescent="0.2">
      <c r="Q115" s="453"/>
      <c r="AG115" s="453"/>
    </row>
    <row r="116" spans="17:33" x14ac:dyDescent="0.2">
      <c r="Q116" s="453"/>
      <c r="AG116" s="453"/>
    </row>
    <row r="117" spans="17:33" x14ac:dyDescent="0.2">
      <c r="Q117" s="453"/>
      <c r="AG117" s="453"/>
    </row>
    <row r="118" spans="17:33" x14ac:dyDescent="0.2">
      <c r="Q118" s="453"/>
      <c r="AG118" s="453"/>
    </row>
    <row r="119" spans="17:33" x14ac:dyDescent="0.2">
      <c r="Q119" s="453"/>
      <c r="AG119" s="453"/>
    </row>
    <row r="120" spans="17:33" x14ac:dyDescent="0.2">
      <c r="Q120" s="453"/>
      <c r="AG120" s="453"/>
    </row>
    <row r="121" spans="17:33" x14ac:dyDescent="0.2">
      <c r="Q121" s="453"/>
      <c r="AG121" s="453"/>
    </row>
    <row r="122" spans="17:33" x14ac:dyDescent="0.2">
      <c r="Q122" s="453"/>
      <c r="AG122" s="453"/>
    </row>
    <row r="123" spans="17:33" x14ac:dyDescent="0.2">
      <c r="Q123" s="453"/>
      <c r="AG123" s="453"/>
    </row>
    <row r="124" spans="17:33" x14ac:dyDescent="0.2">
      <c r="Q124" s="453"/>
      <c r="AG124" s="453"/>
    </row>
    <row r="125" spans="17:33" x14ac:dyDescent="0.2">
      <c r="Q125" s="453"/>
      <c r="AG125" s="453"/>
    </row>
    <row r="126" spans="17:33" x14ac:dyDescent="0.2">
      <c r="Q126" s="453"/>
      <c r="AG126" s="453"/>
    </row>
    <row r="127" spans="17:33" x14ac:dyDescent="0.2">
      <c r="Q127" s="453"/>
      <c r="AG127" s="453"/>
    </row>
    <row r="128" spans="17:33" x14ac:dyDescent="0.2">
      <c r="Q128" s="453"/>
      <c r="AG128" s="453"/>
    </row>
    <row r="129" spans="17:33" x14ac:dyDescent="0.2">
      <c r="Q129" s="453"/>
      <c r="AG129" s="453"/>
    </row>
    <row r="130" spans="17:33" x14ac:dyDescent="0.2">
      <c r="Q130" s="453"/>
      <c r="AG130" s="453"/>
    </row>
    <row r="131" spans="17:33" x14ac:dyDescent="0.2">
      <c r="Q131" s="453"/>
      <c r="AG131" s="453"/>
    </row>
    <row r="132" spans="17:33" x14ac:dyDescent="0.2">
      <c r="Q132" s="453"/>
      <c r="AG132" s="453"/>
    </row>
    <row r="133" spans="17:33" x14ac:dyDescent="0.2">
      <c r="Q133" s="453"/>
      <c r="AG133" s="453"/>
    </row>
    <row r="134" spans="17:33" x14ac:dyDescent="0.2">
      <c r="Q134" s="453"/>
      <c r="AG134" s="453"/>
    </row>
    <row r="135" spans="17:33" x14ac:dyDescent="0.2">
      <c r="Q135" s="453"/>
      <c r="AG135" s="453"/>
    </row>
    <row r="136" spans="17:33" x14ac:dyDescent="0.2">
      <c r="Q136" s="453"/>
      <c r="AG136" s="453"/>
    </row>
    <row r="137" spans="17:33" x14ac:dyDescent="0.2">
      <c r="Q137" s="453"/>
      <c r="AG137" s="453"/>
    </row>
    <row r="138" spans="17:33" x14ac:dyDescent="0.2">
      <c r="Q138" s="453"/>
      <c r="AG138" s="453"/>
    </row>
    <row r="139" spans="17:33" x14ac:dyDescent="0.2">
      <c r="Q139" s="453"/>
      <c r="AG139" s="453"/>
    </row>
    <row r="140" spans="17:33" x14ac:dyDescent="0.2">
      <c r="Q140" s="453"/>
      <c r="AG140" s="453"/>
    </row>
    <row r="141" spans="17:33" x14ac:dyDescent="0.2">
      <c r="Q141" s="453"/>
      <c r="AG141" s="453"/>
    </row>
    <row r="142" spans="17:33" x14ac:dyDescent="0.2">
      <c r="Q142" s="453"/>
      <c r="AG142" s="453"/>
    </row>
    <row r="143" spans="17:33" x14ac:dyDescent="0.2">
      <c r="Q143" s="453"/>
      <c r="AG143" s="453"/>
    </row>
    <row r="144" spans="17:33" x14ac:dyDescent="0.2">
      <c r="Q144" s="453"/>
      <c r="AG144" s="453"/>
    </row>
    <row r="145" spans="17:33" x14ac:dyDescent="0.2">
      <c r="Q145" s="453"/>
      <c r="AG145" s="453"/>
    </row>
    <row r="146" spans="17:33" x14ac:dyDescent="0.2">
      <c r="Q146" s="453"/>
      <c r="AG146" s="453"/>
    </row>
    <row r="147" spans="17:33" x14ac:dyDescent="0.2">
      <c r="Q147" s="453"/>
      <c r="AG147" s="453"/>
    </row>
    <row r="148" spans="17:33" x14ac:dyDescent="0.2">
      <c r="Q148" s="453"/>
      <c r="AG148" s="453"/>
    </row>
    <row r="149" spans="17:33" x14ac:dyDescent="0.2">
      <c r="Q149" s="453"/>
      <c r="AG149" s="453"/>
    </row>
    <row r="150" spans="17:33" x14ac:dyDescent="0.2">
      <c r="Q150" s="453"/>
      <c r="AG150" s="453"/>
    </row>
    <row r="151" spans="17:33" x14ac:dyDescent="0.2">
      <c r="Q151" s="453"/>
      <c r="AG151" s="453"/>
    </row>
    <row r="152" spans="17:33" x14ac:dyDescent="0.2">
      <c r="Q152" s="453"/>
      <c r="AG152" s="453"/>
    </row>
    <row r="153" spans="17:33" x14ac:dyDescent="0.2">
      <c r="Q153" s="453"/>
      <c r="AG153" s="453"/>
    </row>
    <row r="154" spans="17:33" x14ac:dyDescent="0.2">
      <c r="Q154" s="453"/>
      <c r="AG154" s="453"/>
    </row>
    <row r="155" spans="17:33" x14ac:dyDescent="0.2">
      <c r="Q155" s="453"/>
      <c r="AG155" s="453"/>
    </row>
    <row r="156" spans="17:33" x14ac:dyDescent="0.2">
      <c r="Q156" s="453"/>
      <c r="AG156" s="453"/>
    </row>
    <row r="157" spans="17:33" x14ac:dyDescent="0.2">
      <c r="Q157" s="453"/>
      <c r="AG157" s="453"/>
    </row>
    <row r="158" spans="17:33" x14ac:dyDescent="0.2">
      <c r="Q158" s="453"/>
      <c r="AG158" s="453"/>
    </row>
    <row r="159" spans="17:33" x14ac:dyDescent="0.2">
      <c r="Q159" s="453"/>
      <c r="AG159" s="453"/>
    </row>
    <row r="160" spans="17:33" x14ac:dyDescent="0.2">
      <c r="Q160" s="453"/>
      <c r="AG160" s="453"/>
    </row>
    <row r="161" spans="17:33" x14ac:dyDescent="0.2">
      <c r="Q161" s="453"/>
      <c r="AG161" s="453"/>
    </row>
    <row r="162" spans="17:33" x14ac:dyDescent="0.2">
      <c r="Q162" s="453"/>
      <c r="AG162" s="453"/>
    </row>
    <row r="163" spans="17:33" x14ac:dyDescent="0.2">
      <c r="Q163" s="453"/>
      <c r="AG163" s="453"/>
    </row>
    <row r="164" spans="17:33" x14ac:dyDescent="0.2">
      <c r="Q164" s="453"/>
      <c r="AG164" s="453"/>
    </row>
    <row r="165" spans="17:33" x14ac:dyDescent="0.2">
      <c r="Q165" s="453"/>
      <c r="AG165" s="453"/>
    </row>
    <row r="166" spans="17:33" x14ac:dyDescent="0.2">
      <c r="Q166" s="453"/>
      <c r="AG166" s="453"/>
    </row>
    <row r="167" spans="17:33" x14ac:dyDescent="0.2">
      <c r="Q167" s="453"/>
      <c r="AG167" s="453"/>
    </row>
    <row r="168" spans="17:33" x14ac:dyDescent="0.2">
      <c r="Q168" s="453"/>
      <c r="AG168" s="453"/>
    </row>
    <row r="169" spans="17:33" x14ac:dyDescent="0.2">
      <c r="Q169" s="453"/>
      <c r="AG169" s="453"/>
    </row>
    <row r="170" spans="17:33" x14ac:dyDescent="0.2">
      <c r="Q170" s="453"/>
      <c r="AG170" s="453"/>
    </row>
    <row r="171" spans="17:33" x14ac:dyDescent="0.2">
      <c r="Q171" s="453"/>
      <c r="AG171" s="453"/>
    </row>
    <row r="172" spans="17:33" x14ac:dyDescent="0.2">
      <c r="Q172" s="453"/>
      <c r="AG172" s="453"/>
    </row>
    <row r="173" spans="17:33" x14ac:dyDescent="0.2">
      <c r="Q173" s="453"/>
      <c r="AG173" s="453"/>
    </row>
    <row r="174" spans="17:33" x14ac:dyDescent="0.2">
      <c r="Q174" s="453"/>
      <c r="AG174" s="453"/>
    </row>
    <row r="175" spans="17:33" x14ac:dyDescent="0.2">
      <c r="Q175" s="453"/>
      <c r="AG175" s="453"/>
    </row>
    <row r="176" spans="17:33" x14ac:dyDescent="0.2">
      <c r="Q176" s="453"/>
      <c r="AG176" s="453"/>
    </row>
    <row r="177" spans="17:33" x14ac:dyDescent="0.2">
      <c r="Q177" s="453"/>
      <c r="AG177" s="453"/>
    </row>
    <row r="178" spans="17:33" x14ac:dyDescent="0.2">
      <c r="Q178" s="453"/>
      <c r="AG178" s="453"/>
    </row>
    <row r="179" spans="17:33" x14ac:dyDescent="0.2">
      <c r="Q179" s="453"/>
      <c r="AG179" s="453"/>
    </row>
    <row r="180" spans="17:33" x14ac:dyDescent="0.2">
      <c r="Q180" s="453"/>
      <c r="AG180" s="453"/>
    </row>
    <row r="181" spans="17:33" x14ac:dyDescent="0.2">
      <c r="Q181" s="453"/>
      <c r="AG181" s="453"/>
    </row>
    <row r="182" spans="17:33" x14ac:dyDescent="0.2">
      <c r="Q182" s="453"/>
      <c r="AG182" s="453"/>
    </row>
    <row r="183" spans="17:33" x14ac:dyDescent="0.2">
      <c r="Q183" s="453"/>
      <c r="AG183" s="453"/>
    </row>
    <row r="184" spans="17:33" x14ac:dyDescent="0.2">
      <c r="Q184" s="453"/>
      <c r="AG184" s="453"/>
    </row>
    <row r="185" spans="17:33" x14ac:dyDescent="0.2">
      <c r="Q185" s="453"/>
      <c r="AG185" s="453"/>
    </row>
    <row r="186" spans="17:33" x14ac:dyDescent="0.2">
      <c r="Q186" s="453"/>
      <c r="AG186" s="453"/>
    </row>
    <row r="187" spans="17:33" x14ac:dyDescent="0.2">
      <c r="Q187" s="453"/>
      <c r="AG187" s="453"/>
    </row>
    <row r="188" spans="17:33" x14ac:dyDescent="0.2">
      <c r="Q188" s="453"/>
      <c r="AG188" s="453"/>
    </row>
    <row r="189" spans="17:33" x14ac:dyDescent="0.2">
      <c r="Q189" s="453"/>
      <c r="AG189" s="453"/>
    </row>
    <row r="190" spans="17:33" x14ac:dyDescent="0.2">
      <c r="Q190" s="453"/>
      <c r="AG190" s="453"/>
    </row>
    <row r="191" spans="17:33" x14ac:dyDescent="0.2">
      <c r="Q191" s="453"/>
      <c r="AG191" s="453"/>
    </row>
    <row r="192" spans="17:33" x14ac:dyDescent="0.2">
      <c r="Q192" s="453"/>
      <c r="AG192" s="453"/>
    </row>
    <row r="193" spans="17:33" x14ac:dyDescent="0.2">
      <c r="Q193" s="453"/>
      <c r="AG193" s="453"/>
    </row>
    <row r="194" spans="17:33" x14ac:dyDescent="0.2">
      <c r="Q194" s="453"/>
      <c r="AG194" s="453"/>
    </row>
    <row r="195" spans="17:33" x14ac:dyDescent="0.2">
      <c r="Q195" s="453"/>
      <c r="AG195" s="453"/>
    </row>
    <row r="196" spans="17:33" x14ac:dyDescent="0.2">
      <c r="Q196" s="453"/>
      <c r="AG196" s="453"/>
    </row>
    <row r="197" spans="17:33" x14ac:dyDescent="0.2">
      <c r="Q197" s="453"/>
      <c r="AG197" s="453"/>
    </row>
    <row r="198" spans="17:33" x14ac:dyDescent="0.2">
      <c r="Q198" s="453"/>
      <c r="AG198" s="453"/>
    </row>
    <row r="199" spans="17:33" x14ac:dyDescent="0.2">
      <c r="Q199" s="453"/>
      <c r="AG199" s="453"/>
    </row>
    <row r="200" spans="17:33" x14ac:dyDescent="0.2">
      <c r="Q200" s="453"/>
      <c r="AG200" s="453"/>
    </row>
    <row r="201" spans="17:33" x14ac:dyDescent="0.2">
      <c r="Q201" s="453"/>
      <c r="AG201" s="453"/>
    </row>
    <row r="202" spans="17:33" x14ac:dyDescent="0.2">
      <c r="Q202" s="453"/>
      <c r="AG202" s="453"/>
    </row>
    <row r="203" spans="17:33" x14ac:dyDescent="0.2">
      <c r="Q203" s="453"/>
      <c r="AG203" s="453"/>
    </row>
    <row r="204" spans="17:33" x14ac:dyDescent="0.2">
      <c r="Q204" s="453"/>
      <c r="AG204" s="453"/>
    </row>
    <row r="205" spans="17:33" x14ac:dyDescent="0.2">
      <c r="Q205" s="453"/>
      <c r="AG205" s="453"/>
    </row>
    <row r="206" spans="17:33" x14ac:dyDescent="0.2">
      <c r="Q206" s="453"/>
      <c r="AG206" s="453"/>
    </row>
    <row r="207" spans="17:33" x14ac:dyDescent="0.2">
      <c r="Q207" s="453"/>
      <c r="AG207" s="453"/>
    </row>
    <row r="208" spans="17:33" x14ac:dyDescent="0.2">
      <c r="Q208" s="453"/>
      <c r="AG208" s="453"/>
    </row>
    <row r="209" spans="17:33" x14ac:dyDescent="0.2">
      <c r="Q209" s="453"/>
      <c r="AG209" s="453"/>
    </row>
    <row r="210" spans="17:33" x14ac:dyDescent="0.2">
      <c r="Q210" s="453"/>
      <c r="AG210" s="453"/>
    </row>
    <row r="211" spans="17:33" x14ac:dyDescent="0.2">
      <c r="Q211" s="453"/>
      <c r="AG211" s="453"/>
    </row>
    <row r="212" spans="17:33" x14ac:dyDescent="0.2">
      <c r="Q212" s="453"/>
      <c r="AG212" s="453"/>
    </row>
    <row r="213" spans="17:33" x14ac:dyDescent="0.2">
      <c r="Q213" s="453"/>
      <c r="AG213" s="453"/>
    </row>
    <row r="214" spans="17:33" x14ac:dyDescent="0.2">
      <c r="Q214" s="453"/>
      <c r="AG214" s="453"/>
    </row>
    <row r="215" spans="17:33" x14ac:dyDescent="0.2">
      <c r="Q215" s="453"/>
      <c r="AG215" s="453"/>
    </row>
    <row r="216" spans="17:33" x14ac:dyDescent="0.2">
      <c r="Q216" s="453"/>
      <c r="AG216" s="453"/>
    </row>
    <row r="217" spans="17:33" x14ac:dyDescent="0.2">
      <c r="Q217" s="453"/>
      <c r="AG217" s="453"/>
    </row>
    <row r="218" spans="17:33" x14ac:dyDescent="0.2">
      <c r="Q218" s="453"/>
      <c r="AG218" s="453"/>
    </row>
    <row r="219" spans="17:33" x14ac:dyDescent="0.2">
      <c r="Q219" s="453"/>
      <c r="AG219" s="453"/>
    </row>
    <row r="220" spans="17:33" x14ac:dyDescent="0.2">
      <c r="Q220" s="453"/>
      <c r="AG220" s="453"/>
    </row>
    <row r="221" spans="17:33" x14ac:dyDescent="0.2">
      <c r="Q221" s="453"/>
      <c r="AG221" s="453"/>
    </row>
    <row r="222" spans="17:33" x14ac:dyDescent="0.2">
      <c r="Q222" s="453"/>
      <c r="AG222" s="453"/>
    </row>
    <row r="223" spans="17:33" x14ac:dyDescent="0.2">
      <c r="Q223" s="453"/>
      <c r="AG223" s="453"/>
    </row>
    <row r="224" spans="17:33" x14ac:dyDescent="0.2">
      <c r="Q224" s="453"/>
      <c r="AG224" s="453"/>
    </row>
    <row r="225" spans="17:33" x14ac:dyDescent="0.2">
      <c r="Q225" s="453"/>
      <c r="AG225" s="453"/>
    </row>
    <row r="226" spans="17:33" x14ac:dyDescent="0.2">
      <c r="Q226" s="453"/>
      <c r="AG226" s="453"/>
    </row>
    <row r="227" spans="17:33" x14ac:dyDescent="0.2">
      <c r="Q227" s="453"/>
      <c r="AG227" s="453"/>
    </row>
    <row r="228" spans="17:33" x14ac:dyDescent="0.2">
      <c r="Q228" s="453"/>
      <c r="AG228" s="453"/>
    </row>
    <row r="229" spans="17:33" x14ac:dyDescent="0.2">
      <c r="Q229" s="453"/>
      <c r="AG229" s="453"/>
    </row>
    <row r="230" spans="17:33" x14ac:dyDescent="0.2">
      <c r="Q230" s="453"/>
      <c r="AG230" s="453"/>
    </row>
    <row r="231" spans="17:33" x14ac:dyDescent="0.2">
      <c r="Q231" s="453"/>
      <c r="AG231" s="453"/>
    </row>
    <row r="232" spans="17:33" x14ac:dyDescent="0.2">
      <c r="Q232" s="453"/>
      <c r="AG232" s="453"/>
    </row>
    <row r="233" spans="17:33" x14ac:dyDescent="0.2">
      <c r="Q233" s="453"/>
      <c r="AG233" s="453"/>
    </row>
    <row r="234" spans="17:33" x14ac:dyDescent="0.2">
      <c r="Q234" s="453"/>
      <c r="AG234" s="453"/>
    </row>
    <row r="235" spans="17:33" x14ac:dyDescent="0.2">
      <c r="Q235" s="453"/>
      <c r="AG235" s="453"/>
    </row>
    <row r="236" spans="17:33" x14ac:dyDescent="0.2">
      <c r="Q236" s="453"/>
      <c r="AG236" s="453"/>
    </row>
    <row r="237" spans="17:33" x14ac:dyDescent="0.2">
      <c r="Q237" s="453"/>
      <c r="AG237" s="453"/>
    </row>
    <row r="238" spans="17:33" x14ac:dyDescent="0.2">
      <c r="Q238" s="453"/>
      <c r="AG238" s="453"/>
    </row>
    <row r="239" spans="17:33" x14ac:dyDescent="0.2">
      <c r="Q239" s="453"/>
      <c r="AG239" s="453"/>
    </row>
    <row r="240" spans="17:33" x14ac:dyDescent="0.2">
      <c r="Q240" s="453"/>
      <c r="AG240" s="453"/>
    </row>
    <row r="241" spans="17:33" x14ac:dyDescent="0.2">
      <c r="Q241" s="453"/>
      <c r="AG241" s="453"/>
    </row>
    <row r="242" spans="17:33" x14ac:dyDescent="0.2">
      <c r="Q242" s="453"/>
      <c r="AG242" s="453"/>
    </row>
    <row r="243" spans="17:33" x14ac:dyDescent="0.2">
      <c r="Q243" s="453"/>
      <c r="AG243" s="453"/>
    </row>
    <row r="244" spans="17:33" x14ac:dyDescent="0.2">
      <c r="Q244" s="453"/>
      <c r="AG244" s="453"/>
    </row>
    <row r="245" spans="17:33" x14ac:dyDescent="0.2">
      <c r="Q245" s="453"/>
      <c r="AG245" s="453"/>
    </row>
    <row r="246" spans="17:33" x14ac:dyDescent="0.2">
      <c r="Q246" s="453"/>
      <c r="AG246" s="453"/>
    </row>
    <row r="247" spans="17:33" x14ac:dyDescent="0.2">
      <c r="Q247" s="453"/>
      <c r="AG247" s="453"/>
    </row>
    <row r="248" spans="17:33" x14ac:dyDescent="0.2">
      <c r="Q248" s="453"/>
      <c r="AG248" s="453"/>
    </row>
    <row r="249" spans="17:33" x14ac:dyDescent="0.2">
      <c r="Q249" s="453"/>
      <c r="AG249" s="453"/>
    </row>
    <row r="250" spans="17:33" x14ac:dyDescent="0.2">
      <c r="Q250" s="453"/>
      <c r="AG250" s="453"/>
    </row>
    <row r="251" spans="17:33" x14ac:dyDescent="0.2">
      <c r="Q251" s="453"/>
      <c r="AG251" s="453"/>
    </row>
    <row r="252" spans="17:33" x14ac:dyDescent="0.2">
      <c r="Q252" s="453"/>
      <c r="AG252" s="453"/>
    </row>
    <row r="253" spans="17:33" x14ac:dyDescent="0.2">
      <c r="Q253" s="453"/>
      <c r="AG253" s="453"/>
    </row>
    <row r="254" spans="17:33" x14ac:dyDescent="0.2">
      <c r="Q254" s="453"/>
      <c r="AG254" s="453"/>
    </row>
    <row r="255" spans="17:33" x14ac:dyDescent="0.2">
      <c r="Q255" s="453"/>
      <c r="AG255" s="453"/>
    </row>
    <row r="256" spans="17:33" x14ac:dyDescent="0.2">
      <c r="Q256" s="453"/>
      <c r="AG256" s="453"/>
    </row>
    <row r="257" spans="17:33" x14ac:dyDescent="0.2">
      <c r="Q257" s="453"/>
      <c r="AG257" s="453"/>
    </row>
    <row r="258" spans="17:33" x14ac:dyDescent="0.2">
      <c r="Q258" s="453"/>
      <c r="AG258" s="453"/>
    </row>
    <row r="259" spans="17:33" x14ac:dyDescent="0.2">
      <c r="Q259" s="453"/>
      <c r="AG259" s="453"/>
    </row>
    <row r="260" spans="17:33" x14ac:dyDescent="0.2">
      <c r="Q260" s="453"/>
      <c r="AG260" s="453"/>
    </row>
    <row r="261" spans="17:33" x14ac:dyDescent="0.2">
      <c r="Q261" s="453"/>
      <c r="AG261" s="453"/>
    </row>
    <row r="262" spans="17:33" x14ac:dyDescent="0.2">
      <c r="Q262" s="453"/>
      <c r="AG262" s="453"/>
    </row>
    <row r="263" spans="17:33" x14ac:dyDescent="0.2">
      <c r="Q263" s="453"/>
      <c r="AG263" s="453"/>
    </row>
    <row r="264" spans="17:33" x14ac:dyDescent="0.2">
      <c r="Q264" s="453"/>
      <c r="AG264" s="453"/>
    </row>
    <row r="265" spans="17:33" x14ac:dyDescent="0.2">
      <c r="Q265" s="453"/>
      <c r="AG265" s="453"/>
    </row>
    <row r="266" spans="17:33" x14ac:dyDescent="0.2">
      <c r="Q266" s="453"/>
      <c r="AG266" s="453"/>
    </row>
    <row r="267" spans="17:33" x14ac:dyDescent="0.2">
      <c r="Q267" s="453"/>
      <c r="AG267" s="453"/>
    </row>
    <row r="268" spans="17:33" x14ac:dyDescent="0.2">
      <c r="Q268" s="453"/>
      <c r="AG268" s="453"/>
    </row>
    <row r="269" spans="17:33" x14ac:dyDescent="0.2">
      <c r="Q269" s="453"/>
      <c r="AG269" s="453"/>
    </row>
    <row r="270" spans="17:33" x14ac:dyDescent="0.2">
      <c r="Q270" s="453"/>
      <c r="AG270" s="453"/>
    </row>
    <row r="271" spans="17:33" x14ac:dyDescent="0.2">
      <c r="Q271" s="453"/>
      <c r="AG271" s="453"/>
    </row>
    <row r="272" spans="17:33" x14ac:dyDescent="0.2">
      <c r="Q272" s="453"/>
      <c r="AG272" s="453"/>
    </row>
    <row r="273" spans="17:33" x14ac:dyDescent="0.2">
      <c r="Q273" s="453"/>
      <c r="AG273" s="453"/>
    </row>
    <row r="274" spans="17:33" x14ac:dyDescent="0.2">
      <c r="Q274" s="453"/>
      <c r="AG274" s="453"/>
    </row>
    <row r="275" spans="17:33" x14ac:dyDescent="0.2">
      <c r="Q275" s="453"/>
      <c r="AG275" s="453"/>
    </row>
    <row r="276" spans="17:33" x14ac:dyDescent="0.2">
      <c r="Q276" s="453"/>
      <c r="AG276" s="453"/>
    </row>
    <row r="277" spans="17:33" x14ac:dyDescent="0.2">
      <c r="Q277" s="453"/>
      <c r="AG277" s="453"/>
    </row>
    <row r="278" spans="17:33" x14ac:dyDescent="0.2">
      <c r="Q278" s="453"/>
      <c r="AG278" s="453"/>
    </row>
    <row r="279" spans="17:33" x14ac:dyDescent="0.2">
      <c r="Q279" s="453"/>
      <c r="AG279" s="453"/>
    </row>
    <row r="280" spans="17:33" x14ac:dyDescent="0.2">
      <c r="Q280" s="453"/>
      <c r="AG280" s="453"/>
    </row>
    <row r="281" spans="17:33" x14ac:dyDescent="0.2">
      <c r="Q281" s="453"/>
      <c r="AG281" s="453"/>
    </row>
    <row r="282" spans="17:33" x14ac:dyDescent="0.2">
      <c r="Q282" s="453"/>
      <c r="AG282" s="453"/>
    </row>
    <row r="283" spans="17:33" x14ac:dyDescent="0.2">
      <c r="Q283" s="453"/>
      <c r="AG283" s="453"/>
    </row>
    <row r="284" spans="17:33" x14ac:dyDescent="0.2">
      <c r="Q284" s="453"/>
      <c r="AG284" s="453"/>
    </row>
    <row r="285" spans="17:33" x14ac:dyDescent="0.2">
      <c r="Q285" s="453"/>
      <c r="AG285" s="453"/>
    </row>
    <row r="286" spans="17:33" x14ac:dyDescent="0.2">
      <c r="Q286" s="453"/>
      <c r="AG286" s="453"/>
    </row>
    <row r="287" spans="17:33" x14ac:dyDescent="0.2">
      <c r="Q287" s="453"/>
      <c r="AG287" s="453"/>
    </row>
    <row r="288" spans="17:33" x14ac:dyDescent="0.2">
      <c r="Q288" s="453"/>
      <c r="AG288" s="453"/>
    </row>
    <row r="289" spans="17:33" x14ac:dyDescent="0.2">
      <c r="Q289" s="453"/>
      <c r="AG289" s="453"/>
    </row>
    <row r="290" spans="17:33" x14ac:dyDescent="0.2">
      <c r="Q290" s="453"/>
      <c r="AG290" s="453"/>
    </row>
    <row r="291" spans="17:33" x14ac:dyDescent="0.2">
      <c r="Q291" s="453"/>
      <c r="AG291" s="453"/>
    </row>
    <row r="292" spans="17:33" x14ac:dyDescent="0.2">
      <c r="Q292" s="453"/>
      <c r="AG292" s="453"/>
    </row>
    <row r="293" spans="17:33" x14ac:dyDescent="0.2">
      <c r="Q293" s="453"/>
      <c r="AG293" s="453"/>
    </row>
    <row r="294" spans="17:33" x14ac:dyDescent="0.2">
      <c r="Q294" s="453"/>
      <c r="AG294" s="453"/>
    </row>
    <row r="295" spans="17:33" x14ac:dyDescent="0.2">
      <c r="Q295" s="453"/>
      <c r="AG295" s="453"/>
    </row>
    <row r="296" spans="17:33" x14ac:dyDescent="0.2">
      <c r="Q296" s="453"/>
      <c r="AG296" s="453"/>
    </row>
    <row r="297" spans="17:33" x14ac:dyDescent="0.2">
      <c r="Q297" s="453"/>
      <c r="AG297" s="453"/>
    </row>
    <row r="298" spans="17:33" x14ac:dyDescent="0.2">
      <c r="Q298" s="453"/>
      <c r="AG298" s="453"/>
    </row>
    <row r="299" spans="17:33" x14ac:dyDescent="0.2">
      <c r="Q299" s="453"/>
      <c r="AG299" s="453"/>
    </row>
    <row r="300" spans="17:33" x14ac:dyDescent="0.2">
      <c r="Q300" s="453"/>
      <c r="AG300" s="453"/>
    </row>
    <row r="301" spans="17:33" x14ac:dyDescent="0.2">
      <c r="Q301" s="453"/>
      <c r="AG301" s="453"/>
    </row>
    <row r="302" spans="17:33" x14ac:dyDescent="0.2">
      <c r="Q302" s="453"/>
      <c r="AG302" s="453"/>
    </row>
    <row r="303" spans="17:33" x14ac:dyDescent="0.2">
      <c r="Q303" s="453"/>
      <c r="AG303" s="453"/>
    </row>
    <row r="304" spans="17:33" x14ac:dyDescent="0.2">
      <c r="Q304" s="453"/>
      <c r="AG304" s="453"/>
    </row>
    <row r="305" spans="17:33" x14ac:dyDescent="0.2">
      <c r="Q305" s="453"/>
      <c r="AG305" s="453"/>
    </row>
    <row r="306" spans="17:33" x14ac:dyDescent="0.2">
      <c r="Q306" s="453"/>
      <c r="AG306" s="453"/>
    </row>
    <row r="307" spans="17:33" x14ac:dyDescent="0.2">
      <c r="Q307" s="453"/>
      <c r="AG307" s="453"/>
    </row>
    <row r="308" spans="17:33" x14ac:dyDescent="0.2">
      <c r="Q308" s="453"/>
      <c r="AG308" s="453"/>
    </row>
    <row r="309" spans="17:33" x14ac:dyDescent="0.2">
      <c r="Q309" s="453"/>
      <c r="AG309" s="453"/>
    </row>
    <row r="310" spans="17:33" x14ac:dyDescent="0.2">
      <c r="Q310" s="453"/>
      <c r="AG310" s="453"/>
    </row>
    <row r="311" spans="17:33" x14ac:dyDescent="0.2">
      <c r="Q311" s="453"/>
      <c r="AG311" s="453"/>
    </row>
    <row r="312" spans="17:33" x14ac:dyDescent="0.2">
      <c r="Q312" s="453"/>
      <c r="AG312" s="453"/>
    </row>
    <row r="313" spans="17:33" x14ac:dyDescent="0.2">
      <c r="Q313" s="453"/>
      <c r="AG313" s="453"/>
    </row>
    <row r="314" spans="17:33" x14ac:dyDescent="0.2">
      <c r="Q314" s="453"/>
      <c r="AG314" s="453"/>
    </row>
    <row r="315" spans="17:33" x14ac:dyDescent="0.2">
      <c r="Q315" s="453"/>
      <c r="AG315" s="453"/>
    </row>
    <row r="316" spans="17:33" x14ac:dyDescent="0.2">
      <c r="Q316" s="453"/>
      <c r="AG316" s="453"/>
    </row>
    <row r="317" spans="17:33" x14ac:dyDescent="0.2">
      <c r="Q317" s="453"/>
      <c r="AG317" s="453"/>
    </row>
    <row r="318" spans="17:33" x14ac:dyDescent="0.2">
      <c r="Q318" s="453"/>
      <c r="AG318" s="453"/>
    </row>
    <row r="319" spans="17:33" x14ac:dyDescent="0.2">
      <c r="Q319" s="453"/>
      <c r="AG319" s="453"/>
    </row>
    <row r="320" spans="17:33" x14ac:dyDescent="0.2">
      <c r="Q320" s="453"/>
      <c r="AG320" s="453"/>
    </row>
    <row r="321" spans="17:33" x14ac:dyDescent="0.2">
      <c r="Q321" s="453"/>
      <c r="AG321" s="453"/>
    </row>
    <row r="322" spans="17:33" x14ac:dyDescent="0.2">
      <c r="Q322" s="453"/>
      <c r="AG322" s="453"/>
    </row>
    <row r="323" spans="17:33" x14ac:dyDescent="0.2">
      <c r="Q323" s="453"/>
      <c r="AG323" s="453"/>
    </row>
    <row r="324" spans="17:33" x14ac:dyDescent="0.2">
      <c r="Q324" s="453"/>
      <c r="AG324" s="453"/>
    </row>
    <row r="325" spans="17:33" x14ac:dyDescent="0.2">
      <c r="Q325" s="453"/>
      <c r="AG325" s="453"/>
    </row>
    <row r="326" spans="17:33" x14ac:dyDescent="0.2">
      <c r="Q326" s="453"/>
      <c r="AG326" s="453"/>
    </row>
    <row r="327" spans="17:33" x14ac:dyDescent="0.2">
      <c r="Q327" s="453"/>
      <c r="AG327" s="453"/>
    </row>
    <row r="328" spans="17:33" x14ac:dyDescent="0.2">
      <c r="Q328" s="453"/>
      <c r="AG328" s="453"/>
    </row>
    <row r="329" spans="17:33" x14ac:dyDescent="0.2">
      <c r="Q329" s="453"/>
      <c r="AG329" s="453"/>
    </row>
    <row r="330" spans="17:33" x14ac:dyDescent="0.2">
      <c r="Q330" s="453"/>
      <c r="AG330" s="453"/>
    </row>
    <row r="331" spans="17:33" x14ac:dyDescent="0.2">
      <c r="Q331" s="453"/>
      <c r="AG331" s="453"/>
    </row>
    <row r="332" spans="17:33" x14ac:dyDescent="0.2">
      <c r="Q332" s="453"/>
      <c r="AG332" s="453"/>
    </row>
    <row r="333" spans="17:33" x14ac:dyDescent="0.2">
      <c r="Q333" s="453"/>
      <c r="AG333" s="453"/>
    </row>
    <row r="334" spans="17:33" x14ac:dyDescent="0.2">
      <c r="Q334" s="453"/>
      <c r="AG334" s="453"/>
    </row>
    <row r="335" spans="17:33" x14ac:dyDescent="0.2">
      <c r="Q335" s="453"/>
      <c r="AG335" s="453"/>
    </row>
    <row r="336" spans="17:33" x14ac:dyDescent="0.2">
      <c r="Q336" s="453"/>
      <c r="AG336" s="453"/>
    </row>
    <row r="337" spans="17:33" x14ac:dyDescent="0.2">
      <c r="Q337" s="453"/>
      <c r="AG337" s="453"/>
    </row>
    <row r="338" spans="17:33" x14ac:dyDescent="0.2">
      <c r="Q338" s="453"/>
      <c r="AG338" s="453"/>
    </row>
    <row r="339" spans="17:33" x14ac:dyDescent="0.2">
      <c r="Q339" s="453"/>
      <c r="AG339" s="453"/>
    </row>
    <row r="340" spans="17:33" x14ac:dyDescent="0.2">
      <c r="Q340" s="453"/>
      <c r="AG340" s="453"/>
    </row>
    <row r="341" spans="17:33" x14ac:dyDescent="0.2">
      <c r="Q341" s="453"/>
      <c r="AG341" s="453"/>
    </row>
    <row r="342" spans="17:33" x14ac:dyDescent="0.2">
      <c r="Q342" s="453"/>
      <c r="AG342" s="453"/>
    </row>
    <row r="343" spans="17:33" x14ac:dyDescent="0.2">
      <c r="Q343" s="453"/>
      <c r="AG343" s="453"/>
    </row>
    <row r="344" spans="17:33" x14ac:dyDescent="0.2">
      <c r="Q344" s="453"/>
      <c r="AG344" s="453"/>
    </row>
    <row r="345" spans="17:33" x14ac:dyDescent="0.2">
      <c r="Q345" s="453"/>
      <c r="AG345" s="453"/>
    </row>
    <row r="346" spans="17:33" x14ac:dyDescent="0.2">
      <c r="Q346" s="453"/>
      <c r="AG346" s="453"/>
    </row>
    <row r="347" spans="17:33" x14ac:dyDescent="0.2">
      <c r="Q347" s="453"/>
      <c r="AG347" s="453"/>
    </row>
    <row r="348" spans="17:33" x14ac:dyDescent="0.2">
      <c r="Q348" s="453"/>
      <c r="AG348" s="453"/>
    </row>
    <row r="349" spans="17:33" x14ac:dyDescent="0.2">
      <c r="Q349" s="453"/>
      <c r="AG349" s="453"/>
    </row>
    <row r="350" spans="17:33" x14ac:dyDescent="0.2">
      <c r="Q350" s="453"/>
      <c r="AG350" s="453"/>
    </row>
    <row r="351" spans="17:33" x14ac:dyDescent="0.2">
      <c r="Q351" s="453"/>
      <c r="AG351" s="453"/>
    </row>
    <row r="352" spans="17:33" x14ac:dyDescent="0.2">
      <c r="Q352" s="453"/>
      <c r="AG352" s="453"/>
    </row>
    <row r="353" spans="17:33" x14ac:dyDescent="0.2">
      <c r="Q353" s="453"/>
      <c r="AG353" s="453"/>
    </row>
    <row r="354" spans="17:33" x14ac:dyDescent="0.2">
      <c r="Q354" s="453"/>
      <c r="AG354" s="453"/>
    </row>
    <row r="355" spans="17:33" x14ac:dyDescent="0.2">
      <c r="Q355" s="453"/>
      <c r="AG355" s="453"/>
    </row>
    <row r="356" spans="17:33" x14ac:dyDescent="0.2">
      <c r="Q356" s="453"/>
      <c r="AG356" s="453"/>
    </row>
    <row r="357" spans="17:33" x14ac:dyDescent="0.2">
      <c r="Q357" s="453"/>
      <c r="AG357" s="453"/>
    </row>
    <row r="358" spans="17:33" x14ac:dyDescent="0.2">
      <c r="Q358" s="453"/>
      <c r="AG358" s="453"/>
    </row>
    <row r="359" spans="17:33" x14ac:dyDescent="0.2">
      <c r="Q359" s="453"/>
      <c r="AG359" s="453"/>
    </row>
    <row r="360" spans="17:33" x14ac:dyDescent="0.2">
      <c r="Q360" s="453"/>
      <c r="AG360" s="453"/>
    </row>
    <row r="361" spans="17:33" x14ac:dyDescent="0.2">
      <c r="Q361" s="453"/>
      <c r="AG361" s="453"/>
    </row>
    <row r="362" spans="17:33" x14ac:dyDescent="0.2">
      <c r="Q362" s="453"/>
      <c r="AG362" s="453"/>
    </row>
    <row r="363" spans="17:33" x14ac:dyDescent="0.2">
      <c r="Q363" s="453"/>
      <c r="AG363" s="453"/>
    </row>
    <row r="364" spans="17:33" x14ac:dyDescent="0.2">
      <c r="Q364" s="453"/>
      <c r="AG364" s="453"/>
    </row>
    <row r="365" spans="17:33" x14ac:dyDescent="0.2">
      <c r="Q365" s="453"/>
      <c r="AG365" s="453"/>
    </row>
    <row r="366" spans="17:33" x14ac:dyDescent="0.2">
      <c r="Q366" s="453"/>
      <c r="AG366" s="453"/>
    </row>
    <row r="367" spans="17:33" x14ac:dyDescent="0.2">
      <c r="Q367" s="453"/>
      <c r="AG367" s="453"/>
    </row>
    <row r="368" spans="17:33" x14ac:dyDescent="0.2">
      <c r="Q368" s="453"/>
      <c r="AG368" s="453"/>
    </row>
    <row r="369" spans="17:33" x14ac:dyDescent="0.2">
      <c r="Q369" s="453"/>
      <c r="AG369" s="453"/>
    </row>
    <row r="370" spans="17:33" x14ac:dyDescent="0.2">
      <c r="Q370" s="453"/>
      <c r="AG370" s="453"/>
    </row>
    <row r="371" spans="17:33" x14ac:dyDescent="0.2">
      <c r="Q371" s="453"/>
      <c r="AG371" s="453"/>
    </row>
    <row r="372" spans="17:33" x14ac:dyDescent="0.2">
      <c r="Q372" s="453"/>
      <c r="AG372" s="453"/>
    </row>
    <row r="373" spans="17:33" x14ac:dyDescent="0.2">
      <c r="Q373" s="453"/>
      <c r="AG373" s="453"/>
    </row>
    <row r="374" spans="17:33" x14ac:dyDescent="0.2">
      <c r="Q374" s="453"/>
      <c r="AG374" s="453"/>
    </row>
    <row r="375" spans="17:33" x14ac:dyDescent="0.2">
      <c r="Q375" s="453"/>
      <c r="AG375" s="453"/>
    </row>
    <row r="376" spans="17:33" x14ac:dyDescent="0.2">
      <c r="Q376" s="453"/>
      <c r="AG376" s="453"/>
    </row>
    <row r="377" spans="17:33" x14ac:dyDescent="0.2">
      <c r="Q377" s="453"/>
      <c r="AG377" s="453"/>
    </row>
    <row r="378" spans="17:33" x14ac:dyDescent="0.2">
      <c r="Q378" s="453"/>
      <c r="AG378" s="453"/>
    </row>
    <row r="379" spans="17:33" x14ac:dyDescent="0.2">
      <c r="Q379" s="453"/>
      <c r="AG379" s="453"/>
    </row>
    <row r="380" spans="17:33" x14ac:dyDescent="0.2">
      <c r="Q380" s="453"/>
      <c r="AG380" s="453"/>
    </row>
    <row r="381" spans="17:33" x14ac:dyDescent="0.2">
      <c r="Q381" s="453"/>
      <c r="AG381" s="453"/>
    </row>
    <row r="382" spans="17:33" x14ac:dyDescent="0.2">
      <c r="Q382" s="453"/>
      <c r="AG382" s="453"/>
    </row>
    <row r="383" spans="17:33" x14ac:dyDescent="0.2">
      <c r="Q383" s="453"/>
      <c r="AG383" s="453"/>
    </row>
    <row r="384" spans="17:33" x14ac:dyDescent="0.2">
      <c r="Q384" s="453"/>
      <c r="AG384" s="453"/>
    </row>
    <row r="385" spans="17:33" x14ac:dyDescent="0.2">
      <c r="Q385" s="453"/>
      <c r="AG385" s="453"/>
    </row>
    <row r="386" spans="17:33" x14ac:dyDescent="0.2">
      <c r="Q386" s="453"/>
      <c r="AG386" s="453"/>
    </row>
    <row r="387" spans="17:33" x14ac:dyDescent="0.2">
      <c r="Q387" s="453"/>
      <c r="AG387" s="453"/>
    </row>
    <row r="388" spans="17:33" x14ac:dyDescent="0.2">
      <c r="Q388" s="453"/>
      <c r="AG388" s="453"/>
    </row>
    <row r="389" spans="17:33" x14ac:dyDescent="0.2">
      <c r="Q389" s="453"/>
      <c r="AG389" s="453"/>
    </row>
    <row r="390" spans="17:33" x14ac:dyDescent="0.2">
      <c r="Q390" s="453"/>
      <c r="AG390" s="453"/>
    </row>
    <row r="391" spans="17:33" x14ac:dyDescent="0.2">
      <c r="Q391" s="453"/>
      <c r="AG391" s="453"/>
    </row>
    <row r="392" spans="17:33" x14ac:dyDescent="0.2">
      <c r="Q392" s="453"/>
      <c r="AG392" s="453"/>
    </row>
    <row r="393" spans="17:33" x14ac:dyDescent="0.2">
      <c r="Q393" s="453"/>
      <c r="AG393" s="453"/>
    </row>
    <row r="394" spans="17:33" x14ac:dyDescent="0.2">
      <c r="Q394" s="453"/>
      <c r="AG394" s="453"/>
    </row>
    <row r="395" spans="17:33" x14ac:dyDescent="0.2">
      <c r="Q395" s="453"/>
      <c r="AG395" s="453"/>
    </row>
    <row r="396" spans="17:33" x14ac:dyDescent="0.2">
      <c r="Q396" s="453"/>
      <c r="AG396" s="453"/>
    </row>
    <row r="397" spans="17:33" x14ac:dyDescent="0.2">
      <c r="Q397" s="453"/>
      <c r="AG397" s="453"/>
    </row>
    <row r="398" spans="17:33" x14ac:dyDescent="0.2">
      <c r="Q398" s="453"/>
      <c r="AG398" s="453"/>
    </row>
    <row r="399" spans="17:33" x14ac:dyDescent="0.2">
      <c r="Q399" s="453"/>
      <c r="AG399" s="453"/>
    </row>
    <row r="400" spans="17:33" x14ac:dyDescent="0.2">
      <c r="Q400" s="453"/>
      <c r="AG400" s="453"/>
    </row>
    <row r="401" spans="17:33" x14ac:dyDescent="0.2">
      <c r="Q401" s="453"/>
      <c r="AG401" s="453"/>
    </row>
    <row r="402" spans="17:33" x14ac:dyDescent="0.2">
      <c r="Q402" s="453"/>
      <c r="AG402" s="453"/>
    </row>
    <row r="403" spans="17:33" x14ac:dyDescent="0.2">
      <c r="Q403" s="453"/>
      <c r="AG403" s="453"/>
    </row>
    <row r="404" spans="17:33" x14ac:dyDescent="0.2">
      <c r="Q404" s="453"/>
      <c r="AG404" s="453"/>
    </row>
    <row r="405" spans="17:33" x14ac:dyDescent="0.2">
      <c r="Q405" s="453"/>
      <c r="AG405" s="453"/>
    </row>
    <row r="406" spans="17:33" x14ac:dyDescent="0.2">
      <c r="Q406" s="453"/>
      <c r="AG406" s="453"/>
    </row>
    <row r="407" spans="17:33" x14ac:dyDescent="0.2">
      <c r="Q407" s="453"/>
      <c r="AG407" s="453"/>
    </row>
    <row r="408" spans="17:33" x14ac:dyDescent="0.2">
      <c r="Q408" s="453"/>
      <c r="AG408" s="453"/>
    </row>
    <row r="409" spans="17:33" x14ac:dyDescent="0.2">
      <c r="Q409" s="453"/>
      <c r="AG409" s="453"/>
    </row>
    <row r="410" spans="17:33" x14ac:dyDescent="0.2">
      <c r="Q410" s="453"/>
      <c r="AG410" s="453"/>
    </row>
    <row r="411" spans="17:33" x14ac:dyDescent="0.2">
      <c r="Q411" s="453"/>
      <c r="AG411" s="453"/>
    </row>
    <row r="412" spans="17:33" x14ac:dyDescent="0.2">
      <c r="Q412" s="453"/>
      <c r="AG412" s="453"/>
    </row>
    <row r="413" spans="17:33" x14ac:dyDescent="0.2">
      <c r="Q413" s="453"/>
      <c r="AG413" s="453"/>
    </row>
    <row r="414" spans="17:33" x14ac:dyDescent="0.2">
      <c r="Q414" s="453"/>
      <c r="AG414" s="453"/>
    </row>
    <row r="415" spans="17:33" x14ac:dyDescent="0.2">
      <c r="Q415" s="453"/>
      <c r="AG415" s="453"/>
    </row>
    <row r="416" spans="17:33" x14ac:dyDescent="0.2">
      <c r="Q416" s="453"/>
      <c r="AG416" s="453"/>
    </row>
    <row r="417" spans="17:33" x14ac:dyDescent="0.2">
      <c r="Q417" s="453"/>
      <c r="AG417" s="453"/>
    </row>
    <row r="418" spans="17:33" x14ac:dyDescent="0.2">
      <c r="Q418" s="453"/>
      <c r="AG418" s="453"/>
    </row>
    <row r="419" spans="17:33" x14ac:dyDescent="0.2">
      <c r="Q419" s="453"/>
      <c r="AG419" s="453"/>
    </row>
    <row r="420" spans="17:33" x14ac:dyDescent="0.2">
      <c r="Q420" s="453"/>
      <c r="AG420" s="453"/>
    </row>
    <row r="421" spans="17:33" x14ac:dyDescent="0.2">
      <c r="Q421" s="453"/>
      <c r="AG421" s="453"/>
    </row>
    <row r="422" spans="17:33" x14ac:dyDescent="0.2">
      <c r="Q422" s="453"/>
      <c r="AG422" s="453"/>
    </row>
    <row r="423" spans="17:33" x14ac:dyDescent="0.2">
      <c r="Q423" s="453"/>
      <c r="AG423" s="453"/>
    </row>
    <row r="424" spans="17:33" x14ac:dyDescent="0.2">
      <c r="Q424" s="453"/>
      <c r="AG424" s="453"/>
    </row>
    <row r="425" spans="17:33" x14ac:dyDescent="0.2">
      <c r="Q425" s="453"/>
      <c r="AG425" s="453"/>
    </row>
    <row r="426" spans="17:33" x14ac:dyDescent="0.2">
      <c r="Q426" s="453"/>
      <c r="AG426" s="453"/>
    </row>
    <row r="427" spans="17:33" x14ac:dyDescent="0.2">
      <c r="Q427" s="453"/>
      <c r="AG427" s="453"/>
    </row>
    <row r="428" spans="17:33" x14ac:dyDescent="0.2">
      <c r="Q428" s="453"/>
      <c r="AG428" s="453"/>
    </row>
    <row r="429" spans="17:33" x14ac:dyDescent="0.2">
      <c r="Q429" s="453"/>
      <c r="AG429" s="453"/>
    </row>
    <row r="430" spans="17:33" x14ac:dyDescent="0.2">
      <c r="Q430" s="453"/>
      <c r="AG430" s="453"/>
    </row>
    <row r="431" spans="17:33" x14ac:dyDescent="0.2">
      <c r="Q431" s="453"/>
      <c r="AG431" s="453"/>
    </row>
    <row r="432" spans="17:33" x14ac:dyDescent="0.2">
      <c r="Q432" s="453"/>
      <c r="AG432" s="453"/>
    </row>
    <row r="433" spans="17:33" x14ac:dyDescent="0.2">
      <c r="Q433" s="453"/>
      <c r="AG433" s="453"/>
    </row>
    <row r="434" spans="17:33" x14ac:dyDescent="0.2">
      <c r="Q434" s="453"/>
      <c r="AG434" s="453"/>
    </row>
    <row r="435" spans="17:33" x14ac:dyDescent="0.2">
      <c r="Q435" s="453"/>
      <c r="AG435" s="453"/>
    </row>
    <row r="436" spans="17:33" x14ac:dyDescent="0.2">
      <c r="Q436" s="453"/>
      <c r="AG436" s="453"/>
    </row>
    <row r="437" spans="17:33" x14ac:dyDescent="0.2">
      <c r="Q437" s="453"/>
      <c r="AG437" s="453"/>
    </row>
    <row r="438" spans="17:33" x14ac:dyDescent="0.2">
      <c r="Q438" s="453"/>
      <c r="AG438" s="453"/>
    </row>
    <row r="439" spans="17:33" x14ac:dyDescent="0.2">
      <c r="Q439" s="453"/>
      <c r="AG439" s="453"/>
    </row>
    <row r="440" spans="17:33" x14ac:dyDescent="0.2">
      <c r="Q440" s="453"/>
      <c r="AG440" s="453"/>
    </row>
    <row r="441" spans="17:33" x14ac:dyDescent="0.2">
      <c r="Q441" s="453"/>
      <c r="AG441" s="453"/>
    </row>
    <row r="442" spans="17:33" x14ac:dyDescent="0.2">
      <c r="Q442" s="453"/>
      <c r="AG442" s="453"/>
    </row>
    <row r="443" spans="17:33" x14ac:dyDescent="0.2">
      <c r="Q443" s="453"/>
      <c r="AG443" s="453"/>
    </row>
    <row r="444" spans="17:33" x14ac:dyDescent="0.2">
      <c r="Q444" s="453"/>
      <c r="AG444" s="453"/>
    </row>
    <row r="445" spans="17:33" x14ac:dyDescent="0.2">
      <c r="Q445" s="453"/>
      <c r="AG445" s="453"/>
    </row>
    <row r="446" spans="17:33" x14ac:dyDescent="0.2">
      <c r="Q446" s="453"/>
      <c r="AG446" s="453"/>
    </row>
    <row r="447" spans="17:33" x14ac:dyDescent="0.2">
      <c r="Q447" s="453"/>
      <c r="AG447" s="453"/>
    </row>
    <row r="448" spans="17:33" x14ac:dyDescent="0.2">
      <c r="Q448" s="453"/>
      <c r="AG448" s="453"/>
    </row>
    <row r="449" spans="17:33" x14ac:dyDescent="0.2">
      <c r="Q449" s="453"/>
      <c r="AG449" s="453"/>
    </row>
    <row r="450" spans="17:33" x14ac:dyDescent="0.2">
      <c r="Q450" s="453"/>
      <c r="AG450" s="453"/>
    </row>
    <row r="451" spans="17:33" x14ac:dyDescent="0.2">
      <c r="Q451" s="453"/>
      <c r="AG451" s="453"/>
    </row>
    <row r="452" spans="17:33" x14ac:dyDescent="0.2">
      <c r="Q452" s="453"/>
      <c r="AG452" s="453"/>
    </row>
    <row r="453" spans="17:33" x14ac:dyDescent="0.2">
      <c r="Q453" s="453"/>
      <c r="AG453" s="453"/>
    </row>
    <row r="454" spans="17:33" x14ac:dyDescent="0.2">
      <c r="Q454" s="453"/>
      <c r="AG454" s="453"/>
    </row>
    <row r="455" spans="17:33" x14ac:dyDescent="0.2">
      <c r="Q455" s="453"/>
      <c r="AG455" s="453"/>
    </row>
    <row r="456" spans="17:33" x14ac:dyDescent="0.2">
      <c r="Q456" s="453"/>
      <c r="AG456" s="453"/>
    </row>
    <row r="457" spans="17:33" x14ac:dyDescent="0.2">
      <c r="Q457" s="453"/>
      <c r="AG457" s="453"/>
    </row>
    <row r="458" spans="17:33" x14ac:dyDescent="0.2">
      <c r="Q458" s="453"/>
      <c r="AG458" s="453"/>
    </row>
    <row r="459" spans="17:33" x14ac:dyDescent="0.2">
      <c r="Q459" s="453"/>
      <c r="AG459" s="453"/>
    </row>
    <row r="460" spans="17:33" x14ac:dyDescent="0.2">
      <c r="Q460" s="453"/>
      <c r="AG460" s="453"/>
    </row>
    <row r="461" spans="17:33" x14ac:dyDescent="0.2">
      <c r="Q461" s="453"/>
      <c r="AG461" s="453"/>
    </row>
    <row r="462" spans="17:33" x14ac:dyDescent="0.2">
      <c r="Q462" s="453"/>
      <c r="AG462" s="453"/>
    </row>
    <row r="463" spans="17:33" x14ac:dyDescent="0.2">
      <c r="Q463" s="453"/>
      <c r="AG463" s="453"/>
    </row>
    <row r="464" spans="17:33" x14ac:dyDescent="0.2">
      <c r="Q464" s="453"/>
      <c r="AG464" s="453"/>
    </row>
    <row r="465" spans="17:33" x14ac:dyDescent="0.2">
      <c r="Q465" s="453"/>
      <c r="AG465" s="453"/>
    </row>
    <row r="466" spans="17:33" x14ac:dyDescent="0.2">
      <c r="Q466" s="453"/>
      <c r="AG466" s="453"/>
    </row>
    <row r="467" spans="17:33" x14ac:dyDescent="0.2">
      <c r="Q467" s="453"/>
      <c r="AG467" s="453"/>
    </row>
    <row r="468" spans="17:33" x14ac:dyDescent="0.2">
      <c r="Q468" s="453"/>
      <c r="AG468" s="453"/>
    </row>
    <row r="469" spans="17:33" x14ac:dyDescent="0.2">
      <c r="Q469" s="453"/>
      <c r="AG469" s="453"/>
    </row>
    <row r="470" spans="17:33" x14ac:dyDescent="0.2">
      <c r="Q470" s="453"/>
      <c r="AG470" s="453"/>
    </row>
    <row r="471" spans="17:33" x14ac:dyDescent="0.2">
      <c r="Q471" s="453"/>
      <c r="AG471" s="453"/>
    </row>
    <row r="472" spans="17:33" x14ac:dyDescent="0.2">
      <c r="Q472" s="453"/>
      <c r="AG472" s="453"/>
    </row>
    <row r="473" spans="17:33" x14ac:dyDescent="0.2">
      <c r="Q473" s="453"/>
      <c r="AG473" s="453"/>
    </row>
    <row r="474" spans="17:33" x14ac:dyDescent="0.2">
      <c r="Q474" s="453"/>
      <c r="AG474" s="453"/>
    </row>
    <row r="475" spans="17:33" x14ac:dyDescent="0.2">
      <c r="Q475" s="453"/>
      <c r="AG475" s="453"/>
    </row>
    <row r="476" spans="17:33" x14ac:dyDescent="0.2">
      <c r="Q476" s="453"/>
      <c r="AG476" s="453"/>
    </row>
    <row r="477" spans="17:33" x14ac:dyDescent="0.2">
      <c r="Q477" s="453"/>
      <c r="AG477" s="453"/>
    </row>
    <row r="478" spans="17:33" x14ac:dyDescent="0.2">
      <c r="Q478" s="453"/>
      <c r="AG478" s="453"/>
    </row>
    <row r="479" spans="17:33" x14ac:dyDescent="0.2">
      <c r="Q479" s="453"/>
      <c r="AG479" s="453"/>
    </row>
    <row r="480" spans="17:33" x14ac:dyDescent="0.2">
      <c r="Q480" s="453"/>
      <c r="AG480" s="453"/>
    </row>
    <row r="481" spans="17:33" x14ac:dyDescent="0.2">
      <c r="Q481" s="453"/>
      <c r="AG481" s="453"/>
    </row>
    <row r="482" spans="17:33" x14ac:dyDescent="0.2">
      <c r="Q482" s="453"/>
      <c r="AG482" s="453"/>
    </row>
    <row r="483" spans="17:33" x14ac:dyDescent="0.2">
      <c r="Q483" s="453"/>
      <c r="AG483" s="453"/>
    </row>
    <row r="484" spans="17:33" x14ac:dyDescent="0.2">
      <c r="Q484" s="453"/>
      <c r="AG484" s="453"/>
    </row>
    <row r="485" spans="17:33" x14ac:dyDescent="0.2">
      <c r="Q485" s="453"/>
      <c r="AG485" s="453"/>
    </row>
    <row r="486" spans="17:33" x14ac:dyDescent="0.2">
      <c r="Q486" s="453"/>
      <c r="AG486" s="453"/>
    </row>
    <row r="487" spans="17:33" x14ac:dyDescent="0.2">
      <c r="Q487" s="453"/>
      <c r="AG487" s="453"/>
    </row>
    <row r="488" spans="17:33" x14ac:dyDescent="0.2">
      <c r="Q488" s="453"/>
      <c r="AG488" s="453"/>
    </row>
    <row r="489" spans="17:33" x14ac:dyDescent="0.2">
      <c r="Q489" s="453"/>
      <c r="AG489" s="453"/>
    </row>
    <row r="490" spans="17:33" x14ac:dyDescent="0.2">
      <c r="Q490" s="453"/>
      <c r="AG490" s="453"/>
    </row>
    <row r="491" spans="17:33" x14ac:dyDescent="0.2">
      <c r="Q491" s="453"/>
      <c r="AG491" s="453"/>
    </row>
    <row r="492" spans="17:33" x14ac:dyDescent="0.2">
      <c r="Q492" s="453"/>
      <c r="AG492" s="453"/>
    </row>
    <row r="493" spans="17:33" x14ac:dyDescent="0.2">
      <c r="Q493" s="453"/>
      <c r="AG493" s="453"/>
    </row>
    <row r="494" spans="17:33" x14ac:dyDescent="0.2">
      <c r="Q494" s="453"/>
      <c r="AG494" s="453"/>
    </row>
    <row r="495" spans="17:33" x14ac:dyDescent="0.2">
      <c r="Q495" s="453"/>
      <c r="AG495" s="453"/>
    </row>
    <row r="496" spans="17:33" x14ac:dyDescent="0.2">
      <c r="Q496" s="453"/>
      <c r="AG496" s="453"/>
    </row>
    <row r="497" spans="17:33" x14ac:dyDescent="0.2">
      <c r="Q497" s="453"/>
      <c r="AG497" s="453"/>
    </row>
    <row r="498" spans="17:33" x14ac:dyDescent="0.2">
      <c r="Q498" s="453"/>
      <c r="AG498" s="453"/>
    </row>
    <row r="499" spans="17:33" x14ac:dyDescent="0.2">
      <c r="Q499" s="453"/>
      <c r="AG499" s="453"/>
    </row>
    <row r="500" spans="17:33" x14ac:dyDescent="0.2">
      <c r="Q500" s="453"/>
      <c r="AG500" s="453"/>
    </row>
    <row r="501" spans="17:33" x14ac:dyDescent="0.2">
      <c r="Q501" s="453"/>
      <c r="AG501" s="453"/>
    </row>
    <row r="502" spans="17:33" x14ac:dyDescent="0.2">
      <c r="Q502" s="453"/>
      <c r="AG502" s="453"/>
    </row>
    <row r="503" spans="17:33" x14ac:dyDescent="0.2">
      <c r="Q503" s="453"/>
      <c r="AG503" s="453"/>
    </row>
    <row r="504" spans="17:33" x14ac:dyDescent="0.2">
      <c r="Q504" s="453"/>
      <c r="AG504" s="453"/>
    </row>
    <row r="505" spans="17:33" x14ac:dyDescent="0.2">
      <c r="Q505" s="453"/>
      <c r="AG505" s="453"/>
    </row>
    <row r="506" spans="17:33" x14ac:dyDescent="0.2">
      <c r="Q506" s="453"/>
      <c r="AG506" s="453"/>
    </row>
    <row r="507" spans="17:33" x14ac:dyDescent="0.2">
      <c r="Q507" s="453"/>
      <c r="AG507" s="453"/>
    </row>
    <row r="508" spans="17:33" x14ac:dyDescent="0.2">
      <c r="Q508" s="453"/>
      <c r="AG508" s="453"/>
    </row>
    <row r="509" spans="17:33" x14ac:dyDescent="0.2">
      <c r="Q509" s="453"/>
      <c r="AG509" s="453"/>
    </row>
    <row r="510" spans="17:33" x14ac:dyDescent="0.2">
      <c r="Q510" s="453"/>
      <c r="AG510" s="453"/>
    </row>
    <row r="511" spans="17:33" x14ac:dyDescent="0.2">
      <c r="Q511" s="453"/>
      <c r="AG511" s="453"/>
    </row>
    <row r="512" spans="17:33" x14ac:dyDescent="0.2">
      <c r="Q512" s="453"/>
      <c r="AG512" s="453"/>
    </row>
    <row r="513" spans="17:33" x14ac:dyDescent="0.2">
      <c r="Q513" s="453"/>
      <c r="AG513" s="453"/>
    </row>
    <row r="514" spans="17:33" x14ac:dyDescent="0.2">
      <c r="Q514" s="453"/>
      <c r="AG514" s="453"/>
    </row>
    <row r="515" spans="17:33" x14ac:dyDescent="0.2">
      <c r="Q515" s="453"/>
      <c r="AG515" s="453"/>
    </row>
    <row r="516" spans="17:33" x14ac:dyDescent="0.2">
      <c r="Q516" s="453"/>
      <c r="AG516" s="453"/>
    </row>
    <row r="517" spans="17:33" x14ac:dyDescent="0.2">
      <c r="Q517" s="453"/>
      <c r="AG517" s="453"/>
    </row>
    <row r="518" spans="17:33" x14ac:dyDescent="0.2">
      <c r="Q518" s="453"/>
      <c r="AG518" s="453"/>
    </row>
    <row r="519" spans="17:33" x14ac:dyDescent="0.2">
      <c r="Q519" s="453"/>
      <c r="AG519" s="453"/>
    </row>
    <row r="520" spans="17:33" x14ac:dyDescent="0.2">
      <c r="Q520" s="453"/>
      <c r="AG520" s="453"/>
    </row>
    <row r="521" spans="17:33" x14ac:dyDescent="0.2">
      <c r="Q521" s="453"/>
      <c r="AG521" s="453"/>
    </row>
    <row r="522" spans="17:33" x14ac:dyDescent="0.2">
      <c r="Q522" s="453"/>
      <c r="AG522" s="453"/>
    </row>
    <row r="523" spans="17:33" x14ac:dyDescent="0.2">
      <c r="Q523" s="453"/>
      <c r="AG523" s="453"/>
    </row>
    <row r="524" spans="17:33" x14ac:dyDescent="0.2">
      <c r="Q524" s="453"/>
      <c r="AG524" s="453"/>
    </row>
    <row r="525" spans="17:33" x14ac:dyDescent="0.2">
      <c r="Q525" s="453"/>
      <c r="AG525" s="453"/>
    </row>
    <row r="526" spans="17:33" x14ac:dyDescent="0.2">
      <c r="Q526" s="453"/>
      <c r="AG526" s="453"/>
    </row>
    <row r="527" spans="17:33" x14ac:dyDescent="0.2">
      <c r="Q527" s="453"/>
      <c r="AG527" s="453"/>
    </row>
    <row r="528" spans="17:33" x14ac:dyDescent="0.2">
      <c r="Q528" s="453"/>
      <c r="AG528" s="453"/>
    </row>
    <row r="529" spans="17:33" x14ac:dyDescent="0.2">
      <c r="Q529" s="453"/>
      <c r="AG529" s="453"/>
    </row>
    <row r="530" spans="17:33" x14ac:dyDescent="0.2">
      <c r="Q530" s="453"/>
      <c r="AG530" s="453"/>
    </row>
    <row r="531" spans="17:33" x14ac:dyDescent="0.2">
      <c r="Q531" s="453"/>
      <c r="AG531" s="453"/>
    </row>
    <row r="532" spans="17:33" x14ac:dyDescent="0.2">
      <c r="Q532" s="453"/>
      <c r="AG532" s="453"/>
    </row>
    <row r="533" spans="17:33" x14ac:dyDescent="0.2">
      <c r="Q533" s="453"/>
      <c r="AG533" s="453"/>
    </row>
    <row r="534" spans="17:33" x14ac:dyDescent="0.2">
      <c r="Q534" s="453"/>
      <c r="AG534" s="453"/>
    </row>
    <row r="535" spans="17:33" x14ac:dyDescent="0.2">
      <c r="AG535" s="453"/>
    </row>
    <row r="536" spans="17:33" x14ac:dyDescent="0.2">
      <c r="AG536" s="453"/>
    </row>
    <row r="537" spans="17:33" x14ac:dyDescent="0.2">
      <c r="AG537" s="453"/>
    </row>
    <row r="538" spans="17:33" x14ac:dyDescent="0.2">
      <c r="AG538" s="453"/>
    </row>
    <row r="539" spans="17:33" x14ac:dyDescent="0.2">
      <c r="AG539" s="453"/>
    </row>
    <row r="540" spans="17:33" x14ac:dyDescent="0.2">
      <c r="AG540" s="453"/>
    </row>
    <row r="541" spans="17:33" x14ac:dyDescent="0.2">
      <c r="AG541" s="453"/>
    </row>
    <row r="542" spans="17:33" x14ac:dyDescent="0.2">
      <c r="AG542" s="453"/>
    </row>
    <row r="543" spans="17:33" x14ac:dyDescent="0.2">
      <c r="AG543" s="453"/>
    </row>
    <row r="544" spans="17:33" x14ac:dyDescent="0.2">
      <c r="AG544" s="453"/>
    </row>
    <row r="545" spans="33:33" x14ac:dyDescent="0.2">
      <c r="AG545" s="453"/>
    </row>
    <row r="546" spans="33:33" x14ac:dyDescent="0.2">
      <c r="AG546" s="453"/>
    </row>
    <row r="547" spans="33:33" x14ac:dyDescent="0.2">
      <c r="AG547" s="453"/>
    </row>
    <row r="548" spans="33:33" x14ac:dyDescent="0.2">
      <c r="AG548" s="453"/>
    </row>
    <row r="549" spans="33:33" x14ac:dyDescent="0.2">
      <c r="AG549" s="453"/>
    </row>
    <row r="550" spans="33:33" x14ac:dyDescent="0.2">
      <c r="AG550" s="453"/>
    </row>
    <row r="551" spans="33:33" x14ac:dyDescent="0.2">
      <c r="AG551" s="453"/>
    </row>
    <row r="552" spans="33:33" x14ac:dyDescent="0.2">
      <c r="AG552" s="453"/>
    </row>
    <row r="553" spans="33:33" x14ac:dyDescent="0.2">
      <c r="AG553" s="453"/>
    </row>
    <row r="554" spans="33:33" x14ac:dyDescent="0.2">
      <c r="AG554" s="453"/>
    </row>
    <row r="555" spans="33:33" x14ac:dyDescent="0.2">
      <c r="AG555" s="453"/>
    </row>
    <row r="556" spans="33:33" x14ac:dyDescent="0.2">
      <c r="AG556" s="453"/>
    </row>
    <row r="557" spans="33:33" x14ac:dyDescent="0.2">
      <c r="AG557" s="453"/>
    </row>
    <row r="558" spans="33:33" x14ac:dyDescent="0.2">
      <c r="AG558" s="453"/>
    </row>
    <row r="559" spans="33:33" x14ac:dyDescent="0.2">
      <c r="AG559" s="453"/>
    </row>
    <row r="560" spans="33:33" x14ac:dyDescent="0.2">
      <c r="AG560" s="453"/>
    </row>
    <row r="561" spans="33:33" x14ac:dyDescent="0.2">
      <c r="AG561" s="453"/>
    </row>
    <row r="562" spans="33:33" x14ac:dyDescent="0.2">
      <c r="AG562" s="453"/>
    </row>
    <row r="563" spans="33:33" x14ac:dyDescent="0.2">
      <c r="AG563" s="453"/>
    </row>
    <row r="564" spans="33:33" x14ac:dyDescent="0.2">
      <c r="AG564" s="453"/>
    </row>
    <row r="565" spans="33:33" x14ac:dyDescent="0.2">
      <c r="AG565" s="453"/>
    </row>
    <row r="566" spans="33:33" x14ac:dyDescent="0.2">
      <c r="AG566" s="453"/>
    </row>
    <row r="567" spans="33:33" x14ac:dyDescent="0.2">
      <c r="AG567" s="453"/>
    </row>
    <row r="568" spans="33:33" x14ac:dyDescent="0.2">
      <c r="AG568" s="453"/>
    </row>
    <row r="569" spans="33:33" x14ac:dyDescent="0.2">
      <c r="AG569" s="453"/>
    </row>
    <row r="570" spans="33:33" x14ac:dyDescent="0.2">
      <c r="AG570" s="453"/>
    </row>
    <row r="571" spans="33:33" x14ac:dyDescent="0.2">
      <c r="AG571" s="453"/>
    </row>
    <row r="572" spans="33:33" x14ac:dyDescent="0.2">
      <c r="AG572" s="453"/>
    </row>
    <row r="573" spans="33:33" x14ac:dyDescent="0.2">
      <c r="AG573" s="453"/>
    </row>
    <row r="574" spans="33:33" x14ac:dyDescent="0.2">
      <c r="AG574" s="453"/>
    </row>
    <row r="575" spans="33:33" x14ac:dyDescent="0.2">
      <c r="AG575" s="453"/>
    </row>
    <row r="576" spans="33:33" x14ac:dyDescent="0.2">
      <c r="AG576" s="453"/>
    </row>
    <row r="577" spans="33:33" x14ac:dyDescent="0.2">
      <c r="AG577" s="453"/>
    </row>
    <row r="578" spans="33:33" x14ac:dyDescent="0.2">
      <c r="AG578" s="453"/>
    </row>
    <row r="579" spans="33:33" x14ac:dyDescent="0.2">
      <c r="AG579" s="453"/>
    </row>
    <row r="580" spans="33:33" x14ac:dyDescent="0.2">
      <c r="AG580" s="453"/>
    </row>
    <row r="581" spans="33:33" x14ac:dyDescent="0.2">
      <c r="AG581" s="453"/>
    </row>
    <row r="582" spans="33:33" x14ac:dyDescent="0.2">
      <c r="AG582" s="453"/>
    </row>
    <row r="583" spans="33:33" x14ac:dyDescent="0.2">
      <c r="AG583" s="453"/>
    </row>
    <row r="584" spans="33:33" x14ac:dyDescent="0.2">
      <c r="AG584" s="453"/>
    </row>
    <row r="585" spans="33:33" x14ac:dyDescent="0.2">
      <c r="AG585" s="453"/>
    </row>
    <row r="586" spans="33:33" x14ac:dyDescent="0.2">
      <c r="AG586" s="453"/>
    </row>
    <row r="587" spans="33:33" x14ac:dyDescent="0.2">
      <c r="AG587" s="453"/>
    </row>
    <row r="588" spans="33:33" x14ac:dyDescent="0.2">
      <c r="AG588" s="453"/>
    </row>
    <row r="589" spans="33:33" x14ac:dyDescent="0.2">
      <c r="AG589" s="453"/>
    </row>
    <row r="590" spans="33:33" x14ac:dyDescent="0.2">
      <c r="AG590" s="453"/>
    </row>
    <row r="591" spans="33:33" x14ac:dyDescent="0.2">
      <c r="AG591" s="453"/>
    </row>
    <row r="592" spans="33:33" x14ac:dyDescent="0.2">
      <c r="AG592" s="453"/>
    </row>
    <row r="593" spans="33:33" x14ac:dyDescent="0.2">
      <c r="AG593" s="453"/>
    </row>
    <row r="594" spans="33:33" x14ac:dyDescent="0.2">
      <c r="AG594" s="453"/>
    </row>
    <row r="595" spans="33:33" x14ac:dyDescent="0.2">
      <c r="AG595" s="453"/>
    </row>
    <row r="596" spans="33:33" x14ac:dyDescent="0.2">
      <c r="AG596" s="453"/>
    </row>
    <row r="597" spans="33:33" x14ac:dyDescent="0.2">
      <c r="AG597" s="453"/>
    </row>
    <row r="598" spans="33:33" x14ac:dyDescent="0.2">
      <c r="AG598" s="453"/>
    </row>
    <row r="599" spans="33:33" x14ac:dyDescent="0.2">
      <c r="AG599" s="453"/>
    </row>
    <row r="600" spans="33:33" x14ac:dyDescent="0.2">
      <c r="AG600" s="453"/>
    </row>
    <row r="601" spans="33:33" x14ac:dyDescent="0.2">
      <c r="AG601" s="453"/>
    </row>
    <row r="602" spans="33:33" x14ac:dyDescent="0.2">
      <c r="AG602" s="453"/>
    </row>
    <row r="603" spans="33:33" x14ac:dyDescent="0.2">
      <c r="AG603" s="453"/>
    </row>
    <row r="604" spans="33:33" x14ac:dyDescent="0.2">
      <c r="AG604" s="453"/>
    </row>
    <row r="605" spans="33:33" x14ac:dyDescent="0.2">
      <c r="AG605" s="453"/>
    </row>
    <row r="606" spans="33:33" x14ac:dyDescent="0.2">
      <c r="AG606" s="453"/>
    </row>
    <row r="607" spans="33:33" x14ac:dyDescent="0.2">
      <c r="AG607" s="453"/>
    </row>
    <row r="608" spans="33:33" x14ac:dyDescent="0.2">
      <c r="AG608" s="453"/>
    </row>
    <row r="609" spans="33:33" x14ac:dyDescent="0.2">
      <c r="AG609" s="453"/>
    </row>
    <row r="610" spans="33:33" x14ac:dyDescent="0.2">
      <c r="AG610" s="453"/>
    </row>
    <row r="611" spans="33:33" x14ac:dyDescent="0.2">
      <c r="AG611" s="453"/>
    </row>
    <row r="612" spans="33:33" x14ac:dyDescent="0.2">
      <c r="AG612" s="453"/>
    </row>
    <row r="613" spans="33:33" x14ac:dyDescent="0.2">
      <c r="AG613" s="453"/>
    </row>
    <row r="614" spans="33:33" x14ac:dyDescent="0.2">
      <c r="AG614" s="453"/>
    </row>
    <row r="615" spans="33:33" x14ac:dyDescent="0.2">
      <c r="AG615" s="453"/>
    </row>
    <row r="616" spans="33:33" x14ac:dyDescent="0.2">
      <c r="AG616" s="453"/>
    </row>
    <row r="617" spans="33:33" x14ac:dyDescent="0.2">
      <c r="AG617" s="453"/>
    </row>
    <row r="618" spans="33:33" x14ac:dyDescent="0.2">
      <c r="AG618" s="453"/>
    </row>
    <row r="619" spans="33:33" x14ac:dyDescent="0.2">
      <c r="AG619" s="453"/>
    </row>
    <row r="620" spans="33:33" x14ac:dyDescent="0.2">
      <c r="AG620" s="453"/>
    </row>
    <row r="621" spans="33:33" x14ac:dyDescent="0.2">
      <c r="AG621" s="453"/>
    </row>
    <row r="622" spans="33:33" x14ac:dyDescent="0.2">
      <c r="AG622" s="453"/>
    </row>
    <row r="623" spans="33:33" x14ac:dyDescent="0.2">
      <c r="AG623" s="453"/>
    </row>
    <row r="624" spans="33:33" x14ac:dyDescent="0.2">
      <c r="AG624" s="453"/>
    </row>
    <row r="625" spans="33:33" x14ac:dyDescent="0.2">
      <c r="AG625" s="453"/>
    </row>
    <row r="626" spans="33:33" x14ac:dyDescent="0.2">
      <c r="AG626" s="453"/>
    </row>
    <row r="627" spans="33:33" x14ac:dyDescent="0.2">
      <c r="AG627" s="453"/>
    </row>
    <row r="628" spans="33:33" x14ac:dyDescent="0.2">
      <c r="AG628" s="453"/>
    </row>
    <row r="629" spans="33:33" x14ac:dyDescent="0.2">
      <c r="AG629" s="453"/>
    </row>
    <row r="630" spans="33:33" x14ac:dyDescent="0.2">
      <c r="AG630" s="453"/>
    </row>
    <row r="631" spans="33:33" x14ac:dyDescent="0.2">
      <c r="AG631" s="453"/>
    </row>
    <row r="632" spans="33:33" x14ac:dyDescent="0.2">
      <c r="AG632" s="453"/>
    </row>
    <row r="633" spans="33:33" x14ac:dyDescent="0.2">
      <c r="AG633" s="453"/>
    </row>
    <row r="634" spans="33:33" x14ac:dyDescent="0.2">
      <c r="AG634" s="453"/>
    </row>
    <row r="635" spans="33:33" x14ac:dyDescent="0.2">
      <c r="AG635" s="453"/>
    </row>
    <row r="636" spans="33:33" x14ac:dyDescent="0.2">
      <c r="AG636" s="453"/>
    </row>
    <row r="637" spans="33:33" x14ac:dyDescent="0.2">
      <c r="AG637" s="453"/>
    </row>
    <row r="638" spans="33:33" x14ac:dyDescent="0.2">
      <c r="AG638" s="453"/>
    </row>
    <row r="639" spans="33:33" x14ac:dyDescent="0.2">
      <c r="AG639" s="453"/>
    </row>
    <row r="640" spans="33:33" x14ac:dyDescent="0.2">
      <c r="AG640" s="453"/>
    </row>
    <row r="641" spans="33:33" x14ac:dyDescent="0.2">
      <c r="AG641" s="453"/>
    </row>
    <row r="642" spans="33:33" x14ac:dyDescent="0.2">
      <c r="AG642" s="453"/>
    </row>
    <row r="643" spans="33:33" x14ac:dyDescent="0.2">
      <c r="AG643" s="453"/>
    </row>
    <row r="644" spans="33:33" x14ac:dyDescent="0.2">
      <c r="AG644" s="453"/>
    </row>
    <row r="645" spans="33:33" x14ac:dyDescent="0.2">
      <c r="AG645" s="453"/>
    </row>
    <row r="646" spans="33:33" x14ac:dyDescent="0.2">
      <c r="AG646" s="453"/>
    </row>
    <row r="647" spans="33:33" x14ac:dyDescent="0.2">
      <c r="AG647" s="453"/>
    </row>
    <row r="648" spans="33:33" x14ac:dyDescent="0.2">
      <c r="AG648" s="453"/>
    </row>
    <row r="649" spans="33:33" x14ac:dyDescent="0.2">
      <c r="AG649" s="453"/>
    </row>
    <row r="650" spans="33:33" x14ac:dyDescent="0.2">
      <c r="AG650" s="453"/>
    </row>
    <row r="651" spans="33:33" x14ac:dyDescent="0.2">
      <c r="AG651" s="453"/>
    </row>
    <row r="652" spans="33:33" x14ac:dyDescent="0.2">
      <c r="AG652" s="453"/>
    </row>
    <row r="653" spans="33:33" x14ac:dyDescent="0.2">
      <c r="AG653" s="453"/>
    </row>
    <row r="654" spans="33:33" x14ac:dyDescent="0.2">
      <c r="AG654" s="453"/>
    </row>
    <row r="655" spans="33:33" x14ac:dyDescent="0.2">
      <c r="AG655" s="453"/>
    </row>
    <row r="656" spans="33:33" x14ac:dyDescent="0.2">
      <c r="AG656" s="453"/>
    </row>
    <row r="657" spans="33:33" x14ac:dyDescent="0.2">
      <c r="AG657" s="453"/>
    </row>
    <row r="658" spans="33:33" x14ac:dyDescent="0.2">
      <c r="AG658" s="453"/>
    </row>
    <row r="659" spans="33:33" x14ac:dyDescent="0.2">
      <c r="AG659" s="453"/>
    </row>
    <row r="660" spans="33:33" x14ac:dyDescent="0.2">
      <c r="AG660" s="453"/>
    </row>
    <row r="661" spans="33:33" x14ac:dyDescent="0.2">
      <c r="AG661" s="453"/>
    </row>
    <row r="662" spans="33:33" x14ac:dyDescent="0.2">
      <c r="AG662" s="453"/>
    </row>
    <row r="663" spans="33:33" x14ac:dyDescent="0.2">
      <c r="AG663" s="453"/>
    </row>
    <row r="664" spans="33:33" x14ac:dyDescent="0.2">
      <c r="AG664" s="453"/>
    </row>
    <row r="665" spans="33:33" x14ac:dyDescent="0.2">
      <c r="AG665" s="453"/>
    </row>
    <row r="666" spans="33:33" x14ac:dyDescent="0.2">
      <c r="AG666" s="453"/>
    </row>
    <row r="667" spans="33:33" x14ac:dyDescent="0.2">
      <c r="AG667" s="453"/>
    </row>
    <row r="668" spans="33:33" x14ac:dyDescent="0.2">
      <c r="AG668" s="453"/>
    </row>
    <row r="669" spans="33:33" x14ac:dyDescent="0.2">
      <c r="AG669" s="453"/>
    </row>
    <row r="670" spans="33:33" x14ac:dyDescent="0.2">
      <c r="AG670" s="453"/>
    </row>
    <row r="671" spans="33:33" x14ac:dyDescent="0.2">
      <c r="AG671" s="453"/>
    </row>
    <row r="672" spans="33:33" x14ac:dyDescent="0.2">
      <c r="AG672" s="453"/>
    </row>
    <row r="673" spans="33:33" x14ac:dyDescent="0.2">
      <c r="AG673" s="453"/>
    </row>
    <row r="674" spans="33:33" x14ac:dyDescent="0.2">
      <c r="AG674" s="453"/>
    </row>
    <row r="675" spans="33:33" x14ac:dyDescent="0.2">
      <c r="AG675" s="453"/>
    </row>
    <row r="676" spans="33:33" x14ac:dyDescent="0.2">
      <c r="AG676" s="453"/>
    </row>
    <row r="677" spans="33:33" x14ac:dyDescent="0.2">
      <c r="AG677" s="453"/>
    </row>
    <row r="678" spans="33:33" x14ac:dyDescent="0.2">
      <c r="AG678" s="453"/>
    </row>
    <row r="679" spans="33:33" x14ac:dyDescent="0.2">
      <c r="AG679" s="453"/>
    </row>
    <row r="680" spans="33:33" x14ac:dyDescent="0.2">
      <c r="AG680" s="453"/>
    </row>
    <row r="681" spans="33:33" x14ac:dyDescent="0.2">
      <c r="AG681" s="453"/>
    </row>
    <row r="682" spans="33:33" x14ac:dyDescent="0.2">
      <c r="AG682" s="453"/>
    </row>
    <row r="683" spans="33:33" x14ac:dyDescent="0.2">
      <c r="AG683" s="453"/>
    </row>
    <row r="684" spans="33:33" x14ac:dyDescent="0.2">
      <c r="AG684" s="453"/>
    </row>
    <row r="685" spans="33:33" x14ac:dyDescent="0.2">
      <c r="AG685" s="453"/>
    </row>
    <row r="686" spans="33:33" x14ac:dyDescent="0.2">
      <c r="AG686" s="453"/>
    </row>
    <row r="687" spans="33:33" x14ac:dyDescent="0.2">
      <c r="AG687" s="453"/>
    </row>
    <row r="688" spans="33:33" x14ac:dyDescent="0.2">
      <c r="AG688" s="453"/>
    </row>
    <row r="689" spans="33:33" x14ac:dyDescent="0.2">
      <c r="AG689" s="453"/>
    </row>
    <row r="690" spans="33:33" x14ac:dyDescent="0.2">
      <c r="AG690" s="453"/>
    </row>
    <row r="691" spans="33:33" x14ac:dyDescent="0.2">
      <c r="AG691" s="453"/>
    </row>
    <row r="692" spans="33:33" x14ac:dyDescent="0.2">
      <c r="AG692" s="453"/>
    </row>
    <row r="693" spans="33:33" x14ac:dyDescent="0.2">
      <c r="AG693" s="453"/>
    </row>
    <row r="694" spans="33:33" x14ac:dyDescent="0.2">
      <c r="AG694" s="453"/>
    </row>
    <row r="695" spans="33:33" x14ac:dyDescent="0.2">
      <c r="AG695" s="453"/>
    </row>
    <row r="696" spans="33:33" x14ac:dyDescent="0.2">
      <c r="AG696" s="453"/>
    </row>
    <row r="697" spans="33:33" x14ac:dyDescent="0.2">
      <c r="AG697" s="453"/>
    </row>
    <row r="698" spans="33:33" x14ac:dyDescent="0.2">
      <c r="AG698" s="453"/>
    </row>
    <row r="699" spans="33:33" x14ac:dyDescent="0.2">
      <c r="AG699" s="453"/>
    </row>
    <row r="700" spans="33:33" x14ac:dyDescent="0.2">
      <c r="AG700" s="453"/>
    </row>
    <row r="701" spans="33:33" x14ac:dyDescent="0.2">
      <c r="AG701" s="453"/>
    </row>
    <row r="702" spans="33:33" x14ac:dyDescent="0.2">
      <c r="AG702" s="453"/>
    </row>
    <row r="703" spans="33:33" x14ac:dyDescent="0.2">
      <c r="AG703" s="453"/>
    </row>
    <row r="704" spans="33:33" x14ac:dyDescent="0.2">
      <c r="AG704" s="453"/>
    </row>
    <row r="705" spans="33:33" x14ac:dyDescent="0.2">
      <c r="AG705" s="453"/>
    </row>
    <row r="706" spans="33:33" x14ac:dyDescent="0.2">
      <c r="AG706" s="453"/>
    </row>
    <row r="707" spans="33:33" x14ac:dyDescent="0.2">
      <c r="AG707" s="453"/>
    </row>
    <row r="708" spans="33:33" x14ac:dyDescent="0.2">
      <c r="AG708" s="453"/>
    </row>
    <row r="709" spans="33:33" x14ac:dyDescent="0.2">
      <c r="AG709" s="453"/>
    </row>
    <row r="710" spans="33:33" x14ac:dyDescent="0.2">
      <c r="AG710" s="453"/>
    </row>
    <row r="711" spans="33:33" x14ac:dyDescent="0.2">
      <c r="AG711" s="453"/>
    </row>
    <row r="712" spans="33:33" x14ac:dyDescent="0.2">
      <c r="AG712" s="453"/>
    </row>
    <row r="713" spans="33:33" x14ac:dyDescent="0.2">
      <c r="AG713" s="453"/>
    </row>
    <row r="714" spans="33:33" x14ac:dyDescent="0.2">
      <c r="AG714" s="453"/>
    </row>
    <row r="715" spans="33:33" x14ac:dyDescent="0.2">
      <c r="AG715" s="453"/>
    </row>
    <row r="716" spans="33:33" x14ac:dyDescent="0.2">
      <c r="AG716" s="453"/>
    </row>
    <row r="717" spans="33:33" x14ac:dyDescent="0.2">
      <c r="AG717" s="453"/>
    </row>
    <row r="718" spans="33:33" x14ac:dyDescent="0.2">
      <c r="AG718" s="453"/>
    </row>
    <row r="719" spans="33:33" x14ac:dyDescent="0.2">
      <c r="AG719" s="453"/>
    </row>
    <row r="720" spans="33:33" x14ac:dyDescent="0.2">
      <c r="AG720" s="453"/>
    </row>
    <row r="721" spans="33:33" x14ac:dyDescent="0.2">
      <c r="AG721" s="453"/>
    </row>
    <row r="722" spans="33:33" x14ac:dyDescent="0.2">
      <c r="AG722" s="453"/>
    </row>
    <row r="723" spans="33:33" x14ac:dyDescent="0.2">
      <c r="AG723" s="453"/>
    </row>
    <row r="724" spans="33:33" x14ac:dyDescent="0.2">
      <c r="AG724" s="453"/>
    </row>
    <row r="725" spans="33:33" x14ac:dyDescent="0.2">
      <c r="AG725" s="453"/>
    </row>
    <row r="726" spans="33:33" x14ac:dyDescent="0.2">
      <c r="AG726" s="453"/>
    </row>
    <row r="727" spans="33:33" x14ac:dyDescent="0.2">
      <c r="AG727" s="453"/>
    </row>
    <row r="728" spans="33:33" x14ac:dyDescent="0.2">
      <c r="AG728" s="453"/>
    </row>
    <row r="729" spans="33:33" x14ac:dyDescent="0.2">
      <c r="AG729" s="453"/>
    </row>
    <row r="730" spans="33:33" x14ac:dyDescent="0.2">
      <c r="AG730" s="453"/>
    </row>
    <row r="731" spans="33:33" x14ac:dyDescent="0.2">
      <c r="AG731" s="453"/>
    </row>
    <row r="732" spans="33:33" x14ac:dyDescent="0.2">
      <c r="AG732" s="453"/>
    </row>
    <row r="733" spans="33:33" x14ac:dyDescent="0.2">
      <c r="AG733" s="453"/>
    </row>
    <row r="734" spans="33:33" x14ac:dyDescent="0.2">
      <c r="AG734" s="453"/>
    </row>
    <row r="735" spans="33:33" x14ac:dyDescent="0.2">
      <c r="AG735" s="453"/>
    </row>
    <row r="736" spans="33:33" x14ac:dyDescent="0.2">
      <c r="AG736" s="453"/>
    </row>
    <row r="737" spans="33:33" x14ac:dyDescent="0.2">
      <c r="AG737" s="453"/>
    </row>
    <row r="738" spans="33:33" x14ac:dyDescent="0.2">
      <c r="AG738" s="453"/>
    </row>
    <row r="739" spans="33:33" x14ac:dyDescent="0.2">
      <c r="AG739" s="453"/>
    </row>
    <row r="740" spans="33:33" x14ac:dyDescent="0.2">
      <c r="AG740" s="453"/>
    </row>
    <row r="741" spans="33:33" x14ac:dyDescent="0.2">
      <c r="AG741" s="453"/>
    </row>
    <row r="742" spans="33:33" x14ac:dyDescent="0.2">
      <c r="AG742" s="453"/>
    </row>
    <row r="743" spans="33:33" x14ac:dyDescent="0.2">
      <c r="AG743" s="453"/>
    </row>
    <row r="744" spans="33:33" x14ac:dyDescent="0.2">
      <c r="AG744" s="453"/>
    </row>
    <row r="745" spans="33:33" x14ac:dyDescent="0.2">
      <c r="AG745" s="453"/>
    </row>
    <row r="746" spans="33:33" x14ac:dyDescent="0.2">
      <c r="AG746" s="453"/>
    </row>
    <row r="747" spans="33:33" x14ac:dyDescent="0.2">
      <c r="AG747" s="453"/>
    </row>
    <row r="748" spans="33:33" x14ac:dyDescent="0.2">
      <c r="AG748" s="453"/>
    </row>
    <row r="749" spans="33:33" x14ac:dyDescent="0.2">
      <c r="AG749" s="453"/>
    </row>
    <row r="750" spans="33:33" x14ac:dyDescent="0.2">
      <c r="AG750" s="453"/>
    </row>
    <row r="751" spans="33:33" x14ac:dyDescent="0.2">
      <c r="AG751" s="453"/>
    </row>
    <row r="752" spans="33:33" x14ac:dyDescent="0.2">
      <c r="AG752" s="453"/>
    </row>
    <row r="753" spans="33:33" x14ac:dyDescent="0.2">
      <c r="AG753" s="453"/>
    </row>
    <row r="754" spans="33:33" x14ac:dyDescent="0.2">
      <c r="AG754" s="453"/>
    </row>
    <row r="755" spans="33:33" x14ac:dyDescent="0.2">
      <c r="AG755" s="453"/>
    </row>
    <row r="756" spans="33:33" x14ac:dyDescent="0.2">
      <c r="AG756" s="453"/>
    </row>
    <row r="757" spans="33:33" x14ac:dyDescent="0.2">
      <c r="AG757" s="453"/>
    </row>
    <row r="758" spans="33:33" x14ac:dyDescent="0.2">
      <c r="AG758" s="453"/>
    </row>
    <row r="759" spans="33:33" x14ac:dyDescent="0.2">
      <c r="AG759" s="453"/>
    </row>
    <row r="760" spans="33:33" x14ac:dyDescent="0.2">
      <c r="AG760" s="453"/>
    </row>
    <row r="761" spans="33:33" x14ac:dyDescent="0.2">
      <c r="AG761" s="453"/>
    </row>
    <row r="762" spans="33:33" x14ac:dyDescent="0.2">
      <c r="AG762" s="453"/>
    </row>
    <row r="763" spans="33:33" x14ac:dyDescent="0.2">
      <c r="AG763" s="453"/>
    </row>
    <row r="764" spans="33:33" x14ac:dyDescent="0.2">
      <c r="AG764" s="453"/>
    </row>
    <row r="765" spans="33:33" x14ac:dyDescent="0.2">
      <c r="AG765" s="453"/>
    </row>
    <row r="766" spans="33:33" x14ac:dyDescent="0.2">
      <c r="AG766" s="453"/>
    </row>
    <row r="767" spans="33:33" x14ac:dyDescent="0.2">
      <c r="AG767" s="453"/>
    </row>
    <row r="768" spans="33:33" x14ac:dyDescent="0.2">
      <c r="AG768" s="453"/>
    </row>
    <row r="769" spans="33:33" x14ac:dyDescent="0.2">
      <c r="AG769" s="453"/>
    </row>
    <row r="770" spans="33:33" x14ac:dyDescent="0.2">
      <c r="AG770" s="453"/>
    </row>
    <row r="771" spans="33:33" x14ac:dyDescent="0.2">
      <c r="AG771" s="453"/>
    </row>
    <row r="772" spans="33:33" x14ac:dyDescent="0.2">
      <c r="AG772" s="453"/>
    </row>
    <row r="773" spans="33:33" x14ac:dyDescent="0.2">
      <c r="AG773" s="453"/>
    </row>
    <row r="774" spans="33:33" x14ac:dyDescent="0.2">
      <c r="AG774" s="453"/>
    </row>
    <row r="775" spans="33:33" x14ac:dyDescent="0.2">
      <c r="AG775" s="453"/>
    </row>
    <row r="776" spans="33:33" x14ac:dyDescent="0.2">
      <c r="AG776" s="453"/>
    </row>
    <row r="777" spans="33:33" x14ac:dyDescent="0.2">
      <c r="AG777" s="453"/>
    </row>
    <row r="778" spans="33:33" x14ac:dyDescent="0.2">
      <c r="AG778" s="453"/>
    </row>
    <row r="779" spans="33:33" x14ac:dyDescent="0.2">
      <c r="AG779" s="453"/>
    </row>
    <row r="780" spans="33:33" x14ac:dyDescent="0.2">
      <c r="AG780" s="453"/>
    </row>
    <row r="781" spans="33:33" x14ac:dyDescent="0.2">
      <c r="AG781" s="453"/>
    </row>
    <row r="782" spans="33:33" x14ac:dyDescent="0.2">
      <c r="AG782" s="453"/>
    </row>
    <row r="783" spans="33:33" x14ac:dyDescent="0.2">
      <c r="AG783" s="453"/>
    </row>
    <row r="784" spans="33:33" x14ac:dyDescent="0.2">
      <c r="AG784" s="453"/>
    </row>
    <row r="785" spans="33:33" x14ac:dyDescent="0.2">
      <c r="AG785" s="453"/>
    </row>
    <row r="786" spans="33:33" x14ac:dyDescent="0.2">
      <c r="AG786" s="453"/>
    </row>
    <row r="787" spans="33:33" x14ac:dyDescent="0.2">
      <c r="AG787" s="453"/>
    </row>
    <row r="788" spans="33:33" x14ac:dyDescent="0.2">
      <c r="AG788" s="453"/>
    </row>
    <row r="789" spans="33:33" x14ac:dyDescent="0.2">
      <c r="AG789" s="453"/>
    </row>
    <row r="790" spans="33:33" x14ac:dyDescent="0.2">
      <c r="AG790" s="453"/>
    </row>
    <row r="791" spans="33:33" x14ac:dyDescent="0.2">
      <c r="AG791" s="453"/>
    </row>
    <row r="792" spans="33:33" x14ac:dyDescent="0.2">
      <c r="AG792" s="453"/>
    </row>
    <row r="793" spans="33:33" x14ac:dyDescent="0.2">
      <c r="AG793" s="453"/>
    </row>
    <row r="794" spans="33:33" x14ac:dyDescent="0.2">
      <c r="AG794" s="453"/>
    </row>
    <row r="795" spans="33:33" x14ac:dyDescent="0.2">
      <c r="AG795" s="453"/>
    </row>
    <row r="796" spans="33:33" x14ac:dyDescent="0.2">
      <c r="AG796" s="453"/>
    </row>
    <row r="797" spans="33:33" x14ac:dyDescent="0.2">
      <c r="AG797" s="453"/>
    </row>
    <row r="798" spans="33:33" x14ac:dyDescent="0.2">
      <c r="AG798" s="453"/>
    </row>
    <row r="799" spans="33:33" x14ac:dyDescent="0.2">
      <c r="AG799" s="453"/>
    </row>
    <row r="800" spans="33:33" x14ac:dyDescent="0.2">
      <c r="AG800" s="453"/>
    </row>
    <row r="801" spans="33:33" x14ac:dyDescent="0.2">
      <c r="AG801" s="453"/>
    </row>
    <row r="802" spans="33:33" x14ac:dyDescent="0.2">
      <c r="AG802" s="453"/>
    </row>
    <row r="803" spans="33:33" x14ac:dyDescent="0.2">
      <c r="AG803" s="453"/>
    </row>
    <row r="804" spans="33:33" x14ac:dyDescent="0.2">
      <c r="AG804" s="453"/>
    </row>
    <row r="805" spans="33:33" x14ac:dyDescent="0.2">
      <c r="AG805" s="453"/>
    </row>
    <row r="806" spans="33:33" x14ac:dyDescent="0.2">
      <c r="AG806" s="453"/>
    </row>
    <row r="807" spans="33:33" x14ac:dyDescent="0.2">
      <c r="AG807" s="453"/>
    </row>
    <row r="808" spans="33:33" x14ac:dyDescent="0.2">
      <c r="AG808" s="453"/>
    </row>
    <row r="809" spans="33:33" x14ac:dyDescent="0.2">
      <c r="AG809" s="453"/>
    </row>
    <row r="810" spans="33:33" x14ac:dyDescent="0.2">
      <c r="AG810" s="453"/>
    </row>
    <row r="811" spans="33:33" x14ac:dyDescent="0.2">
      <c r="AG811" s="453"/>
    </row>
    <row r="812" spans="33:33" x14ac:dyDescent="0.2">
      <c r="AG812" s="453"/>
    </row>
    <row r="813" spans="33:33" x14ac:dyDescent="0.2">
      <c r="AG813" s="453"/>
    </row>
    <row r="814" spans="33:33" x14ac:dyDescent="0.2">
      <c r="AG814" s="453"/>
    </row>
    <row r="815" spans="33:33" x14ac:dyDescent="0.2">
      <c r="AG815" s="453"/>
    </row>
    <row r="816" spans="33:33" x14ac:dyDescent="0.2">
      <c r="AG816" s="453"/>
    </row>
    <row r="817" spans="33:33" x14ac:dyDescent="0.2">
      <c r="AG817" s="453"/>
    </row>
    <row r="818" spans="33:33" x14ac:dyDescent="0.2">
      <c r="AG818" s="453"/>
    </row>
    <row r="819" spans="33:33" x14ac:dyDescent="0.2">
      <c r="AG819" s="453"/>
    </row>
    <row r="820" spans="33:33" x14ac:dyDescent="0.2">
      <c r="AG820" s="453"/>
    </row>
    <row r="821" spans="33:33" x14ac:dyDescent="0.2">
      <c r="AG821" s="453"/>
    </row>
    <row r="822" spans="33:33" x14ac:dyDescent="0.2">
      <c r="AG822" s="453"/>
    </row>
    <row r="823" spans="33:33" x14ac:dyDescent="0.2">
      <c r="AG823" s="453"/>
    </row>
    <row r="824" spans="33:33" x14ac:dyDescent="0.2">
      <c r="AG824" s="453"/>
    </row>
    <row r="825" spans="33:33" x14ac:dyDescent="0.2">
      <c r="AG825" s="453"/>
    </row>
    <row r="826" spans="33:33" x14ac:dyDescent="0.2">
      <c r="AG826" s="453"/>
    </row>
    <row r="827" spans="33:33" x14ac:dyDescent="0.2">
      <c r="AG827" s="453"/>
    </row>
    <row r="828" spans="33:33" x14ac:dyDescent="0.2">
      <c r="AG828" s="453"/>
    </row>
    <row r="829" spans="33:33" x14ac:dyDescent="0.2">
      <c r="AG829" s="453"/>
    </row>
    <row r="830" spans="33:33" x14ac:dyDescent="0.2">
      <c r="AG830" s="453"/>
    </row>
    <row r="831" spans="33:33" x14ac:dyDescent="0.2">
      <c r="AG831" s="453"/>
    </row>
    <row r="832" spans="33:33" x14ac:dyDescent="0.2">
      <c r="AG832" s="453"/>
    </row>
    <row r="833" spans="33:33" x14ac:dyDescent="0.2">
      <c r="AG833" s="453"/>
    </row>
    <row r="834" spans="33:33" x14ac:dyDescent="0.2">
      <c r="AG834" s="453"/>
    </row>
    <row r="835" spans="33:33" x14ac:dyDescent="0.2">
      <c r="AG835" s="453"/>
    </row>
    <row r="836" spans="33:33" x14ac:dyDescent="0.2">
      <c r="AG836" s="453"/>
    </row>
    <row r="837" spans="33:33" x14ac:dyDescent="0.2">
      <c r="AG837" s="453"/>
    </row>
    <row r="838" spans="33:33" x14ac:dyDescent="0.2">
      <c r="AG838" s="453"/>
    </row>
    <row r="839" spans="33:33" x14ac:dyDescent="0.2">
      <c r="AG839" s="453"/>
    </row>
    <row r="840" spans="33:33" x14ac:dyDescent="0.2">
      <c r="AG840" s="453"/>
    </row>
    <row r="841" spans="33:33" x14ac:dyDescent="0.2">
      <c r="AG841" s="453"/>
    </row>
    <row r="842" spans="33:33" x14ac:dyDescent="0.2">
      <c r="AG842" s="453"/>
    </row>
    <row r="843" spans="33:33" x14ac:dyDescent="0.2">
      <c r="AG843" s="453"/>
    </row>
    <row r="844" spans="33:33" x14ac:dyDescent="0.2">
      <c r="AG844" s="453"/>
    </row>
    <row r="845" spans="33:33" x14ac:dyDescent="0.2">
      <c r="AG845" s="453"/>
    </row>
    <row r="846" spans="33:33" x14ac:dyDescent="0.2">
      <c r="AG846" s="453"/>
    </row>
    <row r="847" spans="33:33" x14ac:dyDescent="0.2">
      <c r="AG847" s="453"/>
    </row>
    <row r="848" spans="33:33" x14ac:dyDescent="0.2">
      <c r="AG848" s="453"/>
    </row>
    <row r="849" spans="33:33" x14ac:dyDescent="0.2">
      <c r="AG849" s="453"/>
    </row>
    <row r="850" spans="33:33" x14ac:dyDescent="0.2">
      <c r="AG850" s="453"/>
    </row>
    <row r="851" spans="33:33" x14ac:dyDescent="0.2">
      <c r="AG851" s="453"/>
    </row>
    <row r="852" spans="33:33" x14ac:dyDescent="0.2">
      <c r="AG852" s="453"/>
    </row>
    <row r="853" spans="33:33" x14ac:dyDescent="0.2">
      <c r="AG853" s="453"/>
    </row>
    <row r="854" spans="33:33" x14ac:dyDescent="0.2">
      <c r="AG854" s="453"/>
    </row>
    <row r="855" spans="33:33" x14ac:dyDescent="0.2">
      <c r="AG855" s="453"/>
    </row>
    <row r="856" spans="33:33" x14ac:dyDescent="0.2">
      <c r="AG856" s="453"/>
    </row>
    <row r="857" spans="33:33" x14ac:dyDescent="0.2">
      <c r="AG857" s="453"/>
    </row>
    <row r="858" spans="33:33" x14ac:dyDescent="0.2">
      <c r="AG858" s="453"/>
    </row>
    <row r="859" spans="33:33" x14ac:dyDescent="0.2">
      <c r="AG859" s="453"/>
    </row>
    <row r="860" spans="33:33" x14ac:dyDescent="0.2">
      <c r="AG860" s="453"/>
    </row>
    <row r="861" spans="33:33" x14ac:dyDescent="0.2">
      <c r="AG861" s="453"/>
    </row>
    <row r="862" spans="33:33" x14ac:dyDescent="0.2">
      <c r="AG862" s="453"/>
    </row>
    <row r="863" spans="33:33" x14ac:dyDescent="0.2">
      <c r="AG863" s="453"/>
    </row>
    <row r="864" spans="33:33" x14ac:dyDescent="0.2">
      <c r="AG864" s="453"/>
    </row>
    <row r="865" spans="33:33" x14ac:dyDescent="0.2">
      <c r="AG865" s="453"/>
    </row>
    <row r="866" spans="33:33" x14ac:dyDescent="0.2">
      <c r="AG866" s="453"/>
    </row>
    <row r="867" spans="33:33" x14ac:dyDescent="0.2">
      <c r="AG867" s="453"/>
    </row>
    <row r="868" spans="33:33" x14ac:dyDescent="0.2">
      <c r="AG868" s="453"/>
    </row>
    <row r="869" spans="33:33" x14ac:dyDescent="0.2">
      <c r="AG869" s="453"/>
    </row>
    <row r="870" spans="33:33" x14ac:dyDescent="0.2">
      <c r="AG870" s="453"/>
    </row>
    <row r="871" spans="33:33" x14ac:dyDescent="0.2">
      <c r="AG871" s="453"/>
    </row>
    <row r="872" spans="33:33" x14ac:dyDescent="0.2">
      <c r="AG872" s="453"/>
    </row>
    <row r="873" spans="33:33" x14ac:dyDescent="0.2">
      <c r="AG873" s="453"/>
    </row>
    <row r="874" spans="33:33" x14ac:dyDescent="0.2">
      <c r="AG874" s="453"/>
    </row>
    <row r="875" spans="33:33" x14ac:dyDescent="0.2">
      <c r="AG875" s="453"/>
    </row>
    <row r="876" spans="33:33" x14ac:dyDescent="0.2">
      <c r="AG876" s="453"/>
    </row>
    <row r="877" spans="33:33" x14ac:dyDescent="0.2">
      <c r="AG877" s="453"/>
    </row>
    <row r="878" spans="33:33" x14ac:dyDescent="0.2">
      <c r="AG878" s="453"/>
    </row>
    <row r="879" spans="33:33" x14ac:dyDescent="0.2">
      <c r="AG879" s="453"/>
    </row>
    <row r="880" spans="33:33" x14ac:dyDescent="0.2">
      <c r="AG880" s="453"/>
    </row>
    <row r="881" spans="33:33" x14ac:dyDescent="0.2">
      <c r="AG881" s="453"/>
    </row>
    <row r="882" spans="33:33" x14ac:dyDescent="0.2">
      <c r="AG882" s="453"/>
    </row>
    <row r="883" spans="33:33" x14ac:dyDescent="0.2">
      <c r="AG883" s="453"/>
    </row>
    <row r="884" spans="33:33" x14ac:dyDescent="0.2">
      <c r="AG884" s="453"/>
    </row>
    <row r="885" spans="33:33" x14ac:dyDescent="0.2">
      <c r="AG885" s="453"/>
    </row>
    <row r="886" spans="33:33" x14ac:dyDescent="0.2">
      <c r="AG886" s="453"/>
    </row>
    <row r="887" spans="33:33" x14ac:dyDescent="0.2">
      <c r="AG887" s="453"/>
    </row>
    <row r="888" spans="33:33" x14ac:dyDescent="0.2">
      <c r="AG888" s="453"/>
    </row>
    <row r="889" spans="33:33" x14ac:dyDescent="0.2">
      <c r="AG889" s="453"/>
    </row>
    <row r="890" spans="33:33" x14ac:dyDescent="0.2">
      <c r="AG890" s="453"/>
    </row>
    <row r="891" spans="33:33" x14ac:dyDescent="0.2">
      <c r="AG891" s="453"/>
    </row>
    <row r="892" spans="33:33" x14ac:dyDescent="0.2">
      <c r="AG892" s="453"/>
    </row>
    <row r="893" spans="33:33" x14ac:dyDescent="0.2">
      <c r="AG893" s="453"/>
    </row>
    <row r="894" spans="33:33" x14ac:dyDescent="0.2">
      <c r="AG894" s="453"/>
    </row>
    <row r="895" spans="33:33" x14ac:dyDescent="0.2">
      <c r="AG895" s="453"/>
    </row>
    <row r="896" spans="33:33" x14ac:dyDescent="0.2">
      <c r="AG896" s="453"/>
    </row>
    <row r="897" spans="33:33" x14ac:dyDescent="0.2">
      <c r="AG897" s="453"/>
    </row>
    <row r="898" spans="33:33" x14ac:dyDescent="0.2">
      <c r="AG898" s="453"/>
    </row>
    <row r="899" spans="33:33" x14ac:dyDescent="0.2">
      <c r="AG899" s="453"/>
    </row>
    <row r="900" spans="33:33" x14ac:dyDescent="0.2">
      <c r="AG900" s="453"/>
    </row>
    <row r="901" spans="33:33" x14ac:dyDescent="0.2">
      <c r="AG901" s="453"/>
    </row>
    <row r="902" spans="33:33" x14ac:dyDescent="0.2">
      <c r="AG902" s="453"/>
    </row>
    <row r="903" spans="33:33" x14ac:dyDescent="0.2">
      <c r="AG903" s="453"/>
    </row>
    <row r="904" spans="33:33" x14ac:dyDescent="0.2">
      <c r="AG904" s="453"/>
    </row>
    <row r="905" spans="33:33" x14ac:dyDescent="0.2">
      <c r="AG905" s="453"/>
    </row>
    <row r="906" spans="33:33" x14ac:dyDescent="0.2">
      <c r="AG906" s="453"/>
    </row>
    <row r="907" spans="33:33" x14ac:dyDescent="0.2">
      <c r="AG907" s="453"/>
    </row>
    <row r="908" spans="33:33" x14ac:dyDescent="0.2">
      <c r="AG908" s="453"/>
    </row>
    <row r="909" spans="33:33" x14ac:dyDescent="0.2">
      <c r="AG909" s="453"/>
    </row>
    <row r="910" spans="33:33" x14ac:dyDescent="0.2">
      <c r="AG910" s="453"/>
    </row>
    <row r="911" spans="33:33" x14ac:dyDescent="0.2">
      <c r="AG911" s="453"/>
    </row>
    <row r="912" spans="33:33" x14ac:dyDescent="0.2">
      <c r="AG912" s="453"/>
    </row>
    <row r="913" spans="33:33" x14ac:dyDescent="0.2">
      <c r="AG913" s="453"/>
    </row>
    <row r="914" spans="33:33" x14ac:dyDescent="0.2">
      <c r="AG914" s="453"/>
    </row>
    <row r="915" spans="33:33" x14ac:dyDescent="0.2">
      <c r="AG915" s="453"/>
    </row>
    <row r="916" spans="33:33" x14ac:dyDescent="0.2">
      <c r="AG916" s="453"/>
    </row>
    <row r="917" spans="33:33" x14ac:dyDescent="0.2">
      <c r="AG917" s="453"/>
    </row>
    <row r="918" spans="33:33" x14ac:dyDescent="0.2">
      <c r="AG918" s="453"/>
    </row>
    <row r="919" spans="33:33" x14ac:dyDescent="0.2">
      <c r="AG919" s="453"/>
    </row>
    <row r="920" spans="33:33" x14ac:dyDescent="0.2">
      <c r="AG920" s="453"/>
    </row>
    <row r="921" spans="33:33" x14ac:dyDescent="0.2">
      <c r="AG921" s="453"/>
    </row>
    <row r="922" spans="33:33" x14ac:dyDescent="0.2">
      <c r="AG922" s="453"/>
    </row>
    <row r="923" spans="33:33" x14ac:dyDescent="0.2">
      <c r="AG923" s="453"/>
    </row>
    <row r="924" spans="33:33" x14ac:dyDescent="0.2">
      <c r="AG924" s="453"/>
    </row>
    <row r="925" spans="33:33" x14ac:dyDescent="0.2">
      <c r="AG925" s="453"/>
    </row>
    <row r="926" spans="33:33" x14ac:dyDescent="0.2">
      <c r="AG926" s="453"/>
    </row>
    <row r="927" spans="33:33" x14ac:dyDescent="0.2">
      <c r="AG927" s="453"/>
    </row>
  </sheetData>
  <sheetProtection algorithmName="SHA-512" hashValue="1HGzoOugYx7YyznCg08VhATFCDLqz7T6x0C4j1+p4Um7phFjg3WxyHFE7FEOKpI6yJj6gOcucVgU7PvRO+3ZZg==" saltValue="do3D2FRO+xwz6DWFwXJ84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7">
        <f>Main!D3</f>
        <v>0</v>
      </c>
      <c r="E10" s="567"/>
      <c r="F10" s="567"/>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6" t="s">
        <v>370</v>
      </c>
      <c r="F15" s="566"/>
      <c r="G15" s="566"/>
      <c r="H15" s="566"/>
    </row>
    <row r="16" spans="3:8" ht="15" x14ac:dyDescent="0.2">
      <c r="C16" s="130"/>
      <c r="D16" s="73"/>
      <c r="E16" s="287" t="s">
        <v>124</v>
      </c>
      <c r="F16" s="287"/>
      <c r="G16" s="287"/>
      <c r="H16" s="287"/>
    </row>
    <row r="17" spans="3:8" ht="15" x14ac:dyDescent="0.2">
      <c r="C17" s="130"/>
      <c r="D17" s="73"/>
      <c r="E17" s="565" t="s">
        <v>125</v>
      </c>
      <c r="F17" s="565"/>
      <c r="G17" s="565"/>
      <c r="H17" s="565"/>
    </row>
    <row r="18" spans="3:8" ht="15" x14ac:dyDescent="0.2">
      <c r="C18" s="130"/>
      <c r="D18" s="73"/>
      <c r="E18" s="565" t="s">
        <v>6</v>
      </c>
      <c r="F18" s="565"/>
      <c r="G18" s="565"/>
      <c r="H18" s="565"/>
    </row>
    <row r="19" spans="3:8" ht="15" x14ac:dyDescent="0.2">
      <c r="C19" s="130"/>
      <c r="D19" s="73"/>
      <c r="E19" s="565" t="s">
        <v>130</v>
      </c>
      <c r="F19" s="565"/>
      <c r="G19" s="565"/>
      <c r="H19" s="565"/>
    </row>
    <row r="20" spans="3:8" ht="15" x14ac:dyDescent="0.2">
      <c r="C20" s="130"/>
      <c r="D20" s="73"/>
      <c r="E20" s="565" t="s">
        <v>127</v>
      </c>
      <c r="F20" s="565"/>
      <c r="G20" s="565"/>
      <c r="H20" s="565"/>
    </row>
    <row r="21" spans="3:8" ht="15" x14ac:dyDescent="0.2">
      <c r="C21" s="130"/>
      <c r="D21" s="73"/>
      <c r="E21" s="565" t="s">
        <v>128</v>
      </c>
      <c r="F21" s="565"/>
      <c r="G21" s="565"/>
      <c r="H21" s="565"/>
    </row>
    <row r="22" spans="3:8" ht="15" x14ac:dyDescent="0.2">
      <c r="C22" s="130"/>
      <c r="D22" s="73"/>
      <c r="E22" s="565" t="s">
        <v>106</v>
      </c>
      <c r="F22" s="565"/>
      <c r="G22" s="565"/>
      <c r="H22" s="565"/>
    </row>
    <row r="23" spans="3:8" ht="15" x14ac:dyDescent="0.2">
      <c r="C23" s="130"/>
      <c r="D23" s="73"/>
      <c r="E23" s="565" t="s">
        <v>129</v>
      </c>
      <c r="F23" s="565"/>
      <c r="G23" s="565"/>
      <c r="H23" s="565"/>
    </row>
    <row r="24" spans="3:8" ht="15" x14ac:dyDescent="0.2">
      <c r="C24" s="82"/>
      <c r="D24" s="73"/>
      <c r="E24" s="565" t="s">
        <v>148</v>
      </c>
      <c r="F24" s="565"/>
      <c r="G24" s="565"/>
      <c r="H24" s="565"/>
    </row>
    <row r="25" spans="3:8" ht="15" x14ac:dyDescent="0.2">
      <c r="C25" s="82"/>
      <c r="D25" s="73"/>
      <c r="E25" s="565"/>
      <c r="F25" s="565"/>
      <c r="G25" s="565"/>
      <c r="H25" s="565"/>
    </row>
    <row r="26" spans="3:8" ht="15" x14ac:dyDescent="0.2">
      <c r="C26" s="82"/>
      <c r="D26" s="73"/>
      <c r="E26" s="565"/>
      <c r="F26" s="565"/>
      <c r="G26" s="565"/>
      <c r="H26" s="565"/>
    </row>
    <row r="27" spans="3:8" ht="15" x14ac:dyDescent="0.2">
      <c r="C27" s="82"/>
      <c r="D27" s="73"/>
      <c r="E27" s="565"/>
      <c r="F27" s="565"/>
      <c r="G27" s="565"/>
      <c r="H27" s="565"/>
    </row>
    <row r="28" spans="3:8" ht="15" x14ac:dyDescent="0.2">
      <c r="C28" s="82"/>
      <c r="D28" s="73"/>
      <c r="E28" s="565"/>
      <c r="F28" s="565"/>
      <c r="G28" s="565"/>
      <c r="H28" s="565"/>
    </row>
    <row r="29" spans="3:8" ht="15" x14ac:dyDescent="0.2">
      <c r="C29" s="82"/>
      <c r="D29" s="73"/>
      <c r="E29" s="565"/>
      <c r="F29" s="565"/>
      <c r="G29" s="565"/>
      <c r="H29" s="565"/>
    </row>
    <row r="30" spans="3:8" ht="15" x14ac:dyDescent="0.2">
      <c r="C30" s="82"/>
      <c r="D30" s="73"/>
      <c r="E30" s="565"/>
      <c r="F30" s="565"/>
      <c r="G30" s="565"/>
      <c r="H30" s="565"/>
    </row>
    <row r="31" spans="3:8" ht="15" x14ac:dyDescent="0.2">
      <c r="C31" s="248" t="s">
        <v>371</v>
      </c>
      <c r="E31" s="565"/>
      <c r="F31" s="565"/>
      <c r="G31" s="565"/>
      <c r="H31" s="565"/>
    </row>
    <row r="32" spans="3:8" ht="15" x14ac:dyDescent="0.2">
      <c r="C32" s="82"/>
      <c r="D32" s="73"/>
      <c r="E32" s="565"/>
      <c r="F32" s="565"/>
      <c r="G32" s="565"/>
      <c r="H32" s="565"/>
    </row>
    <row r="33" spans="3:8" ht="15" x14ac:dyDescent="0.2">
      <c r="C33" s="82"/>
      <c r="D33" s="73"/>
      <c r="E33" s="565"/>
      <c r="F33" s="565"/>
      <c r="G33" s="565"/>
      <c r="H33" s="565"/>
    </row>
    <row r="34" spans="3:8" ht="15" x14ac:dyDescent="0.2">
      <c r="C34" s="82"/>
      <c r="D34" s="73"/>
      <c r="E34" s="565"/>
      <c r="F34" s="565"/>
      <c r="G34" s="565"/>
      <c r="H34" s="565"/>
    </row>
    <row r="35" spans="3:8" ht="15" x14ac:dyDescent="0.2">
      <c r="C35" s="82"/>
      <c r="D35" s="73"/>
      <c r="E35" s="565"/>
      <c r="F35" s="565"/>
      <c r="G35" s="565"/>
      <c r="H35" s="565"/>
    </row>
    <row r="36" spans="3:8" ht="15" x14ac:dyDescent="0.2">
      <c r="C36" s="73"/>
      <c r="D36" s="73"/>
      <c r="E36" s="565"/>
      <c r="F36" s="565"/>
      <c r="G36" s="565"/>
      <c r="H36" s="565"/>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i5coRbL11Nleapt2ySwVkDY9FL+eqSRdPN6PlUTxtNkNIlgpHK9gpGm9JkHwEFJkfhn0EZ+Q+wlwPRvqxOv4JA==" saltValue="NzkGebPfpH0aP7PJeDuFl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5" t="s">
        <v>116</v>
      </c>
      <c r="E1" s="585"/>
      <c r="F1" s="585"/>
      <c r="G1" s="585"/>
      <c r="H1" s="585"/>
      <c r="I1" s="585"/>
      <c r="J1" s="585"/>
      <c r="K1" s="585"/>
      <c r="L1" s="585"/>
      <c r="M1" s="585"/>
    </row>
    <row r="2" spans="1:18" ht="23.25" customHeight="1" x14ac:dyDescent="0.3">
      <c r="C2" s="230"/>
      <c r="D2" s="230" t="s">
        <v>319</v>
      </c>
      <c r="E2" s="230"/>
      <c r="F2" s="230"/>
      <c r="G2" s="230"/>
      <c r="H2" s="230"/>
      <c r="I2" s="230"/>
      <c r="J2" s="230"/>
      <c r="K2" s="230"/>
      <c r="L2" s="230"/>
      <c r="M2" s="230"/>
    </row>
    <row r="3" spans="1:18" ht="23.25" x14ac:dyDescent="0.35">
      <c r="C3" s="586"/>
      <c r="D3" s="586"/>
      <c r="E3" s="586"/>
      <c r="F3" s="586"/>
      <c r="G3" s="586"/>
      <c r="H3" s="586"/>
      <c r="I3" s="586"/>
      <c r="J3" s="586"/>
      <c r="K3" s="586"/>
      <c r="L3" s="586"/>
      <c r="M3" s="586"/>
    </row>
    <row r="4" spans="1:18" ht="23.25" x14ac:dyDescent="0.35">
      <c r="C4" s="214"/>
      <c r="D4" s="214"/>
      <c r="E4" s="214"/>
      <c r="F4" s="214"/>
      <c r="G4" s="214"/>
      <c r="H4" s="214"/>
      <c r="I4" s="214"/>
      <c r="J4" s="214"/>
      <c r="K4" s="214"/>
      <c r="L4" s="214"/>
      <c r="M4" s="214"/>
    </row>
    <row r="5" spans="1:18" ht="23.25" x14ac:dyDescent="0.35">
      <c r="C5" s="603" t="s">
        <v>6</v>
      </c>
      <c r="D5" s="603"/>
      <c r="E5" s="603"/>
      <c r="F5" s="603"/>
      <c r="G5" s="603"/>
      <c r="H5" s="603"/>
      <c r="I5" s="603"/>
      <c r="J5" s="603"/>
      <c r="K5" s="603"/>
      <c r="L5" s="603"/>
      <c r="M5" s="603"/>
    </row>
    <row r="6" spans="1:18" ht="23.25" x14ac:dyDescent="0.35">
      <c r="C6" s="215"/>
      <c r="D6" s="215"/>
      <c r="E6" s="569" t="str">
        <f>IFERROR(CONCATENATE("Report Number: ", WorkItemNumber),"")</f>
        <v/>
      </c>
      <c r="F6" s="569"/>
      <c r="G6" s="569"/>
      <c r="H6" s="569"/>
      <c r="I6" s="569"/>
      <c r="J6" s="569"/>
      <c r="K6" s="569"/>
      <c r="L6" s="215"/>
      <c r="M6" s="215"/>
    </row>
    <row r="7" spans="1:18" ht="18.75" customHeight="1" x14ac:dyDescent="0.3">
      <c r="G7" s="581"/>
      <c r="H7" s="581"/>
      <c r="I7" s="192"/>
      <c r="R7" t="str">
        <f>CONCATENATE("Page ",Main!L9," of ",Main!L10)</f>
        <v xml:space="preserve">Page  of </v>
      </c>
    </row>
    <row r="8" spans="1:18" ht="18" customHeight="1" x14ac:dyDescent="0.25">
      <c r="G8" s="598"/>
      <c r="H8" s="598"/>
      <c r="J8" s="79"/>
      <c r="K8" s="216" t="s">
        <v>316</v>
      </c>
      <c r="L8" s="582">
        <f>FormNumber</f>
        <v>0</v>
      </c>
      <c r="M8" s="582"/>
      <c r="N8" s="582"/>
      <c r="O8" s="582"/>
    </row>
    <row r="9" spans="1:18" ht="18" customHeight="1" x14ac:dyDescent="0.25">
      <c r="A9" s="216" t="s">
        <v>273</v>
      </c>
      <c r="B9" s="33" t="e">
        <f>Main!D5</f>
        <v>#N/A</v>
      </c>
      <c r="J9" s="79"/>
      <c r="K9" s="216" t="s">
        <v>317</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318</v>
      </c>
      <c r="L11" s="582">
        <f>TolSource</f>
        <v>0</v>
      </c>
      <c r="M11" s="582"/>
      <c r="N11" s="582"/>
      <c r="O11" s="58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600">
        <f>SerialNumber</f>
        <v>0</v>
      </c>
      <c r="C16" s="600"/>
      <c r="D16" s="600"/>
      <c r="E16" s="600"/>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89">
        <f>Class</f>
        <v>0</v>
      </c>
      <c r="C18" s="589"/>
      <c r="D18" s="589"/>
      <c r="E18" s="589"/>
      <c r="G18" s="216" t="s">
        <v>283</v>
      </c>
      <c r="H18" s="220">
        <f>CubicFeet</f>
        <v>0</v>
      </c>
      <c r="M18" s="216" t="s">
        <v>287</v>
      </c>
      <c r="N18" s="220" t="str">
        <f>Main!G18</f>
        <v>ACCEPTED</v>
      </c>
      <c r="O18" s="195"/>
    </row>
    <row r="19" spans="1:19" ht="18" customHeight="1" x14ac:dyDescent="0.25">
      <c r="A19" s="206"/>
      <c r="B19" s="590"/>
      <c r="C19" s="590"/>
      <c r="D19" s="590"/>
      <c r="E19" s="590"/>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601">
        <f>Controller</f>
        <v>0</v>
      </c>
      <c r="C21" s="601"/>
      <c r="D21" s="601"/>
      <c r="E21" s="601"/>
      <c r="F21" s="207" t="s">
        <v>290</v>
      </c>
      <c r="G21" s="601">
        <f>ContSN</f>
        <v>0</v>
      </c>
      <c r="H21" s="601"/>
      <c r="I21" s="601"/>
      <c r="J21" s="207" t="s">
        <v>291</v>
      </c>
      <c r="K21" s="219">
        <f>ContTol</f>
        <v>0</v>
      </c>
      <c r="L21" s="193"/>
      <c r="M21" s="207" t="s">
        <v>292</v>
      </c>
      <c r="N21" s="232" t="str">
        <f>Main!G27</f>
        <v/>
      </c>
      <c r="O21" s="194"/>
    </row>
    <row r="22" spans="1:19" ht="18" customHeight="1" x14ac:dyDescent="0.25">
      <c r="A22" s="225" t="s">
        <v>289</v>
      </c>
      <c r="B22" s="602">
        <f>_xlnm.Recorder</f>
        <v>0</v>
      </c>
      <c r="C22" s="602"/>
      <c r="D22" s="602"/>
      <c r="E22" s="602"/>
      <c r="F22" s="208" t="s">
        <v>290</v>
      </c>
      <c r="G22" s="602">
        <f>RecSN</f>
        <v>0</v>
      </c>
      <c r="H22" s="602"/>
      <c r="I22" s="602"/>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99" t="s">
        <v>301</v>
      </c>
      <c r="D27" s="599"/>
      <c r="E27" s="599"/>
      <c r="F27" s="599"/>
      <c r="G27" s="599"/>
      <c r="H27" s="599"/>
      <c r="I27" s="599"/>
      <c r="J27" s="599"/>
      <c r="K27" s="599"/>
      <c r="L27" s="599"/>
      <c r="M27" s="599"/>
      <c r="N27" s="196"/>
      <c r="O27" s="197"/>
    </row>
    <row r="28" spans="1:19" ht="8.1" customHeight="1" x14ac:dyDescent="0.2"/>
    <row r="29" spans="1:19" ht="18" customHeight="1" x14ac:dyDescent="0.2">
      <c r="A29" s="595" t="s">
        <v>271</v>
      </c>
      <c r="B29" s="596"/>
      <c r="C29" s="597"/>
      <c r="D29" s="595" t="s">
        <v>302</v>
      </c>
      <c r="E29" s="596"/>
      <c r="F29" s="596"/>
      <c r="G29" s="597"/>
      <c r="H29" s="595" t="s">
        <v>272</v>
      </c>
      <c r="I29" s="596"/>
      <c r="J29" s="596"/>
      <c r="K29" s="597"/>
      <c r="L29" s="595" t="s">
        <v>255</v>
      </c>
      <c r="M29" s="596"/>
      <c r="N29" s="596"/>
      <c r="O29" s="597"/>
    </row>
    <row r="30" spans="1:19" ht="18" customHeight="1" x14ac:dyDescent="0.2">
      <c r="A30" s="212"/>
      <c r="B30" s="202" t="s">
        <v>952</v>
      </c>
      <c r="C30" s="213"/>
      <c r="D30" s="592" t="str">
        <f>CONCATENATE(Main!D22,Unit,"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35" t="s">
        <v>303</v>
      </c>
      <c r="B32" s="584" t="s">
        <v>304</v>
      </c>
      <c r="C32" s="584"/>
      <c r="D32" s="235" t="s">
        <v>267</v>
      </c>
      <c r="E32" s="235" t="s">
        <v>266</v>
      </c>
      <c r="F32" s="235" t="s">
        <v>305</v>
      </c>
      <c r="G32" s="79"/>
      <c r="H32" s="79"/>
      <c r="I32" s="235" t="s">
        <v>303</v>
      </c>
      <c r="J32" s="584" t="s">
        <v>304</v>
      </c>
      <c r="K32" s="584"/>
      <c r="L32" s="235" t="s">
        <v>267</v>
      </c>
      <c r="M32" s="235" t="s">
        <v>266</v>
      </c>
      <c r="N32" s="235" t="s">
        <v>305</v>
      </c>
    </row>
    <row r="33" spans="1:14" ht="18" customHeight="1" x14ac:dyDescent="0.2">
      <c r="A33" s="236" t="str">
        <f>IF(B33="","",1)</f>
        <v/>
      </c>
      <c r="B33" s="581" t="str">
        <f>IF(Main!O5="","",Main!O5)</f>
        <v/>
      </c>
      <c r="C33" s="58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1" t="str">
        <f>IF(Main!O25="","",Main!O25)</f>
        <v/>
      </c>
      <c r="K33" s="58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1" t="str">
        <f>IF(Main!O6="","",Main!O6)</f>
        <v/>
      </c>
      <c r="C34" s="58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1" t="str">
        <f>IF(Main!O26="","",Main!O26)</f>
        <v/>
      </c>
      <c r="K34" s="58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1" t="str">
        <f>IF(Main!O7="","",Main!O7)</f>
        <v/>
      </c>
      <c r="C35" s="58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1" t="str">
        <f>IF(Main!O27="","",Main!O27)</f>
        <v/>
      </c>
      <c r="K35" s="58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1" t="str">
        <f>IF(Main!O8="","",Main!O8)</f>
        <v/>
      </c>
      <c r="C36" s="58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1" t="str">
        <f>IF(Main!O28="","",Main!O28)</f>
        <v/>
      </c>
      <c r="K36" s="58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1" t="str">
        <f>IF(Main!O9="","",Main!O9)</f>
        <v/>
      </c>
      <c r="C37" s="58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1" t="str">
        <f>IF(Main!O29="","",Main!O29)</f>
        <v/>
      </c>
      <c r="K37" s="58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1" t="str">
        <f>IF(Main!O10="","",Main!O10)</f>
        <v/>
      </c>
      <c r="C38" s="58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1" t="str">
        <f>IF(Main!O30="","",Main!O30)</f>
        <v/>
      </c>
      <c r="K38" s="58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1" t="str">
        <f>IF(Main!O11="","",Main!O11)</f>
        <v/>
      </c>
      <c r="C39" s="58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1" t="str">
        <f>IF(Main!O31="","",Main!O31)</f>
        <v/>
      </c>
      <c r="K39" s="58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1" t="str">
        <f>IF(Main!O12="","",Main!O12)</f>
        <v/>
      </c>
      <c r="C40" s="58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1" t="str">
        <f>IF(Main!O32="","",Main!O32)</f>
        <v/>
      </c>
      <c r="K40" s="58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1" t="str">
        <f>IF(Main!O13="","",Main!O13)</f>
        <v/>
      </c>
      <c r="C41" s="58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1" t="str">
        <f>IF(Main!O33="","",Main!O33)</f>
        <v/>
      </c>
      <c r="K41" s="58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1" t="str">
        <f>IF(Main!O14="","",Main!O14)</f>
        <v/>
      </c>
      <c r="C42" s="58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1" t="str">
        <f>IF(Main!O34="","",Main!O34)</f>
        <v/>
      </c>
      <c r="K42" s="58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1" t="str">
        <f>IF(Main!O15="","",Main!O15)</f>
        <v/>
      </c>
      <c r="C43" s="58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1" t="str">
        <f>IF(Main!O35="","",Main!O35)</f>
        <v/>
      </c>
      <c r="K43" s="58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1" t="str">
        <f>IF(Main!O16="","",Main!O16)</f>
        <v/>
      </c>
      <c r="C44" s="58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1" t="str">
        <f>IF(Main!O36="","",Main!O36)</f>
        <v/>
      </c>
      <c r="K44" s="58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1" t="str">
        <f>IF(Main!O17="","",Main!O17)</f>
        <v/>
      </c>
      <c r="C45" s="58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1" t="str">
        <f>IF(Main!O37="","",Main!O37)</f>
        <v/>
      </c>
      <c r="K45" s="58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1" t="str">
        <f>IF(Main!O18="","",Main!O18)</f>
        <v/>
      </c>
      <c r="C46" s="58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1" t="str">
        <f>IF(Main!O38="","",Main!O38)</f>
        <v/>
      </c>
      <c r="K46" s="58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1" t="str">
        <f>IF(Main!O19="","",Main!O19)</f>
        <v/>
      </c>
      <c r="C47" s="58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1" t="str">
        <f>IF(Main!O39="","",Main!O39)</f>
        <v/>
      </c>
      <c r="K47" s="58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1" t="str">
        <f>IF(Main!O20="","",Main!O20)</f>
        <v/>
      </c>
      <c r="C48" s="58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1" t="str">
        <f>IF(Main!O40="","",Main!O40)</f>
        <v/>
      </c>
      <c r="K48" s="58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1" t="str">
        <f>IF(Main!O21="","",Main!O21)</f>
        <v/>
      </c>
      <c r="C49" s="58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1" t="str">
        <f>IF(Main!O41="","",Main!O41)</f>
        <v/>
      </c>
      <c r="K49" s="58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1" t="str">
        <f>IF(Main!O22="","",Main!O22)</f>
        <v/>
      </c>
      <c r="C50" s="58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1" t="str">
        <f>IF(Main!O42="","",Main!O42)</f>
        <v/>
      </c>
      <c r="K50" s="58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1" t="str">
        <f>IF(Main!O23="","",Main!O23)</f>
        <v/>
      </c>
      <c r="C51" s="58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1" t="str">
        <f>IF(Main!O43="","",Main!O43)</f>
        <v/>
      </c>
      <c r="K51" s="58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1" t="str">
        <f>IF(Main!O24="","",Main!O24)</f>
        <v/>
      </c>
      <c r="C52" s="58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1" t="str">
        <f>IF(Main!O44="","",Main!O44)</f>
        <v/>
      </c>
      <c r="K52" s="58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88" t="s">
        <v>306</v>
      </c>
      <c r="C53" s="588"/>
      <c r="D53" s="588"/>
      <c r="E53" s="588"/>
      <c r="F53" s="588"/>
      <c r="G53" s="588"/>
      <c r="H53" s="588"/>
      <c r="I53" s="588"/>
      <c r="J53" s="588"/>
      <c r="K53" s="588"/>
      <c r="L53" s="588"/>
      <c r="M53" s="588"/>
      <c r="N53" s="588"/>
    </row>
    <row r="54" spans="1:21" ht="18" customHeight="1" x14ac:dyDescent="0.25">
      <c r="A54" s="238" t="s">
        <v>307</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87" t="s">
        <v>315</v>
      </c>
      <c r="B60" s="587"/>
      <c r="C60" s="587"/>
      <c r="D60" s="587"/>
      <c r="E60" s="587"/>
      <c r="F60" s="587"/>
      <c r="G60" s="587"/>
      <c r="H60" s="587"/>
      <c r="I60" s="587"/>
      <c r="J60" s="587"/>
      <c r="K60" s="587"/>
      <c r="L60" s="587"/>
      <c r="M60" s="587"/>
      <c r="N60" s="587"/>
      <c r="O60" s="587"/>
    </row>
    <row r="61" spans="1:21" ht="18" customHeight="1" x14ac:dyDescent="0.2">
      <c r="A61" s="591" t="s">
        <v>308</v>
      </c>
      <c r="B61" s="591"/>
      <c r="C61" s="591"/>
      <c r="D61" s="591"/>
      <c r="E61" s="591"/>
      <c r="F61" s="580" t="s">
        <v>309</v>
      </c>
      <c r="G61" s="580"/>
      <c r="H61" s="580"/>
      <c r="I61" s="580" t="s">
        <v>310</v>
      </c>
      <c r="J61" s="580"/>
      <c r="K61" s="580" t="s">
        <v>311</v>
      </c>
      <c r="L61" s="580"/>
      <c r="M61" s="580" t="s">
        <v>312</v>
      </c>
      <c r="N61" s="580"/>
      <c r="O61" s="580"/>
      <c r="R61" s="37" t="s">
        <v>852</v>
      </c>
      <c r="T61" s="37" t="s">
        <v>853</v>
      </c>
      <c r="U61" s="37" t="s">
        <v>68</v>
      </c>
    </row>
    <row r="62" spans="1:21" ht="18" customHeight="1" x14ac:dyDescent="0.2">
      <c r="A62" s="570" t="str">
        <f>IF(F62="","",CONCATENATE(T62," - ",R62))</f>
        <v/>
      </c>
      <c r="B62" s="571"/>
      <c r="C62" s="571"/>
      <c r="D62" s="571"/>
      <c r="E62" s="572"/>
      <c r="F62" s="570" t="str" cm="1">
        <f t="array" ref="F62">IFERROR(
  _xlfn.XLOOKUP(
    Main!D9,
    _xlfn._xlws.FILTER(AssetPool[AssetTag], AssetPool[RootCategoryName]= "DAQ Modules"),
    _xlfn._xlws.FILTER(AssetPool[SerialNumber], AssetPool[RootCategoryName]= "DAQ Modules")
  ),
  ""
)</f>
        <v/>
      </c>
      <c r="G62" s="571"/>
      <c r="H62" s="572"/>
      <c r="I62" s="576" t="str">
        <f>IF(F62="","",Main!D12)</f>
        <v/>
      </c>
      <c r="J62" s="577"/>
      <c r="K62" s="576" t="str">
        <f>IF(F62="","",Main!D13)</f>
        <v/>
      </c>
      <c r="L62" s="577"/>
      <c r="M62" s="604" t="str">
        <f>IF(F62="","",Main!D14)</f>
        <v/>
      </c>
      <c r="N62" s="605"/>
      <c r="O62" s="606"/>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73" t="str">
        <f>IF(Q63="","",CONCATENATE("Type """,U63,""" Thermocouple"))</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73" t="str">
        <f t="shared" ref="A64:A69" si="0">IF(Q64="","",CONCATENATE("Type """,U64,""" Thermocouple"))</f>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73" t="str">
        <f t="shared" si="0"/>
        <v/>
      </c>
      <c r="B69" s="574"/>
      <c r="C69" s="574"/>
      <c r="D69" s="574"/>
      <c r="E69" s="575"/>
      <c r="F69" s="592" t="str">
        <f>IF(Main!J48="","",Main!J48)</f>
        <v/>
      </c>
      <c r="G69" s="593"/>
      <c r="H69" s="594"/>
      <c r="I69" s="607" t="str">
        <f>IF(Q69="","",Main!J49)</f>
        <v/>
      </c>
      <c r="J69" s="608"/>
      <c r="K69" s="607" t="str">
        <f>IF(Q69="","",Main!J50)</f>
        <v/>
      </c>
      <c r="L69" s="608"/>
      <c r="M69" s="592" t="str">
        <f>IF(Q69="","",Main!J54)</f>
        <v/>
      </c>
      <c r="N69" s="593"/>
      <c r="O69" s="594"/>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68" t="s">
        <v>956</v>
      </c>
      <c r="B71" s="568"/>
      <c r="C71" s="568"/>
      <c r="D71" s="568"/>
      <c r="E71" s="568"/>
      <c r="F71" s="568"/>
      <c r="G71" s="568"/>
      <c r="H71" s="568"/>
      <c r="I71" s="568"/>
      <c r="J71" s="568"/>
      <c r="K71" s="568"/>
      <c r="L71" s="568"/>
      <c r="M71" s="568"/>
      <c r="N71" s="568"/>
      <c r="O71" s="568"/>
    </row>
    <row r="72" spans="1:21" ht="18" customHeight="1" x14ac:dyDescent="0.2">
      <c r="A72" s="568"/>
      <c r="B72" s="568"/>
      <c r="C72" s="568"/>
      <c r="D72" s="568"/>
      <c r="E72" s="568"/>
      <c r="F72" s="568"/>
      <c r="G72" s="568"/>
      <c r="H72" s="568"/>
      <c r="I72" s="568"/>
      <c r="J72" s="568"/>
      <c r="K72" s="568"/>
      <c r="L72" s="568"/>
      <c r="M72" s="568"/>
      <c r="N72" s="568"/>
      <c r="O72" s="568"/>
    </row>
    <row r="73" spans="1:21" ht="18" customHeight="1" x14ac:dyDescent="0.2">
      <c r="A73" s="568"/>
      <c r="B73" s="568"/>
      <c r="C73" s="568"/>
      <c r="D73" s="568"/>
      <c r="E73" s="568"/>
      <c r="F73" s="568"/>
      <c r="G73" s="568"/>
      <c r="H73" s="568"/>
      <c r="I73" s="568"/>
      <c r="J73" s="568"/>
      <c r="K73" s="568"/>
      <c r="L73" s="568"/>
      <c r="M73" s="568"/>
      <c r="N73" s="568"/>
      <c r="O73" s="568"/>
    </row>
    <row r="74" spans="1:21" ht="18" customHeight="1" x14ac:dyDescent="0.2">
      <c r="A74" s="568"/>
      <c r="B74" s="568"/>
      <c r="C74" s="568"/>
      <c r="D74" s="568"/>
      <c r="E74" s="568"/>
      <c r="F74" s="568"/>
      <c r="G74" s="568"/>
      <c r="H74" s="568"/>
      <c r="I74" s="568"/>
      <c r="J74" s="568"/>
      <c r="K74" s="568"/>
      <c r="L74" s="568"/>
      <c r="M74" s="568"/>
      <c r="N74" s="568"/>
      <c r="O74" s="568"/>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gKP0/1PaQFw+4DY2LrhRSDb5I/1WEbB9ySlnG3tU77V4mW7RrUyFO7Ek3TgZdsZN3b+VR+mIMzLrUgcIO4Yi1w==" saltValue="yl9h6G3O6Zru52SX86Hd7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F16" sqref="F16"/>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1"/>
    </row>
    <row r="3" spans="1:2" x14ac:dyDescent="0.2">
      <c r="A3" s="661"/>
    </row>
    <row r="4" spans="1:2" x14ac:dyDescent="0.2">
      <c r="A4" s="661"/>
    </row>
    <row r="5" spans="1:2" x14ac:dyDescent="0.2">
      <c r="A5" s="661"/>
    </row>
    <row r="6" spans="1:2" x14ac:dyDescent="0.2">
      <c r="A6" s="661"/>
    </row>
    <row r="7" spans="1:2" x14ac:dyDescent="0.2">
      <c r="A7" s="661"/>
    </row>
    <row r="8" spans="1:2" x14ac:dyDescent="0.2">
      <c r="A8" s="661"/>
    </row>
    <row r="9" spans="1:2" x14ac:dyDescent="0.2">
      <c r="A9" s="661"/>
    </row>
    <row r="10" spans="1:2" x14ac:dyDescent="0.2">
      <c r="A10" s="661"/>
    </row>
    <row r="11" spans="1:2" x14ac:dyDescent="0.2">
      <c r="A11" s="661"/>
    </row>
    <row r="12" spans="1:2" x14ac:dyDescent="0.2">
      <c r="A12" s="661"/>
    </row>
    <row r="13" spans="1:2" x14ac:dyDescent="0.2">
      <c r="A13" s="661"/>
    </row>
    <row r="14" spans="1:2" x14ac:dyDescent="0.2">
      <c r="A14" s="661"/>
    </row>
    <row r="15" spans="1:2" x14ac:dyDescent="0.2">
      <c r="A15" s="661"/>
    </row>
    <row r="16" spans="1:2" x14ac:dyDescent="0.2">
      <c r="A16" s="661"/>
    </row>
    <row r="17" spans="1:1" x14ac:dyDescent="0.2">
      <c r="A17" s="661"/>
    </row>
    <row r="18" spans="1:1" x14ac:dyDescent="0.2">
      <c r="A18" s="661"/>
    </row>
    <row r="19" spans="1:1" x14ac:dyDescent="0.2">
      <c r="A19" s="661"/>
    </row>
    <row r="20" spans="1:1" x14ac:dyDescent="0.2">
      <c r="A20" s="661"/>
    </row>
    <row r="21" spans="1:1" x14ac:dyDescent="0.2">
      <c r="A21" s="661"/>
    </row>
    <row r="22" spans="1:1" x14ac:dyDescent="0.2">
      <c r="A22" s="661"/>
    </row>
    <row r="23" spans="1:1" x14ac:dyDescent="0.2">
      <c r="A23" s="661"/>
    </row>
    <row r="24" spans="1:1" x14ac:dyDescent="0.2">
      <c r="A24" s="661"/>
    </row>
    <row r="25" spans="1:1" x14ac:dyDescent="0.2">
      <c r="A25" s="661"/>
    </row>
    <row r="26" spans="1:1" x14ac:dyDescent="0.2">
      <c r="A26" s="661"/>
    </row>
    <row r="27" spans="1:1" x14ac:dyDescent="0.2">
      <c r="A27" s="661"/>
    </row>
    <row r="28" spans="1:1" x14ac:dyDescent="0.2">
      <c r="A28" s="661"/>
    </row>
    <row r="29" spans="1:1" x14ac:dyDescent="0.2">
      <c r="A29" s="661"/>
    </row>
    <row r="30" spans="1:1" x14ac:dyDescent="0.2">
      <c r="A30" s="661"/>
    </row>
    <row r="31" spans="1:1" x14ac:dyDescent="0.2">
      <c r="A31" s="661"/>
    </row>
    <row r="32" spans="1:1" x14ac:dyDescent="0.2">
      <c r="A32" s="661"/>
    </row>
    <row r="33" spans="1:1" x14ac:dyDescent="0.2">
      <c r="A33" s="661"/>
    </row>
    <row r="34" spans="1:1" x14ac:dyDescent="0.2">
      <c r="A34" s="661"/>
    </row>
    <row r="35" spans="1:1" x14ac:dyDescent="0.2">
      <c r="A35" s="661"/>
    </row>
    <row r="36" spans="1:1" x14ac:dyDescent="0.2">
      <c r="A36" s="661"/>
    </row>
    <row r="37" spans="1:1" x14ac:dyDescent="0.2">
      <c r="A37" s="661"/>
    </row>
    <row r="38" spans="1:1" x14ac:dyDescent="0.2">
      <c r="A38" s="661"/>
    </row>
    <row r="39" spans="1:1" x14ac:dyDescent="0.2">
      <c r="A39" s="66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612" t="s">
        <v>103</v>
      </c>
      <c r="N2" s="612"/>
      <c r="O2" s="612"/>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613" t="s">
        <v>104</v>
      </c>
      <c r="N3" s="614"/>
      <c r="O3" s="615"/>
      <c r="P3" s="103"/>
      <c r="Q3" s="103"/>
    </row>
    <row r="4" spans="1:18" ht="15" x14ac:dyDescent="0.25">
      <c r="B4" s="113" t="s">
        <v>25</v>
      </c>
      <c r="C4" s="60"/>
      <c r="D4" s="37"/>
      <c r="E4" s="37"/>
      <c r="F4" s="37"/>
      <c r="G4" s="37"/>
      <c r="H4" s="37"/>
      <c r="I4" s="37"/>
      <c r="J4" s="37"/>
      <c r="K4" s="37"/>
      <c r="L4" s="37"/>
      <c r="M4" s="616" t="s">
        <v>144</v>
      </c>
      <c r="N4" s="617"/>
      <c r="O4" s="618"/>
      <c r="P4" s="85"/>
    </row>
    <row r="5" spans="1:18" x14ac:dyDescent="0.2">
      <c r="B5" s="114" t="s">
        <v>26</v>
      </c>
      <c r="C5" s="54">
        <f>Main!D3</f>
        <v>0</v>
      </c>
      <c r="D5" s="37"/>
      <c r="E5" s="37"/>
      <c r="F5" s="37"/>
      <c r="G5" s="37"/>
      <c r="H5" s="37"/>
      <c r="I5" s="52" t="s">
        <v>4</v>
      </c>
      <c r="J5" s="37" t="e">
        <f>Main!D5</f>
        <v>#N/A</v>
      </c>
      <c r="L5" s="37"/>
      <c r="M5" s="619" t="s">
        <v>143</v>
      </c>
      <c r="N5" s="620"/>
      <c r="O5" s="621"/>
      <c r="P5" s="129"/>
    </row>
    <row r="6" spans="1:18" ht="13.5" thickBot="1" x14ac:dyDescent="0.25">
      <c r="B6" s="114" t="s">
        <v>3</v>
      </c>
      <c r="C6" s="55" t="e">
        <f>Main!D6</f>
        <v>#N/A</v>
      </c>
      <c r="D6" s="37"/>
      <c r="E6" s="37"/>
      <c r="F6" s="37"/>
      <c r="G6" s="37"/>
      <c r="H6" s="37"/>
      <c r="I6" s="52" t="s">
        <v>5</v>
      </c>
      <c r="J6" s="51">
        <f>Main!D16</f>
        <v>0</v>
      </c>
      <c r="L6" s="37"/>
      <c r="M6" s="622" t="str">
        <f>IF(MaxMode,"","In 1/2 Tolerance")</f>
        <v>In 1/2 Tolerance</v>
      </c>
      <c r="N6" s="623"/>
      <c r="O6" s="624"/>
      <c r="P6" s="86"/>
    </row>
    <row r="7" spans="1:18" ht="13.5" thickBot="1" x14ac:dyDescent="0.25">
      <c r="B7" s="114" t="s">
        <v>27</v>
      </c>
      <c r="C7" s="55" t="str">
        <f>Main!D7</f>
        <v>Jeff Hall</v>
      </c>
      <c r="D7" s="37"/>
      <c r="E7" s="37"/>
      <c r="F7" s="37"/>
      <c r="G7" s="37"/>
      <c r="H7" s="37"/>
      <c r="I7" s="57" t="s">
        <v>165</v>
      </c>
      <c r="J7" s="610">
        <f>Main!$D$30</f>
        <v>0</v>
      </c>
      <c r="K7" s="611"/>
      <c r="L7" s="100"/>
      <c r="M7" s="609" t="s">
        <v>142</v>
      </c>
      <c r="N7" s="609"/>
      <c r="O7" s="609"/>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4" customFormat="1" x14ac:dyDescent="0.2">
      <c r="A12" s="423"/>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j54iSw5k2lhmTt0YuxkBpTRml2gqUpfQ+G54avWdT5Tr7lNgeHoTmmnBT7V0yhW3q47Feb5xyZhL6FzJaUzLGg==" saltValue="QcF20Bd16TXA5ZcXIK2kS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6" priority="1">
      <formula>AND(ROW() &gt;= $Q$1, ROW() &lt;= $Q$2)</formula>
    </cfRule>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25" t="s">
        <v>103</v>
      </c>
      <c r="N2" s="625"/>
      <c r="O2" s="625"/>
      <c r="P2" s="293" t="str">
        <f>IF(Main!$E$30="","A10",ADDRESS(13+Standards_Info!W2+(MATCH(Main!$E$30,Data_Sheet!$A$14:$A$903,0)),1,4))</f>
        <v>A10</v>
      </c>
      <c r="Q2" s="293">
        <f>VALUE(MID(P2, 2, LEN(P2)-1))</f>
        <v>10</v>
      </c>
    </row>
    <row r="3" spans="1:17" ht="15" x14ac:dyDescent="0.25">
      <c r="B3" s="126" t="s">
        <v>0</v>
      </c>
      <c r="C3" s="3"/>
      <c r="M3" s="613" t="s">
        <v>104</v>
      </c>
      <c r="N3" s="614"/>
      <c r="O3" s="615"/>
      <c r="P3" s="40"/>
    </row>
    <row r="4" spans="1:17" ht="15" x14ac:dyDescent="0.25">
      <c r="B4" s="113" t="s">
        <v>25</v>
      </c>
      <c r="C4" s="4"/>
      <c r="M4" s="616" t="s">
        <v>144</v>
      </c>
      <c r="N4" s="617"/>
      <c r="O4" s="618"/>
    </row>
    <row r="5" spans="1:17" x14ac:dyDescent="0.2">
      <c r="B5" s="114" t="s">
        <v>26</v>
      </c>
      <c r="C5" s="54">
        <f>Main!D3</f>
        <v>0</v>
      </c>
      <c r="D5" s="37"/>
      <c r="E5" s="37"/>
      <c r="F5" s="37"/>
      <c r="G5" s="37"/>
      <c r="H5" s="37"/>
      <c r="I5" s="52" t="s">
        <v>4</v>
      </c>
      <c r="J5" t="e">
        <f>Main!D5</f>
        <v>#N/A</v>
      </c>
      <c r="M5" s="626" t="s">
        <v>143</v>
      </c>
      <c r="N5" s="627"/>
      <c r="O5" s="628"/>
    </row>
    <row r="6" spans="1:17" ht="13.5" thickBot="1" x14ac:dyDescent="0.25">
      <c r="B6" s="114" t="s">
        <v>3</v>
      </c>
      <c r="C6" s="55" t="e">
        <f>Main!D6</f>
        <v>#N/A</v>
      </c>
      <c r="D6" s="37"/>
      <c r="E6" s="37"/>
      <c r="F6" s="37"/>
      <c r="G6" s="37"/>
      <c r="H6" s="37"/>
      <c r="I6" s="52" t="s">
        <v>5</v>
      </c>
      <c r="J6" s="39">
        <f>Main!D16</f>
        <v>0</v>
      </c>
      <c r="M6" s="622" t="str">
        <f>IF(MaxMode,"","In 1/2 Tolerance")</f>
        <v>In 1/2 Tolerance</v>
      </c>
      <c r="N6" s="623"/>
      <c r="O6" s="624"/>
    </row>
    <row r="7" spans="1:17" ht="13.5" thickBot="1" x14ac:dyDescent="0.25">
      <c r="B7" s="114" t="s">
        <v>27</v>
      </c>
      <c r="C7" s="55" t="str">
        <f>Main!D7</f>
        <v>Jeff Hall</v>
      </c>
      <c r="D7" s="37"/>
      <c r="E7" s="37"/>
      <c r="F7" s="37"/>
      <c r="G7" s="37"/>
      <c r="H7" s="37"/>
      <c r="I7" s="57" t="s">
        <v>165</v>
      </c>
      <c r="J7" s="610">
        <f>Main!$D$30</f>
        <v>0</v>
      </c>
      <c r="K7" s="611"/>
      <c r="L7" s="100"/>
      <c r="M7" s="609" t="s">
        <v>142</v>
      </c>
      <c r="N7" s="609"/>
      <c r="O7" s="609"/>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26" customFormat="1" x14ac:dyDescent="0.2">
      <c r="A12" s="425"/>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GCkRR2naroSho5PKWuxB7BWVZ57SnznOoFov4cplxmgeDhPB9X3pA9QRqXwAhjqDi3mh9jvYmCrZlEFJaCUIpQ==" saltValue="7iJsx3decL67mXc/ja4XI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25" t="s">
        <v>103</v>
      </c>
      <c r="N2" s="625"/>
      <c r="O2" s="625"/>
      <c r="P2" s="293" t="str">
        <f>IF(Main!$E$30="","A10",ADDRESS(13+Standards_Info!W2+(MATCH(Main!$E$30,Data_Sheet!$A$14:$A$903,0)),1,4))</f>
        <v>A10</v>
      </c>
      <c r="Q2" s="293">
        <f>VALUE(MID(P2, 2, LEN(P2)-1))</f>
        <v>10</v>
      </c>
    </row>
    <row r="3" spans="1:17" ht="15" x14ac:dyDescent="0.25">
      <c r="B3" s="126" t="s">
        <v>0</v>
      </c>
      <c r="C3" s="3"/>
      <c r="M3" s="613" t="s">
        <v>104</v>
      </c>
      <c r="N3" s="614"/>
      <c r="O3" s="615"/>
      <c r="P3" s="40"/>
    </row>
    <row r="4" spans="1:17" ht="15" x14ac:dyDescent="0.25">
      <c r="B4" s="113" t="s">
        <v>25</v>
      </c>
      <c r="C4" s="4"/>
      <c r="M4" s="616" t="s">
        <v>144</v>
      </c>
      <c r="N4" s="617"/>
      <c r="O4" s="618"/>
    </row>
    <row r="5" spans="1:17" x14ac:dyDescent="0.2">
      <c r="B5" s="114" t="s">
        <v>26</v>
      </c>
      <c r="C5" s="54">
        <f>Main!D3</f>
        <v>0</v>
      </c>
      <c r="D5" s="37"/>
      <c r="E5" s="37"/>
      <c r="F5" s="37"/>
      <c r="G5" s="37"/>
      <c r="H5" s="37"/>
      <c r="I5" s="52" t="s">
        <v>4</v>
      </c>
      <c r="J5" s="37" t="e">
        <f>Main!D5</f>
        <v>#N/A</v>
      </c>
      <c r="L5" s="37"/>
      <c r="M5" s="619" t="s">
        <v>143</v>
      </c>
      <c r="N5" s="620"/>
      <c r="O5" s="621"/>
    </row>
    <row r="6" spans="1:17" ht="13.5" thickBot="1" x14ac:dyDescent="0.25">
      <c r="B6" s="114" t="s">
        <v>3</v>
      </c>
      <c r="C6" s="55" t="e">
        <f>Main!D6</f>
        <v>#N/A</v>
      </c>
      <c r="D6" s="37"/>
      <c r="E6" s="37"/>
      <c r="F6" s="37"/>
      <c r="G6" s="37"/>
      <c r="H6" s="37"/>
      <c r="I6" s="52" t="s">
        <v>5</v>
      </c>
      <c r="J6" s="51">
        <f>Main!D16</f>
        <v>0</v>
      </c>
      <c r="L6" s="37"/>
      <c r="M6" s="622" t="str">
        <f>IF(MaxMode,"","In 1/2 Tolerance")</f>
        <v>In 1/2 Tolerance</v>
      </c>
      <c r="N6" s="623"/>
      <c r="O6" s="624"/>
    </row>
    <row r="7" spans="1:17" ht="13.5" thickBot="1" x14ac:dyDescent="0.25">
      <c r="B7" s="114" t="s">
        <v>27</v>
      </c>
      <c r="C7" s="55" t="str">
        <f>Main!D7</f>
        <v>Jeff Hall</v>
      </c>
      <c r="D7" s="37"/>
      <c r="E7" s="37"/>
      <c r="F7" s="37"/>
      <c r="G7" s="37"/>
      <c r="H7" s="37"/>
      <c r="I7" s="57" t="s">
        <v>165</v>
      </c>
      <c r="J7" s="610">
        <f>Main!$D$30</f>
        <v>0</v>
      </c>
      <c r="K7" s="611"/>
      <c r="L7" s="100"/>
      <c r="M7" s="609" t="s">
        <v>142</v>
      </c>
      <c r="N7" s="609"/>
      <c r="O7" s="609"/>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26" customFormat="1" x14ac:dyDescent="0.2">
      <c r="A12" s="425"/>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B8Bl6v9haAXnJhvBIqJAwrYuTp098oQRz4b/jycjswfAOUc3naOcq1ogD+ODriaVu9papQO1GriOT2K0K740Cw==" saltValue="sS1Nt03Bjo3FQFEGPqaET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6" priority="2" stopIfTrue="1" operator="between">
      <formula>HalfTolMin</formula>
      <formula>HalfTolMax</formula>
    </cfRule>
    <cfRule type="cellIs" dxfId="55" priority="3" stopIfTrue="1" operator="greaterThan">
      <formula>TolMax</formula>
    </cfRule>
    <cfRule type="cellIs" dxfId="54" priority="4" stopIfTrue="1" operator="lessThan">
      <formula>TolMin</formula>
    </cfRule>
    <cfRule type="cellIs" dxfId="53" priority="6" stopIfTrue="1" operator="between">
      <formula>TolMin</formula>
      <formula>TolMax</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t="e">
        <f>IF(T1=0, 0, IF(T1 &gt; SAT_Tolerance + (1-D19)*0.4, 1, ""))</f>
        <v>#VALUE!</v>
      </c>
      <c r="T1" s="271" t="e" cm="1">
        <f t="array" ref="T1">MAX(ABS(E10:E18))</f>
        <v>#VALUE!</v>
      </c>
      <c r="U1" s="271" t="e" cm="1">
        <f t="array" ref="U1">MAX(ABS(H10:H18))</f>
        <v>#VALUE!</v>
      </c>
      <c r="X1" s="189"/>
      <c r="Y1" s="189"/>
      <c r="Z1" s="191"/>
      <c r="AA1" s="191"/>
      <c r="AB1" s="191"/>
      <c r="AC1" s="191"/>
    </row>
    <row r="2" spans="1:29" ht="18.75" customHeight="1" x14ac:dyDescent="0.25">
      <c r="H2" s="8" t="s">
        <v>8</v>
      </c>
      <c r="I2" s="6"/>
      <c r="K2" s="5"/>
      <c r="M2" s="5" t="s">
        <v>21</v>
      </c>
      <c r="O2" s="189"/>
      <c r="R2" s="271" t="e">
        <f>IF(U1=0, 0, IF(U1 &gt; SAT_Tolerance + (1-D31)*0.4, 1, ""))</f>
        <v>#VALUE!</v>
      </c>
      <c r="T2" s="271" t="e" cm="1">
        <f t="array" ref="T2">MAX(ABS(K10:K18))</f>
        <v>#VALUE!</v>
      </c>
      <c r="U2" s="271"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1" t="e">
        <f>IF(T2=0, 0, IF(T2 &gt; SAT_Tolerance + (1-G19)*0.4, 1, ""))</f>
        <v>#VALUE!</v>
      </c>
      <c r="T3" s="271" t="e" cm="1">
        <f t="array" ref="T3">MAX(ABS(E22:E30))</f>
        <v>#VALUE!</v>
      </c>
      <c r="U3" s="271"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1" t="e">
        <f>IF(U2=0, 0, IF(U2 &gt; SAT_Tolerance + (1-G31)*0.4, 1, ""))</f>
        <v>#VALUE!</v>
      </c>
      <c r="T4" s="271" t="e" cm="1">
        <f t="array" ref="T4">MAX(ABS(K22:K30))</f>
        <v>#VALUE!</v>
      </c>
      <c r="U4" s="271"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1" t="e">
        <f>IF(T3=0, 0, IF(T3 &gt; SAT_Tolerance + (1-J19)*0.4, 1, ""))</f>
        <v>#VALUE!</v>
      </c>
      <c r="T5" s="273"/>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1" t="e">
        <f>IF(U3=0, 0, IF(U3 &gt; SAT_Tolerance + (1-J31)*0.4, 1, ""))</f>
        <v>#VALUE!</v>
      </c>
      <c r="T6" s="273"/>
      <c r="X6" s="189"/>
      <c r="Y6" s="189"/>
      <c r="Z6" s="191"/>
      <c r="AA6" s="191"/>
      <c r="AB6" s="191"/>
      <c r="AC6" s="191"/>
    </row>
    <row r="7" spans="1:29" x14ac:dyDescent="0.25">
      <c r="E7" s="5"/>
      <c r="F7" s="29" t="s">
        <v>11</v>
      </c>
      <c r="O7" s="189"/>
      <c r="R7" s="271" t="e">
        <f>IF(T4=0, 0, IF(T4 &gt; SAT_Tolerance + (1-M19)*0.4, 1, ""))</f>
        <v>#VALUE!</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t="e">
        <f>IF(U4=0, 0, IF(U4 &gt; SAT_Tolerance + (1-M31)*0.4, 1, ""))</f>
        <v>#VALUE!</v>
      </c>
      <c r="T8" s="273"/>
      <c r="X8" s="189"/>
      <c r="Y8" s="189"/>
      <c r="Z8" s="191"/>
      <c r="AA8" s="191"/>
      <c r="AB8" s="191"/>
      <c r="AC8" s="191"/>
    </row>
    <row r="9" spans="1:29" ht="15.75" thickBot="1" x14ac:dyDescent="0.3">
      <c r="A9" s="478" t="s">
        <v>14</v>
      </c>
      <c r="B9" s="16"/>
      <c r="C9" s="479" t="str" cm="1">
        <f t="array" ref="C9">IFERROR(_xlfn._TRO_TRAILING(Main!$B37:$C37),"")</f>
        <v/>
      </c>
      <c r="D9" s="17"/>
      <c r="E9" s="17" t="s">
        <v>15</v>
      </c>
      <c r="F9" s="479" t="str" cm="1">
        <f t="array" ref="F9">IFERROR(_xlfn._TRO_TRAILING(Main!B38:C38),"")</f>
        <v/>
      </c>
      <c r="G9" s="17"/>
      <c r="H9" s="17" t="s">
        <v>15</v>
      </c>
      <c r="I9" s="479" t="str" cm="1">
        <f t="array" ref="I9">IFERROR(_xlfn._TRO_TRAILING(Main!$B39:$C39),"")</f>
        <v/>
      </c>
      <c r="J9" s="17"/>
      <c r="K9" s="17" t="s">
        <v>15</v>
      </c>
      <c r="L9" s="479"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77"/>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77"/>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77"/>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45" t="str">
        <f>Main!A37</f>
        <v/>
      </c>
      <c r="E19" s="12" t="str" cm="1">
        <f t="array" ref="E19">IF(OR(P16:P23=1),"CHECK READINGS!!!","")</f>
        <v/>
      </c>
      <c r="F19" s="14"/>
      <c r="G19" s="446" t="str">
        <f>Main!A38</f>
        <v/>
      </c>
      <c r="H19" s="12" t="str" cm="1">
        <f t="array" ref="H19">IF(OR(S16:S23=1),"CHECK READINGS!!!","")</f>
        <v/>
      </c>
      <c r="I19" s="14"/>
      <c r="J19" s="446" t="str">
        <f>Main!A39</f>
        <v/>
      </c>
      <c r="K19" s="14" t="str">
        <f>IF(ISNUMBER(SEARCH(".",K10)),".","")</f>
        <v/>
      </c>
      <c r="L19" s="14"/>
      <c r="M19" s="446"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78" t="s">
        <v>14</v>
      </c>
      <c r="B21" s="16"/>
      <c r="C21" s="479" t="str" cm="1">
        <f t="array" ref="C21">IFERROR(_xlfn._TRO_TRAILING(Main!$B41:$C41),"")</f>
        <v/>
      </c>
      <c r="D21" s="17"/>
      <c r="E21" s="17" t="s">
        <v>15</v>
      </c>
      <c r="F21" s="479" t="str" cm="1">
        <f t="array" ref="F21">IFERROR(_xlfn._TRO_TRAILING(Main!$B42:$C42),"")</f>
        <v/>
      </c>
      <c r="G21" s="17"/>
      <c r="H21" s="17" t="s">
        <v>15</v>
      </c>
      <c r="I21" s="479" t="str" cm="1">
        <f t="array" ref="I21">IFERROR(_xlfn._TRO_TRAILING(Main!$B43:$C43),"")</f>
        <v/>
      </c>
      <c r="J21" s="17"/>
      <c r="K21" s="17" t="s">
        <v>15</v>
      </c>
      <c r="L21" s="479"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47" t="str">
        <f>Main!A41</f>
        <v/>
      </c>
      <c r="E31" s="21"/>
      <c r="F31" s="20"/>
      <c r="G31" s="447" t="str">
        <f>Main!A42</f>
        <v/>
      </c>
      <c r="H31" s="21"/>
      <c r="I31" s="20"/>
      <c r="J31" s="447" t="str">
        <f>Main!A43</f>
        <v/>
      </c>
      <c r="K31" s="21"/>
      <c r="L31" s="20"/>
      <c r="M31" s="447" t="str">
        <f>Main!A44</f>
        <v/>
      </c>
      <c r="N31" s="21"/>
    </row>
    <row r="32" spans="1:22" x14ac:dyDescent="0.25">
      <c r="C32" s="22"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3"/>
    </row>
    <row r="34" spans="1:14" x14ac:dyDescent="0.25">
      <c r="A34" s="18"/>
      <c r="B34" s="18"/>
      <c r="D34" s="630"/>
      <c r="E34" s="630"/>
      <c r="F34" s="630"/>
      <c r="G34" s="630"/>
      <c r="H34" s="630"/>
      <c r="I34" s="630"/>
      <c r="J34" s="630"/>
      <c r="K34" s="630"/>
      <c r="L34" s="630"/>
      <c r="M34" s="630"/>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31" t="s">
        <v>20</v>
      </c>
      <c r="D37" s="631"/>
      <c r="E37" s="631"/>
      <c r="F37" s="631"/>
      <c r="G37" s="631"/>
      <c r="H37" s="631"/>
      <c r="I37" s="631"/>
      <c r="J37" s="631"/>
      <c r="K37" s="631"/>
      <c r="L37" s="631"/>
      <c r="M37" s="631"/>
    </row>
    <row r="38" spans="1:14" x14ac:dyDescent="0.25">
      <c r="A38" s="18"/>
      <c r="B38" s="18"/>
      <c r="C38" s="631"/>
      <c r="D38" s="631"/>
      <c r="E38" s="631"/>
      <c r="F38" s="631"/>
      <c r="G38" s="631"/>
      <c r="H38" s="631"/>
      <c r="I38" s="631"/>
      <c r="J38" s="631"/>
      <c r="K38" s="631"/>
      <c r="L38" s="631"/>
      <c r="M38" s="631"/>
    </row>
    <row r="39" spans="1:14" x14ac:dyDescent="0.25">
      <c r="A39" s="18"/>
      <c r="B39" s="18"/>
      <c r="C39" s="631"/>
      <c r="D39" s="631"/>
      <c r="E39" s="631"/>
      <c r="F39" s="631"/>
      <c r="G39" s="631"/>
      <c r="H39" s="631"/>
      <c r="I39" s="631"/>
      <c r="J39" s="631"/>
      <c r="K39" s="631"/>
      <c r="L39" s="631"/>
      <c r="M39" s="631"/>
    </row>
    <row r="40" spans="1:14" x14ac:dyDescent="0.25">
      <c r="A40" s="18"/>
      <c r="B40" s="18"/>
      <c r="C40" s="631"/>
      <c r="D40" s="631"/>
      <c r="E40" s="631"/>
      <c r="F40" s="631"/>
      <c r="G40" s="631"/>
      <c r="H40" s="631"/>
      <c r="I40" s="631"/>
      <c r="J40" s="631"/>
      <c r="K40" s="631"/>
      <c r="L40" s="631"/>
      <c r="M40" s="63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qc1VZ2s1wV0wiPMz/0y8qGZ6vxxnZtPFaAPAV0JLV8hlKjp10rL2X+bDKK3NnAz44I3AjqQQaHr5liH+IlpcrA==" saltValue="ZQdqnHOG3lNL8XBbAbPEUg==" spinCount="100000" sheet="1" objects="1" scenarios="1" selectLockedCells="1" autoFilter="0"/>
  <mergeCells count="2">
    <mergeCell ref="D32:M34"/>
    <mergeCell ref="C37:M40"/>
  </mergeCells>
  <phoneticPr fontId="20"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7">
    <cfRule type="expression" dxfId="47" priority="61">
      <formula>ISERROR(SEARCH(1,$G$19))</formula>
    </cfRule>
    <cfRule type="expression" dxfId="46" priority="62">
      <formula>ISNUMBER(SEARCH(1,$G$19))</formula>
    </cfRule>
  </conditionalFormatting>
  <conditionalFormatting sqref="J14:J17">
    <cfRule type="expression" dxfId="45" priority="57">
      <formula>ISERROR(SEARCH(1,$J$19))</formula>
    </cfRule>
    <cfRule type="expression" dxfId="44" priority="58">
      <formula>ISNUMBER(SEARCH(1,$J$19))</formula>
    </cfRule>
  </conditionalFormatting>
  <conditionalFormatting sqref="M14:M17">
    <cfRule type="expression" dxfId="43" priority="53">
      <formula>ISERROR(SEARCH(1,$M$19))</formula>
    </cfRule>
    <cfRule type="expression" dxfId="42" priority="54">
      <formula>ISNUMBER(SEARCH(1,$M$19))</formula>
    </cfRule>
  </conditionalFormatting>
  <conditionalFormatting sqref="G26:G29">
    <cfRule type="expression" dxfId="41" priority="45">
      <formula>ISERROR(SEARCH(1,$G$31))</formula>
    </cfRule>
    <cfRule type="expression" dxfId="40" priority="46">
      <formula>ISNUMBER(SEARCH(1,$G$31))</formula>
    </cfRule>
  </conditionalFormatting>
  <conditionalFormatting sqref="J26:J29">
    <cfRule type="expression" dxfId="39" priority="41">
      <formula>ISERROR(SEARCH(1,$J$31))</formula>
    </cfRule>
    <cfRule type="expression" dxfId="38" priority="42">
      <formula>ISNUMBER(SEARCH(1,$J$31))</formula>
    </cfRule>
  </conditionalFormatting>
  <conditionalFormatting sqref="M26:M29">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49" t="s">
        <v>343</v>
      </c>
      <c r="I28" s="649"/>
      <c r="J28" s="649"/>
      <c r="K28" s="649"/>
      <c r="L28" s="649"/>
      <c r="M28" s="649"/>
      <c r="N28" s="649"/>
      <c r="O28" s="649"/>
      <c r="P28" s="649"/>
      <c r="Q28" s="649"/>
      <c r="R28" s="649"/>
    </row>
    <row r="29" spans="1:20" x14ac:dyDescent="0.2">
      <c r="A29" s="638" t="s">
        <v>34</v>
      </c>
      <c r="B29" s="639"/>
      <c r="C29" s="47" t="str">
        <f>IF(Main!D48="","",Main!D48)</f>
        <v/>
      </c>
      <c r="D29" s="47" t="str">
        <f>IF(Main!E48="","",Main!E48)</f>
        <v/>
      </c>
      <c r="E29" s="47" t="str">
        <f>IF(Main!F48="","",Main!F48)</f>
        <v/>
      </c>
      <c r="F29" s="47" t="str">
        <f>IF(Main!G48="","",Main!G48)</f>
        <v/>
      </c>
      <c r="G29" s="259"/>
      <c r="H29" s="256" t="s">
        <v>344</v>
      </c>
      <c r="I29" s="112" t="str">
        <f>IF(Main!N47="","",Main!N47)</f>
        <v>Periodic</v>
      </c>
      <c r="J29" s="655" t="s">
        <v>345</v>
      </c>
      <c r="K29" s="656"/>
      <c r="L29" s="112" t="str">
        <f>IF(Main!R47="","",Main!R47)</f>
        <v>Air</v>
      </c>
    </row>
    <row r="30" spans="1:20" x14ac:dyDescent="0.2">
      <c r="A30" s="638" t="s">
        <v>35</v>
      </c>
      <c r="B30" s="639"/>
      <c r="C30" s="48" t="str">
        <f>IF(Main!D49="","",Main!D49)</f>
        <v/>
      </c>
      <c r="D30" s="48" t="str">
        <f>IF(Main!E49="","",Main!E49)</f>
        <v/>
      </c>
      <c r="E30" s="48" t="str">
        <f>IF(Main!F49="","",Main!F49)</f>
        <v/>
      </c>
      <c r="F30" s="48" t="str">
        <f>IF(Main!G49="","",Main!G49)</f>
        <v/>
      </c>
      <c r="G30" s="261"/>
      <c r="H30" s="650" t="s">
        <v>331</v>
      </c>
      <c r="I30" s="650"/>
      <c r="J30" s="657" t="s">
        <v>377</v>
      </c>
      <c r="K30" s="658"/>
      <c r="L30" s="659"/>
      <c r="M30" s="254"/>
      <c r="O30" s="651" t="s">
        <v>380</v>
      </c>
      <c r="P30" s="652"/>
      <c r="Q30" s="653"/>
      <c r="T30" s="37"/>
    </row>
    <row r="31" spans="1:20" x14ac:dyDescent="0.2">
      <c r="A31" s="638" t="s">
        <v>36</v>
      </c>
      <c r="B31" s="639"/>
      <c r="C31" s="48" t="str">
        <f>IF(Main!D50="","",Main!D50)</f>
        <v/>
      </c>
      <c r="D31" s="48" t="str">
        <f>IF(Main!E50="","",Main!E50)</f>
        <v/>
      </c>
      <c r="E31" s="48" t="str">
        <f>IF(Main!F50="","",Main!F50)</f>
        <v/>
      </c>
      <c r="F31" s="48" t="str">
        <f>IF(Main!G50="","",Main!G50)</f>
        <v/>
      </c>
      <c r="G31" s="261"/>
      <c r="H31" s="242" t="s">
        <v>346</v>
      </c>
      <c r="I31" s="244" t="str">
        <f>IF(Main!N49="","",Main!N49)</f>
        <v/>
      </c>
      <c r="J31" s="640" t="s">
        <v>385</v>
      </c>
      <c r="K31" s="641"/>
      <c r="L31" s="642"/>
      <c r="M31" s="255" t="str">
        <f>IF(Main!S49="","",Main!S49)</f>
        <v>N/A</v>
      </c>
      <c r="O31" s="561" t="s">
        <v>387</v>
      </c>
      <c r="P31" s="562"/>
      <c r="Q31" s="654"/>
      <c r="R31" s="56" t="str">
        <f>IF(Main!X49="","",Main!X49)</f>
        <v>N/A</v>
      </c>
      <c r="T31" s="37"/>
    </row>
    <row r="32" spans="1:20" ht="12.75" customHeight="1" x14ac:dyDescent="0.2">
      <c r="A32" s="638" t="s">
        <v>37</v>
      </c>
      <c r="B32" s="639"/>
      <c r="C32" s="47" t="str">
        <f>IF(Main!D51="","",Main!D51)</f>
        <v/>
      </c>
      <c r="D32" s="47" t="str">
        <f>IF(Main!E51="","",Main!E51)</f>
        <v/>
      </c>
      <c r="E32" s="47" t="str">
        <f>IF(Main!F51="","",Main!F51)</f>
        <v/>
      </c>
      <c r="F32" s="47" t="str">
        <f>IF(Main!G51="","",Main!G51)</f>
        <v/>
      </c>
      <c r="G32" s="259"/>
      <c r="H32" s="242" t="s">
        <v>362</v>
      </c>
      <c r="I32" s="244" t="str">
        <f>IF(Main!N50="","",Main!N50)</f>
        <v/>
      </c>
      <c r="J32" s="643" t="s">
        <v>334</v>
      </c>
      <c r="K32" s="644"/>
      <c r="L32" s="645"/>
      <c r="M32" s="250"/>
      <c r="O32" s="643" t="s">
        <v>334</v>
      </c>
      <c r="P32" s="644"/>
      <c r="Q32" s="645"/>
      <c r="T32" s="37"/>
    </row>
    <row r="33" spans="1:20" ht="12.75" customHeight="1" x14ac:dyDescent="0.2">
      <c r="A33" s="638" t="s">
        <v>347</v>
      </c>
      <c r="B33" s="639"/>
      <c r="C33" s="47" t="str">
        <f>IF(Main!D52="","",Main!D52)</f>
        <v/>
      </c>
      <c r="D33" s="47" t="str">
        <f>IF(Main!E52="","",Main!E52)</f>
        <v/>
      </c>
      <c r="E33" s="47" t="str">
        <f>IF(Main!F52="","",Main!F52)</f>
        <v/>
      </c>
      <c r="F33" s="47" t="str">
        <f>IF(Main!G52="","",Main!G52)</f>
        <v/>
      </c>
      <c r="G33" s="259"/>
      <c r="H33" s="242" t="s">
        <v>348</v>
      </c>
      <c r="I33" s="244" t="str">
        <f>IF(Main!N51="","",Main!N51)</f>
        <v/>
      </c>
      <c r="J33" s="646" t="s">
        <v>386</v>
      </c>
      <c r="K33" s="647"/>
      <c r="L33" s="648"/>
      <c r="M33" s="249" t="str">
        <f>IF(Main!S51="","",Main!S51)</f>
        <v/>
      </c>
      <c r="O33" s="646" t="s">
        <v>388</v>
      </c>
      <c r="P33" s="647"/>
      <c r="Q33" s="648"/>
      <c r="R33" s="56" t="str">
        <f>IF(Main!X51="","",Main!X51)</f>
        <v/>
      </c>
      <c r="T33" s="37"/>
    </row>
    <row r="34" spans="1:20" ht="12.75" customHeight="1" x14ac:dyDescent="0.2">
      <c r="A34" s="638" t="s">
        <v>38</v>
      </c>
      <c r="B34" s="639"/>
      <c r="C34" s="49" t="str">
        <f>IF(Main!D53="","",Main!D53)</f>
        <v/>
      </c>
      <c r="D34" s="49" t="str">
        <f>IF(Main!E53="","",Main!E53)</f>
        <v/>
      </c>
      <c r="E34" s="49" t="str">
        <f>IF(Main!F53="","",Main!F53)</f>
        <v/>
      </c>
      <c r="F34" s="49" t="str">
        <f>IF(Main!G53="","",Main!G53)</f>
        <v/>
      </c>
      <c r="G34" s="262"/>
      <c r="H34" s="242" t="s">
        <v>349</v>
      </c>
      <c r="I34" s="241" t="str">
        <f>IF(Main!N52="","",Main!N52)</f>
        <v/>
      </c>
      <c r="J34" s="643" t="s">
        <v>334</v>
      </c>
      <c r="K34" s="644"/>
      <c r="L34" s="645"/>
      <c r="O34" s="643" t="s">
        <v>334</v>
      </c>
      <c r="P34" s="644"/>
      <c r="Q34" s="645"/>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32" t="s">
        <v>389</v>
      </c>
      <c r="K35" s="633"/>
      <c r="L35" s="634"/>
      <c r="M35" s="257" t="str">
        <f>IF(Main!S53="","",Main!S53)</f>
        <v/>
      </c>
      <c r="O35" s="632" t="s">
        <v>390</v>
      </c>
      <c r="P35" s="633"/>
      <c r="Q35" s="634"/>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5"/>
      <c r="K36" s="636"/>
      <c r="L36" s="637"/>
      <c r="M36" s="253"/>
      <c r="O36" s="635"/>
      <c r="P36" s="636"/>
      <c r="Q36" s="637"/>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PA085BQa3QIKI9pxMOP94vzfDXBNazoog2zlRP0hXAVJY4bA+Y6PznVUV8dIQtpStvj6FLqA0CvhOv/PRY++Ag==" saltValue="ZoXCq7MRVfl87iT06xZkO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059078G</v>
      </c>
      <c r="D11" s="496" t="e"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#VALUE!</v>
      </c>
    </row>
    <row r="12" spans="1:14" x14ac:dyDescent="0.2">
      <c r="B12" t="str">
        <v>065908J</v>
      </c>
      <c r="D12" s="496" t="e"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#VALUE!</v>
      </c>
      <c r="G12" s="495"/>
    </row>
    <row r="13" spans="1:14" x14ac:dyDescent="0.2">
      <c r="B13" t="str">
        <v/>
      </c>
      <c r="D13" s="49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9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9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9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9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9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9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9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9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9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9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9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rqd1LPuJWsJSvRh+flvAA7PSf9P8AUtQJN8F5S/ZxtKzmDWan9X6MLmGqWgj6B+DKfcXn3VB0lrTwKCUnDEtQQ==" saltValue="STrTQEAV4Kzz43blp2uoA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8"/>
      <c r="C1" s="598"/>
      <c r="D1" s="598"/>
      <c r="E1" s="34" t="s">
        <v>154</v>
      </c>
      <c r="G1" s="598" t="s">
        <v>68</v>
      </c>
      <c r="H1" s="598"/>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szUGYasvdW0OWvwnLiKmwPYYfQyf8wXsfPhSjGwJzU2CLvMEuQW4cquErsFMr/kCFfsPCIuRrn1g2Mq5QXN6cA==" saltValue="2uwxGzQs93Lbe8HY19yM4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2025-11-09T00:39:12Z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