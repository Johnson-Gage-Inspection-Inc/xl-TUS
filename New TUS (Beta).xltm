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7.xml" ContentType="application/vnd.openxmlformats-officedocument.spreadsheetml.table+xml"/>
  <Override PartName="/xl/queryTables/queryTable12.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8.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queryTables/queryTable13.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21.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32A9204-4161-4AC2-962B-7EA0015D7BDA}"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FilteredTimeSeries" sheetId="90" state="hidden" r:id="rId9"/>
    <sheet name="DaqBook_RAW_Data" sheetId="9" r:id="rId10"/>
    <sheet name="Packet_Content" sheetId="19" r:id="rId11"/>
    <sheet name="CERT" sheetId="26" r:id="rId12"/>
    <sheet name="Header_Info" sheetId="77" state="hidden" r:id="rId13"/>
    <sheet name="Customer Table" sheetId="29" state="hidden" r:id="rId14"/>
    <sheet name="AssetPool" sheetId="35" state="hidden" r:id="rId15"/>
    <sheet name="DaqbookServiceRecords" sheetId="54" state="hidden" r:id="rId16"/>
    <sheet name="Employees" sheetId="38" state="hidden" r:id="rId17"/>
    <sheet name="DaqbookOffsets" sheetId="20" state="hidden" r:id="rId18"/>
    <sheet name="Data_Sheet" sheetId="13" r:id="rId19"/>
    <sheet name="Data_Sheet_15_28" sheetId="14" r:id="rId20"/>
    <sheet name="Data_Sheet_29_40" sheetId="15" r:id="rId21"/>
    <sheet name="Comparison_Report" sheetId="4" r:id="rId22"/>
    <sheet name="TUS_Worksheet" sheetId="5" r:id="rId23"/>
    <sheet name="Interp" sheetId="21" r:id="rId24"/>
    <sheet name="Access_Data" sheetId="1" r:id="rId25"/>
    <sheet name="CMCs" sheetId="85" state="hidden" r:id="rId26"/>
    <sheet name="UncBudgets" sheetId="86" state="hidden" r:id="rId27"/>
    <sheet name="Standards_Info" sheetId="12" r:id="rId28"/>
    <sheet name="AllDaqbookOffsets" sheetId="78" state="hidden" r:id="rId29"/>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N" hidden="1" xlm="1">#NAME?</definedName>
    <definedName name="_xleta.T" hidden="1" xlm="1">#NAME?</definedName>
    <definedName name="_xleta.UNIQUE"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4"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7" hidden="1">DaqbookOffsets!$A$1:$A$2</definedName>
    <definedName name="ExternalData_1" localSheetId="15" hidden="1">DaqbookServiceRecords!$A$1:$B$2</definedName>
    <definedName name="ExternalData_1" localSheetId="4" hidden="1">Employee!$A$1:$D$2</definedName>
    <definedName name="ExternalData_1" localSheetId="16" hidden="1">Employees!$A$1:$D$55</definedName>
    <definedName name="ExternalData_1" localSheetId="8" hidden="1">FilteredTimeSeries!$A$1:$C$161</definedName>
    <definedName name="ExternalData_1" localSheetId="12" hidden="1">Header_Info!$A$1:$AO$405</definedName>
    <definedName name="ExternalData_1" localSheetId="26"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8"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1">CERT!$A$1:$O$80</definedName>
    <definedName name="_xlnm.Print_Area" localSheetId="21">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10">Packet_Content!$A$1:$I$43</definedName>
    <definedName name="_xlnm.Print_Area" localSheetId="22">TUS_Worksheet!$A$1:$R$56</definedName>
    <definedName name="Query___customers" localSheetId="13"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Survey_End_Time">Main!$D$31</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3" l="1" a="1"/>
  <c r="B14" i="13" s="1"/>
  <c r="D7" i="8" l="1" a="1"/>
  <c r="D7" i="8" s="1"/>
  <c r="AG2" i="12" a="1"/>
  <c r="AG2" i="12" s="1"/>
  <c r="B12" i="26"/>
  <c r="B11" i="26" a="1"/>
  <c r="B11" i="26" s="1"/>
  <c r="B10" i="26" a="1"/>
  <c r="B10" i="26" s="1"/>
  <c r="L35" i="8" l="1"/>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2" i="12" l="1"/>
  <c r="D2" i="12" s="1"/>
  <c r="D3" i="12"/>
  <c r="D6" i="12"/>
  <c r="D8" i="12"/>
  <c r="D4" i="12"/>
  <c r="D7" i="12"/>
  <c r="D9" i="12"/>
  <c r="D5" i="12"/>
  <c r="AQ2" i="77"/>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D15" i="1"/>
  <c r="B12" i="1"/>
  <c r="G19" i="1"/>
  <c r="B11"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H14" i="1"/>
  <c r="I19" i="1"/>
  <c r="K21" i="1"/>
  <c r="E12" i="1"/>
  <c r="E18" i="1"/>
  <c r="A17" i="1"/>
  <c r="O15" i="1"/>
  <c r="H12" i="1"/>
  <c r="K19" i="1"/>
  <c r="G13" i="1"/>
  <c r="B19" i="1"/>
  <c r="H11" i="1"/>
  <c r="O19" i="1"/>
  <c r="O17" i="1"/>
  <c r="K24" i="1"/>
  <c r="I21" i="1"/>
  <c r="G17" i="1"/>
  <c r="G16" i="1"/>
  <c r="M21" i="1"/>
  <c r="E17" i="1"/>
  <c r="M15" i="1"/>
  <c r="A25" i="1"/>
  <c r="N22" i="1"/>
  <c r="N25" i="1"/>
  <c r="B25" i="1"/>
  <c r="F25" i="1"/>
  <c r="J15" i="1"/>
  <c r="K16" i="1"/>
  <c r="N21" i="1"/>
  <c r="B13" i="1"/>
  <c r="E21" i="1"/>
  <c r="I20" i="1"/>
  <c r="L14" i="1"/>
  <c r="K15" i="1"/>
  <c r="H16" i="1"/>
  <c r="K17" i="1"/>
  <c r="I25" i="1"/>
  <c r="E16" i="1"/>
  <c r="E10" i="1"/>
  <c r="H15" i="1"/>
  <c r="A20" i="1"/>
  <c r="B23" i="1"/>
  <c r="D25" i="1"/>
  <c r="H24" i="1"/>
  <c r="C22" i="1"/>
  <c r="D21" i="1"/>
  <c r="H23" i="1"/>
  <c r="C11" i="1"/>
  <c r="F11" i="1"/>
  <c r="M23" i="1"/>
  <c r="D23" i="1"/>
  <c r="A16" i="1"/>
  <c r="F18" i="1"/>
  <c r="N13" i="1"/>
  <c r="C14" i="1"/>
  <c r="F13" i="1"/>
  <c r="N24" i="1"/>
  <c r="K23" i="1"/>
  <c r="K10" i="1"/>
  <c r="J17" i="1"/>
  <c r="K13" i="1"/>
  <c r="B22" i="1"/>
  <c r="G22" i="1"/>
  <c r="M13" i="1"/>
  <c r="H21" i="1"/>
  <c r="B24" i="1"/>
  <c r="I17" i="1"/>
  <c r="B18" i="1"/>
  <c r="A11" i="1"/>
  <c r="H20" i="1"/>
  <c r="A19" i="1"/>
  <c r="B17" i="1"/>
  <c r="L13" i="1"/>
  <c r="K20" i="1"/>
  <c r="G12" i="1"/>
  <c r="M10" i="1"/>
  <c r="N23" i="1"/>
  <c r="G10" i="1"/>
  <c r="D22" i="1"/>
  <c r="A22" i="1"/>
  <c r="F16" i="1"/>
  <c r="D24" i="1"/>
  <c r="M11" i="1"/>
  <c r="D11" i="1"/>
  <c r="O11" i="1"/>
  <c r="B14" i="1"/>
  <c r="F24" i="1"/>
  <c r="C15" i="1"/>
  <c r="B16" i="1"/>
  <c r="F10" i="1"/>
  <c r="O22" i="1"/>
  <c r="E15" i="1"/>
  <c r="J10" i="1"/>
  <c r="M17" i="1"/>
  <c r="I18" i="1"/>
  <c r="M16" i="1"/>
  <c r="N10" i="1"/>
  <c r="L21" i="1"/>
  <c r="D18" i="1"/>
  <c r="O23" i="1"/>
  <c r="F12" i="1"/>
  <c r="A24" i="1"/>
  <c r="I12" i="1"/>
  <c r="J19" i="1"/>
  <c r="M22" i="1"/>
  <c r="J24" i="1"/>
  <c r="O16" i="1"/>
  <c r="O10" i="1"/>
  <c r="G11" i="1"/>
  <c r="O12" i="1"/>
  <c r="O25" i="1"/>
  <c r="I16" i="1"/>
  <c r="H17" i="1"/>
  <c r="A23" i="1"/>
  <c r="O21" i="1"/>
  <c r="E23" i="1"/>
  <c r="I23" i="1"/>
  <c r="C24" i="1"/>
  <c r="J23" i="1"/>
  <c r="C12" i="1"/>
  <c r="C13" i="1"/>
  <c r="M18" i="1"/>
  <c r="D13" i="1"/>
  <c r="B20" i="1"/>
  <c r="O18" i="1"/>
  <c r="F15" i="1"/>
  <c r="L24" i="1"/>
  <c r="C19" i="1"/>
  <c r="N16" i="1"/>
  <c r="M19" i="1"/>
  <c r="L17" i="1"/>
  <c r="N18" i="1"/>
  <c r="K22" i="1"/>
  <c r="H25" i="1"/>
  <c r="L18" i="1"/>
  <c r="A14" i="1"/>
  <c r="E13" i="1"/>
  <c r="M25" i="1"/>
  <c r="E25" i="1"/>
  <c r="H10" i="1"/>
  <c r="I13" i="1"/>
  <c r="A18" i="1"/>
  <c r="K25" i="1"/>
  <c r="L19" i="1"/>
  <c r="D12" i="1"/>
  <c r="F17" i="1"/>
  <c r="J25" i="1"/>
  <c r="F21" i="1"/>
  <c r="L10" i="1"/>
  <c r="E20" i="1"/>
  <c r="H18" i="1"/>
  <c r="A10" i="1"/>
  <c r="J16" i="1"/>
  <c r="K14" i="1"/>
  <c r="N20" i="1"/>
  <c r="I11" i="1"/>
  <c r="K11" i="1"/>
  <c r="A21" i="1"/>
  <c r="D16" i="1"/>
  <c r="F20" i="1"/>
  <c r="O24" i="1"/>
  <c r="E14" i="1"/>
  <c r="M14" i="1"/>
  <c r="C20" i="1"/>
  <c r="C17" i="1"/>
  <c r="L20" i="1"/>
  <c r="I15" i="1"/>
  <c r="E22" i="1"/>
  <c r="J20" i="1"/>
  <c r="O14" i="1"/>
  <c r="D14" i="1"/>
  <c r="K12" i="1"/>
  <c r="C10" i="1"/>
  <c r="G23" i="1"/>
  <c r="J12" i="1"/>
  <c r="H22" i="1"/>
  <c r="D20" i="1"/>
  <c r="O20" i="1"/>
  <c r="F23" i="1"/>
  <c r="G18" i="1"/>
  <c r="L16" i="1"/>
  <c r="F14" i="1"/>
  <c r="O13" i="1"/>
  <c r="D19" i="1"/>
  <c r="G21" i="1"/>
  <c r="E24" i="1"/>
  <c r="F19" i="1"/>
  <c r="N19" i="1"/>
  <c r="N15" i="1"/>
  <c r="B15" i="1"/>
  <c r="G20" i="1"/>
  <c r="N11" i="1"/>
  <c r="J21" i="1"/>
  <c r="N12" i="1"/>
  <c r="H13" i="1"/>
  <c r="E19" i="1"/>
  <c r="J13" i="1"/>
  <c r="H19" i="1"/>
  <c r="D10" i="1"/>
  <c r="I14" i="1"/>
  <c r="C25" i="1"/>
  <c r="L25" i="1"/>
  <c r="D17" i="1"/>
  <c r="G15" i="1"/>
  <c r="C16" i="1"/>
  <c r="C18" i="1"/>
  <c r="M24" i="1"/>
  <c r="C21" i="1"/>
  <c r="A12" i="1"/>
  <c r="L23" i="1"/>
  <c r="B21" i="1"/>
  <c r="J22" i="1"/>
  <c r="J18" i="1"/>
  <c r="C23" i="1"/>
  <c r="A13" i="1"/>
  <c r="I24" i="1"/>
  <c r="A15" i="1"/>
  <c r="G25" i="1"/>
  <c r="G14" i="1"/>
  <c r="L11" i="1"/>
  <c r="I22" i="1"/>
  <c r="I10" i="1"/>
  <c r="K18" i="1"/>
  <c r="L12" i="1"/>
  <c r="E11" i="1"/>
  <c r="F22" i="1"/>
  <c r="N17" i="1"/>
  <c r="M20" i="1"/>
  <c r="J14" i="1"/>
  <c r="L22" i="1"/>
  <c r="G24" i="1"/>
  <c r="M12" i="1"/>
  <c r="N14" i="1"/>
  <c r="J11" i="1"/>
  <c r="L15"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E26" i="4" l="1"/>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Z19" i="1"/>
  <c r="AE11" i="1"/>
  <c r="Y21" i="1"/>
  <c r="W10" i="1"/>
  <c r="AO22" i="1"/>
  <c r="X10" i="1"/>
  <c r="AU13" i="1"/>
  <c r="AU16" i="1"/>
  <c r="AR12" i="1"/>
  <c r="AV10" i="1"/>
  <c r="AW12" i="1"/>
  <c r="W13" i="1"/>
  <c r="AX20" i="1"/>
  <c r="AO15" i="1"/>
  <c r="BA21" i="1"/>
  <c r="AH24" i="1"/>
  <c r="AT10" i="1"/>
  <c r="AS23" i="1"/>
  <c r="AB20" i="1"/>
  <c r="V17" i="1"/>
  <c r="AD23" i="1"/>
  <c r="AZ24" i="1"/>
  <c r="V21" i="1"/>
  <c r="AT13" i="1"/>
  <c r="AU23" i="1"/>
  <c r="BA18" i="1"/>
  <c r="AE22" i="1"/>
  <c r="AW17" i="1"/>
  <c r="AE13" i="1"/>
  <c r="AR14" i="1"/>
  <c r="AV14" i="1"/>
  <c r="AV15" i="1"/>
  <c r="AS19" i="1"/>
  <c r="AZ15" i="1"/>
  <c r="AC22" i="1"/>
  <c r="AC12" i="1"/>
  <c r="AP23" i="1"/>
  <c r="AZ17" i="1"/>
  <c r="V13" i="1"/>
  <c r="AT14" i="1"/>
  <c r="AI20" i="1"/>
  <c r="AI14" i="1"/>
  <c r="AS12" i="1"/>
  <c r="Z15" i="1"/>
  <c r="AD18" i="1"/>
  <c r="U24" i="1"/>
  <c r="AY23" i="1"/>
  <c r="AU20" i="1"/>
  <c r="AG17" i="1"/>
  <c r="V23" i="1"/>
  <c r="AZ23" i="1"/>
  <c r="Y18" i="1"/>
  <c r="AZ16" i="1"/>
  <c r="AB16" i="1"/>
  <c r="AO12" i="1"/>
  <c r="AB13" i="1"/>
  <c r="AY11" i="1"/>
  <c r="AV22" i="1"/>
  <c r="W20" i="1"/>
  <c r="AO23" i="1"/>
  <c r="AF23" i="1"/>
  <c r="AH25" i="1"/>
  <c r="AO18" i="1"/>
  <c r="AF12" i="1"/>
  <c r="AU24" i="1"/>
  <c r="AA16" i="1"/>
  <c r="X25" i="1"/>
  <c r="V19" i="1"/>
  <c r="AQ18" i="1"/>
  <c r="X16" i="1"/>
  <c r="AE18" i="1"/>
  <c r="AD14" i="1"/>
  <c r="AT12" i="1"/>
  <c r="AB19" i="1"/>
  <c r="AX14" i="1"/>
  <c r="AX22" i="1"/>
  <c r="AR15" i="1"/>
  <c r="AY19" i="1"/>
  <c r="X14" i="1"/>
  <c r="AX12" i="1"/>
  <c r="AY21" i="1"/>
  <c r="AQ17" i="1"/>
  <c r="AC11" i="1"/>
  <c r="AQ13" i="1"/>
  <c r="AF22" i="1"/>
  <c r="AQ21" i="1"/>
  <c r="AT17" i="1"/>
  <c r="AG15" i="1"/>
  <c r="AW19" i="1"/>
  <c r="AU14" i="1"/>
  <c r="AA19" i="1"/>
  <c r="AP13" i="1"/>
  <c r="AR16" i="1"/>
  <c r="AD17" i="1"/>
  <c r="W19" i="1"/>
  <c r="AY20" i="1"/>
  <c r="AU21" i="1"/>
  <c r="AR17" i="1"/>
  <c r="AV13" i="1"/>
  <c r="U19" i="1"/>
  <c r="Z24" i="1"/>
  <c r="AX15" i="1"/>
  <c r="AO10" i="1"/>
  <c r="AB21" i="1"/>
  <c r="AF24" i="1"/>
  <c r="AG25" i="1"/>
  <c r="AG16" i="1"/>
  <c r="AQ10" i="1"/>
  <c r="AI11" i="1"/>
  <c r="W11" i="1"/>
  <c r="AV20" i="1"/>
  <c r="AB10" i="1"/>
  <c r="AZ19" i="1"/>
  <c r="W18" i="1"/>
  <c r="W25" i="1"/>
  <c r="AI10" i="1"/>
  <c r="AP18" i="1"/>
  <c r="AF14" i="1"/>
  <c r="AE12" i="1"/>
  <c r="Y14" i="1"/>
  <c r="AI13" i="1"/>
  <c r="U17" i="1"/>
  <c r="Y25" i="1"/>
  <c r="AS25" i="1"/>
  <c r="AU10" i="1"/>
  <c r="AC20" i="1"/>
  <c r="AW10" i="1"/>
  <c r="AF21" i="1"/>
  <c r="Z20" i="1"/>
  <c r="U11" i="1"/>
  <c r="AD11" i="1"/>
  <c r="AX21" i="1"/>
  <c r="AE16" i="1"/>
  <c r="Y10" i="1"/>
  <c r="AS11" i="1"/>
  <c r="AG12" i="1"/>
  <c r="AA17" i="1"/>
  <c r="V10" i="1"/>
  <c r="AZ14" i="1"/>
  <c r="AH19" i="1"/>
  <c r="AT16" i="1"/>
  <c r="X24" i="1"/>
  <c r="AU22" i="1"/>
  <c r="AS10" i="1"/>
  <c r="V18" i="1"/>
  <c r="BA22" i="1"/>
  <c r="AT21" i="1"/>
  <c r="AU19" i="1"/>
  <c r="AG18" i="1"/>
  <c r="AS21" i="1"/>
  <c r="AE14" i="1"/>
  <c r="AX10" i="1"/>
  <c r="AT18" i="1"/>
  <c r="Z17" i="1"/>
  <c r="AV11" i="1"/>
  <c r="X17" i="1"/>
  <c r="AV21" i="1"/>
  <c r="AW16" i="1"/>
  <c r="AF25" i="1"/>
  <c r="AP10" i="1"/>
  <c r="AW15" i="1"/>
  <c r="AH14" i="1"/>
  <c r="AH10" i="1"/>
  <c r="AD25" i="1"/>
  <c r="AA12" i="1"/>
  <c r="Z11" i="1"/>
  <c r="AE20" i="1"/>
  <c r="AE10" i="1"/>
  <c r="BA16" i="1"/>
  <c r="AF18" i="1"/>
  <c r="AD21" i="1"/>
  <c r="Y22" i="1"/>
  <c r="AH17" i="1"/>
  <c r="AP25" i="1"/>
  <c r="AS18" i="1"/>
  <c r="AE19" i="1"/>
  <c r="AQ14" i="1"/>
  <c r="AT22" i="1"/>
  <c r="AI25" i="1"/>
  <c r="AA25" i="1"/>
  <c r="AG14" i="1"/>
  <c r="AT20" i="1"/>
  <c r="AU18" i="1"/>
  <c r="AB14" i="1"/>
  <c r="AZ25" i="1"/>
  <c r="AZ13" i="1"/>
  <c r="AH21" i="1"/>
  <c r="W12" i="1"/>
  <c r="AO17" i="1"/>
  <c r="AU25" i="1"/>
  <c r="AA13" i="1"/>
  <c r="V25" i="1"/>
  <c r="AT11" i="1"/>
  <c r="AU17" i="1"/>
  <c r="AG20" i="1"/>
  <c r="AG10" i="1"/>
  <c r="AF10" i="1"/>
  <c r="AB18" i="1"/>
  <c r="X11" i="1"/>
  <c r="AC24" i="1"/>
  <c r="AY25" i="1"/>
  <c r="BA12" i="1"/>
  <c r="AE25" i="1"/>
  <c r="AH20" i="1"/>
  <c r="AS13" i="1"/>
  <c r="AA15" i="1"/>
  <c r="U12" i="1"/>
  <c r="AH11" i="1"/>
  <c r="AD19" i="1"/>
  <c r="AT15" i="1"/>
  <c r="AT19" i="1"/>
  <c r="AH16" i="1"/>
  <c r="AF16" i="1"/>
  <c r="AF13" i="1"/>
  <c r="Y12" i="1"/>
  <c r="V22" i="1"/>
  <c r="AI16" i="1"/>
  <c r="BA25" i="1"/>
  <c r="Z25" i="1"/>
  <c r="AP15" i="1"/>
  <c r="AH18" i="1"/>
  <c r="AD22" i="1"/>
  <c r="X12" i="1"/>
  <c r="V16" i="1"/>
  <c r="Z12" i="1"/>
  <c r="AI22" i="1"/>
  <c r="AA10" i="1"/>
  <c r="AG13" i="1"/>
  <c r="AR22" i="1"/>
  <c r="AT23" i="1"/>
  <c r="AI15" i="1"/>
  <c r="AQ19" i="1"/>
  <c r="Z23" i="1"/>
  <c r="BA10" i="1"/>
  <c r="AG22" i="1"/>
  <c r="AG21" i="1"/>
  <c r="AQ25" i="1"/>
  <c r="AO24" i="1"/>
  <c r="AV18" i="1"/>
  <c r="AP19" i="1"/>
  <c r="AZ10" i="1"/>
  <c r="AV23" i="1"/>
  <c r="AV19" i="1"/>
  <c r="V12" i="1"/>
  <c r="AX16" i="1"/>
  <c r="AW18" i="1"/>
  <c r="AB12" i="1"/>
  <c r="AY16" i="1"/>
  <c r="AX18" i="1"/>
  <c r="AC19" i="1"/>
  <c r="AH23" i="1"/>
  <c r="AG24" i="1"/>
  <c r="Z14" i="1"/>
  <c r="U15" i="1"/>
  <c r="AC13" i="1"/>
  <c r="U21" i="1"/>
  <c r="AO25" i="1"/>
  <c r="W24" i="1"/>
  <c r="AY15" i="1"/>
  <c r="AZ20" i="1"/>
  <c r="U20" i="1"/>
  <c r="V14" i="1"/>
  <c r="AP14" i="1"/>
  <c r="AZ21" i="1"/>
  <c r="AO11" i="1"/>
  <c r="AC25" i="1"/>
  <c r="AD24" i="1"/>
  <c r="AA22" i="1"/>
  <c r="AE21" i="1"/>
  <c r="AY10" i="1"/>
  <c r="AA23" i="1"/>
  <c r="AS15" i="1"/>
  <c r="AS24" i="1"/>
  <c r="AQ16" i="1"/>
  <c r="AW23" i="1"/>
  <c r="AS16" i="1"/>
  <c r="AT25" i="1"/>
  <c r="BA24" i="1"/>
  <c r="AR18" i="1"/>
  <c r="AY22" i="1"/>
  <c r="U10" i="1"/>
  <c r="AQ12" i="1"/>
  <c r="AW20" i="1"/>
  <c r="AV25" i="1"/>
  <c r="U18" i="1"/>
  <c r="AT24" i="1"/>
  <c r="BA11" i="1"/>
  <c r="Y13" i="1"/>
  <c r="BA20" i="1"/>
  <c r="AB22" i="1"/>
  <c r="AQ23" i="1"/>
  <c r="X23" i="1"/>
  <c r="AW11" i="1"/>
  <c r="V20" i="1"/>
  <c r="AV16" i="1"/>
  <c r="W17" i="1"/>
  <c r="Y11" i="1"/>
  <c r="AX19" i="1"/>
  <c r="AE24" i="1"/>
  <c r="AG23" i="1"/>
  <c r="AR20" i="1"/>
  <c r="Z10" i="1"/>
  <c r="AI17" i="1"/>
  <c r="AR25" i="1"/>
  <c r="AZ12" i="1"/>
  <c r="AY17" i="1"/>
  <c r="AO16" i="1"/>
  <c r="AP17" i="1"/>
  <c r="AD10" i="1"/>
  <c r="AO19" i="1"/>
  <c r="AC18" i="1"/>
  <c r="AC21" i="1"/>
  <c r="AD16" i="1"/>
  <c r="U23" i="1"/>
  <c r="X18" i="1"/>
  <c r="Y15" i="1"/>
  <c r="U16" i="1"/>
  <c r="U13" i="1"/>
  <c r="AY14" i="1"/>
  <c r="AU12" i="1"/>
  <c r="AB25" i="1"/>
  <c r="AY12" i="1"/>
  <c r="AS14" i="1"/>
  <c r="AQ24" i="1"/>
  <c r="Y20" i="1"/>
  <c r="BA14" i="1"/>
  <c r="W15" i="1"/>
  <c r="AU15" i="1"/>
  <c r="AO14" i="1"/>
  <c r="AC10" i="1"/>
  <c r="AQ22" i="1"/>
  <c r="AE15" i="1"/>
  <c r="AA24" i="1"/>
  <c r="AC17" i="1"/>
  <c r="AR24" i="1"/>
  <c r="AC14" i="1"/>
  <c r="AA18" i="1"/>
  <c r="AG19" i="1"/>
  <c r="AR19" i="1"/>
  <c r="AZ22" i="1"/>
  <c r="V15" i="1"/>
  <c r="AQ15" i="1"/>
  <c r="Y16" i="1"/>
  <c r="AI23" i="1"/>
  <c r="AR13" i="1"/>
  <c r="AH12" i="1"/>
  <c r="AX25" i="1"/>
  <c r="V24" i="1"/>
  <c r="AA14" i="1"/>
  <c r="AX17" i="1"/>
  <c r="AF17" i="1"/>
  <c r="BA13" i="1"/>
  <c r="Z21" i="1"/>
  <c r="W14" i="1"/>
  <c r="AR23" i="1"/>
  <c r="AV24" i="1"/>
  <c r="AR11" i="1"/>
  <c r="AI12" i="1"/>
  <c r="AY24" i="1"/>
  <c r="AF20" i="1"/>
  <c r="AS20" i="1"/>
  <c r="AZ11" i="1"/>
  <c r="W22" i="1"/>
  <c r="AW22" i="1"/>
  <c r="AX13" i="1"/>
  <c r="X20" i="1"/>
  <c r="U22" i="1"/>
  <c r="Z22" i="1"/>
  <c r="BA15" i="1"/>
  <c r="AF15" i="1"/>
  <c r="V11" i="1"/>
  <c r="AO20" i="1"/>
  <c r="AS22" i="1"/>
  <c r="AH15" i="1"/>
  <c r="AC15" i="1"/>
  <c r="AG11" i="1"/>
  <c r="AR10" i="1"/>
  <c r="AW25" i="1"/>
  <c r="AY13" i="1"/>
  <c r="U25" i="1"/>
  <c r="AI19" i="1"/>
  <c r="AW14" i="1"/>
  <c r="AY18" i="1"/>
  <c r="AA11" i="1"/>
  <c r="Y24" i="1"/>
  <c r="Y23" i="1"/>
  <c r="X22" i="1"/>
  <c r="AV17" i="1"/>
  <c r="Z18" i="1"/>
  <c r="U14" i="1"/>
  <c r="W21" i="1"/>
  <c r="AH13" i="1"/>
  <c r="AI21" i="1"/>
  <c r="BA19" i="1"/>
  <c r="AP24" i="1"/>
  <c r="AF11" i="1"/>
  <c r="Y17" i="1"/>
  <c r="AE23" i="1"/>
  <c r="W16" i="1"/>
  <c r="AB15" i="1"/>
  <c r="AF19" i="1"/>
  <c r="AU11" i="1"/>
  <c r="AE17" i="1"/>
  <c r="AD13" i="1"/>
  <c r="AC23" i="1"/>
  <c r="Z16" i="1"/>
  <c r="W23" i="1"/>
  <c r="AC16" i="1"/>
  <c r="AX23" i="1"/>
  <c r="AV12" i="1"/>
  <c r="AZ18" i="1"/>
  <c r="AH22" i="1"/>
  <c r="BA17" i="1"/>
  <c r="AP20" i="1"/>
  <c r="AI18" i="1"/>
  <c r="AB24" i="1"/>
  <c r="AI24" i="1"/>
  <c r="AX11" i="1"/>
  <c r="AO13" i="1"/>
  <c r="AP11" i="1"/>
  <c r="X19" i="1"/>
  <c r="AW24" i="1"/>
  <c r="AB23" i="1"/>
  <c r="X15" i="1"/>
  <c r="AR21" i="1"/>
  <c r="AP16" i="1"/>
  <c r="AO21" i="1"/>
  <c r="AD20" i="1"/>
  <c r="AP12" i="1"/>
  <c r="AQ20" i="1"/>
  <c r="X21" i="1"/>
  <c r="BA23" i="1"/>
  <c r="AD15" i="1"/>
  <c r="AP22" i="1"/>
  <c r="AW13" i="1"/>
  <c r="AP21" i="1"/>
  <c r="AA20" i="1"/>
  <c r="AA21" i="1"/>
  <c r="AX24" i="1"/>
  <c r="AS17" i="1"/>
  <c r="Z13" i="1"/>
  <c r="AB17" i="1"/>
  <c r="AD12" i="1"/>
  <c r="Y19" i="1"/>
  <c r="AB11" i="1"/>
  <c r="AW21" i="1"/>
  <c r="X13" i="1"/>
  <c r="AQ11"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O94" i="8" l="1"/>
  <c r="L51" i="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4AA06F7-7523-40EC-B3A3-CFD5DF420553}" keepAlive="1" name="Query - WireOffsets" description="Connection to the 'WireOffsets' query in the workbook." type="5" refreshedVersion="8" background="1" saveData="1">
    <dbPr connection="Provider=Microsoft.Mashup.OleDb.1;Data Source=$Workbook$;Location=WireOffsets;Extended Properties=&quot;&quot;" command="SELECT * FROM [WireOffsets]"/>
  </connection>
  <connection id="15"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<sst xmlns="http://schemas.openxmlformats.org/spreadsheetml/2006/main" count="1984" uniqueCount="955">
  <si>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</si>
  <si>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</si>
  <si>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</si>
  <si>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</si>
  <si>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</si>
  <si>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</si>
  <si>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</si>
  <si>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</si>
  <si>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</si>
  <si>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</si>
  <si>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</si>
  <si>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</si>
  <si>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</si>
  <si>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</si>
  <si>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</si>
  <si>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</si>
  <si>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</si>
  <si>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</si>
  <si>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</si>
  <si>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</si>
  <si>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</si>
  <si>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</si>
  <si>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</si>
  <si>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</si>
  <si>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</si>
  <si>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</si>
  <si>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</si>
  <si>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</si>
  <si>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</si>
  <si>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</si>
  <si>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</si>
  <si>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</si>
  <si>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</si>
  <si>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</si>
  <si>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</si>
  <si>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</si>
  <si>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</si>
  <si>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</si>
  <si>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</si>
  <si>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</si>
  <si>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</si>
  <si>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</si>
  <si>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</si>
  <si>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</si>
  <si>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</si>
  <si>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</si>
  <si>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</si>
  <si>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</si>
  <si>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</si>
  <si>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</si>
  <si>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</si>
  <si>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</si>
  <si>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</si>
  <si>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</si>
  <si>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</si>
  <si>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</si>
  <si>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</si>
  <si>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</si>
  <si>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</si>
  <si>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</si>
  <si>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</si>
  <si>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</si>
  <si>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</si>
  <si>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</si>
  <si>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</si>
  <si>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</si>
  <si>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</si>
  <si>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</si>
  <si>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</si>
  <si>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</si>
  <si>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</si>
  <si>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</si>
  <si>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</si>
  <si>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</si>
  <si>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</si>
  <si>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</si>
  <si>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</si>
  <si>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</si>
  <si>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</si>
  <si>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</si>
  <si>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</si>
  <si>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</si>
  <si>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</si>
  <si>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</si>
  <si>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</si>
  <si>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</si>
  <si>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</si>
  <si>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</si>
  <si>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</si>
  <si>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</si>
  <si>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</si>
  <si>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</si>
  <si>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</si>
  <si>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</si>
  <si>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</si>
  <si>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</si>
  <si>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</si>
  <si>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</si>
  <si>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</si>
  <si>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</si>
  <si>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</si>
  <si>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</si>
  <si>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</si>
  <si>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</si>
  <si>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</si>
  <si>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</si>
  <si>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</si>
  <si>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</si>
  <si>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</si>
  <si>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</si>
  <si>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</si>
  <si>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</si>
  <si>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</si>
  <si>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</si>
  <si>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</si>
  <si>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</si>
  <si>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</si>
  <si>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</si>
  <si>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</si>
  <si>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</si>
  <si>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</si>
  <si>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</si>
  <si>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</si>
  <si>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</si>
  <si>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</si>
  <si>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</si>
  <si>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</si>
  <si>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</si>
  <si>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</si>
  <si>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</si>
  <si>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</si>
  <si>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</si>
  <si>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</si>
  <si>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</si>
  <si>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</si>
  <si>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</si>
  <si>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</si>
  <si>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</si>
  <si>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</si>
  <si>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</si>
  <si>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</si>
  <si>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</si>
  <si>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</si>
  <si>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</si>
  <si>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</si>
  <si>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</si>
  <si>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</si>
  <si>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</si>
  <si>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</si>
  <si>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</si>
  <si>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</si>
  <si>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</si>
  <si>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</si>
  <si>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</si>
  <si>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</si>
  <si>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</si>
  <si>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</si>
  <si>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</si>
  <si>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</si>
  <si>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</si>
  <si>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</si>
  <si>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</si>
  <si>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</si>
  <si>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</si>
  <si>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</si>
  <si>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</si>
  <si>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</si>
  <si>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</si>
  <si>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</si>
  <si>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</si>
  <si>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</si>
  <si>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</si>
  <si>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</si>
  <si>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</si>
  <si>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</si>
  <si>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</si>
  <si>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</si>
  <si>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</si>
  <si>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</si>
  <si>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</si>
  <si>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</si>
  <si>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</si>
  <si>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</si>
  <si>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</si>
  <si>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</si>
  <si>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</si>
  <si>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</si>
  <si>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</si>
  <si>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</si>
  <si>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</si>
  <si>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</si>
  <si>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</si>
  <si>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</si>
  <si>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</si>
  <si>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</si>
  <si>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</si>
  <si>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</si>
  <si>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</si>
  <si>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</si>
  <si>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</si>
  <si>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</si>
  <si>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</si>
  <si>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</si>
  <si>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</si>
  <si>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</si>
  <si>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</si>
  <si>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</si>
  <si>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</si>
  <si>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</si>
  <si>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</si>
  <si>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</si>
  <si>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</si>
  <si>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</si>
  <si>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</si>
  <si>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</si>
  <si>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</si>
  <si>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</si>
  <si>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</si>
  <si>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</si>
  <si>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</si>
  <si>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</si>
  <si>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</si>
  <si>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</si>
  <si>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</si>
  <si>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</si>
  <si>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</si>
  <si>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</si>
  <si>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</si>
  <si>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</si>
  <si>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</si>
  <si>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</si>
  <si>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</si>
  <si>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</si>
  <si>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</si>
  <si>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</si>
  <si>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</si>
  <si>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</si>
  <si>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</si>
  <si>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</si>
  <si>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</si>
  <si>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</si>
  <si>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</si>
  <si>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</si>
  <si>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</si>
  <si>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</si>
  <si>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</si>
  <si>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</si>
  <si>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</si>
  <si>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</si>
  <si>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</si>
  <si>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</si>
  <si>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</si>
  <si>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</si>
  <si>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</si>
  <si>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</si>
  <si>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</si>
  <si>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</si>
  <si>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</si>
  <si>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</si>
  <si>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</si>
  <si>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</si>
  <si>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</si>
  <si>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</si>
  <si>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</si>
  <si>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</si>
  <si>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</si>
  <si>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</si>
  <si>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</si>
  <si>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</si>
  <si>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</si>
  <si>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</si>
  <si>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</si>
  <si>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</si>
  <si>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</si>
  <si>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</si>
  <si>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</si>
  <si>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</si>
  <si>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</si>
  <si>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</si>
  <si>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</si>
  <si>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</si>
  <si>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</si>
  <si>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</si>
  <si>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</si>
  <si>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</si>
  <si>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</si>
  <si>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</si>
  <si>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</si>
  <si>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</si>
  <si>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</si>
  <si>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</si>
  <si>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</si>
  <si>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</si>
  <si>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</si>
  <si>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</si>
  <si>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</si>
  <si>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</si>
  <si>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</si>
  <si>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</si>
  <si>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</si>
  <si>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</si>
  <si>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</si>
  <si>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</si>
  <si>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</si>
  <si>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</si>
  <si>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</si>
  <si>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</si>
  <si>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</si>
  <si>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</si>
  <si>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</si>
  <si>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</si>
  <si>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</si>
  <si>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</si>
  <si>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</si>
  <si>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</si>
  <si>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</si>
  <si>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</si>
  <si>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</si>
  <si>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</si>
  <si>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</si>
  <si>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</si>
  <si>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</si>
  <si>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</si>
  <si>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</si>
  <si>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</si>
  <si>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</si>
  <si>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</si>
  <si>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</si>
  <si>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</si>
  <si>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</si>
  <si>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</si>
  <si>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</si>
  <si>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</si>
  <si>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</si>
  <si>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</si>
  <si>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</si>
  <si>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</si>
  <si>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</si>
  <si>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</si>
  <si>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</si>
  <si>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</si>
  <si>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</si>
  <si>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</si>
  <si>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</si>
  <si>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</si>
  <si>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</si>
  <si>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</si>
  <si>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</si>
  <si>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</si>
  <si>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</si>
  <si>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</si>
  <si>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</si>
  <si>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</si>
  <si>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</si>
  <si>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</si>
  <si>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</si>
  <si>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</si>
  <si>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</si>
  <si>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</si>
  <si>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</si>
  <si>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</si>
  <si>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</si>
  <si>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</si>
  <si>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</si>
  <si>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</si>
  <si>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</si>
  <si>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</si>
  <si>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</si>
  <si>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</si>
  <si>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</si>
  <si>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</si>
  <si>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</si>
  <si>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</si>
  <si>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</si>
  <si>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</si>
  <si>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</si>
  <si>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</si>
  <si>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</si>
  <si>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</si>
  <si>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</si>
  <si>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</si>
  <si>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</si>
  <si>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</si>
  <si>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</si>
  <si>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</si>
  <si>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</si>
  <si>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</si>
  <si>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</si>
  <si>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</si>
  <si>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</si>
  <si>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</si>
  <si>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</si>
  <si>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</si>
  <si>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</si>
  <si>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</si>
  <si>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</si>
  <si>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</si>
  <si>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</si>
  <si>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</si>
  <si>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</si>
  <si>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</si>
  <si>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</si>
  <si>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</si>
  <si>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</si>
  <si>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</si>
  <si>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</si>
  <si>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</si>
  <si>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</si>
  <si>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</si>
  <si>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</si>
  <si>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</si>
  <si>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</si>
  <si>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</si>
  <si>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</si>
  <si>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</si>
  <si>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</si>
  <si>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</si>
  <si>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</si>
  <si>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</si>
  <si>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</si>
  <si>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</si>
  <si>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</si>
  <si>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</si>
  <si>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</si>
  <si>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</si>
  <si>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</si>
  <si>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</si>
  <si>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</si>
  <si>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</si>
  <si>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</si>
  <si>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</si>
  <si>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</si>
  <si>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</si>
  <si>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</si>
  <si>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</si>
  <si>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</si>
  <si>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</si>
  <si>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</si>
  <si>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</si>
  <si>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</si>
  <si>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</si>
  <si>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</si>
  <si>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</si>
  <si>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</si>
  <si>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</si>
  <si>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</si>
  <si>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</si>
  <si>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</si>
  <si>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</si>
  <si>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</si>
  <si>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</si>
  <si>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</si>
  <si>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</si>
  <si>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</si>
  <si>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</si>
  <si>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</si>
  <si>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</si>
  <si>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</si>
  <si>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</si>
  <si>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</si>
  <si>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</si>
  <si>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</si>
  <si>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</si>
  <si>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</si>
  <si>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</si>
  <si>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</si>
  <si>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</si>
  <si>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</si>
  <si>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</si>
  <si>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</si>
  <si>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</si>
  <si>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</si>
  <si>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</si>
  <si>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</si>
  <si>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</si>
  <si>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</si>
  <si>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</si>
  <si>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</si>
  <si>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</si>
  <si>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</si>
  <si>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</si>
  <si>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</si>
  <si>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</si>
  <si>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</si>
  <si>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</si>
  <si>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</si>
  <si>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</si>
  <si>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</si>
  <si>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</si>
  <si>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</si>
  <si>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</si>
  <si>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</si>
  <si>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</si>
  <si>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</si>
  <si>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</si>
  <si>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</si>
  <si>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</si>
  <si>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</si>
  <si>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</si>
  <si>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</si>
  <si>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</si>
  <si>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</si>
  <si>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</si>
  <si>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</si>
  <si>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</si>
  <si>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</si>
  <si>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</si>
  <si>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</si>
  <si>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</si>
  <si>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</si>
  <si>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</si>
  <si>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</si>
  <si>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</si>
  <si>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</si>
  <si>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</si>
  <si>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</si>
  <si>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</si>
  <si>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</si>
  <si>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</si>
  <si>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</si>
  <si>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</si>
  <si>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</si>
  <si>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</si>
  <si>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</si>
  <si>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</si>
  <si>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</si>
  <si>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</si>
  <si>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</si>
  <si>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</si>
  <si>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</si>
  <si>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</si>
  <si>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</si>
  <si>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</si>
  <si>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</si>
  <si>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</si>
  <si>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</si>
  <si>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</si>
  <si>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</si>
  <si>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</si>
  <si>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</si>
  <si>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</si>
  <si>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</si>
  <si>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</si>
  <si>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</si>
  <si>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</si>
  <si>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</si>
  <si>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</si>
  <si>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</si>
  <si>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</si>
  <si>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</si>
  <si>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</si>
  <si>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</si>
  <si>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</si>
  <si>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</si>
  <si>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</si>
  <si>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</si>
  <si>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</si>
  <si>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</si>
  <si>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</si>
  <si>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</si>
  <si>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</si>
  <si>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</si>
  <si>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</si>
  <si>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</si>
  <si>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</si>
  <si>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</si>
  <si>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</si>
  <si>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</si>
  <si>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</si>
  <si>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</si>
  <si>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</si>
  <si>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</si>
  <si>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</si>
  <si>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</si>
  <si>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</si>
  <si>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</si>
  <si>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</si>
  <si>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</si>
  <si>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</si>
  <si>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</si>
  <si>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</si>
  <si>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</si>
  <si>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</si>
  <si>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</si>
  <si>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</si>
  <si>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</si>
  <si>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</si>
  <si>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</si>
  <si>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</si>
  <si>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</si>
  <si>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</si>
  <si>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</si>
  <si>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</si>
  <si>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</si>
  <si>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</si>
  <si>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</si>
  <si>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</si>
  <si>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</si>
  <si>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</si>
  <si>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</si>
  <si>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</si>
  <si>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</si>
  <si>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</si>
  <si>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</si>
  <si>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</si>
  <si>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</si>
  <si>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</si>
  <si>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</si>
  <si>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</si>
  <si>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</si>
  <si>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</si>
  <si>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</si>
  <si>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</si>
  <si>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</si>
  <si>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</si>
  <si>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</si>
  <si>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</si>
  <si>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</si>
  <si>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</si>
  <si>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</si>
  <si>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</si>
  <si>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</si>
  <si>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</si>
  <si>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</si>
  <si>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</si>
  <si>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</si>
  <si>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</si>
  <si>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</si>
  <si>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</si>
  <si>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</si>
  <si>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</si>
  <si>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</si>
  <si>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</si>
  <si>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</si>
  <si>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</si>
  <si>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</si>
  <si>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</si>
  <si>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</si>
  <si>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</si>
  <si>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</si>
  <si>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</si>
  <si>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</si>
  <si>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</si>
  <si>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</si>
  <si>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</si>
  <si>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</si>
  <si>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</si>
  <si>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</si>
  <si>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</si>
  <si>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</si>
  <si>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</si>
  <si>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</si>
  <si>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</si>
  <si>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</si>
  <si>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</si>
  <si>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</si>
  <si>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</si>
  <si>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</si>
  <si>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</si>
  <si>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</si>
  <si>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</si>
  <si>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</si>
  <si>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</si>
  <si>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</si>
  <si>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</si>
  <si>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</si>
  <si>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</si>
  <si>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</si>
  <si>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</si>
  <si>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</si>
  <si>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</si>
  <si>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</si>
  <si>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</si>
  <si>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</si>
  <si>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</si>
  <si>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</si>
  <si>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</si>
  <si>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</si>
  <si>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</si>
  <si>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</si>
  <si>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</si>
  <si>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</si>
  <si>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</si>
  <si>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</si>
  <si>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</si>
  <si>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</si>
  <si>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</si>
  <si>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</si>
  <si>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</si>
  <si>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</si>
  <si>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</si>
  <si>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</si>
  <si>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</si>
  <si>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</si>
  <si>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</si>
  <si>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</si>
  <si>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</si>
  <si>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</si>
  <si>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</si>
  <si>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</si>
  <si>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</si>
  <si>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</si>
  <si>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</si>
  <si>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</si>
  <si>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</si>
  <si>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</si>
  <si>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</si>
  <si>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</si>
  <si>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</si>
  <si>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</si>
  <si>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</si>
  <si>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</si>
  <si>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</si>
  <si>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</si>
  <si>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</si>
  <si>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</si>
  <si>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</si>
  <si>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</si>
  <si>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</si>
  <si>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</si>
  <si>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</si>
  <si>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</si>
  <si>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</si>
  <si>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</si>
  <si>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</si>
  <si>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</si>
  <si>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</si>
  <si>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</si>
  <si>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</si>
  <si>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</si>
  <si>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</si>
  <si>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</si>
  <si>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</si>
  <si>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</si>
  <si>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</si>
  <si>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</si>
  <si>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</si>
  <si>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</si>
  <si>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</si>
  <si>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</si>
  <si>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</si>
  <si>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</si>
  <si>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</si>
  <si>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</si>
  <si>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</si>
  <si>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</si>
  <si>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</si>
  <si>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</si>
  <si>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</si>
  <si>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</si>
  <si>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</si>
  <si>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</si>
  <si>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</si>
  <si>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</si>
  <si>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</si>
  <si>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</si>
  <si>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</si>
  <si>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</si>
  <si>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</si>
  <si>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</si>
  <si>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</si>
  <si>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</si>
  <si>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</si>
  <si>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</si>
  <si>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</si>
  <si>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</si>
  <si>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</si>
  <si>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</si>
  <si>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</si>
  <si>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</si>
  <si>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</si>
  <si>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</si>
  <si>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</si>
  <si>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</si>
  <si>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</si>
  <si>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</si>
  <si>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</si>
  <si>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</si>
  <si>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</si>
  <si>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</si>
  <si>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</si>
  <si>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</si>
  <si>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</si>
  <si>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</si>
  <si>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</si>
  <si>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</si>
  <si>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</si>
  <si>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</si>
  <si>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</si>
  <si>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</si>
  <si>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</si>
  <si>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</si>
  <si>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</si>
  <si>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</si>
  <si>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</si>
  <si>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</si>
  <si>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</si>
  <si>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</si>
  <si>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</si>
  <si>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</si>
  <si>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</si>
  <si>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</si>
  <si>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</si>
  <si>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</si>
  <si>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</si>
  <si>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</si>
  <si>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</si>
  <si>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</si>
  <si>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</si>
  <si>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</si>
  <si>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</si>
  <si>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</si>
  <si>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</si>
  <si>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</si>
  <si>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</si>
  <si>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</si>
  <si>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</si>
  <si>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</si>
  <si>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</si>
  <si>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</si>
  <si>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</si>
  <si>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</si>
  <si>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</si>
  <si>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</si>
  <si>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</si>
  <si>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</si>
  <si>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</si>
  <si>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</si>
  <si>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</si>
  <si>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</si>
  <si>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</si>
  <si>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</si>
  <si>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</si>
  <si>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</si>
  <si>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</si>
  <si>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</si>
  <si>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</si>
  <si>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</si>
  <si>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</si>
  <si>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</si>
  <si>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</si>
  <si>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</si>
  <si>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</si>
  <si>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</si>
  <si>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</si>
  <si>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</si>
  <si>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</si>
  <si>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</si>
  <si>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</si>
  <si>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</si>
  <si>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</si>
  <si>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</si>
  <si>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</si>
  <si>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</si>
  <si>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</si>
  <si>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</si>
  <si>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</si>
  <si>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</si>
  <si>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</si>
  <si>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</si>
  <si>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</si>
  <si>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</si>
  <si>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</si>
  <si>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</si>
  <si>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</si>
  <si>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</si>
  <si>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</si>
  <si>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</si>
  <si>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</si>
  <si>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</si>
  <si>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</si>
  <si>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</si>
  <si>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</si>
  <si>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</si>
  <si>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</si>
  <si>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</si>
  <si>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</si>
  <si>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</si>
  <si>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</si>
  <si>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</si>
  <si>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</si>
  <si>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</si>
  <si>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</si>
  <si>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</si>
  <si>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</si>
  <si>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</si>
  <si>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</si>
  <si>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</si>
  <si>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</si>
  <si>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</si>
  <si>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</si>
  <si>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</si>
  <si>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</si>
  <si>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</si>
  <si>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</si>
  <si>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</si>
  <si>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</si>
  <si>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</si>
  <si>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</si>
  <si>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</si>
  <si>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</si>
  <si>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</si>
  <si>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</si>
  <si>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</si>
  <si>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</si>
  <si>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</si>
  <si>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</si>
  <si>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</si>
  <si>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</si>
  <si>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</si>
  <si>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</si>
  <si>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</si>
  <si>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</si>
  <si>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</si>
  <si>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</si>
  <si>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</si>
  <si>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</si>
  <si>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</si>
  <si>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</si>
  <si>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</si>
  <si>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</si>
  <si>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</si>
  <si>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</si>
  <si>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</si>
  <si>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</si>
  <si>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</si>
  <si>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</si>
  <si>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</si>
  <si>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</si>
  <si>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</si>
  <si>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</si>
  <si>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</si>
  <si>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</si>
  <si>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</si>
  <si>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</si>
  <si>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</si>
  <si>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</si>
  <si>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</si>
  <si>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</si>
  <si>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</si>
  <si>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</si>
  <si>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</si>
  <si>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</si>
  <si>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</si>
  <si>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</si>
  <si>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</si>
  <si>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</si>
  <si>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</si>
  <si>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</si>
  <si>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</si>
  <si>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</si>
  <si>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</si>
  <si>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</si>
  <si>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</si>
  <si>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Ver. 06.27.25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</si>
</sst>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9"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4">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0">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4" fillId="0" borderId="0"/>
    <xf numFmtId="0" fontId="10" fillId="0" borderId="0"/>
    <xf numFmtId="0" fontId="7" fillId="0" borderId="0"/>
    <xf numFmtId="0" fontId="2" fillId="0" borderId="0"/>
    <xf numFmtId="0" fontId="1" fillId="0" borderId="0"/>
    <xf numFmtId="0" fontId="112" fillId="0" borderId="0" applyNumberFormat="0" applyFill="0" applyBorder="0" applyAlignment="0" applyProtection="0"/>
  </cellStyleXfs>
  <cellXfs count="657">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4" fillId="0" borderId="0" xfId="1"/>
    <xf numFmtId="0" fontId="54"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4" fillId="0" borderId="0" xfId="1" applyAlignment="1">
      <alignment horizontal="left"/>
    </xf>
    <xf numFmtId="0" fontId="54" fillId="0" borderId="0" xfId="1" quotePrefix="1" applyAlignment="1">
      <alignment horizontal="left"/>
    </xf>
    <xf numFmtId="167" fontId="54"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4" fillId="0" borderId="1" xfId="1" applyBorder="1"/>
    <xf numFmtId="0" fontId="18" fillId="0" borderId="1" xfId="1" applyFont="1" applyBorder="1" applyAlignment="1">
      <alignment horizontal="center"/>
    </xf>
    <xf numFmtId="0" fontId="12" fillId="0" borderId="0" xfId="1" applyFont="1"/>
    <xf numFmtId="165" fontId="54"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4" fillId="0" borderId="3" xfId="1" applyBorder="1" applyAlignment="1">
      <alignment horizontal="center"/>
    </xf>
    <xf numFmtId="0" fontId="13" fillId="0" borderId="0" xfId="1" applyFont="1"/>
    <xf numFmtId="0" fontId="13" fillId="0" borderId="0" xfId="1" applyFont="1" applyAlignment="1">
      <alignment horizontal="center"/>
    </xf>
    <xf numFmtId="170" fontId="54"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4"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4" fillId="0" borderId="0" xfId="1" applyNumberFormat="1" applyAlignment="1">
      <alignment horizontal="left"/>
    </xf>
    <xf numFmtId="0" fontId="54" fillId="0" borderId="1" xfId="1" applyBorder="1" applyAlignment="1">
      <alignment horizontal="center"/>
    </xf>
    <xf numFmtId="0" fontId="7" fillId="0" borderId="0" xfId="0" applyFont="1"/>
    <xf numFmtId="165" fontId="54"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0" xfId="0" applyNumberFormat="1" applyFont="1" applyProtection="1">
      <protection locked="0"/>
    </xf>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6" fillId="0" borderId="0" xfId="0" applyFont="1"/>
    <xf numFmtId="178" fontId="25" fillId="0" borderId="0" xfId="0" applyNumberFormat="1" applyFont="1"/>
    <xf numFmtId="0" fontId="37" fillId="0" borderId="0" xfId="0" applyFont="1"/>
    <xf numFmtId="178" fontId="38" fillId="0" borderId="0" xfId="0" applyNumberFormat="1" applyFont="1"/>
    <xf numFmtId="0" fontId="38" fillId="0" borderId="0" xfId="0" applyFont="1"/>
    <xf numFmtId="178" fontId="39" fillId="0" borderId="0" xfId="0" applyNumberFormat="1" applyFont="1"/>
    <xf numFmtId="0" fontId="39" fillId="0" borderId="0" xfId="0" applyFont="1"/>
    <xf numFmtId="178" fontId="40"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19"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3" fillId="0" borderId="0" xfId="0" applyFont="1" applyAlignment="1">
      <alignment horizontal="right"/>
    </xf>
    <xf numFmtId="0" fontId="45" fillId="0" borderId="0" xfId="0" applyFont="1"/>
    <xf numFmtId="0" fontId="46" fillId="0" borderId="0" xfId="0" applyFont="1" applyAlignment="1">
      <alignment horizontal="center"/>
    </xf>
    <xf numFmtId="0" fontId="42" fillId="0" borderId="0" xfId="0" applyFont="1"/>
    <xf numFmtId="0" fontId="47" fillId="0" borderId="0" xfId="0" applyFont="1"/>
    <xf numFmtId="0" fontId="44" fillId="0" borderId="0" xfId="0" applyFont="1" applyAlignment="1">
      <alignment horizontal="right"/>
    </xf>
    <xf numFmtId="49" fontId="45" fillId="0" borderId="0" xfId="0" applyNumberFormat="1" applyFont="1" applyAlignment="1" applyProtection="1">
      <alignment horizontal="right"/>
      <protection locked="0"/>
    </xf>
    <xf numFmtId="0" fontId="48" fillId="0" borderId="0" xfId="0" applyFont="1" applyAlignment="1">
      <alignment horizontal="right"/>
    </xf>
    <xf numFmtId="14" fontId="0" fillId="0" borderId="0" xfId="0" applyNumberFormat="1"/>
    <xf numFmtId="0" fontId="7" fillId="0" borderId="0" xfId="0" applyFont="1" applyProtection="1">
      <protection locked="0"/>
    </xf>
    <xf numFmtId="0" fontId="41" fillId="0" borderId="0" xfId="0" applyFont="1"/>
    <xf numFmtId="0" fontId="50" fillId="0" borderId="0" xfId="0" applyFont="1"/>
    <xf numFmtId="0" fontId="23" fillId="0" borderId="0" xfId="0" applyFont="1"/>
    <xf numFmtId="0" fontId="51" fillId="0" borderId="0" xfId="2" applyFont="1"/>
    <xf numFmtId="0" fontId="52"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3" fillId="0" borderId="0" xfId="2" applyFont="1"/>
    <xf numFmtId="0" fontId="53" fillId="0" borderId="0" xfId="2" applyFont="1"/>
    <xf numFmtId="0" fontId="54" fillId="0" borderId="0" xfId="1" applyAlignment="1" applyProtection="1">
      <alignment horizontal="center"/>
      <protection locked="0"/>
    </xf>
    <xf numFmtId="172" fontId="7" fillId="0" borderId="0" xfId="0" applyNumberFormat="1" applyFont="1"/>
    <xf numFmtId="178" fontId="37" fillId="0" borderId="0" xfId="0" applyNumberFormat="1" applyFont="1"/>
    <xf numFmtId="177" fontId="37" fillId="0" borderId="0" xfId="0" applyNumberFormat="1" applyFont="1"/>
    <xf numFmtId="0" fontId="56" fillId="0" borderId="0" xfId="0" applyFont="1"/>
    <xf numFmtId="2" fontId="23" fillId="0" borderId="0" xfId="0" applyNumberFormat="1" applyFont="1"/>
    <xf numFmtId="2" fontId="29" fillId="0" borderId="0" xfId="0" applyNumberFormat="1" applyFont="1"/>
    <xf numFmtId="2" fontId="0" fillId="0" borderId="0" xfId="0" applyNumberFormat="1"/>
    <xf numFmtId="0" fontId="57" fillId="0" borderId="0" xfId="0" applyFont="1"/>
    <xf numFmtId="0" fontId="7" fillId="0" borderId="19" xfId="0" applyFont="1" applyBorder="1"/>
    <xf numFmtId="165" fontId="7" fillId="0" borderId="4" xfId="0" applyNumberFormat="1" applyFont="1" applyBorder="1" applyAlignment="1">
      <alignment horizontal="right"/>
    </xf>
    <xf numFmtId="178" fontId="56" fillId="0" borderId="0" xfId="0" applyNumberFormat="1" applyFont="1"/>
    <xf numFmtId="0" fontId="58" fillId="0" borderId="0" xfId="0" applyFont="1"/>
    <xf numFmtId="164" fontId="7" fillId="0" borderId="4" xfId="0" applyNumberFormat="1" applyFont="1" applyBorder="1"/>
    <xf numFmtId="172" fontId="36" fillId="0" borderId="0" xfId="0" applyNumberFormat="1" applyFont="1"/>
    <xf numFmtId="172" fontId="7" fillId="0" borderId="0" xfId="0" applyNumberFormat="1" applyFont="1" applyAlignment="1">
      <alignment horizontal="right"/>
    </xf>
    <xf numFmtId="172" fontId="37" fillId="0" borderId="0" xfId="0" applyNumberFormat="1" applyFont="1"/>
    <xf numFmtId="0" fontId="60" fillId="0" borderId="0" xfId="0" applyFont="1"/>
    <xf numFmtId="2" fontId="58" fillId="0" borderId="0" xfId="0" applyNumberFormat="1" applyFont="1"/>
    <xf numFmtId="0" fontId="55" fillId="0" borderId="0" xfId="0" applyFont="1"/>
    <xf numFmtId="0" fontId="61" fillId="0" borderId="0" xfId="0" applyFont="1"/>
    <xf numFmtId="0" fontId="58" fillId="0" borderId="0" xfId="0" applyFont="1" applyAlignment="1">
      <alignment horizontal="left"/>
    </xf>
    <xf numFmtId="172" fontId="64"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5"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6" fillId="0" borderId="0" xfId="0" applyNumberFormat="1" applyFont="1"/>
    <xf numFmtId="164" fontId="58" fillId="0" borderId="0" xfId="0" applyNumberFormat="1" applyFont="1"/>
    <xf numFmtId="179" fontId="37" fillId="0" borderId="0" xfId="0" applyNumberFormat="1" applyFont="1"/>
    <xf numFmtId="0" fontId="27" fillId="0" borderId="0" xfId="0" applyFont="1"/>
    <xf numFmtId="49" fontId="42" fillId="0" borderId="0" xfId="0" applyNumberFormat="1" applyFont="1" applyAlignment="1" applyProtection="1">
      <alignment horizontal="right"/>
      <protection locked="0"/>
    </xf>
    <xf numFmtId="0" fontId="67" fillId="0" borderId="0" xfId="0" applyFont="1"/>
    <xf numFmtId="172" fontId="37" fillId="0" borderId="0" xfId="0" applyNumberFormat="1" applyFont="1" applyAlignment="1">
      <alignment horizontal="right"/>
    </xf>
    <xf numFmtId="0" fontId="37" fillId="0" borderId="0" xfId="0" applyFont="1" applyAlignment="1">
      <alignment horizontal="left"/>
    </xf>
    <xf numFmtId="172" fontId="37" fillId="0" borderId="0" xfId="0" applyNumberFormat="1" applyFont="1" applyAlignment="1">
      <alignment horizontal="center"/>
    </xf>
    <xf numFmtId="0" fontId="49" fillId="0" borderId="0" xfId="0" applyFont="1" applyAlignment="1">
      <alignment horizontal="center"/>
    </xf>
    <xf numFmtId="0" fontId="49" fillId="0" borderId="0" xfId="0" applyFont="1"/>
    <xf numFmtId="0" fontId="71" fillId="0" borderId="0" xfId="0" applyFont="1"/>
    <xf numFmtId="0" fontId="55" fillId="0" borderId="0" xfId="0" applyFont="1" applyAlignment="1">
      <alignment horizontal="center"/>
    </xf>
    <xf numFmtId="1" fontId="0" fillId="0" borderId="0" xfId="0" applyNumberFormat="1"/>
    <xf numFmtId="0" fontId="78" fillId="6" borderId="13" xfId="0" applyFont="1" applyFill="1" applyBorder="1"/>
    <xf numFmtId="0" fontId="78" fillId="6" borderId="12" xfId="0" applyFont="1" applyFill="1" applyBorder="1"/>
    <xf numFmtId="0" fontId="76" fillId="2" borderId="0" xfId="0" applyFont="1" applyFill="1" applyProtection="1">
      <protection locked="0"/>
    </xf>
    <xf numFmtId="0" fontId="76" fillId="4" borderId="7" xfId="0" applyFont="1" applyFill="1" applyBorder="1" applyAlignment="1">
      <alignment horizontal="left" vertical="top"/>
    </xf>
    <xf numFmtId="0" fontId="80" fillId="4" borderId="12" xfId="0" applyFont="1" applyFill="1" applyBorder="1" applyAlignment="1">
      <alignment horizontal="right" wrapText="1"/>
    </xf>
    <xf numFmtId="165" fontId="84" fillId="5" borderId="12" xfId="0" applyNumberFormat="1" applyFont="1" applyFill="1" applyBorder="1" applyAlignment="1">
      <alignment horizontal="center"/>
    </xf>
    <xf numFmtId="0" fontId="82" fillId="4" borderId="4" xfId="0" applyFont="1" applyFill="1" applyBorder="1" applyAlignment="1">
      <alignment horizontal="center"/>
    </xf>
    <xf numFmtId="0" fontId="82" fillId="4" borderId="7" xfId="0" applyFont="1" applyFill="1" applyBorder="1" applyAlignment="1">
      <alignment horizontal="center"/>
    </xf>
    <xf numFmtId="0" fontId="85" fillId="3" borderId="9" xfId="0" applyFont="1" applyFill="1" applyBorder="1" applyProtection="1">
      <protection locked="0"/>
    </xf>
    <xf numFmtId="0" fontId="86" fillId="5" borderId="7" xfId="0" applyFont="1" applyFill="1" applyBorder="1" applyAlignment="1">
      <alignment horizontal="left"/>
    </xf>
    <xf numFmtId="0" fontId="87" fillId="5" borderId="17" xfId="0" applyFont="1" applyFill="1" applyBorder="1" applyAlignment="1">
      <alignment horizontal="left"/>
    </xf>
    <xf numFmtId="0" fontId="86" fillId="5" borderId="4" xfId="0" applyFont="1" applyFill="1" applyBorder="1"/>
    <xf numFmtId="172" fontId="86" fillId="5" borderId="4" xfId="0" applyNumberFormat="1" applyFont="1" applyFill="1" applyBorder="1"/>
    <xf numFmtId="0" fontId="87" fillId="5" borderId="12" xfId="0" applyFont="1" applyFill="1" applyBorder="1" applyAlignment="1">
      <alignment horizontal="left"/>
    </xf>
    <xf numFmtId="0" fontId="76" fillId="4" borderId="9" xfId="0" applyFont="1" applyFill="1" applyBorder="1" applyAlignment="1">
      <alignment horizontal="left" vertical="top"/>
    </xf>
    <xf numFmtId="0" fontId="80" fillId="4" borderId="18" xfId="0" applyFont="1" applyFill="1" applyBorder="1" applyAlignment="1">
      <alignment horizontal="right" wrapText="1"/>
    </xf>
    <xf numFmtId="0" fontId="80" fillId="4" borderId="12" xfId="0" applyFont="1" applyFill="1" applyBorder="1" applyAlignment="1">
      <alignment horizontal="right"/>
    </xf>
    <xf numFmtId="0" fontId="76" fillId="4" borderId="20" xfId="0" applyFont="1" applyFill="1" applyBorder="1" applyAlignment="1">
      <alignment horizontal="left" vertical="top"/>
    </xf>
    <xf numFmtId="0" fontId="80" fillId="4" borderId="17" xfId="0" applyFont="1" applyFill="1" applyBorder="1" applyAlignment="1">
      <alignment horizontal="right"/>
    </xf>
    <xf numFmtId="0" fontId="80" fillId="4" borderId="11" xfId="0" applyFont="1" applyFill="1" applyBorder="1" applyAlignment="1">
      <alignment horizontal="right"/>
    </xf>
    <xf numFmtId="0" fontId="80" fillId="4" borderId="4" xfId="0" applyFont="1" applyFill="1" applyBorder="1" applyAlignment="1">
      <alignment horizontal="right"/>
    </xf>
    <xf numFmtId="0" fontId="76" fillId="4" borderId="14" xfId="0" applyFont="1" applyFill="1" applyBorder="1" applyAlignment="1">
      <alignment horizontal="left" vertical="top"/>
    </xf>
    <xf numFmtId="0" fontId="80" fillId="4" borderId="16" xfId="0" applyFont="1" applyFill="1" applyBorder="1" applyAlignment="1">
      <alignment horizontal="right" wrapText="1"/>
    </xf>
    <xf numFmtId="0" fontId="91" fillId="8" borderId="12" xfId="0" applyFont="1" applyFill="1" applyBorder="1" applyAlignment="1">
      <alignment horizontal="left"/>
    </xf>
    <xf numFmtId="0" fontId="80" fillId="4" borderId="17" xfId="0" applyFont="1" applyFill="1" applyBorder="1" applyAlignment="1">
      <alignment horizontal="right" wrapText="1"/>
    </xf>
    <xf numFmtId="0" fontId="80" fillId="4" borderId="19" xfId="0" applyFont="1" applyFill="1" applyBorder="1" applyAlignment="1">
      <alignment horizontal="right"/>
    </xf>
    <xf numFmtId="0" fontId="81" fillId="4" borderId="4" xfId="0" applyFont="1" applyFill="1" applyBorder="1" applyAlignment="1">
      <alignment horizontal="center"/>
    </xf>
    <xf numFmtId="1" fontId="94" fillId="4" borderId="7" xfId="0" applyNumberFormat="1" applyFont="1" applyFill="1" applyBorder="1" applyAlignment="1">
      <alignment horizontal="left" vertical="top"/>
    </xf>
    <xf numFmtId="1" fontId="94" fillId="4" borderId="20" xfId="0" applyNumberFormat="1" applyFont="1" applyFill="1" applyBorder="1" applyAlignment="1">
      <alignment horizontal="left" vertical="top"/>
    </xf>
    <xf numFmtId="176" fontId="84" fillId="5" borderId="4" xfId="0" applyNumberFormat="1" applyFont="1" applyFill="1" applyBorder="1" applyAlignment="1">
      <alignment horizontal="left"/>
    </xf>
    <xf numFmtId="172" fontId="81" fillId="4" borderId="9" xfId="0" applyNumberFormat="1" applyFont="1" applyFill="1" applyBorder="1" applyAlignment="1">
      <alignment horizontal="left"/>
    </xf>
    <xf numFmtId="0" fontId="80" fillId="4" borderId="18" xfId="0" applyFont="1" applyFill="1" applyBorder="1" applyAlignment="1">
      <alignment horizontal="right"/>
    </xf>
    <xf numFmtId="0" fontId="89" fillId="4" borderId="4" xfId="0" applyFont="1" applyFill="1" applyBorder="1" applyAlignment="1">
      <alignment horizontal="left" vertical="top"/>
    </xf>
    <xf numFmtId="0" fontId="89" fillId="4" borderId="4" xfId="0" applyFont="1" applyFill="1" applyBorder="1" applyAlignment="1">
      <alignment horizontal="left"/>
    </xf>
    <xf numFmtId="172" fontId="84" fillId="5" borderId="4" xfId="0" applyNumberFormat="1" applyFont="1" applyFill="1" applyBorder="1"/>
    <xf numFmtId="172" fontId="84" fillId="5" borderId="4" xfId="0" applyNumberFormat="1" applyFont="1" applyFill="1" applyBorder="1" applyAlignment="1">
      <alignment horizontal="center"/>
    </xf>
    <xf numFmtId="0" fontId="82" fillId="4" borderId="10" xfId="0" applyFont="1" applyFill="1" applyBorder="1" applyAlignment="1">
      <alignment horizontal="center" vertical="top"/>
    </xf>
    <xf numFmtId="0" fontId="82" fillId="4" borderId="10" xfId="0" applyFont="1" applyFill="1" applyBorder="1" applyAlignment="1">
      <alignment horizontal="center" wrapText="1"/>
    </xf>
    <xf numFmtId="0" fontId="82" fillId="4" borderId="10" xfId="0" applyFont="1" applyFill="1" applyBorder="1" applyAlignment="1">
      <alignment horizontal="center"/>
    </xf>
    <xf numFmtId="0" fontId="81" fillId="3" borderId="8" xfId="0" applyFont="1" applyFill="1" applyBorder="1" applyProtection="1">
      <protection locked="0"/>
    </xf>
    <xf numFmtId="0" fontId="81" fillId="3" borderId="4" xfId="0" applyFont="1" applyFill="1" applyBorder="1" applyAlignment="1" applyProtection="1">
      <alignment horizontal="right" vertical="top"/>
      <protection locked="0"/>
    </xf>
    <xf numFmtId="0" fontId="81" fillId="3" borderId="4" xfId="0" applyFont="1" applyFill="1" applyBorder="1" applyAlignment="1" applyProtection="1">
      <alignment horizontal="right"/>
      <protection locked="0"/>
    </xf>
    <xf numFmtId="0" fontId="81" fillId="3" borderId="4" xfId="0" applyFont="1" applyFill="1" applyBorder="1" applyProtection="1">
      <protection locked="0"/>
    </xf>
    <xf numFmtId="0" fontId="100" fillId="8" borderId="4" xfId="0" applyFont="1" applyFill="1" applyBorder="1" applyAlignment="1">
      <alignment horizontal="left"/>
    </xf>
    <xf numFmtId="0" fontId="101" fillId="8" borderId="4" xfId="0" applyFont="1" applyFill="1" applyBorder="1" applyAlignment="1">
      <alignment horizontal="right"/>
    </xf>
    <xf numFmtId="0" fontId="101" fillId="8" borderId="7" xfId="0" applyFont="1" applyFill="1" applyBorder="1"/>
    <xf numFmtId="0" fontId="101" fillId="8" borderId="13" xfId="0" applyFont="1" applyFill="1" applyBorder="1"/>
    <xf numFmtId="0" fontId="101" fillId="8" borderId="16" xfId="0" applyFont="1" applyFill="1" applyBorder="1"/>
    <xf numFmtId="0" fontId="100" fillId="8" borderId="4" xfId="0" applyFont="1" applyFill="1" applyBorder="1"/>
    <xf numFmtId="0" fontId="76" fillId="2" borderId="0" xfId="0" applyFont="1" applyFill="1" applyAlignment="1" applyProtection="1">
      <alignment horizontal="left" vertical="top"/>
      <protection locked="0"/>
    </xf>
    <xf numFmtId="0" fontId="101" fillId="8" borderId="7" xfId="0" applyFont="1" applyFill="1" applyBorder="1" applyAlignment="1">
      <alignment horizontal="left"/>
    </xf>
    <xf numFmtId="0" fontId="101" fillId="8" borderId="13" xfId="0" applyFont="1" applyFill="1" applyBorder="1" applyAlignment="1">
      <alignment horizontal="right"/>
    </xf>
    <xf numFmtId="0" fontId="101" fillId="8" borderId="12" xfId="0" applyFont="1" applyFill="1" applyBorder="1" applyAlignment="1">
      <alignment horizontal="right"/>
    </xf>
    <xf numFmtId="0" fontId="100" fillId="8" borderId="8" xfId="0" applyFont="1" applyFill="1" applyBorder="1"/>
    <xf numFmtId="0" fontId="76" fillId="2" borderId="0" xfId="0" applyFont="1" applyFill="1" applyAlignment="1" applyProtection="1">
      <alignment horizontal="left"/>
      <protection locked="0"/>
    </xf>
    <xf numFmtId="0" fontId="76" fillId="2" borderId="0" xfId="0" applyFont="1" applyFill="1" applyAlignment="1" applyProtection="1">
      <alignment horizontal="right" wrapText="1"/>
      <protection locked="0"/>
    </xf>
    <xf numFmtId="0" fontId="23" fillId="3" borderId="8" xfId="0" applyFont="1" applyFill="1" applyBorder="1" applyAlignment="1" applyProtection="1">
      <alignment horizontal="right"/>
      <protection locked="0"/>
    </xf>
    <xf numFmtId="0" fontId="23" fillId="3" borderId="4" xfId="0" applyFont="1" applyFill="1" applyBorder="1" applyAlignment="1" applyProtection="1">
      <alignment horizontal="right"/>
      <protection locked="0"/>
    </xf>
    <xf numFmtId="0" fontId="28" fillId="11" borderId="12" xfId="0" applyFont="1" applyFill="1" applyBorder="1" applyAlignment="1">
      <alignment horizontal="right" wrapText="1"/>
    </xf>
    <xf numFmtId="0" fontId="28" fillId="4" borderId="16" xfId="0" applyFont="1" applyFill="1" applyBorder="1" applyAlignment="1">
      <alignment horizontal="right" wrapText="1"/>
    </xf>
    <xf numFmtId="0" fontId="76" fillId="11" borderId="7" xfId="0" applyFont="1" applyFill="1" applyBorder="1" applyAlignment="1">
      <alignment horizontal="left" vertical="top"/>
    </xf>
    <xf numFmtId="0" fontId="110" fillId="0" borderId="0" xfId="1" applyFont="1"/>
    <xf numFmtId="0" fontId="110" fillId="0" borderId="0" xfId="1" applyFont="1" applyAlignment="1">
      <alignment horizontal="center"/>
    </xf>
    <xf numFmtId="0" fontId="109" fillId="0" borderId="0" xfId="1" applyFont="1"/>
    <xf numFmtId="0" fontId="111" fillId="0" borderId="0" xfId="0" applyFont="1" applyAlignment="1">
      <alignment horizontal="center"/>
    </xf>
    <xf numFmtId="0" fontId="23" fillId="3" borderId="8" xfId="0" applyFont="1" applyFill="1" applyBorder="1" applyAlignment="1" applyProtection="1">
      <alignment horizontal="right" vertical="top"/>
      <protection locked="0"/>
    </xf>
    <xf numFmtId="0" fontId="23" fillId="3" borderId="8" xfId="0" applyFont="1" applyFill="1" applyBorder="1" applyProtection="1">
      <protection locked="0"/>
    </xf>
    <xf numFmtId="0" fontId="23"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3" fillId="0" borderId="0" xfId="0" applyFont="1" applyAlignment="1">
      <alignment horizontal="center"/>
    </xf>
    <xf numFmtId="180" fontId="23" fillId="0" borderId="0" xfId="0" applyNumberFormat="1" applyFont="1" applyAlignment="1">
      <alignment horizontal="center"/>
    </xf>
    <xf numFmtId="0" fontId="65" fillId="0" borderId="0" xfId="0" applyFont="1"/>
    <xf numFmtId="0" fontId="65" fillId="0" borderId="15" xfId="0" applyFont="1" applyBorder="1"/>
    <xf numFmtId="0" fontId="65" fillId="0" borderId="21" xfId="0" applyFont="1" applyBorder="1"/>
    <xf numFmtId="0" fontId="65" fillId="0" borderId="0" xfId="0" applyFont="1" applyAlignment="1">
      <alignment horizontal="left"/>
    </xf>
    <xf numFmtId="0" fontId="65" fillId="0" borderId="0" xfId="0" applyFont="1" applyAlignment="1">
      <alignment horizontal="right"/>
    </xf>
    <xf numFmtId="0" fontId="42" fillId="0" borderId="15" xfId="0" applyFont="1" applyBorder="1"/>
    <xf numFmtId="0" fontId="65" fillId="0" borderId="9" xfId="0" applyFont="1" applyBorder="1" applyAlignment="1">
      <alignment horizontal="right"/>
    </xf>
    <xf numFmtId="0" fontId="42" fillId="0" borderId="15" xfId="0" applyFont="1" applyBorder="1" applyAlignment="1">
      <alignment horizontal="right"/>
    </xf>
    <xf numFmtId="0" fontId="42" fillId="0" borderId="21" xfId="0" applyFont="1" applyBorder="1" applyAlignment="1">
      <alignment horizontal="right"/>
    </xf>
    <xf numFmtId="172" fontId="113" fillId="0" borderId="15" xfId="0" applyNumberFormat="1" applyFont="1" applyBorder="1"/>
    <xf numFmtId="181" fontId="113" fillId="0" borderId="0" xfId="0" applyNumberFormat="1" applyFont="1"/>
    <xf numFmtId="0" fontId="113" fillId="0" borderId="0" xfId="0" applyFont="1"/>
    <xf numFmtId="0" fontId="65" fillId="0" borderId="9" xfId="0" applyFont="1" applyBorder="1"/>
    <xf numFmtId="0" fontId="65" fillId="0" borderId="18" xfId="0" applyFont="1" applyBorder="1"/>
    <xf numFmtId="0" fontId="117" fillId="0" borderId="0" xfId="0" applyFont="1" applyAlignment="1">
      <alignment horizontal="center"/>
    </xf>
    <xf numFmtId="0" fontId="118" fillId="0" borderId="0" xfId="0" applyFont="1"/>
    <xf numFmtId="0" fontId="42" fillId="0" borderId="0" xfId="0" applyFont="1" applyAlignment="1">
      <alignment horizontal="right"/>
    </xf>
    <xf numFmtId="0" fontId="120" fillId="0" borderId="0" xfId="0" applyFont="1"/>
    <xf numFmtId="0" fontId="113" fillId="0" borderId="15" xfId="0" applyFont="1" applyBorder="1" applyAlignment="1">
      <alignment horizontal="left"/>
    </xf>
    <xf numFmtId="0" fontId="113" fillId="0" borderId="15" xfId="0" applyFont="1" applyBorder="1"/>
    <xf numFmtId="0" fontId="113" fillId="0" borderId="0" xfId="0" applyFont="1" applyAlignment="1">
      <alignment horizontal="left"/>
    </xf>
    <xf numFmtId="0" fontId="42" fillId="0" borderId="14" xfId="0" applyFont="1" applyBorder="1" applyAlignment="1">
      <alignment horizontal="right"/>
    </xf>
    <xf numFmtId="0" fontId="42" fillId="0" borderId="20" xfId="0" applyFont="1" applyBorder="1" applyAlignment="1">
      <alignment horizontal="right"/>
    </xf>
    <xf numFmtId="0" fontId="113" fillId="0" borderId="21" xfId="0" applyFont="1" applyBorder="1" applyAlignment="1">
      <alignment horizontal="left"/>
    </xf>
    <xf numFmtId="180" fontId="113" fillId="0" borderId="0" xfId="0" applyNumberFormat="1" applyFont="1" applyAlignment="1">
      <alignment horizontal="left"/>
    </xf>
    <xf numFmtId="0" fontId="42" fillId="0" borderId="9" xfId="0" applyFont="1" applyBorder="1" applyAlignment="1">
      <alignment horizontal="right"/>
    </xf>
    <xf numFmtId="0" fontId="42" fillId="0" borderId="9" xfId="0" applyFont="1" applyBorder="1"/>
    <xf numFmtId="166" fontId="113" fillId="0" borderId="15" xfId="0" applyNumberFormat="1" applyFont="1" applyBorder="1"/>
    <xf numFmtId="166" fontId="113" fillId="0" borderId="0" xfId="0" applyNumberFormat="1" applyFont="1"/>
    <xf numFmtId="0" fontId="116" fillId="0" borderId="0" xfId="0" applyFont="1"/>
    <xf numFmtId="0" fontId="121" fillId="0" borderId="0" xfId="0" applyFont="1"/>
    <xf numFmtId="0" fontId="113" fillId="0" borderId="21" xfId="0" applyFont="1" applyBorder="1"/>
    <xf numFmtId="180" fontId="113" fillId="0" borderId="15" xfId="0" applyNumberFormat="1" applyFont="1" applyBorder="1" applyAlignment="1">
      <alignment horizontal="left"/>
    </xf>
    <xf numFmtId="180" fontId="113" fillId="0" borderId="21" xfId="0" applyNumberFormat="1" applyFont="1" applyBorder="1" applyAlignment="1">
      <alignment horizontal="left"/>
    </xf>
    <xf numFmtId="0" fontId="124" fillId="0" borderId="0" xfId="6" applyFont="1"/>
    <xf numFmtId="0" fontId="43" fillId="0" borderId="0" xfId="0" applyFont="1" applyAlignment="1">
      <alignment horizontal="center"/>
    </xf>
    <xf numFmtId="0" fontId="42" fillId="0" borderId="0" xfId="0" applyFont="1" applyAlignment="1">
      <alignment horizontal="center"/>
    </xf>
    <xf numFmtId="1" fontId="42" fillId="0" borderId="0" xfId="0" applyNumberFormat="1" applyFont="1" applyAlignment="1">
      <alignment horizontal="center"/>
    </xf>
    <xf numFmtId="0" fontId="24" fillId="0" borderId="0" xfId="0" applyFont="1" applyAlignment="1">
      <alignment horizontal="right"/>
    </xf>
    <xf numFmtId="174" fontId="23" fillId="7" borderId="4" xfId="0" applyNumberFormat="1" applyFont="1" applyFill="1" applyBorder="1" applyProtection="1">
      <protection locked="0"/>
    </xf>
    <xf numFmtId="0" fontId="28" fillId="11" borderId="4" xfId="0" applyFont="1" applyFill="1" applyBorder="1" applyAlignment="1">
      <alignment horizontal="right"/>
    </xf>
    <xf numFmtId="164" fontId="7" fillId="0" borderId="8" xfId="0" applyNumberFormat="1" applyFont="1" applyBorder="1"/>
    <xf numFmtId="0" fontId="3" fillId="0" borderId="4" xfId="0" applyFont="1" applyBorder="1" applyAlignment="1">
      <alignment horizontal="right"/>
    </xf>
    <xf numFmtId="0" fontId="23" fillId="11" borderId="4" xfId="0" applyFont="1" applyFill="1" applyBorder="1" applyAlignment="1">
      <alignment horizontal="center"/>
    </xf>
    <xf numFmtId="2" fontId="7" fillId="0" borderId="8" xfId="0" applyNumberFormat="1" applyFont="1" applyBorder="1"/>
    <xf numFmtId="0" fontId="120" fillId="0" borderId="0" xfId="0" applyFont="1" applyAlignment="1">
      <alignment horizontal="left"/>
    </xf>
    <xf numFmtId="182" fontId="54" fillId="0" borderId="0" xfId="1" applyNumberFormat="1" applyAlignment="1">
      <alignment horizontal="left"/>
    </xf>
    <xf numFmtId="0" fontId="131" fillId="4" borderId="20"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1" borderId="7" xfId="0" applyFont="1" applyFill="1" applyBorder="1" applyAlignment="1">
      <alignment horizontal="center"/>
    </xf>
    <xf numFmtId="164" fontId="43"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3" fillId="0" borderId="20" xfId="0" applyFont="1" applyBorder="1" applyAlignment="1">
      <alignment horizontal="left"/>
    </xf>
    <xf numFmtId="0" fontId="33" fillId="0" borderId="0" xfId="0" applyFont="1" applyAlignment="1">
      <alignment horizontal="left"/>
    </xf>
    <xf numFmtId="14" fontId="33" fillId="0" borderId="20" xfId="0" applyNumberFormat="1" applyFont="1" applyBorder="1" applyAlignment="1">
      <alignment horizontal="left"/>
    </xf>
    <xf numFmtId="166" fontId="33" fillId="0" borderId="20" xfId="0" applyNumberFormat="1" applyFont="1" applyBorder="1" applyAlignment="1">
      <alignment horizontal="left"/>
    </xf>
    <xf numFmtId="0" fontId="33"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8" fillId="0" borderId="27" xfId="0" applyFont="1" applyBorder="1" applyAlignment="1">
      <alignment horizontal="center"/>
    </xf>
    <xf numFmtId="0" fontId="28" fillId="0" borderId="28" xfId="0" applyFont="1" applyBorder="1" applyAlignment="1">
      <alignment horizontal="center"/>
    </xf>
    <xf numFmtId="0" fontId="28" fillId="0" borderId="29" xfId="0" applyFont="1" applyBorder="1" applyAlignment="1">
      <alignment horizontal="center"/>
    </xf>
    <xf numFmtId="0" fontId="28" fillId="0" borderId="0" xfId="0" applyFont="1" applyAlignment="1">
      <alignment horizontal="center"/>
    </xf>
    <xf numFmtId="0" fontId="133" fillId="0" borderId="0" xfId="1" applyFont="1"/>
    <xf numFmtId="0" fontId="134" fillId="0" borderId="0" xfId="1" applyFont="1"/>
    <xf numFmtId="0" fontId="133" fillId="0" borderId="0" xfId="1" applyFont="1" applyAlignment="1">
      <alignment horizontal="center"/>
    </xf>
    <xf numFmtId="0" fontId="134" fillId="0" borderId="0" xfId="1" applyFont="1" applyAlignment="1">
      <alignment horizontal="center"/>
    </xf>
    <xf numFmtId="0" fontId="135" fillId="0" borderId="0" xfId="0" applyFont="1"/>
    <xf numFmtId="172" fontId="84" fillId="5" borderId="4" xfId="0" applyNumberFormat="1" applyFont="1" applyFill="1" applyBorder="1" applyAlignment="1">
      <alignment horizontal="left"/>
    </xf>
    <xf numFmtId="0" fontId="133" fillId="0" borderId="0" xfId="1" applyFont="1" applyProtection="1">
      <protection locked="0"/>
    </xf>
    <xf numFmtId="0" fontId="7" fillId="2" borderId="0" xfId="0" applyFont="1" applyFill="1" applyProtection="1">
      <protection hidden="1"/>
    </xf>
    <xf numFmtId="14" fontId="23" fillId="3" borderId="4" xfId="0" applyNumberFormat="1" applyFont="1" applyFill="1" applyBorder="1" applyAlignment="1">
      <alignment horizontal="left"/>
    </xf>
    <xf numFmtId="166" fontId="23" fillId="10" borderId="4" xfId="0" applyNumberFormat="1" applyFont="1" applyFill="1" applyBorder="1" applyAlignment="1">
      <alignment horizontal="left"/>
    </xf>
    <xf numFmtId="174" fontId="23" fillId="13" borderId="4" xfId="0" applyNumberFormat="1" applyFont="1" applyFill="1" applyBorder="1" applyAlignment="1" applyProtection="1">
      <alignment horizontal="left"/>
      <protection locked="0"/>
    </xf>
    <xf numFmtId="165" fontId="23" fillId="13" borderId="4" xfId="0" applyNumberFormat="1" applyFont="1" applyFill="1" applyBorder="1" applyAlignment="1" applyProtection="1">
      <alignment horizontal="left"/>
      <protection locked="0"/>
    </xf>
    <xf numFmtId="0" fontId="23" fillId="13" borderId="4" xfId="0" applyFont="1" applyFill="1" applyBorder="1" applyAlignment="1" applyProtection="1">
      <alignment horizontal="left"/>
      <protection locked="0"/>
    </xf>
    <xf numFmtId="0" fontId="81" fillId="13" borderId="4" xfId="0" applyFont="1" applyFill="1" applyBorder="1" applyAlignment="1" applyProtection="1">
      <alignment horizontal="left"/>
      <protection locked="0"/>
    </xf>
    <xf numFmtId="1" fontId="89" fillId="13" borderId="12" xfId="0" applyNumberFormat="1" applyFont="1" applyFill="1" applyBorder="1" applyAlignment="1" applyProtection="1">
      <alignment horizontal="left"/>
      <protection locked="0"/>
    </xf>
    <xf numFmtId="174" fontId="23" fillId="3" borderId="11" xfId="0" applyNumberFormat="1" applyFont="1" applyFill="1" applyBorder="1" applyAlignment="1">
      <alignment horizontal="left"/>
    </xf>
    <xf numFmtId="0" fontId="128" fillId="2" borderId="0" xfId="0" applyFont="1" applyFill="1" applyProtection="1">
      <protection hidden="1"/>
    </xf>
    <xf numFmtId="49" fontId="42" fillId="0" borderId="0" xfId="0" applyNumberFormat="1" applyFont="1" applyProtection="1">
      <protection locked="0"/>
    </xf>
    <xf numFmtId="14" fontId="33" fillId="3" borderId="4" xfId="0" applyNumberFormat="1" applyFont="1" applyFill="1" applyBorder="1" applyAlignment="1">
      <alignment horizontal="left"/>
    </xf>
    <xf numFmtId="0" fontId="33" fillId="3" borderId="4" xfId="0" applyFont="1" applyFill="1" applyBorder="1" applyAlignment="1">
      <alignment horizontal="center"/>
    </xf>
    <xf numFmtId="0" fontId="33" fillId="13" borderId="4" xfId="0" applyFont="1" applyFill="1" applyBorder="1" applyAlignment="1" applyProtection="1">
      <alignment horizontal="left"/>
      <protection locked="0"/>
    </xf>
    <xf numFmtId="49" fontId="33" fillId="3" borderId="4" xfId="0" applyNumberFormat="1" applyFont="1" applyFill="1" applyBorder="1" applyAlignment="1">
      <alignment horizontal="left"/>
    </xf>
    <xf numFmtId="0" fontId="7" fillId="13" borderId="4" xfId="0" applyFont="1" applyFill="1" applyBorder="1" applyProtection="1">
      <protection locked="0"/>
    </xf>
    <xf numFmtId="19" fontId="23" fillId="13" borderId="4" xfId="0" applyNumberFormat="1" applyFont="1" applyFill="1" applyBorder="1" applyAlignment="1" applyProtection="1">
      <alignment horizontal="left"/>
      <protection locked="0"/>
    </xf>
    <xf numFmtId="1" fontId="137" fillId="0" borderId="0" xfId="0" applyNumberFormat="1" applyFont="1"/>
    <xf numFmtId="1" fontId="138" fillId="0" borderId="0" xfId="0" applyNumberFormat="1" applyFont="1"/>
    <xf numFmtId="0" fontId="138" fillId="0" borderId="0" xfId="0" applyFont="1"/>
    <xf numFmtId="0" fontId="58" fillId="0" borderId="0" xfId="0" applyFont="1" applyProtection="1">
      <protection hidden="1"/>
    </xf>
    <xf numFmtId="0" fontId="58" fillId="0" borderId="0" xfId="0" applyFont="1" applyAlignment="1" applyProtection="1">
      <alignment horizontal="left"/>
      <protection hidden="1"/>
    </xf>
    <xf numFmtId="0" fontId="33" fillId="3" borderId="4" xfId="0" applyFont="1" applyFill="1" applyBorder="1" applyAlignment="1">
      <alignment horizontal="left"/>
    </xf>
    <xf numFmtId="49" fontId="33" fillId="13" borderId="4" xfId="0" applyNumberFormat="1" applyFont="1" applyFill="1" applyBorder="1" applyAlignment="1" applyProtection="1">
      <alignment horizontal="left"/>
      <protection locked="0"/>
    </xf>
    <xf numFmtId="169" fontId="23" fillId="3" borderId="4" xfId="0" applyNumberFormat="1" applyFont="1" applyFill="1" applyBorder="1" applyAlignment="1">
      <alignment horizontal="left"/>
    </xf>
    <xf numFmtId="166" fontId="23" fillId="13" borderId="4" xfId="0" applyNumberFormat="1" applyFont="1" applyFill="1" applyBorder="1" applyAlignment="1" applyProtection="1">
      <alignment horizontal="left"/>
      <protection locked="0"/>
    </xf>
    <xf numFmtId="1" fontId="23" fillId="13" borderId="4" xfId="0" applyNumberFormat="1" applyFont="1" applyFill="1" applyBorder="1" applyAlignment="1" applyProtection="1">
      <alignment horizontal="left"/>
      <protection locked="0"/>
    </xf>
    <xf numFmtId="0" fontId="95" fillId="13" borderId="4" xfId="0" applyFont="1" applyFill="1" applyBorder="1" applyProtection="1">
      <protection locked="0"/>
    </xf>
    <xf numFmtId="166" fontId="28" fillId="7" borderId="4" xfId="0" applyNumberFormat="1" applyFont="1" applyFill="1" applyBorder="1" applyAlignment="1" applyProtection="1">
      <alignment horizontal="left"/>
      <protection locked="0"/>
    </xf>
    <xf numFmtId="0" fontId="23" fillId="7" borderId="4" xfId="0" applyFont="1" applyFill="1" applyBorder="1" applyAlignment="1">
      <alignment horizontal="center"/>
    </xf>
    <xf numFmtId="0" fontId="7" fillId="13" borderId="7" xfId="0" applyFont="1" applyFill="1" applyBorder="1" applyProtection="1">
      <protection locked="0"/>
    </xf>
    <xf numFmtId="0" fontId="23" fillId="11" borderId="12" xfId="0" applyFont="1" applyFill="1" applyBorder="1" applyAlignment="1">
      <alignment horizontal="center"/>
    </xf>
    <xf numFmtId="0" fontId="76" fillId="2" borderId="0" xfId="0" applyFont="1" applyFill="1"/>
    <xf numFmtId="0" fontId="79" fillId="2" borderId="0" xfId="0" applyFont="1" applyFill="1"/>
    <xf numFmtId="0" fontId="83" fillId="2" borderId="0" xfId="0" applyFont="1" applyFill="1"/>
    <xf numFmtId="0" fontId="128" fillId="2" borderId="0" xfId="0" applyFont="1" applyFill="1"/>
    <xf numFmtId="0" fontId="7" fillId="2" borderId="0" xfId="0" applyFont="1" applyFill="1"/>
    <xf numFmtId="0" fontId="3" fillId="9" borderId="0" xfId="0" applyFont="1" applyFill="1" applyAlignment="1">
      <alignment horizontal="center"/>
    </xf>
    <xf numFmtId="0" fontId="28" fillId="9" borderId="19" xfId="0" applyFont="1" applyFill="1" applyBorder="1"/>
    <xf numFmtId="0" fontId="28" fillId="9" borderId="17" xfId="0" applyFont="1" applyFill="1" applyBorder="1"/>
    <xf numFmtId="0" fontId="33" fillId="9" borderId="19" xfId="0" applyFont="1" applyFill="1" applyBorder="1"/>
    <xf numFmtId="0" fontId="28" fillId="9" borderId="0" xfId="0" applyFont="1" applyFill="1"/>
    <xf numFmtId="0" fontId="28" fillId="9" borderId="19" xfId="0" applyFont="1" applyFill="1" applyBorder="1" applyAlignment="1">
      <alignment vertical="top" wrapText="1"/>
    </xf>
    <xf numFmtId="0" fontId="28" fillId="9" borderId="0" xfId="0" applyFont="1" applyFill="1" applyAlignment="1">
      <alignment vertical="top" wrapText="1"/>
    </xf>
    <xf numFmtId="0" fontId="23" fillId="9" borderId="17" xfId="0" applyFont="1" applyFill="1" applyBorder="1" applyAlignment="1">
      <alignment horizontal="center"/>
    </xf>
    <xf numFmtId="164" fontId="7" fillId="9" borderId="17" xfId="0" applyNumberFormat="1" applyFont="1" applyFill="1" applyBorder="1"/>
    <xf numFmtId="0" fontId="58" fillId="2" borderId="0" xfId="0" applyFont="1" applyFill="1"/>
    <xf numFmtId="0" fontId="76" fillId="2" borderId="0" xfId="0" applyFont="1" applyFill="1" applyAlignment="1">
      <alignment horizontal="left" vertical="top"/>
    </xf>
    <xf numFmtId="0" fontId="76" fillId="2" borderId="0" xfId="0" applyFont="1" applyFill="1" applyAlignment="1">
      <alignment horizontal="left"/>
    </xf>
    <xf numFmtId="0" fontId="3" fillId="2" borderId="0" xfId="0" applyFont="1" applyFill="1" applyAlignment="1">
      <alignment horizontal="right" wrapText="1"/>
    </xf>
    <xf numFmtId="0" fontId="76" fillId="2" borderId="0" xfId="0" applyFont="1" applyFill="1" applyAlignment="1">
      <alignment horizontal="left" vertical="center"/>
    </xf>
    <xf numFmtId="0" fontId="76" fillId="2" borderId="0" xfId="0" applyFont="1" applyFill="1" applyAlignment="1">
      <alignment horizontal="right" wrapText="1"/>
    </xf>
    <xf numFmtId="0" fontId="75" fillId="2" borderId="0" xfId="0" applyFont="1" applyFill="1"/>
    <xf numFmtId="0" fontId="75" fillId="2" borderId="0" xfId="0" applyFont="1" applyFill="1" applyAlignment="1">
      <alignment horizontal="center"/>
    </xf>
    <xf numFmtId="0" fontId="88" fillId="2" borderId="0" xfId="0" applyFont="1" applyFill="1"/>
    <xf numFmtId="0" fontId="81" fillId="2" borderId="0" xfId="0" applyFont="1" applyFill="1" applyAlignment="1">
      <alignment horizontal="right" wrapText="1"/>
    </xf>
    <xf numFmtId="0" fontId="81" fillId="2" borderId="0" xfId="0" applyFont="1" applyFill="1" applyAlignment="1">
      <alignment horizontal="left"/>
    </xf>
    <xf numFmtId="0" fontId="56" fillId="2" borderId="0" xfId="0" applyFont="1" applyFill="1"/>
    <xf numFmtId="0" fontId="75" fillId="2" borderId="0" xfId="0" applyFont="1" applyFill="1" applyAlignment="1">
      <alignment horizontal="right"/>
    </xf>
    <xf numFmtId="0" fontId="79" fillId="2" borderId="0" xfId="0" applyFont="1" applyFill="1" applyAlignment="1">
      <alignment horizontal="right"/>
    </xf>
    <xf numFmtId="172" fontId="92" fillId="2" borderId="0" xfId="0" applyNumberFormat="1" applyFont="1" applyFill="1"/>
    <xf numFmtId="0" fontId="80" fillId="2" borderId="0" xfId="0" applyFont="1" applyFill="1" applyAlignment="1">
      <alignment horizontal="right" wrapText="1"/>
    </xf>
    <xf numFmtId="0" fontId="93" fillId="2" borderId="0" xfId="0" applyFont="1" applyFill="1"/>
    <xf numFmtId="172" fontId="88" fillId="2" borderId="0" xfId="0" applyNumberFormat="1" applyFont="1" applyFill="1"/>
    <xf numFmtId="178" fontId="83" fillId="2" borderId="0" xfId="0" applyNumberFormat="1" applyFont="1" applyFill="1"/>
    <xf numFmtId="175" fontId="128" fillId="2" borderId="0" xfId="0" applyNumberFormat="1" applyFont="1" applyFill="1"/>
    <xf numFmtId="1" fontId="79" fillId="2" borderId="0" xfId="0" applyNumberFormat="1" applyFont="1" applyFill="1"/>
    <xf numFmtId="0" fontId="127" fillId="2" borderId="0" xfId="0" applyFont="1" applyFill="1"/>
    <xf numFmtId="0" fontId="129" fillId="2" borderId="0" xfId="0" applyFont="1" applyFill="1"/>
    <xf numFmtId="176" fontId="128" fillId="2" borderId="0" xfId="0" applyNumberFormat="1" applyFont="1" applyFill="1"/>
    <xf numFmtId="0" fontId="95" fillId="2" borderId="0" xfId="0" applyFont="1" applyFill="1" applyAlignment="1">
      <alignment horizontal="left"/>
    </xf>
    <xf numFmtId="0" fontId="95" fillId="2" borderId="0" xfId="0" applyFont="1" applyFill="1"/>
    <xf numFmtId="0" fontId="96" fillId="2" borderId="0" xfId="0" applyFont="1" applyFill="1" applyAlignment="1">
      <alignment horizontal="right" wrapText="1"/>
    </xf>
    <xf numFmtId="0" fontId="76" fillId="2" borderId="0" xfId="0" applyFont="1" applyFill="1" applyAlignment="1">
      <alignment horizontal="right" vertical="top"/>
    </xf>
    <xf numFmtId="0" fontId="76" fillId="2" borderId="0" xfId="0" applyFont="1" applyFill="1" applyAlignment="1">
      <alignment horizontal="right"/>
    </xf>
    <xf numFmtId="0" fontId="76" fillId="9" borderId="0" xfId="0" applyFont="1" applyFill="1"/>
    <xf numFmtId="0" fontId="81" fillId="2" borderId="0" xfId="0" applyFont="1" applyFill="1" applyAlignment="1">
      <alignment horizontal="left" vertical="top"/>
    </xf>
    <xf numFmtId="0" fontId="80" fillId="2" borderId="0" xfId="0" applyFont="1" applyFill="1"/>
    <xf numFmtId="0" fontId="23" fillId="2" borderId="0" xfId="0" applyFont="1" applyFill="1"/>
    <xf numFmtId="0" fontId="7" fillId="9" borderId="11" xfId="0" applyFont="1" applyFill="1" applyBorder="1"/>
    <xf numFmtId="0" fontId="58" fillId="2" borderId="19" xfId="0" applyFont="1" applyFill="1" applyBorder="1"/>
    <xf numFmtId="0" fontId="3" fillId="9" borderId="21" xfId="0" applyFont="1" applyFill="1" applyBorder="1" applyAlignment="1">
      <alignment horizontal="center"/>
    </xf>
    <xf numFmtId="0" fontId="98" fillId="2" borderId="0" xfId="0" applyFont="1" applyFill="1" applyAlignment="1">
      <alignment vertical="top"/>
    </xf>
    <xf numFmtId="0" fontId="81" fillId="2" borderId="0" xfId="0" applyFont="1" applyFill="1" applyAlignment="1">
      <alignment vertical="top"/>
    </xf>
    <xf numFmtId="0" fontId="28" fillId="9" borderId="21" xfId="0" applyFont="1" applyFill="1" applyBorder="1" applyAlignment="1">
      <alignment horizontal="center"/>
    </xf>
    <xf numFmtId="0" fontId="80" fillId="2" borderId="0" xfId="0" applyFont="1" applyFill="1" applyAlignment="1">
      <alignment vertical="top"/>
    </xf>
    <xf numFmtId="164" fontId="23" fillId="2" borderId="0" xfId="0" applyNumberFormat="1" applyFont="1" applyFill="1"/>
    <xf numFmtId="164" fontId="28" fillId="2" borderId="0" xfId="0" applyNumberFormat="1" applyFont="1" applyFill="1"/>
    <xf numFmtId="0" fontId="97" fillId="2" borderId="0" xfId="0" applyFont="1" applyFill="1"/>
    <xf numFmtId="0" fontId="28" fillId="9" borderId="0" xfId="0" applyFont="1" applyFill="1" applyAlignment="1">
      <alignment horizontal="center" vertical="top" wrapText="1"/>
    </xf>
    <xf numFmtId="0" fontId="108" fillId="2" borderId="0" xfId="0" applyFont="1" applyFill="1"/>
    <xf numFmtId="0" fontId="23" fillId="9" borderId="20" xfId="0" applyFont="1" applyFill="1" applyBorder="1" applyAlignment="1">
      <alignment horizontal="center"/>
    </xf>
    <xf numFmtId="0" fontId="99" fillId="2" borderId="0" xfId="0" applyFont="1" applyFill="1" applyAlignment="1">
      <alignment horizontal="left" vertical="top"/>
    </xf>
    <xf numFmtId="0" fontId="107" fillId="2" borderId="0" xfId="0" applyFont="1" applyFill="1"/>
    <xf numFmtId="164" fontId="7" fillId="9" borderId="20" xfId="0" applyNumberFormat="1" applyFont="1" applyFill="1" applyBorder="1"/>
    <xf numFmtId="0" fontId="98" fillId="2" borderId="0" xfId="0" applyFont="1" applyFill="1" applyAlignment="1">
      <alignment wrapText="1"/>
    </xf>
    <xf numFmtId="0" fontId="57" fillId="2" borderId="0" xfId="0" applyFont="1" applyFill="1"/>
    <xf numFmtId="0" fontId="125" fillId="2" borderId="0" xfId="0" applyFont="1" applyFill="1"/>
    <xf numFmtId="0" fontId="126" fillId="2" borderId="0" xfId="0" applyFont="1" applyFill="1" applyAlignment="1">
      <alignment horizontal="right"/>
    </xf>
    <xf numFmtId="0" fontId="102" fillId="2" borderId="0" xfId="0" applyFont="1" applyFill="1" applyAlignment="1">
      <alignment wrapText="1"/>
    </xf>
    <xf numFmtId="0" fontId="81" fillId="2" borderId="0" xfId="0" applyFont="1" applyFill="1" applyAlignment="1">
      <alignment wrapText="1"/>
    </xf>
    <xf numFmtId="0" fontId="81" fillId="2" borderId="0" xfId="0" applyFont="1" applyFill="1"/>
    <xf numFmtId="0" fontId="80" fillId="2" borderId="0" xfId="0" applyFont="1" applyFill="1" applyAlignment="1">
      <alignment wrapText="1"/>
    </xf>
    <xf numFmtId="164" fontId="80" fillId="2" borderId="0" xfId="0" applyNumberFormat="1" applyFont="1" applyFill="1"/>
    <xf numFmtId="0" fontId="99" fillId="2" borderId="0" xfId="0" applyFont="1" applyFill="1" applyAlignment="1">
      <alignment horizontal="right" wrapText="1"/>
    </xf>
    <xf numFmtId="0" fontId="103" fillId="2" borderId="0" xfId="0" applyFont="1" applyFill="1" applyAlignment="1">
      <alignment horizontal="right" wrapText="1"/>
    </xf>
    <xf numFmtId="0" fontId="103" fillId="2" borderId="0" xfId="0" applyFont="1" applyFill="1" applyAlignment="1">
      <alignment horizontal="left" vertical="top"/>
    </xf>
    <xf numFmtId="0" fontId="103" fillId="2" borderId="0" xfId="0" applyFont="1" applyFill="1" applyAlignment="1">
      <alignment horizontal="left"/>
    </xf>
    <xf numFmtId="0" fontId="103" fillId="2" borderId="0" xfId="0" applyFont="1" applyFill="1"/>
    <xf numFmtId="164" fontId="104" fillId="2" borderId="0" xfId="0" applyNumberFormat="1" applyFont="1" applyFill="1"/>
    <xf numFmtId="0" fontId="55" fillId="2" borderId="0" xfId="0" applyFont="1" applyFill="1" applyAlignment="1">
      <alignment horizontal="right" wrapText="1"/>
    </xf>
    <xf numFmtId="0" fontId="55" fillId="2" borderId="0" xfId="0" applyFont="1" applyFill="1" applyAlignment="1">
      <alignment horizontal="left" vertical="top"/>
    </xf>
    <xf numFmtId="0" fontId="55" fillId="2" borderId="0" xfId="0" applyFont="1" applyFill="1" applyAlignment="1">
      <alignment horizontal="left"/>
    </xf>
    <xf numFmtId="0" fontId="55" fillId="2" borderId="0" xfId="0" applyFont="1" applyFill="1"/>
    <xf numFmtId="0" fontId="105" fillId="2" borderId="0" xfId="0" applyFont="1" applyFill="1" applyAlignment="1">
      <alignment horizontal="right" wrapText="1"/>
    </xf>
    <xf numFmtId="0" fontId="106" fillId="2" borderId="0" xfId="0" applyFont="1" applyFill="1" applyAlignment="1">
      <alignment horizontal="left" vertical="top"/>
    </xf>
    <xf numFmtId="0" fontId="106" fillId="2" borderId="0" xfId="0" applyFont="1" applyFill="1" applyAlignment="1">
      <alignment horizontal="left"/>
    </xf>
    <xf numFmtId="0" fontId="106" fillId="2" borderId="0" xfId="0" applyFont="1" applyFill="1"/>
    <xf numFmtId="0" fontId="106" fillId="2" borderId="0" xfId="0" applyFont="1" applyFill="1" applyAlignment="1">
      <alignment horizontal="right" wrapText="1"/>
    </xf>
    <xf numFmtId="164" fontId="106" fillId="2" borderId="0" xfId="0" applyNumberFormat="1" applyFont="1" applyFill="1"/>
    <xf numFmtId="164" fontId="55" fillId="2" borderId="0" xfId="0" applyNumberFormat="1" applyFont="1" applyFill="1" applyAlignment="1">
      <alignment horizontal="left" vertical="top"/>
    </xf>
    <xf numFmtId="0" fontId="105" fillId="2" borderId="0" xfId="0" applyFont="1" applyFill="1" applyAlignment="1">
      <alignment horizontal="left" vertical="top"/>
    </xf>
    <xf numFmtId="0" fontId="105" fillId="2" borderId="0" xfId="0" applyFont="1" applyFill="1" applyAlignment="1">
      <alignment horizontal="left"/>
    </xf>
    <xf numFmtId="0" fontId="105" fillId="2" borderId="0" xfId="0" applyFont="1" applyFill="1"/>
    <xf numFmtId="164" fontId="103" fillId="2" borderId="0" xfId="0" applyNumberFormat="1" applyFont="1" applyFill="1"/>
    <xf numFmtId="0" fontId="83" fillId="2" borderId="0" xfId="0" applyFont="1" applyFill="1" applyAlignment="1">
      <alignment horizontal="right" wrapText="1"/>
    </xf>
    <xf numFmtId="0" fontId="83" fillId="2" borderId="0" xfId="0" applyFont="1" applyFill="1" applyAlignment="1">
      <alignment horizontal="left" vertical="top"/>
    </xf>
    <xf numFmtId="0" fontId="83" fillId="2" borderId="0" xfId="0" applyFont="1" applyFill="1" applyAlignment="1">
      <alignment horizontal="left"/>
    </xf>
    <xf numFmtId="18" fontId="23"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2" fillId="0" borderId="0" xfId="6"/>
    <xf numFmtId="169" fontId="91" fillId="8" borderId="4" xfId="0" applyNumberFormat="1" applyFont="1" applyFill="1" applyBorder="1" applyAlignment="1" applyProtection="1">
      <alignment horizontal="left"/>
      <protection locked="0"/>
    </xf>
    <xf numFmtId="0" fontId="23" fillId="7" borderId="8" xfId="0" applyFont="1" applyFill="1" applyBorder="1" applyAlignment="1" applyProtection="1">
      <alignment horizontal="left"/>
      <protection locked="0"/>
    </xf>
    <xf numFmtId="0" fontId="23" fillId="3" borderId="4" xfId="0" applyFont="1" applyFill="1" applyBorder="1"/>
    <xf numFmtId="0" fontId="7" fillId="13" borderId="12" xfId="0" applyFont="1" applyFill="1" applyBorder="1" applyProtection="1">
      <protection locked="0"/>
    </xf>
    <xf numFmtId="164" fontId="28" fillId="11" borderId="4" xfId="0" applyNumberFormat="1" applyFont="1" applyFill="1" applyBorder="1" applyAlignment="1">
      <alignment horizontal="right"/>
    </xf>
    <xf numFmtId="164" fontId="28" fillId="11" borderId="11" xfId="0" applyNumberFormat="1" applyFont="1" applyFill="1" applyBorder="1" applyAlignment="1">
      <alignment horizontal="right"/>
    </xf>
    <xf numFmtId="164" fontId="108" fillId="11" borderId="7" xfId="0" applyNumberFormat="1" applyFont="1" applyFill="1" applyBorder="1"/>
    <xf numFmtId="164" fontId="108" fillId="11" borderId="13" xfId="0" applyNumberFormat="1" applyFont="1" applyFill="1" applyBorder="1"/>
    <xf numFmtId="164" fontId="130" fillId="11" borderId="12" xfId="0" applyNumberFormat="1" applyFont="1" applyFill="1" applyBorder="1" applyAlignment="1">
      <alignment horizontal="right"/>
    </xf>
    <xf numFmtId="0" fontId="108" fillId="11" borderId="7" xfId="0" applyFont="1" applyFill="1" applyBorder="1"/>
    <xf numFmtId="0" fontId="108" fillId="11" borderId="13" xfId="0" applyFont="1" applyFill="1" applyBorder="1"/>
    <xf numFmtId="0" fontId="130" fillId="11" borderId="12" xfId="0" applyFont="1" applyFill="1" applyBorder="1" applyAlignment="1">
      <alignment horizontal="right"/>
    </xf>
    <xf numFmtId="0" fontId="107" fillId="11" borderId="7" xfId="0" applyFont="1" applyFill="1" applyBorder="1"/>
    <xf numFmtId="0" fontId="107" fillId="11" borderId="13" xfId="0" applyFont="1" applyFill="1" applyBorder="1"/>
    <xf numFmtId="0" fontId="76" fillId="11" borderId="7" xfId="0" applyFont="1" applyFill="1" applyBorder="1" applyAlignment="1">
      <alignment horizontal="right"/>
    </xf>
    <xf numFmtId="0" fontId="76" fillId="11" borderId="13" xfId="0" applyFont="1" applyFill="1" applyBorder="1" applyAlignment="1">
      <alignment horizontal="right"/>
    </xf>
    <xf numFmtId="0" fontId="28" fillId="11" borderId="12" xfId="0" applyFont="1" applyFill="1" applyBorder="1" applyAlignment="1">
      <alignment horizontal="right"/>
    </xf>
    <xf numFmtId="0" fontId="28" fillId="4" borderId="4" xfId="0" applyFont="1" applyFill="1" applyBorder="1" applyAlignment="1">
      <alignment horizontal="right"/>
    </xf>
    <xf numFmtId="0" fontId="136" fillId="4" borderId="4" xfId="6" applyFont="1" applyFill="1" applyBorder="1" applyAlignment="1" applyProtection="1">
      <alignment horizontal="right"/>
    </xf>
    <xf numFmtId="0" fontId="28" fillId="4" borderId="4" xfId="0" applyFont="1" applyFill="1" applyBorder="1" applyAlignment="1">
      <alignment horizontal="right" vertical="top"/>
    </xf>
    <xf numFmtId="0" fontId="7" fillId="13" borderId="11" xfId="0" applyFont="1" applyFill="1" applyBorder="1" applyProtection="1">
      <protection locked="0"/>
    </xf>
    <xf numFmtId="0" fontId="28" fillId="13" borderId="4" xfId="0" applyFont="1" applyFill="1" applyBorder="1" applyAlignment="1" applyProtection="1">
      <alignment horizontal="center"/>
      <protection locked="0"/>
    </xf>
    <xf numFmtId="0" fontId="28" fillId="13" borderId="4" xfId="0" applyFont="1" applyFill="1" applyBorder="1" applyAlignment="1" applyProtection="1">
      <alignment horizontal="center" vertical="top" wrapText="1"/>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3" fontId="0" fillId="0" borderId="0" xfId="0" applyNumberFormat="1"/>
    <xf numFmtId="184" fontId="0" fillId="0" borderId="0" xfId="0" applyNumberFormat="1"/>
    <xf numFmtId="0" fontId="23" fillId="13" borderId="7" xfId="0" applyFont="1" applyFill="1" applyBorder="1" applyProtection="1">
      <protection locked="0"/>
    </xf>
    <xf numFmtId="0" fontId="76" fillId="13" borderId="12" xfId="0" applyFont="1" applyFill="1" applyBorder="1"/>
    <xf numFmtId="21" fontId="7" fillId="0" borderId="0" xfId="3" applyNumberFormat="1" applyProtection="1">
      <protection locked="0"/>
    </xf>
    <xf numFmtId="0" fontId="80" fillId="6" borderId="7" xfId="0" applyFont="1" applyFill="1" applyBorder="1" applyAlignment="1">
      <alignment horizontal="center"/>
    </xf>
    <xf numFmtId="0" fontId="80" fillId="6" borderId="13" xfId="0" applyFont="1" applyFill="1" applyBorder="1" applyAlignment="1">
      <alignment horizontal="center"/>
    </xf>
    <xf numFmtId="0" fontId="80" fillId="6" borderId="12" xfId="0" applyFont="1" applyFill="1" applyBorder="1" applyAlignment="1">
      <alignment horizontal="center"/>
    </xf>
    <xf numFmtId="0" fontId="90" fillId="4" borderId="7" xfId="0" applyFont="1" applyFill="1" applyBorder="1" applyAlignment="1">
      <alignment horizontal="right"/>
    </xf>
    <xf numFmtId="0" fontId="90" fillId="4" borderId="12" xfId="0" applyFont="1" applyFill="1" applyBorder="1" applyAlignment="1">
      <alignment horizontal="right"/>
    </xf>
    <xf numFmtId="0" fontId="80" fillId="6" borderId="21" xfId="0" applyFont="1" applyFill="1" applyBorder="1" applyAlignment="1">
      <alignment horizontal="center"/>
    </xf>
    <xf numFmtId="0" fontId="80" fillId="6" borderId="18" xfId="0" applyFont="1" applyFill="1" applyBorder="1" applyAlignment="1">
      <alignment horizontal="center"/>
    </xf>
    <xf numFmtId="0" fontId="28" fillId="11" borderId="11" xfId="0" applyFont="1" applyFill="1" applyBorder="1" applyAlignment="1">
      <alignment horizontal="right"/>
    </xf>
    <xf numFmtId="0" fontId="28"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8" fillId="11" borderId="7" xfId="0" applyFont="1" applyFill="1" applyBorder="1" applyAlignment="1">
      <alignment horizontal="center"/>
    </xf>
    <xf numFmtId="0" fontId="28" fillId="11" borderId="13" xfId="0" applyFont="1" applyFill="1" applyBorder="1" applyAlignment="1">
      <alignment horizontal="center"/>
    </xf>
    <xf numFmtId="0" fontId="28" fillId="11" borderId="12" xfId="0" applyFont="1" applyFill="1" applyBorder="1" applyAlignment="1">
      <alignment horizontal="center"/>
    </xf>
    <xf numFmtId="0" fontId="23" fillId="11" borderId="7" xfId="0" applyFont="1" applyFill="1" applyBorder="1" applyAlignment="1">
      <alignment horizontal="center"/>
    </xf>
    <xf numFmtId="0" fontId="23" fillId="11" borderId="13" xfId="0" applyFont="1" applyFill="1" applyBorder="1" applyAlignment="1">
      <alignment horizontal="center"/>
    </xf>
    <xf numFmtId="0" fontId="23" fillId="11" borderId="12" xfId="0" applyFont="1" applyFill="1" applyBorder="1" applyAlignment="1">
      <alignment horizontal="center"/>
    </xf>
    <xf numFmtId="0" fontId="27" fillId="2" borderId="20" xfId="0" quotePrefix="1" applyFont="1" applyFill="1" applyBorder="1" applyAlignment="1">
      <alignment horizontal="center" wrapText="1"/>
    </xf>
    <xf numFmtId="0" fontId="27"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76" fillId="13" borderId="7" xfId="0" applyFont="1" applyFill="1" applyBorder="1" applyProtection="1">
      <protection locked="0"/>
    </xf>
    <xf numFmtId="0" fontId="76" fillId="13" borderId="13" xfId="0" applyFont="1" applyFill="1" applyBorder="1" applyProtection="1">
      <protection locked="0"/>
    </xf>
    <xf numFmtId="0" fontId="76" fillId="13" borderId="12" xfId="0" applyFont="1" applyFill="1" applyBorder="1" applyProtection="1">
      <protection locked="0"/>
    </xf>
    <xf numFmtId="0" fontId="28" fillId="0" borderId="7" xfId="0" applyFont="1" applyBorder="1" applyAlignment="1">
      <alignment horizontal="center"/>
    </xf>
    <xf numFmtId="0" fontId="28" fillId="0" borderId="13" xfId="0" applyFont="1" applyBorder="1" applyAlignment="1">
      <alignment horizontal="center"/>
    </xf>
    <xf numFmtId="0" fontId="28" fillId="0" borderId="15" xfId="0" applyFont="1" applyBorder="1" applyAlignment="1">
      <alignment horizontal="center"/>
    </xf>
    <xf numFmtId="0" fontId="28" fillId="0" borderId="16" xfId="0" applyFont="1" applyBorder="1" applyAlignment="1">
      <alignment horizontal="center"/>
    </xf>
    <xf numFmtId="0" fontId="77" fillId="6" borderId="7" xfId="0" applyFont="1" applyFill="1" applyBorder="1" applyAlignment="1">
      <alignment horizontal="right"/>
    </xf>
    <xf numFmtId="0" fontId="77" fillId="6" borderId="13" xfId="0" applyFont="1" applyFill="1" applyBorder="1" applyAlignment="1">
      <alignment horizontal="right"/>
    </xf>
    <xf numFmtId="0" fontId="82" fillId="6" borderId="7" xfId="0" applyFont="1" applyFill="1" applyBorder="1" applyAlignment="1">
      <alignment horizontal="center"/>
    </xf>
    <xf numFmtId="0" fontId="82" fillId="6" borderId="13" xfId="0" applyFont="1" applyFill="1" applyBorder="1" applyAlignment="1">
      <alignment horizontal="center"/>
    </xf>
    <xf numFmtId="0" fontId="82" fillId="6" borderId="12" xfId="0" applyFont="1" applyFill="1" applyBorder="1" applyAlignment="1">
      <alignment horizontal="center"/>
    </xf>
    <xf numFmtId="0" fontId="82" fillId="4" borderId="7" xfId="0" applyFont="1" applyFill="1" applyBorder="1" applyAlignment="1">
      <alignment horizontal="center"/>
    </xf>
    <xf numFmtId="0" fontId="82" fillId="4"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176" fontId="84" fillId="5" borderId="7" xfId="0" applyNumberFormat="1" applyFont="1" applyFill="1" applyBorder="1" applyAlignment="1">
      <alignment horizontal="center"/>
    </xf>
    <xf numFmtId="176" fontId="84" fillId="5" borderId="12" xfId="0" applyNumberFormat="1" applyFont="1" applyFill="1" applyBorder="1" applyAlignment="1">
      <alignment horizontal="center"/>
    </xf>
    <xf numFmtId="176" fontId="89" fillId="13" borderId="7" xfId="0" applyNumberFormat="1" applyFont="1" applyFill="1" applyBorder="1" applyAlignment="1" applyProtection="1">
      <alignment horizontal="left"/>
      <protection locked="0"/>
    </xf>
    <xf numFmtId="176" fontId="89" fillId="13" borderId="12" xfId="0" applyNumberFormat="1" applyFont="1" applyFill="1" applyBorder="1" applyAlignment="1" applyProtection="1">
      <alignment horizontal="left"/>
      <protection locked="0"/>
    </xf>
    <xf numFmtId="0" fontId="80" fillId="4" borderId="7" xfId="0" applyFont="1" applyFill="1" applyBorder="1" applyAlignment="1">
      <alignment horizontal="right" wrapText="1"/>
    </xf>
    <xf numFmtId="0" fontId="80" fillId="4" borderId="12" xfId="0" applyFont="1" applyFill="1" applyBorder="1" applyAlignment="1">
      <alignment horizontal="right" wrapText="1"/>
    </xf>
    <xf numFmtId="0" fontId="28" fillId="4" borderId="7" xfId="0" applyFont="1" applyFill="1" applyBorder="1" applyAlignment="1">
      <alignment horizontal="right" wrapText="1"/>
    </xf>
    <xf numFmtId="0" fontId="28" fillId="4" borderId="12" xfId="0" applyFont="1" applyFill="1" applyBorder="1" applyAlignment="1">
      <alignment horizontal="right" wrapText="1"/>
    </xf>
    <xf numFmtId="0" fontId="23" fillId="7" borderId="7" xfId="0" applyFont="1" applyFill="1" applyBorder="1" applyAlignment="1">
      <alignment horizontal="left"/>
    </xf>
    <xf numFmtId="0" fontId="23" fillId="7" borderId="12" xfId="0" applyFont="1" applyFill="1" applyBorder="1" applyAlignment="1">
      <alignment horizontal="left"/>
    </xf>
    <xf numFmtId="0" fontId="80" fillId="6" borderId="4" xfId="0" applyFont="1" applyFill="1" applyBorder="1" applyAlignment="1">
      <alignment horizontal="center"/>
    </xf>
    <xf numFmtId="0" fontId="81" fillId="3" borderId="7" xfId="0" applyFont="1" applyFill="1" applyBorder="1" applyAlignment="1">
      <alignment horizontal="left"/>
    </xf>
    <xf numFmtId="0" fontId="81" fillId="3" borderId="13" xfId="0" applyFont="1" applyFill="1" applyBorder="1" applyAlignment="1">
      <alignment horizontal="left"/>
    </xf>
    <xf numFmtId="0" fontId="81" fillId="3" borderId="12" xfId="0" applyFont="1" applyFill="1" applyBorder="1" applyAlignment="1">
      <alignment horizontal="left"/>
    </xf>
    <xf numFmtId="171" fontId="81" fillId="3" borderId="7" xfId="0" applyNumberFormat="1" applyFont="1" applyFill="1" applyBorder="1" applyAlignment="1">
      <alignment horizontal="left"/>
    </xf>
    <xf numFmtId="171" fontId="81" fillId="3" borderId="13" xfId="0" applyNumberFormat="1" applyFont="1" applyFill="1" applyBorder="1" applyAlignment="1">
      <alignment horizontal="left"/>
    </xf>
    <xf numFmtId="171" fontId="81" fillId="3" borderId="12" xfId="0" applyNumberFormat="1" applyFont="1" applyFill="1" applyBorder="1" applyAlignment="1">
      <alignment horizontal="left"/>
    </xf>
    <xf numFmtId="1" fontId="23" fillId="13" borderId="7" xfId="0" applyNumberFormat="1" applyFont="1" applyFill="1" applyBorder="1" applyProtection="1">
      <protection locked="0"/>
    </xf>
    <xf numFmtId="1" fontId="23" fillId="13" borderId="12" xfId="0" applyNumberFormat="1" applyFont="1" applyFill="1" applyBorder="1" applyProtection="1">
      <protection locked="0"/>
    </xf>
    <xf numFmtId="0" fontId="23" fillId="13" borderId="7" xfId="0" applyFont="1" applyFill="1" applyBorder="1" applyProtection="1">
      <protection locked="0"/>
    </xf>
    <xf numFmtId="0" fontId="23" fillId="13" borderId="12" xfId="0" applyFont="1" applyFill="1" applyBorder="1" applyProtection="1">
      <protection locked="0"/>
    </xf>
    <xf numFmtId="0" fontId="28" fillId="11" borderId="14" xfId="0" applyFont="1" applyFill="1" applyBorder="1" applyAlignment="1">
      <alignment horizontal="center" vertical="top" wrapText="1"/>
    </xf>
    <xf numFmtId="0" fontId="28" fillId="11" borderId="15" xfId="0" applyFont="1" applyFill="1" applyBorder="1" applyAlignment="1">
      <alignment horizontal="center" vertical="top" wrapText="1"/>
    </xf>
    <xf numFmtId="0" fontId="28" fillId="11" borderId="16" xfId="0" applyFont="1" applyFill="1" applyBorder="1" applyAlignment="1">
      <alignment horizontal="center" vertical="top" wrapText="1"/>
    </xf>
    <xf numFmtId="0" fontId="28" fillId="11" borderId="9" xfId="0" applyFont="1" applyFill="1" applyBorder="1" applyAlignment="1">
      <alignment horizontal="center" vertical="top" wrapText="1"/>
    </xf>
    <xf numFmtId="0" fontId="28" fillId="11" borderId="21" xfId="0" applyFont="1" applyFill="1" applyBorder="1" applyAlignment="1">
      <alignment horizontal="center" vertical="top" wrapText="1"/>
    </xf>
    <xf numFmtId="0" fontId="28" fillId="11" borderId="18" xfId="0" applyFont="1" applyFill="1" applyBorder="1" applyAlignment="1">
      <alignment horizontal="center" vertical="top" wrapText="1"/>
    </xf>
    <xf numFmtId="49" fontId="42" fillId="0" borderId="0" xfId="0" applyNumberFormat="1" applyFont="1" applyAlignment="1" applyProtection="1">
      <alignment horizontal="left"/>
      <protection locked="0"/>
    </xf>
    <xf numFmtId="0" fontId="42" fillId="0" borderId="0" xfId="0" applyFont="1" applyAlignment="1">
      <alignment horizontal="left"/>
    </xf>
    <xf numFmtId="14" fontId="45" fillId="0" borderId="0" xfId="0" applyNumberFormat="1" applyFont="1" applyAlignment="1">
      <alignment horizontal="left"/>
    </xf>
    <xf numFmtId="0" fontId="7" fillId="0" borderId="0" xfId="0" applyFont="1" applyAlignment="1">
      <alignment horizontal="left" vertical="top" wrapText="1"/>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14" fontId="65" fillId="0" borderId="14" xfId="0" applyNumberFormat="1" applyFont="1" applyBorder="1" applyAlignment="1">
      <alignment horizontal="center"/>
    </xf>
    <xf numFmtId="14" fontId="65" fillId="0" borderId="15" xfId="0" applyNumberFormat="1" applyFont="1" applyBorder="1" applyAlignment="1">
      <alignment horizontal="center"/>
    </xf>
    <xf numFmtId="14" fontId="65" fillId="0" borderId="16" xfId="0" applyNumberFormat="1" applyFont="1" applyBorder="1" applyAlignment="1">
      <alignment horizontal="center"/>
    </xf>
    <xf numFmtId="0" fontId="65" fillId="0" borderId="9" xfId="0" applyFont="1" applyBorder="1" applyAlignment="1">
      <alignment horizontal="center"/>
    </xf>
    <xf numFmtId="0" fontId="65" fillId="0" borderId="21" xfId="0" applyFont="1" applyBorder="1" applyAlignment="1">
      <alignment horizontal="center"/>
    </xf>
    <xf numFmtId="0" fontId="65" fillId="0" borderId="18" xfId="0" applyFont="1" applyBorder="1" applyAlignment="1">
      <alignment horizontal="center"/>
    </xf>
    <xf numFmtId="0" fontId="65" fillId="0" borderId="14" xfId="0" applyFont="1" applyBorder="1" applyAlignment="1">
      <alignment horizontal="center"/>
    </xf>
    <xf numFmtId="0" fontId="65" fillId="0" borderId="15" xfId="0" applyFont="1" applyBorder="1" applyAlignment="1">
      <alignment horizontal="center"/>
    </xf>
    <xf numFmtId="0" fontId="65" fillId="0" borderId="16" xfId="0" applyFont="1" applyBorder="1" applyAlignment="1">
      <alignment horizontal="center"/>
    </xf>
    <xf numFmtId="0" fontId="65" fillId="0" borderId="9" xfId="0" applyFont="1" applyBorder="1"/>
    <xf numFmtId="0" fontId="65" fillId="0" borderId="21" xfId="0" applyFont="1" applyBorder="1"/>
    <xf numFmtId="0" fontId="65" fillId="0" borderId="18" xfId="0" applyFont="1" applyBorder="1"/>
    <xf numFmtId="180" fontId="65" fillId="0" borderId="9" xfId="0" applyNumberFormat="1" applyFont="1" applyBorder="1" applyAlignment="1">
      <alignment horizontal="center"/>
    </xf>
    <xf numFmtId="180" fontId="65" fillId="0" borderId="18" xfId="0" applyNumberFormat="1" applyFont="1" applyBorder="1" applyAlignment="1">
      <alignment horizontal="center"/>
    </xf>
    <xf numFmtId="180" fontId="65" fillId="0" borderId="20" xfId="0" applyNumberFormat="1" applyFont="1" applyBorder="1" applyAlignment="1">
      <alignment horizontal="center"/>
    </xf>
    <xf numFmtId="180" fontId="65" fillId="0" borderId="17" xfId="0" applyNumberFormat="1" applyFont="1" applyBorder="1" applyAlignment="1">
      <alignment horizontal="center"/>
    </xf>
    <xf numFmtId="0" fontId="115" fillId="0" borderId="0" xfId="0" applyFont="1" applyAlignment="1">
      <alignment horizontal="center"/>
    </xf>
    <xf numFmtId="0" fontId="42" fillId="0" borderId="0" xfId="0" applyFont="1" applyAlignment="1">
      <alignment horizontal="center"/>
    </xf>
    <xf numFmtId="0" fontId="43" fillId="0" borderId="0" xfId="0" applyFont="1" applyAlignment="1">
      <alignment horizontal="center"/>
    </xf>
    <xf numFmtId="0" fontId="122" fillId="0" borderId="0" xfId="0" applyFont="1" applyAlignment="1">
      <alignment horizontal="left" vertical="top"/>
    </xf>
    <xf numFmtId="0" fontId="117"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2" fillId="0" borderId="0" xfId="0" applyFont="1" applyAlignment="1">
      <alignment horizontal="left" vertical="top" wrapText="1"/>
    </xf>
    <xf numFmtId="0" fontId="42" fillId="0" borderId="21" xfId="0" applyFont="1" applyBorder="1" applyAlignment="1">
      <alignment horizontal="left" vertical="top" wrapText="1"/>
    </xf>
    <xf numFmtId="0" fontId="114" fillId="12" borderId="21" xfId="0" applyFont="1" applyFill="1" applyBorder="1" applyAlignment="1">
      <alignment horizontal="center"/>
    </xf>
    <xf numFmtId="0" fontId="114" fillId="12" borderId="14" xfId="0" applyFont="1" applyFill="1" applyBorder="1" applyAlignment="1">
      <alignment horizontal="center"/>
    </xf>
    <xf numFmtId="0" fontId="114" fillId="12" borderId="15" xfId="0" applyFont="1" applyFill="1" applyBorder="1" applyAlignment="1">
      <alignment horizontal="center"/>
    </xf>
    <xf numFmtId="0" fontId="114" fillId="12" borderId="16" xfId="0" applyFont="1" applyFill="1" applyBorder="1" applyAlignment="1">
      <alignment horizontal="center"/>
    </xf>
    <xf numFmtId="0" fontId="0" fillId="0" borderId="0" xfId="0" applyAlignment="1">
      <alignment horizontal="center"/>
    </xf>
    <xf numFmtId="0" fontId="123" fillId="0" borderId="21" xfId="0" applyFont="1" applyBorder="1" applyAlignment="1">
      <alignment horizontal="center"/>
    </xf>
    <xf numFmtId="0" fontId="113" fillId="0" borderId="0" xfId="0" applyFont="1" applyAlignment="1">
      <alignment horizontal="left" vertical="top" wrapText="1"/>
    </xf>
    <xf numFmtId="0" fontId="113" fillId="0" borderId="0" xfId="0" applyFont="1" applyAlignment="1">
      <alignment horizontal="left"/>
    </xf>
    <xf numFmtId="0" fontId="113" fillId="0" borderId="15" xfId="0" applyFont="1" applyBorder="1" applyAlignment="1">
      <alignment horizontal="left"/>
    </xf>
    <xf numFmtId="0" fontId="113" fillId="0" borderId="21" xfId="0" applyFont="1" applyBorder="1" applyAlignment="1">
      <alignment horizontal="left"/>
    </xf>
    <xf numFmtId="0" fontId="119" fillId="0" borderId="0" xfId="0" applyFont="1" applyAlignment="1">
      <alignment horizontal="center"/>
    </xf>
    <xf numFmtId="180" fontId="65" fillId="0" borderId="14" xfId="0" applyNumberFormat="1" applyFont="1" applyBorder="1" applyAlignment="1">
      <alignment horizontal="center"/>
    </xf>
    <xf numFmtId="180" fontId="65" fillId="0" borderId="16" xfId="0" applyNumberFormat="1" applyFont="1" applyBorder="1" applyAlignment="1">
      <alignment horizontal="center"/>
    </xf>
    <xf numFmtId="0" fontId="114" fillId="12" borderId="0" xfId="0" applyFont="1" applyFill="1" applyAlignment="1">
      <alignment horizontal="center"/>
    </xf>
    <xf numFmtId="0" fontId="113" fillId="0" borderId="0" xfId="0" applyFont="1"/>
    <xf numFmtId="0" fontId="30" fillId="0" borderId="15" xfId="0" applyFont="1" applyBorder="1" applyAlignment="1">
      <alignment horizontal="center"/>
    </xf>
    <xf numFmtId="172" fontId="7" fillId="0" borderId="5" xfId="0" applyNumberFormat="1" applyFont="1" applyBorder="1" applyAlignment="1">
      <alignment horizontal="center"/>
    </xf>
    <xf numFmtId="172" fontId="7" fillId="0" borderId="6" xfId="0" applyNumberFormat="1" applyFont="1" applyBorder="1" applyAlignment="1">
      <alignment horizontal="center"/>
    </xf>
    <xf numFmtId="0" fontId="62" fillId="0" borderId="4" xfId="0" applyFont="1" applyBorder="1" applyAlignment="1">
      <alignment horizontal="center"/>
    </xf>
    <xf numFmtId="0" fontId="70" fillId="0" borderId="20" xfId="0" applyFont="1" applyBorder="1" applyAlignment="1">
      <alignment horizontal="center"/>
    </xf>
    <xf numFmtId="0" fontId="70" fillId="0" borderId="0" xfId="0" applyFont="1" applyAlignment="1">
      <alignment horizontal="center"/>
    </xf>
    <xf numFmtId="0" fontId="70" fillId="0" borderId="17" xfId="0" applyFont="1" applyBorder="1" applyAlignment="1">
      <alignment horizontal="center"/>
    </xf>
    <xf numFmtId="0" fontId="69" fillId="0" borderId="20" xfId="0" applyFont="1" applyBorder="1" applyAlignment="1">
      <alignment horizontal="center"/>
    </xf>
    <xf numFmtId="0" fontId="69" fillId="0" borderId="0" xfId="0" applyFont="1" applyAlignment="1">
      <alignment horizontal="center"/>
    </xf>
    <xf numFmtId="0" fontId="69" fillId="0" borderId="17"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68" fillId="0" borderId="9" xfId="0" applyFont="1" applyBorder="1" applyAlignment="1">
      <alignment horizontal="center"/>
    </xf>
    <xf numFmtId="0" fontId="68" fillId="0" borderId="21" xfId="0" applyFont="1" applyBorder="1" applyAlignment="1">
      <alignment horizontal="center"/>
    </xf>
    <xf numFmtId="0" fontId="68" fillId="0" borderId="18" xfId="0" applyFont="1" applyBorder="1" applyAlignment="1">
      <alignment horizontal="center"/>
    </xf>
    <xf numFmtId="0" fontId="31" fillId="0" borderId="4"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10" fillId="0" borderId="22"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3" fillId="0" borderId="0" xfId="0" applyNumberFormat="1" applyFont="1" applyAlignment="1">
      <alignment horizontal="center"/>
    </xf>
    <xf numFmtId="164" fontId="25" fillId="0" borderId="4" xfId="0" applyNumberFormat="1" applyFont="1" applyBorder="1" applyAlignment="1">
      <alignment horizontal="center"/>
    </xf>
    <xf numFmtId="164" fontId="132" fillId="0" borderId="7" xfId="0" applyNumberFormat="1" applyFont="1" applyBorder="1" applyAlignment="1">
      <alignment horizontal="center"/>
    </xf>
    <xf numFmtId="164" fontId="132" fillId="0" borderId="13" xfId="0" applyNumberFormat="1" applyFont="1" applyBorder="1" applyAlignment="1">
      <alignment horizontal="center"/>
    </xf>
    <xf numFmtId="164" fontId="132" fillId="0" borderId="12" xfId="0" applyNumberFormat="1" applyFont="1" applyBorder="1" applyAlignment="1">
      <alignment horizontal="center"/>
    </xf>
    <xf numFmtId="0" fontId="28"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32" fillId="0" borderId="7" xfId="0" applyFont="1" applyBorder="1" applyAlignment="1">
      <alignment horizontal="center" vertical="top" wrapText="1"/>
    </xf>
    <xf numFmtId="0" fontId="132" fillId="0" borderId="13" xfId="0" applyFont="1" applyBorder="1" applyAlignment="1">
      <alignment horizontal="center" vertical="top" wrapText="1"/>
    </xf>
    <xf numFmtId="0" fontId="132"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8" fillId="0" borderId="14" xfId="0" applyFont="1" applyBorder="1" applyAlignment="1">
      <alignment horizontal="center"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20" xfId="0" applyFont="1" applyBorder="1" applyAlignment="1">
      <alignment horizontal="center" vertical="top" wrapText="1"/>
    </xf>
    <xf numFmtId="0" fontId="28" fillId="0" borderId="0" xfId="0" applyFont="1" applyAlignment="1">
      <alignment horizontal="center" vertical="top" wrapText="1"/>
    </xf>
    <xf numFmtId="0" fontId="28" fillId="0" borderId="17" xfId="0" applyFont="1" applyBorder="1" applyAlignment="1">
      <alignment horizontal="center" vertical="top" wrapText="1"/>
    </xf>
    <xf numFmtId="0" fontId="132" fillId="0" borderId="7" xfId="0" applyFont="1" applyBorder="1" applyAlignment="1">
      <alignment horizontal="center"/>
    </xf>
    <xf numFmtId="0" fontId="132" fillId="0" borderId="13" xfId="0" applyFont="1" applyBorder="1" applyAlignment="1">
      <alignment horizontal="center"/>
    </xf>
    <xf numFmtId="0" fontId="132" fillId="0" borderId="12" xfId="0" applyFont="1" applyBorder="1" applyAlignment="1">
      <alignment horizontal="center"/>
    </xf>
    <xf numFmtId="0" fontId="0" fillId="0" borderId="20" xfId="0" applyBorder="1" applyAlignment="1">
      <alignment horizontal="center"/>
    </xf>
    <xf numFmtId="21" fontId="7" fillId="0" borderId="0" xfId="3" applyNumberFormat="1" applyFill="1" applyProtection="1">
      <protection locked="0"/>
    </xf>
    <xf numFmtId="0" fontId="7" fillId="0" borderId="0" xfId="3" applyFill="1" applyProtection="1">
      <protection locked="0"/>
    </xf>
    <xf numFmtId="0" fontId="5" fillId="0" borderId="0" xfId="0" applyFont="1" applyBorder="1" applyProtection="1">
      <protection locked="0"/>
    </xf>
    <xf numFmtId="21" fontId="7" fillId="0" borderId="0" xfId="3" applyNumberFormat="1" applyBorder="1" applyProtection="1">
      <protection locked="0"/>
    </xf>
    <xf numFmtId="0" fontId="0" fillId="0" borderId="0" xfId="0" applyBorder="1" applyProtection="1">
      <protection locked="0"/>
    </xf>
    <xf numFmtId="164" fontId="35" fillId="0" borderId="0" xfId="0" applyNumberFormat="1" applyFont="1" applyBorder="1" applyProtection="1">
      <protection locked="0"/>
    </xf>
    <xf numFmtId="0" fontId="7" fillId="0" borderId="0" xfId="0" applyFont="1" applyBorder="1" applyProtection="1">
      <protection locked="0"/>
    </xf>
    <xf numFmtId="0" fontId="35" fillId="0" borderId="0" xfId="0" applyFont="1" applyBorder="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7">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0" formatCode="General"/>
    </dxf>
    <dxf>
      <numFmt numFmtId="0" formatCode="General"/>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184" formatCode="[$-F400]h:mm:ss\ AM/PM"/>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9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9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9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9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D318DDCC-735A-B0D1-D677-90DD50C9E80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48FAB5E5-9E6C-45EC-86B2-C059DA7CBF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4"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4">
    <queryTableFields count="3">
      <queryTableField id="1" name="Time" tableColumnId="1"/>
      <queryTableField id="2" name="TestPoint" tableColumnId="2"/>
      <queryTableField id="3" name="Temp"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423">
    <queryTableFields count="1">
      <queryTableField id="1" name="Point" tableColumnId="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6"/>
    <tableColumn id="2" xr3:uid="{D07D770F-21F7-425E-8CCA-AA85FFD513A3}" uniqueName="2" name="serial_number" queryTableFieldId="2" dataDxfId="55"/>
    <tableColumn id="3" xr3:uid="{D963BD5C-EE98-4CDD-ABAE-5315BBDA1135}" uniqueName="3" name="asset_tag" queryTableFieldId="3" dataDxfId="54"/>
    <tableColumn id="4" xr3:uid="{44F03B5B-6C09-4D5C-B2E2-D809B4EDF2B0}" uniqueName="4" name="custom_order_number" queryTableFieldId="4" dataDxfId="53"/>
    <tableColumn id="5" xr3:uid="{412A70E1-7452-417E-A3A9-BD3499EBD33C}" uniqueName="5" name="service_date" queryTableFieldId="5" dataDxfId="52"/>
    <tableColumn id="6" xr3:uid="{B359FFDA-2633-4F67-9E7E-BA0BB88ADA64}" uniqueName="6" name="next_service_date" queryTableFieldId="6" dataDxfId="51"/>
    <tableColumn id="7" xr3:uid="{297A4F29-F6E9-4BD3-A7A2-5F1039480BAE}" uniqueName="7" name="certificate_number" queryTableFieldId="7" dataDxfId="50"/>
    <tableColumn id="8" xr3:uid="{7C740CB9-37DA-435E-A87E-AF050E31623C}" uniqueName="8" name="wire_roll_cert_number" queryTableFieldId="8" dataDxfId="49"/>
    <tableColumn id="9" xr3:uid="{5B17E9FC-0D68-4EA9-9145-B5DC8FAF5A93}" uniqueName="9" name="type" queryTableFieldId="9" dataDxfId="48"/>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WireOffsets" displayName="WireOffsets"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46"/>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45">
  <autoFilter ref="A1:C9" xr:uid="{8AF992F3-27EF-4265-960D-70EC6F74FAFA}"/>
  <sortState xmlns:xlrd2="http://schemas.microsoft.com/office/spreadsheetml/2017/richdata2" ref="A2:C9">
    <sortCondition ref="B1:B9"/>
  </sortState>
  <tableColumns count="3">
    <tableColumn id="1" xr3:uid="{1F7D0D09-7152-4679-B25C-65CF0E0AB2D4}" name="Type" dataDxfId="14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C161" tableType="queryTable" totalsRowShown="0">
  <autoFilter ref="A1:C161" xr:uid="{815A4F80-4DF3-448B-9397-686FCFDDED64}"/>
  <tableColumns count="3">
    <tableColumn id="1" xr3:uid="{1C9CC47B-5715-47C4-83EB-86C4A2C0F76C}" uniqueName="1" name="Column1" queryTableFieldId="1" dataDxfId="143"/>
    <tableColumn id="2" xr3:uid="{7F91B585-8A01-4519-AAE4-C7EE373A67E8}" uniqueName="2" name="Column2" queryTableFieldId="2" dataDxfId="142"/>
    <tableColumn id="3" xr3:uid="{9AA002EE-A20C-4368-A762-5389EA773944}" uniqueName="3" name="Column3" queryTableFieldId="3"/>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tableColumn id="3" xr3:uid="{52334E52-C590-4A01-82BC-CCC9DA2C2817}" name="30" dataDxfId="136"/>
    <tableColumn id="4" xr3:uid="{145DAD22-055B-47E2-958D-C0E0B68ECCC8}" name="31" dataDxfId="135"/>
    <tableColumn id="5" xr3:uid="{09C3BF4E-C2AE-4497-AAA2-CF5A8A70B030}" name="32" dataDxfId="134"/>
    <tableColumn id="6" xr3:uid="{E9F444F5-7F75-4B80-BC2D-E9E92BB7C32D}" name="33" dataDxfId="133"/>
    <tableColumn id="7" xr3:uid="{C42F56B6-C38E-41DC-811A-50AF69D04B80}" name="34" dataDxfId="132"/>
    <tableColumn id="8" xr3:uid="{1930235F-D2C0-482D-8CC0-6B3AC765E7EA}" name="35" dataDxfId="131"/>
    <tableColumn id="9" xr3:uid="{6FCF613B-A86F-4DC6-9CC5-0A1E44E3DFE0}" name="36" dataDxfId="130"/>
    <tableColumn id="10" xr3:uid="{19EA3429-FD7E-4BA0-96B7-70F520D9FE0F}" name="37" dataDxfId="129"/>
    <tableColumn id="11" xr3:uid="{A5D0DAE1-1017-4DE3-AEA6-1BAF97E0FBDC}" name="38" dataDxfId="128"/>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tableColumn id="3" xr3:uid="{5D74EEBF-1FB4-4DF9-8EDD-C656F929ADA2}" name="16" dataDxfId="121"/>
    <tableColumn id="4" xr3:uid="{B1176DF8-22B4-4741-A534-22D0C72EF1F0}" name="17" dataDxfId="120"/>
    <tableColumn id="5" xr3:uid="{1E29EA65-5182-4B3E-817F-0D30B2884EC7}" name="18" dataDxfId="119"/>
    <tableColumn id="6" xr3:uid="{AF53AEFB-F310-4F08-91BC-82FB0F484ECA}" name="19" dataDxfId="118"/>
    <tableColumn id="7" xr3:uid="{EE472F61-D1B5-43CF-A661-FA1D47001C17}" name="20" dataDxfId="117"/>
    <tableColumn id="8" xr3:uid="{841D54C1-AB74-4CB1-8C7F-C38D11EFAD3F}" name="21" dataDxfId="116"/>
    <tableColumn id="9" xr3:uid="{F1FB485B-DEAA-4958-8C40-80934EA1437F}" name="22" dataDxfId="115"/>
    <tableColumn id="10" xr3:uid="{5C552A76-BD54-46C5-93AD-8F25289FA051}" name="23" dataDxfId="114"/>
    <tableColumn id="11" xr3:uid="{B20FA5F1-0522-49D0-9B5A-34570A8AE6EA}" name="24" dataDxfId="11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0"/>
    <tableColumn id="7" xr3:uid="{3E130632-D63E-485B-AA7F-FF01BB115CD8}" uniqueName="7" name="AddressLine2" queryTableFieldId="7" dataDxfId="89"/>
    <tableColumn id="8" xr3:uid="{B07B805E-B475-4FEF-A83E-C870164F0C1C}" uniqueName="8" name="AddressLine3" queryTableFieldId="8" dataDxfId="88"/>
    <tableColumn id="9" xr3:uid="{3603DEDD-08A6-4233-A5D5-79D5A1A0055E}" uniqueName="9" name="FormNumber" queryTableFieldId="9" dataDxfId="87"/>
    <tableColumn id="10" xr3:uid="{B63B6E05-D199-4BCD-9A28-28B5F5832CE0}" uniqueName="10" name="CalibrationMethod" queryTableFieldId="10" dataDxfId="86"/>
    <tableColumn id="11" xr3:uid="{EC51B02C-FD97-492B-BF24-15D683C6ED4C}" uniqueName="11" name="ToleranceSource" queryTableFieldId="11" dataDxfId="85"/>
    <tableColumn id="12" xr3:uid="{706BF144-B069-4B3F-AFB9-7848E93D758C}" uniqueName="12" name="Item" queryTableFieldId="12" dataDxfId="84"/>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3"/>
    <tableColumn id="18" xr3:uid="{2B4941C4-9755-4A0D-86C3-2C668815DEF2}" uniqueName="18" name="Tolerance" queryTableFieldId="18" dataDxfId="82"/>
    <tableColumn id="19" xr3:uid="{756D3CB6-E1A4-4B24-93A7-8AB4732E9BE6}" uniqueName="19" name="HeatingMethod" queryTableFieldId="19" dataDxfId="81"/>
    <tableColumn id="20" xr3:uid="{A46E5597-E3E9-444B-8D64-D35898DCC2B4}" uniqueName="20" name="WorkingZoneSize" queryTableFieldId="20" dataDxfId="80"/>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9"/>
    <tableColumn id="32" xr3:uid="{1852EB3E-F034-42EA-8A35-98DDD1845F7B}" uniqueName="32" name="TestLocation" queryTableFieldId="32" dataDxfId="78"/>
    <tableColumn id="33" xr3:uid="{15129CDA-47B3-4B02-8524-3F9672DC4216}" uniqueName="33" name="OvenLocation" queryTableFieldId="33" dataDxfId="77"/>
    <tableColumn id="34" xr3:uid="{F4A9D00F-E54E-4736-976C-15166BF81AEF}" uniqueName="34" name="Condition" queryTableFieldId="34" dataDxfId="76"/>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5"/>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4" dataDxfId="73">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59"/>
    <tableColumn id="19" xr3:uid="{31D68568-B5E1-4705-9496-19F08F967786}" uniqueName="19" name="Address2" queryTableFieldId="19" dataDxfId="58"/>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7"/>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2" dataDxfId="71">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7"/>
    <tableColumn id="12" xr3:uid="{C13B0E02-FD03-4438-B98A-E6A8ED8A9F13}" uniqueName="12" name="manufacturer_part_number" queryTableFieldId="25"/>
    <tableColumn id="11" xr3:uid="{48BC425D-225D-4DB3-A151-D583A73AA082}" uniqueName="11" name="notes" queryTableFieldId="11" dataDxfId="46"/>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0"/>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A2" tableType="queryTable" insertRow="1" totalsRowShown="0">
  <autoFilter ref="A1:A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5">
  <autoFilter ref="A3:C8" xr:uid="{5AC13131-9A1C-4C12-B4F9-A393708ED370}"/>
  <tableColumns count="3">
    <tableColumn id="1" xr3:uid="{97181276-3609-45C8-AD82-B2880A7AEDE4}" name="Min" dataDxfId="64"/>
    <tableColumn id="2" xr3:uid="{FCA9B2A8-03BC-4152-9483-74D5E30011E8}" name="Max" dataDxfId="63"/>
    <tableColumn id="3" xr3:uid="{53EFB432-094F-4AB8-B706-DACB84CFAD58}" name="CMC" dataDxfId="6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61"/>
    <tableColumn id="5" xr3:uid="{27363C9A-3D85-416E-8BCC-52B2C8D77A72}" uniqueName="5" name="Uncert Units" queryTableFieldId="5" dataDxfId="6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5"/>
    <tableColumn id="9" xr3:uid="{70463AB5-A50D-48D5-9E26-8919276C1D2D}" uniqueName="9" name="Mult 2" queryTableFieldId="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0.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table" Target="../tables/table9.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0" Type="http://schemas.openxmlformats.org/officeDocument/2006/relationships/ctrlProp" Target="../ctrlProps/ctrlProp10.xml"/><Relationship Id="rId4" Type="http://schemas.openxmlformats.org/officeDocument/2006/relationships/drawing" Target="../drawings/drawing2.xml"/><Relationship Id="rId9" Type="http://schemas.openxmlformats.org/officeDocument/2006/relationships/ctrlProp" Target="../ctrlProps/ctrlProp9.xml"/><Relationship Id="rId14"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3.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8.xml"/><Relationship Id="rId4" Type="http://schemas.openxmlformats.org/officeDocument/2006/relationships/vmlDrawing" Target="../drawings/vmlDrawing3.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65"/>
      <c r="B2" s="95"/>
      <c r="C2" s="95"/>
      <c r="D2" s="95"/>
      <c r="E2" s="106"/>
      <c r="F2" s="106"/>
      <c r="G2" s="95"/>
      <c r="H2" s="95"/>
      <c r="I2" s="95"/>
      <c r="J2"/>
      <c r="K2"/>
    </row>
    <row r="3" spans="1:11" x14ac:dyDescent="0.2">
      <c r="A3" s="165"/>
      <c r="B3" s="95"/>
      <c r="C3" s="95"/>
      <c r="D3" s="95"/>
      <c r="E3" s="106"/>
      <c r="F3" s="106"/>
      <c r="G3" s="95"/>
      <c r="H3" s="95"/>
      <c r="I3" s="95"/>
      <c r="J3"/>
      <c r="K3"/>
    </row>
    <row r="4" spans="1:11" x14ac:dyDescent="0.2">
      <c r="A4" s="165"/>
      <c r="B4" s="95"/>
      <c r="C4" s="95"/>
      <c r="D4" s="95"/>
      <c r="E4" s="106"/>
      <c r="F4" s="106"/>
      <c r="G4" s="95"/>
      <c r="H4" s="95"/>
      <c r="I4" s="95"/>
      <c r="J4"/>
      <c r="K4"/>
    </row>
    <row r="5" spans="1:11" x14ac:dyDescent="0.2">
      <c r="A5" s="165"/>
      <c r="B5" s="95"/>
      <c r="C5" s="95"/>
      <c r="D5" s="95"/>
      <c r="E5" s="106"/>
      <c r="F5" s="106"/>
      <c r="G5" s="95"/>
      <c r="H5" s="95"/>
      <c r="I5" s="95"/>
      <c r="J5"/>
      <c r="K5"/>
    </row>
    <row r="6" spans="1:11" x14ac:dyDescent="0.2">
      <c r="A6" s="165"/>
      <c r="B6" s="95"/>
      <c r="C6" s="95"/>
      <c r="D6" s="95"/>
      <c r="E6" s="106"/>
      <c r="F6" s="106"/>
      <c r="G6" s="95"/>
      <c r="H6" s="95"/>
      <c r="I6" s="95"/>
      <c r="J6"/>
      <c r="K6"/>
    </row>
    <row r="7" spans="1:11" x14ac:dyDescent="0.2">
      <c r="A7" s="165"/>
      <c r="B7" s="95"/>
      <c r="C7" s="95"/>
      <c r="D7" s="95"/>
      <c r="E7" s="106"/>
      <c r="F7" s="106"/>
      <c r="G7" s="95"/>
      <c r="H7" s="95"/>
      <c r="I7" s="95"/>
      <c r="J7"/>
      <c r="K7"/>
    </row>
    <row r="8" spans="1:11" x14ac:dyDescent="0.2">
      <c r="A8" s="165"/>
      <c r="B8" s="95"/>
      <c r="C8" s="95"/>
      <c r="D8" s="95"/>
      <c r="E8" s="106"/>
      <c r="F8" s="106"/>
      <c r="G8" s="95"/>
      <c r="H8" s="95"/>
      <c r="I8" s="95"/>
      <c r="J8"/>
      <c r="K8"/>
    </row>
    <row r="9" spans="1:11" x14ac:dyDescent="0.2">
      <c r="A9" s="165"/>
      <c r="B9" s="95"/>
      <c r="C9" s="95"/>
      <c r="D9" s="95"/>
      <c r="E9" s="106"/>
      <c r="F9" s="106"/>
      <c r="G9" s="95"/>
      <c r="H9" s="95"/>
      <c r="I9" s="95"/>
      <c r="J9"/>
      <c r="K9"/>
    </row>
    <row r="10" spans="1:11" x14ac:dyDescent="0.2">
      <c r="A10" s="165"/>
      <c r="B10" s="95"/>
      <c r="C10" s="95"/>
      <c r="D10" s="95"/>
      <c r="E10" s="106"/>
      <c r="F10" s="106"/>
      <c r="G10" s="95"/>
      <c r="H10" s="95"/>
      <c r="I10" s="95"/>
      <c r="J10"/>
      <c r="K10"/>
    </row>
    <row r="11" spans="1:11" x14ac:dyDescent="0.2">
      <c r="A11" s="165"/>
      <c r="B11" s="95"/>
      <c r="C11" s="95"/>
      <c r="D11" s="95"/>
      <c r="E11" s="106"/>
      <c r="F11" s="106"/>
      <c r="G11" s="95"/>
      <c r="H11" s="95"/>
      <c r="I11" s="95"/>
      <c r="J11"/>
      <c r="K11"/>
    </row>
    <row r="12" spans="1:11" x14ac:dyDescent="0.2">
      <c r="A12" s="165"/>
      <c r="B12" s="95"/>
      <c r="C12" s="95"/>
      <c r="D12" s="95"/>
      <c r="E12" s="106"/>
      <c r="F12" s="106"/>
      <c r="G12" s="95"/>
      <c r="H12" s="95"/>
      <c r="I12" s="95"/>
      <c r="J12"/>
      <c r="K12"/>
    </row>
    <row r="13" spans="1:11" x14ac:dyDescent="0.2">
      <c r="A13" s="165"/>
      <c r="B13" s="95"/>
      <c r="C13" s="95"/>
      <c r="D13" s="95"/>
      <c r="E13" s="106"/>
      <c r="F13" s="106"/>
      <c r="G13" s="95"/>
      <c r="H13" s="95"/>
      <c r="I13" s="95"/>
      <c r="J13"/>
      <c r="K13"/>
    </row>
    <row r="14" spans="1:11" x14ac:dyDescent="0.2">
      <c r="A14" s="165"/>
      <c r="B14" s="95"/>
      <c r="C14" s="95"/>
      <c r="D14" s="95"/>
      <c r="E14" s="106"/>
      <c r="F14" s="106"/>
      <c r="G14" s="95"/>
      <c r="H14" s="95"/>
      <c r="I14" s="95"/>
      <c r="J14"/>
      <c r="K14"/>
    </row>
    <row r="15" spans="1:11" x14ac:dyDescent="0.2">
      <c r="A15" s="165"/>
      <c r="B15" s="95"/>
      <c r="C15" s="95"/>
      <c r="D15" s="95"/>
      <c r="E15" s="106"/>
      <c r="F15" s="106"/>
      <c r="G15" s="95"/>
      <c r="H15" s="95"/>
      <c r="I15" s="95"/>
      <c r="J15"/>
      <c r="K15"/>
    </row>
    <row r="16" spans="1:11" x14ac:dyDescent="0.2">
      <c r="A16" s="165"/>
      <c r="B16" s="95"/>
      <c r="C16" s="95"/>
      <c r="D16" s="95"/>
      <c r="E16" s="106"/>
      <c r="F16" s="106"/>
      <c r="G16" s="95"/>
      <c r="H16" s="95"/>
      <c r="I16" s="95"/>
      <c r="J16"/>
      <c r="K16"/>
    </row>
    <row r="17" spans="1:11" x14ac:dyDescent="0.2">
      <c r="A17" s="165"/>
      <c r="B17" s="95"/>
      <c r="C17" s="95"/>
      <c r="D17" s="95"/>
      <c r="E17" s="106"/>
      <c r="F17" s="106"/>
      <c r="G17" s="95"/>
      <c r="H17" s="95"/>
      <c r="I17" s="95"/>
      <c r="J17"/>
      <c r="K17"/>
    </row>
    <row r="18" spans="1:11" x14ac:dyDescent="0.2">
      <c r="A18" s="165"/>
      <c r="B18" s="95"/>
      <c r="C18" s="95"/>
      <c r="D18" s="95"/>
      <c r="E18" s="106"/>
      <c r="F18" s="106"/>
      <c r="G18" s="95"/>
      <c r="H18" s="95"/>
      <c r="I18" s="95"/>
      <c r="J18"/>
      <c r="K18"/>
    </row>
    <row r="19" spans="1:11" x14ac:dyDescent="0.2">
      <c r="A19" s="165"/>
      <c r="B19" s="95"/>
      <c r="C19" s="95"/>
      <c r="D19" s="95"/>
      <c r="E19" s="106"/>
      <c r="F19" s="106"/>
      <c r="G19" s="95"/>
      <c r="H19" s="95"/>
      <c r="I19" s="95"/>
      <c r="J19"/>
      <c r="K19"/>
    </row>
    <row r="20" spans="1:11" x14ac:dyDescent="0.2">
      <c r="A20" s="165"/>
      <c r="B20" s="95"/>
      <c r="C20" s="95"/>
      <c r="D20" s="95"/>
      <c r="E20" s="106"/>
      <c r="F20" s="106"/>
      <c r="G20" s="95"/>
      <c r="H20" s="95"/>
      <c r="I20" s="95"/>
      <c r="J20"/>
      <c r="K20"/>
    </row>
    <row r="21" spans="1:11" x14ac:dyDescent="0.2">
      <c r="A21" s="165"/>
      <c r="B21" s="95"/>
      <c r="C21" s="95"/>
      <c r="D21" s="95"/>
      <c r="E21" s="106"/>
      <c r="F21" s="106"/>
      <c r="G21" s="95"/>
      <c r="H21" s="95"/>
      <c r="I21" s="95"/>
      <c r="J21"/>
      <c r="K21"/>
    </row>
    <row r="22" spans="1:11" x14ac:dyDescent="0.2">
      <c r="A22" s="165"/>
      <c r="B22" s="95"/>
      <c r="C22" s="95"/>
      <c r="D22" s="95"/>
      <c r="E22" s="106"/>
      <c r="F22" s="106"/>
      <c r="G22" s="95"/>
      <c r="H22" s="95"/>
      <c r="I22" s="95"/>
      <c r="J22"/>
      <c r="K22"/>
    </row>
    <row r="23" spans="1:11" x14ac:dyDescent="0.2">
      <c r="A23" s="165"/>
      <c r="B23" s="95"/>
      <c r="C23" s="95"/>
      <c r="D23" s="95"/>
      <c r="E23" s="106"/>
      <c r="F23" s="106"/>
      <c r="G23" s="95"/>
      <c r="H23" s="95"/>
      <c r="I23" s="95"/>
      <c r="J23"/>
      <c r="K23"/>
    </row>
    <row r="24" spans="1:11" x14ac:dyDescent="0.2">
      <c r="A24" s="165"/>
      <c r="B24" s="95"/>
      <c r="C24" s="95"/>
      <c r="D24" s="95"/>
      <c r="E24" s="106"/>
      <c r="F24" s="106"/>
      <c r="G24" s="95"/>
      <c r="H24" s="95"/>
      <c r="I24" s="95"/>
    </row>
    <row r="25" spans="1:11" x14ac:dyDescent="0.2">
      <c r="A25" s="165"/>
      <c r="B25" s="95"/>
      <c r="C25" s="95"/>
      <c r="D25" s="95"/>
      <c r="E25" s="106"/>
      <c r="F25" s="106"/>
      <c r="G25" s="95"/>
      <c r="H25" s="95"/>
      <c r="I25" s="95"/>
      <c r="J25"/>
      <c r="K25"/>
    </row>
    <row r="26" spans="1:11" x14ac:dyDescent="0.2">
      <c r="A26" s="165"/>
      <c r="B26" s="95"/>
      <c r="C26" s="95"/>
      <c r="D26" s="95"/>
      <c r="E26" s="106"/>
      <c r="F26" s="106"/>
      <c r="G26" s="95"/>
      <c r="H26" s="95"/>
      <c r="I26" s="95"/>
      <c r="J26"/>
      <c r="K26"/>
    </row>
    <row r="27" spans="1:11" x14ac:dyDescent="0.2">
      <c r="A27" s="165"/>
      <c r="B27" s="95"/>
      <c r="C27" s="95"/>
      <c r="D27" s="95"/>
      <c r="E27" s="106"/>
      <c r="F27" s="106"/>
      <c r="G27" s="95"/>
      <c r="H27" s="95"/>
      <c r="I27" s="95"/>
      <c r="J27"/>
      <c r="K27"/>
    </row>
    <row r="28" spans="1:11" x14ac:dyDescent="0.2">
      <c r="A28" s="165"/>
      <c r="B28" s="95"/>
      <c r="C28" s="95"/>
      <c r="D28" s="95"/>
      <c r="E28" s="106"/>
      <c r="F28" s="106"/>
      <c r="G28" s="95"/>
      <c r="H28" s="95"/>
      <c r="I28" s="95"/>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21" customWidth="1"/>
    <col min="2" max="2" width="12.85546875" style="215" customWidth="1"/>
    <col min="3" max="3" width="16.5703125" style="220" customWidth="1"/>
    <col min="4" max="4" width="10.42578125" style="168" customWidth="1"/>
    <col min="5" max="5" width="10.28515625" style="168" customWidth="1"/>
    <col min="6" max="6" width="12.85546875" style="168" customWidth="1"/>
    <col min="7" max="7" width="17.7109375" style="168" customWidth="1"/>
    <col min="8" max="8" width="10.140625" style="168" bestFit="1" customWidth="1"/>
    <col min="9" max="9" width="10.140625" style="168" customWidth="1"/>
    <col min="10" max="11" width="10.140625" style="168" bestFit="1" customWidth="1"/>
    <col min="12" max="12" width="11.7109375" style="168" bestFit="1" customWidth="1"/>
    <col min="13" max="13" width="19.85546875" style="168" customWidth="1"/>
    <col min="14" max="15" width="9.140625" style="168"/>
    <col min="16" max="16" width="16" style="168" customWidth="1"/>
    <col min="17" max="17" width="14.7109375" style="168" customWidth="1"/>
    <col min="18" max="18" width="10.140625" style="168" customWidth="1"/>
    <col min="19" max="19" width="12.140625" style="168" customWidth="1"/>
    <col min="20" max="20" width="3.5703125" style="352" customWidth="1"/>
    <col min="21" max="21" width="15.85546875" style="352" customWidth="1"/>
    <col min="22" max="22" width="13.5703125" style="352" customWidth="1"/>
    <col min="23" max="23" width="11.140625" style="352" customWidth="1"/>
    <col min="24" max="16384" width="9.140625" style="352"/>
  </cols>
  <sheetData>
    <row r="1" spans="1:26" ht="23.25" x14ac:dyDescent="0.35">
      <c r="A1" s="369" t="s">
        <v>954</v>
      </c>
      <c r="B1" s="370"/>
      <c r="C1" s="514" t="s">
        <v>62</v>
      </c>
      <c r="D1" s="515"/>
      <c r="E1" s="515"/>
      <c r="F1" s="515"/>
      <c r="G1" s="166" t="e" cm="1">
        <f t="array" ref="G1">GetFormattedWorkItemNumber(K14, D24)</f>
        <v>#VALUE!</v>
      </c>
      <c r="H1" s="166"/>
      <c r="I1" s="167"/>
      <c r="J1" s="352"/>
      <c r="K1" s="352"/>
      <c r="L1" s="352"/>
      <c r="M1" s="352"/>
      <c r="N1" s="352"/>
      <c r="O1" s="352"/>
      <c r="P1" s="352"/>
      <c r="Q1" s="352"/>
      <c r="R1" s="352"/>
      <c r="S1" s="352"/>
    </row>
    <row r="2" spans="1:26" ht="12.75" customHeight="1" x14ac:dyDescent="0.2">
      <c r="A2" s="371"/>
      <c r="B2" s="372"/>
      <c r="C2" s="352"/>
      <c r="D2" s="352"/>
      <c r="E2" s="373"/>
      <c r="F2" s="373"/>
      <c r="G2" s="372"/>
      <c r="H2" s="352"/>
      <c r="I2" s="352"/>
      <c r="J2" s="352"/>
      <c r="K2" s="352"/>
      <c r="L2" s="353"/>
      <c r="M2" s="353"/>
      <c r="N2" s="353"/>
      <c r="O2" s="353"/>
      <c r="P2" s="353"/>
      <c r="Q2" s="353"/>
      <c r="R2" s="353"/>
      <c r="S2" s="353"/>
      <c r="T2" s="353"/>
      <c r="U2" s="353"/>
      <c r="V2" s="353"/>
    </row>
    <row r="3" spans="1:26" x14ac:dyDescent="0.2">
      <c r="A3" s="371"/>
      <c r="B3" s="169"/>
      <c r="C3" s="170" t="s">
        <v>89</v>
      </c>
      <c r="D3" s="323"/>
      <c r="E3" s="352"/>
      <c r="F3" s="352"/>
      <c r="G3" s="352"/>
      <c r="H3" s="352"/>
      <c r="I3" s="352"/>
      <c r="J3" s="516" t="s">
        <v>119</v>
      </c>
      <c r="K3" s="517"/>
      <c r="L3" s="518"/>
      <c r="M3" s="352"/>
      <c r="N3" s="533" t="s">
        <v>108</v>
      </c>
      <c r="O3" s="533"/>
      <c r="P3" s="533"/>
      <c r="Q3" s="533"/>
      <c r="R3" s="533"/>
      <c r="S3" s="533"/>
      <c r="T3" s="353"/>
      <c r="U3" s="353"/>
      <c r="V3" s="353"/>
      <c r="W3" s="354"/>
      <c r="X3" s="354"/>
      <c r="Y3" s="354"/>
      <c r="Z3" s="354"/>
    </row>
    <row r="4" spans="1:26" x14ac:dyDescent="0.2">
      <c r="A4" s="371"/>
      <c r="B4" s="169"/>
      <c r="C4" s="170" t="s">
        <v>255</v>
      </c>
      <c r="D4" s="328" t="str">
        <f>IF(Condition,Condition,"")</f>
        <v/>
      </c>
      <c r="E4" s="352"/>
      <c r="F4" s="352"/>
      <c r="G4" s="352"/>
      <c r="H4" s="352"/>
      <c r="I4" s="352"/>
      <c r="J4" s="521" t="s">
        <v>4</v>
      </c>
      <c r="K4" s="522"/>
      <c r="L4" s="171">
        <f ca="1">IF(ISERROR(Access_Data!$D$33),0,Access_Data!$D$33)</f>
        <v>0</v>
      </c>
      <c r="M4" s="352"/>
      <c r="N4" s="172" t="s">
        <v>107</v>
      </c>
      <c r="O4" s="173" t="s">
        <v>106</v>
      </c>
      <c r="P4" s="519" t="s">
        <v>117</v>
      </c>
      <c r="Q4" s="520"/>
      <c r="R4" s="172" t="s">
        <v>154</v>
      </c>
      <c r="S4" s="172" t="s">
        <v>158</v>
      </c>
      <c r="T4" s="353"/>
      <c r="U4" s="355"/>
      <c r="V4" s="355"/>
      <c r="W4" s="355"/>
      <c r="X4" s="355"/>
      <c r="Y4" s="355"/>
      <c r="Z4" s="355"/>
    </row>
    <row r="5" spans="1:26" x14ac:dyDescent="0.2">
      <c r="A5" s="371"/>
      <c r="B5" s="169"/>
      <c r="C5" s="170" t="s">
        <v>53</v>
      </c>
      <c r="D5" s="537" t="e">
        <f>IFERROR(companyName,NA())</f>
        <v>#N/A</v>
      </c>
      <c r="E5" s="538"/>
      <c r="F5" s="538"/>
      <c r="G5" s="538"/>
      <c r="H5" s="539"/>
      <c r="I5" s="329"/>
      <c r="J5" s="521" t="s">
        <v>5</v>
      </c>
      <c r="K5" s="522"/>
      <c r="L5" s="171">
        <f ca="1">IF(ISERROR(Access_Data!$D$33),0,Access_Data!$H$33)</f>
        <v>0</v>
      </c>
      <c r="M5" s="352"/>
      <c r="N5" s="172">
        <v>1</v>
      </c>
      <c r="O5" s="174"/>
      <c r="P5" s="175" t="str">
        <f>IF(Access_Data!$K37=0,"",Access_Data!$K37)</f>
        <v/>
      </c>
      <c r="Q5" s="176"/>
      <c r="R5" s="177" t="str">
        <f>IF(Access_Data!$K37&lt;&gt;0,IF(RIGHT($P5,3)="Low",Access_Data!$L37,IF(RIGHT($P5,4)="High",Access_Data!$J37,"")),"")</f>
        <v/>
      </c>
      <c r="S5" s="178" t="str">
        <f>IF(Access_Data!$M37&lt;&gt;0,Access_Data!$M37,"")</f>
        <v/>
      </c>
      <c r="T5" s="353"/>
      <c r="U5" s="355"/>
      <c r="V5" s="355"/>
      <c r="W5" s="355"/>
      <c r="X5" s="355" t="str">
        <f>IF(O5,1,"")</f>
        <v/>
      </c>
      <c r="Y5" s="355"/>
      <c r="Z5" s="355"/>
    </row>
    <row r="6" spans="1:26" x14ac:dyDescent="0.2">
      <c r="A6" s="371"/>
      <c r="B6" s="169"/>
      <c r="C6" s="170" t="s">
        <v>52</v>
      </c>
      <c r="D6" s="534" t="e">
        <f>VLOOKUP("assetName",WorkItemDetails[],2,FALSE)</f>
        <v>#N/A</v>
      </c>
      <c r="E6" s="535"/>
      <c r="F6" s="535"/>
      <c r="G6" s="535"/>
      <c r="H6" s="536"/>
      <c r="I6" s="320"/>
      <c r="J6" s="521" t="s">
        <v>118</v>
      </c>
      <c r="K6" s="522"/>
      <c r="L6" s="171">
        <f>IF(ISERROR(Access_Data!$A$52),0,Access_Data!$A$52)</f>
        <v>0</v>
      </c>
      <c r="M6" s="352"/>
      <c r="N6" s="172">
        <v>2</v>
      </c>
      <c r="O6" s="174"/>
      <c r="P6" s="175" t="str">
        <f>IF(Access_Data!$K38=0,"",Access_Data!$K38)</f>
        <v/>
      </c>
      <c r="Q6" s="179"/>
      <c r="R6" s="177" t="str">
        <f>IF(Access_Data!$K38&lt;&gt;0,IF(RIGHT($P6,3)="Low",Access_Data!$L38,IF(RIGHT($P6,4)="High",Access_Data!$J38,"")),"")</f>
        <v/>
      </c>
      <c r="S6" s="178" t="str">
        <f>IF(Access_Data!$M38&lt;&gt;0,Access_Data!$M38,"")</f>
        <v/>
      </c>
      <c r="T6" s="353"/>
      <c r="U6" s="355"/>
      <c r="V6" s="355"/>
      <c r="W6" s="355"/>
      <c r="X6" s="355" t="str">
        <f t="shared" ref="X6:X44" si="0">IF(O6,1,"")</f>
        <v/>
      </c>
      <c r="Y6" s="355"/>
      <c r="Z6" s="355"/>
    </row>
    <row r="7" spans="1:26" x14ac:dyDescent="0.2">
      <c r="A7" s="371"/>
      <c r="B7" s="180"/>
      <c r="C7" s="181" t="s">
        <v>39</v>
      </c>
      <c r="D7" s="453" t="str" cm="1">
        <f t="array" ref="D7">Employee[Name]</f>
        <v>Jeff Hall</v>
      </c>
      <c r="E7" s="352"/>
      <c r="F7" s="352"/>
      <c r="G7" s="352"/>
      <c r="H7" s="352"/>
      <c r="I7" s="352"/>
      <c r="J7" s="374"/>
      <c r="K7" s="374"/>
      <c r="L7" s="374"/>
      <c r="M7" s="352"/>
      <c r="N7" s="172">
        <v>3</v>
      </c>
      <c r="O7" s="174"/>
      <c r="P7" s="175" t="str">
        <f>IF(Access_Data!$K39=0,"",Access_Data!$K39)</f>
        <v/>
      </c>
      <c r="Q7" s="176"/>
      <c r="R7" s="177" t="str">
        <f>IF(Access_Data!$K39&lt;&gt;0,IF(RIGHT($P7,3)="Low",Access_Data!$L39,IF(RIGHT($P7,4)="High",Access_Data!$J39,"")),"")</f>
        <v/>
      </c>
      <c r="S7" s="178" t="str">
        <f>IF(Access_Data!$M39&lt;&gt;0,Access_Data!$M39,"")</f>
        <v/>
      </c>
      <c r="T7" s="353"/>
      <c r="U7" s="355"/>
      <c r="V7" s="355"/>
      <c r="W7" s="355"/>
      <c r="X7" s="355" t="str">
        <f t="shared" si="0"/>
        <v/>
      </c>
      <c r="Y7" s="355"/>
      <c r="Z7" s="355"/>
    </row>
    <row r="8" spans="1:26" x14ac:dyDescent="0.2">
      <c r="A8" s="371"/>
      <c r="B8" s="367"/>
      <c r="C8" s="375"/>
      <c r="D8" s="376"/>
      <c r="E8" s="352"/>
      <c r="F8" s="377" t="str">
        <f>IF(N49="","CHECK TUNING CONSTANTS","")</f>
        <v>CHECK TUNING CONSTANTS</v>
      </c>
      <c r="G8" s="352"/>
      <c r="H8" s="352"/>
      <c r="I8" s="352"/>
      <c r="J8" s="352"/>
      <c r="K8" s="352"/>
      <c r="L8" s="352"/>
      <c r="M8" s="352"/>
      <c r="N8" s="172">
        <v>4</v>
      </c>
      <c r="O8" s="174"/>
      <c r="P8" s="175" t="str">
        <f>IF(Access_Data!$K40=0,"",Access_Data!$K40)</f>
        <v/>
      </c>
      <c r="Q8" s="179"/>
      <c r="R8" s="177" t="str">
        <f>IF(Access_Data!$K40&lt;&gt;0,IF(RIGHT($P8,3)="Low",Access_Data!$L40,IF(RIGHT($P8,4)="High",Access_Data!$J40,"")),"")</f>
        <v/>
      </c>
      <c r="S8" s="178" t="str">
        <f>IF(Access_Data!$M40&lt;&gt;0,Access_Data!$M40,"")</f>
        <v/>
      </c>
      <c r="T8" s="353"/>
      <c r="U8" s="355"/>
      <c r="V8" s="355"/>
      <c r="W8" s="355"/>
      <c r="X8" s="355" t="str">
        <f t="shared" si="0"/>
        <v/>
      </c>
      <c r="Y8" s="355"/>
      <c r="Z8" s="355"/>
    </row>
    <row r="9" spans="1:26" ht="12.75" customHeight="1" x14ac:dyDescent="0.2">
      <c r="A9" s="371"/>
      <c r="B9" s="169"/>
      <c r="C9" s="182" t="s">
        <v>82</v>
      </c>
      <c r="D9" s="325"/>
      <c r="E9" s="329" t="str" cm="1">
        <f t="array" ref="E9">IFERROR(
  _xlfn.XLOOKUP(
    Main!$D$9,
    _xlfn._xlws.FILTER(AssetPool[asset_tag], AssetPool[root_category_name]="DAQ Modules"),
    _xlfn._xlws.FILTER(AssetPool[asset_id], AssetPool[root_category_name]="DAQ Modules")
  ),
  ""
)</f>
        <v/>
      </c>
      <c r="F9" s="352"/>
      <c r="G9" s="352"/>
      <c r="H9" s="352"/>
      <c r="I9" s="352"/>
      <c r="J9" s="352"/>
      <c r="K9" s="352"/>
      <c r="L9" s="352"/>
      <c r="M9" s="352"/>
      <c r="N9" s="172">
        <v>5</v>
      </c>
      <c r="O9" s="174"/>
      <c r="P9" s="175" t="str">
        <f>IF(Access_Data!$K41=0,"",Access_Data!$K41)</f>
        <v/>
      </c>
      <c r="Q9" s="176"/>
      <c r="R9" s="177" t="str">
        <f>IF(Access_Data!$K41&lt;&gt;0,IF(RIGHT($P9,3)="Low",Access_Data!$L41,IF(RIGHT($P9,4)="High",Access_Data!$J41,"")),"")</f>
        <v/>
      </c>
      <c r="S9" s="178" t="str">
        <f>IF(Access_Data!$M41&lt;&gt;0,Access_Data!$M41,"")</f>
        <v/>
      </c>
      <c r="T9" s="353"/>
      <c r="U9" s="355"/>
      <c r="V9" s="355"/>
      <c r="W9" s="355"/>
      <c r="X9" s="355" t="str">
        <f t="shared" si="0"/>
        <v/>
      </c>
      <c r="Y9" s="355"/>
      <c r="Z9" s="355"/>
    </row>
    <row r="10" spans="1:26" x14ac:dyDescent="0.2">
      <c r="A10" s="371"/>
      <c r="B10" s="367"/>
      <c r="C10" s="368"/>
      <c r="D10" s="352"/>
      <c r="E10" s="352"/>
      <c r="F10" s="352"/>
      <c r="G10" s="353" t="str">
        <f ca="1">IF(OR(ISNA(Access_Data!D33),ISBLANK(D19),ISBLANK(D16)),"",IF(OR(ABS(Access_Data!D33)&gt;D19,ABS(Access_Data!H33)&gt;D19),"!!!!! OVEN IS OOT !!!!!",""))</f>
        <v/>
      </c>
      <c r="H10" s="352"/>
      <c r="I10" s="352"/>
      <c r="J10" s="352"/>
      <c r="K10" s="352"/>
      <c r="L10" s="352"/>
      <c r="M10" s="352"/>
      <c r="N10" s="172">
        <v>6</v>
      </c>
      <c r="O10" s="174"/>
      <c r="P10" s="175" t="str">
        <f>IF(Access_Data!$K42=0,"",Access_Data!$K42)</f>
        <v/>
      </c>
      <c r="Q10" s="179"/>
      <c r="R10" s="177" t="str">
        <f>IF(Access_Data!$K42&lt;&gt;0,IF(RIGHT($P10,3)="Low",Access_Data!$L42,IF(RIGHT($P10,4)="High",Access_Data!$J42,"")),"")</f>
        <v/>
      </c>
      <c r="S10" s="178" t="str">
        <f>IF(Access_Data!$M42&lt;&gt;0,Access_Data!$M42,"")</f>
        <v/>
      </c>
      <c r="T10" s="353"/>
      <c r="U10" s="355"/>
      <c r="V10" s="355"/>
      <c r="W10" s="355"/>
      <c r="X10" s="355" t="str">
        <f t="shared" si="0"/>
        <v/>
      </c>
      <c r="Y10" s="355"/>
      <c r="Z10" s="355"/>
    </row>
    <row r="11" spans="1:26" x14ac:dyDescent="0.2">
      <c r="A11" s="371"/>
      <c r="B11" s="169"/>
      <c r="C11" s="182" t="s">
        <v>69</v>
      </c>
      <c r="D11" s="322" t="e">
        <f>VLOOKUP("serial_number",DaqbookServiceRecord[], 2, FALSE)</f>
        <v>#N/A</v>
      </c>
      <c r="E11" s="352"/>
      <c r="F11" s="352"/>
      <c r="G11" s="353" t="str">
        <f>IF(OR(ISBLANK(D3),ISBLANK(D13)),"",IF(D13&lt;D3,"!!!!! DAQBOOK IS OUT OF CERTIFICATION !!!!!",""))</f>
        <v/>
      </c>
      <c r="H11" s="352"/>
      <c r="I11" s="352"/>
      <c r="J11" s="352"/>
      <c r="K11" s="352"/>
      <c r="L11" s="352"/>
      <c r="M11" s="352"/>
      <c r="N11" s="172">
        <v>7</v>
      </c>
      <c r="O11" s="174"/>
      <c r="P11" s="175" t="str">
        <f>IF(Access_Data!$K43=0,"",Access_Data!$K43)</f>
        <v/>
      </c>
      <c r="Q11" s="179"/>
      <c r="R11" s="177" t="str">
        <f>IF(Access_Data!$K43&lt;&gt;0,IF(RIGHT($P11,3)="Low",Access_Data!$L43,IF(RIGHT($P11,4)="High",Access_Data!$J43,"")),"")</f>
        <v/>
      </c>
      <c r="S11" s="178" t="str">
        <f>IF(Access_Data!$M43&lt;&gt;0,Access_Data!$M43,"")</f>
        <v/>
      </c>
      <c r="T11" s="353"/>
      <c r="U11" s="355"/>
      <c r="V11" s="355"/>
      <c r="W11" s="355"/>
      <c r="X11" s="355" t="str">
        <f t="shared" si="0"/>
        <v/>
      </c>
      <c r="Y11" s="355"/>
      <c r="Z11" s="355"/>
    </row>
    <row r="12" spans="1:26" x14ac:dyDescent="0.2">
      <c r="A12" s="371"/>
      <c r="B12" s="169"/>
      <c r="C12" s="182" t="s">
        <v>104</v>
      </c>
      <c r="D12" s="321" t="e">
        <f>VLOOKUP("service_date",DaqbookServiceRecord[], 2, FALSE)</f>
        <v>#N/A</v>
      </c>
      <c r="E12" s="352"/>
      <c r="F12" s="352"/>
      <c r="G12" s="353" t="str">
        <f>IF(Access_Data!$B$52=1,"!!!!! OVEN OVERSHOT IN POINTS 1-14 !!!!!","")</f>
        <v/>
      </c>
      <c r="H12" s="352"/>
      <c r="I12" s="352"/>
      <c r="J12" s="374"/>
      <c r="K12" s="356"/>
      <c r="L12" s="374"/>
      <c r="M12" s="356"/>
      <c r="N12" s="172">
        <v>8</v>
      </c>
      <c r="O12" s="174"/>
      <c r="P12" s="175" t="str">
        <f>IF(Access_Data!$K44=0,"",Access_Data!$K44)</f>
        <v/>
      </c>
      <c r="Q12" s="179"/>
      <c r="R12" s="177" t="str">
        <f>IF(Access_Data!$K44&lt;&gt;0,IF(RIGHT($P12,3)="Low",Access_Data!$L44,IF(RIGHT($P12,4)="High",Access_Data!$J44,"")),"")</f>
        <v/>
      </c>
      <c r="S12" s="178" t="str">
        <f>IF(Access_Data!$M44&lt;&gt;0,Access_Data!$M44,"")</f>
        <v/>
      </c>
      <c r="T12" s="353"/>
      <c r="U12" s="355"/>
      <c r="V12" s="355"/>
      <c r="W12" s="355"/>
      <c r="X12" s="355" t="str">
        <f t="shared" si="0"/>
        <v/>
      </c>
      <c r="Y12" s="355"/>
      <c r="Z12" s="355"/>
    </row>
    <row r="13" spans="1:26" x14ac:dyDescent="0.2">
      <c r="A13" s="371"/>
      <c r="B13" s="183"/>
      <c r="C13" s="184" t="s">
        <v>103</v>
      </c>
      <c r="D13" s="321" t="e">
        <f>VLOOKUP("next_service_date",DaqbookServiceRecord[], 2, FALSE)</f>
        <v>#N/A</v>
      </c>
      <c r="E13" s="352"/>
      <c r="F13" s="378"/>
      <c r="G13" s="368" t="str">
        <f>IF(Access_Data!$C$52=1,"!!!!! OVEN OVERSHOT IN POINTS 15-28 !!!!!","")</f>
        <v/>
      </c>
      <c r="H13" s="352"/>
      <c r="I13" s="352"/>
      <c r="J13" s="281" t="s">
        <v>350</v>
      </c>
      <c r="K13" s="531" t="str">
        <f>IFERROR(VLOOKUP("PoNumber",WorkItemDetails[],2,FALSE),"")</f>
        <v/>
      </c>
      <c r="L13" s="532"/>
      <c r="M13" s="352"/>
      <c r="N13" s="172">
        <v>9</v>
      </c>
      <c r="O13" s="174"/>
      <c r="P13" s="175" t="str">
        <f>IF(Access_Data!$K45=0,"",Access_Data!$K45)</f>
        <v/>
      </c>
      <c r="Q13" s="176"/>
      <c r="R13" s="177" t="str">
        <f>IF(Access_Data!$K45&lt;&gt;0,IF(RIGHT($P13,3)="Low",Access_Data!$L45,IF(RIGHT($P13,4)="High",Access_Data!$J45,"")),"")</f>
        <v/>
      </c>
      <c r="S13" s="178" t="str">
        <f>IF(Access_Data!$M45&lt;&gt;0,Access_Data!$M45,"")</f>
        <v/>
      </c>
      <c r="T13" s="353"/>
      <c r="U13" s="355"/>
      <c r="V13" s="355"/>
      <c r="W13" s="355"/>
      <c r="X13" s="355" t="str">
        <f t="shared" si="0"/>
        <v/>
      </c>
      <c r="Y13" s="355"/>
      <c r="Z13" s="355"/>
    </row>
    <row r="14" spans="1:26" x14ac:dyDescent="0.2">
      <c r="A14" s="371"/>
      <c r="B14" s="169"/>
      <c r="C14" s="182" t="s">
        <v>105</v>
      </c>
      <c r="D14" s="322" t="e">
        <f>VLOOKUP("certificate_number",DaqbookServiceRecord[], 2, FALSE)</f>
        <v>#N/A</v>
      </c>
      <c r="E14" s="352"/>
      <c r="F14" s="352"/>
      <c r="G14" s="353" t="str">
        <f>IF(Access_Data!$D$52=1,"!!!!! OVEN OVERSHOT IN POINTS 29-40","")</f>
        <v/>
      </c>
      <c r="H14" s="352"/>
      <c r="I14" s="352"/>
      <c r="J14" s="185" t="s">
        <v>153</v>
      </c>
      <c r="K14" s="540"/>
      <c r="L14" s="541"/>
      <c r="M14" s="352"/>
      <c r="N14" s="172">
        <v>10</v>
      </c>
      <c r="O14" s="174"/>
      <c r="P14" s="175" t="str">
        <f>IF(Access_Data!$K46=0,"",Access_Data!$K46)</f>
        <v/>
      </c>
      <c r="Q14" s="179"/>
      <c r="R14" s="177" t="str">
        <f>IF(Access_Data!$K46&lt;&gt;0,IF(RIGHT($P14,3)="Low",Access_Data!$L46,IF(RIGHT($P14,4)="High",Access_Data!$J46,"")),"")</f>
        <v/>
      </c>
      <c r="S14" s="178" t="str">
        <f>IF(Access_Data!$M46&lt;&gt;0,Access_Data!$M46,"")</f>
        <v/>
      </c>
      <c r="T14" s="353"/>
      <c r="U14" s="355"/>
      <c r="V14" s="355"/>
      <c r="W14" s="355"/>
      <c r="X14" s="355" t="str">
        <f t="shared" si="0"/>
        <v/>
      </c>
      <c r="Y14" s="355"/>
      <c r="Z14" s="355"/>
    </row>
    <row r="15" spans="1:26" x14ac:dyDescent="0.2">
      <c r="A15" s="371"/>
      <c r="B15" s="226"/>
      <c r="C15" s="224" t="s">
        <v>81</v>
      </c>
      <c r="D15" s="345"/>
      <c r="E15" s="352"/>
      <c r="F15" s="352"/>
      <c r="G15" s="352"/>
      <c r="H15" s="374" t="b">
        <v>1</v>
      </c>
      <c r="I15" s="352"/>
      <c r="J15" s="186" t="s">
        <v>148</v>
      </c>
      <c r="K15" s="525"/>
      <c r="L15" s="526"/>
      <c r="M15" s="352"/>
      <c r="N15" s="172">
        <v>11</v>
      </c>
      <c r="O15" s="174"/>
      <c r="P15" s="175" t="str">
        <f>IF(Access_Data!$K47=0,"",Access_Data!$K47)</f>
        <v/>
      </c>
      <c r="Q15" s="176"/>
      <c r="R15" s="177" t="str">
        <f>IF(Access_Data!$K47&lt;&gt;0,IF(RIGHT($P15,3)="Low",Access_Data!$L47,IF(RIGHT($P15,4)="High",Access_Data!$J47,"")),"")</f>
        <v/>
      </c>
      <c r="S15" s="178" t="str">
        <f>IF(Access_Data!$M47&lt;&gt;0,Access_Data!$M47,"")</f>
        <v/>
      </c>
      <c r="T15" s="353"/>
      <c r="U15" s="355"/>
      <c r="V15" s="355"/>
      <c r="W15" s="355"/>
      <c r="X15" s="355" t="str">
        <f t="shared" si="0"/>
        <v/>
      </c>
      <c r="Y15" s="355"/>
      <c r="Z15" s="355"/>
    </row>
    <row r="16" spans="1:26" x14ac:dyDescent="0.2">
      <c r="A16" s="371"/>
      <c r="B16" s="187"/>
      <c r="C16" s="225" t="s">
        <v>289</v>
      </c>
      <c r="D16" s="345"/>
      <c r="E16" s="352"/>
      <c r="F16" s="185" t="s">
        <v>94</v>
      </c>
      <c r="G16" s="481" t="s">
        <v>294</v>
      </c>
      <c r="H16" s="482"/>
      <c r="I16" s="352"/>
      <c r="J16" s="487" t="s">
        <v>184</v>
      </c>
      <c r="K16" s="488"/>
      <c r="L16" s="327"/>
      <c r="M16" s="352"/>
      <c r="N16" s="172">
        <v>12</v>
      </c>
      <c r="O16" s="174"/>
      <c r="P16" s="175" t="str">
        <f>IF(Access_Data!$K48=0,"",Access_Data!$K48)</f>
        <v/>
      </c>
      <c r="Q16" s="179"/>
      <c r="R16" s="177" t="str">
        <f>IF(Access_Data!$K48&lt;&gt;0,IF(RIGHT($P16,3)="Low",Access_Data!$L48,IF(RIGHT($P16,4)="High",Access_Data!$J48,"")),"")</f>
        <v/>
      </c>
      <c r="S16" s="178" t="str">
        <f>IF(Access_Data!$M48&lt;&gt;0,Access_Data!$M48,"")</f>
        <v/>
      </c>
      <c r="T16" s="353"/>
      <c r="U16" s="355"/>
      <c r="V16" s="355"/>
      <c r="W16" s="355"/>
      <c r="X16" s="355" t="str">
        <f t="shared" si="0"/>
        <v/>
      </c>
      <c r="Y16" s="355"/>
      <c r="Z16" s="355"/>
    </row>
    <row r="17" spans="1:26" x14ac:dyDescent="0.2">
      <c r="A17" s="371"/>
      <c r="B17" s="169"/>
      <c r="C17" s="170" t="s">
        <v>80</v>
      </c>
      <c r="D17" s="346"/>
      <c r="E17" s="352"/>
      <c r="F17" s="186" t="s">
        <v>113</v>
      </c>
      <c r="G17" s="454" t="str">
        <f>IF(ISBLANK(Load),"",Load)</f>
        <v/>
      </c>
      <c r="H17" s="352"/>
      <c r="I17" s="353"/>
      <c r="J17" s="487" t="s">
        <v>185</v>
      </c>
      <c r="K17" s="488"/>
      <c r="L17" s="189" t="str">
        <f>IF(K15="SIM Load Hot",TEXT(D26,"hh:mm"),"")</f>
        <v/>
      </c>
      <c r="M17" s="352"/>
      <c r="N17" s="172">
        <v>13</v>
      </c>
      <c r="O17" s="174"/>
      <c r="P17" s="175" t="str">
        <f>IF(Access_Data!$K49=0,"",Access_Data!$K49)</f>
        <v/>
      </c>
      <c r="Q17" s="176"/>
      <c r="R17" s="177" t="str">
        <f>IF(Access_Data!$K49&lt;&gt;0,IF(RIGHT($P17,3)="Low",Access_Data!$L49,IF(RIGHT($P17,4)="High",Access_Data!$J49,"")),"")</f>
        <v/>
      </c>
      <c r="S17" s="178" t="str">
        <f>IF(Access_Data!$M49&lt;&gt;0,Access_Data!$M49,"")</f>
        <v/>
      </c>
      <c r="T17" s="353"/>
      <c r="U17" s="355"/>
      <c r="V17" s="355"/>
      <c r="W17" s="355"/>
      <c r="X17" s="355" t="str">
        <f t="shared" si="0"/>
        <v/>
      </c>
      <c r="Y17" s="355"/>
      <c r="Z17" s="355"/>
    </row>
    <row r="18" spans="1:26" x14ac:dyDescent="0.2">
      <c r="A18" s="371"/>
      <c r="B18" s="183"/>
      <c r="C18" s="190" t="s">
        <v>83</v>
      </c>
      <c r="D18" s="325"/>
      <c r="E18" s="352"/>
      <c r="F18" s="191" t="s">
        <v>95</v>
      </c>
      <c r="G18" s="542" t="s">
        <v>31</v>
      </c>
      <c r="H18" s="543"/>
      <c r="I18" s="353"/>
      <c r="J18" s="379"/>
      <c r="K18" s="352"/>
      <c r="L18" s="353"/>
      <c r="M18" s="352"/>
      <c r="N18" s="172">
        <v>14</v>
      </c>
      <c r="O18" s="174"/>
      <c r="P18" s="175" t="str">
        <f>IF(Access_Data!$K50=0,"",Access_Data!$K50)</f>
        <v/>
      </c>
      <c r="Q18" s="179"/>
      <c r="R18" s="177" t="str">
        <f>IF(Access_Data!$K50&lt;&gt;0,IF(RIGHT($P18,3)="Low",Access_Data!$L50,IF(RIGHT($P18,4)="High",Access_Data!$J50,"")),"")</f>
        <v/>
      </c>
      <c r="S18" s="178" t="str">
        <f>IF(Access_Data!$M50&lt;&gt;0,Access_Data!$M50,"")</f>
        <v/>
      </c>
      <c r="T18" s="353"/>
      <c r="U18" s="355"/>
      <c r="V18" s="355"/>
      <c r="W18" s="355"/>
      <c r="X18" s="355" t="str">
        <f t="shared" si="0"/>
        <v/>
      </c>
      <c r="Y18" s="355"/>
      <c r="Z18" s="355"/>
    </row>
    <row r="19" spans="1:26" x14ac:dyDescent="0.2">
      <c r="A19" s="371"/>
      <c r="B19" s="169"/>
      <c r="C19" s="170" t="s">
        <v>22</v>
      </c>
      <c r="D19" s="344"/>
      <c r="E19" s="352"/>
      <c r="F19" s="186" t="s">
        <v>96</v>
      </c>
      <c r="G19" s="523" t="str">
        <f>IF(K15="Salt",0, IF(OR(K15="Hot",K15="SIM Load Hot"),IF(OR(D26="",D28=""),"N/A",IF(ISBLANK(D26),"N/A",D28-D26)),"N/A"))</f>
        <v>N/A</v>
      </c>
      <c r="H19" s="524"/>
      <c r="I19" s="380" t="str">
        <f>IF(G19="N/A","N/A",IF(G19=0,"&lt;2",ROUND(IF(LEN(G19)&gt;3,G19*1440,RIGHT(TEXT(G19,"hh:mm"),2)),0))&amp;" MINUTES")</f>
        <v>N/A</v>
      </c>
      <c r="J19" s="379"/>
      <c r="K19" s="352"/>
      <c r="L19" s="353"/>
      <c r="M19" s="352"/>
      <c r="N19" s="172">
        <v>15</v>
      </c>
      <c r="O19" s="174"/>
      <c r="P19" s="175" t="str">
        <f>IF(Access_Data!$K51=0,"",Access_Data!$K51)</f>
        <v/>
      </c>
      <c r="Q19" s="176"/>
      <c r="R19" s="177" t="str">
        <f>IF(Access_Data!$K51&lt;&gt;0,IF(RIGHT($P19,3)="Low",Access_Data!$L51,IF(RIGHT($P19,4)="High",Access_Data!$J51,"")),"")</f>
        <v/>
      </c>
      <c r="S19" s="178" t="str">
        <f>IF(Access_Data!$M51&lt;&gt;0,Access_Data!$M51,"")</f>
        <v/>
      </c>
      <c r="T19" s="353"/>
      <c r="U19" s="355"/>
      <c r="V19" s="355"/>
      <c r="W19" s="355"/>
      <c r="X19" s="355" t="str">
        <f t="shared" si="0"/>
        <v/>
      </c>
      <c r="Y19" s="355"/>
      <c r="Z19" s="355"/>
    </row>
    <row r="20" spans="1:26" ht="13.7" customHeight="1" x14ac:dyDescent="0.2">
      <c r="A20" s="371"/>
      <c r="B20" s="527" t="str">
        <f>IF(I94=TRUE,"SAT Tolerance (per AMS2750):","SAT Tolerance (per BAC5621):")</f>
        <v>SAT Tolerance (per AMS2750):</v>
      </c>
      <c r="C20" s="528"/>
      <c r="D20" s="452" t="e">
        <f>G94</f>
        <v>#N/A</v>
      </c>
      <c r="E20" s="353"/>
      <c r="F20" s="352"/>
      <c r="G20" s="352"/>
      <c r="H20" s="352"/>
      <c r="I20" s="353"/>
      <c r="J20" s="352"/>
      <c r="K20" s="352"/>
      <c r="L20" s="353"/>
      <c r="M20" s="352"/>
      <c r="N20" s="172">
        <v>16</v>
      </c>
      <c r="O20" s="174"/>
      <c r="P20" s="175" t="str">
        <f>IF(Access_Data!$K52=0,"",Access_Data!$K52)</f>
        <v/>
      </c>
      <c r="Q20" s="179"/>
      <c r="R20" s="177" t="str">
        <f>IF(Access_Data!$K52&lt;&gt;0,IF(RIGHT($P20,3)="Low",Access_Data!$L52,IF(RIGHT($P20,4)="High",Access_Data!$J52,"")),"")</f>
        <v/>
      </c>
      <c r="S20" s="178" t="str">
        <f>IF(Access_Data!$M52&lt;&gt;0,Access_Data!$M52,"")</f>
        <v/>
      </c>
      <c r="T20" s="353"/>
      <c r="U20" s="355"/>
      <c r="V20" s="355"/>
      <c r="W20" s="355"/>
      <c r="X20" s="355" t="str">
        <f t="shared" si="0"/>
        <v/>
      </c>
      <c r="Y20" s="355"/>
      <c r="Z20" s="355"/>
    </row>
    <row r="21" spans="1:26" x14ac:dyDescent="0.2">
      <c r="A21" s="371"/>
      <c r="B21" s="367"/>
      <c r="C21" s="381"/>
      <c r="D21" s="376"/>
      <c r="E21" s="352"/>
      <c r="F21" s="352"/>
      <c r="G21" s="352"/>
      <c r="H21" s="352"/>
      <c r="I21" s="353"/>
      <c r="J21" s="352"/>
      <c r="K21" s="352"/>
      <c r="L21" s="353"/>
      <c r="M21" s="352"/>
      <c r="N21" s="172">
        <v>17</v>
      </c>
      <c r="O21" s="174"/>
      <c r="P21" s="175" t="str">
        <f>IF(Access_Data!$K53=0,"",Access_Data!$K53)</f>
        <v/>
      </c>
      <c r="Q21" s="176"/>
      <c r="R21" s="177" t="str">
        <f>IF(Access_Data!$K53&lt;&gt;0,IF(RIGHT($P21,3)="Low",Access_Data!$L53,IF(RIGHT($P21,4)="High",Access_Data!$J53,"")),"")</f>
        <v/>
      </c>
      <c r="S21" s="178" t="str">
        <f>IF(Access_Data!$M53&lt;&gt;0,Access_Data!$M53,"")</f>
        <v/>
      </c>
      <c r="T21" s="353"/>
      <c r="U21" s="355"/>
      <c r="V21" s="355"/>
      <c r="W21" s="355"/>
      <c r="X21" s="355" t="str">
        <f t="shared" si="0"/>
        <v/>
      </c>
      <c r="Y21" s="355"/>
      <c r="Z21" s="355"/>
    </row>
    <row r="22" spans="1:26" x14ac:dyDescent="0.2">
      <c r="A22" s="371"/>
      <c r="B22" s="187"/>
      <c r="C22" s="188" t="s">
        <v>54</v>
      </c>
      <c r="D22" s="324"/>
      <c r="E22" s="352"/>
      <c r="F22" s="382"/>
      <c r="G22" s="352"/>
      <c r="H22" s="352"/>
      <c r="I22" s="353"/>
      <c r="J22" s="352"/>
      <c r="K22" s="352"/>
      <c r="L22" s="353"/>
      <c r="M22" s="352"/>
      <c r="N22" s="172">
        <v>18</v>
      </c>
      <c r="O22" s="174"/>
      <c r="P22" s="175" t="str">
        <f>IF(Access_Data!$K54=0,"",Access_Data!$K54)</f>
        <v/>
      </c>
      <c r="Q22" s="179"/>
      <c r="R22" s="177" t="str">
        <f>IF(Access_Data!$K54&lt;&gt;0,IF(RIGHT($P22,3)="Low",Access_Data!$L54,IF(RIGHT($P22,4)="High",Access_Data!$J54,"")),"")</f>
        <v/>
      </c>
      <c r="S22" s="178" t="str">
        <f>IF(Access_Data!$M54&lt;&gt;0,Access_Data!$M54,"")</f>
        <v/>
      </c>
      <c r="T22" s="353"/>
      <c r="U22" s="355"/>
      <c r="V22" s="355"/>
      <c r="W22" s="355"/>
      <c r="X22" s="355" t="str">
        <f t="shared" si="0"/>
        <v/>
      </c>
      <c r="Y22" s="355"/>
      <c r="Z22" s="355"/>
    </row>
    <row r="23" spans="1:26" x14ac:dyDescent="0.2">
      <c r="A23" s="371"/>
      <c r="B23" s="169"/>
      <c r="C23" s="170" t="s">
        <v>84</v>
      </c>
      <c r="D23" s="325"/>
      <c r="E23" s="352"/>
      <c r="F23" s="192" t="s">
        <v>114</v>
      </c>
      <c r="G23" s="504" t="s">
        <v>404</v>
      </c>
      <c r="H23" s="505"/>
      <c r="I23" s="505"/>
      <c r="J23" s="505"/>
      <c r="K23" s="506"/>
      <c r="L23" s="353"/>
      <c r="M23" s="352"/>
      <c r="N23" s="172">
        <v>19</v>
      </c>
      <c r="O23" s="174"/>
      <c r="P23" s="175" t="str">
        <f>IF(Access_Data!$K55=0,"",Access_Data!$K55)</f>
        <v/>
      </c>
      <c r="Q23" s="176"/>
      <c r="R23" s="177" t="str">
        <f>IF(Access_Data!$K55&lt;&gt;0,IF(RIGHT($P23,3)="Low",Access_Data!$L55,IF(RIGHT($P23,4)="High",Access_Data!$J55,"")),"")</f>
        <v/>
      </c>
      <c r="S23" s="178" t="str">
        <f>IF(Access_Data!$M55&lt;&gt;0,Access_Data!$M55,"")</f>
        <v/>
      </c>
      <c r="T23" s="353"/>
      <c r="U23" s="355"/>
      <c r="V23" s="355"/>
      <c r="W23" s="355"/>
      <c r="X23" s="355" t="str">
        <f t="shared" si="0"/>
        <v/>
      </c>
      <c r="Y23" s="355">
        <v>10</v>
      </c>
      <c r="Z23" s="355" t="s">
        <v>399</v>
      </c>
    </row>
    <row r="24" spans="1:26" x14ac:dyDescent="0.2">
      <c r="A24" s="371"/>
      <c r="B24" s="529" t="s">
        <v>588</v>
      </c>
      <c r="C24" s="530"/>
      <c r="D24" s="325">
        <v>1</v>
      </c>
      <c r="E24" s="352"/>
      <c r="F24" s="192" t="s">
        <v>115</v>
      </c>
      <c r="G24" s="507"/>
      <c r="H24" s="508"/>
      <c r="I24" s="508"/>
      <c r="J24" s="508"/>
      <c r="K24" s="509"/>
      <c r="L24" s="353"/>
      <c r="M24" s="352"/>
      <c r="N24" s="172">
        <v>20</v>
      </c>
      <c r="O24" s="174"/>
      <c r="P24" s="175" t="str">
        <f>IF(Access_Data!$K56=0,"",Access_Data!$K56)</f>
        <v/>
      </c>
      <c r="Q24" s="179"/>
      <c r="R24" s="177" t="str">
        <f>IF(Access_Data!$K56&lt;&gt;0,IF(RIGHT($P24,3)="Low",Access_Data!$L56,IF(RIGHT($P24,4)="High",Access_Data!$J56,"")),"")</f>
        <v/>
      </c>
      <c r="S24" s="178" t="str">
        <f>IF(Access_Data!$M56&lt;&gt;0,Access_Data!$M56,"")</f>
        <v/>
      </c>
      <c r="T24" s="353"/>
      <c r="U24" s="355"/>
      <c r="V24" s="355"/>
      <c r="W24" s="355"/>
      <c r="X24" s="355" t="str">
        <f t="shared" si="0"/>
        <v/>
      </c>
      <c r="Y24" s="355">
        <v>11</v>
      </c>
      <c r="Z24" s="355" t="s">
        <v>400</v>
      </c>
    </row>
    <row r="25" spans="1:26" x14ac:dyDescent="0.2">
      <c r="A25" s="371"/>
      <c r="B25" s="367"/>
      <c r="C25" s="368"/>
      <c r="D25" s="376"/>
      <c r="E25" s="352"/>
      <c r="F25" s="192" t="s">
        <v>116</v>
      </c>
      <c r="G25" s="507"/>
      <c r="H25" s="508"/>
      <c r="I25" s="508"/>
      <c r="J25" s="508"/>
      <c r="K25" s="509"/>
      <c r="L25" s="353"/>
      <c r="M25" s="352"/>
      <c r="N25" s="172">
        <v>21</v>
      </c>
      <c r="O25" s="174"/>
      <c r="P25" s="175" t="str">
        <f>IF(Access_Data!$K57=0,"",Access_Data!$K57)</f>
        <v/>
      </c>
      <c r="Q25" s="176"/>
      <c r="R25" s="177" t="str">
        <f>IF(Access_Data!$K57&lt;&gt;0,IF(RIGHT($P25,3)="Low",Access_Data!$L57,IF(RIGHT($P25,4)="High",Access_Data!$J57,"")),"")</f>
        <v/>
      </c>
      <c r="S25" s="178" t="str">
        <f>IF(Access_Data!$M57&lt;&gt;0,Access_Data!$M57,"")</f>
        <v/>
      </c>
      <c r="T25" s="353"/>
      <c r="U25" s="355"/>
      <c r="V25" s="355"/>
      <c r="W25" s="355"/>
      <c r="X25" s="355" t="str">
        <f t="shared" si="0"/>
        <v/>
      </c>
      <c r="Y25" s="355">
        <v>12</v>
      </c>
      <c r="Z25" s="355" t="s">
        <v>401</v>
      </c>
    </row>
    <row r="26" spans="1:26" x14ac:dyDescent="0.2">
      <c r="A26" s="371"/>
      <c r="B26" s="187"/>
      <c r="C26" s="188" t="s">
        <v>76</v>
      </c>
      <c r="D26" s="336"/>
      <c r="E26" s="354" t="str">
        <f>TEXT(D26,"hh:mm")</f>
        <v>00:00</v>
      </c>
      <c r="F26" s="353"/>
      <c r="G26" s="353"/>
      <c r="H26" s="353"/>
      <c r="I26" s="353"/>
      <c r="J26" s="353"/>
      <c r="K26" s="353"/>
      <c r="L26" s="353"/>
      <c r="M26" s="352"/>
      <c r="N26" s="172">
        <v>22</v>
      </c>
      <c r="O26" s="174"/>
      <c r="P26" s="175" t="str">
        <f>IF(Access_Data!$K58=0,"",Access_Data!$K58)</f>
        <v/>
      </c>
      <c r="Q26" s="179"/>
      <c r="R26" s="177" t="str">
        <f>IF(Access_Data!$K58&lt;&gt;0,IF(RIGHT($P26,3)="Low",Access_Data!$L58,IF(RIGHT($P26,4)="High",Access_Data!$J58,"")),"")</f>
        <v/>
      </c>
      <c r="S26" s="178" t="str">
        <f>IF(Access_Data!$M58&lt;&gt;0,Access_Data!$M58,"")</f>
        <v/>
      </c>
      <c r="T26" s="353"/>
      <c r="U26" s="355"/>
      <c r="V26" s="355"/>
      <c r="W26" s="355"/>
      <c r="X26" s="355" t="str">
        <f t="shared" si="0"/>
        <v/>
      </c>
      <c r="Y26" s="355">
        <v>13</v>
      </c>
      <c r="Z26" s="355" t="s">
        <v>402</v>
      </c>
    </row>
    <row r="27" spans="1:26" x14ac:dyDescent="0.2">
      <c r="A27" s="371"/>
      <c r="B27" s="193">
        <v>10</v>
      </c>
      <c r="C27" s="170" t="s">
        <v>77</v>
      </c>
      <c r="D27" s="336"/>
      <c r="E27" s="354"/>
      <c r="F27" s="281" t="s">
        <v>297</v>
      </c>
      <c r="G27" s="280" t="str">
        <f>G28</f>
        <v/>
      </c>
      <c r="H27" s="502" t="str">
        <f>IF(ISBLANK(D6),"",IF(CheckRec="x","CHECK INSTRUMENT CAL DATES!!!!             CHECK INSTRUMENT CAL DATES!!!!",""))</f>
        <v/>
      </c>
      <c r="I27" s="503"/>
      <c r="J27" s="503"/>
      <c r="K27" s="503"/>
      <c r="L27" s="353"/>
      <c r="M27" s="352"/>
      <c r="N27" s="172">
        <v>23</v>
      </c>
      <c r="O27" s="174"/>
      <c r="P27" s="175" t="str">
        <f>IF(Access_Data!$K59=0,"",Access_Data!$K59)</f>
        <v/>
      </c>
      <c r="Q27" s="176"/>
      <c r="R27" s="177" t="str">
        <f>IF(Access_Data!$K59&lt;&gt;0,IF(RIGHT($P27,3)="Low",Access_Data!$L59,IF(RIGHT($P27,4)="High",Access_Data!$J59,"")),"")</f>
        <v/>
      </c>
      <c r="S27" s="178" t="str">
        <f>IF(Access_Data!$M59&lt;&gt;0,Access_Data!$M59,"")</f>
        <v/>
      </c>
      <c r="T27" s="353"/>
      <c r="U27" s="355"/>
      <c r="V27" s="355"/>
      <c r="W27" s="355"/>
      <c r="X27" s="355" t="str">
        <f t="shared" si="0"/>
        <v/>
      </c>
      <c r="Y27" s="355">
        <v>14</v>
      </c>
      <c r="Z27" s="355" t="s">
        <v>403</v>
      </c>
    </row>
    <row r="28" spans="1:26" x14ac:dyDescent="0.2">
      <c r="A28" s="371"/>
      <c r="B28" s="194">
        <v>30</v>
      </c>
      <c r="C28" s="190" t="s">
        <v>78</v>
      </c>
      <c r="D28" s="336"/>
      <c r="E28" s="354"/>
      <c r="F28" s="281" t="s">
        <v>298</v>
      </c>
      <c r="G28" s="280" t="str">
        <f>IF(CheckRec="y","Cal by Customer",IF(D$3,D$3,""))</f>
        <v/>
      </c>
      <c r="H28" s="502"/>
      <c r="I28" s="503"/>
      <c r="J28" s="503"/>
      <c r="K28" s="503"/>
      <c r="L28" s="353"/>
      <c r="M28" s="352"/>
      <c r="N28" s="172">
        <v>24</v>
      </c>
      <c r="O28" s="174"/>
      <c r="P28" s="175" t="str">
        <f>IF(Access_Data!$K60=0,"",Access_Data!$K60)</f>
        <v/>
      </c>
      <c r="Q28" s="179"/>
      <c r="R28" s="177" t="str">
        <f>IF(Access_Data!$K60&lt;&gt;0,IF(RIGHT($P28,3)="Low",Access_Data!$L60,IF(RIGHT($P28,4)="High",Access_Data!$J60,"")),"")</f>
        <v/>
      </c>
      <c r="S28" s="178" t="str">
        <f>IF(Access_Data!$M60&lt;&gt;0,Access_Data!$M60,"")</f>
        <v/>
      </c>
      <c r="T28" s="353"/>
      <c r="U28" s="355"/>
      <c r="V28" s="355"/>
      <c r="W28" s="355"/>
      <c r="X28" s="355" t="str">
        <f t="shared" si="0"/>
        <v/>
      </c>
      <c r="Y28" s="355"/>
      <c r="Z28" s="355"/>
    </row>
    <row r="29" spans="1:26" x14ac:dyDescent="0.2">
      <c r="A29" s="371"/>
      <c r="B29" s="193">
        <v>40</v>
      </c>
      <c r="C29" s="170" t="s">
        <v>90</v>
      </c>
      <c r="D29" s="195" t="str">
        <f>(IF(OR(D27="",D28=""),"",IF(ISBLANK(D27),"",D28-D27)))</f>
        <v/>
      </c>
      <c r="E29" s="383" t="str">
        <f>IFERROR(IF(D29=0,"&lt;2",ROUND(IF(LEN(D29)&gt;3,D29*1440,TEXT(D29,"hh:mm")),0)) &amp;" MINUTES","")</f>
        <v/>
      </c>
      <c r="F29" s="356" t="s">
        <v>299</v>
      </c>
      <c r="G29" s="353"/>
      <c r="H29" s="353"/>
      <c r="I29" s="353"/>
      <c r="J29" s="353"/>
      <c r="K29" s="353"/>
      <c r="L29" s="353"/>
      <c r="M29" s="352"/>
      <c r="N29" s="172">
        <v>25</v>
      </c>
      <c r="O29" s="174"/>
      <c r="P29" s="175" t="str">
        <f>IF(Access_Data!$K61=0,"",Access_Data!$K61)</f>
        <v/>
      </c>
      <c r="Q29" s="176"/>
      <c r="R29" s="177" t="str">
        <f>IF(Access_Data!$K61&lt;&gt;0,IF(RIGHT($P29,3)="Low",Access_Data!$L61,IF(RIGHT($P29,4)="High",Access_Data!$J61,"")),"")</f>
        <v/>
      </c>
      <c r="S29" s="178" t="str">
        <f>IF(Access_Data!$M61&lt;&gt;0,Access_Data!$M61,"")</f>
        <v/>
      </c>
      <c r="T29" s="353"/>
      <c r="U29" s="355"/>
      <c r="V29" s="355"/>
      <c r="W29" s="355"/>
      <c r="X29" s="355" t="str">
        <f t="shared" si="0"/>
        <v/>
      </c>
      <c r="Y29" s="355">
        <v>10</v>
      </c>
      <c r="Z29" s="355" t="s">
        <v>405</v>
      </c>
    </row>
    <row r="30" spans="1:26" x14ac:dyDescent="0.2">
      <c r="A30" s="371"/>
      <c r="B30" s="288">
        <v>45</v>
      </c>
      <c r="C30" s="190" t="s">
        <v>79</v>
      </c>
      <c r="D30" s="448"/>
      <c r="E30" s="384" t="str">
        <f>IF(ISBLANK(D30), "", TEXT(D30, "H:mm"))</f>
        <v/>
      </c>
      <c r="F30" s="352"/>
      <c r="G30" s="355">
        <f>IF(D29="",0,D29)</f>
        <v>0</v>
      </c>
      <c r="H30" s="385">
        <f>D28-D26</f>
        <v>0</v>
      </c>
      <c r="I30" s="353"/>
      <c r="J30" s="353"/>
      <c r="K30" s="353"/>
      <c r="L30" s="386"/>
      <c r="M30" s="352"/>
      <c r="N30" s="172">
        <v>26</v>
      </c>
      <c r="O30" s="174"/>
      <c r="P30" s="175" t="str">
        <f>IF(Access_Data!$K62=0,"",Access_Data!$K62)</f>
        <v/>
      </c>
      <c r="Q30" s="179"/>
      <c r="R30" s="177" t="str">
        <f>IF(Access_Data!$K62&lt;&gt;0,IF(RIGHT($P30,3)="Low",Access_Data!$L62,IF(RIGHT($P30,4)="High",Access_Data!$J62,"")),"")</f>
        <v/>
      </c>
      <c r="S30" s="178" t="str">
        <f>IF(Access_Data!$M62&lt;&gt;0,Access_Data!$M62,"")</f>
        <v/>
      </c>
      <c r="T30" s="353"/>
      <c r="U30" s="355" t="b">
        <v>0</v>
      </c>
      <c r="V30" s="355"/>
      <c r="W30" s="355"/>
      <c r="X30" s="355" t="str">
        <f t="shared" si="0"/>
        <v/>
      </c>
      <c r="Y30" s="355">
        <v>11</v>
      </c>
      <c r="Z30" s="355" t="s">
        <v>406</v>
      </c>
    </row>
    <row r="31" spans="1:26" x14ac:dyDescent="0.2">
      <c r="A31" s="371"/>
      <c r="B31" s="169"/>
      <c r="C31" s="170" t="s">
        <v>68</v>
      </c>
      <c r="D31" s="318">
        <f>D30+TIME(0,D32,0)</f>
        <v>0</v>
      </c>
      <c r="E31" s="352"/>
      <c r="F31" s="387" t="str">
        <f>IF(AND(LagLimit&gt;0,G30&gt;LagLimit),"LAG TIME TOO HIGH!!!","")</f>
        <v/>
      </c>
      <c r="G31" s="353"/>
      <c r="H31" s="388" t="str">
        <f>IF(AND(RecoveryLimit&gt;0,H30&gt;RecoveryLimit),"RECOVERY TIME TOO HIGH!!!!","")</f>
        <v/>
      </c>
      <c r="I31" s="353"/>
      <c r="J31" s="353"/>
      <c r="K31" s="353"/>
      <c r="L31" s="389"/>
      <c r="M31" s="389"/>
      <c r="N31" s="172">
        <v>27</v>
      </c>
      <c r="O31" s="174"/>
      <c r="P31" s="175" t="str">
        <f>IF(Access_Data!$K63=0,"",Access_Data!$K63)</f>
        <v/>
      </c>
      <c r="Q31" s="176"/>
      <c r="R31" s="177" t="str">
        <f>IF(Access_Data!$K63&lt;&gt;0,IF(RIGHT($P31,3)="Low",Access_Data!$L63,IF(RIGHT($P31,4)="High",Access_Data!$J63,"")),"")</f>
        <v/>
      </c>
      <c r="S31" s="178" t="str">
        <f>IF(Access_Data!$M63&lt;&gt;0,Access_Data!$M63,"")</f>
        <v/>
      </c>
      <c r="T31" s="353"/>
      <c r="U31" s="355"/>
      <c r="V31" s="355"/>
      <c r="W31" s="355"/>
      <c r="X31" s="355" t="str">
        <f t="shared" si="0"/>
        <v/>
      </c>
      <c r="Y31" s="355">
        <v>12</v>
      </c>
      <c r="Z31" s="355" t="s">
        <v>407</v>
      </c>
    </row>
    <row r="32" spans="1:26" x14ac:dyDescent="0.2">
      <c r="A32" s="381"/>
      <c r="B32" s="196"/>
      <c r="C32" s="197" t="s">
        <v>98</v>
      </c>
      <c r="D32" s="326"/>
      <c r="E32" s="352"/>
      <c r="F32" s="353" t="str">
        <f>IF(COUNTIF(Comparison_Report!R1:R8, 1) &gt; 0, "CHECK COMPARISON REPORT!!!", "")</f>
        <v/>
      </c>
      <c r="G32" s="353"/>
      <c r="H32" s="353"/>
      <c r="I32" s="353"/>
      <c r="J32" s="353"/>
      <c r="K32" s="353"/>
      <c r="L32" s="353"/>
      <c r="M32" s="352"/>
      <c r="N32" s="172">
        <v>28</v>
      </c>
      <c r="O32" s="174"/>
      <c r="P32" s="175" t="str">
        <f>IF(Access_Data!$K64=0,"",Access_Data!$K64)</f>
        <v/>
      </c>
      <c r="Q32" s="179"/>
      <c r="R32" s="177" t="str">
        <f>IF(Access_Data!$K64&lt;&gt;0,IF(RIGHT($P32,3)="Low",Access_Data!$L64,IF(RIGHT($P32,4)="High",Access_Data!$J64,"")),"")</f>
        <v/>
      </c>
      <c r="S32" s="178" t="str">
        <f>IF(Access_Data!$M64&lt;&gt;0,Access_Data!$M64,"")</f>
        <v/>
      </c>
      <c r="T32" s="353"/>
      <c r="U32" s="355"/>
      <c r="V32" s="355"/>
      <c r="W32" s="355"/>
      <c r="X32" s="355" t="str">
        <f t="shared" si="0"/>
        <v/>
      </c>
      <c r="Y32" s="355"/>
      <c r="Z32" s="355"/>
    </row>
    <row r="33" spans="1:26" x14ac:dyDescent="0.2">
      <c r="A33" s="371"/>
      <c r="B33" s="367"/>
      <c r="C33" s="390"/>
      <c r="D33" s="391"/>
      <c r="E33" s="391"/>
      <c r="F33" s="353"/>
      <c r="G33" s="353"/>
      <c r="H33" s="353"/>
      <c r="I33" s="353"/>
      <c r="J33" s="353"/>
      <c r="K33" s="353"/>
      <c r="L33" s="353"/>
      <c r="M33" s="352"/>
      <c r="N33" s="172">
        <v>29</v>
      </c>
      <c r="O33" s="174"/>
      <c r="P33" s="175" t="str">
        <f>IF(Access_Data!$K65=0,"",Access_Data!$K65)</f>
        <v/>
      </c>
      <c r="Q33" s="176"/>
      <c r="R33" s="177" t="str">
        <f>IF(Access_Data!$K65&lt;&gt;0,IF(RIGHT($P33,3)="Low",Access_Data!$L65,IF(RIGHT($P33,4)="High",Access_Data!$J65,"")),"")</f>
        <v/>
      </c>
      <c r="S33" s="178" t="str">
        <f>IF(Access_Data!$M65&lt;&gt;0,Access_Data!$M65,"")</f>
        <v/>
      </c>
      <c r="T33" s="353"/>
      <c r="U33" s="355"/>
      <c r="V33" s="355"/>
      <c r="W33" s="355"/>
      <c r="X33" s="355" t="str">
        <f t="shared" si="0"/>
        <v/>
      </c>
      <c r="Y33" s="355"/>
      <c r="Z33" s="355"/>
    </row>
    <row r="34" spans="1:26" ht="12.75" customHeight="1" x14ac:dyDescent="0.2">
      <c r="A34" s="371"/>
      <c r="B34" s="516" t="s">
        <v>61</v>
      </c>
      <c r="C34" s="517"/>
      <c r="D34" s="517"/>
      <c r="E34" s="517"/>
      <c r="F34" s="517"/>
      <c r="G34" s="517"/>
      <c r="H34" s="517"/>
      <c r="I34" s="517"/>
      <c r="J34" s="517"/>
      <c r="K34" s="517"/>
      <c r="L34" s="518"/>
      <c r="M34" s="352"/>
      <c r="N34" s="172">
        <v>30</v>
      </c>
      <c r="O34" s="174"/>
      <c r="P34" s="175" t="str">
        <f>IF(Access_Data!$K66=0,"",Access_Data!$K66)</f>
        <v/>
      </c>
      <c r="Q34" s="179"/>
      <c r="R34" s="177" t="str">
        <f>IF(Access_Data!$K66&lt;&gt;0,IF(RIGHT($P34,3)="Low",Access_Data!$L66,IF(RIGHT($P34,4)="High",Access_Data!$J66,"")),"")</f>
        <v/>
      </c>
      <c r="S34" s="178" t="str">
        <f>IF(Access_Data!$M66&lt;&gt;0,Access_Data!$M66,"")</f>
        <v/>
      </c>
      <c r="T34" s="354"/>
      <c r="U34" s="355"/>
      <c r="V34" s="355"/>
      <c r="W34" s="355"/>
      <c r="X34" s="355" t="str">
        <f t="shared" si="0"/>
        <v/>
      </c>
      <c r="Y34" s="355"/>
      <c r="Z34" s="355"/>
    </row>
    <row r="35" spans="1:26" ht="12.75" customHeight="1" x14ac:dyDescent="0.2">
      <c r="A35" s="371"/>
      <c r="B35" s="198"/>
      <c r="C35" s="199"/>
      <c r="D35" s="200" t="str">
        <f>IF($D$30,D30,"")</f>
        <v/>
      </c>
      <c r="E35" s="201" t="str">
        <f>IF($D$30,IF($D$18=4,D35+TIME(0,4,0),D35+TIME(0,10,0)),"")</f>
        <v/>
      </c>
      <c r="F35" s="201" t="str">
        <f>IF($D$30,IF($D$18=4,E35+TIME(0,4,0),E35+TIME(0,10,0)),"")</f>
        <v/>
      </c>
      <c r="G35" s="201" t="str">
        <f>IF($D$30,IF($D$18=4,F35+TIME(0,4,0),F35+TIME(0,10,0)),"")</f>
        <v/>
      </c>
      <c r="H35" s="201" t="str">
        <f>IF($D$30,IF($D$18=4,G35+TIME(0,4,0),""),"")</f>
        <v/>
      </c>
      <c r="I35" s="201" t="str">
        <f>IF($D$30,IF($D$18=4,H35+TIME(0,4,0),""),"")</f>
        <v/>
      </c>
      <c r="J35" s="201" t="str">
        <f>IF($D$30,IF($D$18=4,I35+TIME(0,4,0),""),"")</f>
        <v/>
      </c>
      <c r="K35" s="201" t="str">
        <f>IF($D$30,IF($D$18=4,J35+TIME(0,4,0),""),"")</f>
        <v/>
      </c>
      <c r="L35" s="201" t="str">
        <f>IF($D$30,IF($D$18=4,K35+TIME(0,2,0),""),"")</f>
        <v/>
      </c>
      <c r="M35" s="352"/>
      <c r="N35" s="172">
        <v>31</v>
      </c>
      <c r="O35" s="174"/>
      <c r="P35" s="175" t="str">
        <f>IF(Access_Data!$K67=0,"",Access_Data!$K67)</f>
        <v/>
      </c>
      <c r="Q35" s="176"/>
      <c r="R35" s="177" t="str">
        <f>IF(Access_Data!$K67&lt;&gt;0,IF(RIGHT($P35,3)="Low",Access_Data!$L67,IF(RIGHT($P35,4)="High",Access_Data!$J67,"")),"")</f>
        <v/>
      </c>
      <c r="S35" s="178" t="str">
        <f>IF(Access_Data!$M67&lt;&gt;0,Access_Data!$M67,"")</f>
        <v/>
      </c>
      <c r="T35" s="354"/>
      <c r="U35" s="355"/>
      <c r="V35" s="355"/>
      <c r="W35" s="355"/>
      <c r="X35" s="355" t="str">
        <f t="shared" si="0"/>
        <v/>
      </c>
      <c r="Y35" s="355"/>
      <c r="Z35" s="355"/>
    </row>
    <row r="36" spans="1:26" ht="13.5" thickBot="1" x14ac:dyDescent="0.25">
      <c r="A36" s="392"/>
      <c r="B36" s="202" t="s">
        <v>24</v>
      </c>
      <c r="C36" s="203" t="s">
        <v>60</v>
      </c>
      <c r="D36" s="204" t="s">
        <v>55</v>
      </c>
      <c r="E36" s="204" t="s">
        <v>56</v>
      </c>
      <c r="F36" s="204" t="s">
        <v>57</v>
      </c>
      <c r="G36" s="204" t="s">
        <v>58</v>
      </c>
      <c r="H36" s="204" t="str">
        <f>IF(D18=4,"Reading 5","")</f>
        <v/>
      </c>
      <c r="I36" s="204" t="str">
        <f>IF(D18=4,"Reading 6","")</f>
        <v/>
      </c>
      <c r="J36" s="204" t="str">
        <f>IF(D18=4,"Reading 7","")</f>
        <v/>
      </c>
      <c r="K36" s="204" t="str">
        <f>IF(D18=4,"Reading 8","")</f>
        <v/>
      </c>
      <c r="L36" s="204" t="str">
        <f>IF(D18=4,"Reading 9","")</f>
        <v/>
      </c>
      <c r="M36" s="352"/>
      <c r="N36" s="172">
        <v>32</v>
      </c>
      <c r="O36" s="174"/>
      <c r="P36" s="175" t="str">
        <f>IF(Access_Data!$K68=0,"",Access_Data!$K68)</f>
        <v/>
      </c>
      <c r="Q36" s="179"/>
      <c r="R36" s="177" t="str">
        <f>IF(Access_Data!$K68&lt;&gt;0,IF(RIGHT($P36,3)="Low",Access_Data!$L68,IF(RIGHT($P36,4)="High",Access_Data!$J68,"")),"")</f>
        <v/>
      </c>
      <c r="S36" s="178" t="str">
        <f>IF(Access_Data!$M68&lt;&gt;0,Access_Data!$M68,"")</f>
        <v/>
      </c>
      <c r="T36" s="354"/>
      <c r="U36" s="355"/>
      <c r="V36" s="355"/>
      <c r="W36" s="355"/>
      <c r="X36" s="355" t="str">
        <f t="shared" si="0"/>
        <v/>
      </c>
      <c r="Y36" s="355"/>
      <c r="Z36" s="355"/>
    </row>
    <row r="37" spans="1:26" x14ac:dyDescent="0.2">
      <c r="A37" s="371"/>
      <c r="B37" s="231"/>
      <c r="C37" s="222"/>
      <c r="D37" s="232"/>
      <c r="E37" s="232"/>
      <c r="F37" s="232"/>
      <c r="G37" s="232"/>
      <c r="H37" s="232"/>
      <c r="I37" s="205"/>
      <c r="J37" s="205"/>
      <c r="K37" s="205"/>
      <c r="L37" s="205"/>
      <c r="M37" s="352"/>
      <c r="N37" s="172">
        <v>33</v>
      </c>
      <c r="O37" s="174"/>
      <c r="P37" s="175" t="str">
        <f>IF(Access_Data!$K69=0,"",Access_Data!$K69)</f>
        <v/>
      </c>
      <c r="Q37" s="176"/>
      <c r="R37" s="177" t="str">
        <f>IF(Access_Data!$K69&lt;&gt;0,IF(RIGHT($P37,3)="Low",Access_Data!$L69,IF(RIGHT($P37,4)="High",Access_Data!$J69,"")),"")</f>
        <v/>
      </c>
      <c r="S37" s="178" t="str">
        <f>IF(Access_Data!$M69&lt;&gt;0,Access_Data!$M69,"")</f>
        <v/>
      </c>
      <c r="T37" s="354"/>
      <c r="U37" s="355"/>
      <c r="V37" s="355"/>
      <c r="W37" s="355"/>
      <c r="X37" s="355" t="str">
        <f t="shared" si="0"/>
        <v/>
      </c>
      <c r="Y37" s="355"/>
      <c r="Z37" s="355"/>
    </row>
    <row r="38" spans="1:26" x14ac:dyDescent="0.2">
      <c r="A38" s="371"/>
      <c r="B38" s="233"/>
      <c r="C38" s="223"/>
      <c r="D38" s="232"/>
      <c r="E38" s="232"/>
      <c r="F38" s="232"/>
      <c r="G38" s="232"/>
      <c r="H38" s="232"/>
      <c r="I38" s="205"/>
      <c r="J38" s="205"/>
      <c r="K38" s="205"/>
      <c r="L38" s="205"/>
      <c r="M38" s="352"/>
      <c r="N38" s="172">
        <v>34</v>
      </c>
      <c r="O38" s="174"/>
      <c r="P38" s="175" t="str">
        <f>IF(Access_Data!$K70=0,"",Access_Data!$K70)</f>
        <v/>
      </c>
      <c r="Q38" s="179"/>
      <c r="R38" s="177" t="str">
        <f>IF(Access_Data!$K70&lt;&gt;0,IF(RIGHT($P38,3)="Low",Access_Data!$L70,IF(RIGHT($P38,4)="High",Access_Data!$J70,"")),"")</f>
        <v/>
      </c>
      <c r="S38" s="178" t="str">
        <f>IF(Access_Data!$M70&lt;&gt;0,Access_Data!$M70,"")</f>
        <v/>
      </c>
      <c r="T38" s="354"/>
      <c r="U38" s="355"/>
      <c r="V38" s="355"/>
      <c r="W38" s="355"/>
      <c r="X38" s="355" t="str">
        <f t="shared" si="0"/>
        <v/>
      </c>
      <c r="Y38" s="355"/>
      <c r="Z38" s="355"/>
    </row>
    <row r="39" spans="1:26" x14ac:dyDescent="0.2">
      <c r="A39" s="371"/>
      <c r="B39" s="233"/>
      <c r="C39" s="223"/>
      <c r="D39" s="232"/>
      <c r="E39" s="232"/>
      <c r="F39" s="232"/>
      <c r="G39" s="232"/>
      <c r="H39" s="205"/>
      <c r="I39" s="205"/>
      <c r="J39" s="205"/>
      <c r="K39" s="205"/>
      <c r="L39" s="205"/>
      <c r="M39" s="352"/>
      <c r="N39" s="172">
        <v>35</v>
      </c>
      <c r="O39" s="174"/>
      <c r="P39" s="175" t="str">
        <f>IF(Access_Data!$K71=0,"",Access_Data!$K71)</f>
        <v/>
      </c>
      <c r="Q39" s="176"/>
      <c r="R39" s="177" t="str">
        <f>IF(Access_Data!$K71&lt;&gt;0,IF(RIGHT($P39,3)="Low",Access_Data!$L71,IF(RIGHT($P39,4)="High",Access_Data!$J71,"")),"")</f>
        <v/>
      </c>
      <c r="S39" s="178" t="str">
        <f>IF(Access_Data!$M71&lt;&gt;0,Access_Data!$M71,"")</f>
        <v/>
      </c>
      <c r="T39" s="354"/>
      <c r="U39" s="355"/>
      <c r="V39" s="355"/>
      <c r="W39" s="355"/>
      <c r="X39" s="355" t="str">
        <f t="shared" si="0"/>
        <v/>
      </c>
      <c r="Y39" s="355"/>
      <c r="Z39" s="355"/>
    </row>
    <row r="40" spans="1:26" x14ac:dyDescent="0.2">
      <c r="A40" s="371"/>
      <c r="B40" s="233"/>
      <c r="C40" s="223"/>
      <c r="D40" s="232"/>
      <c r="E40" s="232"/>
      <c r="F40" s="232"/>
      <c r="G40" s="232"/>
      <c r="H40" s="205"/>
      <c r="I40" s="205"/>
      <c r="J40" s="205"/>
      <c r="K40" s="205"/>
      <c r="L40" s="205"/>
      <c r="M40" s="352"/>
      <c r="N40" s="172">
        <v>36</v>
      </c>
      <c r="O40" s="174"/>
      <c r="P40" s="175" t="str">
        <f>IF(Access_Data!$K72=0,"",Access_Data!$K72)</f>
        <v/>
      </c>
      <c r="Q40" s="179"/>
      <c r="R40" s="177" t="str">
        <f>IF(Access_Data!$K72&lt;&gt;0,IF(RIGHT($P40,3)="Low",Access_Data!$L72,IF(RIGHT($P40,4)="High",Access_Data!$J72,"")),"")</f>
        <v/>
      </c>
      <c r="S40" s="178" t="str">
        <f>IF(Access_Data!$M72&lt;&gt;0,Access_Data!$M72,"")</f>
        <v/>
      </c>
      <c r="T40" s="354"/>
      <c r="U40" s="355"/>
      <c r="V40" s="355"/>
      <c r="W40" s="355"/>
      <c r="X40" s="355" t="str">
        <f t="shared" si="0"/>
        <v/>
      </c>
      <c r="Y40" s="355"/>
      <c r="Z40" s="355"/>
    </row>
    <row r="41" spans="1:26" x14ac:dyDescent="0.2">
      <c r="A41" s="371"/>
      <c r="B41" s="206"/>
      <c r="C41" s="207"/>
      <c r="D41" s="208"/>
      <c r="E41" s="208"/>
      <c r="F41" s="208"/>
      <c r="G41" s="208"/>
      <c r="H41" s="208"/>
      <c r="I41" s="208"/>
      <c r="J41" s="208"/>
      <c r="K41" s="208"/>
      <c r="L41" s="208"/>
      <c r="M41" s="352"/>
      <c r="N41" s="172">
        <v>37</v>
      </c>
      <c r="O41" s="174"/>
      <c r="P41" s="175" t="str">
        <f>IF(Access_Data!$K73=0,"",Access_Data!$K73)</f>
        <v/>
      </c>
      <c r="Q41" s="176"/>
      <c r="R41" s="177" t="str">
        <f>IF(Access_Data!$K73&lt;&gt;0,IF(RIGHT($P41,3)="Low",Access_Data!$L73,IF(RIGHT($P41,4)="High",Access_Data!$J73,"")),"")</f>
        <v/>
      </c>
      <c r="S41" s="178" t="str">
        <f>IF(Access_Data!$M73&lt;&gt;0,Access_Data!$M73,"")</f>
        <v/>
      </c>
      <c r="T41" s="354"/>
      <c r="U41" s="355"/>
      <c r="V41" s="355"/>
      <c r="W41" s="355"/>
      <c r="X41" s="355" t="str">
        <f t="shared" si="0"/>
        <v/>
      </c>
      <c r="Y41" s="355"/>
      <c r="Z41" s="355"/>
    </row>
    <row r="42" spans="1:26" x14ac:dyDescent="0.2">
      <c r="A42" s="371"/>
      <c r="B42" s="206"/>
      <c r="C42" s="207"/>
      <c r="D42" s="208"/>
      <c r="E42" s="208"/>
      <c r="F42" s="208"/>
      <c r="G42" s="208"/>
      <c r="H42" s="208"/>
      <c r="I42" s="208"/>
      <c r="J42" s="208"/>
      <c r="K42" s="208"/>
      <c r="L42" s="208"/>
      <c r="M42" s="352"/>
      <c r="N42" s="172">
        <v>38</v>
      </c>
      <c r="O42" s="174"/>
      <c r="P42" s="175" t="str">
        <f>IF(Access_Data!$K74=0,"",Access_Data!$K74)</f>
        <v/>
      </c>
      <c r="Q42" s="179"/>
      <c r="R42" s="177" t="str">
        <f>IF(Access_Data!$K74&lt;&gt;0,IF(RIGHT($P42,3)="Low",Access_Data!$L74,IF(RIGHT($P42,4)="High",Access_Data!$J74,"")),"")</f>
        <v/>
      </c>
      <c r="S42" s="178" t="str">
        <f>IF(Access_Data!$M74&lt;&gt;0,Access_Data!$M74,"")</f>
        <v/>
      </c>
      <c r="T42" s="354"/>
      <c r="U42" s="355"/>
      <c r="V42" s="355"/>
      <c r="W42" s="355"/>
      <c r="X42" s="355" t="str">
        <f t="shared" si="0"/>
        <v/>
      </c>
      <c r="Y42" s="355"/>
      <c r="Z42" s="355"/>
    </row>
    <row r="43" spans="1:26" x14ac:dyDescent="0.2">
      <c r="A43" s="371"/>
      <c r="B43" s="206"/>
      <c r="C43" s="207"/>
      <c r="D43" s="208"/>
      <c r="E43" s="208"/>
      <c r="F43" s="208"/>
      <c r="G43" s="208"/>
      <c r="H43" s="208"/>
      <c r="I43" s="208"/>
      <c r="J43" s="208"/>
      <c r="K43" s="208"/>
      <c r="L43" s="208"/>
      <c r="M43" s="352"/>
      <c r="N43" s="172">
        <v>39</v>
      </c>
      <c r="O43" s="174"/>
      <c r="P43" s="175" t="str">
        <f>IF(Access_Data!$K75=0,"",Access_Data!$K75)</f>
        <v/>
      </c>
      <c r="Q43" s="176"/>
      <c r="R43" s="177" t="str">
        <f>IF(Access_Data!$K75&lt;&gt;0,IF(RIGHT($P43,3)="Low",Access_Data!$L75,IF(RIGHT($P43,4)="High",Access_Data!$J75,"")),"")</f>
        <v/>
      </c>
      <c r="S43" s="178" t="str">
        <f>IF(Access_Data!$M75&lt;&gt;0,Access_Data!$M75,"")</f>
        <v/>
      </c>
      <c r="T43" s="354"/>
      <c r="U43" s="355"/>
      <c r="V43" s="355"/>
      <c r="W43" s="355"/>
      <c r="X43" s="355" t="str">
        <f t="shared" si="0"/>
        <v/>
      </c>
      <c r="Y43" s="355"/>
      <c r="Z43" s="355"/>
    </row>
    <row r="44" spans="1:26" x14ac:dyDescent="0.2">
      <c r="A44" s="371"/>
      <c r="B44" s="206"/>
      <c r="C44" s="207"/>
      <c r="D44" s="208"/>
      <c r="E44" s="208"/>
      <c r="F44" s="208"/>
      <c r="G44" s="208"/>
      <c r="H44" s="208"/>
      <c r="I44" s="208"/>
      <c r="J44" s="208"/>
      <c r="K44" s="208"/>
      <c r="L44" s="208"/>
      <c r="M44" s="352"/>
      <c r="N44" s="172">
        <v>40</v>
      </c>
      <c r="O44" s="174"/>
      <c r="P44" s="175" t="str">
        <f>IF(Access_Data!$K76=0,"",Access_Data!$K76)</f>
        <v/>
      </c>
      <c r="Q44" s="179"/>
      <c r="R44" s="177" t="str">
        <f>IF(Access_Data!$K76&lt;&gt;0,IF(RIGHT($P44,3)="Low",Access_Data!$L76,IF(RIGHT($P44,4)="High",Access_Data!$J76,"")),"")</f>
        <v/>
      </c>
      <c r="S44" s="178" t="str">
        <f>IF(Access_Data!$M76&lt;&gt;0,Access_Data!$M76,"")</f>
        <v/>
      </c>
      <c r="T44" s="354"/>
      <c r="U44" s="355"/>
      <c r="V44" s="355"/>
      <c r="W44" s="355"/>
      <c r="X44" s="355" t="str">
        <f t="shared" si="0"/>
        <v/>
      </c>
      <c r="Y44" s="355"/>
      <c r="Z44" s="355"/>
    </row>
    <row r="45" spans="1:26" x14ac:dyDescent="0.2">
      <c r="A45" s="371"/>
      <c r="B45" s="393"/>
      <c r="C45" s="394"/>
      <c r="D45" s="352"/>
      <c r="E45" s="352"/>
      <c r="F45" s="352"/>
      <c r="G45" s="352"/>
      <c r="H45" s="352"/>
      <c r="I45" s="352"/>
      <c r="J45" s="352"/>
      <c r="K45" s="395"/>
      <c r="L45" s="352"/>
      <c r="M45" s="352"/>
      <c r="N45" s="354"/>
      <c r="O45" s="354"/>
      <c r="P45" s="354"/>
      <c r="Q45" s="354"/>
      <c r="R45" s="354"/>
      <c r="S45" s="354"/>
      <c r="T45" s="354"/>
      <c r="U45" s="355"/>
      <c r="V45" s="355"/>
      <c r="W45" s="355"/>
      <c r="X45" s="355" t="str">
        <f>IF(O45,1,"")</f>
        <v/>
      </c>
      <c r="Y45" s="355"/>
      <c r="Z45" s="355"/>
    </row>
    <row r="46" spans="1:26" x14ac:dyDescent="0.2">
      <c r="A46" s="375"/>
      <c r="B46" s="396"/>
      <c r="C46" s="397"/>
      <c r="D46" s="484" t="s">
        <v>45</v>
      </c>
      <c r="E46" s="485"/>
      <c r="F46" s="485"/>
      <c r="G46" s="485"/>
      <c r="H46" s="485"/>
      <c r="I46" s="486"/>
      <c r="J46" s="398"/>
      <c r="K46" s="398"/>
      <c r="L46" s="398"/>
      <c r="M46" s="510" t="s">
        <v>355</v>
      </c>
      <c r="N46" s="511"/>
      <c r="O46" s="512"/>
      <c r="P46" s="513"/>
      <c r="Q46" s="356"/>
      <c r="R46" s="356"/>
      <c r="S46" s="356"/>
      <c r="T46" s="356"/>
      <c r="U46" s="356"/>
    </row>
    <row r="47" spans="1:26" x14ac:dyDescent="0.2">
      <c r="A47" s="375"/>
      <c r="B47" s="396"/>
      <c r="C47" s="469" t="s">
        <v>75</v>
      </c>
      <c r="D47" s="332" t="str">
        <f>IF(D48="","",""""&amp;_xlfn.XLOOKUP(D$48,WireSets[serial_number],WireSets[type],"",0)&amp;"""")</f>
        <v/>
      </c>
      <c r="E47" s="332" t="str">
        <f>IF(E48="","",""""&amp;_xlfn.XLOOKUP(E$48,WireSets[serial_number],WireSets[type],"",0)&amp;"""")</f>
        <v/>
      </c>
      <c r="F47" s="332" t="str">
        <f>IF(F48="","",""""&amp;_xlfn.XLOOKUP(F$48,WireSets[serial_number],WireSets[type],"",0)&amp;"""")</f>
        <v/>
      </c>
      <c r="G47" s="332" t="str">
        <f>IF(G48="","",""""&amp;_xlfn.XLOOKUP(G$48,WireSets[serial_number],WireSets[type],"",0)&amp;"""")</f>
        <v/>
      </c>
      <c r="H47" s="332" t="str">
        <f>IF(H48="","",""""&amp;_xlfn.XLOOKUP(H$48,WireSets[serial_number],WireSets[type],"",0)&amp;"""")</f>
        <v/>
      </c>
      <c r="I47" s="332" t="str">
        <f>IF(I48="","",""""&amp;_xlfn.XLOOKUP(I$48,WireSets[serial_number],WireSets[type],"",0)&amp;"""")</f>
        <v/>
      </c>
      <c r="J47" s="398"/>
      <c r="K47" s="398"/>
      <c r="L47" s="352"/>
      <c r="M47" s="281" t="s">
        <v>356</v>
      </c>
      <c r="N47" s="350" t="s">
        <v>357</v>
      </c>
      <c r="O47" s="399"/>
      <c r="P47" s="491" t="s">
        <v>358</v>
      </c>
      <c r="Q47" s="491"/>
      <c r="R47" s="472" t="s">
        <v>359</v>
      </c>
      <c r="S47" s="356"/>
      <c r="T47" s="356"/>
      <c r="U47" s="356"/>
    </row>
    <row r="48" spans="1:26" x14ac:dyDescent="0.2">
      <c r="A48" s="371"/>
      <c r="B48" s="396"/>
      <c r="C48" s="470" t="s">
        <v>46</v>
      </c>
      <c r="D48" s="333"/>
      <c r="E48" s="333"/>
      <c r="F48" s="333"/>
      <c r="G48" s="333"/>
      <c r="H48" s="333"/>
      <c r="I48" s="333"/>
      <c r="J48" s="398"/>
      <c r="K48" s="398"/>
      <c r="L48" s="398"/>
      <c r="M48" s="492" t="s">
        <v>360</v>
      </c>
      <c r="N48" s="492"/>
      <c r="O48" s="400"/>
      <c r="P48" s="493" t="s">
        <v>416</v>
      </c>
      <c r="Q48" s="494"/>
      <c r="R48" s="495"/>
      <c r="S48" s="401"/>
      <c r="T48" s="357"/>
      <c r="U48" s="493" t="s">
        <v>419</v>
      </c>
      <c r="V48" s="494"/>
      <c r="W48" s="495"/>
    </row>
    <row r="49" spans="1:24" x14ac:dyDescent="0.2">
      <c r="A49" s="371"/>
      <c r="B49" s="402"/>
      <c r="C49" s="469" t="s">
        <v>47</v>
      </c>
      <c r="D49" s="331" t="str">
        <f>_xlfn.XLOOKUP(D$48,WireSets[serial_number],WireSets[service_date],"",0)</f>
        <v/>
      </c>
      <c r="E49" s="331" t="str">
        <f>_xlfn.XLOOKUP(E$48,WireSets[serial_number],WireSets[service_date],"",0)</f>
        <v/>
      </c>
      <c r="F49" s="331" t="str">
        <f>_xlfn.XLOOKUP(F$48,WireSets[serial_number],WireSets[service_date],"",0)</f>
        <v/>
      </c>
      <c r="G49" s="331" t="str">
        <f>_xlfn.XLOOKUP(G$48,WireSets[serial_number],WireSets[service_date],"",0)</f>
        <v/>
      </c>
      <c r="H49" s="331" t="str">
        <f>_xlfn.XLOOKUP(H$48,WireSets[serial_number],WireSets[service_date],"",0)</f>
        <v/>
      </c>
      <c r="I49" s="331" t="str">
        <f>_xlfn.XLOOKUP(I$48,WireSets[serial_number],WireSets[service_date],"",0)</f>
        <v/>
      </c>
      <c r="J49" s="398"/>
      <c r="K49" s="398" t="s">
        <v>910</v>
      </c>
      <c r="L49" s="398"/>
      <c r="M49" s="281" t="s">
        <v>361</v>
      </c>
      <c r="N49" s="349" t="str">
        <f>IF(PB,PB,"")</f>
        <v/>
      </c>
      <c r="O49" s="366"/>
      <c r="P49" s="496" t="s">
        <v>421</v>
      </c>
      <c r="Q49" s="497"/>
      <c r="R49" s="498"/>
      <c r="S49" s="473"/>
      <c r="T49" s="358"/>
      <c r="U49" s="496" t="s">
        <v>420</v>
      </c>
      <c r="V49" s="497"/>
      <c r="W49" s="498"/>
      <c r="X49" s="335"/>
    </row>
    <row r="50" spans="1:24" x14ac:dyDescent="0.2">
      <c r="A50" s="371"/>
      <c r="B50" s="403"/>
      <c r="C50" s="469" t="s">
        <v>48</v>
      </c>
      <c r="D50" s="331" t="str">
        <f>_xlfn.XLOOKUP(D$48,WireSets[serial_number],WireSets[next_service_date],"",0)</f>
        <v/>
      </c>
      <c r="E50" s="331" t="str">
        <f>_xlfn.XLOOKUP(E$48,WireSets[serial_number],WireSets[next_service_date],"",0)</f>
        <v/>
      </c>
      <c r="F50" s="331" t="str">
        <f>_xlfn.XLOOKUP(F$48,WireSets[serial_number],WireSets[next_service_date],"",0)</f>
        <v/>
      </c>
      <c r="G50" s="331" t="str">
        <f>_xlfn.XLOOKUP(G$48,WireSets[serial_number],WireSets[next_service_date],"",0)</f>
        <v/>
      </c>
      <c r="H50" s="331" t="str">
        <f>_xlfn.XLOOKUP(H$48,WireSets[serial_number],WireSets[next_service_date],"",0)</f>
        <v/>
      </c>
      <c r="I50" s="331" t="str">
        <f>_xlfn.XLOOKUP(I$48,WireSets[serial_number],WireSets[next_service_date],"",0)</f>
        <v/>
      </c>
      <c r="J50" s="398"/>
      <c r="K50" s="398"/>
      <c r="L50" s="398"/>
      <c r="M50" s="281" t="s">
        <v>362</v>
      </c>
      <c r="N50" s="349" t="str">
        <f>IF(Integral,Integral,"")</f>
        <v/>
      </c>
      <c r="O50" s="366"/>
      <c r="P50" s="499" t="s">
        <v>363</v>
      </c>
      <c r="Q50" s="500"/>
      <c r="R50" s="501"/>
      <c r="S50" s="404"/>
      <c r="T50" s="359"/>
      <c r="U50" s="499" t="s">
        <v>363</v>
      </c>
      <c r="V50" s="500"/>
      <c r="W50" s="501"/>
      <c r="X50" s="356"/>
    </row>
    <row r="51" spans="1:24" x14ac:dyDescent="0.2">
      <c r="A51" s="371"/>
      <c r="B51" s="405"/>
      <c r="C51" s="469" t="s">
        <v>73</v>
      </c>
      <c r="D51" s="333"/>
      <c r="E51" s="333"/>
      <c r="F51" s="333"/>
      <c r="G51" s="333"/>
      <c r="H51" s="333"/>
      <c r="I51" s="333"/>
      <c r="J51" s="398"/>
      <c r="K51" s="406"/>
      <c r="L51" s="398"/>
      <c r="M51" s="456" t="s">
        <v>364</v>
      </c>
      <c r="N51" s="349" t="str">
        <f>IF(Derivative,Derivative,"")</f>
        <v/>
      </c>
      <c r="O51" s="352"/>
      <c r="P51" s="496" t="s">
        <v>417</v>
      </c>
      <c r="Q51" s="497"/>
      <c r="R51" s="498"/>
      <c r="S51" s="473"/>
      <c r="T51" s="360"/>
      <c r="U51" s="496" t="s">
        <v>422</v>
      </c>
      <c r="V51" s="497"/>
      <c r="W51" s="498"/>
      <c r="X51" s="335"/>
    </row>
    <row r="52" spans="1:24" x14ac:dyDescent="0.2">
      <c r="A52" s="371"/>
      <c r="B52" s="396"/>
      <c r="C52" s="469" t="s">
        <v>370</v>
      </c>
      <c r="D52" s="333"/>
      <c r="E52" s="333"/>
      <c r="F52" s="333"/>
      <c r="G52" s="333"/>
      <c r="H52" s="333"/>
      <c r="I52" s="333"/>
      <c r="J52" s="398"/>
      <c r="K52" s="406"/>
      <c r="L52" s="398"/>
      <c r="M52" s="456" t="s">
        <v>365</v>
      </c>
      <c r="N52" s="349" t="str">
        <f>IF(Other1,Other1,"")</f>
        <v/>
      </c>
      <c r="O52" s="366"/>
      <c r="P52" s="499" t="s">
        <v>363</v>
      </c>
      <c r="Q52" s="500"/>
      <c r="R52" s="501"/>
      <c r="S52" s="404"/>
      <c r="T52" s="361"/>
      <c r="U52" s="499" t="s">
        <v>363</v>
      </c>
      <c r="V52" s="500"/>
      <c r="W52" s="501"/>
      <c r="X52" s="356"/>
    </row>
    <row r="53" spans="1:24" ht="12.75" customHeight="1" x14ac:dyDescent="0.2">
      <c r="A53" s="371"/>
      <c r="B53" s="396"/>
      <c r="C53" s="469" t="s">
        <v>74</v>
      </c>
      <c r="D53" s="343"/>
      <c r="E53" s="343"/>
      <c r="F53" s="343"/>
      <c r="G53" s="343"/>
      <c r="H53" s="343"/>
      <c r="I53" s="343"/>
      <c r="J53" s="398"/>
      <c r="K53" s="407"/>
      <c r="L53" s="407"/>
      <c r="M53" s="457" t="s">
        <v>365</v>
      </c>
      <c r="N53" s="349" t="str">
        <f>IF(Other2,Other2,"")</f>
        <v/>
      </c>
      <c r="O53" s="366"/>
      <c r="P53" s="544" t="s">
        <v>418</v>
      </c>
      <c r="Q53" s="545"/>
      <c r="R53" s="546"/>
      <c r="S53" s="474"/>
      <c r="T53" s="362"/>
      <c r="U53" s="544" t="s">
        <v>423</v>
      </c>
      <c r="V53" s="545"/>
      <c r="W53" s="546"/>
      <c r="X53" s="455"/>
    </row>
    <row r="54" spans="1:24" x14ac:dyDescent="0.2">
      <c r="A54" s="371"/>
      <c r="B54" s="396"/>
      <c r="C54" s="471" t="s">
        <v>99</v>
      </c>
      <c r="D54" s="342" t="str">
        <f>_xlfn.XLOOKUP(D$48,WireSets[serial_number],WireSets[certificate_number],"",0)</f>
        <v/>
      </c>
      <c r="E54" s="342" t="str">
        <f>_xlfn.XLOOKUP(E$48,WireSets[serial_number],WireSets[certificate_number],"",0)</f>
        <v/>
      </c>
      <c r="F54" s="342" t="str">
        <f>_xlfn.XLOOKUP(F$48,WireSets[serial_number],WireSets[certificate_number],"",0)</f>
        <v/>
      </c>
      <c r="G54" s="342" t="str">
        <f>_xlfn.XLOOKUP(G$48,WireSets[serial_number],WireSets[certificate_number],"",0)</f>
        <v/>
      </c>
      <c r="H54" s="342" t="str">
        <f>_xlfn.XLOOKUP(H$48,WireSets[serial_number],WireSets[certificate_number],"",0)</f>
        <v/>
      </c>
      <c r="I54" s="342" t="str">
        <f>_xlfn.XLOOKUP(I$48,WireSets[serial_number],WireSets[certificate_number],"",0)</f>
        <v/>
      </c>
      <c r="J54" s="408"/>
      <c r="K54" s="458"/>
      <c r="L54" s="459"/>
      <c r="M54" s="460" t="s">
        <v>393</v>
      </c>
      <c r="N54" s="348">
        <v>0</v>
      </c>
      <c r="O54" s="354"/>
      <c r="P54" s="547"/>
      <c r="Q54" s="548"/>
      <c r="R54" s="549"/>
      <c r="S54" s="409"/>
      <c r="T54" s="363"/>
      <c r="U54" s="547"/>
      <c r="V54" s="548"/>
      <c r="W54" s="549"/>
    </row>
    <row r="55" spans="1:24" x14ac:dyDescent="0.2">
      <c r="A55" s="371"/>
      <c r="B55" s="396"/>
      <c r="C55" s="471" t="s">
        <v>171</v>
      </c>
      <c r="D55" s="334" t="str">
        <f>_xlfn.XLOOKUP(D$48,WireSets[serial_number],WireSets[wire_roll_cert_number],"",0)</f>
        <v/>
      </c>
      <c r="E55" s="334" t="str">
        <f>_xlfn.XLOOKUP(E$48,WireSets[serial_number],WireSets[wire_roll_cert_number],"",0)</f>
        <v/>
      </c>
      <c r="F55" s="334" t="str">
        <f>_xlfn.XLOOKUP(F$48,WireSets[serial_number],WireSets[wire_roll_cert_number],"",0)</f>
        <v/>
      </c>
      <c r="G55" s="334" t="str">
        <f>_xlfn.XLOOKUP(G$48,WireSets[serial_number],WireSets[wire_roll_cert_number],"",0)</f>
        <v/>
      </c>
      <c r="H55" s="334" t="str">
        <f>_xlfn.XLOOKUP(H$48,WireSets[serial_number],WireSets[wire_roll_cert_number],"",0)</f>
        <v/>
      </c>
      <c r="I55" s="334" t="str">
        <f>_xlfn.XLOOKUP(I$48,WireSets[serial_number],WireSets[wire_roll_cert_number],"",0)</f>
        <v/>
      </c>
      <c r="J55" s="410"/>
      <c r="K55" s="461"/>
      <c r="L55" s="462"/>
      <c r="M55" s="463" t="s">
        <v>394</v>
      </c>
      <c r="N55" s="348">
        <v>0</v>
      </c>
      <c r="O55" s="354"/>
      <c r="P55" s="284" t="s">
        <v>366</v>
      </c>
      <c r="Q55" s="284" t="s">
        <v>26</v>
      </c>
      <c r="R55" s="292" t="s">
        <v>367</v>
      </c>
      <c r="S55" s="411"/>
      <c r="T55" s="364"/>
      <c r="U55" s="351" t="s">
        <v>368</v>
      </c>
      <c r="V55" s="284" t="s">
        <v>26</v>
      </c>
      <c r="W55" s="284" t="s">
        <v>369</v>
      </c>
    </row>
    <row r="56" spans="1:24" x14ac:dyDescent="0.2">
      <c r="A56" s="371"/>
      <c r="B56" s="412"/>
      <c r="C56" s="471" t="s">
        <v>172</v>
      </c>
      <c r="D56" s="333"/>
      <c r="E56" s="333"/>
      <c r="F56" s="333"/>
      <c r="G56" s="333"/>
      <c r="H56" s="333"/>
      <c r="I56" s="333"/>
      <c r="J56" s="413"/>
      <c r="K56" s="464"/>
      <c r="L56" s="465"/>
      <c r="M56" s="463" t="s">
        <v>395</v>
      </c>
      <c r="N56" s="348">
        <v>0</v>
      </c>
      <c r="O56" s="354"/>
      <c r="P56" s="475"/>
      <c r="Q56" s="476"/>
      <c r="R56" s="477"/>
      <c r="S56" s="414"/>
      <c r="T56" s="365"/>
      <c r="U56" s="478"/>
      <c r="V56" s="476"/>
      <c r="W56" s="475"/>
    </row>
    <row r="57" spans="1:24" x14ac:dyDescent="0.2">
      <c r="A57" s="371"/>
      <c r="B57" s="393"/>
      <c r="C57" s="281" t="s">
        <v>371</v>
      </c>
      <c r="D57" s="335"/>
      <c r="E57" s="335"/>
      <c r="F57" s="335"/>
      <c r="G57" s="335"/>
      <c r="H57" s="335"/>
      <c r="I57" s="335"/>
      <c r="J57" s="352"/>
      <c r="K57" s="466"/>
      <c r="L57" s="467"/>
      <c r="M57" s="468" t="s">
        <v>396</v>
      </c>
      <c r="N57" s="348">
        <v>0</v>
      </c>
      <c r="O57" s="354"/>
      <c r="P57" s="352"/>
      <c r="Q57" s="352"/>
      <c r="R57" s="352"/>
      <c r="S57" s="352"/>
    </row>
    <row r="58" spans="1:24" x14ac:dyDescent="0.2">
      <c r="A58" s="371"/>
      <c r="B58" s="393"/>
      <c r="C58" s="484" t="s">
        <v>177</v>
      </c>
      <c r="D58" s="485"/>
      <c r="E58" s="485"/>
      <c r="F58" s="485"/>
      <c r="G58" s="485"/>
      <c r="H58" s="485"/>
      <c r="I58" s="485"/>
      <c r="J58" s="485"/>
      <c r="K58" s="489"/>
      <c r="L58" s="490"/>
      <c r="M58" s="356"/>
      <c r="N58" s="356"/>
      <c r="O58" s="356"/>
      <c r="P58" s="356"/>
      <c r="Q58" s="356"/>
      <c r="R58" s="356"/>
      <c r="S58" s="356"/>
      <c r="T58" s="356"/>
      <c r="U58" s="356"/>
    </row>
    <row r="59" spans="1:24" x14ac:dyDescent="0.2">
      <c r="A59" s="371"/>
      <c r="B59" s="393"/>
      <c r="C59" s="484" t="s">
        <v>182</v>
      </c>
      <c r="D59" s="485"/>
      <c r="E59" s="485"/>
      <c r="F59" s="485"/>
      <c r="G59" s="485"/>
      <c r="H59" s="485"/>
      <c r="I59" s="485"/>
      <c r="J59" s="485"/>
      <c r="K59" s="485"/>
      <c r="L59" s="486"/>
      <c r="M59" s="356"/>
      <c r="N59" s="366" t="str">
        <f>"DOORS OPENED FOR " &amp;L16&amp; " SECONDS TO SIMULATE LOAD ENTRY AT " &amp;L17&amp; "."</f>
        <v>DOORS OPENED FOR  SECONDS TO SIMULATE LOAD ENTRY AT .</v>
      </c>
      <c r="O59" s="366"/>
      <c r="P59" s="366"/>
      <c r="Q59" s="366"/>
      <c r="R59" s="366"/>
      <c r="S59" s="366"/>
      <c r="T59" s="366"/>
      <c r="U59" s="366"/>
      <c r="V59" s="366"/>
    </row>
    <row r="60" spans="1:24" x14ac:dyDescent="0.2">
      <c r="A60" s="415"/>
      <c r="B60" s="402"/>
      <c r="C60" s="209"/>
      <c r="D60" s="210" t="s">
        <v>180</v>
      </c>
      <c r="E60" s="347"/>
      <c r="F60" s="211" t="s">
        <v>178</v>
      </c>
      <c r="G60" s="212"/>
      <c r="H60" s="212"/>
      <c r="I60" s="212"/>
      <c r="J60" s="213"/>
      <c r="K60" s="347"/>
      <c r="L60" s="214" t="s">
        <v>179</v>
      </c>
      <c r="M60" s="398"/>
      <c r="N60" s="416" t="str">
        <f>"AFTER TUS, HIGH LIMIT SET AT " &amp;E60&amp; "°F AND OVEN SETPOINT RAISED UNTIL HIGH LIMIT SYSTEM ACTIVATED AT " &amp;K60&amp; "°F."</f>
        <v>AFTER TUS, HIGH LIMIT SET AT °F AND OVEN SETPOINT RAISED UNTIL HIGH LIMIT SYSTEM ACTIVATED AT °F.</v>
      </c>
      <c r="O60" s="416"/>
      <c r="P60" s="366"/>
      <c r="Q60" s="366"/>
      <c r="R60" s="366"/>
      <c r="S60" s="366"/>
      <c r="T60" s="366"/>
      <c r="U60" s="366"/>
      <c r="V60" s="366"/>
    </row>
    <row r="61" spans="1:24" x14ac:dyDescent="0.2">
      <c r="A61" s="375"/>
      <c r="B61" s="367"/>
      <c r="C61" s="210"/>
      <c r="D61" s="210" t="s">
        <v>181</v>
      </c>
      <c r="E61" s="347"/>
      <c r="F61" s="216" t="s">
        <v>183</v>
      </c>
      <c r="G61" s="217"/>
      <c r="H61" s="217"/>
      <c r="I61" s="218"/>
      <c r="J61" s="347"/>
      <c r="K61" s="219" t="s">
        <v>179</v>
      </c>
      <c r="L61" s="352"/>
      <c r="M61" s="356"/>
      <c r="N61" s="416" t="str">
        <f>"AFTER TUS, HIGH LIMIT READING " &amp;E61&amp; "°F AND HIGH LIMIT SETPOINT LOWERED UNTIL ACTIVATION AT " &amp;J61&amp; "°F."</f>
        <v>AFTER TUS, HIGH LIMIT READING °F AND HIGH LIMIT SETPOINT LOWERED UNTIL ACTIVATION AT °F.</v>
      </c>
      <c r="O61" s="417"/>
      <c r="P61" s="366"/>
      <c r="Q61" s="366"/>
      <c r="R61" s="366"/>
      <c r="S61" s="366"/>
      <c r="T61" s="366"/>
      <c r="U61" s="366"/>
      <c r="V61" s="366"/>
    </row>
    <row r="62" spans="1:24" x14ac:dyDescent="0.2">
      <c r="A62" s="375"/>
      <c r="B62" s="367"/>
      <c r="C62" s="368"/>
      <c r="D62" s="352"/>
      <c r="E62" s="352"/>
      <c r="F62" s="356" t="s">
        <v>390</v>
      </c>
      <c r="G62" s="391"/>
      <c r="H62" s="391"/>
      <c r="I62" s="391"/>
      <c r="J62" s="352"/>
      <c r="K62" s="352"/>
      <c r="L62" s="352"/>
      <c r="M62" s="418"/>
      <c r="N62" s="417"/>
      <c r="O62" s="417"/>
      <c r="P62" s="366"/>
      <c r="Q62" s="366"/>
      <c r="R62" s="366"/>
      <c r="S62" s="366"/>
      <c r="T62" s="366"/>
      <c r="U62" s="366"/>
      <c r="V62" s="366"/>
    </row>
    <row r="63" spans="1:24" x14ac:dyDescent="0.2">
      <c r="A63" s="375"/>
      <c r="B63" s="367"/>
      <c r="C63" s="390"/>
      <c r="D63" s="391"/>
      <c r="E63" s="391"/>
      <c r="F63" s="391"/>
      <c r="G63" s="391"/>
      <c r="H63" s="391"/>
      <c r="I63" s="391"/>
      <c r="J63" s="352"/>
      <c r="K63" s="352"/>
      <c r="L63" s="352"/>
      <c r="M63" s="356"/>
      <c r="N63" s="398"/>
      <c r="O63" s="398"/>
      <c r="P63" s="356"/>
      <c r="Q63" s="356"/>
      <c r="R63" s="356"/>
      <c r="S63" s="356"/>
      <c r="T63" s="356"/>
      <c r="U63" s="356"/>
    </row>
    <row r="64" spans="1:24" x14ac:dyDescent="0.2">
      <c r="A64" s="419"/>
      <c r="B64" s="367"/>
      <c r="C64" s="390"/>
      <c r="D64" s="391"/>
      <c r="E64" s="391"/>
      <c r="F64" s="391"/>
      <c r="G64" s="391"/>
      <c r="H64" s="391"/>
      <c r="I64" s="391"/>
      <c r="J64" s="352"/>
      <c r="K64" s="352"/>
      <c r="L64" s="352"/>
      <c r="M64" s="356"/>
      <c r="N64" s="398"/>
      <c r="O64" s="398"/>
      <c r="P64" s="356"/>
      <c r="Q64" s="356"/>
      <c r="R64" s="356"/>
      <c r="S64" s="356"/>
      <c r="T64" s="356"/>
      <c r="U64" s="356"/>
    </row>
    <row r="65" spans="1:19" x14ac:dyDescent="0.2">
      <c r="A65" s="420"/>
      <c r="B65" s="367"/>
      <c r="C65" s="390"/>
      <c r="D65" s="391"/>
      <c r="E65" s="391"/>
      <c r="F65" s="391"/>
      <c r="G65" s="391"/>
      <c r="H65" s="391"/>
      <c r="I65" s="391"/>
      <c r="J65" s="352"/>
      <c r="K65" s="352"/>
      <c r="L65" s="352"/>
      <c r="M65" s="352"/>
      <c r="N65" s="421"/>
      <c r="O65" s="421"/>
      <c r="P65" s="352"/>
      <c r="Q65" s="352"/>
      <c r="R65" s="352"/>
      <c r="S65" s="352"/>
    </row>
    <row r="66" spans="1:19" x14ac:dyDescent="0.2">
      <c r="A66" s="422"/>
      <c r="B66" s="367"/>
      <c r="C66" s="390"/>
      <c r="D66" s="391"/>
      <c r="E66" s="391"/>
      <c r="F66" s="391"/>
      <c r="G66" s="391"/>
      <c r="H66" s="391"/>
      <c r="I66" s="391"/>
      <c r="J66" s="352"/>
      <c r="K66" s="352"/>
      <c r="L66" s="352"/>
      <c r="M66" s="352"/>
      <c r="N66" s="423"/>
      <c r="O66" s="423"/>
      <c r="P66" s="352"/>
      <c r="Q66" s="352"/>
      <c r="R66" s="352"/>
      <c r="S66" s="352"/>
    </row>
    <row r="67" spans="1:19" x14ac:dyDescent="0.2">
      <c r="A67" s="375"/>
      <c r="B67" s="367"/>
      <c r="C67" s="390"/>
      <c r="D67" s="391"/>
      <c r="E67" s="391"/>
      <c r="F67" s="391"/>
      <c r="G67" s="391"/>
      <c r="H67" s="391"/>
      <c r="I67" s="391"/>
      <c r="J67" s="352"/>
      <c r="K67" s="352"/>
      <c r="L67" s="352"/>
      <c r="M67" s="352"/>
      <c r="N67" s="423"/>
      <c r="O67" s="423"/>
      <c r="P67" s="352"/>
      <c r="Q67" s="352"/>
      <c r="R67" s="352"/>
      <c r="S67" s="352"/>
    </row>
    <row r="68" spans="1:19" x14ac:dyDescent="0.2">
      <c r="A68" s="375"/>
      <c r="B68" s="367"/>
      <c r="C68" s="390"/>
      <c r="D68" s="391"/>
      <c r="E68" s="391"/>
      <c r="F68" s="391"/>
      <c r="G68" s="391"/>
      <c r="H68" s="391"/>
      <c r="I68" s="391"/>
      <c r="J68" s="352"/>
      <c r="K68" s="352"/>
      <c r="L68" s="352"/>
      <c r="M68" s="352"/>
      <c r="N68" s="423"/>
      <c r="O68" s="423"/>
      <c r="P68" s="352"/>
      <c r="Q68" s="352"/>
      <c r="R68" s="352"/>
      <c r="S68" s="352"/>
    </row>
    <row r="69" spans="1:19" ht="24.75" customHeight="1" x14ac:dyDescent="0.2">
      <c r="A69" s="375"/>
      <c r="B69" s="367"/>
      <c r="C69" s="390"/>
      <c r="D69" s="391"/>
      <c r="E69" s="391"/>
      <c r="F69" s="391"/>
      <c r="G69" s="391"/>
      <c r="H69" s="391"/>
      <c r="I69" s="391"/>
      <c r="J69" s="352"/>
      <c r="K69" s="352"/>
      <c r="L69" s="352"/>
      <c r="M69" s="352"/>
      <c r="N69" s="423"/>
      <c r="O69" s="423"/>
      <c r="P69" s="352"/>
      <c r="Q69" s="352"/>
      <c r="R69" s="352"/>
      <c r="S69" s="352"/>
    </row>
    <row r="70" spans="1:19" x14ac:dyDescent="0.2">
      <c r="A70" s="375"/>
      <c r="B70" s="367"/>
      <c r="C70" s="368"/>
      <c r="D70" s="352"/>
      <c r="E70" s="352"/>
      <c r="F70" s="352"/>
      <c r="G70" s="352"/>
      <c r="H70" s="352"/>
      <c r="I70" s="352"/>
      <c r="J70" s="352"/>
      <c r="K70" s="352"/>
      <c r="L70" s="352"/>
      <c r="M70" s="352"/>
      <c r="N70" s="397"/>
      <c r="O70" s="397"/>
      <c r="P70" s="352"/>
      <c r="Q70" s="352"/>
      <c r="R70" s="352"/>
      <c r="S70" s="352"/>
    </row>
    <row r="71" spans="1:19" x14ac:dyDescent="0.2">
      <c r="A71" s="424"/>
      <c r="B71" s="367"/>
      <c r="C71" s="368"/>
      <c r="D71" s="352"/>
      <c r="E71" s="352"/>
      <c r="F71" s="352"/>
      <c r="G71" s="352"/>
      <c r="H71" s="352"/>
      <c r="I71" s="352"/>
      <c r="J71" s="352"/>
      <c r="K71" s="352"/>
      <c r="L71" s="352"/>
      <c r="M71" s="352"/>
      <c r="N71" s="352"/>
      <c r="O71" s="397"/>
      <c r="P71" s="352"/>
      <c r="Q71" s="352"/>
      <c r="R71" s="352"/>
      <c r="S71" s="352"/>
    </row>
    <row r="72" spans="1:19" x14ac:dyDescent="0.2">
      <c r="A72" s="425"/>
      <c r="B72" s="426" t="str" cm="1">
        <f t="array" ref="B72:B85">TRANSPOSE(TUS_Worksheet!C$13:P$13)</f>
        <v/>
      </c>
      <c r="C72" s="427">
        <v>1</v>
      </c>
      <c r="D72" s="428" t="str" cm="1">
        <f t="array" ref="D72:D111">IF(B72:B111="","",C72:C111)</f>
        <v/>
      </c>
      <c r="E72" s="428"/>
      <c r="F72" s="428"/>
      <c r="G72" s="428"/>
      <c r="H72" s="428"/>
      <c r="I72" s="428"/>
      <c r="J72" s="428"/>
      <c r="K72" s="428"/>
      <c r="L72" s="428"/>
      <c r="M72" s="428"/>
      <c r="N72" s="429">
        <f ca="1">IF(Access_Data!B$27="",0,Access_Data!B$27)</f>
        <v>0</v>
      </c>
      <c r="O72" s="429">
        <f ca="1">IF(Access_Data!$B$29="",0,Access_Data!$B$29)</f>
        <v>0</v>
      </c>
      <c r="P72" s="429" t="str">
        <f ca="1">IFERROR(Access_Data!$B$31,0)</f>
        <v/>
      </c>
      <c r="Q72" s="428"/>
      <c r="R72" s="352"/>
      <c r="S72" s="352"/>
    </row>
    <row r="73" spans="1:19" x14ac:dyDescent="0.2">
      <c r="A73" s="425"/>
      <c r="B73" s="426" t="str">
        <v/>
      </c>
      <c r="C73" s="427">
        <v>2</v>
      </c>
      <c r="D73" s="428" t="str">
        <v/>
      </c>
      <c r="E73" s="428"/>
      <c r="F73" s="428"/>
      <c r="G73" s="428"/>
      <c r="H73" s="428"/>
      <c r="I73" s="428"/>
      <c r="J73" s="428"/>
      <c r="K73" s="428"/>
      <c r="L73" s="428"/>
      <c r="M73" s="428"/>
      <c r="N73" s="429">
        <f ca="1">IF(Access_Data!C$27="",0,Access_Data!C$27)</f>
        <v>0</v>
      </c>
      <c r="O73" s="429">
        <f ca="1">IF(Access_Data!$C$29="",0,Access_Data!$C$29)</f>
        <v>0</v>
      </c>
      <c r="P73" s="429" t="str">
        <f ca="1">IF(ISERROR(Access_Data!$C$31),0,Access_Data!$C$31)</f>
        <v/>
      </c>
      <c r="Q73" s="428"/>
      <c r="R73" s="352"/>
      <c r="S73" s="352"/>
    </row>
    <row r="74" spans="1:19" x14ac:dyDescent="0.2">
      <c r="A74" s="425"/>
      <c r="B74" s="426" t="str">
        <v/>
      </c>
      <c r="C74" s="427">
        <v>3</v>
      </c>
      <c r="D74" s="428" t="str">
        <v/>
      </c>
      <c r="E74" s="428"/>
      <c r="F74" s="428"/>
      <c r="G74" s="428"/>
      <c r="H74" s="428"/>
      <c r="I74" s="428"/>
      <c r="J74" s="428"/>
      <c r="K74" s="428"/>
      <c r="L74" s="428"/>
      <c r="M74" s="428"/>
      <c r="N74" s="429">
        <f ca="1">IF(Access_Data!D$27="",0,Access_Data!D$27)</f>
        <v>0</v>
      </c>
      <c r="O74" s="429">
        <f ca="1">IF(Access_Data!$D$29="",0,Access_Data!$D$29)</f>
        <v>0</v>
      </c>
      <c r="P74" s="429" t="str">
        <f ca="1">IF(ISERROR(Access_Data!$D$31),0,Access_Data!$D$31)</f>
        <v/>
      </c>
      <c r="Q74" s="428"/>
      <c r="R74" s="352"/>
      <c r="S74" s="352"/>
    </row>
    <row r="75" spans="1:19" x14ac:dyDescent="0.2">
      <c r="A75" s="425"/>
      <c r="B75" s="426" t="str">
        <v/>
      </c>
      <c r="C75" s="427">
        <v>4</v>
      </c>
      <c r="D75" s="428" t="str">
        <v/>
      </c>
      <c r="E75" s="428"/>
      <c r="F75" s="428"/>
      <c r="G75" s="428"/>
      <c r="H75" s="428"/>
      <c r="I75" s="428"/>
      <c r="J75" s="428"/>
      <c r="K75" s="428"/>
      <c r="L75" s="428"/>
      <c r="M75" s="428"/>
      <c r="N75" s="429">
        <f ca="1">IF(Access_Data!E$27="",0,Access_Data!E$27)</f>
        <v>0</v>
      </c>
      <c r="O75" s="429">
        <f ca="1">IF(Access_Data!$E$29="",0,Access_Data!$E$29)</f>
        <v>0</v>
      </c>
      <c r="P75" s="429" t="str">
        <f ca="1">IF(ISERROR(Access_Data!$E$31),0,Access_Data!$E$31)</f>
        <v/>
      </c>
      <c r="Q75" s="428"/>
      <c r="R75" s="352"/>
      <c r="S75" s="352"/>
    </row>
    <row r="76" spans="1:19" x14ac:dyDescent="0.2">
      <c r="A76" s="425"/>
      <c r="B76" s="426" t="str">
        <v/>
      </c>
      <c r="C76" s="427">
        <v>5</v>
      </c>
      <c r="D76" s="428" t="str">
        <v/>
      </c>
      <c r="E76" s="428"/>
      <c r="F76" s="428"/>
      <c r="G76" s="428"/>
      <c r="H76" s="428"/>
      <c r="I76" s="428"/>
      <c r="J76" s="428"/>
      <c r="K76" s="428"/>
      <c r="L76" s="428"/>
      <c r="M76" s="428"/>
      <c r="N76" s="429">
        <f ca="1">IF(Access_Data!F$27="",0,Access_Data!F$27)</f>
        <v>0</v>
      </c>
      <c r="O76" s="429">
        <f ca="1">IF(Access_Data!$F$29="",0,Access_Data!$F$29)</f>
        <v>0</v>
      </c>
      <c r="P76" s="429" t="str">
        <f ca="1">IF(ISERROR(Access_Data!$F$31),0,Access_Data!$F$31)</f>
        <v/>
      </c>
      <c r="Q76" s="428"/>
      <c r="R76" s="352"/>
      <c r="S76" s="352"/>
    </row>
    <row r="77" spans="1:19" x14ac:dyDescent="0.2">
      <c r="A77" s="425"/>
      <c r="B77" s="426" t="str">
        <v/>
      </c>
      <c r="C77" s="427">
        <v>6</v>
      </c>
      <c r="D77" s="428" t="str">
        <v/>
      </c>
      <c r="E77" s="428"/>
      <c r="F77" s="428"/>
      <c r="G77" s="428"/>
      <c r="H77" s="428"/>
      <c r="I77" s="428"/>
      <c r="J77" s="428"/>
      <c r="K77" s="428"/>
      <c r="L77" s="428"/>
      <c r="M77" s="428"/>
      <c r="N77" s="429">
        <f ca="1">IF(Access_Data!G$27="",0,Access_Data!G$27)</f>
        <v>0</v>
      </c>
      <c r="O77" s="429">
        <f ca="1">IF(Access_Data!$G$29="",0,Access_Data!$G$29)</f>
        <v>0</v>
      </c>
      <c r="P77" s="429" t="str">
        <f ca="1">IF(ISERROR(Access_Data!$G$31),0,Access_Data!$G$31)</f>
        <v/>
      </c>
      <c r="Q77" s="428"/>
      <c r="R77" s="352"/>
      <c r="S77" s="352"/>
    </row>
    <row r="78" spans="1:19" x14ac:dyDescent="0.2">
      <c r="A78" s="425"/>
      <c r="B78" s="426" t="str">
        <v/>
      </c>
      <c r="C78" s="427">
        <v>7</v>
      </c>
      <c r="D78" s="428" t="str">
        <v/>
      </c>
      <c r="E78" s="428"/>
      <c r="F78" s="428"/>
      <c r="G78" s="428"/>
      <c r="H78" s="428"/>
      <c r="I78" s="428"/>
      <c r="J78" s="428"/>
      <c r="K78" s="428"/>
      <c r="L78" s="428"/>
      <c r="M78" s="428"/>
      <c r="N78" s="429">
        <f ca="1">IF(Access_Data!H$27="",0,Access_Data!H$27)</f>
        <v>0</v>
      </c>
      <c r="O78" s="429">
        <f ca="1">IF(Access_Data!$H$29="",0,Access_Data!$H$29)</f>
        <v>0</v>
      </c>
      <c r="P78" s="429" t="str">
        <f ca="1">IF(ISERROR(Access_Data!$H$31),0,Access_Data!$H$31)</f>
        <v/>
      </c>
      <c r="Q78" s="428"/>
      <c r="R78" s="352"/>
      <c r="S78" s="352"/>
    </row>
    <row r="79" spans="1:19" x14ac:dyDescent="0.2">
      <c r="A79" s="425"/>
      <c r="B79" s="426" t="str">
        <v/>
      </c>
      <c r="C79" s="427">
        <v>8</v>
      </c>
      <c r="D79" s="428" t="str">
        <v/>
      </c>
      <c r="E79" s="428"/>
      <c r="F79" s="428"/>
      <c r="G79" s="428"/>
      <c r="H79" s="428"/>
      <c r="I79" s="428"/>
      <c r="J79" s="428"/>
      <c r="K79" s="428"/>
      <c r="L79" s="428"/>
      <c r="M79" s="428"/>
      <c r="N79" s="429">
        <f ca="1">IF(Access_Data!I$27="",0,Access_Data!I$27)</f>
        <v>0</v>
      </c>
      <c r="O79" s="429">
        <f ca="1">IF(Access_Data!$I$29="",0,Access_Data!$I$29)</f>
        <v>0</v>
      </c>
      <c r="P79" s="429" t="str">
        <f ca="1">IF(ISERROR(Access_Data!$I$31),0,Access_Data!$I$31)</f>
        <v/>
      </c>
      <c r="Q79" s="428"/>
      <c r="R79" s="352"/>
      <c r="S79" s="352"/>
    </row>
    <row r="80" spans="1:19" x14ac:dyDescent="0.2">
      <c r="A80" s="425"/>
      <c r="B80" s="426" t="str">
        <v/>
      </c>
      <c r="C80" s="427">
        <v>9</v>
      </c>
      <c r="D80" s="428" t="str">
        <v/>
      </c>
      <c r="E80" s="428"/>
      <c r="F80" s="428"/>
      <c r="G80" s="428"/>
      <c r="H80" s="428"/>
      <c r="I80" s="428"/>
      <c r="J80" s="428"/>
      <c r="K80" s="428"/>
      <c r="L80" s="428"/>
      <c r="M80" s="428"/>
      <c r="N80" s="429">
        <f ca="1">IF(Access_Data!J$27="",0,Access_Data!J$27)</f>
        <v>0</v>
      </c>
      <c r="O80" s="429">
        <f ca="1">IF(Access_Data!$J$29="",0,Access_Data!$J$29)</f>
        <v>0</v>
      </c>
      <c r="P80" s="429" t="str">
        <f ca="1">IF(ISERROR(Access_Data!$J$31),0,Access_Data!$J$31)</f>
        <v/>
      </c>
      <c r="Q80" s="428"/>
      <c r="R80" s="352"/>
      <c r="S80" s="352"/>
    </row>
    <row r="81" spans="1:19" x14ac:dyDescent="0.2">
      <c r="A81" s="425"/>
      <c r="B81" s="426" t="str">
        <v/>
      </c>
      <c r="C81" s="427">
        <v>10</v>
      </c>
      <c r="D81" s="428" t="str">
        <v/>
      </c>
      <c r="E81" s="428"/>
      <c r="F81" s="428"/>
      <c r="G81" s="428"/>
      <c r="H81" s="428"/>
      <c r="I81" s="428"/>
      <c r="J81" s="428"/>
      <c r="K81" s="428"/>
      <c r="L81" s="428"/>
      <c r="M81" s="428"/>
      <c r="N81" s="429">
        <f ca="1">IF(Access_Data!K$27="",0,Access_Data!K$27)</f>
        <v>0</v>
      </c>
      <c r="O81" s="429">
        <f ca="1">IF(Access_Data!$K$29="",0,Access_Data!$K$29)</f>
        <v>0</v>
      </c>
      <c r="P81" s="429" t="str">
        <f ca="1">IF(ISERROR(Access_Data!$K$31),0,Access_Data!$K$31)</f>
        <v/>
      </c>
      <c r="Q81" s="428"/>
      <c r="R81" s="352"/>
      <c r="S81" s="352"/>
    </row>
    <row r="82" spans="1:19" x14ac:dyDescent="0.2">
      <c r="A82" s="425"/>
      <c r="B82" s="426" t="str">
        <v/>
      </c>
      <c r="C82" s="427">
        <v>11</v>
      </c>
      <c r="D82" s="428" t="str">
        <v/>
      </c>
      <c r="E82" s="428"/>
      <c r="F82" s="428"/>
      <c r="G82" s="428"/>
      <c r="H82" s="428"/>
      <c r="I82" s="428"/>
      <c r="J82" s="428"/>
      <c r="K82" s="428"/>
      <c r="L82" s="428"/>
      <c r="M82" s="428"/>
      <c r="N82" s="429">
        <f ca="1">IF(Access_Data!L$27="",0,Access_Data!L$27)</f>
        <v>0</v>
      </c>
      <c r="O82" s="429">
        <f ca="1">IF(Access_Data!$L$29="",0,Access_Data!$L$29)</f>
        <v>0</v>
      </c>
      <c r="P82" s="429" t="str">
        <f ca="1">IF(ISERROR(Access_Data!$L$31),0,Access_Data!$L$31)</f>
        <v/>
      </c>
      <c r="Q82" s="428"/>
      <c r="R82" s="352"/>
      <c r="S82" s="352"/>
    </row>
    <row r="83" spans="1:19" x14ac:dyDescent="0.2">
      <c r="A83" s="425"/>
      <c r="B83" s="426" t="str">
        <v/>
      </c>
      <c r="C83" s="427">
        <v>12</v>
      </c>
      <c r="D83" s="428" t="str">
        <v/>
      </c>
      <c r="E83" s="430"/>
      <c r="F83" s="431"/>
      <c r="G83" s="432"/>
      <c r="H83" s="433"/>
      <c r="I83" s="430"/>
      <c r="J83" s="431"/>
      <c r="K83" s="432"/>
      <c r="L83" s="433"/>
      <c r="M83" s="428"/>
      <c r="N83" s="429">
        <f ca="1">IF(Access_Data!M$27="",0,Access_Data!M$27)</f>
        <v>0</v>
      </c>
      <c r="O83" s="429">
        <f ca="1">IF(Access_Data!$M$29="",0,Access_Data!$M$29)</f>
        <v>0</v>
      </c>
      <c r="P83" s="429" t="str">
        <f ca="1">IF(ISERROR(Access_Data!$M$31),0,Access_Data!$M$31)</f>
        <v/>
      </c>
      <c r="Q83" s="428"/>
      <c r="R83" s="352"/>
      <c r="S83" s="352"/>
    </row>
    <row r="84" spans="1:19" x14ac:dyDescent="0.2">
      <c r="A84" s="425"/>
      <c r="B84" s="426" t="str">
        <v/>
      </c>
      <c r="C84" s="427">
        <v>13</v>
      </c>
      <c r="D84" s="428" t="str">
        <v/>
      </c>
      <c r="E84" s="434"/>
      <c r="F84" s="435" t="s">
        <v>169</v>
      </c>
      <c r="G84" s="436"/>
      <c r="H84" s="437"/>
      <c r="I84" s="438"/>
      <c r="J84" s="431"/>
      <c r="K84" s="432"/>
      <c r="L84" s="433"/>
      <c r="M84" s="428"/>
      <c r="N84" s="429">
        <f ca="1">IF(Access_Data!N$27="",0,Access_Data!N$27)</f>
        <v>0</v>
      </c>
      <c r="O84" s="429">
        <f ca="1">IF(Access_Data!$N$29="",0,Access_Data!$N$29)</f>
        <v>0</v>
      </c>
      <c r="P84" s="429" t="str">
        <f ca="1">IF(ISERROR(Access_Data!$N$31),0,Access_Data!$N$31)</f>
        <v/>
      </c>
      <c r="Q84" s="428"/>
      <c r="R84" s="352"/>
      <c r="S84" s="352"/>
    </row>
    <row r="85" spans="1:19" x14ac:dyDescent="0.2">
      <c r="A85" s="425"/>
      <c r="B85" s="426" t="str">
        <v/>
      </c>
      <c r="C85" s="427">
        <v>14</v>
      </c>
      <c r="D85" s="428" t="str">
        <v/>
      </c>
      <c r="E85" s="434"/>
      <c r="F85" s="435" t="s">
        <v>170</v>
      </c>
      <c r="G85" s="436" t="s">
        <v>168</v>
      </c>
      <c r="H85" s="437" t="s">
        <v>167</v>
      </c>
      <c r="I85" s="438"/>
      <c r="J85" s="431"/>
      <c r="K85" s="432"/>
      <c r="L85" s="433"/>
      <c r="M85" s="428"/>
      <c r="N85" s="429">
        <f ca="1">IF(Access_Data!O$27="",0,Access_Data!O$27)</f>
        <v>0</v>
      </c>
      <c r="O85" s="429">
        <f ca="1">IF(Access_Data!$O$29="",0,Access_Data!$O$29)</f>
        <v>0</v>
      </c>
      <c r="P85" s="429" t="str">
        <f ca="1">IF(ISERROR(Access_Data!$O$31),0,Access_Data!$O$31)</f>
        <v/>
      </c>
      <c r="Q85" s="428"/>
      <c r="R85" s="352"/>
      <c r="S85" s="352"/>
    </row>
    <row r="86" spans="1:19" x14ac:dyDescent="0.2">
      <c r="A86" s="425"/>
      <c r="B86" s="426" t="str" cm="1">
        <f t="array" ref="B86:B99">TRANSPOSE(TUS_Worksheet!C$19:P$19)</f>
        <v/>
      </c>
      <c r="C86" s="427">
        <v>15</v>
      </c>
      <c r="D86" s="428" t="str">
        <v/>
      </c>
      <c r="E86" s="434"/>
      <c r="F86" s="435">
        <v>1</v>
      </c>
      <c r="G86" s="436">
        <v>5</v>
      </c>
      <c r="H86" s="439">
        <f>MAX(I86:J86)</f>
        <v>2</v>
      </c>
      <c r="I86" s="438">
        <f>D16*0.002</f>
        <v>0</v>
      </c>
      <c r="J86" s="440">
        <v>2</v>
      </c>
      <c r="K86" s="432"/>
      <c r="L86" s="433"/>
      <c r="M86" s="428"/>
      <c r="N86" s="429">
        <f ca="1">IF(Access_Data!V$27="",0,Access_Data!V$27)</f>
        <v>0</v>
      </c>
      <c r="O86" s="429">
        <f ca="1">IF(Access_Data!$V$29="",0,Access_Data!$V$29)</f>
        <v>0</v>
      </c>
      <c r="P86" s="429" t="str">
        <f ca="1">IF(ISERROR(Access_Data!$V$31),0,Access_Data!$V$31)</f>
        <v/>
      </c>
      <c r="Q86" s="428"/>
      <c r="R86" s="352"/>
      <c r="S86" s="352"/>
    </row>
    <row r="87" spans="1:19" x14ac:dyDescent="0.2">
      <c r="A87" s="425"/>
      <c r="B87" s="426" t="str">
        <v/>
      </c>
      <c r="C87" s="427">
        <v>16</v>
      </c>
      <c r="D87" s="428" t="str">
        <v/>
      </c>
      <c r="E87" s="434"/>
      <c r="F87" s="435">
        <v>2</v>
      </c>
      <c r="G87" s="436">
        <v>10</v>
      </c>
      <c r="H87" s="439">
        <f t="shared" ref="H87:H91" si="1">MAX(I87:J87)</f>
        <v>3</v>
      </c>
      <c r="I87" s="438">
        <f>D16*0.003</f>
        <v>0</v>
      </c>
      <c r="J87" s="440">
        <v>3</v>
      </c>
      <c r="K87" s="432"/>
      <c r="L87" s="433"/>
      <c r="M87" s="428"/>
      <c r="N87" s="429">
        <f ca="1">IF(Access_Data!W$27="",0,Access_Data!W$27)</f>
        <v>0</v>
      </c>
      <c r="O87" s="429">
        <f ca="1">IF(Access_Data!$W$29="",0,Access_Data!$W$29)</f>
        <v>0</v>
      </c>
      <c r="P87" s="429" t="str">
        <f ca="1">IF(ISERROR(Access_Data!$W$31),0,Access_Data!$W$31)</f>
        <v/>
      </c>
      <c r="Q87" s="428"/>
      <c r="R87" s="352"/>
      <c r="S87" s="352"/>
    </row>
    <row r="88" spans="1:19" x14ac:dyDescent="0.2">
      <c r="A88" s="425"/>
      <c r="B88" s="426" t="str">
        <v/>
      </c>
      <c r="C88" s="427">
        <v>17</v>
      </c>
      <c r="D88" s="428" t="str">
        <v/>
      </c>
      <c r="E88" s="434"/>
      <c r="F88" s="435">
        <v>3</v>
      </c>
      <c r="G88" s="436">
        <v>15</v>
      </c>
      <c r="H88" s="439">
        <f t="shared" si="1"/>
        <v>4</v>
      </c>
      <c r="I88" s="438">
        <f>D16*0.004</f>
        <v>0</v>
      </c>
      <c r="J88" s="440">
        <v>4</v>
      </c>
      <c r="K88" s="432"/>
      <c r="L88" s="433"/>
      <c r="M88" s="428"/>
      <c r="N88" s="429">
        <f ca="1">IF(Access_Data!X$27="",0,Access_Data!X$27)</f>
        <v>0</v>
      </c>
      <c r="O88" s="429">
        <f ca="1">IF(Access_Data!$X$29="",0,Access_Data!$X$29)</f>
        <v>0</v>
      </c>
      <c r="P88" s="429" t="str">
        <f ca="1">IF(ISERROR(Access_Data!$X$31),0,Access_Data!$X$31)</f>
        <v/>
      </c>
      <c r="Q88" s="428"/>
      <c r="R88" s="352"/>
      <c r="S88" s="352"/>
    </row>
    <row r="89" spans="1:19" x14ac:dyDescent="0.2">
      <c r="A89" s="425"/>
      <c r="B89" s="426" t="str">
        <v/>
      </c>
      <c r="C89" s="427">
        <v>18</v>
      </c>
      <c r="D89" s="428" t="str">
        <v/>
      </c>
      <c r="E89" s="434"/>
      <c r="F89" s="435">
        <v>4</v>
      </c>
      <c r="G89" s="436">
        <v>20</v>
      </c>
      <c r="H89" s="439">
        <f t="shared" si="1"/>
        <v>4</v>
      </c>
      <c r="I89" s="438">
        <f>D16*0.004</f>
        <v>0</v>
      </c>
      <c r="J89" s="440">
        <v>4</v>
      </c>
      <c r="K89" s="432"/>
      <c r="L89" s="433"/>
      <c r="M89" s="428"/>
      <c r="N89" s="429">
        <f ca="1">IF(Access_Data!Y$27="",0,Access_Data!Y$27)</f>
        <v>0</v>
      </c>
      <c r="O89" s="429">
        <f ca="1">IF(Access_Data!$Y$29="",0,Access_Data!$Y$29)</f>
        <v>0</v>
      </c>
      <c r="P89" s="429" t="str">
        <f ca="1">IF(ISERROR(Access_Data!$Y$31),0,Access_Data!$Y$31)</f>
        <v/>
      </c>
      <c r="Q89" s="428"/>
      <c r="R89" s="352"/>
      <c r="S89" s="352"/>
    </row>
    <row r="90" spans="1:19" x14ac:dyDescent="0.2">
      <c r="A90" s="425"/>
      <c r="B90" s="426" t="str">
        <v/>
      </c>
      <c r="C90" s="427">
        <v>19</v>
      </c>
      <c r="D90" s="428" t="str">
        <v/>
      </c>
      <c r="E90" s="434"/>
      <c r="F90" s="435">
        <v>5</v>
      </c>
      <c r="G90" s="436">
        <v>25</v>
      </c>
      <c r="H90" s="439">
        <f t="shared" si="1"/>
        <v>5</v>
      </c>
      <c r="I90" s="438">
        <f>D16*0.005</f>
        <v>0</v>
      </c>
      <c r="J90" s="440">
        <v>5</v>
      </c>
      <c r="K90" s="432"/>
      <c r="L90" s="433"/>
      <c r="M90" s="428"/>
      <c r="N90" s="429">
        <f ca="1">IF(Access_Data!Z$27="",0,Access_Data!Z$27)</f>
        <v>0</v>
      </c>
      <c r="O90" s="429">
        <f ca="1">IF(Access_Data!$Z$29="",0,Access_Data!$Z$29)</f>
        <v>0</v>
      </c>
      <c r="P90" s="429" t="str">
        <f ca="1">IF(ISERROR(Access_Data!$Z$31),0,Access_Data!$Z$31)</f>
        <v/>
      </c>
      <c r="Q90" s="428"/>
      <c r="R90" s="352"/>
      <c r="S90" s="352"/>
    </row>
    <row r="91" spans="1:19" x14ac:dyDescent="0.2">
      <c r="A91" s="425"/>
      <c r="B91" s="426" t="str">
        <v/>
      </c>
      <c r="C91" s="427">
        <v>20</v>
      </c>
      <c r="D91" s="428" t="str">
        <v/>
      </c>
      <c r="E91" s="434"/>
      <c r="F91" s="435">
        <v>6</v>
      </c>
      <c r="G91" s="436">
        <v>50</v>
      </c>
      <c r="H91" s="439">
        <f t="shared" si="1"/>
        <v>10</v>
      </c>
      <c r="I91" s="438">
        <f>D16*0.01</f>
        <v>0</v>
      </c>
      <c r="J91" s="440">
        <v>10</v>
      </c>
      <c r="K91" s="432"/>
      <c r="L91" s="433"/>
      <c r="M91" s="428"/>
      <c r="N91" s="429">
        <f ca="1">IF(Access_Data!AA$27="",0,Access_Data!AA$27)</f>
        <v>0</v>
      </c>
      <c r="O91" s="429">
        <f ca="1">IF(Access_Data!$AA$29="",0,Access_Data!$AA$29)</f>
        <v>0</v>
      </c>
      <c r="P91" s="429" t="str">
        <f ca="1">IF(ISERROR(Access_Data!$AA$31),0,Access_Data!$AA$31)</f>
        <v/>
      </c>
      <c r="Q91" s="428"/>
      <c r="R91" s="352"/>
      <c r="S91" s="352"/>
    </row>
    <row r="92" spans="1:19" x14ac:dyDescent="0.2">
      <c r="A92" s="425"/>
      <c r="B92" s="426" t="str">
        <v/>
      </c>
      <c r="C92" s="427">
        <v>21</v>
      </c>
      <c r="D92" s="428" t="str">
        <v/>
      </c>
      <c r="E92" s="434"/>
      <c r="F92" s="435"/>
      <c r="G92" s="436"/>
      <c r="H92" s="437"/>
      <c r="I92" s="438"/>
      <c r="J92" s="431"/>
      <c r="K92" s="432"/>
      <c r="L92" s="433"/>
      <c r="M92" s="428"/>
      <c r="N92" s="429">
        <f ca="1">IF(Access_Data!AB$27="",0,Access_Data!AB$27)</f>
        <v>0</v>
      </c>
      <c r="O92" s="429">
        <f ca="1">IF(Access_Data!$AB$29="",0,Access_Data!$AB$29)</f>
        <v>0</v>
      </c>
      <c r="P92" s="429" t="str">
        <f ca="1">IF(ISERROR(Access_Data!$AB$31),0,Access_Data!$AB$31)</f>
        <v/>
      </c>
      <c r="Q92" s="428"/>
      <c r="R92" s="352"/>
      <c r="S92" s="352"/>
    </row>
    <row r="93" spans="1:19" x14ac:dyDescent="0.2">
      <c r="A93" s="425"/>
      <c r="B93" s="426" t="str">
        <v/>
      </c>
      <c r="C93" s="427">
        <v>22</v>
      </c>
      <c r="D93" s="428" t="str">
        <v/>
      </c>
      <c r="E93" s="434"/>
      <c r="F93" s="435" t="s">
        <v>290</v>
      </c>
      <c r="G93" s="436" t="e">
        <f>VLOOKUP(D19,G86:H91,2,FALSE)</f>
        <v>#N/A</v>
      </c>
      <c r="H93" s="437" t="s">
        <v>291</v>
      </c>
      <c r="I93" s="438"/>
      <c r="J93" s="431"/>
      <c r="K93" s="432"/>
      <c r="L93" s="433"/>
      <c r="M93" s="428"/>
      <c r="N93" s="429">
        <f ca="1">IF(Access_Data!AC$27="",0,Access_Data!AC$27)</f>
        <v>0</v>
      </c>
      <c r="O93" s="429">
        <f ca="1">IF(Access_Data!$AC$29="",0,Access_Data!$AC$29)</f>
        <v>0</v>
      </c>
      <c r="P93" s="429" t="str">
        <f ca="1">IF(ISERROR(Access_Data!$AC$31),0,Access_Data!$AC$31)</f>
        <v/>
      </c>
      <c r="Q93" s="428"/>
      <c r="R93" s="352"/>
      <c r="S93" s="352"/>
    </row>
    <row r="94" spans="1:19" x14ac:dyDescent="0.2">
      <c r="A94" s="425"/>
      <c r="B94" s="426" t="str">
        <v/>
      </c>
      <c r="C94" s="427">
        <v>23</v>
      </c>
      <c r="D94" s="428" t="str">
        <v/>
      </c>
      <c r="E94" s="434"/>
      <c r="F94" s="441"/>
      <c r="G94" s="442" t="e">
        <f>CONCATENATE(F93,G93,H93)</f>
        <v>#N/A</v>
      </c>
      <c r="H94" s="443"/>
      <c r="I94" s="434" t="b">
        <v>1</v>
      </c>
      <c r="J94" s="431"/>
      <c r="K94" s="432"/>
      <c r="L94" s="433"/>
      <c r="M94" s="428"/>
      <c r="N94" s="429">
        <f ca="1">IF(Access_Data!AD$27="",0,Access_Data!AD$27)</f>
        <v>0</v>
      </c>
      <c r="O94" s="429">
        <f ca="1">IF(Access_Data!$AD27="",0,Access_Data!$AD$29)</f>
        <v>0</v>
      </c>
      <c r="P94" s="429" t="str">
        <f ca="1">IF(ISERROR(Access_Data!$AD31),0,Access_Data!$AD$31)</f>
        <v/>
      </c>
      <c r="Q94" s="428"/>
      <c r="R94" s="352"/>
      <c r="S94" s="352"/>
    </row>
    <row r="95" spans="1:19" x14ac:dyDescent="0.2">
      <c r="A95" s="425"/>
      <c r="B95" s="426" t="str">
        <v/>
      </c>
      <c r="C95" s="427">
        <v>24</v>
      </c>
      <c r="D95" s="428" t="str">
        <v/>
      </c>
      <c r="E95" s="430"/>
      <c r="F95" s="431"/>
      <c r="G95" s="432" t="e">
        <f>ROUNDDOWN(G93,2-(1+INT(LOG10(ABS(G93)))))</f>
        <v>#N/A</v>
      </c>
      <c r="H95" s="433"/>
      <c r="I95" s="430"/>
      <c r="J95" s="431"/>
      <c r="K95" s="432"/>
      <c r="L95" s="433"/>
      <c r="M95" s="428"/>
      <c r="N95" s="429">
        <f ca="1">IF(Access_Data!AE$27="",0,Access_Data!AE$27)</f>
        <v>0</v>
      </c>
      <c r="O95" s="429">
        <f ca="1">IF(Access_Data!$AE$29="",0,Access_Data!$AE$29)</f>
        <v>0</v>
      </c>
      <c r="P95" s="429" t="str">
        <f ca="1">IF(ISERROR(Access_Data!$AE$31),0,Access_Data!$AE$31)</f>
        <v/>
      </c>
      <c r="Q95" s="428"/>
      <c r="R95" s="352"/>
      <c r="S95" s="352"/>
    </row>
    <row r="96" spans="1:19" x14ac:dyDescent="0.2">
      <c r="A96" s="425"/>
      <c r="B96" s="426" t="str">
        <v/>
      </c>
      <c r="C96" s="427">
        <v>25</v>
      </c>
      <c r="D96" s="428" t="str">
        <v/>
      </c>
      <c r="E96" s="425"/>
      <c r="F96" s="426"/>
      <c r="G96" s="427"/>
      <c r="H96" s="428"/>
      <c r="I96" s="425"/>
      <c r="J96" s="426"/>
      <c r="K96" s="427"/>
      <c r="L96" s="428"/>
      <c r="M96" s="428"/>
      <c r="N96" s="429">
        <f ca="1">IF(Access_Data!AF$27="",0,Access_Data!AF$27)</f>
        <v>0</v>
      </c>
      <c r="O96" s="429">
        <f ca="1">IF(Access_Data!$AF$29="",0,Access_Data!$AF$29)</f>
        <v>0</v>
      </c>
      <c r="P96" s="429" t="str">
        <f ca="1">IF(ISERROR(Access_Data!$AF$31),0,Access_Data!$AF$31)</f>
        <v/>
      </c>
      <c r="Q96" s="428"/>
      <c r="R96" s="352"/>
      <c r="S96" s="352"/>
    </row>
    <row r="97" spans="1:19" x14ac:dyDescent="0.2">
      <c r="A97" s="425"/>
      <c r="B97" s="426" t="str">
        <v/>
      </c>
      <c r="C97" s="427">
        <v>26</v>
      </c>
      <c r="D97" s="428" t="str">
        <v/>
      </c>
      <c r="E97" s="425"/>
      <c r="F97" s="426"/>
      <c r="G97" s="427"/>
      <c r="H97" s="428"/>
      <c r="I97" s="425"/>
      <c r="J97" s="426"/>
      <c r="K97" s="427"/>
      <c r="L97" s="428"/>
      <c r="M97" s="428"/>
      <c r="N97" s="429">
        <f ca="1">IF(Access_Data!AG$27="",0,Access_Data!AG$27)</f>
        <v>0</v>
      </c>
      <c r="O97" s="429">
        <f ca="1">IF(Access_Data!$AG$29="",0,Access_Data!$AG$29)</f>
        <v>0</v>
      </c>
      <c r="P97" s="429" t="str">
        <f ca="1">IF(ISERROR(Access_Data!$AG$31),0,Access_Data!$AG$31)</f>
        <v/>
      </c>
      <c r="Q97" s="428"/>
      <c r="R97" s="352"/>
      <c r="S97" s="352"/>
    </row>
    <row r="98" spans="1:19" x14ac:dyDescent="0.2">
      <c r="A98" s="425"/>
      <c r="B98" s="426" t="str">
        <v/>
      </c>
      <c r="C98" s="427">
        <v>27</v>
      </c>
      <c r="D98" s="428" t="str">
        <v/>
      </c>
      <c r="E98" s="428"/>
      <c r="F98" s="428"/>
      <c r="G98" s="428"/>
      <c r="H98" s="428"/>
      <c r="I98" s="428"/>
      <c r="J98" s="428"/>
      <c r="K98" s="428"/>
      <c r="L98" s="428"/>
      <c r="M98" s="428"/>
      <c r="N98" s="429">
        <f ca="1">IF(Access_Data!AH$27="",0,Access_Data!AH$27)</f>
        <v>0</v>
      </c>
      <c r="O98" s="429">
        <f ca="1">IF(Access_Data!$AH$29="",0,Access_Data!$AH$29)</f>
        <v>0</v>
      </c>
      <c r="P98" s="429" t="str">
        <f ca="1">IF(ISERROR(Access_Data!$AH$31),0,Access_Data!$AH$31)</f>
        <v/>
      </c>
      <c r="Q98" s="428"/>
      <c r="R98" s="352"/>
      <c r="S98" s="352"/>
    </row>
    <row r="99" spans="1:19" x14ac:dyDescent="0.2">
      <c r="A99" s="425"/>
      <c r="B99" s="426" t="str">
        <v/>
      </c>
      <c r="C99" s="427">
        <v>28</v>
      </c>
      <c r="D99" s="428" t="str">
        <v/>
      </c>
      <c r="E99" s="428"/>
      <c r="F99" s="428"/>
      <c r="G99" s="428"/>
      <c r="H99" s="428"/>
      <c r="I99" s="428"/>
      <c r="J99" s="428"/>
      <c r="K99" s="428"/>
      <c r="L99" s="428"/>
      <c r="M99" s="428"/>
      <c r="N99" s="429">
        <f ca="1">IF(Access_Data!AI$27="",0,Access_Data!AI$27)</f>
        <v>0</v>
      </c>
      <c r="O99" s="429">
        <f ca="1">IF(Access_Data!$AI$29="",0,Access_Data!$AI$29)</f>
        <v>0</v>
      </c>
      <c r="P99" s="429" t="str">
        <f ca="1">IF(ISERROR(Access_Data!$AI$31),0,Access_Data!$AI$31)</f>
        <v/>
      </c>
      <c r="Q99" s="428"/>
      <c r="R99" s="352"/>
      <c r="S99" s="352"/>
    </row>
    <row r="100" spans="1:19" x14ac:dyDescent="0.2">
      <c r="A100" s="425"/>
      <c r="B100" s="426" t="str" cm="1">
        <f t="array" ref="B100:B111">TRANSPOSE(TUS_Worksheet!C$25:N$25)</f>
        <v/>
      </c>
      <c r="C100" s="427">
        <v>29</v>
      </c>
      <c r="D100" s="428" t="str">
        <v/>
      </c>
      <c r="E100" s="428"/>
      <c r="F100" s="428"/>
      <c r="G100" s="428"/>
      <c r="H100" s="428"/>
      <c r="I100" s="428"/>
      <c r="J100" s="428"/>
      <c r="K100" s="428"/>
      <c r="L100" s="428"/>
      <c r="M100" s="428"/>
      <c r="N100" s="429" t="e">
        <f ca="1">IF(Access_Data!AP$27="",0,Access_Data!AP$27)</f>
        <v>#REF!</v>
      </c>
      <c r="O100" s="429" t="e">
        <f ca="1">IF(Access_Data!$AP$29="",0,Access_Data!$AP$29)</f>
        <v>#REF!</v>
      </c>
      <c r="P100" s="429">
        <f ca="1">IF(ISERROR(Access_Data!$AP$31),0,Access_Data!$AP$31)</f>
        <v>0</v>
      </c>
      <c r="Q100" s="428"/>
      <c r="R100" s="352"/>
      <c r="S100" s="352"/>
    </row>
    <row r="101" spans="1:19" x14ac:dyDescent="0.2">
      <c r="A101" s="425"/>
      <c r="B101" s="426" t="str">
        <v/>
      </c>
      <c r="C101" s="427">
        <v>30</v>
      </c>
      <c r="D101" s="428" t="str">
        <v/>
      </c>
      <c r="E101" s="428"/>
      <c r="F101" s="428"/>
      <c r="G101" s="428"/>
      <c r="H101" s="428"/>
      <c r="I101" s="428"/>
      <c r="J101" s="428"/>
      <c r="K101" s="428"/>
      <c r="L101" s="428"/>
      <c r="M101" s="428"/>
      <c r="N101" s="429">
        <f ca="1">IF(Access_Data!AQ$27="",0,Access_Data!AQ$27)</f>
        <v>0</v>
      </c>
      <c r="O101" s="429">
        <f ca="1">IF(Access_Data!$AQ$29="",0,Access_Data!$AQ$29)</f>
        <v>0</v>
      </c>
      <c r="P101" s="429">
        <f ca="1">IF(ISERROR(Access_Data!$AQ$31),0,Access_Data!$AQ$31)</f>
        <v>0</v>
      </c>
      <c r="Q101" s="428"/>
      <c r="R101" s="352"/>
      <c r="S101" s="352"/>
    </row>
    <row r="102" spans="1:19" x14ac:dyDescent="0.2">
      <c r="A102" s="425"/>
      <c r="B102" s="426" t="str">
        <v/>
      </c>
      <c r="C102" s="427">
        <v>31</v>
      </c>
      <c r="D102" s="428" t="str">
        <v/>
      </c>
      <c r="E102" s="428"/>
      <c r="F102" s="428"/>
      <c r="G102" s="428"/>
      <c r="H102" s="428"/>
      <c r="I102" s="428"/>
      <c r="J102" s="428"/>
      <c r="K102" s="428"/>
      <c r="L102" s="428"/>
      <c r="M102" s="428"/>
      <c r="N102" s="429">
        <f ca="1">IF(Access_Data!AR$27="",0,Access_Data!AR$27)</f>
        <v>0</v>
      </c>
      <c r="O102" s="429">
        <f ca="1">IF(Access_Data!$AR$29="",0,Access_Data!$AR$29)</f>
        <v>0</v>
      </c>
      <c r="P102" s="429">
        <f ca="1">IF(ISERROR(Access_Data!$AR$31),0,Access_Data!$AR$31)</f>
        <v>0</v>
      </c>
      <c r="Q102" s="428"/>
      <c r="R102" s="352"/>
      <c r="S102" s="352"/>
    </row>
    <row r="103" spans="1:19" x14ac:dyDescent="0.2">
      <c r="A103" s="425"/>
      <c r="B103" s="426" t="str">
        <v/>
      </c>
      <c r="C103" s="427">
        <v>32</v>
      </c>
      <c r="D103" s="428" t="str">
        <v/>
      </c>
      <c r="E103" s="428"/>
      <c r="F103" s="428"/>
      <c r="G103" s="428"/>
      <c r="H103" s="428"/>
      <c r="I103" s="428"/>
      <c r="J103" s="428"/>
      <c r="K103" s="428"/>
      <c r="L103" s="428"/>
      <c r="M103" s="428"/>
      <c r="N103" s="429">
        <f ca="1">IF(Access_Data!AS$27="",0,Access_Data!AS$27)</f>
        <v>0</v>
      </c>
      <c r="O103" s="429">
        <f ca="1">IF(Access_Data!$AS$29="",0,Access_Data!$AS$29)</f>
        <v>0</v>
      </c>
      <c r="P103" s="429">
        <f ca="1">IF(ISERROR(Access_Data!$AS$31),0,Access_Data!$AS$31)</f>
        <v>0</v>
      </c>
      <c r="Q103" s="428"/>
      <c r="R103" s="352"/>
      <c r="S103" s="352"/>
    </row>
    <row r="104" spans="1:19" x14ac:dyDescent="0.2">
      <c r="A104" s="425"/>
      <c r="B104" s="426" t="str">
        <v/>
      </c>
      <c r="C104" s="427">
        <v>33</v>
      </c>
      <c r="D104" s="428" t="str">
        <v/>
      </c>
      <c r="E104" s="428"/>
      <c r="F104" s="428"/>
      <c r="G104" s="428"/>
      <c r="H104" s="428"/>
      <c r="I104" s="428"/>
      <c r="J104" s="428"/>
      <c r="K104" s="428"/>
      <c r="L104" s="428"/>
      <c r="M104" s="428"/>
      <c r="N104" s="429">
        <f ca="1">IF(Access_Data!AT$27="",0,Access_Data!AT$27)</f>
        <v>0</v>
      </c>
      <c r="O104" s="429">
        <f ca="1">IF(Access_Data!$AT$29="",0,Access_Data!$AT$29)</f>
        <v>0</v>
      </c>
      <c r="P104" s="429">
        <f ca="1">IF(ISERROR(Access_Data!$AT$31),0,Access_Data!$AT$31)</f>
        <v>0</v>
      </c>
      <c r="Q104" s="428"/>
      <c r="R104" s="352"/>
      <c r="S104" s="352"/>
    </row>
    <row r="105" spans="1:19" x14ac:dyDescent="0.2">
      <c r="A105" s="425"/>
      <c r="B105" s="426" t="str">
        <v/>
      </c>
      <c r="C105" s="427">
        <v>34</v>
      </c>
      <c r="D105" s="428" t="str">
        <v/>
      </c>
      <c r="E105" s="428"/>
      <c r="F105" s="428"/>
      <c r="G105" s="428"/>
      <c r="H105" s="428"/>
      <c r="I105" s="428"/>
      <c r="J105" s="428"/>
      <c r="K105" s="428"/>
      <c r="L105" s="428"/>
      <c r="M105" s="428"/>
      <c r="N105" s="429">
        <f ca="1">IF(Access_Data!AU$27="",0,Access_Data!AU$27)</f>
        <v>0</v>
      </c>
      <c r="O105" s="429">
        <f ca="1">IF(Access_Data!$AU$29="",0,Access_Data!$AU$29)</f>
        <v>0</v>
      </c>
      <c r="P105" s="429">
        <f ca="1">IF(ISERROR(Access_Data!$AU$31),0,Access_Data!$AU$31)</f>
        <v>0</v>
      </c>
      <c r="Q105" s="428"/>
      <c r="R105" s="352"/>
      <c r="S105" s="352"/>
    </row>
    <row r="106" spans="1:19" x14ac:dyDescent="0.2">
      <c r="A106" s="425"/>
      <c r="B106" s="426" t="str">
        <v/>
      </c>
      <c r="C106" s="427">
        <v>35</v>
      </c>
      <c r="D106" s="428" t="str">
        <v/>
      </c>
      <c r="E106" s="428"/>
      <c r="F106" s="428"/>
      <c r="G106" s="428"/>
      <c r="H106" s="428"/>
      <c r="I106" s="428"/>
      <c r="J106" s="428"/>
      <c r="K106" s="428"/>
      <c r="L106" s="428"/>
      <c r="M106" s="428"/>
      <c r="N106" s="429">
        <f ca="1">IF(Access_Data!AV$27="",0,Access_Data!AV$27)</f>
        <v>0</v>
      </c>
      <c r="O106" s="429">
        <f ca="1">IF(Access_Data!$AV$29="",0,Access_Data!$AV$29)</f>
        <v>0</v>
      </c>
      <c r="P106" s="429">
        <f ca="1">IF(ISERROR(Access_Data!$AV$31),0,Access_Data!$AV$31)</f>
        <v>0</v>
      </c>
      <c r="Q106" s="428"/>
      <c r="R106" s="352"/>
      <c r="S106" s="352"/>
    </row>
    <row r="107" spans="1:19" x14ac:dyDescent="0.2">
      <c r="A107" s="425"/>
      <c r="B107" s="426" t="str">
        <v/>
      </c>
      <c r="C107" s="427">
        <v>36</v>
      </c>
      <c r="D107" s="428" t="str">
        <v/>
      </c>
      <c r="E107" s="428"/>
      <c r="F107" s="428"/>
      <c r="G107" s="428"/>
      <c r="H107" s="428"/>
      <c r="I107" s="428"/>
      <c r="J107" s="428"/>
      <c r="K107" s="428"/>
      <c r="L107" s="428"/>
      <c r="M107" s="428"/>
      <c r="N107" s="429">
        <f ca="1">IF(Access_Data!AW$27="",0,Access_Data!AW$27)</f>
        <v>0</v>
      </c>
      <c r="O107" s="429">
        <f ca="1">IF(Access_Data!$AW$29="",0,Access_Data!$AW$29)</f>
        <v>0</v>
      </c>
      <c r="P107" s="429">
        <f ca="1">IF(ISERROR(Access_Data!$AW$31),0,Access_Data!$AW$31)</f>
        <v>0</v>
      </c>
      <c r="Q107" s="428"/>
      <c r="R107" s="352"/>
      <c r="S107" s="352"/>
    </row>
    <row r="108" spans="1:19" x14ac:dyDescent="0.2">
      <c r="A108" s="425"/>
      <c r="B108" s="426" t="str">
        <v/>
      </c>
      <c r="C108" s="427">
        <v>37</v>
      </c>
      <c r="D108" s="428" t="str">
        <v/>
      </c>
      <c r="E108" s="428"/>
      <c r="F108" s="428"/>
      <c r="G108" s="428"/>
      <c r="H108" s="428"/>
      <c r="I108" s="428"/>
      <c r="J108" s="428"/>
      <c r="K108" s="428"/>
      <c r="L108" s="428"/>
      <c r="M108" s="428"/>
      <c r="N108" s="429">
        <f ca="1">IF(Access_Data!AX$27="",0,Access_Data!AX$27)</f>
        <v>0</v>
      </c>
      <c r="O108" s="429">
        <f ca="1">IF(Access_Data!$AX$29="",0,Access_Data!$AX$29)</f>
        <v>0</v>
      </c>
      <c r="P108" s="429">
        <f ca="1">IF(ISERROR(Access_Data!$AX$31),0,Access_Data!$AX$31)</f>
        <v>0</v>
      </c>
      <c r="Q108" s="428"/>
      <c r="R108" s="352"/>
      <c r="S108" s="352"/>
    </row>
    <row r="109" spans="1:19" x14ac:dyDescent="0.2">
      <c r="A109" s="425"/>
      <c r="B109" s="426" t="str">
        <v/>
      </c>
      <c r="C109" s="427">
        <v>38</v>
      </c>
      <c r="D109" s="428" t="str">
        <v/>
      </c>
      <c r="E109" s="428"/>
      <c r="F109" s="428"/>
      <c r="G109" s="428"/>
      <c r="H109" s="428"/>
      <c r="I109" s="428"/>
      <c r="J109" s="428"/>
      <c r="K109" s="428"/>
      <c r="L109" s="428"/>
      <c r="M109" s="428"/>
      <c r="N109" s="429">
        <f ca="1">IF(Access_Data!AY$27="",0,Access_Data!AY$27)</f>
        <v>0</v>
      </c>
      <c r="O109" s="429">
        <f ca="1">IF(Access_Data!$AY$29="",0,Access_Data!$AY$29)</f>
        <v>0</v>
      </c>
      <c r="P109" s="429">
        <f ca="1">IF(ISERROR(Access_Data!$AY$31),0,Access_Data!$AY$31)</f>
        <v>0</v>
      </c>
      <c r="Q109" s="428"/>
      <c r="R109" s="352"/>
      <c r="S109" s="352"/>
    </row>
    <row r="110" spans="1:19" x14ac:dyDescent="0.2">
      <c r="A110" s="425"/>
      <c r="B110" s="426" t="str">
        <v/>
      </c>
      <c r="C110" s="427">
        <v>39</v>
      </c>
      <c r="D110" s="428" t="str">
        <v/>
      </c>
      <c r="E110" s="428"/>
      <c r="F110" s="428"/>
      <c r="G110" s="428"/>
      <c r="H110" s="428"/>
      <c r="I110" s="428"/>
      <c r="J110" s="428"/>
      <c r="K110" s="428"/>
      <c r="L110" s="428"/>
      <c r="M110" s="428"/>
      <c r="N110" s="429">
        <f ca="1">IF(Access_Data!AZ$27="",0,Access_Data!AZ$27)</f>
        <v>0</v>
      </c>
      <c r="O110" s="429">
        <f ca="1">IF(Access_Data!$AZ$29="",0,Access_Data!$AZ$29)</f>
        <v>0</v>
      </c>
      <c r="P110" s="429">
        <f ca="1">IF(ISERROR(Access_Data!$AZ$31),0,Access_Data!$AZ$31)</f>
        <v>0</v>
      </c>
      <c r="Q110" s="428"/>
      <c r="R110" s="352"/>
      <c r="S110" s="352"/>
    </row>
    <row r="111" spans="1:19" x14ac:dyDescent="0.2">
      <c r="A111" s="425"/>
      <c r="B111" s="426" t="str">
        <v/>
      </c>
      <c r="C111" s="427">
        <v>40</v>
      </c>
      <c r="D111" s="428" t="str">
        <v/>
      </c>
      <c r="E111" s="428"/>
      <c r="F111" s="428"/>
      <c r="G111" s="428"/>
      <c r="H111" s="428"/>
      <c r="I111" s="428"/>
      <c r="J111" s="428"/>
      <c r="K111" s="428"/>
      <c r="L111" s="428"/>
      <c r="M111" s="428"/>
      <c r="N111" s="429">
        <f ca="1">IF(Access_Data!BA$27="",0,Access_Data!BA$27)</f>
        <v>0</v>
      </c>
      <c r="O111" s="429">
        <f ca="1">IF(Access_Data!$BA$29="",0,Access_Data!$BA$29)</f>
        <v>0</v>
      </c>
      <c r="P111" s="429">
        <f ca="1">IF(ISERROR(Access_Data!$BA$31),0,Access_Data!$BA$31)</f>
        <v>0</v>
      </c>
      <c r="Q111" s="428"/>
      <c r="R111" s="352"/>
      <c r="S111" s="352"/>
    </row>
    <row r="112" spans="1:19" x14ac:dyDescent="0.2">
      <c r="A112" s="425"/>
      <c r="B112" s="426"/>
      <c r="C112" s="427"/>
      <c r="D112" s="428"/>
      <c r="E112" s="428"/>
      <c r="F112" s="428"/>
      <c r="G112" s="428"/>
      <c r="H112" s="428"/>
      <c r="I112" s="428"/>
      <c r="J112" s="428"/>
      <c r="K112" s="428"/>
      <c r="L112" s="428"/>
      <c r="M112" s="428"/>
      <c r="N112" s="444"/>
      <c r="O112" s="444"/>
      <c r="P112" s="444"/>
      <c r="Q112" s="428"/>
      <c r="R112" s="352"/>
      <c r="S112" s="352"/>
    </row>
    <row r="113" spans="1:19" x14ac:dyDescent="0.2">
      <c r="A113" s="425"/>
      <c r="B113" s="426"/>
      <c r="C113" s="427"/>
      <c r="D113" s="428"/>
      <c r="E113" s="428"/>
      <c r="F113" s="428"/>
      <c r="G113" s="428"/>
      <c r="H113" s="428"/>
      <c r="I113" s="428"/>
      <c r="J113" s="428"/>
      <c r="K113" s="428"/>
      <c r="L113" s="428"/>
      <c r="M113" s="428"/>
      <c r="N113" s="444"/>
      <c r="O113" s="444"/>
      <c r="P113" s="444"/>
      <c r="Q113" s="428"/>
      <c r="R113" s="352"/>
      <c r="S113" s="352"/>
    </row>
    <row r="114" spans="1:19" x14ac:dyDescent="0.2">
      <c r="A114" s="425"/>
      <c r="B114" s="426"/>
      <c r="C114" s="427"/>
      <c r="D114" s="428"/>
      <c r="E114" s="428"/>
      <c r="F114" s="428"/>
      <c r="G114" s="428"/>
      <c r="H114" s="428"/>
      <c r="I114" s="428"/>
      <c r="J114" s="428"/>
      <c r="K114" s="428"/>
      <c r="L114" s="428"/>
      <c r="M114" s="428"/>
      <c r="N114" s="444"/>
      <c r="O114" s="444"/>
      <c r="P114" s="444"/>
      <c r="Q114" s="428"/>
      <c r="R114" s="352"/>
      <c r="S114" s="352"/>
    </row>
    <row r="115" spans="1:19" x14ac:dyDescent="0.2">
      <c r="A115" s="425"/>
      <c r="B115" s="426"/>
      <c r="C115" s="427"/>
      <c r="D115" s="428"/>
      <c r="E115" s="428"/>
      <c r="F115" s="428"/>
      <c r="G115" s="428"/>
      <c r="H115" s="428"/>
      <c r="I115" s="428"/>
      <c r="J115" s="428"/>
      <c r="K115" s="428"/>
      <c r="L115" s="428"/>
      <c r="M115" s="428"/>
      <c r="N115" s="444"/>
      <c r="O115" s="444"/>
      <c r="P115" s="444"/>
      <c r="Q115" s="428"/>
      <c r="R115" s="352"/>
      <c r="S115" s="352"/>
    </row>
    <row r="116" spans="1:19" x14ac:dyDescent="0.2">
      <c r="A116" s="425"/>
      <c r="B116" s="426"/>
      <c r="C116" s="427"/>
      <c r="D116" s="428"/>
      <c r="E116" s="428"/>
      <c r="F116" s="428"/>
      <c r="G116" s="428"/>
      <c r="H116" s="428"/>
      <c r="I116" s="428"/>
      <c r="J116" s="428"/>
      <c r="K116" s="428"/>
      <c r="L116" s="428"/>
      <c r="M116" s="428"/>
      <c r="N116" s="428"/>
      <c r="O116" s="428"/>
      <c r="P116" s="428"/>
      <c r="Q116" s="428"/>
      <c r="R116" s="352"/>
      <c r="S116" s="352"/>
    </row>
    <row r="117" spans="1:19" x14ac:dyDescent="0.2">
      <c r="A117" s="445"/>
      <c r="B117" s="446"/>
      <c r="C117" s="447"/>
      <c r="D117" s="354"/>
      <c r="E117" s="354"/>
      <c r="F117" s="354"/>
      <c r="G117" s="354"/>
      <c r="H117" s="354"/>
      <c r="I117" s="354"/>
      <c r="J117" s="352"/>
      <c r="K117" s="352"/>
      <c r="L117" s="352"/>
      <c r="M117" s="352"/>
      <c r="N117" s="352"/>
      <c r="O117" s="352"/>
      <c r="P117" s="352"/>
      <c r="Q117" s="352"/>
      <c r="R117" s="352"/>
      <c r="S117" s="352"/>
    </row>
    <row r="118" spans="1:19" x14ac:dyDescent="0.2">
      <c r="A118" s="445"/>
      <c r="B118" s="446"/>
      <c r="C118" s="447"/>
      <c r="D118" s="354"/>
      <c r="E118" s="354"/>
      <c r="F118" s="354"/>
      <c r="G118" s="354"/>
      <c r="H118" s="354"/>
      <c r="I118" s="354"/>
      <c r="J118" s="352"/>
      <c r="K118" s="352"/>
      <c r="L118" s="352"/>
      <c r="M118" s="352"/>
      <c r="N118" s="352"/>
      <c r="O118" s="352"/>
      <c r="P118" s="352"/>
      <c r="Q118" s="352"/>
      <c r="R118" s="352"/>
      <c r="S118" s="352"/>
    </row>
    <row r="119" spans="1:19" x14ac:dyDescent="0.2">
      <c r="A119" s="445"/>
      <c r="B119" s="446"/>
      <c r="C119" s="447"/>
      <c r="D119" s="354"/>
      <c r="E119" s="354"/>
      <c r="F119" s="354"/>
      <c r="G119" s="354"/>
      <c r="H119" s="354"/>
      <c r="I119" s="354"/>
      <c r="J119" s="352"/>
      <c r="K119" s="352"/>
      <c r="L119" s="352"/>
      <c r="M119" s="352"/>
      <c r="N119" s="352"/>
      <c r="O119" s="352"/>
      <c r="P119" s="352"/>
      <c r="Q119" s="352"/>
      <c r="R119" s="352"/>
      <c r="S119" s="352"/>
    </row>
  </sheetData>
  <sheetProtection algorithmName="SHA-512" hashValue="0S7CawM+RX0KHRRSygGmgzIqxpFq26ni1bVO+oz6FZtJldYXVwpwTqTBWUsfnS1ATw6pmzXoePIFAusVsWXpKQ==" saltValue="REl9f5jeyMHp3f2Jcc9h4w==" spinCount="100000" sheet="1" objects="1" scenarios="1" selectLockedCells="1" autoFilter="0"/>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435</v>
      </c>
      <c r="B1" t="s">
        <v>576</v>
      </c>
      <c r="C1" t="s">
        <v>577</v>
      </c>
      <c r="D1" t="s">
        <v>578</v>
      </c>
      <c r="E1" t="s">
        <v>579</v>
      </c>
      <c r="F1" t="s">
        <v>574</v>
      </c>
      <c r="G1" t="s">
        <v>564</v>
      </c>
      <c r="H1" t="s">
        <v>545</v>
      </c>
      <c r="I1" t="s">
        <v>565</v>
      </c>
      <c r="J1" t="s">
        <v>550</v>
      </c>
      <c r="K1" t="s">
        <v>551</v>
      </c>
      <c r="L1" t="s">
        <v>552</v>
      </c>
      <c r="M1" t="s">
        <v>566</v>
      </c>
      <c r="N1" t="s">
        <v>433</v>
      </c>
      <c r="O1" t="s">
        <v>434</v>
      </c>
      <c r="P1" t="s">
        <v>436</v>
      </c>
      <c r="Q1" t="s">
        <v>554</v>
      </c>
      <c r="R1" t="s">
        <v>555</v>
      </c>
      <c r="S1" t="s">
        <v>556</v>
      </c>
      <c r="T1" t="s">
        <v>553</v>
      </c>
      <c r="U1" t="s">
        <v>567</v>
      </c>
      <c r="V1" t="s">
        <v>568</v>
      </c>
      <c r="W1" t="s">
        <v>557</v>
      </c>
      <c r="X1" t="s">
        <v>558</v>
      </c>
      <c r="Y1" t="s">
        <v>559</v>
      </c>
      <c r="Z1" t="s">
        <v>546</v>
      </c>
      <c r="AA1" t="s">
        <v>547</v>
      </c>
      <c r="AB1" t="s">
        <v>548</v>
      </c>
      <c r="AC1" t="s">
        <v>549</v>
      </c>
      <c r="AD1" t="s">
        <v>437</v>
      </c>
      <c r="AE1" t="s">
        <v>438</v>
      </c>
      <c r="AF1" t="s">
        <v>562</v>
      </c>
      <c r="AG1" t="s">
        <v>563</v>
      </c>
      <c r="AH1" t="s">
        <v>560</v>
      </c>
      <c r="AI1" t="s">
        <v>561</v>
      </c>
      <c r="AJ1" t="s">
        <v>575</v>
      </c>
      <c r="AK1" t="s">
        <v>580</v>
      </c>
      <c r="AL1" t="s">
        <v>581</v>
      </c>
    </row>
    <row r="2" spans="1:38" x14ac:dyDescent="0.2">
      <c r="A2">
        <v>1235344</v>
      </c>
      <c r="B2">
        <v>6864835</v>
      </c>
      <c r="C2">
        <v>7653243</v>
      </c>
      <c r="E2" t="b">
        <v>0</v>
      </c>
      <c r="G2" t="s">
        <v>604</v>
      </c>
      <c r="I2" t="s">
        <v>605</v>
      </c>
      <c r="J2" t="s">
        <v>569</v>
      </c>
      <c r="K2" t="s">
        <v>569</v>
      </c>
      <c r="L2" t="s">
        <v>569</v>
      </c>
      <c r="M2" t="s">
        <v>606</v>
      </c>
      <c r="N2" t="s">
        <v>439</v>
      </c>
      <c r="O2" t="s">
        <v>352</v>
      </c>
      <c r="P2" t="s">
        <v>132</v>
      </c>
      <c r="V2" t="s">
        <v>607</v>
      </c>
      <c r="Y2" t="s">
        <v>608</v>
      </c>
      <c r="AD2" t="s">
        <v>351</v>
      </c>
      <c r="AE2" t="s">
        <v>440</v>
      </c>
      <c r="AJ2" t="s">
        <v>609</v>
      </c>
      <c r="AK2" t="s">
        <v>610</v>
      </c>
      <c r="AL2" t="s">
        <v>611</v>
      </c>
    </row>
    <row r="3" spans="1:38" x14ac:dyDescent="0.2">
      <c r="A3">
        <v>1235555</v>
      </c>
      <c r="B3">
        <v>8036587</v>
      </c>
      <c r="C3">
        <v>7589603</v>
      </c>
      <c r="E3" t="b">
        <v>0</v>
      </c>
      <c r="F3">
        <v>72040</v>
      </c>
      <c r="G3" t="s">
        <v>612</v>
      </c>
      <c r="H3">
        <v>1</v>
      </c>
      <c r="I3" t="s">
        <v>613</v>
      </c>
      <c r="J3" t="s">
        <v>570</v>
      </c>
      <c r="K3" t="s">
        <v>569</v>
      </c>
      <c r="L3" t="s">
        <v>571</v>
      </c>
      <c r="M3" t="s">
        <v>614</v>
      </c>
      <c r="N3" t="s">
        <v>483</v>
      </c>
      <c r="O3" t="s">
        <v>244</v>
      </c>
      <c r="P3" t="s">
        <v>461</v>
      </c>
      <c r="S3" t="s">
        <v>615</v>
      </c>
      <c r="U3" t="s">
        <v>616</v>
      </c>
      <c r="V3" t="s">
        <v>617</v>
      </c>
      <c r="W3" t="s">
        <v>478</v>
      </c>
      <c r="X3" t="s">
        <v>572</v>
      </c>
      <c r="Y3" t="s">
        <v>618</v>
      </c>
      <c r="Z3" t="s">
        <v>584</v>
      </c>
      <c r="AB3" t="s">
        <v>610</v>
      </c>
      <c r="AD3" t="s">
        <v>573</v>
      </c>
      <c r="AE3" t="s">
        <v>573</v>
      </c>
      <c r="AF3">
        <v>0</v>
      </c>
      <c r="AG3">
        <v>0</v>
      </c>
      <c r="AH3">
        <v>46</v>
      </c>
      <c r="AI3">
        <v>0</v>
      </c>
      <c r="AJ3" t="s">
        <v>586</v>
      </c>
      <c r="AK3" t="s">
        <v>610</v>
      </c>
      <c r="AL3" t="s">
        <v>619</v>
      </c>
    </row>
    <row r="4" spans="1:38" x14ac:dyDescent="0.2">
      <c r="A4">
        <v>1235388</v>
      </c>
      <c r="B4">
        <v>7537859</v>
      </c>
      <c r="C4">
        <v>187510</v>
      </c>
      <c r="E4" t="b">
        <v>0</v>
      </c>
      <c r="F4">
        <v>62285</v>
      </c>
      <c r="G4" t="s">
        <v>620</v>
      </c>
      <c r="H4">
        <v>1</v>
      </c>
      <c r="I4" t="s">
        <v>621</v>
      </c>
      <c r="J4" t="s">
        <v>570</v>
      </c>
      <c r="K4" t="s">
        <v>569</v>
      </c>
      <c r="L4" t="s">
        <v>571</v>
      </c>
      <c r="M4" t="s">
        <v>622</v>
      </c>
      <c r="N4" t="s">
        <v>443</v>
      </c>
      <c r="O4" t="s">
        <v>252</v>
      </c>
      <c r="P4" t="s">
        <v>444</v>
      </c>
      <c r="S4" t="s">
        <v>623</v>
      </c>
      <c r="U4" t="s">
        <v>624</v>
      </c>
      <c r="V4" t="s">
        <v>625</v>
      </c>
      <c r="W4" t="s">
        <v>626</v>
      </c>
      <c r="X4" t="s">
        <v>572</v>
      </c>
      <c r="Y4" t="s">
        <v>618</v>
      </c>
      <c r="Z4" t="s">
        <v>584</v>
      </c>
      <c r="AA4" t="s">
        <v>34</v>
      </c>
      <c r="AB4" t="s">
        <v>627</v>
      </c>
      <c r="AD4" t="s">
        <v>251</v>
      </c>
      <c r="AE4" t="s">
        <v>445</v>
      </c>
      <c r="AF4">
        <v>0</v>
      </c>
      <c r="AG4">
        <v>0</v>
      </c>
      <c r="AH4">
        <v>70</v>
      </c>
      <c r="AI4">
        <v>0</v>
      </c>
      <c r="AJ4" t="s">
        <v>586</v>
      </c>
      <c r="AK4" t="s">
        <v>627</v>
      </c>
      <c r="AL4" t="s">
        <v>587</v>
      </c>
    </row>
    <row r="5" spans="1:38" x14ac:dyDescent="0.2">
      <c r="A5">
        <v>1235682</v>
      </c>
      <c r="B5">
        <v>7943647</v>
      </c>
      <c r="C5">
        <v>187508</v>
      </c>
      <c r="E5" t="b">
        <v>0</v>
      </c>
      <c r="F5">
        <v>69999</v>
      </c>
      <c r="G5" t="s">
        <v>628</v>
      </c>
      <c r="H5">
        <v>1</v>
      </c>
      <c r="I5" t="s">
        <v>629</v>
      </c>
      <c r="J5" t="s">
        <v>570</v>
      </c>
      <c r="K5" t="s">
        <v>571</v>
      </c>
      <c r="L5" t="s">
        <v>571</v>
      </c>
      <c r="M5" t="s">
        <v>630</v>
      </c>
      <c r="N5" t="s">
        <v>512</v>
      </c>
      <c r="O5" t="s">
        <v>59</v>
      </c>
      <c r="S5" t="s">
        <v>582</v>
      </c>
      <c r="U5" t="s">
        <v>631</v>
      </c>
      <c r="V5" t="s">
        <v>632</v>
      </c>
      <c r="W5" t="s">
        <v>478</v>
      </c>
      <c r="X5" t="s">
        <v>572</v>
      </c>
      <c r="Y5" t="s">
        <v>583</v>
      </c>
      <c r="Z5" t="s">
        <v>584</v>
      </c>
      <c r="AA5" t="s">
        <v>34</v>
      </c>
      <c r="AB5" t="s">
        <v>585</v>
      </c>
      <c r="AD5" t="s">
        <v>513</v>
      </c>
      <c r="AE5" t="s">
        <v>458</v>
      </c>
      <c r="AF5">
        <v>0</v>
      </c>
      <c r="AG5">
        <v>0</v>
      </c>
      <c r="AH5">
        <v>392.75</v>
      </c>
      <c r="AI5">
        <v>0</v>
      </c>
      <c r="AJ5" t="s">
        <v>586</v>
      </c>
      <c r="AK5" t="s">
        <v>585</v>
      </c>
      <c r="AL5" t="s">
        <v>587</v>
      </c>
    </row>
    <row r="6" spans="1:38" x14ac:dyDescent="0.2">
      <c r="A6">
        <v>1235426</v>
      </c>
      <c r="B6">
        <v>8035840</v>
      </c>
      <c r="C6">
        <v>187508</v>
      </c>
      <c r="E6" t="b">
        <v>0</v>
      </c>
      <c r="F6">
        <v>72024</v>
      </c>
      <c r="G6" t="s">
        <v>591</v>
      </c>
      <c r="H6">
        <v>1</v>
      </c>
      <c r="I6" t="s">
        <v>592</v>
      </c>
      <c r="J6" t="s">
        <v>570</v>
      </c>
      <c r="K6" t="s">
        <v>571</v>
      </c>
      <c r="L6" t="s">
        <v>571</v>
      </c>
      <c r="M6" t="s">
        <v>633</v>
      </c>
      <c r="N6" t="s">
        <v>456</v>
      </c>
      <c r="O6" t="s">
        <v>70</v>
      </c>
      <c r="S6" t="s">
        <v>582</v>
      </c>
      <c r="U6" t="s">
        <v>634</v>
      </c>
      <c r="V6" t="s">
        <v>635</v>
      </c>
      <c r="W6" t="s">
        <v>478</v>
      </c>
      <c r="X6" t="s">
        <v>572</v>
      </c>
      <c r="Y6" t="s">
        <v>583</v>
      </c>
      <c r="Z6" t="s">
        <v>584</v>
      </c>
      <c r="AA6" t="s">
        <v>34</v>
      </c>
      <c r="AB6" t="s">
        <v>585</v>
      </c>
      <c r="AD6" t="s">
        <v>457</v>
      </c>
      <c r="AE6" t="s">
        <v>458</v>
      </c>
      <c r="AF6">
        <v>0</v>
      </c>
      <c r="AG6">
        <v>0</v>
      </c>
      <c r="AH6">
        <v>392.75</v>
      </c>
      <c r="AI6">
        <v>0</v>
      </c>
      <c r="AJ6" t="s">
        <v>586</v>
      </c>
      <c r="AK6" t="s">
        <v>585</v>
      </c>
      <c r="AL6" t="s">
        <v>587</v>
      </c>
    </row>
    <row r="7" spans="1:38" x14ac:dyDescent="0.2">
      <c r="A7">
        <v>1235686</v>
      </c>
      <c r="B7">
        <v>8143520</v>
      </c>
      <c r="C7">
        <v>187508</v>
      </c>
      <c r="E7" t="b">
        <v>0</v>
      </c>
      <c r="F7">
        <v>73531</v>
      </c>
      <c r="G7" t="s">
        <v>589</v>
      </c>
      <c r="H7">
        <v>1</v>
      </c>
      <c r="I7" t="s">
        <v>590</v>
      </c>
      <c r="J7" t="s">
        <v>570</v>
      </c>
      <c r="K7" t="s">
        <v>571</v>
      </c>
      <c r="L7" t="s">
        <v>571</v>
      </c>
      <c r="M7" t="s">
        <v>636</v>
      </c>
      <c r="N7" t="s">
        <v>514</v>
      </c>
      <c r="O7" t="s">
        <v>71</v>
      </c>
      <c r="S7" t="s">
        <v>582</v>
      </c>
      <c r="U7" t="s">
        <v>637</v>
      </c>
      <c r="V7" t="s">
        <v>638</v>
      </c>
      <c r="W7" t="s">
        <v>478</v>
      </c>
      <c r="X7" t="s">
        <v>572</v>
      </c>
      <c r="Y7" t="s">
        <v>583</v>
      </c>
      <c r="Z7" t="s">
        <v>584</v>
      </c>
      <c r="AA7" t="s">
        <v>34</v>
      </c>
      <c r="AB7" t="s">
        <v>585</v>
      </c>
      <c r="AD7" t="s">
        <v>515</v>
      </c>
      <c r="AE7" t="s">
        <v>516</v>
      </c>
      <c r="AF7">
        <v>0</v>
      </c>
      <c r="AG7">
        <v>0</v>
      </c>
      <c r="AH7">
        <v>392.75</v>
      </c>
      <c r="AI7">
        <v>0</v>
      </c>
      <c r="AJ7" t="s">
        <v>586</v>
      </c>
      <c r="AK7" t="s">
        <v>585</v>
      </c>
      <c r="AL7" t="s">
        <v>587</v>
      </c>
    </row>
    <row r="8" spans="1:38" x14ac:dyDescent="0.2">
      <c r="A8">
        <v>1235630</v>
      </c>
      <c r="B8">
        <v>7925909</v>
      </c>
      <c r="C8">
        <v>187508</v>
      </c>
      <c r="E8" t="b">
        <v>0</v>
      </c>
      <c r="F8">
        <v>69663</v>
      </c>
      <c r="G8" t="s">
        <v>639</v>
      </c>
      <c r="H8">
        <v>1</v>
      </c>
      <c r="I8" t="s">
        <v>640</v>
      </c>
      <c r="J8" t="s">
        <v>570</v>
      </c>
      <c r="K8" t="s">
        <v>571</v>
      </c>
      <c r="L8" t="s">
        <v>571</v>
      </c>
      <c r="M8" t="s">
        <v>641</v>
      </c>
      <c r="N8" t="s">
        <v>501</v>
      </c>
      <c r="O8" t="s">
        <v>126</v>
      </c>
      <c r="S8" t="s">
        <v>582</v>
      </c>
      <c r="U8" t="s">
        <v>642</v>
      </c>
      <c r="V8" t="s">
        <v>643</v>
      </c>
      <c r="W8" t="s">
        <v>478</v>
      </c>
      <c r="X8" t="s">
        <v>572</v>
      </c>
      <c r="Y8" t="s">
        <v>583</v>
      </c>
      <c r="Z8" t="s">
        <v>584</v>
      </c>
      <c r="AA8" t="s">
        <v>34</v>
      </c>
      <c r="AB8" t="s">
        <v>585</v>
      </c>
      <c r="AD8" t="s">
        <v>502</v>
      </c>
      <c r="AE8" t="s">
        <v>458</v>
      </c>
      <c r="AF8">
        <v>0</v>
      </c>
      <c r="AG8">
        <v>0</v>
      </c>
      <c r="AH8">
        <v>392.75</v>
      </c>
      <c r="AI8">
        <v>0</v>
      </c>
      <c r="AJ8" t="s">
        <v>586</v>
      </c>
      <c r="AK8" t="s">
        <v>585</v>
      </c>
      <c r="AL8" t="s">
        <v>587</v>
      </c>
    </row>
    <row r="9" spans="1:38" x14ac:dyDescent="0.2">
      <c r="A9">
        <v>1235561</v>
      </c>
      <c r="B9">
        <v>7925915</v>
      </c>
      <c r="C9">
        <v>187508</v>
      </c>
      <c r="E9" t="b">
        <v>0</v>
      </c>
      <c r="F9">
        <v>69665</v>
      </c>
      <c r="G9" t="s">
        <v>644</v>
      </c>
      <c r="H9">
        <v>1</v>
      </c>
      <c r="I9" t="s">
        <v>645</v>
      </c>
      <c r="J9" t="s">
        <v>570</v>
      </c>
      <c r="K9" t="s">
        <v>571</v>
      </c>
      <c r="L9" t="s">
        <v>571</v>
      </c>
      <c r="M9" t="s">
        <v>646</v>
      </c>
      <c r="N9" t="s">
        <v>484</v>
      </c>
      <c r="O9" t="s">
        <v>130</v>
      </c>
      <c r="S9" t="s">
        <v>582</v>
      </c>
      <c r="U9" t="s">
        <v>642</v>
      </c>
      <c r="V9" t="s">
        <v>647</v>
      </c>
      <c r="W9" t="s">
        <v>478</v>
      </c>
      <c r="X9" t="s">
        <v>572</v>
      </c>
      <c r="Y9" t="s">
        <v>583</v>
      </c>
      <c r="Z9" t="s">
        <v>584</v>
      </c>
      <c r="AA9" t="s">
        <v>34</v>
      </c>
      <c r="AB9" t="s">
        <v>585</v>
      </c>
      <c r="AD9" t="s">
        <v>485</v>
      </c>
      <c r="AE9" t="s">
        <v>486</v>
      </c>
      <c r="AF9">
        <v>0</v>
      </c>
      <c r="AG9">
        <v>0</v>
      </c>
      <c r="AH9">
        <v>392.75</v>
      </c>
      <c r="AI9">
        <v>0</v>
      </c>
      <c r="AJ9" t="s">
        <v>586</v>
      </c>
      <c r="AK9" t="s">
        <v>585</v>
      </c>
      <c r="AL9" t="s">
        <v>587</v>
      </c>
    </row>
    <row r="10" spans="1:38" x14ac:dyDescent="0.2">
      <c r="A10">
        <v>1235543</v>
      </c>
      <c r="B10">
        <v>8075187</v>
      </c>
      <c r="C10">
        <v>187508</v>
      </c>
      <c r="E10" t="b">
        <v>0</v>
      </c>
      <c r="F10">
        <v>72822</v>
      </c>
      <c r="G10" t="s">
        <v>648</v>
      </c>
      <c r="H10">
        <v>1</v>
      </c>
      <c r="I10" t="s">
        <v>649</v>
      </c>
      <c r="J10" t="s">
        <v>570</v>
      </c>
      <c r="K10" t="s">
        <v>571</v>
      </c>
      <c r="L10" t="s">
        <v>571</v>
      </c>
      <c r="M10" t="s">
        <v>650</v>
      </c>
      <c r="N10" t="s">
        <v>481</v>
      </c>
      <c r="O10" t="s">
        <v>129</v>
      </c>
      <c r="S10" t="s">
        <v>582</v>
      </c>
      <c r="U10" t="s">
        <v>651</v>
      </c>
      <c r="V10" t="s">
        <v>652</v>
      </c>
      <c r="W10" t="s">
        <v>478</v>
      </c>
      <c r="X10" t="s">
        <v>572</v>
      </c>
      <c r="Y10" t="s">
        <v>583</v>
      </c>
      <c r="Z10" t="s">
        <v>584</v>
      </c>
      <c r="AA10" t="s">
        <v>34</v>
      </c>
      <c r="AB10" t="s">
        <v>585</v>
      </c>
      <c r="AD10" t="s">
        <v>457</v>
      </c>
      <c r="AE10" t="s">
        <v>482</v>
      </c>
      <c r="AF10">
        <v>0</v>
      </c>
      <c r="AG10">
        <v>0</v>
      </c>
      <c r="AH10">
        <v>392.75</v>
      </c>
      <c r="AI10">
        <v>0</v>
      </c>
      <c r="AJ10" t="s">
        <v>586</v>
      </c>
      <c r="AK10" t="s">
        <v>585</v>
      </c>
      <c r="AL10" t="s">
        <v>587</v>
      </c>
    </row>
    <row r="11" spans="1:38" x14ac:dyDescent="0.2">
      <c r="A11">
        <v>1235622</v>
      </c>
      <c r="B11">
        <v>7925914</v>
      </c>
      <c r="C11">
        <v>187508</v>
      </c>
      <c r="E11" t="b">
        <v>0</v>
      </c>
      <c r="F11">
        <v>69664</v>
      </c>
      <c r="G11" t="s">
        <v>653</v>
      </c>
      <c r="H11">
        <v>1</v>
      </c>
      <c r="I11" t="s">
        <v>654</v>
      </c>
      <c r="J11" t="s">
        <v>570</v>
      </c>
      <c r="K11" t="s">
        <v>571</v>
      </c>
      <c r="L11" t="s">
        <v>571</v>
      </c>
      <c r="M11" t="s">
        <v>655</v>
      </c>
      <c r="N11" t="s">
        <v>496</v>
      </c>
      <c r="O11" t="s">
        <v>176</v>
      </c>
      <c r="S11" t="s">
        <v>582</v>
      </c>
      <c r="U11" t="s">
        <v>642</v>
      </c>
      <c r="V11" t="s">
        <v>656</v>
      </c>
      <c r="W11" t="s">
        <v>478</v>
      </c>
      <c r="X11" t="s">
        <v>572</v>
      </c>
      <c r="Y11" t="s">
        <v>583</v>
      </c>
      <c r="Z11" t="s">
        <v>584</v>
      </c>
      <c r="AA11" t="s">
        <v>34</v>
      </c>
      <c r="AB11" t="s">
        <v>585</v>
      </c>
      <c r="AD11" t="s">
        <v>497</v>
      </c>
      <c r="AE11" t="s">
        <v>498</v>
      </c>
      <c r="AF11">
        <v>0</v>
      </c>
      <c r="AG11">
        <v>0</v>
      </c>
      <c r="AH11">
        <v>392.75</v>
      </c>
      <c r="AI11">
        <v>0</v>
      </c>
      <c r="AJ11" t="s">
        <v>586</v>
      </c>
      <c r="AK11" t="s">
        <v>585</v>
      </c>
      <c r="AL11" t="s">
        <v>587</v>
      </c>
    </row>
    <row r="12" spans="1:38" x14ac:dyDescent="0.2">
      <c r="A12">
        <v>1235403</v>
      </c>
      <c r="B12">
        <v>7975239</v>
      </c>
      <c r="C12">
        <v>187508</v>
      </c>
      <c r="E12" t="b">
        <v>0</v>
      </c>
      <c r="F12">
        <v>70613</v>
      </c>
      <c r="G12" t="s">
        <v>657</v>
      </c>
      <c r="H12">
        <v>3</v>
      </c>
      <c r="I12" t="s">
        <v>658</v>
      </c>
      <c r="J12" t="s">
        <v>570</v>
      </c>
      <c r="K12" t="s">
        <v>571</v>
      </c>
      <c r="L12" t="s">
        <v>571</v>
      </c>
      <c r="M12" t="s">
        <v>659</v>
      </c>
      <c r="N12" t="s">
        <v>451</v>
      </c>
      <c r="O12" t="s">
        <v>201</v>
      </c>
      <c r="P12" t="s">
        <v>124</v>
      </c>
      <c r="S12" t="s">
        <v>660</v>
      </c>
      <c r="U12" t="s">
        <v>661</v>
      </c>
      <c r="V12" t="s">
        <v>662</v>
      </c>
      <c r="W12" t="s">
        <v>478</v>
      </c>
      <c r="X12" t="s">
        <v>572</v>
      </c>
      <c r="Y12" t="s">
        <v>583</v>
      </c>
      <c r="Z12" t="s">
        <v>584</v>
      </c>
      <c r="AA12" t="s">
        <v>34</v>
      </c>
      <c r="AB12" t="s">
        <v>585</v>
      </c>
      <c r="AD12" t="s">
        <v>200</v>
      </c>
      <c r="AE12" t="s">
        <v>452</v>
      </c>
      <c r="AF12">
        <v>0</v>
      </c>
      <c r="AG12">
        <v>0</v>
      </c>
      <c r="AH12">
        <v>418.5</v>
      </c>
      <c r="AI12">
        <v>0</v>
      </c>
      <c r="AJ12" t="s">
        <v>586</v>
      </c>
      <c r="AK12" t="s">
        <v>585</v>
      </c>
      <c r="AL12" t="s">
        <v>587</v>
      </c>
    </row>
    <row r="13" spans="1:38" x14ac:dyDescent="0.2">
      <c r="A13">
        <v>1235569</v>
      </c>
      <c r="B13">
        <v>7975237</v>
      </c>
      <c r="C13">
        <v>187508</v>
      </c>
      <c r="E13" t="b">
        <v>0</v>
      </c>
      <c r="F13">
        <v>70613</v>
      </c>
      <c r="G13" t="s">
        <v>657</v>
      </c>
      <c r="H13">
        <v>1</v>
      </c>
      <c r="I13" t="s">
        <v>663</v>
      </c>
      <c r="J13" t="s">
        <v>570</v>
      </c>
      <c r="K13" t="s">
        <v>571</v>
      </c>
      <c r="L13" t="s">
        <v>571</v>
      </c>
      <c r="M13" t="s">
        <v>664</v>
      </c>
      <c r="N13" t="s">
        <v>491</v>
      </c>
      <c r="O13" t="s">
        <v>203</v>
      </c>
      <c r="P13" t="s">
        <v>492</v>
      </c>
      <c r="S13" t="s">
        <v>660</v>
      </c>
      <c r="U13" t="s">
        <v>661</v>
      </c>
      <c r="V13" t="s">
        <v>665</v>
      </c>
      <c r="W13" t="s">
        <v>478</v>
      </c>
      <c r="X13" t="s">
        <v>572</v>
      </c>
      <c r="Y13" t="s">
        <v>583</v>
      </c>
      <c r="Z13" t="s">
        <v>584</v>
      </c>
      <c r="AA13" t="s">
        <v>34</v>
      </c>
      <c r="AB13" t="s">
        <v>585</v>
      </c>
      <c r="AD13" t="s">
        <v>202</v>
      </c>
      <c r="AE13" t="s">
        <v>452</v>
      </c>
      <c r="AF13">
        <v>0</v>
      </c>
      <c r="AG13">
        <v>0</v>
      </c>
      <c r="AH13">
        <v>418.5</v>
      </c>
      <c r="AI13">
        <v>0</v>
      </c>
      <c r="AJ13" t="s">
        <v>586</v>
      </c>
      <c r="AK13" t="s">
        <v>585</v>
      </c>
      <c r="AL13" t="s">
        <v>587</v>
      </c>
    </row>
    <row r="14" spans="1:38" x14ac:dyDescent="0.2">
      <c r="A14">
        <v>1235743</v>
      </c>
      <c r="B14">
        <v>7975241</v>
      </c>
      <c r="C14">
        <v>187508</v>
      </c>
      <c r="E14" t="b">
        <v>0</v>
      </c>
      <c r="F14">
        <v>70613</v>
      </c>
      <c r="G14" t="s">
        <v>657</v>
      </c>
      <c r="H14">
        <v>5</v>
      </c>
      <c r="I14" t="s">
        <v>666</v>
      </c>
      <c r="J14" t="s">
        <v>570</v>
      </c>
      <c r="K14" t="s">
        <v>571</v>
      </c>
      <c r="L14" t="s">
        <v>571</v>
      </c>
      <c r="M14" t="s">
        <v>667</v>
      </c>
      <c r="N14" t="s">
        <v>518</v>
      </c>
      <c r="O14" t="s">
        <v>520</v>
      </c>
      <c r="P14" t="s">
        <v>519</v>
      </c>
      <c r="S14" t="s">
        <v>660</v>
      </c>
      <c r="U14" t="s">
        <v>661</v>
      </c>
      <c r="V14" t="s">
        <v>668</v>
      </c>
      <c r="W14" t="s">
        <v>478</v>
      </c>
      <c r="X14" t="s">
        <v>572</v>
      </c>
      <c r="Y14" t="s">
        <v>583</v>
      </c>
      <c r="Z14" t="s">
        <v>584</v>
      </c>
      <c r="AA14" t="s">
        <v>34</v>
      </c>
      <c r="AB14" t="s">
        <v>585</v>
      </c>
      <c r="AD14" t="s">
        <v>521</v>
      </c>
      <c r="AE14" t="s">
        <v>452</v>
      </c>
      <c r="AF14">
        <v>0</v>
      </c>
      <c r="AG14">
        <v>0</v>
      </c>
      <c r="AH14">
        <v>418.5</v>
      </c>
      <c r="AI14">
        <v>0</v>
      </c>
      <c r="AJ14" t="s">
        <v>586</v>
      </c>
      <c r="AK14" t="s">
        <v>585</v>
      </c>
      <c r="AL14" t="s">
        <v>587</v>
      </c>
    </row>
    <row r="15" spans="1:38" x14ac:dyDescent="0.2">
      <c r="A15">
        <v>2550412</v>
      </c>
      <c r="B15">
        <v>7975245</v>
      </c>
      <c r="C15">
        <v>187508</v>
      </c>
      <c r="E15" t="b">
        <v>0</v>
      </c>
      <c r="F15">
        <v>70613</v>
      </c>
      <c r="G15" t="s">
        <v>657</v>
      </c>
      <c r="H15">
        <v>9</v>
      </c>
      <c r="I15" t="s">
        <v>669</v>
      </c>
      <c r="J15" t="s">
        <v>570</v>
      </c>
      <c r="K15" t="s">
        <v>571</v>
      </c>
      <c r="L15" t="s">
        <v>571</v>
      </c>
      <c r="M15" t="s">
        <v>670</v>
      </c>
      <c r="N15" t="s">
        <v>535</v>
      </c>
      <c r="O15" t="s">
        <v>536</v>
      </c>
      <c r="P15" t="s">
        <v>411</v>
      </c>
      <c r="S15" t="s">
        <v>660</v>
      </c>
      <c r="U15" t="s">
        <v>661</v>
      </c>
      <c r="V15" t="s">
        <v>671</v>
      </c>
      <c r="W15" t="s">
        <v>478</v>
      </c>
      <c r="X15" t="s">
        <v>572</v>
      </c>
      <c r="Y15" t="s">
        <v>583</v>
      </c>
      <c r="Z15" t="s">
        <v>584</v>
      </c>
      <c r="AA15" t="s">
        <v>34</v>
      </c>
      <c r="AB15" t="s">
        <v>585</v>
      </c>
      <c r="AD15" t="s">
        <v>537</v>
      </c>
      <c r="AE15" t="s">
        <v>538</v>
      </c>
      <c r="AF15">
        <v>0</v>
      </c>
      <c r="AG15">
        <v>0</v>
      </c>
      <c r="AH15">
        <v>418.5</v>
      </c>
      <c r="AI15">
        <v>0</v>
      </c>
      <c r="AJ15" t="s">
        <v>586</v>
      </c>
      <c r="AK15" t="s">
        <v>585</v>
      </c>
      <c r="AL15" t="s">
        <v>587</v>
      </c>
    </row>
    <row r="16" spans="1:38" x14ac:dyDescent="0.2">
      <c r="A16">
        <v>1446161</v>
      </c>
      <c r="B16">
        <v>7975243</v>
      </c>
      <c r="C16">
        <v>187508</v>
      </c>
      <c r="E16" t="b">
        <v>0</v>
      </c>
      <c r="F16">
        <v>70613</v>
      </c>
      <c r="G16" t="s">
        <v>657</v>
      </c>
      <c r="H16">
        <v>7</v>
      </c>
      <c r="I16" t="s">
        <v>672</v>
      </c>
      <c r="J16" t="s">
        <v>570</v>
      </c>
      <c r="K16" t="s">
        <v>571</v>
      </c>
      <c r="L16" t="s">
        <v>571</v>
      </c>
      <c r="M16" t="s">
        <v>673</v>
      </c>
      <c r="N16" t="s">
        <v>527</v>
      </c>
      <c r="O16" t="s">
        <v>529</v>
      </c>
      <c r="P16" t="s">
        <v>528</v>
      </c>
      <c r="S16" t="s">
        <v>660</v>
      </c>
      <c r="U16" t="s">
        <v>661</v>
      </c>
      <c r="V16" t="s">
        <v>674</v>
      </c>
      <c r="W16" t="s">
        <v>478</v>
      </c>
      <c r="X16" t="s">
        <v>572</v>
      </c>
      <c r="Y16" t="s">
        <v>583</v>
      </c>
      <c r="Z16" t="s">
        <v>584</v>
      </c>
      <c r="AA16" t="s">
        <v>34</v>
      </c>
      <c r="AB16" t="s">
        <v>585</v>
      </c>
      <c r="AD16" t="s">
        <v>530</v>
      </c>
      <c r="AE16" t="s">
        <v>452</v>
      </c>
      <c r="AF16">
        <v>0</v>
      </c>
      <c r="AG16">
        <v>0</v>
      </c>
      <c r="AH16">
        <v>418.5</v>
      </c>
      <c r="AI16">
        <v>0</v>
      </c>
      <c r="AJ16" t="s">
        <v>586</v>
      </c>
      <c r="AK16" t="s">
        <v>585</v>
      </c>
      <c r="AL16" t="s">
        <v>587</v>
      </c>
    </row>
    <row r="17" spans="1:38" x14ac:dyDescent="0.2">
      <c r="A17">
        <v>2701517</v>
      </c>
      <c r="B17">
        <v>7975246</v>
      </c>
      <c r="C17">
        <v>187508</v>
      </c>
      <c r="E17" t="b">
        <v>0</v>
      </c>
      <c r="F17">
        <v>70613</v>
      </c>
      <c r="G17" t="s">
        <v>657</v>
      </c>
      <c r="H17">
        <v>10</v>
      </c>
      <c r="I17" t="s">
        <v>675</v>
      </c>
      <c r="J17" t="s">
        <v>570</v>
      </c>
      <c r="K17" t="s">
        <v>571</v>
      </c>
      <c r="L17" t="s">
        <v>571</v>
      </c>
      <c r="M17" t="s">
        <v>676</v>
      </c>
      <c r="N17" t="s">
        <v>540</v>
      </c>
      <c r="O17" t="s">
        <v>542</v>
      </c>
      <c r="P17" t="s">
        <v>541</v>
      </c>
      <c r="S17" t="s">
        <v>660</v>
      </c>
      <c r="U17" t="s">
        <v>661</v>
      </c>
      <c r="V17" t="s">
        <v>677</v>
      </c>
      <c r="W17" t="s">
        <v>478</v>
      </c>
      <c r="X17" t="s">
        <v>572</v>
      </c>
      <c r="Y17" t="s">
        <v>583</v>
      </c>
      <c r="Z17" t="s">
        <v>584</v>
      </c>
      <c r="AA17" t="s">
        <v>34</v>
      </c>
      <c r="AB17" t="s">
        <v>585</v>
      </c>
      <c r="AD17" t="s">
        <v>204</v>
      </c>
      <c r="AE17" t="s">
        <v>452</v>
      </c>
      <c r="AF17">
        <v>0</v>
      </c>
      <c r="AG17">
        <v>0</v>
      </c>
      <c r="AH17">
        <v>418.5</v>
      </c>
      <c r="AI17">
        <v>0</v>
      </c>
      <c r="AJ17" t="s">
        <v>586</v>
      </c>
      <c r="AK17" t="s">
        <v>585</v>
      </c>
      <c r="AL17" t="s">
        <v>587</v>
      </c>
    </row>
    <row r="18" spans="1:38" x14ac:dyDescent="0.2">
      <c r="A18">
        <v>2336905</v>
      </c>
      <c r="B18">
        <v>7975244</v>
      </c>
      <c r="C18">
        <v>187508</v>
      </c>
      <c r="E18" t="b">
        <v>0</v>
      </c>
      <c r="F18">
        <v>70613</v>
      </c>
      <c r="G18" t="s">
        <v>657</v>
      </c>
      <c r="H18">
        <v>8</v>
      </c>
      <c r="I18" t="s">
        <v>678</v>
      </c>
      <c r="J18" t="s">
        <v>570</v>
      </c>
      <c r="K18" t="s">
        <v>571</v>
      </c>
      <c r="L18" t="s">
        <v>571</v>
      </c>
      <c r="M18" t="s">
        <v>679</v>
      </c>
      <c r="N18" t="s">
        <v>531</v>
      </c>
      <c r="O18" t="s">
        <v>533</v>
      </c>
      <c r="P18" t="s">
        <v>532</v>
      </c>
      <c r="S18" t="s">
        <v>660</v>
      </c>
      <c r="U18" t="s">
        <v>661</v>
      </c>
      <c r="V18" t="s">
        <v>680</v>
      </c>
      <c r="W18" t="s">
        <v>478</v>
      </c>
      <c r="X18" t="s">
        <v>572</v>
      </c>
      <c r="Y18" t="s">
        <v>583</v>
      </c>
      <c r="Z18" t="s">
        <v>584</v>
      </c>
      <c r="AA18" t="s">
        <v>34</v>
      </c>
      <c r="AB18" t="s">
        <v>585</v>
      </c>
      <c r="AD18" t="s">
        <v>534</v>
      </c>
      <c r="AE18" t="s">
        <v>452</v>
      </c>
      <c r="AF18">
        <v>0</v>
      </c>
      <c r="AG18">
        <v>0</v>
      </c>
      <c r="AH18">
        <v>418.5</v>
      </c>
      <c r="AI18">
        <v>0</v>
      </c>
      <c r="AJ18" t="s">
        <v>586</v>
      </c>
      <c r="AK18" t="s">
        <v>585</v>
      </c>
      <c r="AL18" t="s">
        <v>587</v>
      </c>
    </row>
    <row r="19" spans="1:38" x14ac:dyDescent="0.2">
      <c r="A19">
        <v>1235639</v>
      </c>
      <c r="B19">
        <v>7975242</v>
      </c>
      <c r="C19">
        <v>187508</v>
      </c>
      <c r="E19" t="b">
        <v>0</v>
      </c>
      <c r="F19">
        <v>70613</v>
      </c>
      <c r="G19" t="s">
        <v>657</v>
      </c>
      <c r="H19">
        <v>6</v>
      </c>
      <c r="I19" t="s">
        <v>681</v>
      </c>
      <c r="J19" t="s">
        <v>570</v>
      </c>
      <c r="K19" t="s">
        <v>571</v>
      </c>
      <c r="L19" t="s">
        <v>571</v>
      </c>
      <c r="M19" t="s">
        <v>682</v>
      </c>
      <c r="N19" t="s">
        <v>503</v>
      </c>
      <c r="O19" t="s">
        <v>199</v>
      </c>
      <c r="P19" t="s">
        <v>504</v>
      </c>
      <c r="S19" t="s">
        <v>660</v>
      </c>
      <c r="U19" t="s">
        <v>661</v>
      </c>
      <c r="V19" t="s">
        <v>683</v>
      </c>
      <c r="W19" t="s">
        <v>478</v>
      </c>
      <c r="X19" t="s">
        <v>572</v>
      </c>
      <c r="Y19" t="s">
        <v>583</v>
      </c>
      <c r="Z19" t="s">
        <v>584</v>
      </c>
      <c r="AA19" t="s">
        <v>34</v>
      </c>
      <c r="AB19" t="s">
        <v>585</v>
      </c>
      <c r="AD19" t="s">
        <v>198</v>
      </c>
      <c r="AE19" t="s">
        <v>452</v>
      </c>
      <c r="AF19">
        <v>0</v>
      </c>
      <c r="AG19">
        <v>0</v>
      </c>
      <c r="AH19">
        <v>418.5</v>
      </c>
      <c r="AI19">
        <v>0</v>
      </c>
      <c r="AJ19" t="s">
        <v>586</v>
      </c>
      <c r="AK19" t="s">
        <v>585</v>
      </c>
      <c r="AL19" t="s">
        <v>587</v>
      </c>
    </row>
    <row r="20" spans="1:38" x14ac:dyDescent="0.2">
      <c r="A20">
        <v>1235626</v>
      </c>
      <c r="B20">
        <v>7975238</v>
      </c>
      <c r="C20">
        <v>187508</v>
      </c>
      <c r="E20" t="b">
        <v>0</v>
      </c>
      <c r="F20">
        <v>70613</v>
      </c>
      <c r="G20" t="s">
        <v>657</v>
      </c>
      <c r="H20">
        <v>2</v>
      </c>
      <c r="I20" t="s">
        <v>684</v>
      </c>
      <c r="J20" t="s">
        <v>570</v>
      </c>
      <c r="K20" t="s">
        <v>571</v>
      </c>
      <c r="L20" t="s">
        <v>571</v>
      </c>
      <c r="M20" t="s">
        <v>685</v>
      </c>
      <c r="N20" t="s">
        <v>499</v>
      </c>
      <c r="O20" t="s">
        <v>207</v>
      </c>
      <c r="P20" t="s">
        <v>500</v>
      </c>
      <c r="S20" t="s">
        <v>660</v>
      </c>
      <c r="U20" t="s">
        <v>661</v>
      </c>
      <c r="V20" t="s">
        <v>686</v>
      </c>
      <c r="W20" t="s">
        <v>478</v>
      </c>
      <c r="X20" t="s">
        <v>572</v>
      </c>
      <c r="Y20" t="s">
        <v>583</v>
      </c>
      <c r="Z20" t="s">
        <v>584</v>
      </c>
      <c r="AA20" t="s">
        <v>34</v>
      </c>
      <c r="AB20" t="s">
        <v>585</v>
      </c>
      <c r="AD20" t="s">
        <v>206</v>
      </c>
      <c r="AE20" t="s">
        <v>452</v>
      </c>
      <c r="AF20">
        <v>0</v>
      </c>
      <c r="AG20">
        <v>0</v>
      </c>
      <c r="AH20">
        <v>418.5</v>
      </c>
      <c r="AI20">
        <v>0</v>
      </c>
      <c r="AJ20" t="s">
        <v>586</v>
      </c>
      <c r="AK20" t="s">
        <v>585</v>
      </c>
      <c r="AL20" t="s">
        <v>587</v>
      </c>
    </row>
    <row r="21" spans="1:38" x14ac:dyDescent="0.2">
      <c r="A21">
        <v>1235522</v>
      </c>
      <c r="B21">
        <v>7975240</v>
      </c>
      <c r="C21">
        <v>187508</v>
      </c>
      <c r="E21" t="b">
        <v>0</v>
      </c>
      <c r="F21">
        <v>70613</v>
      </c>
      <c r="G21" t="s">
        <v>657</v>
      </c>
      <c r="H21">
        <v>4</v>
      </c>
      <c r="I21" t="s">
        <v>687</v>
      </c>
      <c r="J21" t="s">
        <v>570</v>
      </c>
      <c r="K21" t="s">
        <v>571</v>
      </c>
      <c r="L21" t="s">
        <v>571</v>
      </c>
      <c r="M21" t="s">
        <v>688</v>
      </c>
      <c r="N21" t="s">
        <v>477</v>
      </c>
      <c r="O21" t="s">
        <v>205</v>
      </c>
      <c r="P21" t="s">
        <v>478</v>
      </c>
      <c r="S21" t="s">
        <v>660</v>
      </c>
      <c r="U21" t="s">
        <v>661</v>
      </c>
      <c r="V21" t="s">
        <v>689</v>
      </c>
      <c r="W21" t="s">
        <v>478</v>
      </c>
      <c r="X21" t="s">
        <v>572</v>
      </c>
      <c r="Y21" t="s">
        <v>583</v>
      </c>
      <c r="Z21" t="s">
        <v>584</v>
      </c>
      <c r="AA21" t="s">
        <v>34</v>
      </c>
      <c r="AB21" t="s">
        <v>585</v>
      </c>
      <c r="AD21" t="s">
        <v>204</v>
      </c>
      <c r="AE21" t="s">
        <v>452</v>
      </c>
      <c r="AF21">
        <v>0</v>
      </c>
      <c r="AG21">
        <v>0</v>
      </c>
      <c r="AH21">
        <v>418.5</v>
      </c>
      <c r="AI21">
        <v>0</v>
      </c>
      <c r="AJ21" t="s">
        <v>586</v>
      </c>
      <c r="AK21" t="s">
        <v>585</v>
      </c>
      <c r="AL21" t="s">
        <v>587</v>
      </c>
    </row>
    <row r="23" spans="1:38" x14ac:dyDescent="0.2">
      <c r="A23">
        <v>1235770</v>
      </c>
      <c r="B23">
        <v>8030104</v>
      </c>
      <c r="C23">
        <v>187514</v>
      </c>
      <c r="E23" t="b">
        <v>0</v>
      </c>
      <c r="F23">
        <v>71864</v>
      </c>
      <c r="G23" t="s">
        <v>690</v>
      </c>
      <c r="H23">
        <v>1</v>
      </c>
      <c r="I23" t="s">
        <v>691</v>
      </c>
      <c r="J23" t="s">
        <v>570</v>
      </c>
      <c r="K23" t="s">
        <v>571</v>
      </c>
      <c r="L23" t="s">
        <v>571</v>
      </c>
      <c r="M23" t="s">
        <v>692</v>
      </c>
      <c r="N23" t="s">
        <v>522</v>
      </c>
      <c r="O23" t="s">
        <v>523</v>
      </c>
      <c r="U23" t="s">
        <v>693</v>
      </c>
      <c r="V23" t="s">
        <v>694</v>
      </c>
      <c r="W23" t="s">
        <v>528</v>
      </c>
      <c r="X23" t="s">
        <v>572</v>
      </c>
      <c r="Y23" t="s">
        <v>449</v>
      </c>
      <c r="Z23" t="s">
        <v>584</v>
      </c>
      <c r="AB23" t="s">
        <v>695</v>
      </c>
      <c r="AD23" t="s">
        <v>257</v>
      </c>
      <c r="AE23" t="s">
        <v>524</v>
      </c>
      <c r="AF23">
        <v>0</v>
      </c>
      <c r="AG23">
        <v>0</v>
      </c>
      <c r="AH23">
        <v>0</v>
      </c>
      <c r="AI23">
        <v>0</v>
      </c>
      <c r="AJ23" t="s">
        <v>586</v>
      </c>
      <c r="AK23" t="s">
        <v>695</v>
      </c>
      <c r="AL23" t="s">
        <v>587</v>
      </c>
    </row>
    <row r="24" spans="1:38" x14ac:dyDescent="0.2">
      <c r="A24">
        <v>1235767</v>
      </c>
    </row>
    <row r="25" spans="1:38" x14ac:dyDescent="0.2">
      <c r="A25">
        <v>1235772</v>
      </c>
    </row>
    <row r="26" spans="1:38" x14ac:dyDescent="0.2">
      <c r="A26">
        <v>1235660</v>
      </c>
      <c r="B26">
        <v>7612900</v>
      </c>
      <c r="C26">
        <v>187509</v>
      </c>
      <c r="E26" t="b">
        <v>0</v>
      </c>
      <c r="F26">
        <v>64197</v>
      </c>
      <c r="G26" t="s">
        <v>696</v>
      </c>
      <c r="H26">
        <v>1</v>
      </c>
      <c r="I26" t="s">
        <v>697</v>
      </c>
      <c r="J26" t="s">
        <v>570</v>
      </c>
      <c r="K26" t="s">
        <v>571</v>
      </c>
      <c r="L26" t="s">
        <v>571</v>
      </c>
      <c r="M26" t="s">
        <v>698</v>
      </c>
      <c r="N26" t="s">
        <v>223</v>
      </c>
      <c r="O26" t="s">
        <v>509</v>
      </c>
      <c r="U26" t="s">
        <v>699</v>
      </c>
      <c r="V26" t="s">
        <v>700</v>
      </c>
      <c r="W26" t="s">
        <v>124</v>
      </c>
      <c r="X26" t="s">
        <v>572</v>
      </c>
      <c r="Y26" t="s">
        <v>133</v>
      </c>
      <c r="AB26" t="s">
        <v>695</v>
      </c>
      <c r="AD26" t="s">
        <v>259</v>
      </c>
      <c r="AE26" t="s">
        <v>468</v>
      </c>
      <c r="AF26">
        <v>0</v>
      </c>
      <c r="AG26">
        <v>0</v>
      </c>
      <c r="AI26">
        <v>0</v>
      </c>
      <c r="AJ26" t="s">
        <v>586</v>
      </c>
      <c r="AK26" t="s">
        <v>695</v>
      </c>
      <c r="AL26" t="s">
        <v>619</v>
      </c>
    </row>
    <row r="27" spans="1:38" x14ac:dyDescent="0.2">
      <c r="A27">
        <v>1235502</v>
      </c>
      <c r="B27">
        <v>6008756</v>
      </c>
      <c r="C27">
        <v>187514</v>
      </c>
      <c r="E27" t="b">
        <v>0</v>
      </c>
      <c r="F27">
        <v>41783</v>
      </c>
      <c r="G27" t="s">
        <v>701</v>
      </c>
      <c r="H27">
        <v>1</v>
      </c>
      <c r="I27" t="s">
        <v>702</v>
      </c>
      <c r="J27" t="s">
        <v>570</v>
      </c>
      <c r="K27" t="s">
        <v>571</v>
      </c>
      <c r="L27" t="s">
        <v>571</v>
      </c>
      <c r="M27" t="s">
        <v>703</v>
      </c>
      <c r="N27" t="s">
        <v>224</v>
      </c>
      <c r="O27" t="s">
        <v>467</v>
      </c>
      <c r="U27" t="s">
        <v>704</v>
      </c>
      <c r="V27" t="s">
        <v>705</v>
      </c>
      <c r="W27" t="s">
        <v>187</v>
      </c>
      <c r="X27" t="s">
        <v>572</v>
      </c>
      <c r="Y27" t="s">
        <v>133</v>
      </c>
      <c r="Z27" t="s">
        <v>584</v>
      </c>
      <c r="AB27" t="s">
        <v>695</v>
      </c>
      <c r="AD27" t="s">
        <v>260</v>
      </c>
      <c r="AE27" t="s">
        <v>468</v>
      </c>
      <c r="AF27">
        <v>0</v>
      </c>
      <c r="AG27">
        <v>0</v>
      </c>
      <c r="AH27">
        <v>27.5</v>
      </c>
      <c r="AI27">
        <v>0</v>
      </c>
      <c r="AJ27" t="s">
        <v>586</v>
      </c>
      <c r="AK27" t="s">
        <v>695</v>
      </c>
      <c r="AL27" t="s">
        <v>587</v>
      </c>
    </row>
    <row r="28" spans="1:38" x14ac:dyDescent="0.2">
      <c r="A28">
        <v>1235505</v>
      </c>
      <c r="B28">
        <v>7971837</v>
      </c>
      <c r="C28">
        <v>187514</v>
      </c>
      <c r="E28" t="b">
        <v>0</v>
      </c>
      <c r="F28">
        <v>70496</v>
      </c>
      <c r="G28" t="s">
        <v>706</v>
      </c>
      <c r="H28">
        <v>1</v>
      </c>
      <c r="I28" t="s">
        <v>707</v>
      </c>
      <c r="J28" t="s">
        <v>570</v>
      </c>
      <c r="K28" t="s">
        <v>571</v>
      </c>
      <c r="L28" t="s">
        <v>571</v>
      </c>
      <c r="M28" t="s">
        <v>708</v>
      </c>
      <c r="N28" t="s">
        <v>225</v>
      </c>
      <c r="O28" t="s">
        <v>471</v>
      </c>
      <c r="S28" t="s">
        <v>709</v>
      </c>
      <c r="U28" t="s">
        <v>710</v>
      </c>
      <c r="V28" t="s">
        <v>711</v>
      </c>
      <c r="W28" t="s">
        <v>541</v>
      </c>
      <c r="X28" t="s">
        <v>572</v>
      </c>
      <c r="Y28" t="s">
        <v>449</v>
      </c>
      <c r="Z28" t="s">
        <v>584</v>
      </c>
      <c r="AB28" t="s">
        <v>695</v>
      </c>
      <c r="AD28" t="s">
        <v>261</v>
      </c>
      <c r="AE28" t="s">
        <v>468</v>
      </c>
      <c r="AF28">
        <v>0</v>
      </c>
      <c r="AG28">
        <v>0</v>
      </c>
      <c r="AH28">
        <v>75</v>
      </c>
      <c r="AI28">
        <v>0</v>
      </c>
      <c r="AJ28" t="s">
        <v>586</v>
      </c>
      <c r="AK28" t="s">
        <v>695</v>
      </c>
      <c r="AL28" t="s">
        <v>587</v>
      </c>
    </row>
    <row r="29" spans="1:38" x14ac:dyDescent="0.2">
      <c r="A29">
        <v>1235646</v>
      </c>
      <c r="B29">
        <v>6249107</v>
      </c>
      <c r="C29">
        <v>187514</v>
      </c>
      <c r="E29" t="b">
        <v>0</v>
      </c>
      <c r="F29">
        <v>46530</v>
      </c>
      <c r="G29" t="s">
        <v>712</v>
      </c>
      <c r="H29">
        <v>1</v>
      </c>
      <c r="I29" t="s">
        <v>713</v>
      </c>
      <c r="J29" t="s">
        <v>570</v>
      </c>
      <c r="K29" t="s">
        <v>571</v>
      </c>
      <c r="L29" t="s">
        <v>571</v>
      </c>
      <c r="M29" t="s">
        <v>714</v>
      </c>
      <c r="N29" t="s">
        <v>226</v>
      </c>
      <c r="O29" t="s">
        <v>505</v>
      </c>
      <c r="U29" t="s">
        <v>715</v>
      </c>
      <c r="V29" t="s">
        <v>716</v>
      </c>
      <c r="W29" t="s">
        <v>187</v>
      </c>
      <c r="X29" t="s">
        <v>572</v>
      </c>
      <c r="Y29" t="s">
        <v>583</v>
      </c>
      <c r="AB29" t="s">
        <v>695</v>
      </c>
      <c r="AD29" t="s">
        <v>262</v>
      </c>
      <c r="AE29" t="s">
        <v>506</v>
      </c>
      <c r="AF29">
        <v>0</v>
      </c>
      <c r="AG29">
        <v>0</v>
      </c>
      <c r="AI29">
        <v>0</v>
      </c>
      <c r="AJ29" t="s">
        <v>586</v>
      </c>
      <c r="AK29" t="s">
        <v>695</v>
      </c>
      <c r="AL29" t="s">
        <v>587</v>
      </c>
    </row>
    <row r="30" spans="1:38" x14ac:dyDescent="0.2">
      <c r="A30">
        <v>1235659</v>
      </c>
      <c r="B30">
        <v>8065644</v>
      </c>
      <c r="C30">
        <v>187514</v>
      </c>
      <c r="E30" t="b">
        <v>0</v>
      </c>
      <c r="F30">
        <v>72594</v>
      </c>
      <c r="G30" t="s">
        <v>717</v>
      </c>
      <c r="H30">
        <v>1</v>
      </c>
      <c r="I30" t="s">
        <v>718</v>
      </c>
      <c r="J30" t="s">
        <v>570</v>
      </c>
      <c r="K30" t="s">
        <v>571</v>
      </c>
      <c r="L30" t="s">
        <v>571</v>
      </c>
      <c r="M30" t="s">
        <v>719</v>
      </c>
      <c r="N30" t="s">
        <v>227</v>
      </c>
      <c r="O30" t="s">
        <v>507</v>
      </c>
      <c r="U30" t="s">
        <v>720</v>
      </c>
      <c r="V30" t="s">
        <v>721</v>
      </c>
      <c r="W30" t="s">
        <v>492</v>
      </c>
      <c r="X30" t="s">
        <v>572</v>
      </c>
      <c r="Y30" t="s">
        <v>449</v>
      </c>
      <c r="Z30" t="s">
        <v>584</v>
      </c>
      <c r="AB30" t="s">
        <v>695</v>
      </c>
      <c r="AD30" t="s">
        <v>263</v>
      </c>
      <c r="AE30" t="s">
        <v>508</v>
      </c>
      <c r="AF30">
        <v>0</v>
      </c>
      <c r="AG30">
        <v>0</v>
      </c>
      <c r="AH30">
        <v>0</v>
      </c>
      <c r="AI30">
        <v>0</v>
      </c>
      <c r="AJ30" t="s">
        <v>586</v>
      </c>
      <c r="AK30" t="s">
        <v>695</v>
      </c>
      <c r="AL30" t="s">
        <v>587</v>
      </c>
    </row>
    <row r="31" spans="1:38" x14ac:dyDescent="0.2">
      <c r="A31">
        <v>1235504</v>
      </c>
      <c r="B31">
        <v>6820976</v>
      </c>
      <c r="C31">
        <v>187514</v>
      </c>
      <c r="E31" t="b">
        <v>0</v>
      </c>
      <c r="F31">
        <v>50724</v>
      </c>
      <c r="G31" t="s">
        <v>722</v>
      </c>
      <c r="H31">
        <v>1</v>
      </c>
      <c r="I31" t="s">
        <v>723</v>
      </c>
      <c r="J31" t="s">
        <v>570</v>
      </c>
      <c r="K31" t="s">
        <v>571</v>
      </c>
      <c r="L31" t="s">
        <v>571</v>
      </c>
      <c r="M31" t="s">
        <v>724</v>
      </c>
      <c r="N31" t="s">
        <v>228</v>
      </c>
      <c r="O31" t="s">
        <v>470</v>
      </c>
      <c r="U31" t="s">
        <v>725</v>
      </c>
      <c r="V31" t="s">
        <v>726</v>
      </c>
      <c r="W31" t="s">
        <v>519</v>
      </c>
      <c r="X31" t="s">
        <v>572</v>
      </c>
      <c r="Y31" t="s">
        <v>583</v>
      </c>
      <c r="Z31" t="s">
        <v>584</v>
      </c>
      <c r="AB31" t="s">
        <v>695</v>
      </c>
      <c r="AD31" t="s">
        <v>264</v>
      </c>
      <c r="AE31" t="s">
        <v>468</v>
      </c>
      <c r="AF31">
        <v>0</v>
      </c>
      <c r="AG31">
        <v>0</v>
      </c>
      <c r="AH31">
        <v>27.5</v>
      </c>
      <c r="AI31">
        <v>0</v>
      </c>
      <c r="AJ31" t="s">
        <v>586</v>
      </c>
      <c r="AK31" t="s">
        <v>695</v>
      </c>
      <c r="AL31" t="s">
        <v>587</v>
      </c>
    </row>
    <row r="32" spans="1:38" x14ac:dyDescent="0.2">
      <c r="A32">
        <v>1235506</v>
      </c>
      <c r="B32">
        <v>7162110</v>
      </c>
      <c r="C32">
        <v>187514</v>
      </c>
      <c r="E32" t="b">
        <v>0</v>
      </c>
      <c r="F32">
        <v>57050</v>
      </c>
      <c r="G32" t="s">
        <v>727</v>
      </c>
      <c r="H32">
        <v>1</v>
      </c>
      <c r="I32" t="s">
        <v>728</v>
      </c>
      <c r="J32" t="s">
        <v>570</v>
      </c>
      <c r="K32" t="s">
        <v>571</v>
      </c>
      <c r="L32" t="s">
        <v>571</v>
      </c>
      <c r="M32" t="s">
        <v>729</v>
      </c>
      <c r="N32" t="s">
        <v>229</v>
      </c>
      <c r="O32" t="s">
        <v>472</v>
      </c>
      <c r="U32" t="s">
        <v>730</v>
      </c>
      <c r="V32" t="s">
        <v>731</v>
      </c>
      <c r="W32" t="s">
        <v>124</v>
      </c>
      <c r="X32" t="s">
        <v>572</v>
      </c>
      <c r="Y32" t="s">
        <v>583</v>
      </c>
      <c r="AB32" t="s">
        <v>695</v>
      </c>
      <c r="AD32" t="s">
        <v>265</v>
      </c>
      <c r="AE32" t="s">
        <v>468</v>
      </c>
      <c r="AF32">
        <v>0</v>
      </c>
      <c r="AG32">
        <v>0</v>
      </c>
      <c r="AI32">
        <v>0</v>
      </c>
      <c r="AJ32" t="s">
        <v>586</v>
      </c>
      <c r="AK32" t="s">
        <v>695</v>
      </c>
      <c r="AL32" t="s">
        <v>587</v>
      </c>
    </row>
    <row r="33" spans="1:38" x14ac:dyDescent="0.2">
      <c r="A33">
        <v>1235510</v>
      </c>
      <c r="B33">
        <v>6129692</v>
      </c>
      <c r="C33">
        <v>187514</v>
      </c>
      <c r="E33" t="b">
        <v>0</v>
      </c>
      <c r="F33">
        <v>44349</v>
      </c>
      <c r="G33" t="s">
        <v>732</v>
      </c>
      <c r="H33">
        <v>1</v>
      </c>
      <c r="I33" t="s">
        <v>733</v>
      </c>
      <c r="J33" t="s">
        <v>570</v>
      </c>
      <c r="K33" t="s">
        <v>571</v>
      </c>
      <c r="L33" t="s">
        <v>571</v>
      </c>
      <c r="M33" t="s">
        <v>734</v>
      </c>
      <c r="N33" t="s">
        <v>230</v>
      </c>
      <c r="O33" t="s">
        <v>476</v>
      </c>
      <c r="U33" t="s">
        <v>735</v>
      </c>
      <c r="V33" t="s">
        <v>736</v>
      </c>
      <c r="W33" t="s">
        <v>737</v>
      </c>
      <c r="X33" t="s">
        <v>572</v>
      </c>
      <c r="Y33" t="s">
        <v>583</v>
      </c>
      <c r="AB33" t="s">
        <v>695</v>
      </c>
      <c r="AD33" t="s">
        <v>266</v>
      </c>
      <c r="AE33" t="s">
        <v>468</v>
      </c>
      <c r="AF33">
        <v>0</v>
      </c>
      <c r="AG33">
        <v>0</v>
      </c>
      <c r="AI33">
        <v>0</v>
      </c>
      <c r="AJ33" t="s">
        <v>586</v>
      </c>
      <c r="AK33" t="s">
        <v>695</v>
      </c>
      <c r="AL33" t="s">
        <v>587</v>
      </c>
    </row>
    <row r="34" spans="1:38" x14ac:dyDescent="0.2">
      <c r="A34">
        <v>1235590</v>
      </c>
      <c r="B34">
        <v>7948956</v>
      </c>
      <c r="C34">
        <v>187514</v>
      </c>
      <c r="E34" t="b">
        <v>0</v>
      </c>
      <c r="F34">
        <v>70164</v>
      </c>
      <c r="G34" t="s">
        <v>738</v>
      </c>
      <c r="H34">
        <v>1</v>
      </c>
      <c r="I34" t="s">
        <v>739</v>
      </c>
      <c r="J34" t="s">
        <v>740</v>
      </c>
      <c r="K34" t="s">
        <v>571</v>
      </c>
      <c r="L34" t="s">
        <v>571</v>
      </c>
      <c r="M34" t="s">
        <v>741</v>
      </c>
      <c r="N34" t="s">
        <v>232</v>
      </c>
      <c r="O34" t="s">
        <v>231</v>
      </c>
      <c r="U34" t="s">
        <v>742</v>
      </c>
      <c r="X34" t="s">
        <v>572</v>
      </c>
      <c r="Y34" t="s">
        <v>133</v>
      </c>
      <c r="Z34" t="s">
        <v>584</v>
      </c>
      <c r="AD34" t="s">
        <v>267</v>
      </c>
      <c r="AE34" t="s">
        <v>468</v>
      </c>
      <c r="AJ34" t="s">
        <v>586</v>
      </c>
      <c r="AK34" t="s">
        <v>695</v>
      </c>
      <c r="AL34" t="s">
        <v>587</v>
      </c>
    </row>
    <row r="35" spans="1:38" x14ac:dyDescent="0.2">
      <c r="A35">
        <v>1235489</v>
      </c>
      <c r="B35">
        <v>7008912</v>
      </c>
      <c r="C35">
        <v>187510</v>
      </c>
      <c r="E35" t="b">
        <v>0</v>
      </c>
      <c r="F35">
        <v>53750</v>
      </c>
      <c r="G35" t="s">
        <v>743</v>
      </c>
      <c r="H35">
        <v>1</v>
      </c>
      <c r="I35" t="s">
        <v>744</v>
      </c>
      <c r="J35" t="s">
        <v>570</v>
      </c>
      <c r="K35" t="s">
        <v>569</v>
      </c>
      <c r="L35" t="s">
        <v>571</v>
      </c>
      <c r="M35" t="s">
        <v>745</v>
      </c>
      <c r="N35" t="s">
        <v>460</v>
      </c>
      <c r="O35" t="s">
        <v>462</v>
      </c>
      <c r="S35" t="s">
        <v>623</v>
      </c>
      <c r="U35" t="s">
        <v>746</v>
      </c>
      <c r="V35" t="s">
        <v>747</v>
      </c>
      <c r="W35" t="s">
        <v>478</v>
      </c>
      <c r="X35" t="s">
        <v>572</v>
      </c>
      <c r="Y35" t="s">
        <v>133</v>
      </c>
      <c r="Z35" t="s">
        <v>584</v>
      </c>
      <c r="AA35" t="s">
        <v>34</v>
      </c>
      <c r="AB35" t="s">
        <v>627</v>
      </c>
      <c r="AD35" t="s">
        <v>463</v>
      </c>
      <c r="AE35" t="s">
        <v>463</v>
      </c>
      <c r="AF35">
        <v>0</v>
      </c>
      <c r="AG35">
        <v>0</v>
      </c>
      <c r="AH35">
        <v>76.25</v>
      </c>
      <c r="AI35">
        <v>0</v>
      </c>
      <c r="AJ35" t="s">
        <v>586</v>
      </c>
      <c r="AK35" t="s">
        <v>627</v>
      </c>
      <c r="AL35" t="s">
        <v>587</v>
      </c>
    </row>
    <row r="36" spans="1:38" x14ac:dyDescent="0.2">
      <c r="A36">
        <v>1235508</v>
      </c>
      <c r="B36">
        <v>4996970</v>
      </c>
      <c r="C36">
        <v>187508</v>
      </c>
      <c r="E36" t="b">
        <v>0</v>
      </c>
      <c r="F36">
        <v>28336</v>
      </c>
      <c r="G36" t="s">
        <v>748</v>
      </c>
      <c r="H36">
        <v>1</v>
      </c>
      <c r="I36" t="s">
        <v>749</v>
      </c>
      <c r="J36" t="s">
        <v>570</v>
      </c>
      <c r="K36" t="s">
        <v>571</v>
      </c>
      <c r="L36" t="s">
        <v>571</v>
      </c>
      <c r="M36" t="s">
        <v>750</v>
      </c>
      <c r="N36" t="s">
        <v>751</v>
      </c>
      <c r="O36" t="s">
        <v>474</v>
      </c>
      <c r="U36" t="s">
        <v>752</v>
      </c>
      <c r="X36" t="s">
        <v>572</v>
      </c>
      <c r="Y36" t="s">
        <v>133</v>
      </c>
      <c r="Z36" t="s">
        <v>584</v>
      </c>
      <c r="AD36" t="s">
        <v>753</v>
      </c>
      <c r="AE36" t="s">
        <v>447</v>
      </c>
      <c r="AJ36" t="s">
        <v>586</v>
      </c>
      <c r="AK36" t="s">
        <v>585</v>
      </c>
      <c r="AL36" t="s">
        <v>587</v>
      </c>
    </row>
    <row r="37" spans="1:38" x14ac:dyDescent="0.2">
      <c r="A37">
        <v>1235777</v>
      </c>
      <c r="B37">
        <v>5034456</v>
      </c>
      <c r="C37">
        <v>187514</v>
      </c>
      <c r="E37" t="b">
        <v>0</v>
      </c>
      <c r="F37">
        <v>29273</v>
      </c>
      <c r="G37" t="s">
        <v>754</v>
      </c>
      <c r="H37">
        <v>1</v>
      </c>
      <c r="I37" t="s">
        <v>755</v>
      </c>
      <c r="J37" t="s">
        <v>570</v>
      </c>
      <c r="K37" t="s">
        <v>571</v>
      </c>
      <c r="L37" t="s">
        <v>571</v>
      </c>
      <c r="M37" t="s">
        <v>756</v>
      </c>
      <c r="N37" t="s">
        <v>233</v>
      </c>
      <c r="O37" t="s">
        <v>525</v>
      </c>
      <c r="S37" t="s">
        <v>709</v>
      </c>
      <c r="V37" t="s">
        <v>757</v>
      </c>
      <c r="W37" t="s">
        <v>758</v>
      </c>
      <c r="X37" t="s">
        <v>572</v>
      </c>
      <c r="Y37" t="s">
        <v>133</v>
      </c>
      <c r="Z37" t="s">
        <v>584</v>
      </c>
      <c r="AB37" t="s">
        <v>695</v>
      </c>
      <c r="AD37" t="s">
        <v>269</v>
      </c>
      <c r="AE37" t="s">
        <v>526</v>
      </c>
      <c r="AF37">
        <v>0</v>
      </c>
      <c r="AG37">
        <v>0</v>
      </c>
      <c r="AH37">
        <v>27.5</v>
      </c>
      <c r="AI37">
        <v>0</v>
      </c>
      <c r="AJ37" t="s">
        <v>586</v>
      </c>
      <c r="AK37" t="s">
        <v>695</v>
      </c>
      <c r="AL37" t="s">
        <v>587</v>
      </c>
    </row>
    <row r="38" spans="1:38" x14ac:dyDescent="0.2">
      <c r="A38">
        <v>1235400</v>
      </c>
      <c r="B38">
        <v>6119636</v>
      </c>
      <c r="C38">
        <v>187514</v>
      </c>
      <c r="E38" t="b">
        <v>0</v>
      </c>
      <c r="F38">
        <v>44172</v>
      </c>
      <c r="G38" t="s">
        <v>759</v>
      </c>
      <c r="H38">
        <v>1</v>
      </c>
      <c r="I38" t="s">
        <v>760</v>
      </c>
      <c r="J38" t="s">
        <v>570</v>
      </c>
      <c r="K38" t="s">
        <v>571</v>
      </c>
      <c r="L38" t="s">
        <v>571</v>
      </c>
      <c r="M38" t="s">
        <v>761</v>
      </c>
      <c r="N38" t="s">
        <v>234</v>
      </c>
      <c r="O38" t="s">
        <v>446</v>
      </c>
      <c r="U38" t="s">
        <v>762</v>
      </c>
      <c r="V38" t="s">
        <v>763</v>
      </c>
      <c r="W38" t="s">
        <v>737</v>
      </c>
      <c r="X38" t="s">
        <v>572</v>
      </c>
      <c r="Y38" t="s">
        <v>583</v>
      </c>
      <c r="AB38" t="s">
        <v>695</v>
      </c>
      <c r="AD38" t="s">
        <v>270</v>
      </c>
      <c r="AE38" t="s">
        <v>447</v>
      </c>
      <c r="AF38">
        <v>0</v>
      </c>
      <c r="AG38">
        <v>0</v>
      </c>
      <c r="AI38">
        <v>0</v>
      </c>
      <c r="AJ38" t="s">
        <v>586</v>
      </c>
      <c r="AK38" t="s">
        <v>695</v>
      </c>
      <c r="AL38" t="s">
        <v>587</v>
      </c>
    </row>
    <row r="39" spans="1:38" x14ac:dyDescent="0.2">
      <c r="A39">
        <v>1235661</v>
      </c>
      <c r="B39">
        <v>8074219</v>
      </c>
      <c r="C39">
        <v>187514</v>
      </c>
      <c r="E39" t="b">
        <v>0</v>
      </c>
      <c r="F39">
        <v>72769</v>
      </c>
      <c r="G39" t="s">
        <v>764</v>
      </c>
      <c r="H39">
        <v>1</v>
      </c>
      <c r="I39" t="s">
        <v>765</v>
      </c>
      <c r="J39" t="s">
        <v>570</v>
      </c>
      <c r="K39" t="s">
        <v>571</v>
      </c>
      <c r="L39" t="s">
        <v>571</v>
      </c>
      <c r="M39" t="s">
        <v>766</v>
      </c>
      <c r="N39" t="s">
        <v>235</v>
      </c>
      <c r="O39" t="s">
        <v>510</v>
      </c>
      <c r="S39" t="s">
        <v>709</v>
      </c>
      <c r="U39" t="s">
        <v>767</v>
      </c>
      <c r="V39" t="s">
        <v>768</v>
      </c>
      <c r="W39" t="s">
        <v>541</v>
      </c>
      <c r="X39" t="s">
        <v>572</v>
      </c>
      <c r="Y39" t="s">
        <v>583</v>
      </c>
      <c r="Z39" t="s">
        <v>584</v>
      </c>
      <c r="AB39" t="s">
        <v>695</v>
      </c>
      <c r="AD39" t="s">
        <v>271</v>
      </c>
      <c r="AE39" t="s">
        <v>447</v>
      </c>
      <c r="AF39">
        <v>0</v>
      </c>
      <c r="AG39">
        <v>0</v>
      </c>
      <c r="AH39">
        <v>0</v>
      </c>
      <c r="AI39">
        <v>0</v>
      </c>
      <c r="AJ39" t="s">
        <v>586</v>
      </c>
      <c r="AK39" t="s">
        <v>695</v>
      </c>
      <c r="AL39" t="s">
        <v>587</v>
      </c>
    </row>
    <row r="40" spans="1:38" x14ac:dyDescent="0.2">
      <c r="A40">
        <v>1235507</v>
      </c>
      <c r="B40">
        <v>8085736</v>
      </c>
      <c r="C40">
        <v>187514</v>
      </c>
      <c r="E40" t="b">
        <v>0</v>
      </c>
      <c r="F40">
        <v>72935</v>
      </c>
      <c r="G40" t="s">
        <v>769</v>
      </c>
      <c r="H40">
        <v>1</v>
      </c>
      <c r="I40" t="s">
        <v>770</v>
      </c>
      <c r="J40" t="s">
        <v>569</v>
      </c>
      <c r="K40" t="s">
        <v>569</v>
      </c>
      <c r="L40" t="s">
        <v>569</v>
      </c>
      <c r="M40" t="s">
        <v>771</v>
      </c>
      <c r="N40" t="s">
        <v>236</v>
      </c>
      <c r="O40" t="s">
        <v>473</v>
      </c>
      <c r="U40" t="s">
        <v>772</v>
      </c>
      <c r="V40" t="s">
        <v>773</v>
      </c>
      <c r="W40" t="s">
        <v>504</v>
      </c>
      <c r="X40" t="s">
        <v>572</v>
      </c>
      <c r="Y40" t="s">
        <v>583</v>
      </c>
      <c r="AB40" t="s">
        <v>695</v>
      </c>
      <c r="AD40" t="s">
        <v>272</v>
      </c>
      <c r="AE40" t="s">
        <v>447</v>
      </c>
      <c r="AF40">
        <v>0</v>
      </c>
      <c r="AG40">
        <v>0</v>
      </c>
      <c r="AI40">
        <v>0</v>
      </c>
      <c r="AJ40" t="s">
        <v>586</v>
      </c>
      <c r="AK40" t="s">
        <v>695</v>
      </c>
      <c r="AL40" t="s">
        <v>587</v>
      </c>
    </row>
    <row r="42" spans="1:38" x14ac:dyDescent="0.2">
      <c r="A42">
        <v>1235500</v>
      </c>
      <c r="B42">
        <v>8128420</v>
      </c>
      <c r="C42">
        <v>187514</v>
      </c>
      <c r="E42" t="b">
        <v>0</v>
      </c>
      <c r="F42">
        <v>73271</v>
      </c>
      <c r="G42" t="s">
        <v>774</v>
      </c>
      <c r="H42">
        <v>1</v>
      </c>
      <c r="I42" t="s">
        <v>775</v>
      </c>
      <c r="J42" t="s">
        <v>570</v>
      </c>
      <c r="K42" t="s">
        <v>569</v>
      </c>
      <c r="L42" t="s">
        <v>571</v>
      </c>
      <c r="M42" t="s">
        <v>776</v>
      </c>
      <c r="N42" t="s">
        <v>237</v>
      </c>
      <c r="O42" t="s">
        <v>465</v>
      </c>
      <c r="U42" t="s">
        <v>777</v>
      </c>
      <c r="V42" t="s">
        <v>778</v>
      </c>
      <c r="W42" t="s">
        <v>124</v>
      </c>
      <c r="X42" t="s">
        <v>572</v>
      </c>
      <c r="Y42" t="s">
        <v>133</v>
      </c>
      <c r="Z42" t="s">
        <v>584</v>
      </c>
      <c r="AB42" t="s">
        <v>695</v>
      </c>
      <c r="AD42" t="s">
        <v>273</v>
      </c>
      <c r="AE42" t="s">
        <v>447</v>
      </c>
      <c r="AF42">
        <v>0</v>
      </c>
      <c r="AG42">
        <v>0</v>
      </c>
      <c r="AH42">
        <v>0</v>
      </c>
      <c r="AI42">
        <v>0</v>
      </c>
      <c r="AJ42" t="s">
        <v>586</v>
      </c>
      <c r="AK42" t="s">
        <v>695</v>
      </c>
      <c r="AL42" t="s">
        <v>587</v>
      </c>
    </row>
    <row r="43" spans="1:38" x14ac:dyDescent="0.2">
      <c r="A43">
        <v>1235509</v>
      </c>
      <c r="B43">
        <v>6206718</v>
      </c>
      <c r="C43">
        <v>187514</v>
      </c>
      <c r="E43" t="b">
        <v>0</v>
      </c>
      <c r="F43">
        <v>46040</v>
      </c>
      <c r="G43" t="s">
        <v>779</v>
      </c>
      <c r="H43">
        <v>2</v>
      </c>
      <c r="I43" t="s">
        <v>780</v>
      </c>
      <c r="J43" t="s">
        <v>570</v>
      </c>
      <c r="K43" t="s">
        <v>571</v>
      </c>
      <c r="L43" t="s">
        <v>571</v>
      </c>
      <c r="M43" t="s">
        <v>781</v>
      </c>
      <c r="N43" t="s">
        <v>238</v>
      </c>
      <c r="O43" t="s">
        <v>475</v>
      </c>
      <c r="U43" t="s">
        <v>782</v>
      </c>
      <c r="V43" t="s">
        <v>783</v>
      </c>
      <c r="W43" t="s">
        <v>758</v>
      </c>
      <c r="X43" t="s">
        <v>572</v>
      </c>
      <c r="Y43" t="s">
        <v>583</v>
      </c>
      <c r="AB43" t="s">
        <v>695</v>
      </c>
      <c r="AD43" t="s">
        <v>274</v>
      </c>
      <c r="AE43" t="s">
        <v>447</v>
      </c>
      <c r="AF43">
        <v>0</v>
      </c>
      <c r="AG43">
        <v>0</v>
      </c>
      <c r="AI43">
        <v>0</v>
      </c>
      <c r="AJ43" t="s">
        <v>586</v>
      </c>
      <c r="AK43" t="s">
        <v>695</v>
      </c>
      <c r="AL43" t="s">
        <v>587</v>
      </c>
    </row>
    <row r="44" spans="1:38" x14ac:dyDescent="0.2">
      <c r="A44">
        <v>1235498</v>
      </c>
      <c r="B44">
        <v>4234901</v>
      </c>
      <c r="C44">
        <v>187508</v>
      </c>
      <c r="E44" t="b">
        <v>0</v>
      </c>
      <c r="F44">
        <v>24455</v>
      </c>
      <c r="G44" t="s">
        <v>784</v>
      </c>
      <c r="H44">
        <v>1</v>
      </c>
      <c r="I44" t="s">
        <v>785</v>
      </c>
      <c r="J44" t="s">
        <v>570</v>
      </c>
      <c r="K44" t="s">
        <v>571</v>
      </c>
      <c r="L44" t="s">
        <v>571</v>
      </c>
      <c r="M44" t="s">
        <v>786</v>
      </c>
      <c r="N44" t="s">
        <v>239</v>
      </c>
      <c r="O44" t="s">
        <v>464</v>
      </c>
      <c r="S44" t="s">
        <v>787</v>
      </c>
      <c r="U44" t="s">
        <v>788</v>
      </c>
      <c r="V44" t="s">
        <v>789</v>
      </c>
      <c r="W44" t="s">
        <v>790</v>
      </c>
      <c r="X44" t="s">
        <v>572</v>
      </c>
      <c r="Y44" t="s">
        <v>133</v>
      </c>
      <c r="Z44" t="s">
        <v>584</v>
      </c>
      <c r="AB44" t="s">
        <v>585</v>
      </c>
      <c r="AD44" t="s">
        <v>275</v>
      </c>
      <c r="AE44" t="s">
        <v>447</v>
      </c>
      <c r="AF44">
        <v>0</v>
      </c>
      <c r="AG44">
        <v>0</v>
      </c>
      <c r="AH44">
        <v>68</v>
      </c>
      <c r="AI44">
        <v>0</v>
      </c>
      <c r="AJ44" t="s">
        <v>586</v>
      </c>
      <c r="AK44" t="s">
        <v>585</v>
      </c>
      <c r="AL44" t="s">
        <v>587</v>
      </c>
    </row>
    <row r="45" spans="1:38" x14ac:dyDescent="0.2">
      <c r="A45">
        <v>1235401</v>
      </c>
      <c r="B45">
        <v>6140648</v>
      </c>
      <c r="C45">
        <v>187514</v>
      </c>
      <c r="E45" t="b">
        <v>0</v>
      </c>
      <c r="F45">
        <v>44618</v>
      </c>
      <c r="G45" t="s">
        <v>791</v>
      </c>
      <c r="H45">
        <v>1</v>
      </c>
      <c r="I45" t="s">
        <v>792</v>
      </c>
      <c r="J45" t="s">
        <v>570</v>
      </c>
      <c r="K45" t="s">
        <v>571</v>
      </c>
      <c r="L45" t="s">
        <v>571</v>
      </c>
      <c r="M45" t="s">
        <v>793</v>
      </c>
      <c r="N45" t="s">
        <v>240</v>
      </c>
      <c r="O45" t="s">
        <v>448</v>
      </c>
      <c r="P45" t="s">
        <v>132</v>
      </c>
      <c r="U45" t="s">
        <v>794</v>
      </c>
      <c r="V45" t="s">
        <v>795</v>
      </c>
      <c r="W45" t="s">
        <v>187</v>
      </c>
      <c r="X45" t="s">
        <v>572</v>
      </c>
      <c r="Y45" t="s">
        <v>133</v>
      </c>
      <c r="AB45" t="s">
        <v>695</v>
      </c>
      <c r="AD45" t="s">
        <v>276</v>
      </c>
      <c r="AE45" t="s">
        <v>447</v>
      </c>
      <c r="AF45">
        <v>0</v>
      </c>
      <c r="AG45">
        <v>0</v>
      </c>
      <c r="AI45">
        <v>0</v>
      </c>
      <c r="AJ45" t="s">
        <v>586</v>
      </c>
      <c r="AK45" t="s">
        <v>695</v>
      </c>
      <c r="AL45" t="s">
        <v>587</v>
      </c>
    </row>
    <row r="46" spans="1:38" x14ac:dyDescent="0.2">
      <c r="A46">
        <v>1235402</v>
      </c>
      <c r="B46">
        <v>8128495</v>
      </c>
      <c r="C46">
        <v>187514</v>
      </c>
      <c r="E46" t="b">
        <v>0</v>
      </c>
      <c r="F46">
        <v>73279</v>
      </c>
      <c r="G46" t="s">
        <v>796</v>
      </c>
      <c r="H46">
        <v>1</v>
      </c>
      <c r="I46" t="s">
        <v>797</v>
      </c>
      <c r="J46" t="s">
        <v>570</v>
      </c>
      <c r="K46" t="s">
        <v>571</v>
      </c>
      <c r="L46" t="s">
        <v>571</v>
      </c>
      <c r="M46" t="s">
        <v>798</v>
      </c>
      <c r="N46" t="s">
        <v>241</v>
      </c>
      <c r="O46" t="s">
        <v>450</v>
      </c>
      <c r="P46" t="s">
        <v>132</v>
      </c>
      <c r="U46" t="s">
        <v>799</v>
      </c>
      <c r="V46" t="s">
        <v>800</v>
      </c>
      <c r="W46" t="s">
        <v>124</v>
      </c>
      <c r="X46" t="s">
        <v>572</v>
      </c>
      <c r="Y46" t="s">
        <v>133</v>
      </c>
      <c r="Z46" t="s">
        <v>584</v>
      </c>
      <c r="AB46" t="s">
        <v>695</v>
      </c>
      <c r="AD46" t="s">
        <v>277</v>
      </c>
      <c r="AE46" t="s">
        <v>447</v>
      </c>
      <c r="AF46">
        <v>0</v>
      </c>
      <c r="AG46">
        <v>0</v>
      </c>
      <c r="AH46">
        <v>0</v>
      </c>
      <c r="AI46">
        <v>0</v>
      </c>
      <c r="AJ46" t="s">
        <v>586</v>
      </c>
      <c r="AK46" t="s">
        <v>695</v>
      </c>
      <c r="AL46" t="s">
        <v>587</v>
      </c>
    </row>
    <row r="47" spans="1:38" x14ac:dyDescent="0.2">
      <c r="A47">
        <v>1235610</v>
      </c>
      <c r="B47">
        <v>3518992</v>
      </c>
      <c r="E47" t="b">
        <v>0</v>
      </c>
      <c r="F47">
        <v>7771</v>
      </c>
      <c r="G47" t="s">
        <v>801</v>
      </c>
      <c r="H47">
        <v>1</v>
      </c>
      <c r="I47" t="s">
        <v>802</v>
      </c>
      <c r="J47" t="s">
        <v>570</v>
      </c>
      <c r="K47" t="s">
        <v>569</v>
      </c>
      <c r="L47" t="s">
        <v>571</v>
      </c>
      <c r="M47" t="s">
        <v>803</v>
      </c>
      <c r="N47" t="s">
        <v>247</v>
      </c>
      <c r="O47" t="s">
        <v>246</v>
      </c>
      <c r="P47" t="s">
        <v>494</v>
      </c>
      <c r="S47" t="s">
        <v>615</v>
      </c>
      <c r="V47" t="s">
        <v>804</v>
      </c>
      <c r="W47" t="s">
        <v>478</v>
      </c>
      <c r="X47" t="s">
        <v>572</v>
      </c>
      <c r="Y47" t="s">
        <v>133</v>
      </c>
      <c r="Z47" t="s">
        <v>584</v>
      </c>
      <c r="AD47" t="s">
        <v>245</v>
      </c>
      <c r="AE47" t="s">
        <v>495</v>
      </c>
      <c r="AF47">
        <v>0</v>
      </c>
      <c r="AG47">
        <v>0</v>
      </c>
      <c r="AH47">
        <v>41</v>
      </c>
      <c r="AI47">
        <v>0</v>
      </c>
      <c r="AJ47" t="s">
        <v>805</v>
      </c>
    </row>
    <row r="49" spans="1:38" x14ac:dyDescent="0.2">
      <c r="A49">
        <v>1235673</v>
      </c>
      <c r="B49">
        <v>7098933</v>
      </c>
      <c r="C49">
        <v>187514</v>
      </c>
      <c r="E49" t="b">
        <v>0</v>
      </c>
      <c r="F49">
        <v>55608</v>
      </c>
      <c r="G49" t="s">
        <v>806</v>
      </c>
      <c r="H49">
        <v>1</v>
      </c>
      <c r="I49" t="s">
        <v>807</v>
      </c>
      <c r="J49" t="s">
        <v>570</v>
      </c>
      <c r="K49" t="s">
        <v>571</v>
      </c>
      <c r="L49" t="s">
        <v>571</v>
      </c>
      <c r="M49" t="s">
        <v>808</v>
      </c>
      <c r="N49" t="s">
        <v>354</v>
      </c>
      <c r="O49" t="s">
        <v>511</v>
      </c>
      <c r="U49" t="s">
        <v>809</v>
      </c>
      <c r="V49" t="s">
        <v>810</v>
      </c>
      <c r="W49" t="s">
        <v>124</v>
      </c>
      <c r="X49" t="s">
        <v>572</v>
      </c>
      <c r="Y49" t="s">
        <v>583</v>
      </c>
      <c r="Z49" t="s">
        <v>584</v>
      </c>
      <c r="AB49" t="s">
        <v>695</v>
      </c>
      <c r="AD49" t="s">
        <v>353</v>
      </c>
      <c r="AE49" t="s">
        <v>480</v>
      </c>
      <c r="AF49">
        <v>0</v>
      </c>
      <c r="AG49">
        <v>0</v>
      </c>
      <c r="AH49">
        <v>27.5</v>
      </c>
      <c r="AI49">
        <v>0</v>
      </c>
      <c r="AJ49" t="s">
        <v>586</v>
      </c>
      <c r="AK49" t="s">
        <v>695</v>
      </c>
      <c r="AL49" t="s">
        <v>587</v>
      </c>
    </row>
    <row r="50" spans="1:38" x14ac:dyDescent="0.2">
      <c r="A50">
        <v>1235526</v>
      </c>
      <c r="B50">
        <v>6917566</v>
      </c>
      <c r="C50">
        <v>187514</v>
      </c>
      <c r="E50" t="b">
        <v>0</v>
      </c>
      <c r="F50">
        <v>51875</v>
      </c>
      <c r="G50" t="s">
        <v>811</v>
      </c>
      <c r="H50">
        <v>1</v>
      </c>
      <c r="I50" t="s">
        <v>812</v>
      </c>
      <c r="J50" t="s">
        <v>570</v>
      </c>
      <c r="K50" t="s">
        <v>571</v>
      </c>
      <c r="L50" t="s">
        <v>571</v>
      </c>
      <c r="M50" t="s">
        <v>813</v>
      </c>
      <c r="N50" t="s">
        <v>242</v>
      </c>
      <c r="O50" t="s">
        <v>479</v>
      </c>
      <c r="U50" t="s">
        <v>814</v>
      </c>
      <c r="V50" t="s">
        <v>815</v>
      </c>
      <c r="W50" t="s">
        <v>492</v>
      </c>
      <c r="X50" t="s">
        <v>572</v>
      </c>
      <c r="Y50" t="s">
        <v>583</v>
      </c>
      <c r="AB50" t="s">
        <v>695</v>
      </c>
      <c r="AD50" t="s">
        <v>278</v>
      </c>
      <c r="AE50" t="s">
        <v>480</v>
      </c>
      <c r="AF50">
        <v>0</v>
      </c>
      <c r="AG50">
        <v>0</v>
      </c>
      <c r="AI50">
        <v>0</v>
      </c>
      <c r="AJ50" t="s">
        <v>586</v>
      </c>
      <c r="AK50" t="s">
        <v>695</v>
      </c>
      <c r="AL50" t="s">
        <v>587</v>
      </c>
    </row>
    <row r="51" spans="1:38" x14ac:dyDescent="0.2">
      <c r="A51">
        <v>2635568</v>
      </c>
      <c r="B51">
        <v>7621062</v>
      </c>
      <c r="C51">
        <v>187514</v>
      </c>
      <c r="E51" t="b">
        <v>0</v>
      </c>
      <c r="F51">
        <v>64450</v>
      </c>
      <c r="G51" t="s">
        <v>816</v>
      </c>
      <c r="H51">
        <v>1</v>
      </c>
      <c r="I51" t="s">
        <v>817</v>
      </c>
      <c r="J51" t="s">
        <v>569</v>
      </c>
      <c r="K51" t="s">
        <v>569</v>
      </c>
      <c r="L51" t="s">
        <v>569</v>
      </c>
      <c r="M51" t="s">
        <v>818</v>
      </c>
      <c r="N51" t="s">
        <v>243</v>
      </c>
      <c r="O51" t="s">
        <v>539</v>
      </c>
      <c r="U51" t="s">
        <v>819</v>
      </c>
      <c r="V51" t="s">
        <v>820</v>
      </c>
      <c r="W51" t="s">
        <v>532</v>
      </c>
      <c r="X51" t="s">
        <v>572</v>
      </c>
      <c r="Y51" t="s">
        <v>449</v>
      </c>
      <c r="Z51" t="s">
        <v>584</v>
      </c>
      <c r="AB51" t="s">
        <v>695</v>
      </c>
      <c r="AD51" t="s">
        <v>279</v>
      </c>
      <c r="AE51" t="s">
        <v>480</v>
      </c>
      <c r="AF51">
        <v>0</v>
      </c>
      <c r="AG51">
        <v>0</v>
      </c>
      <c r="AH51">
        <v>27.5</v>
      </c>
      <c r="AI51">
        <v>0</v>
      </c>
      <c r="AJ51" t="s">
        <v>586</v>
      </c>
      <c r="AK51" t="s">
        <v>695</v>
      </c>
      <c r="AL51" t="s">
        <v>587</v>
      </c>
    </row>
    <row r="52" spans="1:38" x14ac:dyDescent="0.2">
      <c r="A52">
        <v>1235345</v>
      </c>
      <c r="B52">
        <v>7865996</v>
      </c>
      <c r="C52">
        <v>7654931</v>
      </c>
      <c r="E52" t="b">
        <v>0</v>
      </c>
      <c r="F52">
        <v>68489</v>
      </c>
      <c r="G52" t="s">
        <v>821</v>
      </c>
      <c r="H52">
        <v>1</v>
      </c>
      <c r="I52" t="s">
        <v>822</v>
      </c>
      <c r="J52" t="s">
        <v>570</v>
      </c>
      <c r="K52" t="s">
        <v>571</v>
      </c>
      <c r="L52" t="s">
        <v>571</v>
      </c>
      <c r="M52" t="s">
        <v>823</v>
      </c>
      <c r="N52" t="s">
        <v>209</v>
      </c>
      <c r="O52" t="s">
        <v>209</v>
      </c>
      <c r="P52" t="s">
        <v>441</v>
      </c>
      <c r="S52" t="s">
        <v>824</v>
      </c>
      <c r="U52" t="s">
        <v>825</v>
      </c>
      <c r="V52" t="s">
        <v>826</v>
      </c>
      <c r="W52" t="s">
        <v>827</v>
      </c>
      <c r="X52" t="s">
        <v>572</v>
      </c>
      <c r="Y52" t="s">
        <v>133</v>
      </c>
      <c r="Z52" t="s">
        <v>828</v>
      </c>
      <c r="AB52" t="s">
        <v>610</v>
      </c>
      <c r="AD52" t="s">
        <v>208</v>
      </c>
      <c r="AE52" t="s">
        <v>442</v>
      </c>
      <c r="AF52">
        <v>0</v>
      </c>
      <c r="AG52">
        <v>0</v>
      </c>
      <c r="AH52">
        <v>117.75</v>
      </c>
      <c r="AI52">
        <v>0</v>
      </c>
      <c r="AJ52" t="s">
        <v>586</v>
      </c>
      <c r="AK52" t="s">
        <v>610</v>
      </c>
      <c r="AL52" t="s">
        <v>829</v>
      </c>
    </row>
    <row r="53" spans="1:38" x14ac:dyDescent="0.2">
      <c r="A53">
        <v>1235444</v>
      </c>
      <c r="B53">
        <v>7855800</v>
      </c>
      <c r="C53">
        <v>187508</v>
      </c>
      <c r="E53" t="b">
        <v>0</v>
      </c>
      <c r="F53">
        <v>68290</v>
      </c>
      <c r="G53" t="s">
        <v>830</v>
      </c>
      <c r="H53">
        <v>1</v>
      </c>
      <c r="I53" t="s">
        <v>831</v>
      </c>
      <c r="J53" t="s">
        <v>570</v>
      </c>
      <c r="K53" t="s">
        <v>569</v>
      </c>
      <c r="L53" t="s">
        <v>571</v>
      </c>
      <c r="M53" t="s">
        <v>832</v>
      </c>
      <c r="N53" t="s">
        <v>213</v>
      </c>
      <c r="O53" t="s">
        <v>212</v>
      </c>
      <c r="P53" t="s">
        <v>132</v>
      </c>
      <c r="S53" t="s">
        <v>623</v>
      </c>
      <c r="U53" t="s">
        <v>833</v>
      </c>
      <c r="V53" t="s">
        <v>834</v>
      </c>
      <c r="W53" t="s">
        <v>478</v>
      </c>
      <c r="X53" t="s">
        <v>572</v>
      </c>
      <c r="Y53" t="s">
        <v>583</v>
      </c>
      <c r="Z53" t="s">
        <v>584</v>
      </c>
      <c r="AB53" t="s">
        <v>585</v>
      </c>
      <c r="AD53" t="s">
        <v>459</v>
      </c>
      <c r="AE53" t="s">
        <v>835</v>
      </c>
      <c r="AF53">
        <v>0</v>
      </c>
      <c r="AG53">
        <v>0</v>
      </c>
      <c r="AH53">
        <v>102</v>
      </c>
      <c r="AI53">
        <v>0</v>
      </c>
      <c r="AJ53" t="s">
        <v>586</v>
      </c>
      <c r="AK53" t="s">
        <v>585</v>
      </c>
      <c r="AL53" t="s">
        <v>587</v>
      </c>
    </row>
    <row r="54" spans="1:38" x14ac:dyDescent="0.2">
      <c r="A54">
        <v>1235564</v>
      </c>
      <c r="B54">
        <v>7890061</v>
      </c>
      <c r="C54">
        <v>187508</v>
      </c>
      <c r="E54" t="b">
        <v>0</v>
      </c>
      <c r="F54">
        <v>69031</v>
      </c>
      <c r="G54" t="s">
        <v>836</v>
      </c>
      <c r="H54">
        <v>1</v>
      </c>
      <c r="I54" t="s">
        <v>837</v>
      </c>
      <c r="J54" t="s">
        <v>570</v>
      </c>
      <c r="K54" t="s">
        <v>569</v>
      </c>
      <c r="L54" t="s">
        <v>571</v>
      </c>
      <c r="M54" t="s">
        <v>838</v>
      </c>
      <c r="N54" t="s">
        <v>218</v>
      </c>
      <c r="O54" t="s">
        <v>217</v>
      </c>
      <c r="S54" t="s">
        <v>839</v>
      </c>
      <c r="U54" t="s">
        <v>840</v>
      </c>
      <c r="V54" t="s">
        <v>841</v>
      </c>
      <c r="W54" t="s">
        <v>478</v>
      </c>
      <c r="X54" t="s">
        <v>572</v>
      </c>
      <c r="Y54" t="s">
        <v>583</v>
      </c>
      <c r="Z54" t="s">
        <v>584</v>
      </c>
      <c r="AB54" t="s">
        <v>585</v>
      </c>
      <c r="AD54" t="s">
        <v>216</v>
      </c>
      <c r="AE54" t="s">
        <v>490</v>
      </c>
      <c r="AF54">
        <v>0</v>
      </c>
      <c r="AG54">
        <v>0</v>
      </c>
      <c r="AH54">
        <v>75</v>
      </c>
      <c r="AI54">
        <v>0</v>
      </c>
      <c r="AJ54" t="s">
        <v>586</v>
      </c>
      <c r="AK54" t="s">
        <v>585</v>
      </c>
      <c r="AL54" t="s">
        <v>587</v>
      </c>
    </row>
    <row r="55" spans="1:38" x14ac:dyDescent="0.2">
      <c r="A55">
        <v>1235501</v>
      </c>
      <c r="B55">
        <v>8010165</v>
      </c>
      <c r="C55">
        <v>187508</v>
      </c>
      <c r="E55" t="b">
        <v>0</v>
      </c>
      <c r="F55">
        <v>71410</v>
      </c>
      <c r="G55" t="s">
        <v>842</v>
      </c>
      <c r="H55">
        <v>1</v>
      </c>
      <c r="I55" t="s">
        <v>843</v>
      </c>
      <c r="J55" t="s">
        <v>570</v>
      </c>
      <c r="K55" t="s">
        <v>569</v>
      </c>
      <c r="L55" t="s">
        <v>571</v>
      </c>
      <c r="M55" t="s">
        <v>844</v>
      </c>
      <c r="N55" t="s">
        <v>221</v>
      </c>
      <c r="O55" t="s">
        <v>220</v>
      </c>
      <c r="P55" t="s">
        <v>449</v>
      </c>
      <c r="S55" t="s">
        <v>623</v>
      </c>
      <c r="U55" t="s">
        <v>661</v>
      </c>
      <c r="V55" t="s">
        <v>845</v>
      </c>
      <c r="W55" t="s">
        <v>478</v>
      </c>
      <c r="X55" t="s">
        <v>572</v>
      </c>
      <c r="Y55" t="s">
        <v>583</v>
      </c>
      <c r="Z55" t="s">
        <v>584</v>
      </c>
      <c r="AB55" t="s">
        <v>585</v>
      </c>
      <c r="AD55" t="s">
        <v>219</v>
      </c>
      <c r="AE55" t="s">
        <v>466</v>
      </c>
      <c r="AF55">
        <v>0</v>
      </c>
      <c r="AG55">
        <v>0</v>
      </c>
      <c r="AH55">
        <v>75</v>
      </c>
      <c r="AI55">
        <v>0</v>
      </c>
      <c r="AJ55" t="s">
        <v>586</v>
      </c>
      <c r="AK55" t="s">
        <v>585</v>
      </c>
      <c r="AL55" t="s">
        <v>587</v>
      </c>
    </row>
    <row r="56" spans="1:38" x14ac:dyDescent="0.2">
      <c r="A56">
        <v>1235704</v>
      </c>
      <c r="B56">
        <v>8031653</v>
      </c>
      <c r="C56">
        <v>187514</v>
      </c>
      <c r="E56" t="b">
        <v>0</v>
      </c>
      <c r="F56">
        <v>71907</v>
      </c>
      <c r="G56" t="s">
        <v>846</v>
      </c>
      <c r="H56">
        <v>1</v>
      </c>
      <c r="I56" t="s">
        <v>847</v>
      </c>
      <c r="J56" t="s">
        <v>570</v>
      </c>
      <c r="K56" t="s">
        <v>571</v>
      </c>
      <c r="L56" t="s">
        <v>571</v>
      </c>
      <c r="M56" t="s">
        <v>848</v>
      </c>
      <c r="N56" t="s">
        <v>287</v>
      </c>
      <c r="O56" t="s">
        <v>517</v>
      </c>
      <c r="S56" t="s">
        <v>709</v>
      </c>
      <c r="U56" t="s">
        <v>849</v>
      </c>
      <c r="V56" t="s">
        <v>850</v>
      </c>
      <c r="W56" t="s">
        <v>411</v>
      </c>
      <c r="X56" t="s">
        <v>572</v>
      </c>
      <c r="Y56" t="s">
        <v>449</v>
      </c>
      <c r="Z56" t="s">
        <v>584</v>
      </c>
      <c r="AB56" t="s">
        <v>695</v>
      </c>
      <c r="AD56" t="s">
        <v>286</v>
      </c>
      <c r="AE56" t="s">
        <v>286</v>
      </c>
      <c r="AF56">
        <v>0</v>
      </c>
      <c r="AG56">
        <v>0</v>
      </c>
      <c r="AH56">
        <v>27.5</v>
      </c>
      <c r="AI56">
        <v>0</v>
      </c>
      <c r="AJ56" t="s">
        <v>586</v>
      </c>
      <c r="AK56" t="s">
        <v>695</v>
      </c>
      <c r="AL56" t="s">
        <v>587</v>
      </c>
    </row>
    <row r="57" spans="1:38" x14ac:dyDescent="0.2">
      <c r="A57">
        <v>1235563</v>
      </c>
      <c r="B57">
        <v>7009411</v>
      </c>
      <c r="C57">
        <v>7589603</v>
      </c>
      <c r="E57" t="b">
        <v>0</v>
      </c>
      <c r="F57">
        <v>53782</v>
      </c>
      <c r="G57" t="s">
        <v>851</v>
      </c>
      <c r="H57">
        <v>1</v>
      </c>
      <c r="I57" t="s">
        <v>852</v>
      </c>
      <c r="J57" t="s">
        <v>570</v>
      </c>
      <c r="K57" t="s">
        <v>569</v>
      </c>
      <c r="L57" t="s">
        <v>571</v>
      </c>
      <c r="M57" t="s">
        <v>853</v>
      </c>
      <c r="N57" t="s">
        <v>253</v>
      </c>
      <c r="O57" t="s">
        <v>253</v>
      </c>
      <c r="P57" t="s">
        <v>487</v>
      </c>
      <c r="S57" t="s">
        <v>615</v>
      </c>
      <c r="U57" t="s">
        <v>854</v>
      </c>
      <c r="V57" t="s">
        <v>855</v>
      </c>
      <c r="W57" t="s">
        <v>478</v>
      </c>
      <c r="X57" t="s">
        <v>572</v>
      </c>
      <c r="Y57" t="s">
        <v>133</v>
      </c>
      <c r="Z57" t="s">
        <v>584</v>
      </c>
      <c r="AB57" t="s">
        <v>610</v>
      </c>
      <c r="AD57" t="s">
        <v>488</v>
      </c>
      <c r="AE57" t="s">
        <v>489</v>
      </c>
      <c r="AF57">
        <v>0</v>
      </c>
      <c r="AG57">
        <v>0</v>
      </c>
      <c r="AH57">
        <v>46</v>
      </c>
      <c r="AI57">
        <v>0</v>
      </c>
      <c r="AJ57" t="s">
        <v>586</v>
      </c>
      <c r="AK57" t="s">
        <v>610</v>
      </c>
      <c r="AL57" t="s">
        <v>619</v>
      </c>
    </row>
    <row r="58" spans="1:38" x14ac:dyDescent="0.2">
      <c r="A58">
        <v>1235428</v>
      </c>
      <c r="B58">
        <v>3934094</v>
      </c>
      <c r="C58">
        <v>7589603</v>
      </c>
      <c r="E58" t="b">
        <v>0</v>
      </c>
      <c r="F58">
        <v>17702</v>
      </c>
      <c r="G58" t="s">
        <v>856</v>
      </c>
      <c r="H58">
        <v>1</v>
      </c>
      <c r="I58" t="s">
        <v>857</v>
      </c>
      <c r="J58" t="s">
        <v>570</v>
      </c>
      <c r="K58" t="s">
        <v>571</v>
      </c>
      <c r="L58" t="s">
        <v>571</v>
      </c>
      <c r="M58" t="s">
        <v>858</v>
      </c>
      <c r="N58" t="s">
        <v>254</v>
      </c>
      <c r="O58" t="s">
        <v>254</v>
      </c>
      <c r="P58" t="s">
        <v>790</v>
      </c>
      <c r="S58" t="s">
        <v>615</v>
      </c>
      <c r="V58" t="s">
        <v>859</v>
      </c>
      <c r="W58" t="s">
        <v>478</v>
      </c>
      <c r="X58" t="s">
        <v>572</v>
      </c>
      <c r="Y58" t="s">
        <v>133</v>
      </c>
      <c r="Z58" t="s">
        <v>584</v>
      </c>
      <c r="AB58" t="s">
        <v>610</v>
      </c>
      <c r="AD58" t="s">
        <v>860</v>
      </c>
      <c r="AE58" t="s">
        <v>861</v>
      </c>
      <c r="AF58">
        <v>0</v>
      </c>
      <c r="AG58">
        <v>0</v>
      </c>
      <c r="AH58">
        <v>41</v>
      </c>
      <c r="AI58">
        <v>0</v>
      </c>
      <c r="AJ58" t="s">
        <v>586</v>
      </c>
      <c r="AK58" t="s">
        <v>610</v>
      </c>
      <c r="AL58" t="s">
        <v>619</v>
      </c>
    </row>
    <row r="59" spans="1:38" x14ac:dyDescent="0.2">
      <c r="A59">
        <v>2822437</v>
      </c>
    </row>
    <row r="60" spans="1:38" x14ac:dyDescent="0.2">
      <c r="A60">
        <v>1235598</v>
      </c>
      <c r="B60">
        <v>7490110</v>
      </c>
      <c r="C60">
        <v>7589602</v>
      </c>
      <c r="E60" t="b">
        <v>0</v>
      </c>
      <c r="F60">
        <v>61175</v>
      </c>
      <c r="G60" t="s">
        <v>862</v>
      </c>
      <c r="H60">
        <v>1</v>
      </c>
      <c r="I60" t="s">
        <v>863</v>
      </c>
      <c r="J60" t="s">
        <v>570</v>
      </c>
      <c r="K60" t="s">
        <v>569</v>
      </c>
      <c r="L60" t="s">
        <v>571</v>
      </c>
      <c r="M60" t="s">
        <v>864</v>
      </c>
      <c r="N60" t="s">
        <v>210</v>
      </c>
      <c r="O60" t="s">
        <v>210</v>
      </c>
      <c r="P60" t="s">
        <v>478</v>
      </c>
      <c r="S60" t="s">
        <v>623</v>
      </c>
      <c r="U60" t="s">
        <v>865</v>
      </c>
      <c r="V60" t="s">
        <v>866</v>
      </c>
      <c r="W60" t="s">
        <v>478</v>
      </c>
      <c r="X60" t="s">
        <v>572</v>
      </c>
      <c r="Y60" t="s">
        <v>133</v>
      </c>
      <c r="Z60" t="s">
        <v>584</v>
      </c>
      <c r="AA60" t="s">
        <v>34</v>
      </c>
      <c r="AB60" t="s">
        <v>627</v>
      </c>
      <c r="AD60" t="s">
        <v>493</v>
      </c>
      <c r="AE60" t="s">
        <v>493</v>
      </c>
      <c r="AF60">
        <v>0</v>
      </c>
      <c r="AG60">
        <v>0</v>
      </c>
      <c r="AH60">
        <v>76.25</v>
      </c>
      <c r="AI60">
        <v>0</v>
      </c>
      <c r="AJ60" t="s">
        <v>586</v>
      </c>
      <c r="AK60" t="s">
        <v>627</v>
      </c>
      <c r="AL60" t="s">
        <v>619</v>
      </c>
    </row>
    <row r="61" spans="1:38" x14ac:dyDescent="0.2">
      <c r="A61">
        <v>1235517</v>
      </c>
      <c r="B61">
        <v>6829128</v>
      </c>
      <c r="C61">
        <v>187510</v>
      </c>
      <c r="E61" t="b">
        <v>0</v>
      </c>
      <c r="F61">
        <v>50907</v>
      </c>
      <c r="G61" t="s">
        <v>867</v>
      </c>
      <c r="H61">
        <v>1</v>
      </c>
      <c r="I61" t="s">
        <v>868</v>
      </c>
      <c r="J61" t="s">
        <v>570</v>
      </c>
      <c r="K61" t="s">
        <v>569</v>
      </c>
      <c r="L61" t="s">
        <v>571</v>
      </c>
      <c r="M61" t="s">
        <v>869</v>
      </c>
      <c r="N61" t="s">
        <v>211</v>
      </c>
      <c r="O61" t="s">
        <v>211</v>
      </c>
      <c r="P61" t="s">
        <v>124</v>
      </c>
      <c r="S61" t="s">
        <v>623</v>
      </c>
      <c r="U61" t="s">
        <v>870</v>
      </c>
      <c r="V61" t="s">
        <v>871</v>
      </c>
      <c r="W61" t="s">
        <v>478</v>
      </c>
      <c r="X61" t="s">
        <v>572</v>
      </c>
      <c r="Y61" t="s">
        <v>133</v>
      </c>
      <c r="Z61" t="s">
        <v>584</v>
      </c>
      <c r="AA61" t="s">
        <v>34</v>
      </c>
      <c r="AB61" t="s">
        <v>627</v>
      </c>
      <c r="AD61" t="s">
        <v>872</v>
      </c>
      <c r="AE61" t="s">
        <v>872</v>
      </c>
      <c r="AF61">
        <v>0</v>
      </c>
      <c r="AG61">
        <v>0</v>
      </c>
      <c r="AH61">
        <v>74.75</v>
      </c>
      <c r="AI61">
        <v>0</v>
      </c>
      <c r="AJ61" t="s">
        <v>586</v>
      </c>
      <c r="AK61" t="s">
        <v>627</v>
      </c>
      <c r="AL61" t="s">
        <v>587</v>
      </c>
    </row>
    <row r="62" spans="1:38" x14ac:dyDescent="0.2">
      <c r="A62">
        <v>2822784</v>
      </c>
      <c r="B62">
        <v>8069275</v>
      </c>
      <c r="E62" t="b">
        <v>0</v>
      </c>
      <c r="F62">
        <v>72690</v>
      </c>
      <c r="G62" t="s">
        <v>873</v>
      </c>
      <c r="H62">
        <v>1</v>
      </c>
      <c r="I62" t="s">
        <v>874</v>
      </c>
      <c r="J62" t="s">
        <v>570</v>
      </c>
      <c r="K62" t="s">
        <v>571</v>
      </c>
      <c r="L62" t="s">
        <v>571</v>
      </c>
      <c r="M62" t="s">
        <v>875</v>
      </c>
      <c r="N62" t="s">
        <v>543</v>
      </c>
      <c r="O62" t="s">
        <v>543</v>
      </c>
      <c r="P62" t="s">
        <v>165</v>
      </c>
      <c r="S62" t="s">
        <v>876</v>
      </c>
      <c r="V62" t="s">
        <v>877</v>
      </c>
      <c r="W62" t="s">
        <v>478</v>
      </c>
      <c r="X62" t="s">
        <v>572</v>
      </c>
      <c r="Y62" t="s">
        <v>618</v>
      </c>
      <c r="Z62" t="s">
        <v>584</v>
      </c>
      <c r="AA62" t="s">
        <v>34</v>
      </c>
      <c r="AD62" t="s">
        <v>544</v>
      </c>
      <c r="AE62" t="s">
        <v>544</v>
      </c>
      <c r="AF62">
        <v>0</v>
      </c>
      <c r="AG62">
        <v>0</v>
      </c>
      <c r="AH62">
        <v>76.25</v>
      </c>
      <c r="AI62">
        <v>0</v>
      </c>
      <c r="AJ62" t="s">
        <v>586</v>
      </c>
    </row>
    <row r="63" spans="1:38" x14ac:dyDescent="0.2">
      <c r="A63">
        <v>1235416</v>
      </c>
      <c r="B63">
        <v>7618351</v>
      </c>
      <c r="C63">
        <v>187510</v>
      </c>
      <c r="E63" t="b">
        <v>0</v>
      </c>
      <c r="F63">
        <v>64375</v>
      </c>
      <c r="G63" t="s">
        <v>878</v>
      </c>
      <c r="H63">
        <v>1</v>
      </c>
      <c r="I63" t="s">
        <v>879</v>
      </c>
      <c r="J63" t="s">
        <v>570</v>
      </c>
      <c r="K63" t="s">
        <v>880</v>
      </c>
      <c r="L63" t="s">
        <v>571</v>
      </c>
      <c r="M63" t="s">
        <v>881</v>
      </c>
      <c r="N63" t="s">
        <v>453</v>
      </c>
      <c r="O63" t="s">
        <v>453</v>
      </c>
      <c r="P63" t="s">
        <v>454</v>
      </c>
      <c r="S63" t="s">
        <v>882</v>
      </c>
      <c r="U63" t="s">
        <v>883</v>
      </c>
      <c r="V63" t="s">
        <v>884</v>
      </c>
      <c r="W63" t="s">
        <v>478</v>
      </c>
      <c r="X63" t="s">
        <v>572</v>
      </c>
      <c r="Y63" t="s">
        <v>133</v>
      </c>
      <c r="Z63" t="s">
        <v>584</v>
      </c>
      <c r="AA63" t="s">
        <v>34</v>
      </c>
      <c r="AB63" t="s">
        <v>627</v>
      </c>
      <c r="AD63" t="s">
        <v>455</v>
      </c>
      <c r="AE63" t="s">
        <v>455</v>
      </c>
      <c r="AF63">
        <v>0</v>
      </c>
      <c r="AG63">
        <v>0</v>
      </c>
      <c r="AH63">
        <v>76.25</v>
      </c>
      <c r="AI63">
        <v>0</v>
      </c>
      <c r="AJ63" t="s">
        <v>586</v>
      </c>
      <c r="AK63" t="s">
        <v>627</v>
      </c>
      <c r="AL63" t="s">
        <v>587</v>
      </c>
    </row>
    <row r="64" spans="1:38" x14ac:dyDescent="0.2">
      <c r="A64">
        <v>1235503</v>
      </c>
      <c r="B64">
        <v>8035837</v>
      </c>
      <c r="C64">
        <v>187508</v>
      </c>
      <c r="E64" t="b">
        <v>0</v>
      </c>
      <c r="F64">
        <v>72022</v>
      </c>
      <c r="G64" t="s">
        <v>885</v>
      </c>
      <c r="H64">
        <v>1</v>
      </c>
      <c r="I64" t="s">
        <v>886</v>
      </c>
      <c r="J64" t="s">
        <v>570</v>
      </c>
      <c r="K64" t="s">
        <v>569</v>
      </c>
      <c r="L64" t="s">
        <v>571</v>
      </c>
      <c r="M64" t="s">
        <v>887</v>
      </c>
      <c r="N64" t="s">
        <v>292</v>
      </c>
      <c r="O64" t="s">
        <v>214</v>
      </c>
      <c r="P64" t="s">
        <v>449</v>
      </c>
      <c r="S64" t="s">
        <v>888</v>
      </c>
      <c r="U64" t="s">
        <v>889</v>
      </c>
      <c r="V64" t="s">
        <v>890</v>
      </c>
      <c r="W64" t="s">
        <v>478</v>
      </c>
      <c r="X64" t="s">
        <v>572</v>
      </c>
      <c r="Y64" t="s">
        <v>583</v>
      </c>
      <c r="Z64" t="s">
        <v>584</v>
      </c>
      <c r="AB64" t="s">
        <v>585</v>
      </c>
      <c r="AD64" t="s">
        <v>293</v>
      </c>
      <c r="AE64" t="s">
        <v>469</v>
      </c>
      <c r="AF64">
        <v>0</v>
      </c>
      <c r="AG64">
        <v>0</v>
      </c>
      <c r="AH64">
        <v>97</v>
      </c>
      <c r="AI64">
        <v>0</v>
      </c>
      <c r="AJ64" t="s">
        <v>586</v>
      </c>
      <c r="AK64" t="s">
        <v>585</v>
      </c>
      <c r="AL64" t="s">
        <v>587</v>
      </c>
    </row>
    <row r="65" spans="1:1" x14ac:dyDescent="0.2">
      <c r="A65">
        <v>1235768</v>
      </c>
    </row>
    <row r="66" spans="1:1" x14ac:dyDescent="0.2">
      <c r="A66">
        <v>1235769</v>
      </c>
    </row>
    <row r="67" spans="1:1" x14ac:dyDescent="0.2">
      <c r="A67">
        <v>1235540</v>
      </c>
    </row>
  </sheetData>
  <sheetProtection algorithmName="SHA-512" hashValue="yfLVZ7eCHGby3af1V11NAcsngBnfP+nQ/t57a7zXVzCpj3NBf7IdL6gBvvpvHoG0a94mwOs8DgngS/doFAom7Q==" saltValue="s6BhXs2laEucrOHpk9qH4A=="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603</v>
      </c>
      <c r="B1" s="44" t="s">
        <v>601</v>
      </c>
      <c r="C1" s="44" t="s">
        <v>602</v>
      </c>
    </row>
    <row r="2" spans="1:3" x14ac:dyDescent="0.2">
      <c r="A2" s="44" t="s">
        <v>600</v>
      </c>
      <c r="B2">
        <v>-100</v>
      </c>
      <c r="C2">
        <v>450</v>
      </c>
    </row>
    <row r="3" spans="1:3" x14ac:dyDescent="0.2">
      <c r="A3" s="44" t="s">
        <v>594</v>
      </c>
      <c r="B3">
        <v>-50</v>
      </c>
      <c r="C3">
        <v>450</v>
      </c>
    </row>
    <row r="4" spans="1:3" x14ac:dyDescent="0.2">
      <c r="A4" s="44" t="s">
        <v>593</v>
      </c>
      <c r="B4">
        <v>70</v>
      </c>
      <c r="C4">
        <v>500</v>
      </c>
    </row>
    <row r="5" spans="1:3" x14ac:dyDescent="0.2">
      <c r="A5" s="44" t="s">
        <v>595</v>
      </c>
      <c r="B5">
        <v>70</v>
      </c>
      <c r="C5">
        <v>450</v>
      </c>
    </row>
    <row r="6" spans="1:3" x14ac:dyDescent="0.2">
      <c r="A6" s="44" t="s">
        <v>597</v>
      </c>
      <c r="B6">
        <v>70</v>
      </c>
      <c r="C6">
        <v>1000</v>
      </c>
    </row>
    <row r="7" spans="1:3" x14ac:dyDescent="0.2">
      <c r="A7" s="44" t="s">
        <v>598</v>
      </c>
      <c r="B7">
        <v>200</v>
      </c>
      <c r="C7">
        <v>1850</v>
      </c>
    </row>
    <row r="8" spans="1:3" x14ac:dyDescent="0.2">
      <c r="A8" s="44" t="s">
        <v>596</v>
      </c>
      <c r="B8">
        <v>700</v>
      </c>
      <c r="C8">
        <v>2200</v>
      </c>
    </row>
    <row r="9" spans="1:3" x14ac:dyDescent="0.2">
      <c r="A9" s="44" t="s">
        <v>599</v>
      </c>
      <c r="B9">
        <v>700</v>
      </c>
      <c r="C9">
        <v>2200</v>
      </c>
    </row>
  </sheetData>
  <sheetProtection algorithmName="SHA-512" hashValue="LJDV0elidLazdZWpRbB4R3UwuYsFXUwimHUXP82AGJ4sRQgRa6xPuwV5yepDtF/+tAlKnovNESC9fqcy651DuQ==" saltValue="zgiUWTZ3sp2A5t4xKlSbU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C161"/>
  <sheetViews>
    <sheetView workbookViewId="0">
      <selection activeCell="G35" sqref="G35"/>
    </sheetView>
  </sheetViews>
  <sheetFormatPr defaultRowHeight="12.75" x14ac:dyDescent="0.2"/>
  <cols>
    <col min="1" max="1" width="11.5703125" bestFit="1" customWidth="1"/>
    <col min="2" max="2" width="11.7109375" bestFit="1" customWidth="1"/>
    <col min="3" max="3" width="8.42578125" bestFit="1" customWidth="1"/>
  </cols>
  <sheetData>
    <row r="1" spans="1:3" x14ac:dyDescent="0.2">
      <c r="A1"/>
      <c r="B1"/>
      <c r="C1"/>
    </row>
    <row r="2" spans="1:3" x14ac:dyDescent="0.2">
      <c r="A2" s="480"/>
    </row>
    <row r="3" spans="1:3" x14ac:dyDescent="0.2">
      <c r="A3" s="480"/>
    </row>
    <row r="4" spans="1:3" x14ac:dyDescent="0.2">
      <c r="A4" s="480"/>
    </row>
    <row r="5" spans="1:3" x14ac:dyDescent="0.2">
      <c r="A5" s="480"/>
    </row>
    <row r="6" spans="1:3" x14ac:dyDescent="0.2">
      <c r="A6" s="480"/>
    </row>
    <row r="7" spans="1:3" x14ac:dyDescent="0.2">
      <c r="A7" s="480"/>
    </row>
    <row r="8" spans="1:3" x14ac:dyDescent="0.2">
      <c r="A8" s="480"/>
    </row>
    <row r="9" spans="1:3" x14ac:dyDescent="0.2">
      <c r="A9" s="480"/>
    </row>
    <row r="10" spans="1:3" x14ac:dyDescent="0.2">
      <c r="A10" s="480"/>
    </row>
    <row r="11" spans="1:3" x14ac:dyDescent="0.2">
      <c r="A11" s="480"/>
    </row>
    <row r="12" spans="1:3" x14ac:dyDescent="0.2">
      <c r="A12" s="480"/>
    </row>
    <row r="13" spans="1:3" x14ac:dyDescent="0.2">
      <c r="A13" s="480"/>
    </row>
    <row r="14" spans="1:3" x14ac:dyDescent="0.2">
      <c r="A14" s="480"/>
    </row>
    <row r="15" spans="1:3" x14ac:dyDescent="0.2">
      <c r="A15" s="480"/>
    </row>
    <row r="16" spans="1:3" x14ac:dyDescent="0.2">
      <c r="A16" s="480"/>
    </row>
    <row r="17" spans="1:1" x14ac:dyDescent="0.2">
      <c r="A17" s="480"/>
    </row>
    <row r="18" spans="1:1" x14ac:dyDescent="0.2">
      <c r="A18" s="480"/>
    </row>
    <row r="19" spans="1:1" x14ac:dyDescent="0.2">
      <c r="A19" s="480"/>
    </row>
    <row r="20" spans="1:1" x14ac:dyDescent="0.2">
      <c r="A20" s="480"/>
    </row>
    <row r="21" spans="1:1" x14ac:dyDescent="0.2">
      <c r="A21" s="480"/>
    </row>
    <row r="22" spans="1:1" x14ac:dyDescent="0.2">
      <c r="A22" s="480"/>
    </row>
    <row r="23" spans="1:1" x14ac:dyDescent="0.2">
      <c r="A23" s="480"/>
    </row>
    <row r="24" spans="1:1" x14ac:dyDescent="0.2">
      <c r="A24" s="480"/>
    </row>
    <row r="25" spans="1:1" x14ac:dyDescent="0.2">
      <c r="A25" s="480"/>
    </row>
    <row r="26" spans="1:1" x14ac:dyDescent="0.2">
      <c r="A26" s="480"/>
    </row>
    <row r="27" spans="1:1" x14ac:dyDescent="0.2">
      <c r="A27" s="480"/>
    </row>
    <row r="28" spans="1:1" x14ac:dyDescent="0.2">
      <c r="A28" s="480"/>
    </row>
    <row r="29" spans="1:1" x14ac:dyDescent="0.2">
      <c r="A29" s="480"/>
    </row>
    <row r="30" spans="1:1" x14ac:dyDescent="0.2">
      <c r="A30" s="480"/>
    </row>
    <row r="31" spans="1:1" x14ac:dyDescent="0.2">
      <c r="A31" s="480"/>
    </row>
    <row r="32" spans="1:1" x14ac:dyDescent="0.2">
      <c r="A32" s="480"/>
    </row>
    <row r="33" spans="1:1" x14ac:dyDescent="0.2">
      <c r="A33" s="480"/>
    </row>
    <row r="34" spans="1:1" x14ac:dyDescent="0.2">
      <c r="A34" s="480"/>
    </row>
    <row r="35" spans="1:1" x14ac:dyDescent="0.2">
      <c r="A35" s="480"/>
    </row>
    <row r="36" spans="1:1" x14ac:dyDescent="0.2">
      <c r="A36" s="480"/>
    </row>
    <row r="37" spans="1:1" x14ac:dyDescent="0.2">
      <c r="A37" s="480"/>
    </row>
    <row r="38" spans="1:1" x14ac:dyDescent="0.2">
      <c r="A38" s="480"/>
    </row>
    <row r="39" spans="1:1" x14ac:dyDescent="0.2">
      <c r="A39" s="480"/>
    </row>
    <row r="40" spans="1:1" x14ac:dyDescent="0.2">
      <c r="A40" s="480"/>
    </row>
    <row r="41" spans="1:1" x14ac:dyDescent="0.2">
      <c r="A41" s="480"/>
    </row>
    <row r="42" spans="1:1" x14ac:dyDescent="0.2">
      <c r="A42" s="480"/>
    </row>
    <row r="43" spans="1:1" x14ac:dyDescent="0.2">
      <c r="A43" s="480"/>
    </row>
    <row r="44" spans="1:1" x14ac:dyDescent="0.2">
      <c r="A44" s="480"/>
    </row>
    <row r="45" spans="1:1" x14ac:dyDescent="0.2">
      <c r="A45" s="480"/>
    </row>
    <row r="46" spans="1:1" x14ac:dyDescent="0.2">
      <c r="A46" s="480"/>
    </row>
    <row r="47" spans="1:1" x14ac:dyDescent="0.2">
      <c r="A47" s="480"/>
    </row>
    <row r="48" spans="1:1" x14ac:dyDescent="0.2">
      <c r="A48" s="480"/>
    </row>
    <row r="49" spans="1:1" x14ac:dyDescent="0.2">
      <c r="A49" s="480"/>
    </row>
    <row r="50" spans="1:1" x14ac:dyDescent="0.2">
      <c r="A50" s="480"/>
    </row>
    <row r="51" spans="1:1" x14ac:dyDescent="0.2">
      <c r="A51" s="480"/>
    </row>
    <row r="52" spans="1:1" x14ac:dyDescent="0.2">
      <c r="A52" s="480"/>
    </row>
    <row r="53" spans="1:1" x14ac:dyDescent="0.2">
      <c r="A53" s="480"/>
    </row>
    <row r="54" spans="1:1" x14ac:dyDescent="0.2">
      <c r="A54" s="480"/>
    </row>
    <row r="55" spans="1:1" x14ac:dyDescent="0.2">
      <c r="A55" s="480"/>
    </row>
    <row r="56" spans="1:1" x14ac:dyDescent="0.2">
      <c r="A56" s="480"/>
    </row>
    <row r="57" spans="1:1" x14ac:dyDescent="0.2">
      <c r="A57" s="480"/>
    </row>
    <row r="58" spans="1:1" x14ac:dyDescent="0.2">
      <c r="A58" s="480"/>
    </row>
    <row r="59" spans="1:1" x14ac:dyDescent="0.2">
      <c r="A59" s="480"/>
    </row>
    <row r="60" spans="1:1" x14ac:dyDescent="0.2">
      <c r="A60" s="480"/>
    </row>
    <row r="61" spans="1:1" x14ac:dyDescent="0.2">
      <c r="A61" s="480"/>
    </row>
    <row r="62" spans="1:1" x14ac:dyDescent="0.2">
      <c r="A62" s="480"/>
    </row>
    <row r="63" spans="1:1" x14ac:dyDescent="0.2">
      <c r="A63" s="480"/>
    </row>
    <row r="64" spans="1:1" x14ac:dyDescent="0.2">
      <c r="A64" s="480"/>
    </row>
    <row r="65" spans="1:1" x14ac:dyDescent="0.2">
      <c r="A65" s="480"/>
    </row>
    <row r="66" spans="1:1" x14ac:dyDescent="0.2">
      <c r="A66" s="480"/>
    </row>
    <row r="67" spans="1:1" x14ac:dyDescent="0.2">
      <c r="A67" s="480"/>
    </row>
    <row r="68" spans="1:1" x14ac:dyDescent="0.2">
      <c r="A68" s="480"/>
    </row>
    <row r="69" spans="1:1" x14ac:dyDescent="0.2">
      <c r="A69" s="480"/>
    </row>
    <row r="70" spans="1:1" x14ac:dyDescent="0.2">
      <c r="A70" s="480"/>
    </row>
    <row r="71" spans="1:1" x14ac:dyDescent="0.2">
      <c r="A71" s="480"/>
    </row>
    <row r="72" spans="1:1" x14ac:dyDescent="0.2">
      <c r="A72" s="480"/>
    </row>
    <row r="73" spans="1:1" x14ac:dyDescent="0.2">
      <c r="A73" s="480"/>
    </row>
    <row r="74" spans="1:1" x14ac:dyDescent="0.2">
      <c r="A74" s="480"/>
    </row>
    <row r="75" spans="1:1" x14ac:dyDescent="0.2">
      <c r="A75" s="480"/>
    </row>
    <row r="76" spans="1:1" x14ac:dyDescent="0.2">
      <c r="A76" s="480"/>
    </row>
    <row r="77" spans="1:1" x14ac:dyDescent="0.2">
      <c r="A77" s="480"/>
    </row>
    <row r="78" spans="1:1" x14ac:dyDescent="0.2">
      <c r="A78" s="480"/>
    </row>
    <row r="79" spans="1:1" x14ac:dyDescent="0.2">
      <c r="A79" s="480"/>
    </row>
    <row r="80" spans="1:1" x14ac:dyDescent="0.2">
      <c r="A80" s="480"/>
    </row>
    <row r="81" spans="1:1" x14ac:dyDescent="0.2">
      <c r="A81" s="480"/>
    </row>
    <row r="82" spans="1:1" x14ac:dyDescent="0.2">
      <c r="A82" s="480"/>
    </row>
    <row r="83" spans="1:1" x14ac:dyDescent="0.2">
      <c r="A83" s="480"/>
    </row>
    <row r="84" spans="1:1" x14ac:dyDescent="0.2">
      <c r="A84" s="480"/>
    </row>
    <row r="85" spans="1:1" x14ac:dyDescent="0.2">
      <c r="A85" s="480"/>
    </row>
    <row r="86" spans="1:1" x14ac:dyDescent="0.2">
      <c r="A86" s="480"/>
    </row>
    <row r="87" spans="1:1" x14ac:dyDescent="0.2">
      <c r="A87" s="480"/>
    </row>
    <row r="88" spans="1:1" x14ac:dyDescent="0.2">
      <c r="A88" s="480"/>
    </row>
    <row r="89" spans="1:1" x14ac:dyDescent="0.2">
      <c r="A89" s="480"/>
    </row>
    <row r="90" spans="1:1" x14ac:dyDescent="0.2">
      <c r="A90" s="480"/>
    </row>
    <row r="91" spans="1:1" x14ac:dyDescent="0.2">
      <c r="A91" s="480"/>
    </row>
    <row r="92" spans="1:1" x14ac:dyDescent="0.2">
      <c r="A92" s="480"/>
    </row>
    <row r="93" spans="1:1" x14ac:dyDescent="0.2">
      <c r="A93" s="480"/>
    </row>
    <row r="94" spans="1:1" x14ac:dyDescent="0.2">
      <c r="A94" s="480"/>
    </row>
    <row r="95" spans="1:1" x14ac:dyDescent="0.2">
      <c r="A95" s="480"/>
    </row>
    <row r="96" spans="1:1" x14ac:dyDescent="0.2">
      <c r="A96" s="480"/>
    </row>
    <row r="97" spans="1:1" x14ac:dyDescent="0.2">
      <c r="A97" s="480"/>
    </row>
    <row r="98" spans="1:1" x14ac:dyDescent="0.2">
      <c r="A98" s="480"/>
    </row>
    <row r="99" spans="1:1" x14ac:dyDescent="0.2">
      <c r="A99" s="480"/>
    </row>
    <row r="100" spans="1:1" x14ac:dyDescent="0.2">
      <c r="A100" s="480"/>
    </row>
    <row r="101" spans="1:1" x14ac:dyDescent="0.2">
      <c r="A101" s="480"/>
    </row>
    <row r="102" spans="1:1" x14ac:dyDescent="0.2">
      <c r="A102" s="480"/>
    </row>
    <row r="103" spans="1:1" x14ac:dyDescent="0.2">
      <c r="A103" s="480"/>
    </row>
    <row r="104" spans="1:1" x14ac:dyDescent="0.2">
      <c r="A104" s="480"/>
    </row>
    <row r="105" spans="1:1" x14ac:dyDescent="0.2">
      <c r="A105" s="480"/>
    </row>
    <row r="106" spans="1:1" x14ac:dyDescent="0.2">
      <c r="A106" s="480"/>
    </row>
    <row r="107" spans="1:1" x14ac:dyDescent="0.2">
      <c r="A107" s="480"/>
    </row>
    <row r="108" spans="1:1" x14ac:dyDescent="0.2">
      <c r="A108" s="480"/>
    </row>
    <row r="109" spans="1:1" x14ac:dyDescent="0.2">
      <c r="A109" s="480"/>
    </row>
    <row r="110" spans="1:1" x14ac:dyDescent="0.2">
      <c r="A110" s="480"/>
    </row>
    <row r="111" spans="1:1" x14ac:dyDescent="0.2">
      <c r="A111" s="480"/>
    </row>
    <row r="112" spans="1:1" x14ac:dyDescent="0.2">
      <c r="A112" s="480"/>
    </row>
    <row r="113" spans="1:1" x14ac:dyDescent="0.2">
      <c r="A113" s="480"/>
    </row>
    <row r="114" spans="1:1" x14ac:dyDescent="0.2">
      <c r="A114" s="480"/>
    </row>
    <row r="115" spans="1:1" x14ac:dyDescent="0.2">
      <c r="A115" s="480"/>
    </row>
    <row r="116" spans="1:1" x14ac:dyDescent="0.2">
      <c r="A116" s="480"/>
    </row>
    <row r="117" spans="1:1" x14ac:dyDescent="0.2">
      <c r="A117" s="480"/>
    </row>
    <row r="118" spans="1:1" x14ac:dyDescent="0.2">
      <c r="A118" s="480"/>
    </row>
    <row r="119" spans="1:1" x14ac:dyDescent="0.2">
      <c r="A119" s="480"/>
    </row>
    <row r="120" spans="1:1" x14ac:dyDescent="0.2">
      <c r="A120" s="480"/>
    </row>
    <row r="121" spans="1:1" x14ac:dyDescent="0.2">
      <c r="A121" s="480"/>
    </row>
    <row r="122" spans="1:1" x14ac:dyDescent="0.2">
      <c r="A122" s="480"/>
    </row>
    <row r="123" spans="1:1" x14ac:dyDescent="0.2">
      <c r="A123" s="480"/>
    </row>
    <row r="124" spans="1:1" x14ac:dyDescent="0.2">
      <c r="A124" s="480"/>
    </row>
    <row r="125" spans="1:1" x14ac:dyDescent="0.2">
      <c r="A125" s="480"/>
    </row>
    <row r="126" spans="1:1" x14ac:dyDescent="0.2">
      <c r="A126" s="480"/>
    </row>
    <row r="127" spans="1:1" x14ac:dyDescent="0.2">
      <c r="A127" s="480"/>
    </row>
    <row r="128" spans="1:1" x14ac:dyDescent="0.2">
      <c r="A128" s="480"/>
    </row>
    <row r="129" spans="1:1" x14ac:dyDescent="0.2">
      <c r="A129" s="480"/>
    </row>
    <row r="130" spans="1:1" x14ac:dyDescent="0.2">
      <c r="A130" s="480"/>
    </row>
    <row r="131" spans="1:1" x14ac:dyDescent="0.2">
      <c r="A131" s="480"/>
    </row>
    <row r="132" spans="1:1" x14ac:dyDescent="0.2">
      <c r="A132" s="480"/>
    </row>
    <row r="133" spans="1:1" x14ac:dyDescent="0.2">
      <c r="A133" s="480"/>
    </row>
    <row r="134" spans="1:1" x14ac:dyDescent="0.2">
      <c r="A134" s="480"/>
    </row>
    <row r="135" spans="1:1" x14ac:dyDescent="0.2">
      <c r="A135" s="480"/>
    </row>
    <row r="136" spans="1:1" x14ac:dyDescent="0.2">
      <c r="A136" s="480"/>
    </row>
    <row r="137" spans="1:1" x14ac:dyDescent="0.2">
      <c r="A137" s="480"/>
    </row>
    <row r="138" spans="1:1" x14ac:dyDescent="0.2">
      <c r="A138" s="480"/>
    </row>
    <row r="139" spans="1:1" x14ac:dyDescent="0.2">
      <c r="A139" s="480"/>
    </row>
    <row r="140" spans="1:1" x14ac:dyDescent="0.2">
      <c r="A140" s="480"/>
    </row>
    <row r="141" spans="1:1" x14ac:dyDescent="0.2">
      <c r="A141" s="480"/>
    </row>
    <row r="142" spans="1:1" x14ac:dyDescent="0.2">
      <c r="A142" s="480"/>
    </row>
    <row r="143" spans="1:1" x14ac:dyDescent="0.2">
      <c r="A143" s="480"/>
    </row>
    <row r="144" spans="1:1" x14ac:dyDescent="0.2">
      <c r="A144" s="480"/>
    </row>
    <row r="145" spans="1:1" x14ac:dyDescent="0.2">
      <c r="A145" s="480"/>
    </row>
    <row r="146" spans="1:1" x14ac:dyDescent="0.2">
      <c r="A146" s="480"/>
    </row>
    <row r="147" spans="1:1" x14ac:dyDescent="0.2">
      <c r="A147" s="480"/>
    </row>
    <row r="148" spans="1:1" x14ac:dyDescent="0.2">
      <c r="A148" s="480"/>
    </row>
    <row r="149" spans="1:1" x14ac:dyDescent="0.2">
      <c r="A149" s="480"/>
    </row>
    <row r="150" spans="1:1" x14ac:dyDescent="0.2">
      <c r="A150" s="480"/>
    </row>
    <row r="151" spans="1:1" x14ac:dyDescent="0.2">
      <c r="A151" s="480"/>
    </row>
    <row r="152" spans="1:1" x14ac:dyDescent="0.2">
      <c r="A152" s="480"/>
    </row>
    <row r="153" spans="1:1" x14ac:dyDescent="0.2">
      <c r="A153" s="480"/>
    </row>
    <row r="154" spans="1:1" x14ac:dyDescent="0.2">
      <c r="A154" s="480"/>
    </row>
    <row r="155" spans="1:1" x14ac:dyDescent="0.2">
      <c r="A155" s="480"/>
    </row>
    <row r="156" spans="1:1" x14ac:dyDescent="0.2">
      <c r="A156" s="480"/>
    </row>
    <row r="157" spans="1:1" x14ac:dyDescent="0.2">
      <c r="A157" s="480"/>
    </row>
    <row r="158" spans="1:1" x14ac:dyDescent="0.2">
      <c r="A158" s="480"/>
    </row>
    <row r="159" spans="1:1" x14ac:dyDescent="0.2">
      <c r="A159" s="480"/>
    </row>
    <row r="160" spans="1:1" x14ac:dyDescent="0.2">
      <c r="A160" s="480"/>
    </row>
    <row r="161" spans="1:1" x14ac:dyDescent="0.2">
      <c r="A161" s="480"/>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21"/>
  <sheetViews>
    <sheetView zoomScaleNormal="100" workbookViewId="0">
      <selection activeCell="S17" sqref="S17"/>
    </sheetView>
  </sheetViews>
  <sheetFormatPr defaultColWidth="9.140625" defaultRowHeight="12.75" x14ac:dyDescent="0.2"/>
  <cols>
    <col min="1" max="1" width="8.140625" style="483" bestFit="1" customWidth="1"/>
    <col min="2" max="13" width="6" style="71" customWidth="1"/>
    <col min="14" max="14" width="6" style="70" customWidth="1"/>
    <col min="15" max="15" width="6" style="71" customWidth="1"/>
    <col min="16" max="16" width="2.140625" style="71" customWidth="1"/>
    <col min="17" max="17" width="7.85546875" style="483" bestFit="1" customWidth="1"/>
    <col min="18" max="31" width="6" style="71" customWidth="1"/>
    <col min="32" max="32" width="2.140625" style="71" customWidth="1"/>
    <col min="33" max="33" width="7.85546875" style="483" bestFit="1" customWidth="1"/>
    <col min="34" max="45" width="6" style="71" customWidth="1"/>
    <col min="46" max="16384" width="9.140625" style="71"/>
  </cols>
  <sheetData>
    <row r="1" spans="1:45" s="651" customFormat="1" ht="24.75" customHeight="1" x14ac:dyDescent="0.25"/>
    <row r="2" spans="1:45" s="656" customFormat="1" x14ac:dyDescent="0.2">
      <c r="A2" s="652" t="s">
        <v>26</v>
      </c>
      <c r="B2" s="653" t="s">
        <v>942</v>
      </c>
      <c r="C2" s="653" t="s">
        <v>943</v>
      </c>
      <c r="D2" s="653" t="s">
        <v>944</v>
      </c>
      <c r="E2" s="653" t="s">
        <v>431</v>
      </c>
      <c r="F2" s="653" t="s">
        <v>945</v>
      </c>
      <c r="G2" s="653" t="s">
        <v>946</v>
      </c>
      <c r="H2" s="653" t="s">
        <v>947</v>
      </c>
      <c r="I2" s="653" t="s">
        <v>948</v>
      </c>
      <c r="J2" s="653" t="s">
        <v>949</v>
      </c>
      <c r="K2" s="653" t="s">
        <v>432</v>
      </c>
      <c r="L2" s="653" t="s">
        <v>950</v>
      </c>
      <c r="M2" s="653" t="s">
        <v>951</v>
      </c>
      <c r="N2" s="653" t="s">
        <v>952</v>
      </c>
      <c r="O2" s="653" t="s">
        <v>953</v>
      </c>
      <c r="P2" s="654"/>
      <c r="Q2" s="652" t="s">
        <v>26</v>
      </c>
      <c r="R2" s="653" t="s">
        <v>928</v>
      </c>
      <c r="S2" s="653" t="s">
        <v>929</v>
      </c>
      <c r="T2" s="653" t="s">
        <v>930</v>
      </c>
      <c r="U2" s="653" t="s">
        <v>931</v>
      </c>
      <c r="V2" s="653" t="s">
        <v>932</v>
      </c>
      <c r="W2" s="653" t="s">
        <v>933</v>
      </c>
      <c r="X2" s="653" t="s">
        <v>934</v>
      </c>
      <c r="Y2" s="653" t="s">
        <v>935</v>
      </c>
      <c r="Z2" s="653" t="s">
        <v>936</v>
      </c>
      <c r="AA2" s="653" t="s">
        <v>937</v>
      </c>
      <c r="AB2" s="653" t="s">
        <v>938</v>
      </c>
      <c r="AC2" s="653" t="s">
        <v>939</v>
      </c>
      <c r="AD2" s="653" t="s">
        <v>940</v>
      </c>
      <c r="AE2" s="653" t="s">
        <v>941</v>
      </c>
      <c r="AF2" s="654"/>
      <c r="AG2" s="652" t="s">
        <v>26</v>
      </c>
      <c r="AH2" s="655" t="s">
        <v>916</v>
      </c>
      <c r="AI2" s="655" t="s">
        <v>917</v>
      </c>
      <c r="AJ2" s="655" t="s">
        <v>918</v>
      </c>
      <c r="AK2" s="655" t="s">
        <v>919</v>
      </c>
      <c r="AL2" s="655" t="s">
        <v>920</v>
      </c>
      <c r="AM2" s="655" t="s">
        <v>921</v>
      </c>
      <c r="AN2" s="655" t="s">
        <v>922</v>
      </c>
      <c r="AO2" s="655" t="s">
        <v>923</v>
      </c>
      <c r="AP2" s="655" t="s">
        <v>924</v>
      </c>
      <c r="AQ2" s="655" t="s">
        <v>925</v>
      </c>
      <c r="AR2" s="655" t="s">
        <v>926</v>
      </c>
      <c r="AS2" s="655" t="s">
        <v>927</v>
      </c>
    </row>
    <row r="3" spans="1:45" x14ac:dyDescent="0.2">
      <c r="A3" s="649"/>
      <c r="B3" s="650"/>
      <c r="C3" s="650"/>
      <c r="D3" s="650"/>
      <c r="E3" s="650"/>
      <c r="F3" s="650"/>
      <c r="G3" s="650"/>
      <c r="H3" s="650"/>
      <c r="I3" s="650"/>
      <c r="J3" s="650"/>
      <c r="K3" s="650"/>
      <c r="L3" s="61"/>
      <c r="M3" s="61"/>
      <c r="N3" s="61"/>
      <c r="O3" s="62"/>
      <c r="Q3" s="649"/>
      <c r="R3" s="61"/>
      <c r="S3" s="61"/>
      <c r="T3" s="61"/>
      <c r="U3" s="61"/>
      <c r="V3" s="61"/>
      <c r="W3" s="61"/>
      <c r="X3" s="61"/>
      <c r="Y3" s="61"/>
      <c r="Z3" s="61"/>
      <c r="AA3" s="61"/>
      <c r="AB3" s="107"/>
      <c r="AC3" s="107"/>
      <c r="AD3" s="69"/>
      <c r="AE3" s="62"/>
      <c r="AH3" s="107"/>
      <c r="AI3" s="107"/>
      <c r="AJ3" s="107"/>
      <c r="AK3" s="107"/>
      <c r="AL3" s="107"/>
      <c r="AM3" s="107"/>
      <c r="AN3" s="107"/>
      <c r="AO3" s="107"/>
      <c r="AP3" s="107"/>
      <c r="AQ3" s="107"/>
      <c r="AR3" s="107"/>
      <c r="AS3" s="107"/>
    </row>
    <row r="4" spans="1:45" ht="15" x14ac:dyDescent="0.25">
      <c r="AH4" s="63"/>
      <c r="AI4" s="63"/>
      <c r="AJ4" s="63"/>
      <c r="AK4" s="63"/>
      <c r="AL4" s="63"/>
      <c r="AM4" s="63"/>
      <c r="AN4" s="63"/>
      <c r="AO4" s="63"/>
      <c r="AP4" s="63"/>
      <c r="AQ4" s="63"/>
      <c r="AR4" s="62"/>
      <c r="AS4" s="62"/>
    </row>
    <row r="5" spans="1:45" ht="15" x14ac:dyDescent="0.25">
      <c r="AH5" s="63"/>
      <c r="AI5" s="63"/>
      <c r="AJ5" s="63"/>
      <c r="AK5" s="63"/>
      <c r="AL5" s="63"/>
      <c r="AM5" s="63"/>
      <c r="AN5" s="63"/>
      <c r="AO5" s="63"/>
      <c r="AP5" s="63"/>
      <c r="AQ5" s="63"/>
      <c r="AR5" s="62"/>
      <c r="AS5" s="62"/>
    </row>
    <row r="6" spans="1:45" ht="15" x14ac:dyDescent="0.25">
      <c r="AH6" s="63"/>
      <c r="AI6" s="63"/>
      <c r="AJ6" s="63"/>
      <c r="AK6" s="63"/>
      <c r="AL6" s="63"/>
      <c r="AM6" s="63"/>
      <c r="AN6" s="63"/>
      <c r="AO6" s="63"/>
      <c r="AP6" s="63"/>
      <c r="AQ6" s="63"/>
      <c r="AR6" s="62"/>
      <c r="AS6" s="62"/>
    </row>
    <row r="7" spans="1:45" ht="15" x14ac:dyDescent="0.25">
      <c r="AH7" s="63"/>
      <c r="AI7" s="63"/>
      <c r="AJ7" s="63"/>
      <c r="AK7" s="63"/>
      <c r="AL7" s="63"/>
      <c r="AM7" s="63"/>
      <c r="AN7" s="63"/>
      <c r="AO7" s="63"/>
      <c r="AP7" s="63"/>
      <c r="AQ7" s="63"/>
      <c r="AR7" s="62"/>
      <c r="AS7" s="62"/>
    </row>
    <row r="8" spans="1:45" ht="15" x14ac:dyDescent="0.25">
      <c r="AH8" s="63"/>
      <c r="AI8" s="63"/>
      <c r="AJ8" s="63"/>
      <c r="AK8" s="63"/>
      <c r="AL8" s="63"/>
      <c r="AM8" s="63"/>
      <c r="AN8" s="63"/>
      <c r="AO8" s="63"/>
      <c r="AP8" s="63"/>
      <c r="AQ8" s="63"/>
      <c r="AR8" s="62"/>
      <c r="AS8" s="62"/>
    </row>
    <row r="9" spans="1:45" ht="15" x14ac:dyDescent="0.25">
      <c r="AH9" s="63"/>
      <c r="AI9" s="63"/>
      <c r="AJ9" s="63"/>
      <c r="AK9" s="63"/>
      <c r="AL9" s="63"/>
      <c r="AM9" s="63"/>
      <c r="AN9" s="63"/>
      <c r="AO9" s="63"/>
      <c r="AP9" s="63"/>
      <c r="AQ9" s="63"/>
      <c r="AR9" s="62"/>
      <c r="AS9" s="62"/>
    </row>
    <row r="10" spans="1:45" ht="15" x14ac:dyDescent="0.25">
      <c r="AH10" s="63"/>
      <c r="AI10" s="63"/>
      <c r="AJ10" s="63"/>
      <c r="AK10" s="63"/>
      <c r="AL10" s="63"/>
      <c r="AM10" s="63"/>
      <c r="AN10" s="63"/>
      <c r="AO10" s="63"/>
      <c r="AP10" s="63"/>
      <c r="AQ10" s="63"/>
      <c r="AR10" s="62"/>
      <c r="AS10" s="62"/>
    </row>
    <row r="11" spans="1:45" ht="15" x14ac:dyDescent="0.25">
      <c r="AH11" s="63"/>
      <c r="AI11" s="63"/>
      <c r="AJ11" s="63"/>
      <c r="AK11" s="63"/>
      <c r="AL11" s="63"/>
      <c r="AM11" s="63"/>
      <c r="AN11" s="63"/>
      <c r="AO11" s="63"/>
      <c r="AP11" s="63"/>
      <c r="AQ11" s="63"/>
      <c r="AR11" s="62"/>
      <c r="AS11" s="62"/>
    </row>
    <row r="12" spans="1:45" ht="15" x14ac:dyDescent="0.25">
      <c r="AH12" s="63"/>
      <c r="AI12" s="63"/>
      <c r="AJ12" s="63"/>
      <c r="AK12" s="63"/>
      <c r="AL12" s="63"/>
      <c r="AM12" s="63"/>
      <c r="AN12" s="63"/>
      <c r="AO12" s="63"/>
      <c r="AP12" s="63"/>
      <c r="AQ12" s="63"/>
      <c r="AR12" s="62"/>
      <c r="AS12" s="62"/>
    </row>
    <row r="13" spans="1:45" ht="15" x14ac:dyDescent="0.25">
      <c r="AH13" s="63"/>
      <c r="AI13" s="63"/>
      <c r="AJ13" s="63"/>
      <c r="AK13" s="63"/>
      <c r="AL13" s="63"/>
      <c r="AM13" s="63"/>
      <c r="AN13" s="63"/>
      <c r="AO13" s="63"/>
      <c r="AP13" s="63"/>
      <c r="AQ13" s="63"/>
      <c r="AR13" s="62"/>
      <c r="AS13" s="62"/>
    </row>
    <row r="14" spans="1:45" ht="15" x14ac:dyDescent="0.25">
      <c r="AH14" s="63"/>
      <c r="AI14" s="63"/>
      <c r="AJ14" s="63"/>
      <c r="AK14" s="63"/>
      <c r="AL14" s="63"/>
      <c r="AM14" s="63"/>
      <c r="AN14" s="63"/>
      <c r="AO14" s="63"/>
      <c r="AP14" s="63"/>
      <c r="AQ14" s="63"/>
      <c r="AR14" s="62"/>
      <c r="AS14" s="62"/>
    </row>
    <row r="15" spans="1:45" ht="15" x14ac:dyDescent="0.25">
      <c r="AH15" s="63"/>
      <c r="AI15" s="63"/>
      <c r="AJ15" s="63"/>
      <c r="AK15" s="63"/>
      <c r="AL15" s="63"/>
      <c r="AM15" s="63"/>
      <c r="AN15" s="63"/>
      <c r="AO15" s="63"/>
      <c r="AP15" s="63"/>
      <c r="AQ15" s="63"/>
      <c r="AR15" s="62"/>
      <c r="AS15" s="62"/>
    </row>
    <row r="16" spans="1:45" ht="15" x14ac:dyDescent="0.25">
      <c r="AH16" s="63"/>
      <c r="AI16" s="63"/>
      <c r="AJ16" s="63"/>
      <c r="AK16" s="63"/>
      <c r="AL16" s="63"/>
      <c r="AM16" s="63"/>
      <c r="AN16" s="63"/>
      <c r="AO16" s="63"/>
      <c r="AP16" s="63"/>
      <c r="AQ16" s="63"/>
      <c r="AR16" s="62"/>
      <c r="AS16" s="62"/>
    </row>
    <row r="17" spans="34:45" ht="15" x14ac:dyDescent="0.25">
      <c r="AH17" s="63"/>
      <c r="AI17" s="63"/>
      <c r="AJ17" s="63"/>
      <c r="AK17" s="63"/>
      <c r="AL17" s="63"/>
      <c r="AM17" s="63"/>
      <c r="AN17" s="63"/>
      <c r="AO17" s="63"/>
      <c r="AP17" s="63"/>
      <c r="AQ17" s="63"/>
      <c r="AR17" s="62"/>
      <c r="AS17" s="62"/>
    </row>
    <row r="18" spans="34:45" ht="15" x14ac:dyDescent="0.25">
      <c r="AH18" s="63"/>
      <c r="AI18" s="63"/>
      <c r="AJ18" s="63"/>
      <c r="AK18" s="63"/>
      <c r="AL18" s="63"/>
      <c r="AM18" s="63"/>
      <c r="AN18" s="63"/>
      <c r="AO18" s="63"/>
      <c r="AP18" s="63"/>
      <c r="AQ18" s="63"/>
      <c r="AR18" s="62"/>
      <c r="AS18" s="62"/>
    </row>
    <row r="19" spans="34:45" ht="15" x14ac:dyDescent="0.25">
      <c r="AH19" s="63"/>
      <c r="AI19" s="63"/>
      <c r="AJ19" s="63"/>
      <c r="AK19" s="63"/>
      <c r="AL19" s="63"/>
      <c r="AM19" s="63"/>
      <c r="AN19" s="63"/>
      <c r="AO19" s="63"/>
      <c r="AP19" s="63"/>
      <c r="AQ19" s="63"/>
      <c r="AR19" s="62"/>
      <c r="AS19" s="62"/>
    </row>
    <row r="20" spans="34:45" x14ac:dyDescent="0.2">
      <c r="AH20" s="61"/>
      <c r="AI20" s="61"/>
      <c r="AJ20" s="61"/>
      <c r="AK20" s="61"/>
      <c r="AL20" s="61"/>
      <c r="AM20" s="61"/>
      <c r="AN20" s="61"/>
      <c r="AO20" s="61"/>
      <c r="AP20" s="61"/>
      <c r="AQ20" s="61"/>
      <c r="AR20" s="62"/>
      <c r="AS20" s="62"/>
    </row>
    <row r="21" spans="34:45" x14ac:dyDescent="0.2">
      <c r="AH21" s="61"/>
      <c r="AI21" s="61"/>
      <c r="AJ21" s="61"/>
      <c r="AK21" s="61"/>
      <c r="AL21" s="61"/>
      <c r="AM21" s="61"/>
      <c r="AN21" s="61"/>
      <c r="AO21" s="61"/>
      <c r="AP21" s="61"/>
      <c r="AQ21" s="61"/>
    </row>
  </sheetData>
  <sheetProtection algorithmName="SHA-512" hashValue="Voqmb4Ae8ZjcU8avRaVy0/bLY8vggmQv8O6JrQRtYzW6tCb1TgAIWPdgugHC68xcu3EswcbKgHWuQ/76GkcrxQ==" saltValue="Mpn/KCnTBWucDRNBNvvGVQ=="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controls>
    </mc:Choice>
  </mc:AlternateContent>
  <tableParts count="3">
    <tablePart r:id="rId12"/>
    <tablePart r:id="rId13"/>
    <tablePart r:id="rId1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3" t="s">
        <v>133</v>
      </c>
    </row>
    <row r="2" spans="3:8" x14ac:dyDescent="0.2">
      <c r="E2" s="94" t="s">
        <v>134</v>
      </c>
    </row>
    <row r="3" spans="3:8" x14ac:dyDescent="0.2">
      <c r="E3" s="94" t="s">
        <v>135</v>
      </c>
    </row>
    <row r="6" spans="3:8" ht="26.25" x14ac:dyDescent="0.4">
      <c r="E6" s="100" t="s">
        <v>136</v>
      </c>
    </row>
    <row r="8" spans="3:8" ht="20.25" x14ac:dyDescent="0.3">
      <c r="C8" s="105"/>
      <c r="D8" s="97"/>
      <c r="E8" s="97"/>
    </row>
    <row r="9" spans="3:8" ht="15.75" x14ac:dyDescent="0.25">
      <c r="C9" s="98" t="s">
        <v>53</v>
      </c>
      <c r="D9" s="99" t="e">
        <f>Main!D5</f>
        <v>#N/A</v>
      </c>
    </row>
    <row r="10" spans="3:8" ht="15.75" x14ac:dyDescent="0.25">
      <c r="C10" s="98" t="s">
        <v>137</v>
      </c>
      <c r="D10" s="552">
        <f>Main!D3</f>
        <v>0</v>
      </c>
      <c r="E10" s="552"/>
      <c r="F10" s="552"/>
    </row>
    <row r="11" spans="3:8" ht="15.75" x14ac:dyDescent="0.25">
      <c r="C11" s="98" t="s">
        <v>256</v>
      </c>
      <c r="D11" s="101" t="e">
        <f>Main!D6</f>
        <v>#N/A</v>
      </c>
    </row>
    <row r="14" spans="3:8" ht="15.75" x14ac:dyDescent="0.25">
      <c r="C14" s="103" t="s">
        <v>138</v>
      </c>
      <c r="E14" s="101"/>
      <c r="F14" s="102" t="s">
        <v>139</v>
      </c>
      <c r="G14" s="101"/>
      <c r="H14" s="101"/>
    </row>
    <row r="15" spans="3:8" ht="15.75" customHeight="1" x14ac:dyDescent="0.2">
      <c r="C15" s="156"/>
      <c r="D15" s="96"/>
      <c r="E15" s="551" t="s">
        <v>409</v>
      </c>
      <c r="F15" s="551"/>
      <c r="G15" s="551"/>
      <c r="H15" s="551"/>
    </row>
    <row r="16" spans="3:8" ht="15" x14ac:dyDescent="0.2">
      <c r="C16" s="156"/>
      <c r="D16" s="95"/>
      <c r="E16" s="330" t="s">
        <v>141</v>
      </c>
      <c r="F16" s="330"/>
      <c r="G16" s="330"/>
      <c r="H16" s="330"/>
    </row>
    <row r="17" spans="3:8" ht="15" x14ac:dyDescent="0.2">
      <c r="C17" s="156"/>
      <c r="D17" s="95"/>
      <c r="E17" s="550" t="s">
        <v>142</v>
      </c>
      <c r="F17" s="550"/>
      <c r="G17" s="550"/>
      <c r="H17" s="550"/>
    </row>
    <row r="18" spans="3:8" ht="15" x14ac:dyDescent="0.2">
      <c r="C18" s="156"/>
      <c r="D18" s="95"/>
      <c r="E18" s="550" t="s">
        <v>18</v>
      </c>
      <c r="F18" s="550"/>
      <c r="G18" s="550"/>
      <c r="H18" s="550"/>
    </row>
    <row r="19" spans="3:8" ht="15" x14ac:dyDescent="0.2">
      <c r="C19" s="156"/>
      <c r="D19" s="95"/>
      <c r="E19" s="550" t="s">
        <v>147</v>
      </c>
      <c r="F19" s="550"/>
      <c r="G19" s="550"/>
      <c r="H19" s="550"/>
    </row>
    <row r="20" spans="3:8" ht="15" x14ac:dyDescent="0.2">
      <c r="C20" s="156"/>
      <c r="D20" s="95"/>
      <c r="E20" s="550" t="s">
        <v>144</v>
      </c>
      <c r="F20" s="550"/>
      <c r="G20" s="550"/>
      <c r="H20" s="550"/>
    </row>
    <row r="21" spans="3:8" ht="15" x14ac:dyDescent="0.2">
      <c r="C21" s="156"/>
      <c r="D21" s="95"/>
      <c r="E21" s="550" t="s">
        <v>145</v>
      </c>
      <c r="F21" s="550"/>
      <c r="G21" s="550"/>
      <c r="H21" s="550"/>
    </row>
    <row r="22" spans="3:8" ht="15" x14ac:dyDescent="0.2">
      <c r="C22" s="156"/>
      <c r="D22" s="95"/>
      <c r="E22" s="550" t="s">
        <v>123</v>
      </c>
      <c r="F22" s="550"/>
      <c r="G22" s="550"/>
      <c r="H22" s="550"/>
    </row>
    <row r="23" spans="3:8" ht="15" x14ac:dyDescent="0.2">
      <c r="C23" s="156"/>
      <c r="D23" s="95"/>
      <c r="E23" s="550" t="s">
        <v>146</v>
      </c>
      <c r="F23" s="550"/>
      <c r="G23" s="550"/>
      <c r="H23" s="550"/>
    </row>
    <row r="24" spans="3:8" ht="15" x14ac:dyDescent="0.2">
      <c r="C24" s="104"/>
      <c r="D24" s="95"/>
      <c r="E24" s="550" t="s">
        <v>166</v>
      </c>
      <c r="F24" s="550"/>
      <c r="G24" s="550"/>
      <c r="H24" s="550"/>
    </row>
    <row r="25" spans="3:8" ht="15" x14ac:dyDescent="0.2">
      <c r="C25" s="104"/>
      <c r="D25" s="95"/>
      <c r="E25" s="550"/>
      <c r="F25" s="550"/>
      <c r="G25" s="550"/>
      <c r="H25" s="550"/>
    </row>
    <row r="26" spans="3:8" ht="15" x14ac:dyDescent="0.2">
      <c r="C26" s="104"/>
      <c r="D26" s="95"/>
      <c r="E26" s="550"/>
      <c r="F26" s="550"/>
      <c r="G26" s="550"/>
      <c r="H26" s="550"/>
    </row>
    <row r="27" spans="3:8" ht="15" x14ac:dyDescent="0.2">
      <c r="C27" s="104"/>
      <c r="D27" s="95"/>
      <c r="E27" s="550"/>
      <c r="F27" s="550"/>
      <c r="G27" s="550"/>
      <c r="H27" s="550"/>
    </row>
    <row r="28" spans="3:8" ht="15" x14ac:dyDescent="0.2">
      <c r="C28" s="104"/>
      <c r="D28" s="95"/>
      <c r="E28" s="550"/>
      <c r="F28" s="550"/>
      <c r="G28" s="550"/>
      <c r="H28" s="550"/>
    </row>
    <row r="29" spans="3:8" ht="15" x14ac:dyDescent="0.2">
      <c r="C29" s="104"/>
      <c r="D29" s="95"/>
      <c r="E29" s="550"/>
      <c r="F29" s="550"/>
      <c r="G29" s="550"/>
      <c r="H29" s="550"/>
    </row>
    <row r="30" spans="3:8" ht="15" x14ac:dyDescent="0.2">
      <c r="C30" s="104"/>
      <c r="D30" s="95"/>
      <c r="E30" s="550"/>
      <c r="F30" s="550"/>
      <c r="G30" s="550"/>
      <c r="H30" s="550"/>
    </row>
    <row r="31" spans="3:8" ht="15" x14ac:dyDescent="0.2">
      <c r="C31" s="289" t="s">
        <v>410</v>
      </c>
      <c r="E31" s="550"/>
      <c r="F31" s="550"/>
      <c r="G31" s="550"/>
      <c r="H31" s="550"/>
    </row>
    <row r="32" spans="3:8" ht="15" x14ac:dyDescent="0.2">
      <c r="C32" s="104"/>
      <c r="D32" s="95"/>
      <c r="E32" s="550"/>
      <c r="F32" s="550"/>
      <c r="G32" s="550"/>
      <c r="H32" s="550"/>
    </row>
    <row r="33" spans="3:8" ht="15" x14ac:dyDescent="0.2">
      <c r="C33" s="104"/>
      <c r="D33" s="95"/>
      <c r="E33" s="550"/>
      <c r="F33" s="550"/>
      <c r="G33" s="550"/>
      <c r="H33" s="550"/>
    </row>
    <row r="34" spans="3:8" ht="15" x14ac:dyDescent="0.2">
      <c r="C34" s="104"/>
      <c r="D34" s="95"/>
      <c r="E34" s="550"/>
      <c r="F34" s="550"/>
      <c r="G34" s="550"/>
      <c r="H34" s="550"/>
    </row>
    <row r="35" spans="3:8" ht="15" x14ac:dyDescent="0.2">
      <c r="C35" s="104"/>
      <c r="D35" s="95"/>
      <c r="E35" s="550"/>
      <c r="F35" s="550"/>
      <c r="G35" s="550"/>
      <c r="H35" s="550"/>
    </row>
    <row r="36" spans="3:8" ht="15" x14ac:dyDescent="0.2">
      <c r="C36" s="95"/>
      <c r="D36" s="95"/>
      <c r="E36" s="550"/>
      <c r="F36" s="550"/>
      <c r="G36" s="550"/>
      <c r="H36" s="550"/>
    </row>
    <row r="37" spans="3:8" x14ac:dyDescent="0.2">
      <c r="C37" s="95"/>
      <c r="D37" s="95"/>
      <c r="E37" s="95"/>
    </row>
    <row r="38" spans="3:8" x14ac:dyDescent="0.2">
      <c r="C38" s="95"/>
      <c r="D38" s="95"/>
      <c r="E38" s="95"/>
    </row>
    <row r="39" spans="3:8" x14ac:dyDescent="0.2">
      <c r="C39" s="95"/>
      <c r="D39" s="95"/>
      <c r="E39" s="95"/>
    </row>
    <row r="40" spans="3:8" x14ac:dyDescent="0.2">
      <c r="C40" s="95"/>
      <c r="D40" s="95"/>
      <c r="E40" s="95"/>
    </row>
    <row r="41" spans="3:8" x14ac:dyDescent="0.2">
      <c r="C41" s="95"/>
      <c r="D41" s="95"/>
      <c r="E41" s="95"/>
    </row>
    <row r="42" spans="3:8" x14ac:dyDescent="0.2">
      <c r="D42" s="95"/>
      <c r="E42" s="95"/>
    </row>
    <row r="43" spans="3:8" x14ac:dyDescent="0.2">
      <c r="D43" s="95"/>
      <c r="E43" s="95"/>
    </row>
    <row r="44" spans="3:8" x14ac:dyDescent="0.2">
      <c r="D44" s="95"/>
      <c r="E44" s="95"/>
    </row>
    <row r="45" spans="3:8" x14ac:dyDescent="0.2">
      <c r="D45" s="95"/>
    </row>
    <row r="46" spans="3:8" x14ac:dyDescent="0.2">
      <c r="D46" s="95"/>
    </row>
  </sheetData>
  <sheetProtection algorithmName="SHA-512" hashValue="n6VHtkUlDDXMaEqNcaqIKq75ER26Qi2yUSqv6/ydo40mr/xoVReeZACF5TOOzaPuNgRqIvXi1TvOJ9MlbSwX6A==" saltValue="bwrpHfzRiwkjTlfzMo+S5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70"/>
      <c r="D1" s="576" t="s">
        <v>133</v>
      </c>
      <c r="E1" s="576"/>
      <c r="F1" s="576"/>
      <c r="G1" s="576"/>
      <c r="H1" s="576"/>
      <c r="I1" s="576"/>
      <c r="J1" s="576"/>
      <c r="K1" s="576"/>
      <c r="L1" s="576"/>
      <c r="M1" s="576"/>
    </row>
    <row r="2" spans="1:18" ht="23.25" customHeight="1" x14ac:dyDescent="0.3">
      <c r="C2" s="271"/>
      <c r="D2" s="271" t="s">
        <v>348</v>
      </c>
      <c r="E2" s="271"/>
      <c r="F2" s="271"/>
      <c r="G2" s="271"/>
      <c r="H2" s="271"/>
      <c r="I2" s="271"/>
      <c r="J2" s="271"/>
      <c r="K2" s="271"/>
      <c r="L2" s="271"/>
      <c r="M2" s="271"/>
    </row>
    <row r="3" spans="1:18" ht="23.25" x14ac:dyDescent="0.35">
      <c r="C3" s="577"/>
      <c r="D3" s="577"/>
      <c r="E3" s="577"/>
      <c r="F3" s="577"/>
      <c r="G3" s="577"/>
      <c r="H3" s="577"/>
      <c r="I3" s="577"/>
      <c r="J3" s="577"/>
      <c r="K3" s="577"/>
      <c r="L3" s="577"/>
      <c r="M3" s="577"/>
    </row>
    <row r="4" spans="1:18" ht="23.25" x14ac:dyDescent="0.35">
      <c r="C4" s="255"/>
      <c r="D4" s="255"/>
      <c r="E4" s="255"/>
      <c r="F4" s="255"/>
      <c r="G4" s="255"/>
      <c r="H4" s="255"/>
      <c r="I4" s="255"/>
      <c r="J4" s="255"/>
      <c r="K4" s="255"/>
      <c r="L4" s="255"/>
      <c r="M4" s="255"/>
    </row>
    <row r="5" spans="1:18" ht="23.25" x14ac:dyDescent="0.35">
      <c r="C5" s="573" t="s">
        <v>18</v>
      </c>
      <c r="D5" s="573"/>
      <c r="E5" s="573"/>
      <c r="F5" s="573"/>
      <c r="G5" s="573"/>
      <c r="H5" s="573"/>
      <c r="I5" s="573"/>
      <c r="J5" s="573"/>
      <c r="K5" s="573"/>
      <c r="L5" s="573"/>
      <c r="M5" s="573"/>
    </row>
    <row r="6" spans="1:18" ht="23.25" x14ac:dyDescent="0.35">
      <c r="C6" s="256"/>
      <c r="D6" s="256"/>
      <c r="E6" s="592" t="str">
        <f>IFERROR(CONCATENATE("Report Number: ", WorkItemNumber),"")</f>
        <v/>
      </c>
      <c r="F6" s="592"/>
      <c r="G6" s="592"/>
      <c r="H6" s="592"/>
      <c r="I6" s="592"/>
      <c r="J6" s="592"/>
      <c r="K6" s="592"/>
      <c r="L6" s="256"/>
      <c r="M6" s="256"/>
    </row>
    <row r="7" spans="1:18" ht="18.75" customHeight="1" x14ac:dyDescent="0.3">
      <c r="G7" s="574"/>
      <c r="H7" s="574"/>
      <c r="I7" s="230"/>
      <c r="R7" t="str">
        <f>CONCATENATE("Page ",Main!L9," of ",Main!L10)</f>
        <v xml:space="preserve">Page  of </v>
      </c>
    </row>
    <row r="8" spans="1:18" ht="18" customHeight="1" x14ac:dyDescent="0.25">
      <c r="G8" s="586"/>
      <c r="H8" s="586"/>
      <c r="J8" s="101"/>
      <c r="K8" s="257" t="s">
        <v>345</v>
      </c>
      <c r="L8" s="596">
        <f>FormNumber</f>
        <v>0</v>
      </c>
      <c r="M8" s="596"/>
      <c r="N8" s="596"/>
      <c r="O8" s="596"/>
    </row>
    <row r="9" spans="1:18" ht="18" customHeight="1" x14ac:dyDescent="0.25">
      <c r="A9" s="257" t="s">
        <v>302</v>
      </c>
      <c r="B9" s="38" t="e">
        <f>Main!D5</f>
        <v>#N/A</v>
      </c>
      <c r="J9" s="101"/>
      <c r="K9" s="257" t="s">
        <v>346</v>
      </c>
      <c r="L9" s="588">
        <f>CalMethod</f>
        <v>0</v>
      </c>
      <c r="M9" s="588"/>
      <c r="N9" s="588"/>
      <c r="O9" s="588"/>
    </row>
    <row r="10" spans="1:18" ht="18" customHeight="1" x14ac:dyDescent="0.25">
      <c r="A10" s="110"/>
      <c r="B10" s="252" t="str" cm="1">
        <f t="array" ref="B10">IFERROR(_xlfn.XLOOKUP(clientCompanyId,customers_table[company_id],customers_table[Address1]),"")</f>
        <v/>
      </c>
      <c r="J10" s="101"/>
      <c r="K10" s="257"/>
      <c r="L10" s="588"/>
      <c r="M10" s="588"/>
      <c r="N10" s="588"/>
      <c r="O10" s="588"/>
    </row>
    <row r="11" spans="1:18" ht="18" customHeight="1" x14ac:dyDescent="0.25">
      <c r="A11" s="110"/>
      <c r="B11" s="252" t="str" cm="1">
        <f t="array" ref="B11">IFERROR(_xlfn.XLOOKUP(clientCompanyId,customers_table[company_id],customers_table[Merged]),"")</f>
        <v/>
      </c>
      <c r="J11" s="101"/>
      <c r="K11" s="257" t="s">
        <v>347</v>
      </c>
      <c r="L11" s="596">
        <f>TolSource</f>
        <v>0</v>
      </c>
      <c r="M11" s="596"/>
      <c r="N11" s="596"/>
      <c r="O11" s="596"/>
    </row>
    <row r="12" spans="1:18" ht="18" customHeight="1" x14ac:dyDescent="0.25">
      <c r="A12" s="110"/>
      <c r="B12" s="252" t="str">
        <f>IF(AddressLine3,AddressLine3,"")</f>
        <v/>
      </c>
      <c r="J12" s="101"/>
      <c r="K12" s="257"/>
      <c r="L12" s="258"/>
      <c r="M12" s="258"/>
      <c r="N12" s="258"/>
      <c r="O12" s="258"/>
    </row>
    <row r="13" spans="1:18" ht="8.1" customHeight="1" x14ac:dyDescent="0.2">
      <c r="A13" s="110"/>
      <c r="K13" s="245"/>
    </row>
    <row r="14" spans="1:18" ht="18" customHeight="1" x14ac:dyDescent="0.25">
      <c r="A14" s="262" t="s">
        <v>303</v>
      </c>
      <c r="B14" s="259">
        <f>Item</f>
        <v>0</v>
      </c>
      <c r="C14" s="260"/>
      <c r="D14" s="260"/>
      <c r="E14" s="260"/>
      <c r="F14" s="234"/>
      <c r="G14" s="248" t="s">
        <v>308</v>
      </c>
      <c r="H14" s="259">
        <f>Range</f>
        <v>0</v>
      </c>
      <c r="I14" s="234"/>
      <c r="J14" s="234"/>
      <c r="K14" s="234"/>
      <c r="L14" s="234"/>
      <c r="M14" s="248" t="s">
        <v>313</v>
      </c>
      <c r="N14" s="259" t="str">
        <f>Main!D7</f>
        <v>Jeff Hall</v>
      </c>
      <c r="O14" s="235"/>
    </row>
    <row r="15" spans="1:18" ht="18" customHeight="1" x14ac:dyDescent="0.25">
      <c r="A15" s="263" t="s">
        <v>304</v>
      </c>
      <c r="B15" s="261">
        <f>ModelNumber</f>
        <v>0</v>
      </c>
      <c r="C15" s="252"/>
      <c r="D15" s="252"/>
      <c r="E15" s="252"/>
      <c r="G15" s="257" t="s">
        <v>309</v>
      </c>
      <c r="H15" s="261">
        <f>Tolerance</f>
        <v>0</v>
      </c>
      <c r="M15" s="257" t="s">
        <v>314</v>
      </c>
      <c r="N15" s="265">
        <f>Main!D3</f>
        <v>0</v>
      </c>
      <c r="O15" s="236"/>
    </row>
    <row r="16" spans="1:18" ht="18" customHeight="1" x14ac:dyDescent="0.25">
      <c r="A16" s="263" t="s">
        <v>305</v>
      </c>
      <c r="B16" s="589">
        <f>SerialNumber</f>
        <v>0</v>
      </c>
      <c r="C16" s="589"/>
      <c r="D16" s="589"/>
      <c r="E16" s="589"/>
      <c r="G16" s="257" t="s">
        <v>310</v>
      </c>
      <c r="H16" s="261">
        <f>HeatingMethod</f>
        <v>0</v>
      </c>
      <c r="M16" s="257" t="s">
        <v>315</v>
      </c>
      <c r="N16" s="265" t="e">
        <f>IF(CalInterval="N/A", "N/A", EDATE(N15, CHOOSE(MATCH(CalInterval, {"M","2 Mo","Q","4 Mo","6 Mo","A","2Yr","3Yr"}, 0), 1, 2, 3, 4, 6, 12, 24, 36)))</f>
        <v>#N/A</v>
      </c>
      <c r="O16" s="236"/>
    </row>
    <row r="17" spans="1:19" ht="18" customHeight="1" x14ac:dyDescent="0.25">
      <c r="A17" s="263" t="s">
        <v>306</v>
      </c>
      <c r="B17" s="286">
        <f>UnitNumber</f>
        <v>0</v>
      </c>
      <c r="C17" s="252"/>
      <c r="D17" s="252"/>
      <c r="E17" s="252"/>
      <c r="G17" s="257" t="s">
        <v>311</v>
      </c>
      <c r="H17" s="261">
        <f>WorkingZoneSize</f>
        <v>0</v>
      </c>
      <c r="M17" s="257" t="str">
        <f>IF(Main!K13="","","PO:")</f>
        <v/>
      </c>
      <c r="N17" s="261" t="str">
        <f>IF(Main!K13="","",Main!K13)</f>
        <v/>
      </c>
      <c r="O17" s="236"/>
    </row>
    <row r="18" spans="1:19" ht="18" customHeight="1" x14ac:dyDescent="0.25">
      <c r="A18" s="263" t="s">
        <v>307</v>
      </c>
      <c r="B18" s="580">
        <f>Class</f>
        <v>0</v>
      </c>
      <c r="C18" s="580"/>
      <c r="D18" s="580"/>
      <c r="E18" s="580"/>
      <c r="G18" s="257" t="s">
        <v>312</v>
      </c>
      <c r="H18" s="261">
        <f>CubicFeet</f>
        <v>0</v>
      </c>
      <c r="M18" s="257" t="s">
        <v>316</v>
      </c>
      <c r="N18" s="261" t="str">
        <f>Main!G18</f>
        <v>ACCEPTED</v>
      </c>
      <c r="O18" s="236"/>
    </row>
    <row r="19" spans="1:19" ht="18" customHeight="1" x14ac:dyDescent="0.25">
      <c r="A19" s="247"/>
      <c r="B19" s="581"/>
      <c r="C19" s="581"/>
      <c r="D19" s="581"/>
      <c r="E19" s="581"/>
      <c r="F19" s="237"/>
      <c r="G19" s="249"/>
      <c r="H19" s="264"/>
      <c r="I19" s="237"/>
      <c r="J19" s="237"/>
      <c r="K19" s="237"/>
      <c r="L19" s="237"/>
      <c r="M19" s="249"/>
      <c r="N19" s="264"/>
      <c r="O19" s="238"/>
    </row>
    <row r="20" spans="1:19" ht="8.1" customHeight="1" x14ac:dyDescent="0.2">
      <c r="A20" s="44"/>
      <c r="B20" s="241"/>
      <c r="C20" s="241"/>
      <c r="D20" s="241"/>
      <c r="N20" s="244"/>
    </row>
    <row r="21" spans="1:19" ht="18" customHeight="1" x14ac:dyDescent="0.25">
      <c r="A21" s="262" t="s">
        <v>317</v>
      </c>
      <c r="B21" s="590">
        <f>Controller</f>
        <v>0</v>
      </c>
      <c r="C21" s="590"/>
      <c r="D21" s="590"/>
      <c r="E21" s="590"/>
      <c r="F21" s="248" t="s">
        <v>319</v>
      </c>
      <c r="G21" s="590">
        <f>ContSN</f>
        <v>0</v>
      </c>
      <c r="H21" s="590"/>
      <c r="I21" s="590"/>
      <c r="J21" s="248" t="s">
        <v>320</v>
      </c>
      <c r="K21" s="260">
        <f>ContTol</f>
        <v>0</v>
      </c>
      <c r="L21" s="234"/>
      <c r="M21" s="248" t="s">
        <v>321</v>
      </c>
      <c r="N21" s="273" t="str">
        <f>Main!G27</f>
        <v/>
      </c>
      <c r="O21" s="235"/>
    </row>
    <row r="22" spans="1:19" ht="18" customHeight="1" x14ac:dyDescent="0.25">
      <c r="A22" s="266" t="s">
        <v>318</v>
      </c>
      <c r="B22" s="591">
        <f>_xlnm.Recorder</f>
        <v>0</v>
      </c>
      <c r="C22" s="591"/>
      <c r="D22" s="591"/>
      <c r="E22" s="591"/>
      <c r="F22" s="249" t="s">
        <v>319</v>
      </c>
      <c r="G22" s="591">
        <f>RecSN</f>
        <v>0</v>
      </c>
      <c r="H22" s="591"/>
      <c r="I22" s="591"/>
      <c r="J22" s="249" t="s">
        <v>320</v>
      </c>
      <c r="K22" s="272">
        <f>RecTol</f>
        <v>0</v>
      </c>
      <c r="L22" s="237"/>
      <c r="M22" s="249" t="s">
        <v>321</v>
      </c>
      <c r="N22" s="274" t="str">
        <f>Main!G28</f>
        <v/>
      </c>
      <c r="O22" s="238"/>
    </row>
    <row r="23" spans="1:19" ht="8.1" customHeight="1" x14ac:dyDescent="0.25">
      <c r="A23" s="101"/>
      <c r="B23" s="252"/>
      <c r="C23" s="252"/>
      <c r="D23" s="252"/>
      <c r="E23" s="241"/>
    </row>
    <row r="24" spans="1:19" ht="18" customHeight="1" x14ac:dyDescent="0.25">
      <c r="A24" s="262" t="s">
        <v>322</v>
      </c>
      <c r="B24" s="268">
        <f>Temperature</f>
        <v>0</v>
      </c>
      <c r="C24" s="260"/>
      <c r="D24" s="260"/>
      <c r="E24" s="242"/>
      <c r="F24" s="234"/>
      <c r="G24" s="248" t="s">
        <v>325</v>
      </c>
      <c r="H24" s="250">
        <f>Main!D26</f>
        <v>0</v>
      </c>
      <c r="I24" s="234"/>
      <c r="J24" s="234"/>
      <c r="K24" s="234"/>
      <c r="L24" s="246"/>
      <c r="M24" s="248" t="s">
        <v>328</v>
      </c>
      <c r="N24" s="260" t="str">
        <f ca="1">TEXT(Access_Data!D33,"0.0") &amp; "°F / " &amp; TEXT(Access_Data!H33,"0.0") &amp; "°F"</f>
        <v>0.0°F / 0.0°F</v>
      </c>
      <c r="O24" s="235"/>
    </row>
    <row r="25" spans="1:19" ht="18" customHeight="1" x14ac:dyDescent="0.25">
      <c r="A25" s="263" t="s">
        <v>323</v>
      </c>
      <c r="B25" s="269">
        <f>Main!D15</f>
        <v>0</v>
      </c>
      <c r="C25" s="252"/>
      <c r="D25" s="252"/>
      <c r="E25" s="241"/>
      <c r="G25" s="257" t="s">
        <v>326</v>
      </c>
      <c r="H25" s="251" t="str">
        <f>Main!E29</f>
        <v/>
      </c>
      <c r="L25" s="101"/>
      <c r="M25" s="257" t="s">
        <v>329</v>
      </c>
      <c r="N25" s="252" t="str">
        <f>IF(Main!H15=TRUE,Main!G17,"VERIFY LOAD!!!")</f>
        <v/>
      </c>
      <c r="O25" s="236"/>
      <c r="R25" s="165"/>
      <c r="S25" s="95"/>
    </row>
    <row r="26" spans="1:19" ht="18" customHeight="1" x14ac:dyDescent="0.25">
      <c r="A26" s="263" t="s">
        <v>324</v>
      </c>
      <c r="B26" s="252" t="s">
        <v>294</v>
      </c>
      <c r="C26" s="252"/>
      <c r="D26" s="252"/>
      <c r="E26" s="241"/>
      <c r="G26" s="257" t="s">
        <v>327</v>
      </c>
      <c r="H26" s="252" t="str">
        <f>Main!I19</f>
        <v>N/A</v>
      </c>
      <c r="L26" s="101"/>
      <c r="M26" s="257" t="s">
        <v>915</v>
      </c>
      <c r="N26" s="252" t="e">
        <f ca="1">TEXT(Access_Data!K33,"0.0") &amp; "°F"</f>
        <v>#VALUE!</v>
      </c>
      <c r="O26" s="236"/>
    </row>
    <row r="27" spans="1:19" ht="18" customHeight="1" x14ac:dyDescent="0.2">
      <c r="A27" s="267"/>
      <c r="B27" s="237"/>
      <c r="C27" s="587" t="s">
        <v>330</v>
      </c>
      <c r="D27" s="587"/>
      <c r="E27" s="587"/>
      <c r="F27" s="587"/>
      <c r="G27" s="587"/>
      <c r="H27" s="587"/>
      <c r="I27" s="587"/>
      <c r="J27" s="587"/>
      <c r="K27" s="587"/>
      <c r="L27" s="587"/>
      <c r="M27" s="587"/>
      <c r="N27" s="237"/>
      <c r="O27" s="238"/>
    </row>
    <row r="28" spans="1:19" ht="8.1" customHeight="1" x14ac:dyDescent="0.2"/>
    <row r="29" spans="1:19" ht="18" customHeight="1" x14ac:dyDescent="0.2">
      <c r="A29" s="583" t="s">
        <v>300</v>
      </c>
      <c r="B29" s="584"/>
      <c r="C29" s="585"/>
      <c r="D29" s="583" t="s">
        <v>331</v>
      </c>
      <c r="E29" s="584"/>
      <c r="F29" s="584"/>
      <c r="G29" s="585"/>
      <c r="H29" s="583" t="s">
        <v>301</v>
      </c>
      <c r="I29" s="584"/>
      <c r="J29" s="584"/>
      <c r="K29" s="585"/>
      <c r="L29" s="583" t="s">
        <v>282</v>
      </c>
      <c r="M29" s="584"/>
      <c r="N29" s="584"/>
      <c r="O29" s="585"/>
    </row>
    <row r="30" spans="1:19" ht="18" customHeight="1" x14ac:dyDescent="0.2">
      <c r="A30" s="253"/>
      <c r="B30" s="243">
        <f>TestLocation</f>
        <v>0</v>
      </c>
      <c r="C30" s="254"/>
      <c r="D30" s="560" t="str">
        <f>CONCATENATE(Main!D22,"°F"," / ",Main!D23,"% RH")</f>
        <v>°F / % RH</v>
      </c>
      <c r="E30" s="561"/>
      <c r="F30" s="561"/>
      <c r="G30" s="562"/>
      <c r="H30" s="560">
        <f>OvenLocation</f>
        <v>0</v>
      </c>
      <c r="I30" s="561"/>
      <c r="J30" s="561"/>
      <c r="K30" s="562"/>
      <c r="L30" s="560">
        <f>Condition</f>
        <v>0</v>
      </c>
      <c r="M30" s="561"/>
      <c r="N30" s="561"/>
      <c r="O30" s="562"/>
    </row>
    <row r="31" spans="1:19" ht="18" customHeight="1" x14ac:dyDescent="0.2"/>
    <row r="32" spans="1:19" ht="18" customHeight="1" x14ac:dyDescent="0.25">
      <c r="A32" s="276" t="s">
        <v>332</v>
      </c>
      <c r="B32" s="575" t="s">
        <v>333</v>
      </c>
      <c r="C32" s="575"/>
      <c r="D32" s="276" t="s">
        <v>296</v>
      </c>
      <c r="E32" s="276" t="s">
        <v>295</v>
      </c>
      <c r="F32" s="276" t="s">
        <v>334</v>
      </c>
      <c r="G32" s="101"/>
      <c r="H32" s="101"/>
      <c r="I32" s="276" t="s">
        <v>332</v>
      </c>
      <c r="J32" s="575" t="s">
        <v>333</v>
      </c>
      <c r="K32" s="575"/>
      <c r="L32" s="276" t="s">
        <v>296</v>
      </c>
      <c r="M32" s="276" t="s">
        <v>295</v>
      </c>
      <c r="N32" s="276" t="s">
        <v>334</v>
      </c>
    </row>
    <row r="33" spans="1:14" ht="18" customHeight="1" x14ac:dyDescent="0.2">
      <c r="A33" s="277" t="str">
        <f>IF(B33="","",1)</f>
        <v/>
      </c>
      <c r="B33" s="574" t="str">
        <f>IF(Main!O5="","",Main!O5)</f>
        <v/>
      </c>
      <c r="C33" s="574"/>
      <c r="D33" s="278" t="str">
        <f ca="1">IF(Access_Data!B27="","",Access_Data!B27)</f>
        <v/>
      </c>
      <c r="E33" s="278" t="str">
        <f ca="1">IF(Access_Data!B29="","",Access_Data!B29)</f>
        <v/>
      </c>
      <c r="F33" s="278" t="str">
        <f ca="1">IF(Access_Data!B31="","",Access_Data!B31)</f>
        <v/>
      </c>
      <c r="G33" s="101"/>
      <c r="H33" s="101"/>
      <c r="I33" s="277" t="str">
        <f>IF(J33="","",21)</f>
        <v/>
      </c>
      <c r="J33" s="574" t="str">
        <f>IF(Main!O25="","",Main!O25)</f>
        <v/>
      </c>
      <c r="K33" s="574"/>
      <c r="L33" s="278" t="str">
        <f ca="1">IF(Access_Data!AB27="","",Access_Data!AB27)</f>
        <v/>
      </c>
      <c r="M33" s="278" t="str">
        <f ca="1">IF(Access_Data!AB29="","",Access_Data!AB29)</f>
        <v/>
      </c>
      <c r="N33" s="278" t="str">
        <f ca="1">IF(Access_Data!AB31="","",Access_Data!AB31)</f>
        <v/>
      </c>
    </row>
    <row r="34" spans="1:14" ht="18" customHeight="1" x14ac:dyDescent="0.2">
      <c r="A34" s="277" t="str">
        <f>IF(B34="","",2)</f>
        <v/>
      </c>
      <c r="B34" s="574" t="str">
        <f>IF(Main!O6="","",Main!O6)</f>
        <v/>
      </c>
      <c r="C34" s="574"/>
      <c r="D34" s="278" t="str">
        <f ca="1">IF(Access_Data!C27="","",Access_Data!C27)</f>
        <v/>
      </c>
      <c r="E34" s="278" t="str">
        <f ca="1">IF(Access_Data!C29="","",Access_Data!C29)</f>
        <v/>
      </c>
      <c r="F34" s="278" t="str">
        <f ca="1">IF(Access_Data!C31="","",Access_Data!C31)</f>
        <v/>
      </c>
      <c r="G34" s="101"/>
      <c r="H34" s="101"/>
      <c r="I34" s="277" t="str">
        <f>IF(J34="","",22)</f>
        <v/>
      </c>
      <c r="J34" s="574" t="str">
        <f>IF(Main!O26="","",Main!O26)</f>
        <v/>
      </c>
      <c r="K34" s="574"/>
      <c r="L34" s="278" t="str">
        <f ca="1">IF(Access_Data!AC27="","",Access_Data!AC27)</f>
        <v/>
      </c>
      <c r="M34" s="278" t="str">
        <f ca="1">IF(Access_Data!AC29="","",Access_Data!AC29)</f>
        <v/>
      </c>
      <c r="N34" s="278" t="str">
        <f ca="1">IF(Access_Data!AC31="","",Access_Data!AC31)</f>
        <v/>
      </c>
    </row>
    <row r="35" spans="1:14" ht="18" customHeight="1" x14ac:dyDescent="0.2">
      <c r="A35" s="277" t="str">
        <f>IF(B35="","",3)</f>
        <v/>
      </c>
      <c r="B35" s="574" t="str">
        <f>IF(Main!O7="","",Main!O7)</f>
        <v/>
      </c>
      <c r="C35" s="574"/>
      <c r="D35" s="278" t="str">
        <f ca="1">IF(Access_Data!D27="","",Access_Data!D27)</f>
        <v/>
      </c>
      <c r="E35" s="278" t="str">
        <f ca="1">IF(Access_Data!D29="","",Access_Data!D29)</f>
        <v/>
      </c>
      <c r="F35" s="278" t="str">
        <f ca="1">IF(Access_Data!D31="","",Access_Data!D31)</f>
        <v/>
      </c>
      <c r="G35" s="101"/>
      <c r="H35" s="101"/>
      <c r="I35" s="277" t="str">
        <f>IF(J35="","",23)</f>
        <v/>
      </c>
      <c r="J35" s="574" t="str">
        <f>IF(Main!O27="","",Main!O27)</f>
        <v/>
      </c>
      <c r="K35" s="574"/>
      <c r="L35" s="278" t="str">
        <f ca="1">IF(Access_Data!AD27="","",Access_Data!AD27)</f>
        <v/>
      </c>
      <c r="M35" s="278" t="str">
        <f ca="1">IF(Access_Data!AD29="","",Access_Data!AD29)</f>
        <v/>
      </c>
      <c r="N35" s="278" t="str">
        <f ca="1">IF(Access_Data!AD31="","",Access_Data!AD31)</f>
        <v/>
      </c>
    </row>
    <row r="36" spans="1:14" ht="18" customHeight="1" x14ac:dyDescent="0.2">
      <c r="A36" s="277" t="str">
        <f>IF(B36="","",4)</f>
        <v/>
      </c>
      <c r="B36" s="574" t="str">
        <f>IF(Main!O8="","",Main!O8)</f>
        <v/>
      </c>
      <c r="C36" s="574"/>
      <c r="D36" s="278" t="str">
        <f ca="1">IF(Access_Data!E27="","",Access_Data!E27)</f>
        <v/>
      </c>
      <c r="E36" s="278" t="str">
        <f ca="1">IF(Access_Data!E29="","",Access_Data!E29)</f>
        <v/>
      </c>
      <c r="F36" s="278" t="str">
        <f ca="1">IF(Access_Data!E31="","",Access_Data!E31)</f>
        <v/>
      </c>
      <c r="G36" s="101"/>
      <c r="H36" s="101"/>
      <c r="I36" s="277" t="str">
        <f>IF(J36="","",24)</f>
        <v/>
      </c>
      <c r="J36" s="574" t="str">
        <f>IF(Main!O28="","",Main!O28)</f>
        <v/>
      </c>
      <c r="K36" s="574"/>
      <c r="L36" s="278" t="str">
        <f ca="1">IF(Access_Data!AE27="","",Access_Data!AE27)</f>
        <v/>
      </c>
      <c r="M36" s="278" t="str">
        <f ca="1">IF(Access_Data!AE29="","",Access_Data!AE29)</f>
        <v/>
      </c>
      <c r="N36" s="278" t="str">
        <f ca="1">IF(Access_Data!AE31="","",Access_Data!AE31)</f>
        <v/>
      </c>
    </row>
    <row r="37" spans="1:14" ht="18" customHeight="1" x14ac:dyDescent="0.2">
      <c r="A37" s="277" t="str">
        <f>IF(B37="","",5)</f>
        <v/>
      </c>
      <c r="B37" s="574" t="str">
        <f>IF(Main!O9="","",Main!O9)</f>
        <v/>
      </c>
      <c r="C37" s="574"/>
      <c r="D37" s="278" t="str">
        <f ca="1">IF(Access_Data!F27="","",Access_Data!F27)</f>
        <v/>
      </c>
      <c r="E37" s="278" t="str">
        <f ca="1">IF(Access_Data!F29="","",Access_Data!F29)</f>
        <v/>
      </c>
      <c r="F37" s="278" t="str">
        <f ca="1">IF(Access_Data!F31="","",Access_Data!F31)</f>
        <v/>
      </c>
      <c r="G37" s="101"/>
      <c r="H37" s="101"/>
      <c r="I37" s="277" t="str">
        <f>IF(J37="","",25)</f>
        <v/>
      </c>
      <c r="J37" s="574" t="str">
        <f>IF(Main!O29="","",Main!O29)</f>
        <v/>
      </c>
      <c r="K37" s="574"/>
      <c r="L37" s="278" t="str">
        <f ca="1">IF(Access_Data!AF27="","",Access_Data!AF27)</f>
        <v/>
      </c>
      <c r="M37" s="278" t="str">
        <f ca="1">IF(Access_Data!AF29="","",Access_Data!AF29)</f>
        <v/>
      </c>
      <c r="N37" s="278" t="str">
        <f ca="1">IF(Access_Data!AF31="","",Access_Data!AF31)</f>
        <v/>
      </c>
    </row>
    <row r="38" spans="1:14" ht="18" customHeight="1" x14ac:dyDescent="0.2">
      <c r="A38" s="277" t="str">
        <f>IF(B38="","",6)</f>
        <v/>
      </c>
      <c r="B38" s="574" t="str">
        <f>IF(Main!O10="","",Main!O10)</f>
        <v/>
      </c>
      <c r="C38" s="574"/>
      <c r="D38" s="278" t="str">
        <f ca="1">IF(Access_Data!G27="","",Access_Data!G27)</f>
        <v/>
      </c>
      <c r="E38" s="278" t="str">
        <f ca="1">IF(Access_Data!G29="","",Access_Data!G29)</f>
        <v/>
      </c>
      <c r="F38" s="278" t="str">
        <f ca="1">IF(Access_Data!G31="","",Access_Data!G31)</f>
        <v/>
      </c>
      <c r="G38" s="101"/>
      <c r="H38" s="101"/>
      <c r="I38" s="277" t="str">
        <f>IF(J38="","",26)</f>
        <v/>
      </c>
      <c r="J38" s="574" t="str">
        <f>IF(Main!O30="","",Main!O30)</f>
        <v/>
      </c>
      <c r="K38" s="574"/>
      <c r="L38" s="278" t="str">
        <f ca="1">IF(Access_Data!AG27="","",Access_Data!AG27)</f>
        <v/>
      </c>
      <c r="M38" s="278" t="str">
        <f ca="1">IF(Access_Data!AG29="","",Access_Data!AG29)</f>
        <v/>
      </c>
      <c r="N38" s="278" t="str">
        <f ca="1">IF(Access_Data!AG31="","",Access_Data!AG31)</f>
        <v/>
      </c>
    </row>
    <row r="39" spans="1:14" ht="18" customHeight="1" x14ac:dyDescent="0.2">
      <c r="A39" s="277" t="str">
        <f>IF(B39="","",7)</f>
        <v/>
      </c>
      <c r="B39" s="574" t="str">
        <f>IF(Main!O11="","",Main!O11)</f>
        <v/>
      </c>
      <c r="C39" s="574"/>
      <c r="D39" s="278" t="str">
        <f ca="1">IF(Access_Data!H27="","",Access_Data!H27)</f>
        <v/>
      </c>
      <c r="E39" s="278" t="str">
        <f ca="1">IF(Access_Data!H29="","",Access_Data!H29)</f>
        <v/>
      </c>
      <c r="F39" s="278" t="str">
        <f ca="1">IF(Access_Data!H31="","",Access_Data!H31)</f>
        <v/>
      </c>
      <c r="G39" s="101"/>
      <c r="H39" s="101"/>
      <c r="I39" s="277" t="str">
        <f>IF(J39="","",27)</f>
        <v/>
      </c>
      <c r="J39" s="574" t="str">
        <f>IF(Main!O31="","",Main!O31)</f>
        <v/>
      </c>
      <c r="K39" s="574"/>
      <c r="L39" s="278" t="str">
        <f ca="1">IF(Access_Data!AH27="","",Access_Data!AH27)</f>
        <v/>
      </c>
      <c r="M39" s="278" t="str">
        <f ca="1">IF(Access_Data!AH29="","",Access_Data!AH29)</f>
        <v/>
      </c>
      <c r="N39" s="278" t="str">
        <f ca="1">IF(Access_Data!AH31="","",Access_Data!AH31)</f>
        <v/>
      </c>
    </row>
    <row r="40" spans="1:14" ht="18" customHeight="1" x14ac:dyDescent="0.2">
      <c r="A40" s="277" t="str">
        <f>IF(B40="","",8)</f>
        <v/>
      </c>
      <c r="B40" s="574" t="str">
        <f>IF(Main!O12="","",Main!O12)</f>
        <v/>
      </c>
      <c r="C40" s="574"/>
      <c r="D40" s="278" t="str">
        <f ca="1">IF(Access_Data!I27="","",Access_Data!I27)</f>
        <v/>
      </c>
      <c r="E40" s="278" t="str">
        <f ca="1">IF(Access_Data!I29="","",Access_Data!I29)</f>
        <v/>
      </c>
      <c r="F40" s="278" t="str">
        <f ca="1">IF(Access_Data!I31="","",Access_Data!I31)</f>
        <v/>
      </c>
      <c r="G40" s="101"/>
      <c r="H40" s="101"/>
      <c r="I40" s="277" t="str">
        <f>IF(J40="","",28)</f>
        <v/>
      </c>
      <c r="J40" s="574" t="str">
        <f>IF(Main!O32="","",Main!O32)</f>
        <v/>
      </c>
      <c r="K40" s="574"/>
      <c r="L40" s="278" t="str">
        <f ca="1">IF(Access_Data!AI27="","",Access_Data!AI27)</f>
        <v/>
      </c>
      <c r="M40" s="278" t="str">
        <f ca="1">IF(Access_Data!AI29="","",Access_Data!AI29)</f>
        <v/>
      </c>
      <c r="N40" s="278" t="str">
        <f ca="1">IF(Access_Data!AI31="","",Access_Data!AI31)</f>
        <v/>
      </c>
    </row>
    <row r="41" spans="1:14" ht="18" customHeight="1" x14ac:dyDescent="0.2">
      <c r="A41" s="277" t="str">
        <f>IF(B41="","",9)</f>
        <v/>
      </c>
      <c r="B41" s="574" t="str">
        <f>IF(Main!O13="","",Main!O13)</f>
        <v/>
      </c>
      <c r="C41" s="574"/>
      <c r="D41" s="278" t="str">
        <f ca="1">IF(Access_Data!J27="","",Access_Data!J27)</f>
        <v/>
      </c>
      <c r="E41" s="278" t="str">
        <f ca="1">IF(Access_Data!J29="","",Access_Data!J29)</f>
        <v/>
      </c>
      <c r="F41" s="278" t="str">
        <f ca="1">IF(Access_Data!J31="","",Access_Data!J31)</f>
        <v/>
      </c>
      <c r="G41" s="101"/>
      <c r="H41" s="101"/>
      <c r="I41" s="277" t="str">
        <f>IF(J41="","",29)</f>
        <v/>
      </c>
      <c r="J41" s="574" t="str">
        <f>IF(Main!O33="","",Main!O33)</f>
        <v/>
      </c>
      <c r="K41" s="574"/>
      <c r="L41" s="278" t="e">
        <f ca="1">IF(Access_Data!AP27="","",Access_Data!AP27)</f>
        <v>#REF!</v>
      </c>
      <c r="M41" s="278" t="e">
        <f ca="1">IF(Access_Data!AP29="","",Access_Data!AP29)</f>
        <v>#REF!</v>
      </c>
      <c r="N41" s="278" t="e">
        <f ca="1">IF(Access_Data!AP31="","",Access_Data!AP31)</f>
        <v>#REF!</v>
      </c>
    </row>
    <row r="42" spans="1:14" ht="18" customHeight="1" x14ac:dyDescent="0.2">
      <c r="A42" s="277" t="str">
        <f>IF(B42="","",10)</f>
        <v/>
      </c>
      <c r="B42" s="574" t="str">
        <f>IF(Main!O14="","",Main!O14)</f>
        <v/>
      </c>
      <c r="C42" s="574"/>
      <c r="D42" s="278" t="str">
        <f ca="1">IF(Access_Data!K27="","",Access_Data!K27)</f>
        <v/>
      </c>
      <c r="E42" s="278" t="str">
        <f ca="1">IF(Access_Data!K29="","",Access_Data!K29)</f>
        <v/>
      </c>
      <c r="F42" s="278" t="str">
        <f ca="1">IF(Access_Data!K31="","",Access_Data!K31)</f>
        <v/>
      </c>
      <c r="G42" s="101"/>
      <c r="H42" s="101"/>
      <c r="I42" s="277" t="str">
        <f>IF(J42="","",30)</f>
        <v/>
      </c>
      <c r="J42" s="574" t="str">
        <f>IF(Main!O34="","",Main!O34)</f>
        <v/>
      </c>
      <c r="K42" s="574"/>
      <c r="L42" s="278" t="str">
        <f ca="1">IF(Access_Data!AQ27="","",Access_Data!AQ27)</f>
        <v/>
      </c>
      <c r="M42" s="278" t="str">
        <f ca="1">IF(Access_Data!AQ29="","",Access_Data!AQ29)</f>
        <v/>
      </c>
      <c r="N42" s="278">
        <f ca="1">IF(Access_Data!AQ31="","",Access_Data!AQ31)</f>
        <v>0</v>
      </c>
    </row>
    <row r="43" spans="1:14" ht="18" customHeight="1" x14ac:dyDescent="0.2">
      <c r="A43" s="277" t="str">
        <f>IF(B43="","",11)</f>
        <v/>
      </c>
      <c r="B43" s="574" t="str">
        <f>IF(Main!O15="","",Main!O15)</f>
        <v/>
      </c>
      <c r="C43" s="574"/>
      <c r="D43" s="278" t="str">
        <f ca="1">IF(Access_Data!L27="","",Access_Data!L27)</f>
        <v/>
      </c>
      <c r="E43" s="278" t="str">
        <f ca="1">IF(Access_Data!L29="","",Access_Data!L29)</f>
        <v/>
      </c>
      <c r="F43" s="278" t="str">
        <f ca="1">IF(Access_Data!L31="","",Access_Data!L31)</f>
        <v/>
      </c>
      <c r="G43" s="101"/>
      <c r="H43" s="101"/>
      <c r="I43" s="277" t="str">
        <f>IF(J43="","",31)</f>
        <v/>
      </c>
      <c r="J43" s="574" t="str">
        <f>IF(Main!O35="","",Main!O35)</f>
        <v/>
      </c>
      <c r="K43" s="574"/>
      <c r="L43" s="278" t="str">
        <f ca="1">IF(Access_Data!AR27="","",Access_Data!AR27)</f>
        <v/>
      </c>
      <c r="M43" s="278" t="str">
        <f ca="1">IF(Access_Data!AR29="","",Access_Data!AR29)</f>
        <v/>
      </c>
      <c r="N43" s="278">
        <f ca="1">IF(Access_Data!AR31="","",Access_Data!AR31)</f>
        <v>0</v>
      </c>
    </row>
    <row r="44" spans="1:14" ht="18" customHeight="1" x14ac:dyDescent="0.2">
      <c r="A44" s="277" t="str">
        <f>IF(B44="","",12)</f>
        <v/>
      </c>
      <c r="B44" s="574" t="str">
        <f>IF(Main!O16="","",Main!O16)</f>
        <v/>
      </c>
      <c r="C44" s="574"/>
      <c r="D44" s="278" t="str">
        <f ca="1">IF(Access_Data!M27="","",Access_Data!M27)</f>
        <v/>
      </c>
      <c r="E44" s="278" t="str">
        <f ca="1">IF(Access_Data!M29="","",Access_Data!M29)</f>
        <v/>
      </c>
      <c r="F44" s="278" t="str">
        <f ca="1">IF(Access_Data!M31="","",Access_Data!M31)</f>
        <v/>
      </c>
      <c r="G44" s="101"/>
      <c r="H44" s="101"/>
      <c r="I44" s="277" t="str">
        <f>IF(J44="","",32)</f>
        <v/>
      </c>
      <c r="J44" s="574" t="str">
        <f>IF(Main!O36="","",Main!O36)</f>
        <v/>
      </c>
      <c r="K44" s="574"/>
      <c r="L44" s="278" t="str">
        <f ca="1">IF(Access_Data!AS27="","",Access_Data!AS27)</f>
        <v/>
      </c>
      <c r="M44" s="278" t="str">
        <f ca="1">IF(Access_Data!AS29="","",Access_Data!AS29)</f>
        <v/>
      </c>
      <c r="N44" s="278">
        <f ca="1">IF(Access_Data!AS31="","",Access_Data!AS31)</f>
        <v>0</v>
      </c>
    </row>
    <row r="45" spans="1:14" ht="18" customHeight="1" x14ac:dyDescent="0.2">
      <c r="A45" s="277" t="str">
        <f>IF(B45="","",13)</f>
        <v/>
      </c>
      <c r="B45" s="574" t="str">
        <f>IF(Main!O17="","",Main!O17)</f>
        <v/>
      </c>
      <c r="C45" s="574"/>
      <c r="D45" s="278" t="str">
        <f ca="1">IF(Access_Data!N27="","",Access_Data!N27)</f>
        <v/>
      </c>
      <c r="E45" s="278" t="str">
        <f ca="1">IF(Access_Data!N29="","",Access_Data!N29)</f>
        <v/>
      </c>
      <c r="F45" s="278" t="str">
        <f ca="1">IF(Access_Data!N31="","",Access_Data!N31)</f>
        <v/>
      </c>
      <c r="G45" s="101"/>
      <c r="H45" s="101"/>
      <c r="I45" s="277" t="str">
        <f>IF(J45="","",33)</f>
        <v/>
      </c>
      <c r="J45" s="574" t="str">
        <f>IF(Main!O37="","",Main!O37)</f>
        <v/>
      </c>
      <c r="K45" s="574"/>
      <c r="L45" s="278" t="str">
        <f ca="1">IF(Access_Data!AT27="","",Access_Data!AT27)</f>
        <v/>
      </c>
      <c r="M45" s="278" t="str">
        <f ca="1">IF(Access_Data!AT29="","",Access_Data!AT29)</f>
        <v/>
      </c>
      <c r="N45" s="278">
        <f ca="1">IF(Access_Data!AT31="","",Access_Data!AT31)</f>
        <v>0</v>
      </c>
    </row>
    <row r="46" spans="1:14" ht="18" customHeight="1" x14ac:dyDescent="0.2">
      <c r="A46" s="277" t="str">
        <f>IF(B46="","",14)</f>
        <v/>
      </c>
      <c r="B46" s="574" t="str">
        <f>IF(Main!O18="","",Main!O18)</f>
        <v/>
      </c>
      <c r="C46" s="574"/>
      <c r="D46" s="278" t="str">
        <f ca="1">IF(Access_Data!O27="","",Access_Data!O27)</f>
        <v/>
      </c>
      <c r="E46" s="278" t="str">
        <f ca="1">IF(Access_Data!O29="","",Access_Data!O29)</f>
        <v/>
      </c>
      <c r="F46" s="278" t="str">
        <f ca="1">IF(Access_Data!O31="","",Access_Data!O31)</f>
        <v/>
      </c>
      <c r="G46" s="101"/>
      <c r="H46" s="101"/>
      <c r="I46" s="277" t="str">
        <f>IF(J46="","",34)</f>
        <v/>
      </c>
      <c r="J46" s="574" t="str">
        <f>IF(Main!O38="","",Main!O38)</f>
        <v/>
      </c>
      <c r="K46" s="574"/>
      <c r="L46" s="278" t="str">
        <f ca="1">IF(Access_Data!AU27="","",Access_Data!AU27)</f>
        <v/>
      </c>
      <c r="M46" s="278" t="str">
        <f ca="1">IF(Access_Data!AU29="","",Access_Data!AU29)</f>
        <v/>
      </c>
      <c r="N46" s="278">
        <f ca="1">IF(Access_Data!AU31="","",Access_Data!AU31)</f>
        <v>0</v>
      </c>
    </row>
    <row r="47" spans="1:14" ht="18" customHeight="1" x14ac:dyDescent="0.2">
      <c r="A47" s="277" t="str">
        <f>IF(B47="","",15)</f>
        <v/>
      </c>
      <c r="B47" s="574" t="str">
        <f>IF(Main!O19="","",Main!O19)</f>
        <v/>
      </c>
      <c r="C47" s="574"/>
      <c r="D47" s="278" t="str">
        <f ca="1">IF(Access_Data!V27="","",Access_Data!V27)</f>
        <v/>
      </c>
      <c r="E47" s="278" t="str">
        <f ca="1">IF(Access_Data!V29="","",Access_Data!V29)</f>
        <v/>
      </c>
      <c r="F47" s="278" t="str">
        <f ca="1">IF(Access_Data!V31="","",Access_Data!V31)</f>
        <v/>
      </c>
      <c r="G47" s="101"/>
      <c r="H47" s="101"/>
      <c r="I47" s="277" t="str">
        <f>IF(J47="","",35)</f>
        <v/>
      </c>
      <c r="J47" s="574" t="str">
        <f>IF(Main!O39="","",Main!O39)</f>
        <v/>
      </c>
      <c r="K47" s="574"/>
      <c r="L47" s="278" t="str">
        <f ca="1">IF(Access_Data!AV27="","",Access_Data!AV27)</f>
        <v/>
      </c>
      <c r="M47" s="278" t="str">
        <f ca="1">IF(Access_Data!AV29="","",Access_Data!AV29)</f>
        <v/>
      </c>
      <c r="N47" s="278">
        <f ca="1">IF(Access_Data!AV31="","",Access_Data!AV31)</f>
        <v>0</v>
      </c>
    </row>
    <row r="48" spans="1:14" ht="18" customHeight="1" x14ac:dyDescent="0.2">
      <c r="A48" s="277" t="str">
        <f>IF(B48="","",16)</f>
        <v/>
      </c>
      <c r="B48" s="574" t="str">
        <f>IF(Main!O20="","",Main!O20)</f>
        <v/>
      </c>
      <c r="C48" s="574"/>
      <c r="D48" s="278" t="str">
        <f ca="1">IF(Access_Data!W27="","",Access_Data!W27)</f>
        <v/>
      </c>
      <c r="E48" s="278" t="str">
        <f ca="1">IF(Access_Data!W29="","",Access_Data!W29)</f>
        <v/>
      </c>
      <c r="F48" s="278" t="str">
        <f ca="1">IF(Access_Data!W31="","",Access_Data!W31)</f>
        <v/>
      </c>
      <c r="G48" s="101"/>
      <c r="H48" s="101"/>
      <c r="I48" s="277" t="str">
        <f>IF(J48="","",36)</f>
        <v/>
      </c>
      <c r="J48" s="574" t="str">
        <f>IF(Main!O40="","",Main!O40)</f>
        <v/>
      </c>
      <c r="K48" s="574"/>
      <c r="L48" s="278" t="str">
        <f ca="1">IF(Access_Data!AW27="","",Access_Data!AW27)</f>
        <v/>
      </c>
      <c r="M48" s="278" t="str">
        <f ca="1">IF(Access_Data!AW29="","",Access_Data!AW29)</f>
        <v/>
      </c>
      <c r="N48" s="278">
        <f ca="1">IF(Access_Data!AW31="","",Access_Data!AW31)</f>
        <v>0</v>
      </c>
    </row>
    <row r="49" spans="1:20" ht="18" customHeight="1" x14ac:dyDescent="0.2">
      <c r="A49" s="277" t="str">
        <f>IF(B49="","",17)</f>
        <v/>
      </c>
      <c r="B49" s="574" t="str">
        <f>IF(Main!O21="","",Main!O21)</f>
        <v/>
      </c>
      <c r="C49" s="574"/>
      <c r="D49" s="278" t="str">
        <f ca="1">IF(Access_Data!X27="","",Access_Data!X27)</f>
        <v/>
      </c>
      <c r="E49" s="278" t="str">
        <f ca="1">IF(Access_Data!X29="","",Access_Data!X29)</f>
        <v/>
      </c>
      <c r="F49" s="278" t="str">
        <f ca="1">IF(Access_Data!X31="","",Access_Data!X31)</f>
        <v/>
      </c>
      <c r="G49" s="101"/>
      <c r="H49" s="101"/>
      <c r="I49" s="277" t="str">
        <f>IF(J49="","",37)</f>
        <v/>
      </c>
      <c r="J49" s="574" t="str">
        <f>IF(Main!O41="","",Main!O41)</f>
        <v/>
      </c>
      <c r="K49" s="574"/>
      <c r="L49" s="278" t="str">
        <f ca="1">IF(Access_Data!AX27="","",Access_Data!AX27)</f>
        <v/>
      </c>
      <c r="M49" s="278" t="str">
        <f ca="1">IF(Access_Data!AX29="","",Access_Data!AX29)</f>
        <v/>
      </c>
      <c r="N49" s="278">
        <f ca="1">IF(Access_Data!AX31="","",Access_Data!AX31)</f>
        <v>0</v>
      </c>
    </row>
    <row r="50" spans="1:20" ht="18" customHeight="1" x14ac:dyDescent="0.2">
      <c r="A50" s="277" t="str">
        <f>IF(B50="","",18)</f>
        <v/>
      </c>
      <c r="B50" s="574" t="str">
        <f>IF(Main!O22="","",Main!O22)</f>
        <v/>
      </c>
      <c r="C50" s="574"/>
      <c r="D50" s="278" t="str">
        <f ca="1">IF(Access_Data!Y27="","",Access_Data!Y27)</f>
        <v/>
      </c>
      <c r="E50" s="278" t="str">
        <f ca="1">IF(Access_Data!Y29="","",Access_Data!Y29)</f>
        <v/>
      </c>
      <c r="F50" s="278" t="str">
        <f ca="1">IF(Access_Data!Y31="","",Access_Data!Y31)</f>
        <v/>
      </c>
      <c r="G50" s="101"/>
      <c r="H50" s="101"/>
      <c r="I50" s="277" t="str">
        <f>IF(J50="","",38)</f>
        <v/>
      </c>
      <c r="J50" s="574" t="str">
        <f>IF(Main!O42="","",Main!O42)</f>
        <v/>
      </c>
      <c r="K50" s="574"/>
      <c r="L50" s="278" t="str">
        <f ca="1">IF(Access_Data!AY27="","",Access_Data!AY27)</f>
        <v/>
      </c>
      <c r="M50" s="278" t="str">
        <f ca="1">IF(Access_Data!AY29="","",Access_Data!AY29)</f>
        <v/>
      </c>
      <c r="N50" s="278">
        <f ca="1">IF(Access_Data!AY31="","",Access_Data!AY31)</f>
        <v>0</v>
      </c>
    </row>
    <row r="51" spans="1:20" ht="18" customHeight="1" x14ac:dyDescent="0.2">
      <c r="A51" s="277" t="str">
        <f>IF(B51="","",19)</f>
        <v/>
      </c>
      <c r="B51" s="574" t="str">
        <f>IF(Main!O23="","",Main!O23)</f>
        <v/>
      </c>
      <c r="C51" s="574"/>
      <c r="D51" s="278" t="str">
        <f ca="1">IF(Access_Data!Z27="","",Access_Data!X27)</f>
        <v/>
      </c>
      <c r="E51" s="278" t="str">
        <f ca="1">IF(Access_Data!Z29="","",Access_Data!Z29)</f>
        <v/>
      </c>
      <c r="F51" s="278" t="str">
        <f ca="1">IF(Access_Data!Z31="","",Access_Data!Z31)</f>
        <v/>
      </c>
      <c r="G51" s="101"/>
      <c r="H51" s="101"/>
      <c r="I51" s="277" t="str">
        <f>IF(J51="","",39)</f>
        <v/>
      </c>
      <c r="J51" s="574" t="str">
        <f>IF(Main!O43="","",Main!O43)</f>
        <v/>
      </c>
      <c r="K51" s="574"/>
      <c r="L51" s="278" t="str">
        <f ca="1">IF(Access_Data!AZ27="","",Access_Data!AZ27)</f>
        <v/>
      </c>
      <c r="M51" s="278" t="str">
        <f ca="1">IF(Access_Data!AZ29="","",Access_Data!AZ29)</f>
        <v/>
      </c>
      <c r="N51" s="278">
        <f ca="1">IF(Access_Data!AZ31="","",Access_Data!AZ31)</f>
        <v>0</v>
      </c>
    </row>
    <row r="52" spans="1:20" ht="18" customHeight="1" x14ac:dyDescent="0.2">
      <c r="A52" s="277" t="str">
        <f>IF(B52="","",20)</f>
        <v/>
      </c>
      <c r="B52" s="574" t="str">
        <f>IF(Main!O24="","",Main!O24)</f>
        <v/>
      </c>
      <c r="C52" s="574"/>
      <c r="D52" s="278" t="str">
        <f ca="1">IF(Access_Data!AA27="","",Access_Data!AA27)</f>
        <v/>
      </c>
      <c r="E52" s="278" t="str">
        <f ca="1">IF(Access_Data!AA29="","",Access_Data!AA29)</f>
        <v/>
      </c>
      <c r="F52" s="278" t="str">
        <f ca="1">IF(Access_Data!AA31="","",Access_Data!AA31)</f>
        <v/>
      </c>
      <c r="G52" s="101"/>
      <c r="H52" s="101"/>
      <c r="I52" s="277" t="str">
        <f>IF(J52="","",40)</f>
        <v/>
      </c>
      <c r="J52" s="574" t="str">
        <f>IF(Main!O44="","",Main!O44)</f>
        <v/>
      </c>
      <c r="K52" s="574"/>
      <c r="L52" s="278" t="str">
        <f ca="1">IF(Access_Data!BA27="","",Access_Data!BA27)</f>
        <v/>
      </c>
      <c r="M52" s="278" t="str">
        <f ca="1">IF(Access_Data!BA29="","",Access_Data!BA29)</f>
        <v/>
      </c>
      <c r="N52" s="278">
        <f ca="1">IF(Access_Data!BA31="","",Access_Data!BA31)</f>
        <v>0</v>
      </c>
    </row>
    <row r="53" spans="1:20" ht="18" customHeight="1" x14ac:dyDescent="0.2">
      <c r="B53" s="579" t="s">
        <v>335</v>
      </c>
      <c r="C53" s="579"/>
      <c r="D53" s="579"/>
      <c r="E53" s="579"/>
      <c r="F53" s="579"/>
      <c r="G53" s="579"/>
      <c r="H53" s="579"/>
      <c r="I53" s="579"/>
      <c r="J53" s="579"/>
      <c r="K53" s="579"/>
      <c r="L53" s="579"/>
      <c r="M53" s="579"/>
      <c r="N53" s="579"/>
    </row>
    <row r="54" spans="1:20" ht="18" customHeight="1" x14ac:dyDescent="0.25">
      <c r="A54" s="279" t="s">
        <v>336</v>
      </c>
      <c r="B54" s="588" t="str">
        <f>CONCATENATE(Main!G23,"  ",FurnaceSpecificComments)</f>
        <v xml:space="preserve">Found in tolerance.  No adjustment required.  </v>
      </c>
      <c r="C54" s="588"/>
      <c r="D54" s="588"/>
      <c r="E54" s="588"/>
      <c r="F54" s="588"/>
      <c r="G54" s="588"/>
      <c r="H54" s="588"/>
      <c r="I54" s="588"/>
      <c r="J54" s="588"/>
      <c r="K54" s="588"/>
      <c r="L54" s="588"/>
      <c r="M54" s="588"/>
      <c r="N54" s="588"/>
      <c r="O54" s="588"/>
    </row>
    <row r="55" spans="1:20" ht="18" customHeight="1" x14ac:dyDescent="0.25">
      <c r="A55" s="98"/>
      <c r="B55" s="588"/>
      <c r="C55" s="588"/>
      <c r="D55" s="588"/>
      <c r="E55" s="588"/>
      <c r="F55" s="588"/>
      <c r="G55" s="588"/>
      <c r="H55" s="588"/>
      <c r="I55" s="588"/>
      <c r="J55" s="588"/>
      <c r="K55" s="588"/>
      <c r="L55" s="588"/>
      <c r="M55" s="588"/>
      <c r="N55" s="588"/>
      <c r="O55" s="588"/>
    </row>
    <row r="56" spans="1:20" ht="18" customHeight="1" x14ac:dyDescent="0.25">
      <c r="A56" s="98"/>
      <c r="B56" s="588"/>
      <c r="C56" s="588"/>
      <c r="D56" s="588"/>
      <c r="E56" s="588"/>
      <c r="F56" s="588"/>
      <c r="G56" s="588"/>
      <c r="H56" s="588"/>
      <c r="I56" s="588"/>
      <c r="J56" s="588"/>
      <c r="K56" s="588"/>
      <c r="L56" s="588"/>
      <c r="M56" s="588"/>
      <c r="N56" s="588"/>
      <c r="O56" s="588"/>
    </row>
    <row r="57" spans="1:20" ht="18" customHeight="1" x14ac:dyDescent="0.25">
      <c r="A57" s="98"/>
      <c r="B57" s="588"/>
      <c r="C57" s="588"/>
      <c r="D57" s="588"/>
      <c r="E57" s="588"/>
      <c r="F57" s="588"/>
      <c r="G57" s="588"/>
      <c r="H57" s="588"/>
      <c r="I57" s="588"/>
      <c r="J57" s="588"/>
      <c r="K57" s="588"/>
      <c r="L57" s="588"/>
      <c r="M57" s="588"/>
      <c r="N57" s="588"/>
      <c r="O57" s="588"/>
    </row>
    <row r="58" spans="1:20" ht="18" customHeight="1" x14ac:dyDescent="0.25">
      <c r="A58" s="98"/>
      <c r="B58" s="588"/>
      <c r="C58" s="588"/>
      <c r="D58" s="588"/>
      <c r="E58" s="588"/>
      <c r="F58" s="588"/>
      <c r="G58" s="588"/>
      <c r="H58" s="588"/>
      <c r="I58" s="588"/>
      <c r="J58" s="588"/>
      <c r="K58" s="588"/>
      <c r="L58" s="588"/>
      <c r="M58" s="588"/>
      <c r="N58" s="588"/>
      <c r="O58" s="588"/>
    </row>
    <row r="59" spans="1:20" ht="18" customHeight="1" x14ac:dyDescent="0.25">
      <c r="A59" s="98"/>
      <c r="B59" s="588"/>
      <c r="C59" s="588"/>
      <c r="D59" s="588"/>
      <c r="E59" s="588"/>
      <c r="F59" s="588"/>
      <c r="G59" s="588"/>
      <c r="H59" s="588"/>
      <c r="I59" s="588"/>
      <c r="J59" s="588"/>
      <c r="K59" s="588"/>
      <c r="L59" s="588"/>
      <c r="M59" s="588"/>
      <c r="N59" s="588"/>
      <c r="O59" s="588"/>
    </row>
    <row r="60" spans="1:20" ht="18" customHeight="1" x14ac:dyDescent="0.2">
      <c r="A60" s="578" t="s">
        <v>344</v>
      </c>
      <c r="B60" s="578"/>
      <c r="C60" s="578"/>
      <c r="D60" s="578"/>
      <c r="E60" s="578"/>
      <c r="F60" s="578"/>
      <c r="G60" s="578"/>
      <c r="H60" s="578"/>
      <c r="I60" s="578"/>
      <c r="J60" s="578"/>
      <c r="K60" s="578"/>
      <c r="L60" s="578"/>
      <c r="M60" s="578"/>
      <c r="N60" s="578"/>
      <c r="O60" s="578"/>
    </row>
    <row r="61" spans="1:20" ht="18" customHeight="1" x14ac:dyDescent="0.2">
      <c r="A61" s="582" t="s">
        <v>337</v>
      </c>
      <c r="B61" s="582"/>
      <c r="C61" s="582"/>
      <c r="D61" s="582"/>
      <c r="E61" s="582"/>
      <c r="F61" s="595" t="s">
        <v>338</v>
      </c>
      <c r="G61" s="595"/>
      <c r="H61" s="595"/>
      <c r="I61" s="595" t="s">
        <v>339</v>
      </c>
      <c r="J61" s="595"/>
      <c r="K61" s="595" t="s">
        <v>340</v>
      </c>
      <c r="L61" s="595"/>
      <c r="M61" s="595" t="s">
        <v>341</v>
      </c>
      <c r="N61" s="595"/>
      <c r="O61" s="595"/>
      <c r="R61" s="44" t="s">
        <v>908</v>
      </c>
      <c r="T61" s="44" t="s">
        <v>909</v>
      </c>
    </row>
    <row r="62" spans="1:20" ht="18" customHeight="1" x14ac:dyDescent="0.2">
      <c r="A62" s="563" t="str">
        <f>IF(F62="","",CONCATENATE(T62," - ",R62))</f>
        <v/>
      </c>
      <c r="B62" s="564"/>
      <c r="C62" s="564"/>
      <c r="D62" s="564"/>
      <c r="E62" s="565"/>
      <c r="F62" s="563" t="str" cm="1">
        <f t="array" ref="F62">IFERROR(
  _xlfn.XLOOKUP(
    Main!D9,
    _xlfn._xlws.FILTER(AssetPool[asset_tag], AssetPool[root_category_name]="DAQ Modules"),
    _xlfn._xlws.FILTER(AssetPool[serial_number], AssetPool[root_category_name]="DAQ Modules")
  ),
  ""
)</f>
        <v/>
      </c>
      <c r="G62" s="564"/>
      <c r="H62" s="565"/>
      <c r="I62" s="593" t="str">
        <f>IF(F62="","",Main!D12)</f>
        <v/>
      </c>
      <c r="J62" s="594"/>
      <c r="K62" s="593" t="str">
        <f>IF(F62="","",Main!D13)</f>
        <v/>
      </c>
      <c r="L62" s="594"/>
      <c r="M62" s="557" t="str">
        <f>IF(F62="","",REPLACE(Main!D14,3,1,""))</f>
        <v/>
      </c>
      <c r="N62" s="558"/>
      <c r="O62" s="559"/>
      <c r="Q62" t="str">
        <f>IF(CERT!F62="","",1)</f>
        <v/>
      </c>
      <c r="R62" s="234" t="str">
        <f>IF(Main!D9="", "", _xlfn.XLOOKUP(Main!D9,AssetPool[asset_tag],AssetPool[manufacturer_part_number]))</f>
        <v/>
      </c>
      <c r="T62" s="234" t="str">
        <f>IF(Main!D9="", "", _xlfn.XLOOKUP(Main!D9,AssetPool[asset_tag],AssetPool[category_name]))</f>
        <v/>
      </c>
    </row>
    <row r="63" spans="1:20" ht="18" customHeight="1" x14ac:dyDescent="0.2">
      <c r="A63" s="554" t="str">
        <f t="shared" ref="A63:A68" si="0">IF(Q63="","",CONCATENATE(T63," - ",R63))</f>
        <v/>
      </c>
      <c r="B63" s="555"/>
      <c r="C63" s="555"/>
      <c r="D63" s="555"/>
      <c r="E63" s="556"/>
      <c r="F63" s="554" t="str">
        <f>IF(Main!D48,Main!D48,"")</f>
        <v/>
      </c>
      <c r="G63" s="555"/>
      <c r="H63" s="556"/>
      <c r="I63" s="571" t="str">
        <f>IF(Q63="","",Main!D49)</f>
        <v/>
      </c>
      <c r="J63" s="572"/>
      <c r="K63" s="571" t="str">
        <f>IF(Q63="","",Main!D50)</f>
        <v/>
      </c>
      <c r="L63" s="572"/>
      <c r="M63" s="554" t="str">
        <f>IF(Q63="","",Main!D54)</f>
        <v/>
      </c>
      <c r="N63" s="555"/>
      <c r="O63" s="556"/>
      <c r="Q63" t="str">
        <f>IF(CERT!F63="","",2)</f>
        <v/>
      </c>
      <c r="R63" s="234" t="str">
        <f>IFERROR(_xlfn.XLOOKUP(F63,AssetPool[serial_number],AssetPool[manufacturer_part_number]),"")</f>
        <v>Generic 3436</v>
      </c>
      <c r="T63" s="234" t="str">
        <f>IFERROR(_xlfn.XLOOKUP(F63,AssetPool[serial_number],AssetPool[category_name]),"")</f>
        <v>TC Wire</v>
      </c>
    </row>
    <row r="64" spans="1:20" ht="18" customHeight="1" x14ac:dyDescent="0.2">
      <c r="A64" s="554" t="str">
        <f t="shared" si="0"/>
        <v/>
      </c>
      <c r="B64" s="555"/>
      <c r="C64" s="555"/>
      <c r="D64" s="555"/>
      <c r="E64" s="556"/>
      <c r="F64" s="554" t="str">
        <f>IF(Main!E48,Main!E48,"")</f>
        <v/>
      </c>
      <c r="G64" s="555"/>
      <c r="H64" s="556"/>
      <c r="I64" s="571" t="str">
        <f>IF(Q64="","",Main!E49)</f>
        <v/>
      </c>
      <c r="J64" s="572"/>
      <c r="K64" s="571" t="str">
        <f>IF(Q64="","",Main!E50)</f>
        <v/>
      </c>
      <c r="L64" s="572"/>
      <c r="M64" s="554" t="str">
        <f>IF(Q64="","",Main!E54)</f>
        <v/>
      </c>
      <c r="N64" s="555"/>
      <c r="O64" s="556"/>
      <c r="Q64" t="str">
        <f>IF(CERT!F64="","",3)</f>
        <v/>
      </c>
      <c r="R64" s="234" t="str">
        <f>IFERROR(_xlfn.XLOOKUP(F64,AssetPool[serial_number],AssetPool[manufacturer_part_number]),"")</f>
        <v>Generic 3436</v>
      </c>
      <c r="T64" s="234" t="str">
        <f>IFERROR(_xlfn.XLOOKUP(F64,AssetPool[serial_number],AssetPool[category_name]),"")</f>
        <v>TC Wire</v>
      </c>
    </row>
    <row r="65" spans="1:20" ht="18" customHeight="1" x14ac:dyDescent="0.2">
      <c r="A65" s="554" t="str">
        <f t="shared" si="0"/>
        <v/>
      </c>
      <c r="B65" s="555"/>
      <c r="C65" s="555"/>
      <c r="D65" s="555"/>
      <c r="E65" s="556"/>
      <c r="F65" s="554" t="str">
        <f>IF(Main!F48,Main!F48,"")</f>
        <v/>
      </c>
      <c r="G65" s="555"/>
      <c r="H65" s="556"/>
      <c r="I65" s="571" t="str">
        <f>IF(Q65="","",Main!F49)</f>
        <v/>
      </c>
      <c r="J65" s="572"/>
      <c r="K65" s="571" t="str">
        <f>IF(Q65="","",Main!F50)</f>
        <v/>
      </c>
      <c r="L65" s="572"/>
      <c r="M65" s="554" t="str">
        <f>IF(Q65="","",Main!F54)</f>
        <v/>
      </c>
      <c r="N65" s="555"/>
      <c r="O65" s="556"/>
      <c r="Q65" t="str">
        <f>IF(CERT!F65="","",4)</f>
        <v/>
      </c>
      <c r="R65" s="234" t="str">
        <f>IFERROR(_xlfn.XLOOKUP(F65,AssetPool[serial_number],AssetPool[manufacturer_part_number]),"")</f>
        <v>Generic 3436</v>
      </c>
      <c r="T65" s="234" t="str">
        <f>IFERROR(_xlfn.XLOOKUP(F65,AssetPool[serial_number],AssetPool[category_name]),"")</f>
        <v>TC Wire</v>
      </c>
    </row>
    <row r="66" spans="1:20" ht="18" customHeight="1" x14ac:dyDescent="0.2">
      <c r="A66" s="554" t="str">
        <f t="shared" si="0"/>
        <v/>
      </c>
      <c r="B66" s="555"/>
      <c r="C66" s="555"/>
      <c r="D66" s="555"/>
      <c r="E66" s="556"/>
      <c r="F66" s="554" t="str">
        <f>IF(Main!G48,Main!G48,"")</f>
        <v/>
      </c>
      <c r="G66" s="555"/>
      <c r="H66" s="556"/>
      <c r="I66" s="571" t="str">
        <f>IF(Q66="","",Main!G49)</f>
        <v/>
      </c>
      <c r="J66" s="572"/>
      <c r="K66" s="571" t="str">
        <f>IF(Q66="","",Main!G50)</f>
        <v/>
      </c>
      <c r="L66" s="572"/>
      <c r="M66" s="554" t="str">
        <f>IF(Q66="","",Main!G54)</f>
        <v/>
      </c>
      <c r="N66" s="555"/>
      <c r="O66" s="556"/>
      <c r="Q66" t="str">
        <f>IF(CERT!F66="","",5)</f>
        <v/>
      </c>
      <c r="R66" s="234" t="str">
        <f>IFERROR(_xlfn.XLOOKUP(F66,AssetPool[serial_number],AssetPool[manufacturer_part_number]),"")</f>
        <v>Generic 3436</v>
      </c>
      <c r="T66" s="234" t="str">
        <f>IFERROR(_xlfn.XLOOKUP(F66,AssetPool[serial_number],AssetPool[category_name]),"")</f>
        <v>TC Wire</v>
      </c>
    </row>
    <row r="67" spans="1:20" ht="18" customHeight="1" x14ac:dyDescent="0.2">
      <c r="A67" s="554" t="str">
        <f t="shared" si="0"/>
        <v/>
      </c>
      <c r="B67" s="555"/>
      <c r="C67" s="555"/>
      <c r="D67" s="555"/>
      <c r="E67" s="556"/>
      <c r="F67" s="554" t="str">
        <f>IF(Main!H48,Main!H48,"")</f>
        <v/>
      </c>
      <c r="G67" s="555"/>
      <c r="H67" s="556"/>
      <c r="I67" s="571" t="str">
        <f>IF(Q67="","",Main!H49)</f>
        <v/>
      </c>
      <c r="J67" s="572"/>
      <c r="K67" s="571" t="str">
        <f>IF(Q67="","",Main!H50)</f>
        <v/>
      </c>
      <c r="L67" s="572"/>
      <c r="M67" s="554" t="str">
        <f>IF(Q67="","",Main!H54)</f>
        <v/>
      </c>
      <c r="N67" s="555"/>
      <c r="O67" s="556"/>
      <c r="Q67" t="str">
        <f>IF(CERT!F67="","",6)</f>
        <v/>
      </c>
      <c r="R67" s="234" t="str">
        <f>IFERROR(_xlfn.XLOOKUP(F67,AssetPool[serial_number],AssetPool[manufacturer_part_number]),"")</f>
        <v>Generic 3436</v>
      </c>
      <c r="T67" s="234" t="str">
        <f>IFERROR(_xlfn.XLOOKUP(F67,AssetPool[serial_number],AssetPool[category_name]),"")</f>
        <v>TC Wire</v>
      </c>
    </row>
    <row r="68" spans="1:20" ht="18" customHeight="1" x14ac:dyDescent="0.2">
      <c r="A68" s="554" t="str">
        <f t="shared" si="0"/>
        <v/>
      </c>
      <c r="B68" s="555"/>
      <c r="C68" s="555"/>
      <c r="D68" s="555"/>
      <c r="E68" s="556"/>
      <c r="F68" s="554" t="str">
        <f>IF(Main!I48,Main!I48,"")</f>
        <v/>
      </c>
      <c r="G68" s="555"/>
      <c r="H68" s="556"/>
      <c r="I68" s="571" t="str">
        <f>IF(Q68="","",Main!I49)</f>
        <v/>
      </c>
      <c r="J68" s="572"/>
      <c r="K68" s="571" t="str">
        <f>IF(Q68="","",Main!I50)</f>
        <v/>
      </c>
      <c r="L68" s="572"/>
      <c r="M68" s="554" t="str">
        <f>IF(Q68="","",Main!I54)</f>
        <v/>
      </c>
      <c r="N68" s="555"/>
      <c r="O68" s="556"/>
      <c r="Q68" t="str">
        <f>IF(CERT!F68="","",7)</f>
        <v/>
      </c>
      <c r="R68" s="234" t="str">
        <f>IFERROR(_xlfn.XLOOKUP(F68,AssetPool[serial_number],AssetPool[manufacturer_part_number]),"")</f>
        <v>Generic 3436</v>
      </c>
      <c r="T68" s="234" t="str">
        <f>IFERROR(_xlfn.XLOOKUP(F68,AssetPool[serial_number],AssetPool[category_name]),"")</f>
        <v>TC Wire</v>
      </c>
    </row>
    <row r="69" spans="1:20" ht="18" customHeight="1" x14ac:dyDescent="0.2">
      <c r="A69" s="560" t="str">
        <f>IF(T69="","",CONCATENATE(T69," - ",R69))</f>
        <v/>
      </c>
      <c r="B69" s="561"/>
      <c r="C69" s="561"/>
      <c r="D69" s="561"/>
      <c r="E69" s="562"/>
      <c r="F69" s="566" t="str">
        <f>IF(W69,W69,"")</f>
        <v/>
      </c>
      <c r="G69" s="567"/>
      <c r="H69" s="568"/>
      <c r="I69" s="569"/>
      <c r="J69" s="570"/>
      <c r="K69" s="569"/>
      <c r="L69" s="570"/>
      <c r="M69" s="560"/>
      <c r="N69" s="561"/>
      <c r="O69" s="562"/>
    </row>
    <row r="70" spans="1:20" ht="18" customHeight="1" x14ac:dyDescent="0.2">
      <c r="B70" s="239"/>
      <c r="C70" s="239"/>
      <c r="D70" s="239"/>
      <c r="E70" s="239"/>
      <c r="F70" s="239"/>
      <c r="G70" s="239"/>
      <c r="H70" s="239"/>
      <c r="I70" s="240"/>
      <c r="J70" s="240"/>
      <c r="K70" s="240"/>
      <c r="L70" s="240"/>
      <c r="M70" s="239"/>
      <c r="N70" s="239"/>
      <c r="O70" s="239"/>
    </row>
    <row r="71" spans="1:20" ht="18" customHeight="1" x14ac:dyDescent="0.2">
      <c r="A71" s="553" t="s">
        <v>397</v>
      </c>
      <c r="B71" s="553"/>
      <c r="C71" s="553"/>
      <c r="D71" s="553"/>
      <c r="E71" s="553"/>
      <c r="F71" s="553"/>
      <c r="G71" s="553"/>
      <c r="H71" s="553"/>
      <c r="I71" s="553"/>
      <c r="J71" s="553"/>
      <c r="K71" s="553"/>
      <c r="L71" s="553"/>
      <c r="M71" s="553"/>
      <c r="N71" s="553"/>
      <c r="O71" s="553"/>
    </row>
    <row r="72" spans="1:20" ht="18" customHeight="1" x14ac:dyDescent="0.2">
      <c r="A72" s="553"/>
      <c r="B72" s="553"/>
      <c r="C72" s="553"/>
      <c r="D72" s="553"/>
      <c r="E72" s="553"/>
      <c r="F72" s="553"/>
      <c r="G72" s="553"/>
      <c r="H72" s="553"/>
      <c r="I72" s="553"/>
      <c r="J72" s="553"/>
      <c r="K72" s="553"/>
      <c r="L72" s="553"/>
      <c r="M72" s="553"/>
      <c r="N72" s="553"/>
      <c r="O72" s="553"/>
    </row>
    <row r="73" spans="1:20" ht="18" customHeight="1" x14ac:dyDescent="0.2">
      <c r="A73" s="553"/>
      <c r="B73" s="553"/>
      <c r="C73" s="553"/>
      <c r="D73" s="553"/>
      <c r="E73" s="553"/>
      <c r="F73" s="553"/>
      <c r="G73" s="553"/>
      <c r="H73" s="553"/>
      <c r="I73" s="553"/>
      <c r="J73" s="553"/>
      <c r="K73" s="553"/>
      <c r="L73" s="553"/>
      <c r="M73" s="553"/>
      <c r="N73" s="553"/>
      <c r="O73" s="553"/>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1"/>
    </row>
    <row r="79" spans="1:20" ht="18" customHeight="1" x14ac:dyDescent="0.2"/>
    <row r="80" spans="1:20" ht="18" customHeight="1" x14ac:dyDescent="0.2">
      <c r="A80" s="275" t="s">
        <v>342</v>
      </c>
      <c r="N80" s="275" t="s">
        <v>343</v>
      </c>
    </row>
    <row r="81" ht="15" customHeight="1" x14ac:dyDescent="0.2"/>
    <row r="82" ht="15" customHeight="1" x14ac:dyDescent="0.2"/>
  </sheetData>
  <sheetProtection algorithmName="SHA-512" hashValue="1F23ZYhxcxazP1F2E8k9iFOmAPtmgI5CIx8yYNBDMim4cUSdBPG1DCkdAemVrTW9pugJjHXYGx/IBJFzjXWwAA==" saltValue="6zx91szTtd7rh1A28Nhqh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894</v>
      </c>
      <c r="T1" t="s">
        <v>891</v>
      </c>
      <c r="U1" t="s">
        <v>895</v>
      </c>
      <c r="V1" t="s">
        <v>896</v>
      </c>
      <c r="W1" t="s">
        <v>893</v>
      </c>
      <c r="X1" t="s">
        <v>897</v>
      </c>
      <c r="Y1" t="s">
        <v>898</v>
      </c>
      <c r="Z1" t="s">
        <v>899</v>
      </c>
      <c r="AA1" t="s">
        <v>900</v>
      </c>
      <c r="AB1" t="s">
        <v>901</v>
      </c>
      <c r="AC1" t="s">
        <v>902</v>
      </c>
      <c r="AD1" t="s">
        <v>903</v>
      </c>
      <c r="AE1" t="s">
        <v>904</v>
      </c>
      <c r="AF1" t="s">
        <v>905</v>
      </c>
      <c r="AG1" t="s">
        <v>906</v>
      </c>
      <c r="AH1" t="s">
        <v>907</v>
      </c>
      <c r="AI1" t="s">
        <v>892</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C38"/>
  <sheetViews>
    <sheetView workbookViewId="0">
      <selection activeCell="N15" sqref="N15"/>
    </sheetView>
  </sheetViews>
  <sheetFormatPr defaultRowHeight="12.75" x14ac:dyDescent="0.2"/>
  <cols>
    <col min="1" max="1" width="8" bestFit="1" customWidth="1"/>
    <col min="2" max="2" width="8.42578125" bestFit="1" customWidth="1"/>
    <col min="3" max="3" width="8" customWidth="1"/>
    <col min="4" max="4" width="8.42578125" bestFit="1" customWidth="1"/>
    <col min="5" max="5" width="8" customWidth="1"/>
    <col min="6" max="6" width="6.85546875" bestFit="1" customWidth="1"/>
    <col min="7" max="9" width="5.85546875" bestFit="1" customWidth="1"/>
    <col min="10" max="10" width="4.5703125" bestFit="1" customWidth="1"/>
    <col min="11" max="15" width="6.28515625" bestFit="1" customWidth="1"/>
    <col min="16" max="16" width="7.28515625" bestFit="1" customWidth="1"/>
    <col min="17" max="17" width="6.85546875" bestFit="1" customWidth="1"/>
    <col min="18" max="20" width="5.85546875" bestFit="1" customWidth="1"/>
    <col min="21" max="21" width="4.5703125" bestFit="1" customWidth="1"/>
    <col min="22" max="26" width="6.28515625" bestFit="1" customWidth="1"/>
    <col min="27" max="27" width="7.28515625" bestFit="1" customWidth="1"/>
    <col min="28" max="28" width="6.85546875" bestFit="1" customWidth="1"/>
    <col min="29" max="31" width="5.85546875" bestFit="1" customWidth="1"/>
    <col min="32" max="32" width="4.5703125" bestFit="1" customWidth="1"/>
    <col min="33" max="37" width="6.28515625" bestFit="1" customWidth="1"/>
    <col min="38" max="38" width="7.28515625" bestFit="1" customWidth="1"/>
    <col min="39" max="39" width="6.85546875" bestFit="1" customWidth="1"/>
    <col min="40" max="42" width="5.85546875" bestFit="1" customWidth="1"/>
    <col min="43" max="43" width="4.5703125" bestFit="1" customWidth="1"/>
    <col min="44" max="48" width="6.28515625" bestFit="1" customWidth="1"/>
    <col min="49" max="49" width="7.28515625" bestFit="1" customWidth="1"/>
    <col min="50" max="50" width="6.85546875" bestFit="1" customWidth="1"/>
    <col min="51" max="53" width="5.85546875" bestFit="1" customWidth="1"/>
    <col min="54" max="54" width="4.5703125" bestFit="1" customWidth="1"/>
    <col min="55" max="59" width="6.28515625" customWidth="1"/>
    <col min="60" max="60" width="7.28515625" bestFit="1" customWidth="1"/>
  </cols>
  <sheetData>
    <row r="1" spans="1:1" x14ac:dyDescent="0.2">
      <c r="A1"/>
    </row>
    <row r="38" spans="3:3" x14ac:dyDescent="0.2">
      <c r="C38" s="44" t="s">
        <v>910</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I8" sqref="I8"/>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0">
        <f>Main!$D$16</f>
        <v>0</v>
      </c>
      <c r="C1" s="134">
        <f>$B$1-$B$2</f>
        <v>0</v>
      </c>
      <c r="D1" s="134"/>
      <c r="E1" s="134">
        <f>B1-D2</f>
        <v>0</v>
      </c>
      <c r="F1" s="142" t="s">
        <v>93</v>
      </c>
      <c r="G1" s="141"/>
      <c r="H1" s="141"/>
      <c r="I1" s="141"/>
      <c r="J1" s="141"/>
      <c r="K1" s="141"/>
      <c r="L1" s="141"/>
      <c r="M1" s="141"/>
      <c r="N1" s="141"/>
      <c r="O1" s="141"/>
      <c r="P1" s="340" t="str">
        <f>IF(Main!$E$30="","A10",ADDRESS(13+(MATCH(Main!$E$30,Data_Sheet!$A$14:$A$903,0)),1,4))</f>
        <v>A10</v>
      </c>
      <c r="Q1" s="340">
        <f>VALUE(MID(P1, 2, LEN(P1)-1))</f>
        <v>10</v>
      </c>
    </row>
    <row r="2" spans="1:18" x14ac:dyDescent="0.2">
      <c r="B2" s="140">
        <f>Main!$D$19</f>
        <v>0</v>
      </c>
      <c r="C2" s="134">
        <f>$B$1+$B$2</f>
        <v>0</v>
      </c>
      <c r="D2" s="134">
        <f>(Main!$D$19)/2</f>
        <v>0</v>
      </c>
      <c r="E2" s="134">
        <f>B1+D2</f>
        <v>0</v>
      </c>
      <c r="F2" s="141"/>
      <c r="G2" s="141"/>
      <c r="H2" s="141"/>
      <c r="I2" s="164" t="s">
        <v>250</v>
      </c>
      <c r="J2" s="141"/>
      <c r="K2" s="141"/>
      <c r="L2" s="141"/>
      <c r="M2" s="600" t="s">
        <v>120</v>
      </c>
      <c r="N2" s="600"/>
      <c r="O2" s="600"/>
      <c r="P2" s="341" t="str">
        <f>IF(Main!$E$30="","A10",ADDRESS(13+Standards_Info!W2+(MATCH(Main!$E$30,Data_Sheet!$A$14:$A$903,0)),1,4))</f>
        <v>A10</v>
      </c>
      <c r="Q2" s="340">
        <f>VALUE(MID(P2, 2, LEN(P2)-1))</f>
        <v>10</v>
      </c>
    </row>
    <row r="3" spans="1:18" ht="14.25" x14ac:dyDescent="0.2">
      <c r="B3" s="144" t="s">
        <v>0</v>
      </c>
      <c r="C3" s="139"/>
      <c r="D3" s="126"/>
      <c r="E3" s="126"/>
      <c r="F3" s="126"/>
      <c r="G3" s="126"/>
      <c r="H3" s="126"/>
      <c r="I3" s="126"/>
      <c r="J3" s="126"/>
      <c r="K3" s="126"/>
      <c r="L3" s="126"/>
      <c r="M3" s="601" t="s">
        <v>121</v>
      </c>
      <c r="N3" s="602"/>
      <c r="O3" s="603"/>
      <c r="P3" s="126"/>
      <c r="Q3" s="126"/>
    </row>
    <row r="4" spans="1:18" ht="15" x14ac:dyDescent="0.25">
      <c r="B4" s="136" t="s">
        <v>37</v>
      </c>
      <c r="C4" s="81"/>
      <c r="D4" s="44"/>
      <c r="E4" s="44"/>
      <c r="F4" s="44"/>
      <c r="G4" s="44"/>
      <c r="H4" s="44"/>
      <c r="I4" s="44"/>
      <c r="J4" s="44"/>
      <c r="K4" s="44"/>
      <c r="L4" s="44"/>
      <c r="M4" s="604" t="s">
        <v>162</v>
      </c>
      <c r="N4" s="605"/>
      <c r="O4" s="606"/>
      <c r="P4" s="108"/>
    </row>
    <row r="5" spans="1:18" x14ac:dyDescent="0.2">
      <c r="B5" s="137" t="s">
        <v>38</v>
      </c>
      <c r="C5" s="75">
        <f>Main!D3</f>
        <v>0</v>
      </c>
      <c r="D5" s="44"/>
      <c r="E5" s="44"/>
      <c r="F5" s="44"/>
      <c r="G5" s="44"/>
      <c r="H5" s="44"/>
      <c r="I5" s="73" t="s">
        <v>9</v>
      </c>
      <c r="J5" s="44" t="e">
        <f>Main!D5</f>
        <v>#N/A</v>
      </c>
      <c r="L5" s="44"/>
      <c r="M5" s="607" t="s">
        <v>161</v>
      </c>
      <c r="N5" s="608"/>
      <c r="O5" s="609"/>
      <c r="P5" s="155"/>
    </row>
    <row r="6" spans="1:18" ht="13.5" thickBot="1" x14ac:dyDescent="0.25">
      <c r="B6" s="137" t="s">
        <v>7</v>
      </c>
      <c r="C6" s="76" t="e">
        <f>Main!D6</f>
        <v>#N/A</v>
      </c>
      <c r="D6" s="44"/>
      <c r="E6" s="44"/>
      <c r="F6" s="44"/>
      <c r="G6" s="44"/>
      <c r="H6" s="44"/>
      <c r="I6" s="73" t="s">
        <v>10</v>
      </c>
      <c r="J6" s="72">
        <f>Main!D16</f>
        <v>0</v>
      </c>
      <c r="L6" s="44"/>
      <c r="M6" s="610" t="s">
        <v>160</v>
      </c>
      <c r="N6" s="611"/>
      <c r="O6" s="612"/>
      <c r="P6" s="109"/>
    </row>
    <row r="7" spans="1:18" ht="13.5" thickBot="1" x14ac:dyDescent="0.25">
      <c r="B7" s="137" t="s">
        <v>39</v>
      </c>
      <c r="C7" s="76" t="str">
        <f>Main!D7</f>
        <v>Jeff Hall</v>
      </c>
      <c r="D7" s="44"/>
      <c r="E7" s="44"/>
      <c r="F7" s="44"/>
      <c r="G7" s="44"/>
      <c r="H7" s="44"/>
      <c r="I7" s="78" t="s">
        <v>188</v>
      </c>
      <c r="J7" s="598">
        <f>Main!$D$30</f>
        <v>0</v>
      </c>
      <c r="K7" s="599"/>
      <c r="L7" s="123"/>
      <c r="M7" s="597" t="s">
        <v>159</v>
      </c>
      <c r="N7" s="597"/>
      <c r="O7" s="597"/>
      <c r="P7" s="52"/>
    </row>
    <row r="8" spans="1:18" x14ac:dyDescent="0.2">
      <c r="B8" s="137"/>
      <c r="C8" s="143"/>
      <c r="D8" s="44"/>
      <c r="E8" s="44"/>
      <c r="F8" s="44"/>
      <c r="G8" s="44"/>
      <c r="H8" s="44"/>
      <c r="I8" s="78"/>
      <c r="J8" s="146"/>
      <c r="K8" s="146"/>
      <c r="L8" s="123"/>
      <c r="M8" s="147"/>
      <c r="N8" s="147"/>
      <c r="O8" s="147"/>
      <c r="P8" s="52"/>
    </row>
    <row r="9" spans="1:18" x14ac:dyDescent="0.2">
      <c r="B9" s="137"/>
      <c r="C9" s="76"/>
      <c r="D9" s="44"/>
      <c r="E9" s="44"/>
      <c r="F9" s="44"/>
      <c r="G9" s="44"/>
      <c r="H9" s="44"/>
      <c r="I9" s="150" t="str">
        <f>IF(Main!K15="SIM Load Hot",Main!N59,"")</f>
        <v/>
      </c>
      <c r="J9" s="146"/>
      <c r="K9" s="146"/>
      <c r="L9" s="123"/>
      <c r="M9" s="147"/>
      <c r="N9" s="147"/>
      <c r="O9" s="147"/>
      <c r="P9" s="52"/>
    </row>
    <row r="10" spans="1:18" s="83" customFormat="1" x14ac:dyDescent="0.2">
      <c r="A10" s="124"/>
      <c r="B10" s="158"/>
      <c r="C10" s="159"/>
      <c r="I10" s="150" t="str">
        <f>IF(AND(Main!E60 &lt;&gt; "", Main!K60 &lt;&gt;""),Main!N60,IF(AND(Main!E61&lt;&gt;"",Main!K61&lt;&gt;""),Main!N61,""))</f>
        <v/>
      </c>
      <c r="J10" s="160"/>
      <c r="K10" s="160"/>
      <c r="L10" s="138"/>
      <c r="M10" s="161"/>
      <c r="N10" s="161"/>
      <c r="O10" s="161"/>
      <c r="P10" s="162"/>
    </row>
    <row r="11" spans="1:18" x14ac:dyDescent="0.2">
      <c r="R11" s="53"/>
    </row>
    <row r="12" spans="1:18" x14ac:dyDescent="0.2">
      <c r="B12" s="123" t="str">
        <f>DaqBook_RAW_Data!A2</f>
        <v>Time</v>
      </c>
      <c r="C12" s="44">
        <f>IF(ISBLANK(DaqBook_RAW_Data!B2),"",1)</f>
        <v>1</v>
      </c>
      <c r="D12" s="44">
        <f>IF(ISBLANK(DaqBook_RAW_Data!C2),"",2)</f>
        <v>2</v>
      </c>
      <c r="E12" s="44">
        <f>IF(ISBLANK(DaqBook_RAW_Data!D2),"",3)</f>
        <v>3</v>
      </c>
      <c r="F12" s="44">
        <f>IF(ISBLANK(DaqBook_RAW_Data!E2),"",4)</f>
        <v>4</v>
      </c>
      <c r="G12" s="44">
        <f>IF(ISBLANK(DaqBook_RAW_Data!F2),"",5)</f>
        <v>5</v>
      </c>
      <c r="H12" s="44">
        <f>IF(ISBLANK(DaqBook_RAW_Data!G2),"",6)</f>
        <v>6</v>
      </c>
      <c r="I12" s="44">
        <f>IF(ISBLANK(DaqBook_RAW_Data!H2),"",7)</f>
        <v>7</v>
      </c>
      <c r="J12" s="44">
        <f>IF(ISBLANK(DaqBook_RAW_Data!I2),"",8)</f>
        <v>8</v>
      </c>
      <c r="K12" s="44">
        <f>IF(ISBLANK(DaqBook_RAW_Data!J2),"",9)</f>
        <v>9</v>
      </c>
      <c r="L12" s="44">
        <f>IF(ISBLANK(DaqBook_RAW_Data!K2),"",10)</f>
        <v>10</v>
      </c>
      <c r="M12" s="44">
        <f>IF(ISBLANK(DaqBook_RAW_Data!L2),"",11)</f>
        <v>11</v>
      </c>
      <c r="N12" s="44">
        <f>IF(ISBLANK(DaqBook_RAW_Data!M2),"",12)</f>
        <v>12</v>
      </c>
      <c r="O12" s="44">
        <f>IF(ISBLANK(DaqBook_RAW_Data!N2),"",13)</f>
        <v>13</v>
      </c>
      <c r="P12" s="44">
        <f>IF(ISBLANK(DaqBook_RAW_Data!O2),"",14)</f>
        <v>14</v>
      </c>
    </row>
    <row r="13" spans="1:18" s="83" customFormat="1" x14ac:dyDescent="0.2">
      <c r="A13" s="124"/>
      <c r="B13" s="12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3" customFormat="1" x14ac:dyDescent="0.2">
      <c r="A14" s="124" t="str" cm="1">
        <f t="array" ref="A14:A903">TEXT(B14:B903, "h:mm")</f>
        <v/>
      </c>
      <c r="B14" s="123" t="str" cm="1">
        <f t="array" ref="B14:B323">IF(DaqBook_RAW_Data!A4:A313="", "", DaqBook_RAW_Data!A4:A313)</f>
        <v/>
      </c>
      <c r="C14" s="145" t="str" cm="1">
        <f t="array" ref="C14:P323">IF(DaqBook_RAW_Data!B4:O313="", "", DaqBook_RAW_Data!B4:O313)</f>
        <v/>
      </c>
      <c r="D14" s="145" t="str">
        <v/>
      </c>
      <c r="E14" s="145" t="str">
        <v/>
      </c>
      <c r="F14" s="145" t="str">
        <v/>
      </c>
      <c r="G14" s="145" t="str">
        <v/>
      </c>
      <c r="H14" s="145" t="str">
        <v/>
      </c>
      <c r="I14" s="145" t="str">
        <v/>
      </c>
      <c r="J14" s="145" t="str">
        <v/>
      </c>
      <c r="K14" s="145" t="str">
        <v/>
      </c>
      <c r="L14" s="145" t="str">
        <v/>
      </c>
      <c r="M14" s="145" t="str">
        <v/>
      </c>
      <c r="N14" s="145" t="str">
        <v/>
      </c>
      <c r="O14" s="145" t="str">
        <v/>
      </c>
      <c r="P14" s="145" t="str">
        <v/>
      </c>
    </row>
    <row r="15" spans="1:18" s="83" customFormat="1" x14ac:dyDescent="0.2">
      <c r="A15" s="124" t="str">
        <v/>
      </c>
      <c r="B15" s="123" t="str">
        <v/>
      </c>
      <c r="C15" s="145" t="str">
        <v/>
      </c>
      <c r="D15" s="145" t="str">
        <v/>
      </c>
      <c r="E15" s="145" t="str">
        <v/>
      </c>
      <c r="F15" s="145" t="str">
        <v/>
      </c>
      <c r="G15" s="145" t="str">
        <v/>
      </c>
      <c r="H15" s="145" t="str">
        <v/>
      </c>
      <c r="I15" s="145" t="str">
        <v/>
      </c>
      <c r="J15" s="145" t="str">
        <v/>
      </c>
      <c r="K15" s="145" t="str">
        <v/>
      </c>
      <c r="L15" s="145" t="str">
        <v/>
      </c>
      <c r="M15" s="145" t="str">
        <v/>
      </c>
      <c r="N15" s="145" t="str">
        <v/>
      </c>
      <c r="O15" s="145" t="str">
        <v/>
      </c>
      <c r="P15" s="145" t="str">
        <v/>
      </c>
    </row>
    <row r="16" spans="1:18" s="83" customFormat="1" x14ac:dyDescent="0.2">
      <c r="A16" s="124" t="str">
        <v/>
      </c>
      <c r="B16" s="123" t="str">
        <v/>
      </c>
      <c r="C16" s="145" t="str">
        <v/>
      </c>
      <c r="D16" s="145" t="str">
        <v/>
      </c>
      <c r="E16" s="145" t="str">
        <v/>
      </c>
      <c r="F16" s="145" t="str">
        <v/>
      </c>
      <c r="G16" s="145" t="str">
        <v/>
      </c>
      <c r="H16" s="145" t="str">
        <v/>
      </c>
      <c r="I16" s="145" t="str">
        <v/>
      </c>
      <c r="J16" s="145" t="str">
        <v/>
      </c>
      <c r="K16" s="145" t="str">
        <v/>
      </c>
      <c r="L16" s="145" t="str">
        <v/>
      </c>
      <c r="M16" s="145" t="str">
        <v/>
      </c>
      <c r="N16" s="145" t="str">
        <v/>
      </c>
      <c r="O16" s="145" t="str">
        <v/>
      </c>
      <c r="P16" s="145" t="str">
        <v/>
      </c>
    </row>
    <row r="17" spans="1:17" s="83" customFormat="1" x14ac:dyDescent="0.2">
      <c r="A17" s="124" t="str">
        <v/>
      </c>
      <c r="B17" s="123" t="str">
        <v/>
      </c>
      <c r="C17" s="145" t="str">
        <v/>
      </c>
      <c r="D17" s="145" t="str">
        <v/>
      </c>
      <c r="E17" s="145" t="str">
        <v/>
      </c>
      <c r="F17" s="145" t="str">
        <v/>
      </c>
      <c r="G17" s="145" t="str">
        <v/>
      </c>
      <c r="H17" s="145" t="str">
        <v/>
      </c>
      <c r="I17" s="145" t="str">
        <v/>
      </c>
      <c r="J17" s="145" t="str">
        <v/>
      </c>
      <c r="K17" s="145" t="str">
        <v/>
      </c>
      <c r="L17" s="145" t="str">
        <v/>
      </c>
      <c r="M17" s="145" t="str">
        <v/>
      </c>
      <c r="N17" s="145" t="str">
        <v/>
      </c>
      <c r="O17" s="145" t="str">
        <v/>
      </c>
      <c r="P17" s="145" t="str">
        <v/>
      </c>
    </row>
    <row r="18" spans="1:17" s="83" customFormat="1" x14ac:dyDescent="0.2">
      <c r="A18" s="124" t="str">
        <v/>
      </c>
      <c r="B18" s="123" t="str">
        <v/>
      </c>
      <c r="C18" s="145" t="str">
        <v/>
      </c>
      <c r="D18" s="145" t="str">
        <v/>
      </c>
      <c r="E18" s="145" t="str">
        <v/>
      </c>
      <c r="F18" s="145" t="str">
        <v/>
      </c>
      <c r="G18" s="145" t="str">
        <v/>
      </c>
      <c r="H18" s="145" t="str">
        <v/>
      </c>
      <c r="I18" s="145" t="str">
        <v/>
      </c>
      <c r="J18" s="145" t="str">
        <v/>
      </c>
      <c r="K18" s="145" t="str">
        <v/>
      </c>
      <c r="L18" s="145" t="str">
        <v/>
      </c>
      <c r="M18" s="145" t="str">
        <v/>
      </c>
      <c r="N18" s="145" t="str">
        <v/>
      </c>
      <c r="O18" s="145" t="str">
        <v/>
      </c>
      <c r="P18" s="145" t="str">
        <v/>
      </c>
    </row>
    <row r="19" spans="1:17" s="83" customFormat="1" x14ac:dyDescent="0.2">
      <c r="A19" s="124" t="str">
        <v/>
      </c>
      <c r="B19" s="123" t="str">
        <v/>
      </c>
      <c r="C19" s="145" t="str">
        <v/>
      </c>
      <c r="D19" s="145" t="str">
        <v/>
      </c>
      <c r="E19" s="145" t="str">
        <v/>
      </c>
      <c r="F19" s="145" t="str">
        <v/>
      </c>
      <c r="G19" s="145" t="str">
        <v/>
      </c>
      <c r="H19" s="145" t="str">
        <v/>
      </c>
      <c r="I19" s="145" t="str">
        <v/>
      </c>
      <c r="J19" s="145" t="str">
        <v/>
      </c>
      <c r="K19" s="145" t="str">
        <v/>
      </c>
      <c r="L19" s="145" t="str">
        <v/>
      </c>
      <c r="M19" s="145" t="str">
        <v/>
      </c>
      <c r="N19" s="145" t="str">
        <v/>
      </c>
      <c r="O19" s="145" t="str">
        <v/>
      </c>
      <c r="P19" s="145" t="str">
        <v/>
      </c>
    </row>
    <row r="20" spans="1:17" s="83" customFormat="1" x14ac:dyDescent="0.2">
      <c r="A20" s="124" t="str">
        <v/>
      </c>
      <c r="B20" s="123" t="str">
        <v/>
      </c>
      <c r="C20" s="145" t="str">
        <v/>
      </c>
      <c r="D20" s="145" t="str">
        <v/>
      </c>
      <c r="E20" s="145" t="str">
        <v/>
      </c>
      <c r="F20" s="145" t="str">
        <v/>
      </c>
      <c r="G20" s="145" t="str">
        <v/>
      </c>
      <c r="H20" s="145" t="str">
        <v/>
      </c>
      <c r="I20" s="145" t="str">
        <v/>
      </c>
      <c r="J20" s="145" t="str">
        <v/>
      </c>
      <c r="K20" s="145" t="str">
        <v/>
      </c>
      <c r="L20" s="145" t="str">
        <v/>
      </c>
      <c r="M20" s="145" t="str">
        <v/>
      </c>
      <c r="N20" s="145" t="str">
        <v/>
      </c>
      <c r="O20" s="145" t="str">
        <v/>
      </c>
      <c r="P20" s="145" t="str">
        <v/>
      </c>
    </row>
    <row r="21" spans="1:17" s="83" customFormat="1" x14ac:dyDescent="0.2">
      <c r="A21" s="124" t="str">
        <v/>
      </c>
      <c r="B21" s="123" t="str">
        <v/>
      </c>
      <c r="C21" s="145" t="str">
        <v/>
      </c>
      <c r="D21" s="145" t="str">
        <v/>
      </c>
      <c r="E21" s="145" t="str">
        <v/>
      </c>
      <c r="F21" s="145" t="str">
        <v/>
      </c>
      <c r="G21" s="145" t="str">
        <v/>
      </c>
      <c r="H21" s="145" t="str">
        <v/>
      </c>
      <c r="I21" s="145" t="str">
        <v/>
      </c>
      <c r="J21" s="145" t="str">
        <v/>
      </c>
      <c r="K21" s="145" t="str">
        <v/>
      </c>
      <c r="L21" s="145" t="str">
        <v/>
      </c>
      <c r="M21" s="145" t="str">
        <v/>
      </c>
      <c r="N21" s="145" t="str">
        <v/>
      </c>
      <c r="O21" s="145" t="str">
        <v/>
      </c>
      <c r="P21" s="145" t="str">
        <v/>
      </c>
    </row>
    <row r="22" spans="1:17" s="83" customFormat="1" x14ac:dyDescent="0.2">
      <c r="A22" s="124" t="str">
        <v/>
      </c>
      <c r="B22" s="123" t="str">
        <v/>
      </c>
      <c r="C22" s="145" t="str">
        <v/>
      </c>
      <c r="D22" s="145" t="str">
        <v/>
      </c>
      <c r="E22" s="145" t="str">
        <v/>
      </c>
      <c r="F22" s="145" t="str">
        <v/>
      </c>
      <c r="G22" s="145" t="str">
        <v/>
      </c>
      <c r="H22" s="145" t="str">
        <v/>
      </c>
      <c r="I22" s="145" t="str">
        <v/>
      </c>
      <c r="J22" s="145" t="str">
        <v/>
      </c>
      <c r="K22" s="145" t="str">
        <v/>
      </c>
      <c r="L22" s="145" t="str">
        <v/>
      </c>
      <c r="M22" s="145" t="str">
        <v/>
      </c>
      <c r="N22" s="145" t="str">
        <v/>
      </c>
      <c r="O22" s="145" t="str">
        <v/>
      </c>
      <c r="P22" s="145" t="str">
        <v/>
      </c>
    </row>
    <row r="23" spans="1:17" s="83" customFormat="1" x14ac:dyDescent="0.2">
      <c r="A23" s="124" t="str">
        <v/>
      </c>
      <c r="B23" s="123" t="str">
        <v/>
      </c>
      <c r="C23" s="145" t="str">
        <v/>
      </c>
      <c r="D23" s="145" t="str">
        <v/>
      </c>
      <c r="E23" s="145" t="str">
        <v/>
      </c>
      <c r="F23" s="145" t="str">
        <v/>
      </c>
      <c r="G23" s="145" t="str">
        <v/>
      </c>
      <c r="H23" s="145" t="str">
        <v/>
      </c>
      <c r="I23" s="145" t="str">
        <v/>
      </c>
      <c r="J23" s="145" t="str">
        <v/>
      </c>
      <c r="K23" s="145" t="str">
        <v/>
      </c>
      <c r="L23" s="145" t="str">
        <v/>
      </c>
      <c r="M23" s="145" t="str">
        <v/>
      </c>
      <c r="N23" s="145" t="str">
        <v/>
      </c>
      <c r="O23" s="145" t="str">
        <v/>
      </c>
      <c r="P23" s="145" t="str">
        <v/>
      </c>
    </row>
    <row r="24" spans="1:17" s="83" customFormat="1" x14ac:dyDescent="0.2">
      <c r="A24" s="124" t="str">
        <v/>
      </c>
      <c r="B24" s="123" t="str">
        <v/>
      </c>
      <c r="C24" s="145" t="str">
        <v/>
      </c>
      <c r="D24" s="145" t="str">
        <v/>
      </c>
      <c r="E24" s="145" t="str">
        <v/>
      </c>
      <c r="F24" s="145" t="str">
        <v/>
      </c>
      <c r="G24" s="145" t="str">
        <v/>
      </c>
      <c r="H24" s="145" t="str">
        <v/>
      </c>
      <c r="I24" s="145" t="str">
        <v/>
      </c>
      <c r="J24" s="145" t="str">
        <v/>
      </c>
      <c r="K24" s="145" t="str">
        <v/>
      </c>
      <c r="L24" s="145" t="str">
        <v/>
      </c>
      <c r="M24" s="145" t="str">
        <v/>
      </c>
      <c r="N24" s="145" t="str">
        <v/>
      </c>
      <c r="O24" s="145" t="str">
        <v/>
      </c>
      <c r="P24" s="145" t="str">
        <v/>
      </c>
    </row>
    <row r="25" spans="1:17" s="83" customFormat="1" x14ac:dyDescent="0.2">
      <c r="A25" s="124" t="str">
        <v/>
      </c>
      <c r="B25" s="123" t="str">
        <v/>
      </c>
      <c r="C25" s="145" t="str">
        <v/>
      </c>
      <c r="D25" s="145" t="str">
        <v/>
      </c>
      <c r="E25" s="145" t="str">
        <v/>
      </c>
      <c r="F25" s="145" t="str">
        <v/>
      </c>
      <c r="G25" s="145" t="str">
        <v/>
      </c>
      <c r="H25" s="145" t="str">
        <v/>
      </c>
      <c r="I25" s="145" t="str">
        <v/>
      </c>
      <c r="J25" s="145" t="str">
        <v/>
      </c>
      <c r="K25" s="145" t="str">
        <v/>
      </c>
      <c r="L25" s="145" t="str">
        <v/>
      </c>
      <c r="M25" s="145" t="str">
        <v/>
      </c>
      <c r="N25" s="145" t="str">
        <v/>
      </c>
      <c r="O25" s="145" t="str">
        <v/>
      </c>
      <c r="P25" s="145" t="str">
        <v/>
      </c>
    </row>
    <row r="26" spans="1:17" s="83" customFormat="1" x14ac:dyDescent="0.2">
      <c r="A26" s="124" t="str">
        <v/>
      </c>
      <c r="B26" s="123" t="str">
        <v/>
      </c>
      <c r="C26" s="145" t="str">
        <v/>
      </c>
      <c r="D26" s="145" t="str">
        <v/>
      </c>
      <c r="E26" s="145" t="str">
        <v/>
      </c>
      <c r="F26" s="145" t="str">
        <v/>
      </c>
      <c r="G26" s="145" t="str">
        <v/>
      </c>
      <c r="H26" s="145" t="str">
        <v/>
      </c>
      <c r="I26" s="145" t="str">
        <v/>
      </c>
      <c r="J26" s="145" t="str">
        <v/>
      </c>
      <c r="K26" s="145" t="str">
        <v/>
      </c>
      <c r="L26" s="145" t="str">
        <v/>
      </c>
      <c r="M26" s="145" t="str">
        <v/>
      </c>
      <c r="N26" s="145" t="str">
        <v/>
      </c>
      <c r="O26" s="145" t="str">
        <v/>
      </c>
      <c r="P26" s="145" t="str">
        <v/>
      </c>
    </row>
    <row r="27" spans="1:17" s="83" customFormat="1" x14ac:dyDescent="0.2">
      <c r="A27" s="124" t="str">
        <v/>
      </c>
      <c r="B27" s="123" t="str">
        <v/>
      </c>
      <c r="C27" s="145" t="str">
        <v/>
      </c>
      <c r="D27" s="145" t="str">
        <v/>
      </c>
      <c r="E27" s="145" t="str">
        <v/>
      </c>
      <c r="F27" s="145" t="str">
        <v/>
      </c>
      <c r="G27" s="145" t="str">
        <v/>
      </c>
      <c r="H27" s="145" t="str">
        <v/>
      </c>
      <c r="I27" s="145" t="str">
        <v/>
      </c>
      <c r="J27" s="145" t="str">
        <v/>
      </c>
      <c r="K27" s="145" t="str">
        <v/>
      </c>
      <c r="L27" s="145" t="str">
        <v/>
      </c>
      <c r="M27" s="145" t="str">
        <v/>
      </c>
      <c r="N27" s="145" t="str">
        <v/>
      </c>
      <c r="O27" s="145" t="str">
        <v/>
      </c>
      <c r="P27" s="145" t="str">
        <v/>
      </c>
      <c r="Q27" s="125"/>
    </row>
    <row r="28" spans="1:17" s="83" customFormat="1" x14ac:dyDescent="0.2">
      <c r="A28" s="124" t="str">
        <v/>
      </c>
      <c r="B28" s="123" t="str">
        <v/>
      </c>
      <c r="C28" s="145" t="str">
        <v/>
      </c>
      <c r="D28" s="145" t="str">
        <v/>
      </c>
      <c r="E28" s="145" t="str">
        <v/>
      </c>
      <c r="F28" s="145" t="str">
        <v/>
      </c>
      <c r="G28" s="145" t="str">
        <v/>
      </c>
      <c r="H28" s="145" t="str">
        <v/>
      </c>
      <c r="I28" s="145" t="str">
        <v/>
      </c>
      <c r="J28" s="145" t="str">
        <v/>
      </c>
      <c r="K28" s="145" t="str">
        <v/>
      </c>
      <c r="L28" s="145" t="str">
        <v/>
      </c>
      <c r="M28" s="145" t="str">
        <v/>
      </c>
      <c r="N28" s="145" t="str">
        <v/>
      </c>
      <c r="O28" s="145" t="str">
        <v/>
      </c>
      <c r="P28" s="145" t="str">
        <v/>
      </c>
    </row>
    <row r="29" spans="1:17" s="83" customFormat="1" x14ac:dyDescent="0.2">
      <c r="A29" s="124" t="str">
        <v/>
      </c>
      <c r="B29" s="123" t="str">
        <v/>
      </c>
      <c r="C29" s="145" t="str">
        <v/>
      </c>
      <c r="D29" s="145" t="str">
        <v/>
      </c>
      <c r="E29" s="145" t="str">
        <v/>
      </c>
      <c r="F29" s="145" t="str">
        <v/>
      </c>
      <c r="G29" s="145" t="str">
        <v/>
      </c>
      <c r="H29" s="145" t="str">
        <v/>
      </c>
      <c r="I29" s="145" t="str">
        <v/>
      </c>
      <c r="J29" s="145" t="str">
        <v/>
      </c>
      <c r="K29" s="145" t="str">
        <v/>
      </c>
      <c r="L29" s="145" t="str">
        <v/>
      </c>
      <c r="M29" s="145" t="str">
        <v/>
      </c>
      <c r="N29" s="145" t="str">
        <v/>
      </c>
      <c r="O29" s="145" t="str">
        <v/>
      </c>
      <c r="P29" s="145" t="str">
        <v/>
      </c>
    </row>
    <row r="30" spans="1:17" s="83" customFormat="1" x14ac:dyDescent="0.2">
      <c r="A30" s="124" t="str">
        <v/>
      </c>
      <c r="B30" s="123" t="str">
        <v/>
      </c>
      <c r="C30" s="145" t="str">
        <v/>
      </c>
      <c r="D30" s="145" t="str">
        <v/>
      </c>
      <c r="E30" s="145" t="str">
        <v/>
      </c>
      <c r="F30" s="145" t="str">
        <v/>
      </c>
      <c r="G30" s="145" t="str">
        <v/>
      </c>
      <c r="H30" s="145" t="str">
        <v/>
      </c>
      <c r="I30" s="145" t="str">
        <v/>
      </c>
      <c r="J30" s="145" t="str">
        <v/>
      </c>
      <c r="K30" s="145" t="str">
        <v/>
      </c>
      <c r="L30" s="145" t="str">
        <v/>
      </c>
      <c r="M30" s="145" t="str">
        <v/>
      </c>
      <c r="N30" s="145" t="str">
        <v/>
      </c>
      <c r="O30" s="145" t="str">
        <v/>
      </c>
      <c r="P30" s="145" t="str">
        <v/>
      </c>
    </row>
    <row r="31" spans="1:17" s="83" customFormat="1" x14ac:dyDescent="0.2">
      <c r="A31" s="124" t="str">
        <v/>
      </c>
      <c r="B31" s="123" t="str">
        <v/>
      </c>
      <c r="C31" s="145" t="str">
        <v/>
      </c>
      <c r="D31" s="145" t="str">
        <v/>
      </c>
      <c r="E31" s="145" t="str">
        <v/>
      </c>
      <c r="F31" s="145" t="str">
        <v/>
      </c>
      <c r="G31" s="145" t="str">
        <v/>
      </c>
      <c r="H31" s="145" t="str">
        <v/>
      </c>
      <c r="I31" s="145" t="str">
        <v/>
      </c>
      <c r="J31" s="145" t="str">
        <v/>
      </c>
      <c r="K31" s="145" t="str">
        <v/>
      </c>
      <c r="L31" s="145" t="str">
        <v/>
      </c>
      <c r="M31" s="145" t="str">
        <v/>
      </c>
      <c r="N31" s="145" t="str">
        <v/>
      </c>
      <c r="O31" s="145" t="str">
        <v/>
      </c>
      <c r="P31" s="145" t="str">
        <v/>
      </c>
    </row>
    <row r="32" spans="1:17" s="83" customFormat="1" x14ac:dyDescent="0.2">
      <c r="A32" s="124" t="str">
        <v/>
      </c>
      <c r="B32" s="123" t="str">
        <v/>
      </c>
      <c r="C32" s="145" t="str">
        <v/>
      </c>
      <c r="D32" s="145" t="str">
        <v/>
      </c>
      <c r="E32" s="145" t="str">
        <v/>
      </c>
      <c r="F32" s="145" t="str">
        <v/>
      </c>
      <c r="G32" s="145" t="str">
        <v/>
      </c>
      <c r="H32" s="145" t="str">
        <v/>
      </c>
      <c r="I32" s="145" t="str">
        <v/>
      </c>
      <c r="J32" s="145" t="str">
        <v/>
      </c>
      <c r="K32" s="145" t="str">
        <v/>
      </c>
      <c r="L32" s="145" t="str">
        <v/>
      </c>
      <c r="M32" s="145" t="str">
        <v/>
      </c>
      <c r="N32" s="145" t="str">
        <v/>
      </c>
      <c r="O32" s="145" t="str">
        <v/>
      </c>
      <c r="P32" s="145" t="str">
        <v/>
      </c>
    </row>
    <row r="33" spans="1:16" s="83" customFormat="1" x14ac:dyDescent="0.2">
      <c r="A33" s="124" t="str">
        <v/>
      </c>
      <c r="B33" s="123" t="str">
        <v/>
      </c>
      <c r="C33" s="145" t="str">
        <v/>
      </c>
      <c r="D33" s="145" t="str">
        <v/>
      </c>
      <c r="E33" s="145" t="str">
        <v/>
      </c>
      <c r="F33" s="145" t="str">
        <v/>
      </c>
      <c r="G33" s="145" t="str">
        <v/>
      </c>
      <c r="H33" s="145" t="str">
        <v/>
      </c>
      <c r="I33" s="145" t="str">
        <v/>
      </c>
      <c r="J33" s="145" t="str">
        <v/>
      </c>
      <c r="K33" s="145" t="str">
        <v/>
      </c>
      <c r="L33" s="145" t="str">
        <v/>
      </c>
      <c r="M33" s="145" t="str">
        <v/>
      </c>
      <c r="N33" s="145" t="str">
        <v/>
      </c>
      <c r="O33" s="145" t="str">
        <v/>
      </c>
      <c r="P33" s="145" t="str">
        <v/>
      </c>
    </row>
    <row r="34" spans="1:16" s="83" customFormat="1" x14ac:dyDescent="0.2">
      <c r="A34" s="124" t="str">
        <v/>
      </c>
      <c r="B34" s="123" t="str">
        <v/>
      </c>
      <c r="C34" s="145" t="str">
        <v/>
      </c>
      <c r="D34" s="145" t="str">
        <v/>
      </c>
      <c r="E34" s="145" t="str">
        <v/>
      </c>
      <c r="F34" s="145" t="str">
        <v/>
      </c>
      <c r="G34" s="145" t="str">
        <v/>
      </c>
      <c r="H34" s="145" t="str">
        <v/>
      </c>
      <c r="I34" s="145" t="str">
        <v/>
      </c>
      <c r="J34" s="145" t="str">
        <v/>
      </c>
      <c r="K34" s="145" t="str">
        <v/>
      </c>
      <c r="L34" s="145" t="str">
        <v/>
      </c>
      <c r="M34" s="145" t="str">
        <v/>
      </c>
      <c r="N34" s="145" t="str">
        <v/>
      </c>
      <c r="O34" s="145" t="str">
        <v/>
      </c>
      <c r="P34" s="145" t="str">
        <v/>
      </c>
    </row>
    <row r="35" spans="1:16" s="83" customFormat="1" x14ac:dyDescent="0.2">
      <c r="A35" s="124" t="str">
        <v/>
      </c>
      <c r="B35" s="123" t="str">
        <v/>
      </c>
      <c r="C35" s="145" t="str">
        <v/>
      </c>
      <c r="D35" s="145" t="str">
        <v/>
      </c>
      <c r="E35" s="145" t="str">
        <v/>
      </c>
      <c r="F35" s="145" t="str">
        <v/>
      </c>
      <c r="G35" s="145" t="str">
        <v/>
      </c>
      <c r="H35" s="145" t="str">
        <v/>
      </c>
      <c r="I35" s="145" t="str">
        <v/>
      </c>
      <c r="J35" s="145" t="str">
        <v/>
      </c>
      <c r="K35" s="145" t="str">
        <v/>
      </c>
      <c r="L35" s="145" t="str">
        <v/>
      </c>
      <c r="M35" s="145" t="str">
        <v/>
      </c>
      <c r="N35" s="145" t="str">
        <v/>
      </c>
      <c r="O35" s="145" t="str">
        <v/>
      </c>
      <c r="P35" s="145" t="str">
        <v/>
      </c>
    </row>
    <row r="36" spans="1:16" s="83" customFormat="1" x14ac:dyDescent="0.2">
      <c r="A36" s="124" t="str">
        <v/>
      </c>
      <c r="B36" s="123" t="str">
        <v/>
      </c>
      <c r="C36" s="145" t="str">
        <v/>
      </c>
      <c r="D36" s="145" t="str">
        <v/>
      </c>
      <c r="E36" s="145" t="str">
        <v/>
      </c>
      <c r="F36" s="145" t="str">
        <v/>
      </c>
      <c r="G36" s="145" t="str">
        <v/>
      </c>
      <c r="H36" s="145" t="str">
        <v/>
      </c>
      <c r="I36" s="145" t="str">
        <v/>
      </c>
      <c r="J36" s="145" t="str">
        <v/>
      </c>
      <c r="K36" s="145" t="str">
        <v/>
      </c>
      <c r="L36" s="145" t="str">
        <v/>
      </c>
      <c r="M36" s="145" t="str">
        <v/>
      </c>
      <c r="N36" s="145" t="str">
        <v/>
      </c>
      <c r="O36" s="145" t="str">
        <v/>
      </c>
      <c r="P36" s="145" t="str">
        <v/>
      </c>
    </row>
    <row r="37" spans="1:16" s="83" customFormat="1" x14ac:dyDescent="0.2">
      <c r="A37" s="124" t="str">
        <v/>
      </c>
      <c r="B37" s="123" t="str">
        <v/>
      </c>
      <c r="C37" s="145" t="str">
        <v/>
      </c>
      <c r="D37" s="145" t="str">
        <v/>
      </c>
      <c r="E37" s="145" t="str">
        <v/>
      </c>
      <c r="F37" s="145" t="str">
        <v/>
      </c>
      <c r="G37" s="145" t="str">
        <v/>
      </c>
      <c r="H37" s="145" t="str">
        <v/>
      </c>
      <c r="I37" s="145" t="str">
        <v/>
      </c>
      <c r="J37" s="145" t="str">
        <v/>
      </c>
      <c r="K37" s="145" t="str">
        <v/>
      </c>
      <c r="L37" s="145" t="str">
        <v/>
      </c>
      <c r="M37" s="145" t="str">
        <v/>
      </c>
      <c r="N37" s="145" t="str">
        <v/>
      </c>
      <c r="O37" s="145" t="str">
        <v/>
      </c>
      <c r="P37" s="145" t="str">
        <v/>
      </c>
    </row>
    <row r="38" spans="1:16" s="83" customFormat="1" x14ac:dyDescent="0.2">
      <c r="A38" s="124" t="str">
        <v/>
      </c>
      <c r="B38" s="123" t="str">
        <v/>
      </c>
      <c r="C38" s="145" t="str">
        <v/>
      </c>
      <c r="D38" s="145" t="str">
        <v/>
      </c>
      <c r="E38" s="145" t="str">
        <v/>
      </c>
      <c r="F38" s="145" t="str">
        <v/>
      </c>
      <c r="G38" s="145" t="str">
        <v/>
      </c>
      <c r="H38" s="145" t="str">
        <v/>
      </c>
      <c r="I38" s="145" t="str">
        <v/>
      </c>
      <c r="J38" s="145" t="str">
        <v/>
      </c>
      <c r="K38" s="145" t="str">
        <v/>
      </c>
      <c r="L38" s="145" t="str">
        <v/>
      </c>
      <c r="M38" s="145" t="str">
        <v/>
      </c>
      <c r="N38" s="145" t="str">
        <v/>
      </c>
      <c r="O38" s="145" t="str">
        <v/>
      </c>
      <c r="P38" s="145" t="str">
        <v/>
      </c>
    </row>
    <row r="39" spans="1:16" s="83" customFormat="1" x14ac:dyDescent="0.2">
      <c r="A39" s="124" t="str">
        <v/>
      </c>
      <c r="B39" s="123" t="str">
        <v/>
      </c>
      <c r="C39" s="145" t="str">
        <v/>
      </c>
      <c r="D39" s="145" t="str">
        <v/>
      </c>
      <c r="E39" s="145" t="str">
        <v/>
      </c>
      <c r="F39" s="145" t="str">
        <v/>
      </c>
      <c r="G39" s="145" t="str">
        <v/>
      </c>
      <c r="H39" s="145" t="str">
        <v/>
      </c>
      <c r="I39" s="145" t="str">
        <v/>
      </c>
      <c r="J39" s="145" t="str">
        <v/>
      </c>
      <c r="K39" s="145" t="str">
        <v/>
      </c>
      <c r="L39" s="145" t="str">
        <v/>
      </c>
      <c r="M39" s="145" t="str">
        <v/>
      </c>
      <c r="N39" s="145" t="str">
        <v/>
      </c>
      <c r="O39" s="145" t="str">
        <v/>
      </c>
      <c r="P39" s="145" t="str">
        <v/>
      </c>
    </row>
    <row r="40" spans="1:16" s="83" customFormat="1" x14ac:dyDescent="0.2">
      <c r="A40" s="124" t="str">
        <v/>
      </c>
      <c r="B40" s="123" t="str">
        <v/>
      </c>
      <c r="C40" s="145" t="str">
        <v/>
      </c>
      <c r="D40" s="145" t="str">
        <v/>
      </c>
      <c r="E40" s="145" t="str">
        <v/>
      </c>
      <c r="F40" s="145" t="str">
        <v/>
      </c>
      <c r="G40" s="145" t="str">
        <v/>
      </c>
      <c r="H40" s="145" t="str">
        <v/>
      </c>
      <c r="I40" s="145" t="str">
        <v/>
      </c>
      <c r="J40" s="145" t="str">
        <v/>
      </c>
      <c r="K40" s="145" t="str">
        <v/>
      </c>
      <c r="L40" s="145" t="str">
        <v/>
      </c>
      <c r="M40" s="145" t="str">
        <v/>
      </c>
      <c r="N40" s="145" t="str">
        <v/>
      </c>
      <c r="O40" s="145" t="str">
        <v/>
      </c>
      <c r="P40" s="145" t="str">
        <v/>
      </c>
    </row>
    <row r="41" spans="1:16" s="83" customFormat="1" x14ac:dyDescent="0.2">
      <c r="A41" s="124" t="str">
        <v/>
      </c>
      <c r="B41" s="123" t="str">
        <v/>
      </c>
      <c r="C41" s="145" t="str">
        <v/>
      </c>
      <c r="D41" s="145" t="str">
        <v/>
      </c>
      <c r="E41" s="145" t="str">
        <v/>
      </c>
      <c r="F41" s="145" t="str">
        <v/>
      </c>
      <c r="G41" s="145" t="str">
        <v/>
      </c>
      <c r="H41" s="145" t="str">
        <v/>
      </c>
      <c r="I41" s="145" t="str">
        <v/>
      </c>
      <c r="J41" s="145" t="str">
        <v/>
      </c>
      <c r="K41" s="145" t="str">
        <v/>
      </c>
      <c r="L41" s="145" t="str">
        <v/>
      </c>
      <c r="M41" s="145" t="str">
        <v/>
      </c>
      <c r="N41" s="145" t="str">
        <v/>
      </c>
      <c r="O41" s="145" t="str">
        <v/>
      </c>
      <c r="P41" s="145" t="str">
        <v/>
      </c>
    </row>
    <row r="42" spans="1:16" s="83" customFormat="1" x14ac:dyDescent="0.2">
      <c r="A42" s="124" t="str">
        <v/>
      </c>
      <c r="B42" s="123" t="str">
        <v/>
      </c>
      <c r="C42" s="145" t="str">
        <v/>
      </c>
      <c r="D42" s="145" t="str">
        <v/>
      </c>
      <c r="E42" s="145" t="str">
        <v/>
      </c>
      <c r="F42" s="145" t="str">
        <v/>
      </c>
      <c r="G42" s="145" t="str">
        <v/>
      </c>
      <c r="H42" s="145" t="str">
        <v/>
      </c>
      <c r="I42" s="145" t="str">
        <v/>
      </c>
      <c r="J42" s="145" t="str">
        <v/>
      </c>
      <c r="K42" s="145" t="str">
        <v/>
      </c>
      <c r="L42" s="145" t="str">
        <v/>
      </c>
      <c r="M42" s="145" t="str">
        <v/>
      </c>
      <c r="N42" s="145" t="str">
        <v/>
      </c>
      <c r="O42" s="145" t="str">
        <v/>
      </c>
      <c r="P42" s="145" t="str">
        <v/>
      </c>
    </row>
    <row r="43" spans="1:16" s="83" customFormat="1" x14ac:dyDescent="0.2">
      <c r="A43" s="124" t="str">
        <v/>
      </c>
      <c r="B43" s="123" t="str">
        <v/>
      </c>
      <c r="C43" s="145" t="str">
        <v/>
      </c>
      <c r="D43" s="145" t="str">
        <v/>
      </c>
      <c r="E43" s="145" t="str">
        <v/>
      </c>
      <c r="F43" s="145" t="str">
        <v/>
      </c>
      <c r="G43" s="145" t="str">
        <v/>
      </c>
      <c r="H43" s="145" t="str">
        <v/>
      </c>
      <c r="I43" s="145" t="str">
        <v/>
      </c>
      <c r="J43" s="145" t="str">
        <v/>
      </c>
      <c r="K43" s="145" t="str">
        <v/>
      </c>
      <c r="L43" s="145" t="str">
        <v/>
      </c>
      <c r="M43" s="145" t="str">
        <v/>
      </c>
      <c r="N43" s="145" t="str">
        <v/>
      </c>
      <c r="O43" s="145" t="str">
        <v/>
      </c>
      <c r="P43" s="145" t="str">
        <v/>
      </c>
    </row>
    <row r="44" spans="1:16" s="83" customFormat="1" x14ac:dyDescent="0.2">
      <c r="A44" s="124" t="str">
        <v/>
      </c>
      <c r="B44" s="123" t="str">
        <v/>
      </c>
      <c r="C44" s="145" t="str">
        <v/>
      </c>
      <c r="D44" s="145" t="str">
        <v/>
      </c>
      <c r="E44" s="145" t="str">
        <v/>
      </c>
      <c r="F44" s="145" t="str">
        <v/>
      </c>
      <c r="G44" s="145" t="str">
        <v/>
      </c>
      <c r="H44" s="145" t="str">
        <v/>
      </c>
      <c r="I44" s="145" t="str">
        <v/>
      </c>
      <c r="J44" s="145" t="str">
        <v/>
      </c>
      <c r="K44" s="145" t="str">
        <v/>
      </c>
      <c r="L44" s="145" t="str">
        <v/>
      </c>
      <c r="M44" s="145" t="str">
        <v/>
      </c>
      <c r="N44" s="145" t="str">
        <v/>
      </c>
      <c r="O44" s="145" t="str">
        <v/>
      </c>
      <c r="P44" s="145" t="str">
        <v/>
      </c>
    </row>
    <row r="45" spans="1:16" s="83" customFormat="1" x14ac:dyDescent="0.2">
      <c r="A45" s="124" t="str">
        <v/>
      </c>
      <c r="B45" s="123" t="str">
        <v/>
      </c>
      <c r="C45" s="145" t="str">
        <v/>
      </c>
      <c r="D45" s="145" t="str">
        <v/>
      </c>
      <c r="E45" s="145" t="str">
        <v/>
      </c>
      <c r="F45" s="145" t="str">
        <v/>
      </c>
      <c r="G45" s="145" t="str">
        <v/>
      </c>
      <c r="H45" s="145" t="str">
        <v/>
      </c>
      <c r="I45" s="145" t="str">
        <v/>
      </c>
      <c r="J45" s="145" t="str">
        <v/>
      </c>
      <c r="K45" s="145" t="str">
        <v/>
      </c>
      <c r="L45" s="145" t="str">
        <v/>
      </c>
      <c r="M45" s="145" t="str">
        <v/>
      </c>
      <c r="N45" s="145" t="str">
        <v/>
      </c>
      <c r="O45" s="145" t="str">
        <v/>
      </c>
      <c r="P45" s="145" t="str">
        <v/>
      </c>
    </row>
    <row r="46" spans="1:16" s="83" customFormat="1" x14ac:dyDescent="0.2">
      <c r="A46" s="124" t="str">
        <v/>
      </c>
      <c r="B46" s="123" t="str">
        <v/>
      </c>
      <c r="C46" s="145" t="str">
        <v/>
      </c>
      <c r="D46" s="145" t="str">
        <v/>
      </c>
      <c r="E46" s="145" t="str">
        <v/>
      </c>
      <c r="F46" s="145" t="str">
        <v/>
      </c>
      <c r="G46" s="145" t="str">
        <v/>
      </c>
      <c r="H46" s="145" t="str">
        <v/>
      </c>
      <c r="I46" s="145" t="str">
        <v/>
      </c>
      <c r="J46" s="145" t="str">
        <v/>
      </c>
      <c r="K46" s="145" t="str">
        <v/>
      </c>
      <c r="L46" s="145" t="str">
        <v/>
      </c>
      <c r="M46" s="145" t="str">
        <v/>
      </c>
      <c r="N46" s="145" t="str">
        <v/>
      </c>
      <c r="O46" s="145" t="str">
        <v/>
      </c>
      <c r="P46" s="145" t="str">
        <v/>
      </c>
    </row>
    <row r="47" spans="1:16" s="83" customFormat="1" x14ac:dyDescent="0.2">
      <c r="A47" s="124" t="str">
        <v/>
      </c>
      <c r="B47" s="123" t="str">
        <v/>
      </c>
      <c r="C47" s="145" t="str">
        <v/>
      </c>
      <c r="D47" s="145" t="str">
        <v/>
      </c>
      <c r="E47" s="145" t="str">
        <v/>
      </c>
      <c r="F47" s="145" t="str">
        <v/>
      </c>
      <c r="G47" s="145" t="str">
        <v/>
      </c>
      <c r="H47" s="145" t="str">
        <v/>
      </c>
      <c r="I47" s="145" t="str">
        <v/>
      </c>
      <c r="J47" s="145" t="str">
        <v/>
      </c>
      <c r="K47" s="145" t="str">
        <v/>
      </c>
      <c r="L47" s="145" t="str">
        <v/>
      </c>
      <c r="M47" s="145" t="str">
        <v/>
      </c>
      <c r="N47" s="145" t="str">
        <v/>
      </c>
      <c r="O47" s="145" t="str">
        <v/>
      </c>
      <c r="P47" s="145" t="str">
        <v/>
      </c>
    </row>
    <row r="48" spans="1:16" s="83" customFormat="1" x14ac:dyDescent="0.2">
      <c r="A48" s="124" t="str">
        <v/>
      </c>
      <c r="B48" s="123" t="str">
        <v/>
      </c>
      <c r="C48" s="145" t="str">
        <v/>
      </c>
      <c r="D48" s="145" t="str">
        <v/>
      </c>
      <c r="E48" s="145" t="str">
        <v/>
      </c>
      <c r="F48" s="145" t="str">
        <v/>
      </c>
      <c r="G48" s="145" t="str">
        <v/>
      </c>
      <c r="H48" s="145" t="str">
        <v/>
      </c>
      <c r="I48" s="145" t="str">
        <v/>
      </c>
      <c r="J48" s="145" t="str">
        <v/>
      </c>
      <c r="K48" s="145" t="str">
        <v/>
      </c>
      <c r="L48" s="145" t="str">
        <v/>
      </c>
      <c r="M48" s="145" t="str">
        <v/>
      </c>
      <c r="N48" s="145" t="str">
        <v/>
      </c>
      <c r="O48" s="145" t="str">
        <v/>
      </c>
      <c r="P48" s="145" t="str">
        <v/>
      </c>
    </row>
    <row r="49" spans="1:16" s="83" customFormat="1" x14ac:dyDescent="0.2">
      <c r="A49" s="124" t="str">
        <v/>
      </c>
      <c r="B49" s="123" t="str">
        <v/>
      </c>
      <c r="C49" s="145" t="str">
        <v/>
      </c>
      <c r="D49" s="145" t="str">
        <v/>
      </c>
      <c r="E49" s="145" t="str">
        <v/>
      </c>
      <c r="F49" s="145" t="str">
        <v/>
      </c>
      <c r="G49" s="145" t="str">
        <v/>
      </c>
      <c r="H49" s="145" t="str">
        <v/>
      </c>
      <c r="I49" s="145" t="str">
        <v/>
      </c>
      <c r="J49" s="145" t="str">
        <v/>
      </c>
      <c r="K49" s="145" t="str">
        <v/>
      </c>
      <c r="L49" s="145" t="str">
        <v/>
      </c>
      <c r="M49" s="145" t="str">
        <v/>
      </c>
      <c r="N49" s="145" t="str">
        <v/>
      </c>
      <c r="O49" s="145" t="str">
        <v/>
      </c>
      <c r="P49" s="145" t="str">
        <v/>
      </c>
    </row>
    <row r="50" spans="1:16" s="83" customFormat="1" x14ac:dyDescent="0.2">
      <c r="A50" s="124" t="str">
        <v/>
      </c>
      <c r="B50" s="123" t="str">
        <v/>
      </c>
      <c r="C50" s="145" t="str">
        <v/>
      </c>
      <c r="D50" s="145" t="str">
        <v/>
      </c>
      <c r="E50" s="145" t="str">
        <v/>
      </c>
      <c r="F50" s="145" t="str">
        <v/>
      </c>
      <c r="G50" s="145" t="str">
        <v/>
      </c>
      <c r="H50" s="145" t="str">
        <v/>
      </c>
      <c r="I50" s="145" t="str">
        <v/>
      </c>
      <c r="J50" s="145" t="str">
        <v/>
      </c>
      <c r="K50" s="145" t="str">
        <v/>
      </c>
      <c r="L50" s="145" t="str">
        <v/>
      </c>
      <c r="M50" s="145" t="str">
        <v/>
      </c>
      <c r="N50" s="145" t="str">
        <v/>
      </c>
      <c r="O50" s="145" t="str">
        <v/>
      </c>
      <c r="P50" s="145" t="str">
        <v/>
      </c>
    </row>
    <row r="51" spans="1:16" s="83" customFormat="1" x14ac:dyDescent="0.2">
      <c r="A51" s="124" t="str">
        <v/>
      </c>
      <c r="B51" s="123" t="str">
        <v/>
      </c>
      <c r="C51" s="145" t="str">
        <v/>
      </c>
      <c r="D51" s="145" t="str">
        <v/>
      </c>
      <c r="E51" s="145" t="str">
        <v/>
      </c>
      <c r="F51" s="145" t="str">
        <v/>
      </c>
      <c r="G51" s="145" t="str">
        <v/>
      </c>
      <c r="H51" s="145" t="str">
        <v/>
      </c>
      <c r="I51" s="145" t="str">
        <v/>
      </c>
      <c r="J51" s="145" t="str">
        <v/>
      </c>
      <c r="K51" s="145" t="str">
        <v/>
      </c>
      <c r="L51" s="145" t="str">
        <v/>
      </c>
      <c r="M51" s="145" t="str">
        <v/>
      </c>
      <c r="N51" s="145" t="str">
        <v/>
      </c>
      <c r="O51" s="145" t="str">
        <v/>
      </c>
      <c r="P51" s="145" t="str">
        <v/>
      </c>
    </row>
    <row r="52" spans="1:16" s="83" customFormat="1" x14ac:dyDescent="0.2">
      <c r="A52" s="124" t="str">
        <v/>
      </c>
      <c r="B52" s="123" t="str">
        <v/>
      </c>
      <c r="C52" s="145" t="str">
        <v/>
      </c>
      <c r="D52" s="145" t="str">
        <v/>
      </c>
      <c r="E52" s="145" t="str">
        <v/>
      </c>
      <c r="F52" s="145" t="str">
        <v/>
      </c>
      <c r="G52" s="145" t="str">
        <v/>
      </c>
      <c r="H52" s="145" t="str">
        <v/>
      </c>
      <c r="I52" s="145" t="str">
        <v/>
      </c>
      <c r="J52" s="145" t="str">
        <v/>
      </c>
      <c r="K52" s="145" t="str">
        <v/>
      </c>
      <c r="L52" s="145" t="str">
        <v/>
      </c>
      <c r="M52" s="145" t="str">
        <v/>
      </c>
      <c r="N52" s="145" t="str">
        <v/>
      </c>
      <c r="O52" s="145" t="str">
        <v/>
      </c>
      <c r="P52" s="145" t="str">
        <v/>
      </c>
    </row>
    <row r="53" spans="1:16" s="83" customFormat="1" x14ac:dyDescent="0.2">
      <c r="A53" s="124" t="str">
        <v/>
      </c>
      <c r="B53" s="123" t="str">
        <v/>
      </c>
      <c r="C53" s="145" t="str">
        <v/>
      </c>
      <c r="D53" s="145" t="str">
        <v/>
      </c>
      <c r="E53" s="145" t="str">
        <v/>
      </c>
      <c r="F53" s="145" t="str">
        <v/>
      </c>
      <c r="G53" s="145" t="str">
        <v/>
      </c>
      <c r="H53" s="145" t="str">
        <v/>
      </c>
      <c r="I53" s="145" t="str">
        <v/>
      </c>
      <c r="J53" s="145" t="str">
        <v/>
      </c>
      <c r="K53" s="145" t="str">
        <v/>
      </c>
      <c r="L53" s="145" t="str">
        <v/>
      </c>
      <c r="M53" s="145" t="str">
        <v/>
      </c>
      <c r="N53" s="145" t="str">
        <v/>
      </c>
      <c r="O53" s="145" t="str">
        <v/>
      </c>
      <c r="P53" s="145" t="str">
        <v/>
      </c>
    </row>
    <row r="54" spans="1:16" s="83" customFormat="1" x14ac:dyDescent="0.2">
      <c r="A54" s="124" t="str">
        <v/>
      </c>
      <c r="B54" s="123" t="str">
        <v/>
      </c>
      <c r="C54" s="145" t="str">
        <v/>
      </c>
      <c r="D54" s="145" t="str">
        <v/>
      </c>
      <c r="E54" s="145" t="str">
        <v/>
      </c>
      <c r="F54" s="145" t="str">
        <v/>
      </c>
      <c r="G54" s="145" t="str">
        <v/>
      </c>
      <c r="H54" s="145" t="str">
        <v/>
      </c>
      <c r="I54" s="145" t="str">
        <v/>
      </c>
      <c r="J54" s="145" t="str">
        <v/>
      </c>
      <c r="K54" s="145" t="str">
        <v/>
      </c>
      <c r="L54" s="145" t="str">
        <v/>
      </c>
      <c r="M54" s="145" t="str">
        <v/>
      </c>
      <c r="N54" s="145" t="str">
        <v/>
      </c>
      <c r="O54" s="145" t="str">
        <v/>
      </c>
      <c r="P54" s="145" t="str">
        <v/>
      </c>
    </row>
    <row r="55" spans="1:16" s="83" customFormat="1" x14ac:dyDescent="0.2">
      <c r="A55" s="124" t="str">
        <v/>
      </c>
      <c r="B55" s="123" t="str">
        <v/>
      </c>
      <c r="C55" s="145" t="str">
        <v/>
      </c>
      <c r="D55" s="145" t="str">
        <v/>
      </c>
      <c r="E55" s="145" t="str">
        <v/>
      </c>
      <c r="F55" s="145" t="str">
        <v/>
      </c>
      <c r="G55" s="145" t="str">
        <v/>
      </c>
      <c r="H55" s="145" t="str">
        <v/>
      </c>
      <c r="I55" s="145" t="str">
        <v/>
      </c>
      <c r="J55" s="145" t="str">
        <v/>
      </c>
      <c r="K55" s="145" t="str">
        <v/>
      </c>
      <c r="L55" s="145" t="str">
        <v/>
      </c>
      <c r="M55" s="145" t="str">
        <v/>
      </c>
      <c r="N55" s="145" t="str">
        <v/>
      </c>
      <c r="O55" s="145" t="str">
        <v/>
      </c>
      <c r="P55" s="145" t="str">
        <v/>
      </c>
    </row>
    <row r="56" spans="1:16" s="83" customFormat="1" x14ac:dyDescent="0.2">
      <c r="A56" s="124" t="str">
        <v/>
      </c>
      <c r="B56" s="123" t="str">
        <v/>
      </c>
      <c r="C56" s="145" t="str">
        <v/>
      </c>
      <c r="D56" s="145" t="str">
        <v/>
      </c>
      <c r="E56" s="145" t="str">
        <v/>
      </c>
      <c r="F56" s="145" t="str">
        <v/>
      </c>
      <c r="G56" s="145" t="str">
        <v/>
      </c>
      <c r="H56" s="145" t="str">
        <v/>
      </c>
      <c r="I56" s="145" t="str">
        <v/>
      </c>
      <c r="J56" s="145" t="str">
        <v/>
      </c>
      <c r="K56" s="145" t="str">
        <v/>
      </c>
      <c r="L56" s="145" t="str">
        <v/>
      </c>
      <c r="M56" s="145" t="str">
        <v/>
      </c>
      <c r="N56" s="145" t="str">
        <v/>
      </c>
      <c r="O56" s="145" t="str">
        <v/>
      </c>
      <c r="P56" s="145" t="str">
        <v/>
      </c>
    </row>
    <row r="57" spans="1:16" s="83" customFormat="1" x14ac:dyDescent="0.2">
      <c r="A57" s="124" t="str">
        <v/>
      </c>
      <c r="B57" s="123" t="str">
        <v/>
      </c>
      <c r="C57" s="145" t="str">
        <v/>
      </c>
      <c r="D57" s="145" t="str">
        <v/>
      </c>
      <c r="E57" s="145" t="str">
        <v/>
      </c>
      <c r="F57" s="145" t="str">
        <v/>
      </c>
      <c r="G57" s="145" t="str">
        <v/>
      </c>
      <c r="H57" s="145" t="str">
        <v/>
      </c>
      <c r="I57" s="145" t="str">
        <v/>
      </c>
      <c r="J57" s="145" t="str">
        <v/>
      </c>
      <c r="K57" s="145" t="str">
        <v/>
      </c>
      <c r="L57" s="145" t="str">
        <v/>
      </c>
      <c r="M57" s="145" t="str">
        <v/>
      </c>
      <c r="N57" s="145" t="str">
        <v/>
      </c>
      <c r="O57" s="145" t="str">
        <v/>
      </c>
      <c r="P57" s="145" t="str">
        <v/>
      </c>
    </row>
    <row r="58" spans="1:16" s="83" customFormat="1" x14ac:dyDescent="0.2">
      <c r="A58" s="124" t="str">
        <v/>
      </c>
      <c r="B58" s="123" t="str">
        <v/>
      </c>
      <c r="C58" s="145" t="str">
        <v/>
      </c>
      <c r="D58" s="145" t="str">
        <v/>
      </c>
      <c r="E58" s="145" t="str">
        <v/>
      </c>
      <c r="F58" s="145" t="str">
        <v/>
      </c>
      <c r="G58" s="145" t="str">
        <v/>
      </c>
      <c r="H58" s="145" t="str">
        <v/>
      </c>
      <c r="I58" s="145" t="str">
        <v/>
      </c>
      <c r="J58" s="145" t="str">
        <v/>
      </c>
      <c r="K58" s="145" t="str">
        <v/>
      </c>
      <c r="L58" s="145" t="str">
        <v/>
      </c>
      <c r="M58" s="145" t="str">
        <v/>
      </c>
      <c r="N58" s="145" t="str">
        <v/>
      </c>
      <c r="O58" s="145" t="str">
        <v/>
      </c>
      <c r="P58" s="145" t="str">
        <v/>
      </c>
    </row>
    <row r="59" spans="1:16" s="83" customFormat="1" x14ac:dyDescent="0.2">
      <c r="A59" s="124" t="str">
        <v/>
      </c>
      <c r="B59" s="123" t="str">
        <v/>
      </c>
      <c r="C59" s="145" t="str">
        <v/>
      </c>
      <c r="D59" s="145" t="str">
        <v/>
      </c>
      <c r="E59" s="145" t="str">
        <v/>
      </c>
      <c r="F59" s="145" t="str">
        <v/>
      </c>
      <c r="G59" s="145" t="str">
        <v/>
      </c>
      <c r="H59" s="145" t="str">
        <v/>
      </c>
      <c r="I59" s="145" t="str">
        <v/>
      </c>
      <c r="J59" s="145" t="str">
        <v/>
      </c>
      <c r="K59" s="145" t="str">
        <v/>
      </c>
      <c r="L59" s="145" t="str">
        <v/>
      </c>
      <c r="M59" s="145" t="str">
        <v/>
      </c>
      <c r="N59" s="145" t="str">
        <v/>
      </c>
      <c r="O59" s="145" t="str">
        <v/>
      </c>
      <c r="P59" s="145" t="str">
        <v/>
      </c>
    </row>
    <row r="60" spans="1:16" s="83" customFormat="1" x14ac:dyDescent="0.2">
      <c r="A60" s="124" t="str">
        <v/>
      </c>
      <c r="B60" s="123" t="str">
        <v/>
      </c>
      <c r="C60" s="145" t="str">
        <v/>
      </c>
      <c r="D60" s="145" t="str">
        <v/>
      </c>
      <c r="E60" s="145" t="str">
        <v/>
      </c>
      <c r="F60" s="145" t="str">
        <v/>
      </c>
      <c r="G60" s="145" t="str">
        <v/>
      </c>
      <c r="H60" s="145" t="str">
        <v/>
      </c>
      <c r="I60" s="145" t="str">
        <v/>
      </c>
      <c r="J60" s="145" t="str">
        <v/>
      </c>
      <c r="K60" s="145" t="str">
        <v/>
      </c>
      <c r="L60" s="145" t="str">
        <v/>
      </c>
      <c r="M60" s="145" t="str">
        <v/>
      </c>
      <c r="N60" s="145" t="str">
        <v/>
      </c>
      <c r="O60" s="145" t="str">
        <v/>
      </c>
      <c r="P60" s="145" t="str">
        <v/>
      </c>
    </row>
    <row r="61" spans="1:16" s="83" customFormat="1" x14ac:dyDescent="0.2">
      <c r="A61" s="124" t="str">
        <v/>
      </c>
      <c r="B61" s="123" t="str">
        <v/>
      </c>
      <c r="C61" s="145" t="str">
        <v/>
      </c>
      <c r="D61" s="145" t="str">
        <v/>
      </c>
      <c r="E61" s="145" t="str">
        <v/>
      </c>
      <c r="F61" s="145" t="str">
        <v/>
      </c>
      <c r="G61" s="145" t="str">
        <v/>
      </c>
      <c r="H61" s="145" t="str">
        <v/>
      </c>
      <c r="I61" s="145" t="str">
        <v/>
      </c>
      <c r="J61" s="145" t="str">
        <v/>
      </c>
      <c r="K61" s="145" t="str">
        <v/>
      </c>
      <c r="L61" s="145" t="str">
        <v/>
      </c>
      <c r="M61" s="145" t="str">
        <v/>
      </c>
      <c r="N61" s="145" t="str">
        <v/>
      </c>
      <c r="O61" s="145" t="str">
        <v/>
      </c>
      <c r="P61" s="145" t="str">
        <v/>
      </c>
    </row>
    <row r="62" spans="1:16" s="83" customFormat="1" x14ac:dyDescent="0.2">
      <c r="A62" s="124" t="str">
        <v/>
      </c>
      <c r="B62" s="123" t="str">
        <v/>
      </c>
      <c r="C62" s="145" t="str">
        <v/>
      </c>
      <c r="D62" s="145" t="str">
        <v/>
      </c>
      <c r="E62" s="145" t="str">
        <v/>
      </c>
      <c r="F62" s="145" t="str">
        <v/>
      </c>
      <c r="G62" s="145" t="str">
        <v/>
      </c>
      <c r="H62" s="145" t="str">
        <v/>
      </c>
      <c r="I62" s="145" t="str">
        <v/>
      </c>
      <c r="J62" s="145" t="str">
        <v/>
      </c>
      <c r="K62" s="145" t="str">
        <v/>
      </c>
      <c r="L62" s="145" t="str">
        <v/>
      </c>
      <c r="M62" s="145" t="str">
        <v/>
      </c>
      <c r="N62" s="145" t="str">
        <v/>
      </c>
      <c r="O62" s="145" t="str">
        <v/>
      </c>
      <c r="P62" s="145" t="str">
        <v/>
      </c>
    </row>
    <row r="63" spans="1:16" s="83" customFormat="1" x14ac:dyDescent="0.2">
      <c r="A63" s="124" t="str">
        <v/>
      </c>
      <c r="B63" s="123" t="str">
        <v/>
      </c>
      <c r="C63" s="145" t="str">
        <v/>
      </c>
      <c r="D63" s="145" t="str">
        <v/>
      </c>
      <c r="E63" s="145" t="str">
        <v/>
      </c>
      <c r="F63" s="145" t="str">
        <v/>
      </c>
      <c r="G63" s="145" t="str">
        <v/>
      </c>
      <c r="H63" s="145" t="str">
        <v/>
      </c>
      <c r="I63" s="145" t="str">
        <v/>
      </c>
      <c r="J63" s="145" t="str">
        <v/>
      </c>
      <c r="K63" s="145" t="str">
        <v/>
      </c>
      <c r="L63" s="145" t="str">
        <v/>
      </c>
      <c r="M63" s="145" t="str">
        <v/>
      </c>
      <c r="N63" s="145" t="str">
        <v/>
      </c>
      <c r="O63" s="145" t="str">
        <v/>
      </c>
      <c r="P63" s="145" t="str">
        <v/>
      </c>
    </row>
    <row r="64" spans="1:16" s="83" customFormat="1" x14ac:dyDescent="0.2">
      <c r="A64" s="124" t="str">
        <v/>
      </c>
      <c r="B64" s="123" t="str">
        <v/>
      </c>
      <c r="C64" s="145" t="str">
        <v/>
      </c>
      <c r="D64" s="145" t="str">
        <v/>
      </c>
      <c r="E64" s="145" t="str">
        <v/>
      </c>
      <c r="F64" s="145" t="str">
        <v/>
      </c>
      <c r="G64" s="145" t="str">
        <v/>
      </c>
      <c r="H64" s="145" t="str">
        <v/>
      </c>
      <c r="I64" s="145" t="str">
        <v/>
      </c>
      <c r="J64" s="145" t="str">
        <v/>
      </c>
      <c r="K64" s="145" t="str">
        <v/>
      </c>
      <c r="L64" s="145" t="str">
        <v/>
      </c>
      <c r="M64" s="145" t="str">
        <v/>
      </c>
      <c r="N64" s="145" t="str">
        <v/>
      </c>
      <c r="O64" s="145" t="str">
        <v/>
      </c>
      <c r="P64" s="145" t="str">
        <v/>
      </c>
    </row>
    <row r="65" spans="1:16" s="83" customFormat="1" x14ac:dyDescent="0.2">
      <c r="A65" s="124" t="str">
        <v/>
      </c>
      <c r="B65" s="123" t="str">
        <v/>
      </c>
      <c r="C65" s="145" t="str">
        <v/>
      </c>
      <c r="D65" s="145" t="str">
        <v/>
      </c>
      <c r="E65" s="145" t="str">
        <v/>
      </c>
      <c r="F65" s="145" t="str">
        <v/>
      </c>
      <c r="G65" s="145" t="str">
        <v/>
      </c>
      <c r="H65" s="145" t="str">
        <v/>
      </c>
      <c r="I65" s="145" t="str">
        <v/>
      </c>
      <c r="J65" s="145" t="str">
        <v/>
      </c>
      <c r="K65" s="145" t="str">
        <v/>
      </c>
      <c r="L65" s="145" t="str">
        <v/>
      </c>
      <c r="M65" s="145" t="str">
        <v/>
      </c>
      <c r="N65" s="145" t="str">
        <v/>
      </c>
      <c r="O65" s="145" t="str">
        <v/>
      </c>
      <c r="P65" s="145" t="str">
        <v/>
      </c>
    </row>
    <row r="66" spans="1:16" s="87" customFormat="1" x14ac:dyDescent="0.2">
      <c r="A66" s="86" t="str">
        <v/>
      </c>
      <c r="B66" s="123" t="str">
        <v/>
      </c>
      <c r="C66" s="145" t="str">
        <v/>
      </c>
      <c r="D66" s="145" t="str">
        <v/>
      </c>
      <c r="E66" s="145" t="str">
        <v/>
      </c>
      <c r="F66" s="145" t="str">
        <v/>
      </c>
      <c r="G66" s="145" t="str">
        <v/>
      </c>
      <c r="H66" s="145" t="str">
        <v/>
      </c>
      <c r="I66" s="145" t="str">
        <v/>
      </c>
      <c r="J66" s="145" t="str">
        <v/>
      </c>
      <c r="K66" s="145" t="str">
        <v/>
      </c>
      <c r="L66" s="145" t="str">
        <v/>
      </c>
      <c r="M66" s="145" t="str">
        <v/>
      </c>
      <c r="N66" s="145" t="str">
        <v/>
      </c>
      <c r="O66" s="145" t="str">
        <v/>
      </c>
      <c r="P66" s="145" t="str">
        <v/>
      </c>
    </row>
    <row r="67" spans="1:16" s="87" customFormat="1" x14ac:dyDescent="0.2">
      <c r="A67" s="86" t="str">
        <v/>
      </c>
      <c r="B67" s="123" t="str">
        <v/>
      </c>
      <c r="C67" s="145" t="str">
        <v/>
      </c>
      <c r="D67" s="145" t="str">
        <v/>
      </c>
      <c r="E67" s="145" t="str">
        <v/>
      </c>
      <c r="F67" s="145" t="str">
        <v/>
      </c>
      <c r="G67" s="145" t="str">
        <v/>
      </c>
      <c r="H67" s="145" t="str">
        <v/>
      </c>
      <c r="I67" s="145" t="str">
        <v/>
      </c>
      <c r="J67" s="145" t="str">
        <v/>
      </c>
      <c r="K67" s="145" t="str">
        <v/>
      </c>
      <c r="L67" s="145" t="str">
        <v/>
      </c>
      <c r="M67" s="145" t="str">
        <v/>
      </c>
      <c r="N67" s="145" t="str">
        <v/>
      </c>
      <c r="O67" s="145" t="str">
        <v/>
      </c>
      <c r="P67" s="145" t="str">
        <v/>
      </c>
    </row>
    <row r="68" spans="1:16" s="87" customFormat="1" x14ac:dyDescent="0.2">
      <c r="A68" s="86" t="str">
        <v/>
      </c>
      <c r="B68" s="123" t="str">
        <v/>
      </c>
      <c r="C68" s="145" t="str">
        <v/>
      </c>
      <c r="D68" s="145" t="str">
        <v/>
      </c>
      <c r="E68" s="145" t="str">
        <v/>
      </c>
      <c r="F68" s="145" t="str">
        <v/>
      </c>
      <c r="G68" s="145" t="str">
        <v/>
      </c>
      <c r="H68" s="145" t="str">
        <v/>
      </c>
      <c r="I68" s="145" t="str">
        <v/>
      </c>
      <c r="J68" s="145" t="str">
        <v/>
      </c>
      <c r="K68" s="145" t="str">
        <v/>
      </c>
      <c r="L68" s="145" t="str">
        <v/>
      </c>
      <c r="M68" s="145" t="str">
        <v/>
      </c>
      <c r="N68" s="145" t="str">
        <v/>
      </c>
      <c r="O68" s="145" t="str">
        <v/>
      </c>
      <c r="P68" s="145" t="str">
        <v/>
      </c>
    </row>
    <row r="69" spans="1:16" s="87" customFormat="1" x14ac:dyDescent="0.2">
      <c r="A69" s="86" t="str">
        <v/>
      </c>
      <c r="B69" s="123" t="str">
        <v/>
      </c>
      <c r="C69" s="145" t="str">
        <v/>
      </c>
      <c r="D69" s="145" t="str">
        <v/>
      </c>
      <c r="E69" s="145" t="str">
        <v/>
      </c>
      <c r="F69" s="145" t="str">
        <v/>
      </c>
      <c r="G69" s="145" t="str">
        <v/>
      </c>
      <c r="H69" s="145" t="str">
        <v/>
      </c>
      <c r="I69" s="145" t="str">
        <v/>
      </c>
      <c r="J69" s="145" t="str">
        <v/>
      </c>
      <c r="K69" s="145" t="str">
        <v/>
      </c>
      <c r="L69" s="145" t="str">
        <v/>
      </c>
      <c r="M69" s="145" t="str">
        <v/>
      </c>
      <c r="N69" s="145" t="str">
        <v/>
      </c>
      <c r="O69" s="145" t="str">
        <v/>
      </c>
      <c r="P69" s="145" t="str">
        <v/>
      </c>
    </row>
    <row r="70" spans="1:16" s="87" customFormat="1" x14ac:dyDescent="0.2">
      <c r="A70" s="86" t="str">
        <v/>
      </c>
      <c r="B70" s="123" t="str">
        <v/>
      </c>
      <c r="C70" s="145" t="str">
        <v/>
      </c>
      <c r="D70" s="145" t="str">
        <v/>
      </c>
      <c r="E70" s="145" t="str">
        <v/>
      </c>
      <c r="F70" s="145" t="str">
        <v/>
      </c>
      <c r="G70" s="145" t="str">
        <v/>
      </c>
      <c r="H70" s="145" t="str">
        <v/>
      </c>
      <c r="I70" s="145" t="str">
        <v/>
      </c>
      <c r="J70" s="145" t="str">
        <v/>
      </c>
      <c r="K70" s="145" t="str">
        <v/>
      </c>
      <c r="L70" s="145" t="str">
        <v/>
      </c>
      <c r="M70" s="145" t="str">
        <v/>
      </c>
      <c r="N70" s="145" t="str">
        <v/>
      </c>
      <c r="O70" s="145" t="str">
        <v/>
      </c>
      <c r="P70" s="145" t="str">
        <v/>
      </c>
    </row>
    <row r="71" spans="1:16" s="87" customFormat="1" x14ac:dyDescent="0.2">
      <c r="A71" s="86" t="str">
        <v/>
      </c>
      <c r="B71" s="123" t="str">
        <v/>
      </c>
      <c r="C71" s="145" t="str">
        <v/>
      </c>
      <c r="D71" s="145" t="str">
        <v/>
      </c>
      <c r="E71" s="145" t="str">
        <v/>
      </c>
      <c r="F71" s="145" t="str">
        <v/>
      </c>
      <c r="G71" s="145" t="str">
        <v/>
      </c>
      <c r="H71" s="145" t="str">
        <v/>
      </c>
      <c r="I71" s="145" t="str">
        <v/>
      </c>
      <c r="J71" s="145" t="str">
        <v/>
      </c>
      <c r="K71" s="145" t="str">
        <v/>
      </c>
      <c r="L71" s="145" t="str">
        <v/>
      </c>
      <c r="M71" s="145" t="str">
        <v/>
      </c>
      <c r="N71" s="145" t="str">
        <v/>
      </c>
      <c r="O71" s="145" t="str">
        <v/>
      </c>
      <c r="P71" s="145" t="str">
        <v/>
      </c>
    </row>
    <row r="72" spans="1:16" s="87" customFormat="1" x14ac:dyDescent="0.2">
      <c r="A72" s="86" t="str">
        <v/>
      </c>
      <c r="B72" s="123" t="str">
        <v/>
      </c>
      <c r="C72" s="145" t="str">
        <v/>
      </c>
      <c r="D72" s="145" t="str">
        <v/>
      </c>
      <c r="E72" s="145" t="str">
        <v/>
      </c>
      <c r="F72" s="145" t="str">
        <v/>
      </c>
      <c r="G72" s="145" t="str">
        <v/>
      </c>
      <c r="H72" s="145" t="str">
        <v/>
      </c>
      <c r="I72" s="145" t="str">
        <v/>
      </c>
      <c r="J72" s="145" t="str">
        <v/>
      </c>
      <c r="K72" s="145" t="str">
        <v/>
      </c>
      <c r="L72" s="145" t="str">
        <v/>
      </c>
      <c r="M72" s="145" t="str">
        <v/>
      </c>
      <c r="N72" s="145" t="str">
        <v/>
      </c>
      <c r="O72" s="145" t="str">
        <v/>
      </c>
      <c r="P72" s="145" t="str">
        <v/>
      </c>
    </row>
    <row r="73" spans="1:16" s="87" customFormat="1" x14ac:dyDescent="0.2">
      <c r="A73" s="86" t="str">
        <v/>
      </c>
      <c r="B73" s="123" t="str">
        <v/>
      </c>
      <c r="C73" s="145" t="str">
        <v/>
      </c>
      <c r="D73" s="145" t="str">
        <v/>
      </c>
      <c r="E73" s="145" t="str">
        <v/>
      </c>
      <c r="F73" s="145" t="str">
        <v/>
      </c>
      <c r="G73" s="145" t="str">
        <v/>
      </c>
      <c r="H73" s="145" t="str">
        <v/>
      </c>
      <c r="I73" s="145" t="str">
        <v/>
      </c>
      <c r="J73" s="145" t="str">
        <v/>
      </c>
      <c r="K73" s="145" t="str">
        <v/>
      </c>
      <c r="L73" s="145" t="str">
        <v/>
      </c>
      <c r="M73" s="145" t="str">
        <v/>
      </c>
      <c r="N73" s="145" t="str">
        <v/>
      </c>
      <c r="O73" s="145" t="str">
        <v/>
      </c>
      <c r="P73" s="145" t="str">
        <v/>
      </c>
    </row>
    <row r="74" spans="1:16" s="87" customFormat="1" x14ac:dyDescent="0.2">
      <c r="A74" s="86" t="str">
        <v/>
      </c>
      <c r="B74" s="123" t="str">
        <v/>
      </c>
      <c r="C74" s="145" t="str">
        <v/>
      </c>
      <c r="D74" s="145" t="str">
        <v/>
      </c>
      <c r="E74" s="145" t="str">
        <v/>
      </c>
      <c r="F74" s="145" t="str">
        <v/>
      </c>
      <c r="G74" s="145" t="str">
        <v/>
      </c>
      <c r="H74" s="145" t="str">
        <v/>
      </c>
      <c r="I74" s="145" t="str">
        <v/>
      </c>
      <c r="J74" s="145" t="str">
        <v/>
      </c>
      <c r="K74" s="145" t="str">
        <v/>
      </c>
      <c r="L74" s="145" t="str">
        <v/>
      </c>
      <c r="M74" s="145" t="str">
        <v/>
      </c>
      <c r="N74" s="145" t="str">
        <v/>
      </c>
      <c r="O74" s="145" t="str">
        <v/>
      </c>
      <c r="P74" s="145" t="str">
        <v/>
      </c>
    </row>
    <row r="75" spans="1:16" s="87" customFormat="1" x14ac:dyDescent="0.2">
      <c r="A75" s="86" t="str">
        <v/>
      </c>
      <c r="B75" s="123" t="str">
        <v/>
      </c>
      <c r="C75" s="145" t="str">
        <v/>
      </c>
      <c r="D75" s="145" t="str">
        <v/>
      </c>
      <c r="E75" s="145" t="str">
        <v/>
      </c>
      <c r="F75" s="145" t="str">
        <v/>
      </c>
      <c r="G75" s="145" t="str">
        <v/>
      </c>
      <c r="H75" s="145" t="str">
        <v/>
      </c>
      <c r="I75" s="145" t="str">
        <v/>
      </c>
      <c r="J75" s="145" t="str">
        <v/>
      </c>
      <c r="K75" s="145" t="str">
        <v/>
      </c>
      <c r="L75" s="145" t="str">
        <v/>
      </c>
      <c r="M75" s="145" t="str">
        <v/>
      </c>
      <c r="N75" s="145" t="str">
        <v/>
      </c>
      <c r="O75" s="145" t="str">
        <v/>
      </c>
      <c r="P75" s="145" t="str">
        <v/>
      </c>
    </row>
    <row r="76" spans="1:16" s="87" customFormat="1" x14ac:dyDescent="0.2">
      <c r="A76" s="88" t="str">
        <v/>
      </c>
      <c r="B76" s="123" t="str">
        <v/>
      </c>
      <c r="C76" s="145" t="str">
        <v/>
      </c>
      <c r="D76" s="145" t="str">
        <v/>
      </c>
      <c r="E76" s="145" t="str">
        <v/>
      </c>
      <c r="F76" s="145" t="str">
        <v/>
      </c>
      <c r="G76" s="145" t="str">
        <v/>
      </c>
      <c r="H76" s="145" t="str">
        <v/>
      </c>
      <c r="I76" s="145" t="str">
        <v/>
      </c>
      <c r="J76" s="145" t="str">
        <v/>
      </c>
      <c r="K76" s="145" t="str">
        <v/>
      </c>
      <c r="L76" s="145" t="str">
        <v/>
      </c>
      <c r="M76" s="145" t="str">
        <v/>
      </c>
      <c r="N76" s="145" t="str">
        <v/>
      </c>
      <c r="O76" s="145" t="str">
        <v/>
      </c>
      <c r="P76" s="145" t="str">
        <v/>
      </c>
    </row>
    <row r="77" spans="1:16" s="87" customFormat="1" x14ac:dyDescent="0.2">
      <c r="A77" s="88" t="str">
        <v/>
      </c>
      <c r="B77" s="123" t="str">
        <v/>
      </c>
      <c r="C77" s="145" t="str">
        <v/>
      </c>
      <c r="D77" s="145" t="str">
        <v/>
      </c>
      <c r="E77" s="145" t="str">
        <v/>
      </c>
      <c r="F77" s="145" t="str">
        <v/>
      </c>
      <c r="G77" s="145" t="str">
        <v/>
      </c>
      <c r="H77" s="145" t="str">
        <v/>
      </c>
      <c r="I77" s="145" t="str">
        <v/>
      </c>
      <c r="J77" s="145" t="str">
        <v/>
      </c>
      <c r="K77" s="145" t="str">
        <v/>
      </c>
      <c r="L77" s="145" t="str">
        <v/>
      </c>
      <c r="M77" s="145" t="str">
        <v/>
      </c>
      <c r="N77" s="145" t="str">
        <v/>
      </c>
      <c r="O77" s="145" t="str">
        <v/>
      </c>
      <c r="P77" s="145" t="str">
        <v/>
      </c>
    </row>
    <row r="78" spans="1:16" s="87" customFormat="1" x14ac:dyDescent="0.2">
      <c r="A78" s="88" t="str">
        <v/>
      </c>
      <c r="B78" s="123" t="str">
        <v/>
      </c>
      <c r="C78" s="145" t="str">
        <v/>
      </c>
      <c r="D78" s="145" t="str">
        <v/>
      </c>
      <c r="E78" s="145" t="str">
        <v/>
      </c>
      <c r="F78" s="145" t="str">
        <v/>
      </c>
      <c r="G78" s="145" t="str">
        <v/>
      </c>
      <c r="H78" s="145" t="str">
        <v/>
      </c>
      <c r="I78" s="145" t="str">
        <v/>
      </c>
      <c r="J78" s="145" t="str">
        <v/>
      </c>
      <c r="K78" s="145" t="str">
        <v/>
      </c>
      <c r="L78" s="145" t="str">
        <v/>
      </c>
      <c r="M78" s="145" t="str">
        <v/>
      </c>
      <c r="N78" s="145" t="str">
        <v/>
      </c>
      <c r="O78" s="145" t="str">
        <v/>
      </c>
      <c r="P78" s="145" t="str">
        <v/>
      </c>
    </row>
    <row r="79" spans="1:16" s="87" customFormat="1" x14ac:dyDescent="0.2">
      <c r="A79" s="88" t="str">
        <v/>
      </c>
      <c r="B79" s="123" t="str">
        <v/>
      </c>
      <c r="C79" s="145" t="str">
        <v/>
      </c>
      <c r="D79" s="145" t="str">
        <v/>
      </c>
      <c r="E79" s="145" t="str">
        <v/>
      </c>
      <c r="F79" s="145" t="str">
        <v/>
      </c>
      <c r="G79" s="145" t="str">
        <v/>
      </c>
      <c r="H79" s="145" t="str">
        <v/>
      </c>
      <c r="I79" s="145" t="str">
        <v/>
      </c>
      <c r="J79" s="145" t="str">
        <v/>
      </c>
      <c r="K79" s="145" t="str">
        <v/>
      </c>
      <c r="L79" s="145" t="str">
        <v/>
      </c>
      <c r="M79" s="145" t="str">
        <v/>
      </c>
      <c r="N79" s="145" t="str">
        <v/>
      </c>
      <c r="O79" s="145" t="str">
        <v/>
      </c>
      <c r="P79" s="145" t="str">
        <v/>
      </c>
    </row>
    <row r="80" spans="1:16" s="87" customFormat="1" x14ac:dyDescent="0.2">
      <c r="A80" s="88" t="str">
        <v/>
      </c>
      <c r="B80" s="123" t="str">
        <v/>
      </c>
      <c r="C80" s="145" t="str">
        <v/>
      </c>
      <c r="D80" s="145" t="str">
        <v/>
      </c>
      <c r="E80" s="145" t="str">
        <v/>
      </c>
      <c r="F80" s="145" t="str">
        <v/>
      </c>
      <c r="G80" s="145" t="str">
        <v/>
      </c>
      <c r="H80" s="145" t="str">
        <v/>
      </c>
      <c r="I80" s="145" t="str">
        <v/>
      </c>
      <c r="J80" s="145" t="str">
        <v/>
      </c>
      <c r="K80" s="145" t="str">
        <v/>
      </c>
      <c r="L80" s="145" t="str">
        <v/>
      </c>
      <c r="M80" s="145" t="str">
        <v/>
      </c>
      <c r="N80" s="145" t="str">
        <v/>
      </c>
      <c r="O80" s="145" t="str">
        <v/>
      </c>
      <c r="P80" s="145" t="str">
        <v/>
      </c>
    </row>
    <row r="81" spans="1:16" s="87" customFormat="1" x14ac:dyDescent="0.2">
      <c r="A81" s="88" t="str">
        <v/>
      </c>
      <c r="B81" s="123" t="str">
        <v/>
      </c>
      <c r="C81" s="145" t="str">
        <v/>
      </c>
      <c r="D81" s="145" t="str">
        <v/>
      </c>
      <c r="E81" s="145" t="str">
        <v/>
      </c>
      <c r="F81" s="145" t="str">
        <v/>
      </c>
      <c r="G81" s="145" t="str">
        <v/>
      </c>
      <c r="H81" s="145" t="str">
        <v/>
      </c>
      <c r="I81" s="145" t="str">
        <v/>
      </c>
      <c r="J81" s="145" t="str">
        <v/>
      </c>
      <c r="K81" s="145" t="str">
        <v/>
      </c>
      <c r="L81" s="145" t="str">
        <v/>
      </c>
      <c r="M81" s="145" t="str">
        <v/>
      </c>
      <c r="N81" s="145" t="str">
        <v/>
      </c>
      <c r="O81" s="145" t="str">
        <v/>
      </c>
      <c r="P81" s="145" t="str">
        <v/>
      </c>
    </row>
    <row r="82" spans="1:16" s="83" customFormat="1" x14ac:dyDescent="0.2">
      <c r="A82" s="82" t="str">
        <v/>
      </c>
      <c r="B82" s="123" t="str">
        <v/>
      </c>
      <c r="C82" s="145" t="str">
        <v/>
      </c>
      <c r="D82" s="145" t="str">
        <v/>
      </c>
      <c r="E82" s="145" t="str">
        <v/>
      </c>
      <c r="F82" s="145" t="str">
        <v/>
      </c>
      <c r="G82" s="145" t="str">
        <v/>
      </c>
      <c r="H82" s="145" t="str">
        <v/>
      </c>
      <c r="I82" s="145" t="str">
        <v/>
      </c>
      <c r="J82" s="145" t="str">
        <v/>
      </c>
      <c r="K82" s="145" t="str">
        <v/>
      </c>
      <c r="L82" s="145" t="str">
        <v/>
      </c>
      <c r="M82" s="145" t="str">
        <v/>
      </c>
      <c r="N82" s="145" t="str">
        <v/>
      </c>
      <c r="O82" s="145" t="str">
        <v/>
      </c>
      <c r="P82" s="145" t="str">
        <v/>
      </c>
    </row>
    <row r="83" spans="1:16" s="83" customFormat="1" x14ac:dyDescent="0.2">
      <c r="A83" s="82" t="str">
        <v/>
      </c>
      <c r="B83" s="123" t="str">
        <v/>
      </c>
      <c r="C83" s="145" t="str">
        <v/>
      </c>
      <c r="D83" s="145" t="str">
        <v/>
      </c>
      <c r="E83" s="145" t="str">
        <v/>
      </c>
      <c r="F83" s="145" t="str">
        <v/>
      </c>
      <c r="G83" s="145" t="str">
        <v/>
      </c>
      <c r="H83" s="145" t="str">
        <v/>
      </c>
      <c r="I83" s="145" t="str">
        <v/>
      </c>
      <c r="J83" s="145" t="str">
        <v/>
      </c>
      <c r="K83" s="145" t="str">
        <v/>
      </c>
      <c r="L83" s="145" t="str">
        <v/>
      </c>
      <c r="M83" s="145" t="str">
        <v/>
      </c>
      <c r="N83" s="145" t="str">
        <v/>
      </c>
      <c r="O83" s="145" t="str">
        <v/>
      </c>
      <c r="P83" s="145" t="str">
        <v/>
      </c>
    </row>
    <row r="84" spans="1:16" s="83" customFormat="1" x14ac:dyDescent="0.2">
      <c r="A84" s="82" t="str">
        <v/>
      </c>
      <c r="B84" s="123" t="str">
        <v/>
      </c>
      <c r="C84" s="145" t="str">
        <v/>
      </c>
      <c r="D84" s="145" t="str">
        <v/>
      </c>
      <c r="E84" s="145" t="str">
        <v/>
      </c>
      <c r="F84" s="145" t="str">
        <v/>
      </c>
      <c r="G84" s="145" t="str">
        <v/>
      </c>
      <c r="H84" s="145" t="str">
        <v/>
      </c>
      <c r="I84" s="145" t="str">
        <v/>
      </c>
      <c r="J84" s="145" t="str">
        <v/>
      </c>
      <c r="K84" s="145" t="str">
        <v/>
      </c>
      <c r="L84" s="145" t="str">
        <v/>
      </c>
      <c r="M84" s="145" t="str">
        <v/>
      </c>
      <c r="N84" s="145" t="str">
        <v/>
      </c>
      <c r="O84" s="145" t="str">
        <v/>
      </c>
      <c r="P84" s="145" t="str">
        <v/>
      </c>
    </row>
    <row r="85" spans="1:16" s="83" customFormat="1" x14ac:dyDescent="0.2">
      <c r="A85" s="82" t="str">
        <v/>
      </c>
      <c r="B85" s="123" t="str">
        <v/>
      </c>
      <c r="C85" s="145" t="str">
        <v/>
      </c>
      <c r="D85" s="145" t="str">
        <v/>
      </c>
      <c r="E85" s="145" t="str">
        <v/>
      </c>
      <c r="F85" s="145" t="str">
        <v/>
      </c>
      <c r="G85" s="145" t="str">
        <v/>
      </c>
      <c r="H85" s="145" t="str">
        <v/>
      </c>
      <c r="I85" s="145" t="str">
        <v/>
      </c>
      <c r="J85" s="145" t="str">
        <v/>
      </c>
      <c r="K85" s="145" t="str">
        <v/>
      </c>
      <c r="L85" s="145" t="str">
        <v/>
      </c>
      <c r="M85" s="145" t="str">
        <v/>
      </c>
      <c r="N85" s="145" t="str">
        <v/>
      </c>
      <c r="O85" s="145" t="str">
        <v/>
      </c>
      <c r="P85" s="145" t="str">
        <v/>
      </c>
    </row>
    <row r="86" spans="1:16" s="83" customFormat="1" x14ac:dyDescent="0.2">
      <c r="A86" s="82" t="str">
        <v/>
      </c>
      <c r="B86" s="123" t="str">
        <v/>
      </c>
      <c r="C86" s="145" t="str">
        <v/>
      </c>
      <c r="D86" s="145" t="str">
        <v/>
      </c>
      <c r="E86" s="145" t="str">
        <v/>
      </c>
      <c r="F86" s="145" t="str">
        <v/>
      </c>
      <c r="G86" s="145" t="str">
        <v/>
      </c>
      <c r="H86" s="145" t="str">
        <v/>
      </c>
      <c r="I86" s="145" t="str">
        <v/>
      </c>
      <c r="J86" s="145" t="str">
        <v/>
      </c>
      <c r="K86" s="145" t="str">
        <v/>
      </c>
      <c r="L86" s="145" t="str">
        <v/>
      </c>
      <c r="M86" s="145" t="str">
        <v/>
      </c>
      <c r="N86" s="145" t="str">
        <v/>
      </c>
      <c r="O86" s="145" t="str">
        <v/>
      </c>
      <c r="P86" s="145" t="str">
        <v/>
      </c>
    </row>
    <row r="87" spans="1:16" s="83" customFormat="1" x14ac:dyDescent="0.2">
      <c r="A87" s="82" t="str">
        <v/>
      </c>
      <c r="B87" s="123" t="str">
        <v/>
      </c>
      <c r="C87" s="145" t="str">
        <v/>
      </c>
      <c r="D87" s="145" t="str">
        <v/>
      </c>
      <c r="E87" s="145" t="str">
        <v/>
      </c>
      <c r="F87" s="145" t="str">
        <v/>
      </c>
      <c r="G87" s="145" t="str">
        <v/>
      </c>
      <c r="H87" s="145" t="str">
        <v/>
      </c>
      <c r="I87" s="145" t="str">
        <v/>
      </c>
      <c r="J87" s="145" t="str">
        <v/>
      </c>
      <c r="K87" s="145" t="str">
        <v/>
      </c>
      <c r="L87" s="145" t="str">
        <v/>
      </c>
      <c r="M87" s="145" t="str">
        <v/>
      </c>
      <c r="N87" s="145" t="str">
        <v/>
      </c>
      <c r="O87" s="145" t="str">
        <v/>
      </c>
      <c r="P87" s="145" t="str">
        <v/>
      </c>
    </row>
    <row r="88" spans="1:16" s="83" customFormat="1" x14ac:dyDescent="0.2">
      <c r="A88" s="82" t="str">
        <v/>
      </c>
      <c r="B88" s="123" t="str">
        <v/>
      </c>
      <c r="C88" s="145" t="str">
        <v/>
      </c>
      <c r="D88" s="145" t="str">
        <v/>
      </c>
      <c r="E88" s="145" t="str">
        <v/>
      </c>
      <c r="F88" s="145" t="str">
        <v/>
      </c>
      <c r="G88" s="145" t="str">
        <v/>
      </c>
      <c r="H88" s="145" t="str">
        <v/>
      </c>
      <c r="I88" s="145" t="str">
        <v/>
      </c>
      <c r="J88" s="145" t="str">
        <v/>
      </c>
      <c r="K88" s="145" t="str">
        <v/>
      </c>
      <c r="L88" s="145" t="str">
        <v/>
      </c>
      <c r="M88" s="145" t="str">
        <v/>
      </c>
      <c r="N88" s="145" t="str">
        <v/>
      </c>
      <c r="O88" s="145" t="str">
        <v/>
      </c>
      <c r="P88" s="145" t="str">
        <v/>
      </c>
    </row>
    <row r="89" spans="1:16" s="83" customFormat="1" x14ac:dyDescent="0.2">
      <c r="A89" s="82" t="str">
        <v/>
      </c>
      <c r="B89" s="123" t="str">
        <v/>
      </c>
      <c r="C89" s="145" t="str">
        <v/>
      </c>
      <c r="D89" s="145" t="str">
        <v/>
      </c>
      <c r="E89" s="145" t="str">
        <v/>
      </c>
      <c r="F89" s="145" t="str">
        <v/>
      </c>
      <c r="G89" s="145" t="str">
        <v/>
      </c>
      <c r="H89" s="145" t="str">
        <v/>
      </c>
      <c r="I89" s="145" t="str">
        <v/>
      </c>
      <c r="J89" s="145" t="str">
        <v/>
      </c>
      <c r="K89" s="145" t="str">
        <v/>
      </c>
      <c r="L89" s="145" t="str">
        <v/>
      </c>
      <c r="M89" s="145" t="str">
        <v/>
      </c>
      <c r="N89" s="145" t="str">
        <v/>
      </c>
      <c r="O89" s="145" t="str">
        <v/>
      </c>
      <c r="P89" s="145" t="str">
        <v/>
      </c>
    </row>
    <row r="90" spans="1:16" s="83" customFormat="1" x14ac:dyDescent="0.2">
      <c r="A90" s="82" t="str">
        <v/>
      </c>
      <c r="B90" s="123" t="str">
        <v/>
      </c>
      <c r="C90" s="145" t="str">
        <v/>
      </c>
      <c r="D90" s="145" t="str">
        <v/>
      </c>
      <c r="E90" s="145" t="str">
        <v/>
      </c>
      <c r="F90" s="145" t="str">
        <v/>
      </c>
      <c r="G90" s="145" t="str">
        <v/>
      </c>
      <c r="H90" s="145" t="str">
        <v/>
      </c>
      <c r="I90" s="145" t="str">
        <v/>
      </c>
      <c r="J90" s="145" t="str">
        <v/>
      </c>
      <c r="K90" s="145" t="str">
        <v/>
      </c>
      <c r="L90" s="145" t="str">
        <v/>
      </c>
      <c r="M90" s="145" t="str">
        <v/>
      </c>
      <c r="N90" s="145" t="str">
        <v/>
      </c>
      <c r="O90" s="145" t="str">
        <v/>
      </c>
      <c r="P90" s="145" t="str">
        <v/>
      </c>
    </row>
    <row r="91" spans="1:16" s="83" customFormat="1" x14ac:dyDescent="0.2">
      <c r="A91" s="82" t="str">
        <v/>
      </c>
      <c r="B91" s="123" t="str">
        <v/>
      </c>
      <c r="C91" s="145" t="str">
        <v/>
      </c>
      <c r="D91" s="145" t="str">
        <v/>
      </c>
      <c r="E91" s="145" t="str">
        <v/>
      </c>
      <c r="F91" s="145" t="str">
        <v/>
      </c>
      <c r="G91" s="145" t="str">
        <v/>
      </c>
      <c r="H91" s="145" t="str">
        <v/>
      </c>
      <c r="I91" s="145" t="str">
        <v/>
      </c>
      <c r="J91" s="145" t="str">
        <v/>
      </c>
      <c r="K91" s="145" t="str">
        <v/>
      </c>
      <c r="L91" s="145" t="str">
        <v/>
      </c>
      <c r="M91" s="145" t="str">
        <v/>
      </c>
      <c r="N91" s="145" t="str">
        <v/>
      </c>
      <c r="O91" s="145" t="str">
        <v/>
      </c>
      <c r="P91" s="145" t="str">
        <v/>
      </c>
    </row>
    <row r="92" spans="1:16" s="83" customFormat="1" x14ac:dyDescent="0.2">
      <c r="A92" s="82" t="str">
        <v/>
      </c>
      <c r="B92" s="123" t="str">
        <v/>
      </c>
      <c r="C92" s="145" t="str">
        <v/>
      </c>
      <c r="D92" s="145" t="str">
        <v/>
      </c>
      <c r="E92" s="145" t="str">
        <v/>
      </c>
      <c r="F92" s="145" t="str">
        <v/>
      </c>
      <c r="G92" s="145" t="str">
        <v/>
      </c>
      <c r="H92" s="145" t="str">
        <v/>
      </c>
      <c r="I92" s="145" t="str">
        <v/>
      </c>
      <c r="J92" s="145" t="str">
        <v/>
      </c>
      <c r="K92" s="145" t="str">
        <v/>
      </c>
      <c r="L92" s="145" t="str">
        <v/>
      </c>
      <c r="M92" s="145" t="str">
        <v/>
      </c>
      <c r="N92" s="145" t="str">
        <v/>
      </c>
      <c r="O92" s="145" t="str">
        <v/>
      </c>
      <c r="P92" s="145" t="str">
        <v/>
      </c>
    </row>
    <row r="93" spans="1:16" s="83" customFormat="1" x14ac:dyDescent="0.2">
      <c r="A93" s="124" t="str">
        <v/>
      </c>
      <c r="B93" s="123" t="str">
        <v/>
      </c>
      <c r="C93" s="145" t="str">
        <v/>
      </c>
      <c r="D93" s="145" t="str">
        <v/>
      </c>
      <c r="E93" s="145" t="str">
        <v/>
      </c>
      <c r="F93" s="145" t="str">
        <v/>
      </c>
      <c r="G93" s="145" t="str">
        <v/>
      </c>
      <c r="H93" s="145" t="str">
        <v/>
      </c>
      <c r="I93" s="145" t="str">
        <v/>
      </c>
      <c r="J93" s="145" t="str">
        <v/>
      </c>
      <c r="K93" s="145" t="str">
        <v/>
      </c>
      <c r="L93" s="145" t="str">
        <v/>
      </c>
      <c r="M93" s="145" t="str">
        <v/>
      </c>
      <c r="N93" s="145" t="str">
        <v/>
      </c>
      <c r="O93" s="145" t="str">
        <v/>
      </c>
      <c r="P93" s="145" t="str">
        <v/>
      </c>
    </row>
    <row r="94" spans="1:16" s="83" customFormat="1" x14ac:dyDescent="0.2">
      <c r="A94" s="124" t="str">
        <v/>
      </c>
      <c r="B94" s="123" t="str">
        <v/>
      </c>
      <c r="C94" s="145" t="str">
        <v/>
      </c>
      <c r="D94" s="145" t="str">
        <v/>
      </c>
      <c r="E94" s="145" t="str">
        <v/>
      </c>
      <c r="F94" s="145" t="str">
        <v/>
      </c>
      <c r="G94" s="145" t="str">
        <v/>
      </c>
      <c r="H94" s="145" t="str">
        <v/>
      </c>
      <c r="I94" s="145" t="str">
        <v/>
      </c>
      <c r="J94" s="145" t="str">
        <v/>
      </c>
      <c r="K94" s="145" t="str">
        <v/>
      </c>
      <c r="L94" s="145" t="str">
        <v/>
      </c>
      <c r="M94" s="145" t="str">
        <v/>
      </c>
      <c r="N94" s="145" t="str">
        <v/>
      </c>
      <c r="O94" s="145" t="str">
        <v/>
      </c>
      <c r="P94" s="145" t="str">
        <v/>
      </c>
    </row>
    <row r="95" spans="1:16" s="83" customFormat="1" x14ac:dyDescent="0.2">
      <c r="A95" s="124" t="str">
        <v/>
      </c>
      <c r="B95" s="123" t="str">
        <v/>
      </c>
      <c r="C95" s="145" t="str">
        <v/>
      </c>
      <c r="D95" s="145" t="str">
        <v/>
      </c>
      <c r="E95" s="145" t="str">
        <v/>
      </c>
      <c r="F95" s="145" t="str">
        <v/>
      </c>
      <c r="G95" s="145" t="str">
        <v/>
      </c>
      <c r="H95" s="145" t="str">
        <v/>
      </c>
      <c r="I95" s="145" t="str">
        <v/>
      </c>
      <c r="J95" s="145" t="str">
        <v/>
      </c>
      <c r="K95" s="145" t="str">
        <v/>
      </c>
      <c r="L95" s="145" t="str">
        <v/>
      </c>
      <c r="M95" s="145" t="str">
        <v/>
      </c>
      <c r="N95" s="145" t="str">
        <v/>
      </c>
      <c r="O95" s="145" t="str">
        <v/>
      </c>
      <c r="P95" s="145" t="str">
        <v/>
      </c>
    </row>
    <row r="96" spans="1:16" s="83" customFormat="1" x14ac:dyDescent="0.2">
      <c r="A96" s="124" t="str">
        <v/>
      </c>
      <c r="B96" s="123" t="str">
        <v/>
      </c>
      <c r="C96" s="145" t="str">
        <v/>
      </c>
      <c r="D96" s="145" t="str">
        <v/>
      </c>
      <c r="E96" s="145" t="str">
        <v/>
      </c>
      <c r="F96" s="145" t="str">
        <v/>
      </c>
      <c r="G96" s="145" t="str">
        <v/>
      </c>
      <c r="H96" s="145" t="str">
        <v/>
      </c>
      <c r="I96" s="145" t="str">
        <v/>
      </c>
      <c r="J96" s="145" t="str">
        <v/>
      </c>
      <c r="K96" s="145" t="str">
        <v/>
      </c>
      <c r="L96" s="145" t="str">
        <v/>
      </c>
      <c r="M96" s="145" t="str">
        <v/>
      </c>
      <c r="N96" s="145" t="str">
        <v/>
      </c>
      <c r="O96" s="145" t="str">
        <v/>
      </c>
      <c r="P96" s="145" t="str">
        <v/>
      </c>
    </row>
    <row r="97" spans="1:16" s="83" customFormat="1" x14ac:dyDescent="0.2">
      <c r="A97" s="124" t="str">
        <v/>
      </c>
      <c r="B97" s="123" t="str">
        <v/>
      </c>
      <c r="C97" s="145" t="str">
        <v/>
      </c>
      <c r="D97" s="145" t="str">
        <v/>
      </c>
      <c r="E97" s="145" t="str">
        <v/>
      </c>
      <c r="F97" s="145" t="str">
        <v/>
      </c>
      <c r="G97" s="145" t="str">
        <v/>
      </c>
      <c r="H97" s="145" t="str">
        <v/>
      </c>
      <c r="I97" s="145" t="str">
        <v/>
      </c>
      <c r="J97" s="145" t="str">
        <v/>
      </c>
      <c r="K97" s="145" t="str">
        <v/>
      </c>
      <c r="L97" s="145" t="str">
        <v/>
      </c>
      <c r="M97" s="145" t="str">
        <v/>
      </c>
      <c r="N97" s="145" t="str">
        <v/>
      </c>
      <c r="O97" s="145" t="str">
        <v/>
      </c>
      <c r="P97" s="145" t="str">
        <v/>
      </c>
    </row>
    <row r="98" spans="1:16" s="83" customFormat="1" x14ac:dyDescent="0.2">
      <c r="A98" s="124" t="str">
        <v/>
      </c>
      <c r="B98" s="123" t="str">
        <v/>
      </c>
      <c r="C98" s="145" t="str">
        <v/>
      </c>
      <c r="D98" s="145" t="str">
        <v/>
      </c>
      <c r="E98" s="145" t="str">
        <v/>
      </c>
      <c r="F98" s="145" t="str">
        <v/>
      </c>
      <c r="G98" s="145" t="str">
        <v/>
      </c>
      <c r="H98" s="145" t="str">
        <v/>
      </c>
      <c r="I98" s="145" t="str">
        <v/>
      </c>
      <c r="J98" s="145" t="str">
        <v/>
      </c>
      <c r="K98" s="145" t="str">
        <v/>
      </c>
      <c r="L98" s="145" t="str">
        <v/>
      </c>
      <c r="M98" s="145" t="str">
        <v/>
      </c>
      <c r="N98" s="145" t="str">
        <v/>
      </c>
      <c r="O98" s="145" t="str">
        <v/>
      </c>
      <c r="P98" s="145" t="str">
        <v/>
      </c>
    </row>
    <row r="99" spans="1:16" s="83" customFormat="1" x14ac:dyDescent="0.2">
      <c r="A99" s="124" t="str">
        <v/>
      </c>
      <c r="B99" s="123" t="str">
        <v/>
      </c>
      <c r="C99" s="145" t="str">
        <v/>
      </c>
      <c r="D99" s="145" t="str">
        <v/>
      </c>
      <c r="E99" s="145" t="str">
        <v/>
      </c>
      <c r="F99" s="145" t="str">
        <v/>
      </c>
      <c r="G99" s="145" t="str">
        <v/>
      </c>
      <c r="H99" s="145" t="str">
        <v/>
      </c>
      <c r="I99" s="145" t="str">
        <v/>
      </c>
      <c r="J99" s="145" t="str">
        <v/>
      </c>
      <c r="K99" s="145" t="str">
        <v/>
      </c>
      <c r="L99" s="145" t="str">
        <v/>
      </c>
      <c r="M99" s="145" t="str">
        <v/>
      </c>
      <c r="N99" s="145" t="str">
        <v/>
      </c>
      <c r="O99" s="145" t="str">
        <v/>
      </c>
      <c r="P99" s="145" t="str">
        <v/>
      </c>
    </row>
    <row r="100" spans="1:16" s="83" customFormat="1" x14ac:dyDescent="0.2">
      <c r="A100" s="124" t="str">
        <v/>
      </c>
      <c r="B100" s="123" t="str">
        <v/>
      </c>
      <c r="C100" s="145" t="str">
        <v/>
      </c>
      <c r="D100" s="145" t="str">
        <v/>
      </c>
      <c r="E100" s="145" t="str">
        <v/>
      </c>
      <c r="F100" s="145" t="str">
        <v/>
      </c>
      <c r="G100" s="145" t="str">
        <v/>
      </c>
      <c r="H100" s="145" t="str">
        <v/>
      </c>
      <c r="I100" s="145" t="str">
        <v/>
      </c>
      <c r="J100" s="145" t="str">
        <v/>
      </c>
      <c r="K100" s="145" t="str">
        <v/>
      </c>
      <c r="L100" s="145" t="str">
        <v/>
      </c>
      <c r="M100" s="145" t="str">
        <v/>
      </c>
      <c r="N100" s="145" t="str">
        <v/>
      </c>
      <c r="O100" s="145" t="str">
        <v/>
      </c>
      <c r="P100" s="145" t="str">
        <v/>
      </c>
    </row>
    <row r="101" spans="1:16" s="83" customFormat="1" x14ac:dyDescent="0.2">
      <c r="A101" s="124" t="str">
        <v/>
      </c>
      <c r="B101" s="123" t="str">
        <v/>
      </c>
      <c r="C101" s="145" t="str">
        <v/>
      </c>
      <c r="D101" s="145" t="str">
        <v/>
      </c>
      <c r="E101" s="145" t="str">
        <v/>
      </c>
      <c r="F101" s="145" t="str">
        <v/>
      </c>
      <c r="G101" s="145" t="str">
        <v/>
      </c>
      <c r="H101" s="145" t="str">
        <v/>
      </c>
      <c r="I101" s="145" t="str">
        <v/>
      </c>
      <c r="J101" s="145" t="str">
        <v/>
      </c>
      <c r="K101" s="145" t="str">
        <v/>
      </c>
      <c r="L101" s="145" t="str">
        <v/>
      </c>
      <c r="M101" s="145" t="str">
        <v/>
      </c>
      <c r="N101" s="145" t="str">
        <v/>
      </c>
      <c r="O101" s="145" t="str">
        <v/>
      </c>
      <c r="P101" s="145" t="str">
        <v/>
      </c>
    </row>
    <row r="102" spans="1:16" s="83" customFormat="1" x14ac:dyDescent="0.2">
      <c r="A102" s="124" t="str">
        <v/>
      </c>
      <c r="B102" s="123" t="str">
        <v/>
      </c>
      <c r="C102" s="145" t="str">
        <v/>
      </c>
      <c r="D102" s="145" t="str">
        <v/>
      </c>
      <c r="E102" s="145" t="str">
        <v/>
      </c>
      <c r="F102" s="145" t="str">
        <v/>
      </c>
      <c r="G102" s="145" t="str">
        <v/>
      </c>
      <c r="H102" s="145" t="str">
        <v/>
      </c>
      <c r="I102" s="145" t="str">
        <v/>
      </c>
      <c r="J102" s="145" t="str">
        <v/>
      </c>
      <c r="K102" s="145" t="str">
        <v/>
      </c>
      <c r="L102" s="145" t="str">
        <v/>
      </c>
      <c r="M102" s="145" t="str">
        <v/>
      </c>
      <c r="N102" s="145" t="str">
        <v/>
      </c>
      <c r="O102" s="145" t="str">
        <v/>
      </c>
      <c r="P102" s="145" t="str">
        <v/>
      </c>
    </row>
    <row r="103" spans="1:16" s="83" customFormat="1" x14ac:dyDescent="0.2">
      <c r="A103" s="124" t="str">
        <v/>
      </c>
      <c r="B103" s="123" t="str">
        <v/>
      </c>
      <c r="C103" s="145" t="str">
        <v/>
      </c>
      <c r="D103" s="145" t="str">
        <v/>
      </c>
      <c r="E103" s="145" t="str">
        <v/>
      </c>
      <c r="F103" s="145" t="str">
        <v/>
      </c>
      <c r="G103" s="145" t="str">
        <v/>
      </c>
      <c r="H103" s="145" t="str">
        <v/>
      </c>
      <c r="I103" s="145" t="str">
        <v/>
      </c>
      <c r="J103" s="145" t="str">
        <v/>
      </c>
      <c r="K103" s="145" t="str">
        <v/>
      </c>
      <c r="L103" s="145" t="str">
        <v/>
      </c>
      <c r="M103" s="145" t="str">
        <v/>
      </c>
      <c r="N103" s="145" t="str">
        <v/>
      </c>
      <c r="O103" s="145" t="str">
        <v/>
      </c>
      <c r="P103" s="145" t="str">
        <v/>
      </c>
    </row>
    <row r="104" spans="1:16" s="83" customFormat="1" x14ac:dyDescent="0.2">
      <c r="A104" s="124" t="str">
        <v/>
      </c>
      <c r="B104" s="123" t="str">
        <v/>
      </c>
      <c r="C104" s="145" t="str">
        <v/>
      </c>
      <c r="D104" s="145" t="str">
        <v/>
      </c>
      <c r="E104" s="145" t="str">
        <v/>
      </c>
      <c r="F104" s="145" t="str">
        <v/>
      </c>
      <c r="G104" s="145" t="str">
        <v/>
      </c>
      <c r="H104" s="145" t="str">
        <v/>
      </c>
      <c r="I104" s="145" t="str">
        <v/>
      </c>
      <c r="J104" s="145" t="str">
        <v/>
      </c>
      <c r="K104" s="145" t="str">
        <v/>
      </c>
      <c r="L104" s="145" t="str">
        <v/>
      </c>
      <c r="M104" s="145" t="str">
        <v/>
      </c>
      <c r="N104" s="145" t="str">
        <v/>
      </c>
      <c r="O104" s="145" t="str">
        <v/>
      </c>
      <c r="P104" s="145" t="str">
        <v/>
      </c>
    </row>
    <row r="105" spans="1:16" s="83" customFormat="1" x14ac:dyDescent="0.2">
      <c r="A105" s="124" t="str">
        <v/>
      </c>
      <c r="B105" s="123" t="str">
        <v/>
      </c>
      <c r="C105" s="145" t="str">
        <v/>
      </c>
      <c r="D105" s="145" t="str">
        <v/>
      </c>
      <c r="E105" s="145" t="str">
        <v/>
      </c>
      <c r="F105" s="145" t="str">
        <v/>
      </c>
      <c r="G105" s="145" t="str">
        <v/>
      </c>
      <c r="H105" s="145" t="str">
        <v/>
      </c>
      <c r="I105" s="145" t="str">
        <v/>
      </c>
      <c r="J105" s="145" t="str">
        <v/>
      </c>
      <c r="K105" s="145" t="str">
        <v/>
      </c>
      <c r="L105" s="145" t="str">
        <v/>
      </c>
      <c r="M105" s="145" t="str">
        <v/>
      </c>
      <c r="N105" s="145" t="str">
        <v/>
      </c>
      <c r="O105" s="145" t="str">
        <v/>
      </c>
      <c r="P105" s="145" t="str">
        <v/>
      </c>
    </row>
    <row r="106" spans="1:16" x14ac:dyDescent="0.2">
      <c r="A106" s="58" t="str">
        <v/>
      </c>
      <c r="B106" s="123" t="str">
        <v/>
      </c>
      <c r="C106" s="145" t="str">
        <v/>
      </c>
      <c r="D106" s="145" t="str">
        <v/>
      </c>
      <c r="E106" s="145" t="str">
        <v/>
      </c>
      <c r="F106" s="145" t="str">
        <v/>
      </c>
      <c r="G106" s="145" t="str">
        <v/>
      </c>
      <c r="H106" s="145" t="str">
        <v/>
      </c>
      <c r="I106" s="145" t="str">
        <v/>
      </c>
      <c r="J106" s="145" t="str">
        <v/>
      </c>
      <c r="K106" s="145" t="str">
        <v/>
      </c>
      <c r="L106" s="145" t="str">
        <v/>
      </c>
      <c r="M106" s="145" t="str">
        <v/>
      </c>
      <c r="N106" s="145" t="str">
        <v/>
      </c>
      <c r="O106" s="145" t="str">
        <v/>
      </c>
      <c r="P106" s="145" t="str">
        <v/>
      </c>
    </row>
    <row r="107" spans="1:16" x14ac:dyDescent="0.2">
      <c r="A107" s="58" t="str">
        <v/>
      </c>
      <c r="B107" s="123" t="str">
        <v/>
      </c>
      <c r="C107" s="145" t="str">
        <v/>
      </c>
      <c r="D107" s="145" t="str">
        <v/>
      </c>
      <c r="E107" s="145" t="str">
        <v/>
      </c>
      <c r="F107" s="145" t="str">
        <v/>
      </c>
      <c r="G107" s="145" t="str">
        <v/>
      </c>
      <c r="H107" s="145" t="str">
        <v/>
      </c>
      <c r="I107" s="145" t="str">
        <v/>
      </c>
      <c r="J107" s="145" t="str">
        <v/>
      </c>
      <c r="K107" s="145" t="str">
        <v/>
      </c>
      <c r="L107" s="145" t="str">
        <v/>
      </c>
      <c r="M107" s="145" t="str">
        <v/>
      </c>
      <c r="N107" s="145" t="str">
        <v/>
      </c>
      <c r="O107" s="145" t="str">
        <v/>
      </c>
      <c r="P107" s="145" t="str">
        <v/>
      </c>
    </row>
    <row r="108" spans="1:16" x14ac:dyDescent="0.2">
      <c r="A108" s="58" t="str">
        <v/>
      </c>
      <c r="B108" s="123" t="str">
        <v/>
      </c>
      <c r="C108" s="145" t="str">
        <v/>
      </c>
      <c r="D108" s="145" t="str">
        <v/>
      </c>
      <c r="E108" s="145" t="str">
        <v/>
      </c>
      <c r="F108" s="145" t="str">
        <v/>
      </c>
      <c r="G108" s="145" t="str">
        <v/>
      </c>
      <c r="H108" s="145" t="str">
        <v/>
      </c>
      <c r="I108" s="145" t="str">
        <v/>
      </c>
      <c r="J108" s="145" t="str">
        <v/>
      </c>
      <c r="K108" s="145" t="str">
        <v/>
      </c>
      <c r="L108" s="145" t="str">
        <v/>
      </c>
      <c r="M108" s="145" t="str">
        <v/>
      </c>
      <c r="N108" s="145" t="str">
        <v/>
      </c>
      <c r="O108" s="145" t="str">
        <v/>
      </c>
      <c r="P108" s="145" t="str">
        <v/>
      </c>
    </row>
    <row r="109" spans="1:16" x14ac:dyDescent="0.2">
      <c r="A109" s="58" t="str">
        <v/>
      </c>
      <c r="B109" s="123" t="str">
        <v/>
      </c>
      <c r="C109" s="145" t="str">
        <v/>
      </c>
      <c r="D109" s="145" t="str">
        <v/>
      </c>
      <c r="E109" s="145" t="str">
        <v/>
      </c>
      <c r="F109" s="145" t="str">
        <v/>
      </c>
      <c r="G109" s="145" t="str">
        <v/>
      </c>
      <c r="H109" s="145" t="str">
        <v/>
      </c>
      <c r="I109" s="145" t="str">
        <v/>
      </c>
      <c r="J109" s="145" t="str">
        <v/>
      </c>
      <c r="K109" s="145" t="str">
        <v/>
      </c>
      <c r="L109" s="145" t="str">
        <v/>
      </c>
      <c r="M109" s="145" t="str">
        <v/>
      </c>
      <c r="N109" s="145" t="str">
        <v/>
      </c>
      <c r="O109" s="145" t="str">
        <v/>
      </c>
      <c r="P109" s="145" t="str">
        <v/>
      </c>
    </row>
    <row r="110" spans="1:16" x14ac:dyDescent="0.2">
      <c r="A110" s="58" t="str">
        <v/>
      </c>
      <c r="B110" s="123" t="str">
        <v/>
      </c>
      <c r="C110" s="145" t="str">
        <v/>
      </c>
      <c r="D110" s="145" t="str">
        <v/>
      </c>
      <c r="E110" s="145" t="str">
        <v/>
      </c>
      <c r="F110" s="145" t="str">
        <v/>
      </c>
      <c r="G110" s="145" t="str">
        <v/>
      </c>
      <c r="H110" s="145" t="str">
        <v/>
      </c>
      <c r="I110" s="145" t="str">
        <v/>
      </c>
      <c r="J110" s="145" t="str">
        <v/>
      </c>
      <c r="K110" s="145" t="str">
        <v/>
      </c>
      <c r="L110" s="145" t="str">
        <v/>
      </c>
      <c r="M110" s="145" t="str">
        <v/>
      </c>
      <c r="N110" s="145" t="str">
        <v/>
      </c>
      <c r="O110" s="145" t="str">
        <v/>
      </c>
      <c r="P110" s="145" t="str">
        <v/>
      </c>
    </row>
    <row r="111" spans="1:16" x14ac:dyDescent="0.2">
      <c r="A111" s="58" t="str">
        <v/>
      </c>
      <c r="B111" s="123" t="str">
        <v/>
      </c>
      <c r="C111" s="145" t="str">
        <v/>
      </c>
      <c r="D111" s="145" t="str">
        <v/>
      </c>
      <c r="E111" s="145" t="str">
        <v/>
      </c>
      <c r="F111" s="145" t="str">
        <v/>
      </c>
      <c r="G111" s="145" t="str">
        <v/>
      </c>
      <c r="H111" s="145" t="str">
        <v/>
      </c>
      <c r="I111" s="145" t="str">
        <v/>
      </c>
      <c r="J111" s="145" t="str">
        <v/>
      </c>
      <c r="K111" s="145" t="str">
        <v/>
      </c>
      <c r="L111" s="145" t="str">
        <v/>
      </c>
      <c r="M111" s="145" t="str">
        <v/>
      </c>
      <c r="N111" s="145" t="str">
        <v/>
      </c>
      <c r="O111" s="145" t="str">
        <v/>
      </c>
      <c r="P111" s="145" t="str">
        <v/>
      </c>
    </row>
    <row r="112" spans="1:16" x14ac:dyDescent="0.2">
      <c r="A112" s="58" t="str">
        <v/>
      </c>
      <c r="B112" s="123" t="str">
        <v/>
      </c>
      <c r="C112" s="145" t="str">
        <v/>
      </c>
      <c r="D112" s="145" t="str">
        <v/>
      </c>
      <c r="E112" s="145" t="str">
        <v/>
      </c>
      <c r="F112" s="145" t="str">
        <v/>
      </c>
      <c r="G112" s="145" t="str">
        <v/>
      </c>
      <c r="H112" s="145" t="str">
        <v/>
      </c>
      <c r="I112" s="145" t="str">
        <v/>
      </c>
      <c r="J112" s="145" t="str">
        <v/>
      </c>
      <c r="K112" s="145" t="str">
        <v/>
      </c>
      <c r="L112" s="145" t="str">
        <v/>
      </c>
      <c r="M112" s="145" t="str">
        <v/>
      </c>
      <c r="N112" s="145" t="str">
        <v/>
      </c>
      <c r="O112" s="145" t="str">
        <v/>
      </c>
      <c r="P112" s="145" t="str">
        <v/>
      </c>
    </row>
    <row r="113" spans="1:16" x14ac:dyDescent="0.2">
      <c r="A113" s="58" t="str">
        <v/>
      </c>
      <c r="B113" s="123" t="str">
        <v/>
      </c>
      <c r="C113" s="145" t="str">
        <v/>
      </c>
      <c r="D113" s="145" t="str">
        <v/>
      </c>
      <c r="E113" s="145" t="str">
        <v/>
      </c>
      <c r="F113" s="145" t="str">
        <v/>
      </c>
      <c r="G113" s="145" t="str">
        <v/>
      </c>
      <c r="H113" s="145" t="str">
        <v/>
      </c>
      <c r="I113" s="145" t="str">
        <v/>
      </c>
      <c r="J113" s="145" t="str">
        <v/>
      </c>
      <c r="K113" s="145" t="str">
        <v/>
      </c>
      <c r="L113" s="145" t="str">
        <v/>
      </c>
      <c r="M113" s="145" t="str">
        <v/>
      </c>
      <c r="N113" s="145" t="str">
        <v/>
      </c>
      <c r="O113" s="145" t="str">
        <v/>
      </c>
      <c r="P113" s="145" t="str">
        <v/>
      </c>
    </row>
    <row r="114" spans="1:16" x14ac:dyDescent="0.2">
      <c r="A114" s="58" t="str">
        <v/>
      </c>
      <c r="B114" s="123" t="str">
        <v/>
      </c>
      <c r="C114" s="145" t="str">
        <v/>
      </c>
      <c r="D114" s="145" t="str">
        <v/>
      </c>
      <c r="E114" s="145" t="str">
        <v/>
      </c>
      <c r="F114" s="145" t="str">
        <v/>
      </c>
      <c r="G114" s="145" t="str">
        <v/>
      </c>
      <c r="H114" s="145" t="str">
        <v/>
      </c>
      <c r="I114" s="145" t="str">
        <v/>
      </c>
      <c r="J114" s="145" t="str">
        <v/>
      </c>
      <c r="K114" s="145" t="str">
        <v/>
      </c>
      <c r="L114" s="145" t="str">
        <v/>
      </c>
      <c r="M114" s="145" t="str">
        <v/>
      </c>
      <c r="N114" s="145" t="str">
        <v/>
      </c>
      <c r="O114" s="145" t="str">
        <v/>
      </c>
      <c r="P114" s="145" t="str">
        <v/>
      </c>
    </row>
    <row r="115" spans="1:16" x14ac:dyDescent="0.2">
      <c r="A115" s="58" t="str">
        <v/>
      </c>
      <c r="B115" s="123" t="str">
        <v/>
      </c>
      <c r="C115" s="145" t="str">
        <v/>
      </c>
      <c r="D115" s="145" t="str">
        <v/>
      </c>
      <c r="E115" s="145" t="str">
        <v/>
      </c>
      <c r="F115" s="145" t="str">
        <v/>
      </c>
      <c r="G115" s="145" t="str">
        <v/>
      </c>
      <c r="H115" s="145" t="str">
        <v/>
      </c>
      <c r="I115" s="145" t="str">
        <v/>
      </c>
      <c r="J115" s="145" t="str">
        <v/>
      </c>
      <c r="K115" s="145" t="str">
        <v/>
      </c>
      <c r="L115" s="145" t="str">
        <v/>
      </c>
      <c r="M115" s="145" t="str">
        <v/>
      </c>
      <c r="N115" s="145" t="str">
        <v/>
      </c>
      <c r="O115" s="145" t="str">
        <v/>
      </c>
      <c r="P115" s="145" t="str">
        <v/>
      </c>
    </row>
    <row r="116" spans="1:16" x14ac:dyDescent="0.2">
      <c r="A116" s="58" t="str">
        <v/>
      </c>
      <c r="B116" s="123" t="str">
        <v/>
      </c>
      <c r="C116" s="145" t="str">
        <v/>
      </c>
      <c r="D116" s="145" t="str">
        <v/>
      </c>
      <c r="E116" s="145" t="str">
        <v/>
      </c>
      <c r="F116" s="145" t="str">
        <v/>
      </c>
      <c r="G116" s="145" t="str">
        <v/>
      </c>
      <c r="H116" s="145" t="str">
        <v/>
      </c>
      <c r="I116" s="145" t="str">
        <v/>
      </c>
      <c r="J116" s="145" t="str">
        <v/>
      </c>
      <c r="K116" s="145" t="str">
        <v/>
      </c>
      <c r="L116" s="145" t="str">
        <v/>
      </c>
      <c r="M116" s="145" t="str">
        <v/>
      </c>
      <c r="N116" s="145" t="str">
        <v/>
      </c>
      <c r="O116" s="145" t="str">
        <v/>
      </c>
      <c r="P116" s="145" t="str">
        <v/>
      </c>
    </row>
    <row r="117" spans="1:16" x14ac:dyDescent="0.2">
      <c r="A117" s="58" t="str">
        <v/>
      </c>
      <c r="B117" s="123" t="str">
        <v/>
      </c>
      <c r="C117" s="145" t="str">
        <v/>
      </c>
      <c r="D117" s="145" t="str">
        <v/>
      </c>
      <c r="E117" s="145" t="str">
        <v/>
      </c>
      <c r="F117" s="145" t="str">
        <v/>
      </c>
      <c r="G117" s="145" t="str">
        <v/>
      </c>
      <c r="H117" s="145" t="str">
        <v/>
      </c>
      <c r="I117" s="145" t="str">
        <v/>
      </c>
      <c r="J117" s="145" t="str">
        <v/>
      </c>
      <c r="K117" s="145" t="str">
        <v/>
      </c>
      <c r="L117" s="145" t="str">
        <v/>
      </c>
      <c r="M117" s="145" t="str">
        <v/>
      </c>
      <c r="N117" s="145" t="str">
        <v/>
      </c>
      <c r="O117" s="145" t="str">
        <v/>
      </c>
      <c r="P117" s="145" t="str">
        <v/>
      </c>
    </row>
    <row r="118" spans="1:16" x14ac:dyDescent="0.2">
      <c r="A118" s="58" t="str">
        <v/>
      </c>
      <c r="B118" s="123" t="str">
        <v/>
      </c>
      <c r="C118" s="145" t="str">
        <v/>
      </c>
      <c r="D118" s="145" t="str">
        <v/>
      </c>
      <c r="E118" s="145" t="str">
        <v/>
      </c>
      <c r="F118" s="145" t="str">
        <v/>
      </c>
      <c r="G118" s="145" t="str">
        <v/>
      </c>
      <c r="H118" s="145" t="str">
        <v/>
      </c>
      <c r="I118" s="145" t="str">
        <v/>
      </c>
      <c r="J118" s="145" t="str">
        <v/>
      </c>
      <c r="K118" s="145" t="str">
        <v/>
      </c>
      <c r="L118" s="145" t="str">
        <v/>
      </c>
      <c r="M118" s="145" t="str">
        <v/>
      </c>
      <c r="N118" s="145" t="str">
        <v/>
      </c>
      <c r="O118" s="145" t="str">
        <v/>
      </c>
      <c r="P118" s="145" t="str">
        <v/>
      </c>
    </row>
    <row r="119" spans="1:16" x14ac:dyDescent="0.2">
      <c r="A119" s="58" t="str">
        <v/>
      </c>
      <c r="B119" s="123" t="str">
        <v/>
      </c>
      <c r="C119" s="145" t="str">
        <v/>
      </c>
      <c r="D119" s="145" t="str">
        <v/>
      </c>
      <c r="E119" s="145" t="str">
        <v/>
      </c>
      <c r="F119" s="145" t="str">
        <v/>
      </c>
      <c r="G119" s="145" t="str">
        <v/>
      </c>
      <c r="H119" s="145" t="str">
        <v/>
      </c>
      <c r="I119" s="145" t="str">
        <v/>
      </c>
      <c r="J119" s="145" t="str">
        <v/>
      </c>
      <c r="K119" s="145" t="str">
        <v/>
      </c>
      <c r="L119" s="145" t="str">
        <v/>
      </c>
      <c r="M119" s="145" t="str">
        <v/>
      </c>
      <c r="N119" s="145" t="str">
        <v/>
      </c>
      <c r="O119" s="145" t="str">
        <v/>
      </c>
      <c r="P119" s="145" t="str">
        <v/>
      </c>
    </row>
    <row r="120" spans="1:16" x14ac:dyDescent="0.2">
      <c r="A120" s="58" t="str">
        <v/>
      </c>
      <c r="B120" s="123" t="str">
        <v/>
      </c>
      <c r="C120" s="145" t="str">
        <v/>
      </c>
      <c r="D120" s="145" t="str">
        <v/>
      </c>
      <c r="E120" s="145" t="str">
        <v/>
      </c>
      <c r="F120" s="145" t="str">
        <v/>
      </c>
      <c r="G120" s="145" t="str">
        <v/>
      </c>
      <c r="H120" s="145" t="str">
        <v/>
      </c>
      <c r="I120" s="145" t="str">
        <v/>
      </c>
      <c r="J120" s="145" t="str">
        <v/>
      </c>
      <c r="K120" s="145" t="str">
        <v/>
      </c>
      <c r="L120" s="145" t="str">
        <v/>
      </c>
      <c r="M120" s="145" t="str">
        <v/>
      </c>
      <c r="N120" s="145" t="str">
        <v/>
      </c>
      <c r="O120" s="145" t="str">
        <v/>
      </c>
      <c r="P120" s="145" t="str">
        <v/>
      </c>
    </row>
    <row r="121" spans="1:16" x14ac:dyDescent="0.2">
      <c r="A121" s="58" t="str">
        <v/>
      </c>
      <c r="B121" s="123" t="str">
        <v/>
      </c>
      <c r="C121" s="145" t="str">
        <v/>
      </c>
      <c r="D121" s="145" t="str">
        <v/>
      </c>
      <c r="E121" s="145" t="str">
        <v/>
      </c>
      <c r="F121" s="145" t="str">
        <v/>
      </c>
      <c r="G121" s="145" t="str">
        <v/>
      </c>
      <c r="H121" s="145" t="str">
        <v/>
      </c>
      <c r="I121" s="145" t="str">
        <v/>
      </c>
      <c r="J121" s="145" t="str">
        <v/>
      </c>
      <c r="K121" s="145" t="str">
        <v/>
      </c>
      <c r="L121" s="145" t="str">
        <v/>
      </c>
      <c r="M121" s="145" t="str">
        <v/>
      </c>
      <c r="N121" s="145" t="str">
        <v/>
      </c>
      <c r="O121" s="145" t="str">
        <v/>
      </c>
      <c r="P121" s="145" t="str">
        <v/>
      </c>
    </row>
    <row r="122" spans="1:16" x14ac:dyDescent="0.2">
      <c r="A122" s="58" t="str">
        <v/>
      </c>
      <c r="B122" s="123" t="str">
        <v/>
      </c>
      <c r="C122" s="145" t="str">
        <v/>
      </c>
      <c r="D122" s="145" t="str">
        <v/>
      </c>
      <c r="E122" s="145" t="str">
        <v/>
      </c>
      <c r="F122" s="145" t="str">
        <v/>
      </c>
      <c r="G122" s="145" t="str">
        <v/>
      </c>
      <c r="H122" s="145" t="str">
        <v/>
      </c>
      <c r="I122" s="145" t="str">
        <v/>
      </c>
      <c r="J122" s="145" t="str">
        <v/>
      </c>
      <c r="K122" s="145" t="str">
        <v/>
      </c>
      <c r="L122" s="145" t="str">
        <v/>
      </c>
      <c r="M122" s="145" t="str">
        <v/>
      </c>
      <c r="N122" s="145" t="str">
        <v/>
      </c>
      <c r="O122" s="145" t="str">
        <v/>
      </c>
      <c r="P122" s="145" t="str">
        <v/>
      </c>
    </row>
    <row r="123" spans="1:16" x14ac:dyDescent="0.2">
      <c r="A123" s="58" t="str">
        <v/>
      </c>
      <c r="B123" s="123" t="str">
        <v/>
      </c>
      <c r="C123" s="145" t="str">
        <v/>
      </c>
      <c r="D123" s="145" t="str">
        <v/>
      </c>
      <c r="E123" s="145" t="str">
        <v/>
      </c>
      <c r="F123" s="145" t="str">
        <v/>
      </c>
      <c r="G123" s="145" t="str">
        <v/>
      </c>
      <c r="H123" s="145" t="str">
        <v/>
      </c>
      <c r="I123" s="145" t="str">
        <v/>
      </c>
      <c r="J123" s="145" t="str">
        <v/>
      </c>
      <c r="K123" s="145" t="str">
        <v/>
      </c>
      <c r="L123" s="145" t="str">
        <v/>
      </c>
      <c r="M123" s="145" t="str">
        <v/>
      </c>
      <c r="N123" s="145" t="str">
        <v/>
      </c>
      <c r="O123" s="145" t="str">
        <v/>
      </c>
      <c r="P123" s="145" t="str">
        <v/>
      </c>
    </row>
    <row r="124" spans="1:16" x14ac:dyDescent="0.2">
      <c r="A124" s="58" t="str">
        <v/>
      </c>
      <c r="B124" s="123" t="str">
        <v/>
      </c>
      <c r="C124" s="145" t="str">
        <v/>
      </c>
      <c r="D124" s="145" t="str">
        <v/>
      </c>
      <c r="E124" s="145" t="str">
        <v/>
      </c>
      <c r="F124" s="145" t="str">
        <v/>
      </c>
      <c r="G124" s="145" t="str">
        <v/>
      </c>
      <c r="H124" s="145" t="str">
        <v/>
      </c>
      <c r="I124" s="145" t="str">
        <v/>
      </c>
      <c r="J124" s="145" t="str">
        <v/>
      </c>
      <c r="K124" s="145" t="str">
        <v/>
      </c>
      <c r="L124" s="145" t="str">
        <v/>
      </c>
      <c r="M124" s="145" t="str">
        <v/>
      </c>
      <c r="N124" s="145" t="str">
        <v/>
      </c>
      <c r="O124" s="145" t="str">
        <v/>
      </c>
      <c r="P124" s="145" t="str">
        <v/>
      </c>
    </row>
    <row r="125" spans="1:16" x14ac:dyDescent="0.2">
      <c r="A125" s="58" t="str">
        <v/>
      </c>
      <c r="B125" s="123" t="str">
        <v/>
      </c>
      <c r="C125" s="145" t="str">
        <v/>
      </c>
      <c r="D125" s="145" t="str">
        <v/>
      </c>
      <c r="E125" s="145" t="str">
        <v/>
      </c>
      <c r="F125" s="145" t="str">
        <v/>
      </c>
      <c r="G125" s="145" t="str">
        <v/>
      </c>
      <c r="H125" s="145" t="str">
        <v/>
      </c>
      <c r="I125" s="145" t="str">
        <v/>
      </c>
      <c r="J125" s="145" t="str">
        <v/>
      </c>
      <c r="K125" s="145" t="str">
        <v/>
      </c>
      <c r="L125" s="145" t="str">
        <v/>
      </c>
      <c r="M125" s="145" t="str">
        <v/>
      </c>
      <c r="N125" s="145" t="str">
        <v/>
      </c>
      <c r="O125" s="145" t="str">
        <v/>
      </c>
      <c r="P125" s="145" t="str">
        <v/>
      </c>
    </row>
    <row r="126" spans="1:16" x14ac:dyDescent="0.2">
      <c r="A126" s="58" t="str">
        <v/>
      </c>
      <c r="B126" s="123" t="str">
        <v/>
      </c>
      <c r="C126" s="145" t="str">
        <v/>
      </c>
      <c r="D126" s="145" t="str">
        <v/>
      </c>
      <c r="E126" s="145" t="str">
        <v/>
      </c>
      <c r="F126" s="145" t="str">
        <v/>
      </c>
      <c r="G126" s="145" t="str">
        <v/>
      </c>
      <c r="H126" s="145" t="str">
        <v/>
      </c>
      <c r="I126" s="145" t="str">
        <v/>
      </c>
      <c r="J126" s="145" t="str">
        <v/>
      </c>
      <c r="K126" s="145" t="str">
        <v/>
      </c>
      <c r="L126" s="145" t="str">
        <v/>
      </c>
      <c r="M126" s="145" t="str">
        <v/>
      </c>
      <c r="N126" s="145" t="str">
        <v/>
      </c>
      <c r="O126" s="145" t="str">
        <v/>
      </c>
      <c r="P126" s="145" t="str">
        <v/>
      </c>
    </row>
    <row r="127" spans="1:16" x14ac:dyDescent="0.2">
      <c r="A127" s="58" t="str">
        <v/>
      </c>
      <c r="B127" s="123" t="str">
        <v/>
      </c>
      <c r="C127" s="145" t="str">
        <v/>
      </c>
      <c r="D127" s="145" t="str">
        <v/>
      </c>
      <c r="E127" s="145" t="str">
        <v/>
      </c>
      <c r="F127" s="145" t="str">
        <v/>
      </c>
      <c r="G127" s="145" t="str">
        <v/>
      </c>
      <c r="H127" s="145" t="str">
        <v/>
      </c>
      <c r="I127" s="145" t="str">
        <v/>
      </c>
      <c r="J127" s="145" t="str">
        <v/>
      </c>
      <c r="K127" s="145" t="str">
        <v/>
      </c>
      <c r="L127" s="145" t="str">
        <v/>
      </c>
      <c r="M127" s="145" t="str">
        <v/>
      </c>
      <c r="N127" s="145" t="str">
        <v/>
      </c>
      <c r="O127" s="145" t="str">
        <v/>
      </c>
      <c r="P127" s="145" t="str">
        <v/>
      </c>
    </row>
    <row r="128" spans="1:16" x14ac:dyDescent="0.2">
      <c r="A128" s="58" t="str">
        <v/>
      </c>
      <c r="B128" s="123" t="str">
        <v/>
      </c>
      <c r="C128" s="145" t="str">
        <v/>
      </c>
      <c r="D128" s="145" t="str">
        <v/>
      </c>
      <c r="E128" s="145" t="str">
        <v/>
      </c>
      <c r="F128" s="145" t="str">
        <v/>
      </c>
      <c r="G128" s="145" t="str">
        <v/>
      </c>
      <c r="H128" s="145" t="str">
        <v/>
      </c>
      <c r="I128" s="145" t="str">
        <v/>
      </c>
      <c r="J128" s="145" t="str">
        <v/>
      </c>
      <c r="K128" s="145" t="str">
        <v/>
      </c>
      <c r="L128" s="145" t="str">
        <v/>
      </c>
      <c r="M128" s="145" t="str">
        <v/>
      </c>
      <c r="N128" s="145" t="str">
        <v/>
      </c>
      <c r="O128" s="145" t="str">
        <v/>
      </c>
      <c r="P128" s="145" t="str">
        <v/>
      </c>
    </row>
    <row r="129" spans="1:16" x14ac:dyDescent="0.2">
      <c r="A129" s="58" t="str">
        <v/>
      </c>
      <c r="B129" s="123" t="str">
        <v/>
      </c>
      <c r="C129" s="145" t="str">
        <v/>
      </c>
      <c r="D129" s="145" t="str">
        <v/>
      </c>
      <c r="E129" s="145" t="str">
        <v/>
      </c>
      <c r="F129" s="145" t="str">
        <v/>
      </c>
      <c r="G129" s="145" t="str">
        <v/>
      </c>
      <c r="H129" s="145" t="str">
        <v/>
      </c>
      <c r="I129" s="145" t="str">
        <v/>
      </c>
      <c r="J129" s="145" t="str">
        <v/>
      </c>
      <c r="K129" s="145" t="str">
        <v/>
      </c>
      <c r="L129" s="145" t="str">
        <v/>
      </c>
      <c r="M129" s="145" t="str">
        <v/>
      </c>
      <c r="N129" s="145" t="str">
        <v/>
      </c>
      <c r="O129" s="145" t="str">
        <v/>
      </c>
      <c r="P129" s="145" t="str">
        <v/>
      </c>
    </row>
    <row r="130" spans="1:16" x14ac:dyDescent="0.2">
      <c r="A130" s="58" t="str">
        <v/>
      </c>
      <c r="B130" s="123" t="str">
        <v/>
      </c>
      <c r="C130" s="145" t="str">
        <v/>
      </c>
      <c r="D130" s="145" t="str">
        <v/>
      </c>
      <c r="E130" s="145" t="str">
        <v/>
      </c>
      <c r="F130" s="145" t="str">
        <v/>
      </c>
      <c r="G130" s="145" t="str">
        <v/>
      </c>
      <c r="H130" s="145" t="str">
        <v/>
      </c>
      <c r="I130" s="145" t="str">
        <v/>
      </c>
      <c r="J130" s="145" t="str">
        <v/>
      </c>
      <c r="K130" s="145" t="str">
        <v/>
      </c>
      <c r="L130" s="145" t="str">
        <v/>
      </c>
      <c r="M130" s="145" t="str">
        <v/>
      </c>
      <c r="N130" s="145" t="str">
        <v/>
      </c>
      <c r="O130" s="145" t="str">
        <v/>
      </c>
      <c r="P130" s="145" t="str">
        <v/>
      </c>
    </row>
    <row r="131" spans="1:16" x14ac:dyDescent="0.2">
      <c r="A131" s="58" t="str">
        <v/>
      </c>
      <c r="B131" s="123" t="str">
        <v/>
      </c>
      <c r="C131" s="145" t="str">
        <v/>
      </c>
      <c r="D131" s="145" t="str">
        <v/>
      </c>
      <c r="E131" s="145" t="str">
        <v/>
      </c>
      <c r="F131" s="145" t="str">
        <v/>
      </c>
      <c r="G131" s="145" t="str">
        <v/>
      </c>
      <c r="H131" s="145" t="str">
        <v/>
      </c>
      <c r="I131" s="145" t="str">
        <v/>
      </c>
      <c r="J131" s="145" t="str">
        <v/>
      </c>
      <c r="K131" s="145" t="str">
        <v/>
      </c>
      <c r="L131" s="145" t="str">
        <v/>
      </c>
      <c r="M131" s="145" t="str">
        <v/>
      </c>
      <c r="N131" s="145" t="str">
        <v/>
      </c>
      <c r="O131" s="145" t="str">
        <v/>
      </c>
      <c r="P131" s="145" t="str">
        <v/>
      </c>
    </row>
    <row r="132" spans="1:16" x14ac:dyDescent="0.2">
      <c r="A132" s="58" t="str">
        <v/>
      </c>
      <c r="B132" s="123" t="str">
        <v/>
      </c>
      <c r="C132" s="145" t="str">
        <v/>
      </c>
      <c r="D132" s="145" t="str">
        <v/>
      </c>
      <c r="E132" s="145" t="str">
        <v/>
      </c>
      <c r="F132" s="145" t="str">
        <v/>
      </c>
      <c r="G132" s="145" t="str">
        <v/>
      </c>
      <c r="H132" s="145" t="str">
        <v/>
      </c>
      <c r="I132" s="145" t="str">
        <v/>
      </c>
      <c r="J132" s="145" t="str">
        <v/>
      </c>
      <c r="K132" s="145" t="str">
        <v/>
      </c>
      <c r="L132" s="145" t="str">
        <v/>
      </c>
      <c r="M132" s="145" t="str">
        <v/>
      </c>
      <c r="N132" s="145" t="str">
        <v/>
      </c>
      <c r="O132" s="145" t="str">
        <v/>
      </c>
      <c r="P132" s="145" t="str">
        <v/>
      </c>
    </row>
    <row r="133" spans="1:16" x14ac:dyDescent="0.2">
      <c r="A133" s="58" t="str">
        <v/>
      </c>
      <c r="B133" s="123" t="str">
        <v/>
      </c>
      <c r="C133" s="145" t="str">
        <v/>
      </c>
      <c r="D133" s="145" t="str">
        <v/>
      </c>
      <c r="E133" s="145" t="str">
        <v/>
      </c>
      <c r="F133" s="145" t="str">
        <v/>
      </c>
      <c r="G133" s="145" t="str">
        <v/>
      </c>
      <c r="H133" s="145" t="str">
        <v/>
      </c>
      <c r="I133" s="145" t="str">
        <v/>
      </c>
      <c r="J133" s="145" t="str">
        <v/>
      </c>
      <c r="K133" s="145" t="str">
        <v/>
      </c>
      <c r="L133" s="145" t="str">
        <v/>
      </c>
      <c r="M133" s="145" t="str">
        <v/>
      </c>
      <c r="N133" s="145" t="str">
        <v/>
      </c>
      <c r="O133" s="145" t="str">
        <v/>
      </c>
      <c r="P133" s="145" t="str">
        <v/>
      </c>
    </row>
    <row r="134" spans="1:16" x14ac:dyDescent="0.2">
      <c r="A134" s="58" t="str">
        <v/>
      </c>
      <c r="B134" s="123" t="str">
        <v/>
      </c>
      <c r="C134" s="145" t="str">
        <v/>
      </c>
      <c r="D134" s="145" t="str">
        <v/>
      </c>
      <c r="E134" s="145" t="str">
        <v/>
      </c>
      <c r="F134" s="145" t="str">
        <v/>
      </c>
      <c r="G134" s="145" t="str">
        <v/>
      </c>
      <c r="H134" s="145" t="str">
        <v/>
      </c>
      <c r="I134" s="145" t="str">
        <v/>
      </c>
      <c r="J134" s="145" t="str">
        <v/>
      </c>
      <c r="K134" s="145" t="str">
        <v/>
      </c>
      <c r="L134" s="145" t="str">
        <v/>
      </c>
      <c r="M134" s="145" t="str">
        <v/>
      </c>
      <c r="N134" s="145" t="str">
        <v/>
      </c>
      <c r="O134" s="145" t="str">
        <v/>
      </c>
      <c r="P134" s="145" t="str">
        <v/>
      </c>
    </row>
    <row r="135" spans="1:16" x14ac:dyDescent="0.2">
      <c r="A135" s="58" t="str">
        <v/>
      </c>
      <c r="B135" s="123" t="str">
        <v/>
      </c>
      <c r="C135" s="145" t="str">
        <v/>
      </c>
      <c r="D135" s="145" t="str">
        <v/>
      </c>
      <c r="E135" s="145" t="str">
        <v/>
      </c>
      <c r="F135" s="145" t="str">
        <v/>
      </c>
      <c r="G135" s="145" t="str">
        <v/>
      </c>
      <c r="H135" s="145" t="str">
        <v/>
      </c>
      <c r="I135" s="145" t="str">
        <v/>
      </c>
      <c r="J135" s="145" t="str">
        <v/>
      </c>
      <c r="K135" s="145" t="str">
        <v/>
      </c>
      <c r="L135" s="145" t="str">
        <v/>
      </c>
      <c r="M135" s="145" t="str">
        <v/>
      </c>
      <c r="N135" s="145" t="str">
        <v/>
      </c>
      <c r="O135" s="145" t="str">
        <v/>
      </c>
      <c r="P135" s="145" t="str">
        <v/>
      </c>
    </row>
    <row r="136" spans="1:16" x14ac:dyDescent="0.2">
      <c r="A136" s="58" t="str">
        <v/>
      </c>
      <c r="B136" s="123" t="str">
        <v/>
      </c>
      <c r="C136" s="145" t="str">
        <v/>
      </c>
      <c r="D136" s="145" t="str">
        <v/>
      </c>
      <c r="E136" s="145" t="str">
        <v/>
      </c>
      <c r="F136" s="145" t="str">
        <v/>
      </c>
      <c r="G136" s="145" t="str">
        <v/>
      </c>
      <c r="H136" s="145" t="str">
        <v/>
      </c>
      <c r="I136" s="145" t="str">
        <v/>
      </c>
      <c r="J136" s="145" t="str">
        <v/>
      </c>
      <c r="K136" s="145" t="str">
        <v/>
      </c>
      <c r="L136" s="145" t="str">
        <v/>
      </c>
      <c r="M136" s="145" t="str">
        <v/>
      </c>
      <c r="N136" s="145" t="str">
        <v/>
      </c>
      <c r="O136" s="145" t="str">
        <v/>
      </c>
      <c r="P136" s="145" t="str">
        <v/>
      </c>
    </row>
    <row r="137" spans="1:16" x14ac:dyDescent="0.2">
      <c r="A137" s="58" t="str">
        <v/>
      </c>
      <c r="B137" s="123" t="str">
        <v/>
      </c>
      <c r="C137" s="145" t="str">
        <v/>
      </c>
      <c r="D137" s="145" t="str">
        <v/>
      </c>
      <c r="E137" s="145" t="str">
        <v/>
      </c>
      <c r="F137" s="145" t="str">
        <v/>
      </c>
      <c r="G137" s="145" t="str">
        <v/>
      </c>
      <c r="H137" s="145" t="str">
        <v/>
      </c>
      <c r="I137" s="145" t="str">
        <v/>
      </c>
      <c r="J137" s="145" t="str">
        <v/>
      </c>
      <c r="K137" s="145" t="str">
        <v/>
      </c>
      <c r="L137" s="145" t="str">
        <v/>
      </c>
      <c r="M137" s="145" t="str">
        <v/>
      </c>
      <c r="N137" s="145" t="str">
        <v/>
      </c>
      <c r="O137" s="145" t="str">
        <v/>
      </c>
      <c r="P137" s="145" t="str">
        <v/>
      </c>
    </row>
    <row r="138" spans="1:16" x14ac:dyDescent="0.2">
      <c r="A138" s="58" t="str">
        <v/>
      </c>
      <c r="B138" s="123" t="str">
        <v/>
      </c>
      <c r="C138" s="145" t="str">
        <v/>
      </c>
      <c r="D138" s="145" t="str">
        <v/>
      </c>
      <c r="E138" s="145" t="str">
        <v/>
      </c>
      <c r="F138" s="145" t="str">
        <v/>
      </c>
      <c r="G138" s="145" t="str">
        <v/>
      </c>
      <c r="H138" s="145" t="str">
        <v/>
      </c>
      <c r="I138" s="145" t="str">
        <v/>
      </c>
      <c r="J138" s="145" t="str">
        <v/>
      </c>
      <c r="K138" s="145" t="str">
        <v/>
      </c>
      <c r="L138" s="145" t="str">
        <v/>
      </c>
      <c r="M138" s="145" t="str">
        <v/>
      </c>
      <c r="N138" s="145" t="str">
        <v/>
      </c>
      <c r="O138" s="145" t="str">
        <v/>
      </c>
      <c r="P138" s="145" t="str">
        <v/>
      </c>
    </row>
    <row r="139" spans="1:16" x14ac:dyDescent="0.2">
      <c r="A139" s="58" t="str">
        <v/>
      </c>
      <c r="B139" s="123" t="str">
        <v/>
      </c>
      <c r="C139" s="145" t="str">
        <v/>
      </c>
      <c r="D139" s="145" t="str">
        <v/>
      </c>
      <c r="E139" s="145" t="str">
        <v/>
      </c>
      <c r="F139" s="145" t="str">
        <v/>
      </c>
      <c r="G139" s="145" t="str">
        <v/>
      </c>
      <c r="H139" s="145" t="str">
        <v/>
      </c>
      <c r="I139" s="145" t="str">
        <v/>
      </c>
      <c r="J139" s="145" t="str">
        <v/>
      </c>
      <c r="K139" s="145" t="str">
        <v/>
      </c>
      <c r="L139" s="145" t="str">
        <v/>
      </c>
      <c r="M139" s="145" t="str">
        <v/>
      </c>
      <c r="N139" s="145" t="str">
        <v/>
      </c>
      <c r="O139" s="145" t="str">
        <v/>
      </c>
      <c r="P139" s="145" t="str">
        <v/>
      </c>
    </row>
    <row r="140" spans="1:16" x14ac:dyDescent="0.2">
      <c r="A140" s="58" t="str">
        <v/>
      </c>
      <c r="B140" s="123" t="str">
        <v/>
      </c>
      <c r="C140" s="145" t="str">
        <v/>
      </c>
      <c r="D140" s="145" t="str">
        <v/>
      </c>
      <c r="E140" s="145" t="str">
        <v/>
      </c>
      <c r="F140" s="145" t="str">
        <v/>
      </c>
      <c r="G140" s="145" t="str">
        <v/>
      </c>
      <c r="H140" s="145" t="str">
        <v/>
      </c>
      <c r="I140" s="145" t="str">
        <v/>
      </c>
      <c r="J140" s="145" t="str">
        <v/>
      </c>
      <c r="K140" s="145" t="str">
        <v/>
      </c>
      <c r="L140" s="145" t="str">
        <v/>
      </c>
      <c r="M140" s="145" t="str">
        <v/>
      </c>
      <c r="N140" s="145" t="str">
        <v/>
      </c>
      <c r="O140" s="145" t="str">
        <v/>
      </c>
      <c r="P140" s="145" t="str">
        <v/>
      </c>
    </row>
    <row r="141" spans="1:16" x14ac:dyDescent="0.2">
      <c r="A141" s="58" t="str">
        <v/>
      </c>
      <c r="B141" s="123" t="str">
        <v/>
      </c>
      <c r="C141" s="145" t="str">
        <v/>
      </c>
      <c r="D141" s="145" t="str">
        <v/>
      </c>
      <c r="E141" s="145" t="str">
        <v/>
      </c>
      <c r="F141" s="145" t="str">
        <v/>
      </c>
      <c r="G141" s="145" t="str">
        <v/>
      </c>
      <c r="H141" s="145" t="str">
        <v/>
      </c>
      <c r="I141" s="145" t="str">
        <v/>
      </c>
      <c r="J141" s="145" t="str">
        <v/>
      </c>
      <c r="K141" s="145" t="str">
        <v/>
      </c>
      <c r="L141" s="145" t="str">
        <v/>
      </c>
      <c r="M141" s="145" t="str">
        <v/>
      </c>
      <c r="N141" s="145" t="str">
        <v/>
      </c>
      <c r="O141" s="145" t="str">
        <v/>
      </c>
      <c r="P141" s="145" t="str">
        <v/>
      </c>
    </row>
    <row r="142" spans="1:16" x14ac:dyDescent="0.2">
      <c r="A142" s="58" t="str">
        <v/>
      </c>
      <c r="B142" s="123" t="str">
        <v/>
      </c>
      <c r="C142" s="145" t="str">
        <v/>
      </c>
      <c r="D142" s="145" t="str">
        <v/>
      </c>
      <c r="E142" s="145" t="str">
        <v/>
      </c>
      <c r="F142" s="145" t="str">
        <v/>
      </c>
      <c r="G142" s="145" t="str">
        <v/>
      </c>
      <c r="H142" s="145" t="str">
        <v/>
      </c>
      <c r="I142" s="145" t="str">
        <v/>
      </c>
      <c r="J142" s="145" t="str">
        <v/>
      </c>
      <c r="K142" s="145" t="str">
        <v/>
      </c>
      <c r="L142" s="145" t="str">
        <v/>
      </c>
      <c r="M142" s="145" t="str">
        <v/>
      </c>
      <c r="N142" s="145" t="str">
        <v/>
      </c>
      <c r="O142" s="145" t="str">
        <v/>
      </c>
      <c r="P142" s="145" t="str">
        <v/>
      </c>
    </row>
    <row r="143" spans="1:16" x14ac:dyDescent="0.2">
      <c r="A143" s="58" t="str">
        <v/>
      </c>
      <c r="B143" s="123" t="str">
        <v/>
      </c>
      <c r="C143" s="145" t="str">
        <v/>
      </c>
      <c r="D143" s="145" t="str">
        <v/>
      </c>
      <c r="E143" s="145" t="str">
        <v/>
      </c>
      <c r="F143" s="145" t="str">
        <v/>
      </c>
      <c r="G143" s="145" t="str">
        <v/>
      </c>
      <c r="H143" s="145" t="str">
        <v/>
      </c>
      <c r="I143" s="145" t="str">
        <v/>
      </c>
      <c r="J143" s="145" t="str">
        <v/>
      </c>
      <c r="K143" s="145" t="str">
        <v/>
      </c>
      <c r="L143" s="145" t="str">
        <v/>
      </c>
      <c r="M143" s="145" t="str">
        <v/>
      </c>
      <c r="N143" s="145" t="str">
        <v/>
      </c>
      <c r="O143" s="145" t="str">
        <v/>
      </c>
      <c r="P143" s="145" t="str">
        <v/>
      </c>
    </row>
    <row r="144" spans="1:16" x14ac:dyDescent="0.2">
      <c r="A144" s="58" t="str">
        <v/>
      </c>
      <c r="B144" s="123" t="str">
        <v/>
      </c>
      <c r="C144" s="145" t="str">
        <v/>
      </c>
      <c r="D144" s="145" t="str">
        <v/>
      </c>
      <c r="E144" s="145" t="str">
        <v/>
      </c>
      <c r="F144" s="145" t="str">
        <v/>
      </c>
      <c r="G144" s="145" t="str">
        <v/>
      </c>
      <c r="H144" s="145" t="str">
        <v/>
      </c>
      <c r="I144" s="145" t="str">
        <v/>
      </c>
      <c r="J144" s="145" t="str">
        <v/>
      </c>
      <c r="K144" s="145" t="str">
        <v/>
      </c>
      <c r="L144" s="145" t="str">
        <v/>
      </c>
      <c r="M144" s="145" t="str">
        <v/>
      </c>
      <c r="N144" s="145" t="str">
        <v/>
      </c>
      <c r="O144" s="145" t="str">
        <v/>
      </c>
      <c r="P144" s="145" t="str">
        <v/>
      </c>
    </row>
    <row r="145" spans="1:16" x14ac:dyDescent="0.2">
      <c r="A145" s="58" t="str">
        <v/>
      </c>
      <c r="B145" s="123" t="str">
        <v/>
      </c>
      <c r="C145" s="145" t="str">
        <v/>
      </c>
      <c r="D145" s="145" t="str">
        <v/>
      </c>
      <c r="E145" s="145" t="str">
        <v/>
      </c>
      <c r="F145" s="145" t="str">
        <v/>
      </c>
      <c r="G145" s="145" t="str">
        <v/>
      </c>
      <c r="H145" s="145" t="str">
        <v/>
      </c>
      <c r="I145" s="145" t="str">
        <v/>
      </c>
      <c r="J145" s="145" t="str">
        <v/>
      </c>
      <c r="K145" s="145" t="str">
        <v/>
      </c>
      <c r="L145" s="145" t="str">
        <v/>
      </c>
      <c r="M145" s="145" t="str">
        <v/>
      </c>
      <c r="N145" s="145" t="str">
        <v/>
      </c>
      <c r="O145" s="145" t="str">
        <v/>
      </c>
      <c r="P145" s="145" t="str">
        <v/>
      </c>
    </row>
    <row r="146" spans="1:16" x14ac:dyDescent="0.2">
      <c r="A146" s="58" t="str">
        <v/>
      </c>
      <c r="B146" s="123" t="str">
        <v/>
      </c>
      <c r="C146" s="145" t="str">
        <v/>
      </c>
      <c r="D146" s="145" t="str">
        <v/>
      </c>
      <c r="E146" s="145" t="str">
        <v/>
      </c>
      <c r="F146" s="145" t="str">
        <v/>
      </c>
      <c r="G146" s="145" t="str">
        <v/>
      </c>
      <c r="H146" s="145" t="str">
        <v/>
      </c>
      <c r="I146" s="145" t="str">
        <v/>
      </c>
      <c r="J146" s="145" t="str">
        <v/>
      </c>
      <c r="K146" s="145" t="str">
        <v/>
      </c>
      <c r="L146" s="145" t="str">
        <v/>
      </c>
      <c r="M146" s="145" t="str">
        <v/>
      </c>
      <c r="N146" s="145" t="str">
        <v/>
      </c>
      <c r="O146" s="145" t="str">
        <v/>
      </c>
      <c r="P146" s="145" t="str">
        <v/>
      </c>
    </row>
    <row r="147" spans="1:16" x14ac:dyDescent="0.2">
      <c r="A147" s="58" t="str">
        <v/>
      </c>
      <c r="B147" s="123" t="str">
        <v/>
      </c>
      <c r="C147" s="145" t="str">
        <v/>
      </c>
      <c r="D147" s="145" t="str">
        <v/>
      </c>
      <c r="E147" s="145" t="str">
        <v/>
      </c>
      <c r="F147" s="145" t="str">
        <v/>
      </c>
      <c r="G147" s="145" t="str">
        <v/>
      </c>
      <c r="H147" s="145" t="str">
        <v/>
      </c>
      <c r="I147" s="145" t="str">
        <v/>
      </c>
      <c r="J147" s="145" t="str">
        <v/>
      </c>
      <c r="K147" s="145" t="str">
        <v/>
      </c>
      <c r="L147" s="145" t="str">
        <v/>
      </c>
      <c r="M147" s="145" t="str">
        <v/>
      </c>
      <c r="N147" s="145" t="str">
        <v/>
      </c>
      <c r="O147" s="145" t="str">
        <v/>
      </c>
      <c r="P147" s="145" t="str">
        <v/>
      </c>
    </row>
    <row r="148" spans="1:16" x14ac:dyDescent="0.2">
      <c r="A148" s="58" t="str">
        <v/>
      </c>
      <c r="B148" s="123" t="str">
        <v/>
      </c>
      <c r="C148" s="145" t="str">
        <v/>
      </c>
      <c r="D148" s="145" t="str">
        <v/>
      </c>
      <c r="E148" s="145" t="str">
        <v/>
      </c>
      <c r="F148" s="145" t="str">
        <v/>
      </c>
      <c r="G148" s="145" t="str">
        <v/>
      </c>
      <c r="H148" s="145" t="str">
        <v/>
      </c>
      <c r="I148" s="145" t="str">
        <v/>
      </c>
      <c r="J148" s="145" t="str">
        <v/>
      </c>
      <c r="K148" s="145" t="str">
        <v/>
      </c>
      <c r="L148" s="145" t="str">
        <v/>
      </c>
      <c r="M148" s="145" t="str">
        <v/>
      </c>
      <c r="N148" s="145" t="str">
        <v/>
      </c>
      <c r="O148" s="145" t="str">
        <v/>
      </c>
      <c r="P148" s="145" t="str">
        <v/>
      </c>
    </row>
    <row r="149" spans="1:16" x14ac:dyDescent="0.2">
      <c r="A149" s="58" t="str">
        <v/>
      </c>
      <c r="B149" s="123" t="str">
        <v/>
      </c>
      <c r="C149" s="145" t="str">
        <v/>
      </c>
      <c r="D149" s="145" t="str">
        <v/>
      </c>
      <c r="E149" s="145" t="str">
        <v/>
      </c>
      <c r="F149" s="145" t="str">
        <v/>
      </c>
      <c r="G149" s="145" t="str">
        <v/>
      </c>
      <c r="H149" s="145" t="str">
        <v/>
      </c>
      <c r="I149" s="145" t="str">
        <v/>
      </c>
      <c r="J149" s="145" t="str">
        <v/>
      </c>
      <c r="K149" s="145" t="str">
        <v/>
      </c>
      <c r="L149" s="145" t="str">
        <v/>
      </c>
      <c r="M149" s="145" t="str">
        <v/>
      </c>
      <c r="N149" s="145" t="str">
        <v/>
      </c>
      <c r="O149" s="145" t="str">
        <v/>
      </c>
      <c r="P149" s="145" t="str">
        <v/>
      </c>
    </row>
    <row r="150" spans="1:16" x14ac:dyDescent="0.2">
      <c r="A150" s="58" t="str">
        <v/>
      </c>
      <c r="B150" s="123" t="str">
        <v/>
      </c>
      <c r="C150" s="145" t="str">
        <v/>
      </c>
      <c r="D150" s="145" t="str">
        <v/>
      </c>
      <c r="E150" s="145" t="str">
        <v/>
      </c>
      <c r="F150" s="145" t="str">
        <v/>
      </c>
      <c r="G150" s="145" t="str">
        <v/>
      </c>
      <c r="H150" s="145" t="str">
        <v/>
      </c>
      <c r="I150" s="145" t="str">
        <v/>
      </c>
      <c r="J150" s="145" t="str">
        <v/>
      </c>
      <c r="K150" s="145" t="str">
        <v/>
      </c>
      <c r="L150" s="145" t="str">
        <v/>
      </c>
      <c r="M150" s="145" t="str">
        <v/>
      </c>
      <c r="N150" s="145" t="str">
        <v/>
      </c>
      <c r="O150" s="145" t="str">
        <v/>
      </c>
      <c r="P150" s="145" t="str">
        <v/>
      </c>
    </row>
    <row r="151" spans="1:16" x14ac:dyDescent="0.2">
      <c r="A151" s="58" t="str">
        <v/>
      </c>
      <c r="B151" s="123" t="str">
        <v/>
      </c>
      <c r="C151" s="145" t="str">
        <v/>
      </c>
      <c r="D151" s="145" t="str">
        <v/>
      </c>
      <c r="E151" s="145" t="str">
        <v/>
      </c>
      <c r="F151" s="145" t="str">
        <v/>
      </c>
      <c r="G151" s="145" t="str">
        <v/>
      </c>
      <c r="H151" s="145" t="str">
        <v/>
      </c>
      <c r="I151" s="145" t="str">
        <v/>
      </c>
      <c r="J151" s="145" t="str">
        <v/>
      </c>
      <c r="K151" s="145" t="str">
        <v/>
      </c>
      <c r="L151" s="145" t="str">
        <v/>
      </c>
      <c r="M151" s="145" t="str">
        <v/>
      </c>
      <c r="N151" s="145" t="str">
        <v/>
      </c>
      <c r="O151" s="145" t="str">
        <v/>
      </c>
      <c r="P151" s="145" t="str">
        <v/>
      </c>
    </row>
    <row r="152" spans="1:16" x14ac:dyDescent="0.2">
      <c r="A152" s="58" t="str">
        <v/>
      </c>
      <c r="B152" s="123" t="str">
        <v/>
      </c>
      <c r="C152" s="145" t="str">
        <v/>
      </c>
      <c r="D152" s="145" t="str">
        <v/>
      </c>
      <c r="E152" s="145" t="str">
        <v/>
      </c>
      <c r="F152" s="145" t="str">
        <v/>
      </c>
      <c r="G152" s="145" t="str">
        <v/>
      </c>
      <c r="H152" s="145" t="str">
        <v/>
      </c>
      <c r="I152" s="145" t="str">
        <v/>
      </c>
      <c r="J152" s="145" t="str">
        <v/>
      </c>
      <c r="K152" s="145" t="str">
        <v/>
      </c>
      <c r="L152" s="145" t="str">
        <v/>
      </c>
      <c r="M152" s="145" t="str">
        <v/>
      </c>
      <c r="N152" s="145" t="str">
        <v/>
      </c>
      <c r="O152" s="145" t="str">
        <v/>
      </c>
      <c r="P152" s="145" t="str">
        <v/>
      </c>
    </row>
    <row r="153" spans="1:16" x14ac:dyDescent="0.2">
      <c r="A153" s="58" t="str">
        <v/>
      </c>
      <c r="B153" s="123" t="str">
        <v/>
      </c>
      <c r="C153" s="145" t="str">
        <v/>
      </c>
      <c r="D153" s="145" t="str">
        <v/>
      </c>
      <c r="E153" s="145" t="str">
        <v/>
      </c>
      <c r="F153" s="145" t="str">
        <v/>
      </c>
      <c r="G153" s="145" t="str">
        <v/>
      </c>
      <c r="H153" s="145" t="str">
        <v/>
      </c>
      <c r="I153" s="145" t="str">
        <v/>
      </c>
      <c r="J153" s="145" t="str">
        <v/>
      </c>
      <c r="K153" s="145" t="str">
        <v/>
      </c>
      <c r="L153" s="145" t="str">
        <v/>
      </c>
      <c r="M153" s="145" t="str">
        <v/>
      </c>
      <c r="N153" s="145" t="str">
        <v/>
      </c>
      <c r="O153" s="145" t="str">
        <v/>
      </c>
      <c r="P153" s="145" t="str">
        <v/>
      </c>
    </row>
    <row r="154" spans="1:16" x14ac:dyDescent="0.2">
      <c r="A154" s="58" t="str">
        <v/>
      </c>
      <c r="B154" s="123" t="str">
        <v/>
      </c>
      <c r="C154" s="145" t="str">
        <v/>
      </c>
      <c r="D154" s="145" t="str">
        <v/>
      </c>
      <c r="E154" s="145" t="str">
        <v/>
      </c>
      <c r="F154" s="145" t="str">
        <v/>
      </c>
      <c r="G154" s="145" t="str">
        <v/>
      </c>
      <c r="H154" s="145" t="str">
        <v/>
      </c>
      <c r="I154" s="145" t="str">
        <v/>
      </c>
      <c r="J154" s="145" t="str">
        <v/>
      </c>
      <c r="K154" s="145" t="str">
        <v/>
      </c>
      <c r="L154" s="145" t="str">
        <v/>
      </c>
      <c r="M154" s="145" t="str">
        <v/>
      </c>
      <c r="N154" s="145" t="str">
        <v/>
      </c>
      <c r="O154" s="145" t="str">
        <v/>
      </c>
      <c r="P154" s="145" t="str">
        <v/>
      </c>
    </row>
    <row r="155" spans="1:16" x14ac:dyDescent="0.2">
      <c r="A155" s="58" t="str">
        <v/>
      </c>
      <c r="B155" s="123" t="str">
        <v/>
      </c>
      <c r="C155" s="145" t="str">
        <v/>
      </c>
      <c r="D155" s="145" t="str">
        <v/>
      </c>
      <c r="E155" s="145" t="str">
        <v/>
      </c>
      <c r="F155" s="145" t="str">
        <v/>
      </c>
      <c r="G155" s="145" t="str">
        <v/>
      </c>
      <c r="H155" s="145" t="str">
        <v/>
      </c>
      <c r="I155" s="145" t="str">
        <v/>
      </c>
      <c r="J155" s="145" t="str">
        <v/>
      </c>
      <c r="K155" s="145" t="str">
        <v/>
      </c>
      <c r="L155" s="145" t="str">
        <v/>
      </c>
      <c r="M155" s="145" t="str">
        <v/>
      </c>
      <c r="N155" s="145" t="str">
        <v/>
      </c>
      <c r="O155" s="145" t="str">
        <v/>
      </c>
      <c r="P155" s="145" t="str">
        <v/>
      </c>
    </row>
    <row r="156" spans="1:16" x14ac:dyDescent="0.2">
      <c r="A156" s="58" t="str">
        <v/>
      </c>
      <c r="B156" s="123" t="str">
        <v/>
      </c>
      <c r="C156" s="145" t="str">
        <v/>
      </c>
      <c r="D156" s="145" t="str">
        <v/>
      </c>
      <c r="E156" s="145" t="str">
        <v/>
      </c>
      <c r="F156" s="145" t="str">
        <v/>
      </c>
      <c r="G156" s="145" t="str">
        <v/>
      </c>
      <c r="H156" s="145" t="str">
        <v/>
      </c>
      <c r="I156" s="145" t="str">
        <v/>
      </c>
      <c r="J156" s="145" t="str">
        <v/>
      </c>
      <c r="K156" s="145" t="str">
        <v/>
      </c>
      <c r="L156" s="145" t="str">
        <v/>
      </c>
      <c r="M156" s="145" t="str">
        <v/>
      </c>
      <c r="N156" s="145" t="str">
        <v/>
      </c>
      <c r="O156" s="145" t="str">
        <v/>
      </c>
      <c r="P156" s="145" t="str">
        <v/>
      </c>
    </row>
    <row r="157" spans="1:16" x14ac:dyDescent="0.2">
      <c r="A157" s="58" t="str">
        <v/>
      </c>
      <c r="B157" s="123" t="str">
        <v/>
      </c>
      <c r="C157" s="145" t="str">
        <v/>
      </c>
      <c r="D157" s="145" t="str">
        <v/>
      </c>
      <c r="E157" s="145" t="str">
        <v/>
      </c>
      <c r="F157" s="145" t="str">
        <v/>
      </c>
      <c r="G157" s="145" t="str">
        <v/>
      </c>
      <c r="H157" s="145" t="str">
        <v/>
      </c>
      <c r="I157" s="145" t="str">
        <v/>
      </c>
      <c r="J157" s="145" t="str">
        <v/>
      </c>
      <c r="K157" s="145" t="str">
        <v/>
      </c>
      <c r="L157" s="145" t="str">
        <v/>
      </c>
      <c r="M157" s="145" t="str">
        <v/>
      </c>
      <c r="N157" s="145" t="str">
        <v/>
      </c>
      <c r="O157" s="145" t="str">
        <v/>
      </c>
      <c r="P157" s="145" t="str">
        <v/>
      </c>
    </row>
    <row r="158" spans="1:16" x14ac:dyDescent="0.2">
      <c r="A158" s="58" t="str">
        <v/>
      </c>
      <c r="B158" s="123" t="str">
        <v/>
      </c>
      <c r="C158" s="145" t="str">
        <v/>
      </c>
      <c r="D158" s="145" t="str">
        <v/>
      </c>
      <c r="E158" s="145" t="str">
        <v/>
      </c>
      <c r="F158" s="145" t="str">
        <v/>
      </c>
      <c r="G158" s="145" t="str">
        <v/>
      </c>
      <c r="H158" s="145" t="str">
        <v/>
      </c>
      <c r="I158" s="145" t="str">
        <v/>
      </c>
      <c r="J158" s="145" t="str">
        <v/>
      </c>
      <c r="K158" s="145" t="str">
        <v/>
      </c>
      <c r="L158" s="145" t="str">
        <v/>
      </c>
      <c r="M158" s="145" t="str">
        <v/>
      </c>
      <c r="N158" s="145" t="str">
        <v/>
      </c>
      <c r="O158" s="145" t="str">
        <v/>
      </c>
      <c r="P158" s="145" t="str">
        <v/>
      </c>
    </row>
    <row r="159" spans="1:16" x14ac:dyDescent="0.2">
      <c r="A159" s="58" t="str">
        <v/>
      </c>
      <c r="B159" s="123" t="str">
        <v/>
      </c>
      <c r="C159" s="145" t="str">
        <v/>
      </c>
      <c r="D159" s="145" t="str">
        <v/>
      </c>
      <c r="E159" s="145" t="str">
        <v/>
      </c>
      <c r="F159" s="145" t="str">
        <v/>
      </c>
      <c r="G159" s="145" t="str">
        <v/>
      </c>
      <c r="H159" s="145" t="str">
        <v/>
      </c>
      <c r="I159" s="145" t="str">
        <v/>
      </c>
      <c r="J159" s="145" t="str">
        <v/>
      </c>
      <c r="K159" s="145" t="str">
        <v/>
      </c>
      <c r="L159" s="145" t="str">
        <v/>
      </c>
      <c r="M159" s="145" t="str">
        <v/>
      </c>
      <c r="N159" s="145" t="str">
        <v/>
      </c>
      <c r="O159" s="145" t="str">
        <v/>
      </c>
      <c r="P159" s="145" t="str">
        <v/>
      </c>
    </row>
    <row r="160" spans="1:16" x14ac:dyDescent="0.2">
      <c r="A160" s="58" t="str">
        <v/>
      </c>
      <c r="B160" s="123" t="str">
        <v/>
      </c>
      <c r="C160" s="145" t="str">
        <v/>
      </c>
      <c r="D160" s="145" t="str">
        <v/>
      </c>
      <c r="E160" s="145" t="str">
        <v/>
      </c>
      <c r="F160" s="145" t="str">
        <v/>
      </c>
      <c r="G160" s="145" t="str">
        <v/>
      </c>
      <c r="H160" s="145" t="str">
        <v/>
      </c>
      <c r="I160" s="145" t="str">
        <v/>
      </c>
      <c r="J160" s="145" t="str">
        <v/>
      </c>
      <c r="K160" s="145" t="str">
        <v/>
      </c>
      <c r="L160" s="145" t="str">
        <v/>
      </c>
      <c r="M160" s="145" t="str">
        <v/>
      </c>
      <c r="N160" s="145" t="str">
        <v/>
      </c>
      <c r="O160" s="145" t="str">
        <v/>
      </c>
      <c r="P160" s="145" t="str">
        <v/>
      </c>
    </row>
    <row r="161" spans="1:16" x14ac:dyDescent="0.2">
      <c r="A161" s="58" t="str">
        <v/>
      </c>
      <c r="B161" s="123" t="str">
        <v/>
      </c>
      <c r="C161" s="145" t="str">
        <v/>
      </c>
      <c r="D161" s="145" t="str">
        <v/>
      </c>
      <c r="E161" s="145" t="str">
        <v/>
      </c>
      <c r="F161" s="145" t="str">
        <v/>
      </c>
      <c r="G161" s="145" t="str">
        <v/>
      </c>
      <c r="H161" s="145" t="str">
        <v/>
      </c>
      <c r="I161" s="145" t="str">
        <v/>
      </c>
      <c r="J161" s="145" t="str">
        <v/>
      </c>
      <c r="K161" s="145" t="str">
        <v/>
      </c>
      <c r="L161" s="145" t="str">
        <v/>
      </c>
      <c r="M161" s="145" t="str">
        <v/>
      </c>
      <c r="N161" s="145" t="str">
        <v/>
      </c>
      <c r="O161" s="145" t="str">
        <v/>
      </c>
      <c r="P161" s="145" t="str">
        <v/>
      </c>
    </row>
    <row r="162" spans="1:16" x14ac:dyDescent="0.2">
      <c r="A162" s="58" t="str">
        <v/>
      </c>
      <c r="B162" s="123" t="str">
        <v/>
      </c>
      <c r="C162" s="145" t="str">
        <v/>
      </c>
      <c r="D162" s="145" t="str">
        <v/>
      </c>
      <c r="E162" s="145" t="str">
        <v/>
      </c>
      <c r="F162" s="145" t="str">
        <v/>
      </c>
      <c r="G162" s="145" t="str">
        <v/>
      </c>
      <c r="H162" s="145" t="str">
        <v/>
      </c>
      <c r="I162" s="145" t="str">
        <v/>
      </c>
      <c r="J162" s="145" t="str">
        <v/>
      </c>
      <c r="K162" s="145" t="str">
        <v/>
      </c>
      <c r="L162" s="145" t="str">
        <v/>
      </c>
      <c r="M162" s="145" t="str">
        <v/>
      </c>
      <c r="N162" s="145" t="str">
        <v/>
      </c>
      <c r="O162" s="145" t="str">
        <v/>
      </c>
      <c r="P162" s="145" t="str">
        <v/>
      </c>
    </row>
    <row r="163" spans="1:16" x14ac:dyDescent="0.2">
      <c r="A163" s="58" t="str">
        <v/>
      </c>
      <c r="B163" s="123" t="str">
        <v/>
      </c>
      <c r="C163" s="145" t="str">
        <v/>
      </c>
      <c r="D163" s="145" t="str">
        <v/>
      </c>
      <c r="E163" s="145" t="str">
        <v/>
      </c>
      <c r="F163" s="145" t="str">
        <v/>
      </c>
      <c r="G163" s="145" t="str">
        <v/>
      </c>
      <c r="H163" s="145" t="str">
        <v/>
      </c>
      <c r="I163" s="145" t="str">
        <v/>
      </c>
      <c r="J163" s="145" t="str">
        <v/>
      </c>
      <c r="K163" s="145" t="str">
        <v/>
      </c>
      <c r="L163" s="145" t="str">
        <v/>
      </c>
      <c r="M163" s="145" t="str">
        <v/>
      </c>
      <c r="N163" s="145" t="str">
        <v/>
      </c>
      <c r="O163" s="145" t="str">
        <v/>
      </c>
      <c r="P163" s="145" t="str">
        <v/>
      </c>
    </row>
    <row r="164" spans="1:16" x14ac:dyDescent="0.2">
      <c r="A164" s="58" t="str">
        <v/>
      </c>
      <c r="B164" s="123" t="str">
        <v/>
      </c>
      <c r="C164" s="145" t="str">
        <v/>
      </c>
      <c r="D164" s="145" t="str">
        <v/>
      </c>
      <c r="E164" s="145" t="str">
        <v/>
      </c>
      <c r="F164" s="145" t="str">
        <v/>
      </c>
      <c r="G164" s="145" t="str">
        <v/>
      </c>
      <c r="H164" s="145" t="str">
        <v/>
      </c>
      <c r="I164" s="145" t="str">
        <v/>
      </c>
      <c r="J164" s="145" t="str">
        <v/>
      </c>
      <c r="K164" s="145" t="str">
        <v/>
      </c>
      <c r="L164" s="145" t="str">
        <v/>
      </c>
      <c r="M164" s="145" t="str">
        <v/>
      </c>
      <c r="N164" s="145" t="str">
        <v/>
      </c>
      <c r="O164" s="145" t="str">
        <v/>
      </c>
      <c r="P164" s="145" t="str">
        <v/>
      </c>
    </row>
    <row r="165" spans="1:16" x14ac:dyDescent="0.2">
      <c r="A165" s="58" t="str">
        <v/>
      </c>
      <c r="B165" s="123" t="str">
        <v/>
      </c>
      <c r="C165" s="145" t="str">
        <v/>
      </c>
      <c r="D165" s="145" t="str">
        <v/>
      </c>
      <c r="E165" s="145" t="str">
        <v/>
      </c>
      <c r="F165" s="145" t="str">
        <v/>
      </c>
      <c r="G165" s="145" t="str">
        <v/>
      </c>
      <c r="H165" s="145" t="str">
        <v/>
      </c>
      <c r="I165" s="145" t="str">
        <v/>
      </c>
      <c r="J165" s="145" t="str">
        <v/>
      </c>
      <c r="K165" s="145" t="str">
        <v/>
      </c>
      <c r="L165" s="145" t="str">
        <v/>
      </c>
      <c r="M165" s="145" t="str">
        <v/>
      </c>
      <c r="N165" s="145" t="str">
        <v/>
      </c>
      <c r="O165" s="145" t="str">
        <v/>
      </c>
      <c r="P165" s="145" t="str">
        <v/>
      </c>
    </row>
    <row r="166" spans="1:16" x14ac:dyDescent="0.2">
      <c r="A166" s="58" t="str">
        <v/>
      </c>
      <c r="B166" s="123" t="str">
        <v/>
      </c>
      <c r="C166" s="145" t="str">
        <v/>
      </c>
      <c r="D166" s="145" t="str">
        <v/>
      </c>
      <c r="E166" s="145" t="str">
        <v/>
      </c>
      <c r="F166" s="145" t="str">
        <v/>
      </c>
      <c r="G166" s="145" t="str">
        <v/>
      </c>
      <c r="H166" s="145" t="str">
        <v/>
      </c>
      <c r="I166" s="145" t="str">
        <v/>
      </c>
      <c r="J166" s="145" t="str">
        <v/>
      </c>
      <c r="K166" s="145" t="str">
        <v/>
      </c>
      <c r="L166" s="145" t="str">
        <v/>
      </c>
      <c r="M166" s="145" t="str">
        <v/>
      </c>
      <c r="N166" s="145" t="str">
        <v/>
      </c>
      <c r="O166" s="145" t="str">
        <v/>
      </c>
      <c r="P166" s="145" t="str">
        <v/>
      </c>
    </row>
    <row r="167" spans="1:16" x14ac:dyDescent="0.2">
      <c r="A167" s="58" t="str">
        <v/>
      </c>
      <c r="B167" s="123" t="str">
        <v/>
      </c>
      <c r="C167" s="145" t="str">
        <v/>
      </c>
      <c r="D167" s="145" t="str">
        <v/>
      </c>
      <c r="E167" s="145" t="str">
        <v/>
      </c>
      <c r="F167" s="145" t="str">
        <v/>
      </c>
      <c r="G167" s="145" t="str">
        <v/>
      </c>
      <c r="H167" s="145" t="str">
        <v/>
      </c>
      <c r="I167" s="145" t="str">
        <v/>
      </c>
      <c r="J167" s="145" t="str">
        <v/>
      </c>
      <c r="K167" s="145" t="str">
        <v/>
      </c>
      <c r="L167" s="145" t="str">
        <v/>
      </c>
      <c r="M167" s="145" t="str">
        <v/>
      </c>
      <c r="N167" s="145" t="str">
        <v/>
      </c>
      <c r="O167" s="145" t="str">
        <v/>
      </c>
      <c r="P167" s="145" t="str">
        <v/>
      </c>
    </row>
    <row r="168" spans="1:16" x14ac:dyDescent="0.2">
      <c r="A168" s="58" t="str">
        <v/>
      </c>
      <c r="B168" s="123" t="str">
        <v/>
      </c>
      <c r="C168" s="145" t="str">
        <v/>
      </c>
      <c r="D168" s="145" t="str">
        <v/>
      </c>
      <c r="E168" s="145" t="str">
        <v/>
      </c>
      <c r="F168" s="145" t="str">
        <v/>
      </c>
      <c r="G168" s="145" t="str">
        <v/>
      </c>
      <c r="H168" s="145" t="str">
        <v/>
      </c>
      <c r="I168" s="145" t="str">
        <v/>
      </c>
      <c r="J168" s="145" t="str">
        <v/>
      </c>
      <c r="K168" s="145" t="str">
        <v/>
      </c>
      <c r="L168" s="145" t="str">
        <v/>
      </c>
      <c r="M168" s="145" t="str">
        <v/>
      </c>
      <c r="N168" s="145" t="str">
        <v/>
      </c>
      <c r="O168" s="145" t="str">
        <v/>
      </c>
      <c r="P168" s="145" t="str">
        <v/>
      </c>
    </row>
    <row r="169" spans="1:16" x14ac:dyDescent="0.2">
      <c r="A169" s="58" t="str">
        <v/>
      </c>
      <c r="B169" s="123" t="str">
        <v/>
      </c>
      <c r="C169" s="145" t="str">
        <v/>
      </c>
      <c r="D169" s="145" t="str">
        <v/>
      </c>
      <c r="E169" s="145" t="str">
        <v/>
      </c>
      <c r="F169" s="145" t="str">
        <v/>
      </c>
      <c r="G169" s="145" t="str">
        <v/>
      </c>
      <c r="H169" s="145" t="str">
        <v/>
      </c>
      <c r="I169" s="145" t="str">
        <v/>
      </c>
      <c r="J169" s="145" t="str">
        <v/>
      </c>
      <c r="K169" s="145" t="str">
        <v/>
      </c>
      <c r="L169" s="145" t="str">
        <v/>
      </c>
      <c r="M169" s="145" t="str">
        <v/>
      </c>
      <c r="N169" s="145" t="str">
        <v/>
      </c>
      <c r="O169" s="145" t="str">
        <v/>
      </c>
      <c r="P169" s="145" t="str">
        <v/>
      </c>
    </row>
    <row r="170" spans="1:16" x14ac:dyDescent="0.2">
      <c r="A170" s="58" t="str">
        <v/>
      </c>
      <c r="B170" s="123" t="str">
        <v/>
      </c>
      <c r="C170" s="145" t="str">
        <v/>
      </c>
      <c r="D170" s="145" t="str">
        <v/>
      </c>
      <c r="E170" s="145" t="str">
        <v/>
      </c>
      <c r="F170" s="145" t="str">
        <v/>
      </c>
      <c r="G170" s="145" t="str">
        <v/>
      </c>
      <c r="H170" s="145" t="str">
        <v/>
      </c>
      <c r="I170" s="145" t="str">
        <v/>
      </c>
      <c r="J170" s="145" t="str">
        <v/>
      </c>
      <c r="K170" s="145" t="str">
        <v/>
      </c>
      <c r="L170" s="145" t="str">
        <v/>
      </c>
      <c r="M170" s="145" t="str">
        <v/>
      </c>
      <c r="N170" s="145" t="str">
        <v/>
      </c>
      <c r="O170" s="145" t="str">
        <v/>
      </c>
      <c r="P170" s="145" t="str">
        <v/>
      </c>
    </row>
    <row r="171" spans="1:16" x14ac:dyDescent="0.2">
      <c r="A171" s="58" t="str">
        <v/>
      </c>
      <c r="B171" s="123" t="str">
        <v/>
      </c>
      <c r="C171" s="145" t="str">
        <v/>
      </c>
      <c r="D171" s="145" t="str">
        <v/>
      </c>
      <c r="E171" s="145" t="str">
        <v/>
      </c>
      <c r="F171" s="145" t="str">
        <v/>
      </c>
      <c r="G171" s="145" t="str">
        <v/>
      </c>
      <c r="H171" s="145" t="str">
        <v/>
      </c>
      <c r="I171" s="145" t="str">
        <v/>
      </c>
      <c r="J171" s="145" t="str">
        <v/>
      </c>
      <c r="K171" s="145" t="str">
        <v/>
      </c>
      <c r="L171" s="145" t="str">
        <v/>
      </c>
      <c r="M171" s="145" t="str">
        <v/>
      </c>
      <c r="N171" s="145" t="str">
        <v/>
      </c>
      <c r="O171" s="145" t="str">
        <v/>
      </c>
      <c r="P171" s="145" t="str">
        <v/>
      </c>
    </row>
    <row r="172" spans="1:16" x14ac:dyDescent="0.2">
      <c r="A172" s="58" t="str">
        <v/>
      </c>
      <c r="B172" s="123" t="str">
        <v/>
      </c>
      <c r="C172" s="145" t="str">
        <v/>
      </c>
      <c r="D172" s="145" t="str">
        <v/>
      </c>
      <c r="E172" s="145" t="str">
        <v/>
      </c>
      <c r="F172" s="145" t="str">
        <v/>
      </c>
      <c r="G172" s="145" t="str">
        <v/>
      </c>
      <c r="H172" s="145" t="str">
        <v/>
      </c>
      <c r="I172" s="145" t="str">
        <v/>
      </c>
      <c r="J172" s="145" t="str">
        <v/>
      </c>
      <c r="K172" s="145" t="str">
        <v/>
      </c>
      <c r="L172" s="145" t="str">
        <v/>
      </c>
      <c r="M172" s="145" t="str">
        <v/>
      </c>
      <c r="N172" s="145" t="str">
        <v/>
      </c>
      <c r="O172" s="145" t="str">
        <v/>
      </c>
      <c r="P172" s="145" t="str">
        <v/>
      </c>
    </row>
    <row r="173" spans="1:16" x14ac:dyDescent="0.2">
      <c r="A173" s="58" t="str">
        <v/>
      </c>
      <c r="B173" s="123" t="str">
        <v/>
      </c>
      <c r="C173" s="145" t="str">
        <v/>
      </c>
      <c r="D173" s="145" t="str">
        <v/>
      </c>
      <c r="E173" s="145" t="str">
        <v/>
      </c>
      <c r="F173" s="145" t="str">
        <v/>
      </c>
      <c r="G173" s="145" t="str">
        <v/>
      </c>
      <c r="H173" s="145" t="str">
        <v/>
      </c>
      <c r="I173" s="145" t="str">
        <v/>
      </c>
      <c r="J173" s="145" t="str">
        <v/>
      </c>
      <c r="K173" s="145" t="str">
        <v/>
      </c>
      <c r="L173" s="145" t="str">
        <v/>
      </c>
      <c r="M173" s="145" t="str">
        <v/>
      </c>
      <c r="N173" s="145" t="str">
        <v/>
      </c>
      <c r="O173" s="145" t="str">
        <v/>
      </c>
      <c r="P173" s="145" t="str">
        <v/>
      </c>
    </row>
    <row r="174" spans="1:16" x14ac:dyDescent="0.2">
      <c r="A174" s="58" t="str">
        <v/>
      </c>
      <c r="B174" s="123" t="str">
        <v/>
      </c>
      <c r="C174" s="145" t="str">
        <v/>
      </c>
      <c r="D174" s="145" t="str">
        <v/>
      </c>
      <c r="E174" s="145" t="str">
        <v/>
      </c>
      <c r="F174" s="145" t="str">
        <v/>
      </c>
      <c r="G174" s="145" t="str">
        <v/>
      </c>
      <c r="H174" s="145" t="str">
        <v/>
      </c>
      <c r="I174" s="145" t="str">
        <v/>
      </c>
      <c r="J174" s="145" t="str">
        <v/>
      </c>
      <c r="K174" s="145" t="str">
        <v/>
      </c>
      <c r="L174" s="145" t="str">
        <v/>
      </c>
      <c r="M174" s="145" t="str">
        <v/>
      </c>
      <c r="N174" s="145" t="str">
        <v/>
      </c>
      <c r="O174" s="145" t="str">
        <v/>
      </c>
      <c r="P174" s="145" t="str">
        <v/>
      </c>
    </row>
    <row r="175" spans="1:16" x14ac:dyDescent="0.2">
      <c r="A175" s="58" t="str">
        <v/>
      </c>
      <c r="B175" s="123" t="str">
        <v/>
      </c>
      <c r="C175" s="145" t="str">
        <v/>
      </c>
      <c r="D175" s="145" t="str">
        <v/>
      </c>
      <c r="E175" s="145" t="str">
        <v/>
      </c>
      <c r="F175" s="145" t="str">
        <v/>
      </c>
      <c r="G175" s="145" t="str">
        <v/>
      </c>
      <c r="H175" s="145" t="str">
        <v/>
      </c>
      <c r="I175" s="145" t="str">
        <v/>
      </c>
      <c r="J175" s="145" t="str">
        <v/>
      </c>
      <c r="K175" s="145" t="str">
        <v/>
      </c>
      <c r="L175" s="145" t="str">
        <v/>
      </c>
      <c r="M175" s="145" t="str">
        <v/>
      </c>
      <c r="N175" s="145" t="str">
        <v/>
      </c>
      <c r="O175" s="145" t="str">
        <v/>
      </c>
      <c r="P175" s="145" t="str">
        <v/>
      </c>
    </row>
    <row r="176" spans="1:16" x14ac:dyDescent="0.2">
      <c r="A176" s="58" t="str">
        <v/>
      </c>
      <c r="B176" s="123" t="str">
        <v/>
      </c>
      <c r="C176" s="145" t="str">
        <v/>
      </c>
      <c r="D176" s="145" t="str">
        <v/>
      </c>
      <c r="E176" s="145" t="str">
        <v/>
      </c>
      <c r="F176" s="145" t="str">
        <v/>
      </c>
      <c r="G176" s="145" t="str">
        <v/>
      </c>
      <c r="H176" s="145" t="str">
        <v/>
      </c>
      <c r="I176" s="145" t="str">
        <v/>
      </c>
      <c r="J176" s="145" t="str">
        <v/>
      </c>
      <c r="K176" s="145" t="str">
        <v/>
      </c>
      <c r="L176" s="145" t="str">
        <v/>
      </c>
      <c r="M176" s="145" t="str">
        <v/>
      </c>
      <c r="N176" s="145" t="str">
        <v/>
      </c>
      <c r="O176" s="145" t="str">
        <v/>
      </c>
      <c r="P176" s="145" t="str">
        <v/>
      </c>
    </row>
    <row r="177" spans="1:16" x14ac:dyDescent="0.2">
      <c r="A177" s="58" t="str">
        <v/>
      </c>
      <c r="B177" s="123" t="str">
        <v/>
      </c>
      <c r="C177" s="145" t="str">
        <v/>
      </c>
      <c r="D177" s="145" t="str">
        <v/>
      </c>
      <c r="E177" s="145" t="str">
        <v/>
      </c>
      <c r="F177" s="145" t="str">
        <v/>
      </c>
      <c r="G177" s="145" t="str">
        <v/>
      </c>
      <c r="H177" s="145" t="str">
        <v/>
      </c>
      <c r="I177" s="145" t="str">
        <v/>
      </c>
      <c r="J177" s="145" t="str">
        <v/>
      </c>
      <c r="K177" s="145" t="str">
        <v/>
      </c>
      <c r="L177" s="145" t="str">
        <v/>
      </c>
      <c r="M177" s="145" t="str">
        <v/>
      </c>
      <c r="N177" s="145" t="str">
        <v/>
      </c>
      <c r="O177" s="145" t="str">
        <v/>
      </c>
      <c r="P177" s="145" t="str">
        <v/>
      </c>
    </row>
    <row r="178" spans="1:16" x14ac:dyDescent="0.2">
      <c r="A178" s="58" t="str">
        <v/>
      </c>
      <c r="B178" s="123" t="str">
        <v/>
      </c>
      <c r="C178" s="145" t="str">
        <v/>
      </c>
      <c r="D178" s="145" t="str">
        <v/>
      </c>
      <c r="E178" s="145" t="str">
        <v/>
      </c>
      <c r="F178" s="145" t="str">
        <v/>
      </c>
      <c r="G178" s="145" t="str">
        <v/>
      </c>
      <c r="H178" s="145" t="str">
        <v/>
      </c>
      <c r="I178" s="145" t="str">
        <v/>
      </c>
      <c r="J178" s="145" t="str">
        <v/>
      </c>
      <c r="K178" s="145" t="str">
        <v/>
      </c>
      <c r="L178" s="145" t="str">
        <v/>
      </c>
      <c r="M178" s="145" t="str">
        <v/>
      </c>
      <c r="N178" s="145" t="str">
        <v/>
      </c>
      <c r="O178" s="145" t="str">
        <v/>
      </c>
      <c r="P178" s="145" t="str">
        <v/>
      </c>
    </row>
    <row r="179" spans="1:16" x14ac:dyDescent="0.2">
      <c r="A179" s="58" t="str">
        <v/>
      </c>
      <c r="B179" s="123" t="str">
        <v/>
      </c>
      <c r="C179" s="145" t="str">
        <v/>
      </c>
      <c r="D179" s="145" t="str">
        <v/>
      </c>
      <c r="E179" s="145" t="str">
        <v/>
      </c>
      <c r="F179" s="145" t="str">
        <v/>
      </c>
      <c r="G179" s="145" t="str">
        <v/>
      </c>
      <c r="H179" s="145" t="str">
        <v/>
      </c>
      <c r="I179" s="145" t="str">
        <v/>
      </c>
      <c r="J179" s="145" t="str">
        <v/>
      </c>
      <c r="K179" s="145" t="str">
        <v/>
      </c>
      <c r="L179" s="145" t="str">
        <v/>
      </c>
      <c r="M179" s="145" t="str">
        <v/>
      </c>
      <c r="N179" s="145" t="str">
        <v/>
      </c>
      <c r="O179" s="145" t="str">
        <v/>
      </c>
      <c r="P179" s="145" t="str">
        <v/>
      </c>
    </row>
    <row r="180" spans="1:16" x14ac:dyDescent="0.2">
      <c r="A180" s="58" t="str">
        <v/>
      </c>
      <c r="B180" s="123" t="str">
        <v/>
      </c>
      <c r="C180" s="145" t="str">
        <v/>
      </c>
      <c r="D180" s="145" t="str">
        <v/>
      </c>
      <c r="E180" s="145" t="str">
        <v/>
      </c>
      <c r="F180" s="145" t="str">
        <v/>
      </c>
      <c r="G180" s="145" t="str">
        <v/>
      </c>
      <c r="H180" s="145" t="str">
        <v/>
      </c>
      <c r="I180" s="145" t="str">
        <v/>
      </c>
      <c r="J180" s="145" t="str">
        <v/>
      </c>
      <c r="K180" s="145" t="str">
        <v/>
      </c>
      <c r="L180" s="145" t="str">
        <v/>
      </c>
      <c r="M180" s="145" t="str">
        <v/>
      </c>
      <c r="N180" s="145" t="str">
        <v/>
      </c>
      <c r="O180" s="145" t="str">
        <v/>
      </c>
      <c r="P180" s="145" t="str">
        <v/>
      </c>
    </row>
    <row r="181" spans="1:16" x14ac:dyDescent="0.2">
      <c r="A181" s="58" t="str">
        <v/>
      </c>
      <c r="B181" s="123" t="str">
        <v/>
      </c>
      <c r="C181" s="145" t="str">
        <v/>
      </c>
      <c r="D181" s="145" t="str">
        <v/>
      </c>
      <c r="E181" s="145" t="str">
        <v/>
      </c>
      <c r="F181" s="145" t="str">
        <v/>
      </c>
      <c r="G181" s="145" t="str">
        <v/>
      </c>
      <c r="H181" s="145" t="str">
        <v/>
      </c>
      <c r="I181" s="145" t="str">
        <v/>
      </c>
      <c r="J181" s="145" t="str">
        <v/>
      </c>
      <c r="K181" s="145" t="str">
        <v/>
      </c>
      <c r="L181" s="145" t="str">
        <v/>
      </c>
      <c r="M181" s="145" t="str">
        <v/>
      </c>
      <c r="N181" s="145" t="str">
        <v/>
      </c>
      <c r="O181" s="145" t="str">
        <v/>
      </c>
      <c r="P181" s="145" t="str">
        <v/>
      </c>
    </row>
    <row r="182" spans="1:16" x14ac:dyDescent="0.2">
      <c r="A182" s="58" t="str">
        <v/>
      </c>
      <c r="B182" s="123" t="str">
        <v/>
      </c>
      <c r="C182" s="145" t="str">
        <v/>
      </c>
      <c r="D182" s="145" t="str">
        <v/>
      </c>
      <c r="E182" s="145" t="str">
        <v/>
      </c>
      <c r="F182" s="145" t="str">
        <v/>
      </c>
      <c r="G182" s="145" t="str">
        <v/>
      </c>
      <c r="H182" s="145" t="str">
        <v/>
      </c>
      <c r="I182" s="145" t="str">
        <v/>
      </c>
      <c r="J182" s="145" t="str">
        <v/>
      </c>
      <c r="K182" s="145" t="str">
        <v/>
      </c>
      <c r="L182" s="145" t="str">
        <v/>
      </c>
      <c r="M182" s="145" t="str">
        <v/>
      </c>
      <c r="N182" s="145" t="str">
        <v/>
      </c>
      <c r="O182" s="145" t="str">
        <v/>
      </c>
      <c r="P182" s="145" t="str">
        <v/>
      </c>
    </row>
    <row r="183" spans="1:16" x14ac:dyDescent="0.2">
      <c r="A183" s="58" t="str">
        <v/>
      </c>
      <c r="B183" s="123" t="str">
        <v/>
      </c>
      <c r="C183" s="145" t="str">
        <v/>
      </c>
      <c r="D183" s="145" t="str">
        <v/>
      </c>
      <c r="E183" s="145" t="str">
        <v/>
      </c>
      <c r="F183" s="145" t="str">
        <v/>
      </c>
      <c r="G183" s="145" t="str">
        <v/>
      </c>
      <c r="H183" s="145" t="str">
        <v/>
      </c>
      <c r="I183" s="145" t="str">
        <v/>
      </c>
      <c r="J183" s="145" t="str">
        <v/>
      </c>
      <c r="K183" s="145" t="str">
        <v/>
      </c>
      <c r="L183" s="145" t="str">
        <v/>
      </c>
      <c r="M183" s="145" t="str">
        <v/>
      </c>
      <c r="N183" s="145" t="str">
        <v/>
      </c>
      <c r="O183" s="145" t="str">
        <v/>
      </c>
      <c r="P183" s="145" t="str">
        <v/>
      </c>
    </row>
    <row r="184" spans="1:16" x14ac:dyDescent="0.2">
      <c r="A184" s="58" t="str">
        <v/>
      </c>
      <c r="B184" s="123" t="str">
        <v/>
      </c>
      <c r="C184" s="145" t="str">
        <v/>
      </c>
      <c r="D184" s="145" t="str">
        <v/>
      </c>
      <c r="E184" s="145" t="str">
        <v/>
      </c>
      <c r="F184" s="145" t="str">
        <v/>
      </c>
      <c r="G184" s="145" t="str">
        <v/>
      </c>
      <c r="H184" s="145" t="str">
        <v/>
      </c>
      <c r="I184" s="145" t="str">
        <v/>
      </c>
      <c r="J184" s="145" t="str">
        <v/>
      </c>
      <c r="K184" s="145" t="str">
        <v/>
      </c>
      <c r="L184" s="145" t="str">
        <v/>
      </c>
      <c r="M184" s="145" t="str">
        <v/>
      </c>
      <c r="N184" s="145" t="str">
        <v/>
      </c>
      <c r="O184" s="145" t="str">
        <v/>
      </c>
      <c r="P184" s="145" t="str">
        <v/>
      </c>
    </row>
    <row r="185" spans="1:16" x14ac:dyDescent="0.2">
      <c r="A185" s="58" t="str">
        <v/>
      </c>
      <c r="B185" s="123" t="str">
        <v/>
      </c>
      <c r="C185" s="145" t="str">
        <v/>
      </c>
      <c r="D185" s="145" t="str">
        <v/>
      </c>
      <c r="E185" s="145" t="str">
        <v/>
      </c>
      <c r="F185" s="145" t="str">
        <v/>
      </c>
      <c r="G185" s="145" t="str">
        <v/>
      </c>
      <c r="H185" s="145" t="str">
        <v/>
      </c>
      <c r="I185" s="145" t="str">
        <v/>
      </c>
      <c r="J185" s="145" t="str">
        <v/>
      </c>
      <c r="K185" s="145" t="str">
        <v/>
      </c>
      <c r="L185" s="145" t="str">
        <v/>
      </c>
      <c r="M185" s="145" t="str">
        <v/>
      </c>
      <c r="N185" s="145" t="str">
        <v/>
      </c>
      <c r="O185" s="145" t="str">
        <v/>
      </c>
      <c r="P185" s="145" t="str">
        <v/>
      </c>
    </row>
    <row r="186" spans="1:16" x14ac:dyDescent="0.2">
      <c r="A186" s="58" t="str">
        <v/>
      </c>
      <c r="B186" s="123" t="str">
        <v/>
      </c>
      <c r="C186" s="145" t="str">
        <v/>
      </c>
      <c r="D186" s="145" t="str">
        <v/>
      </c>
      <c r="E186" s="145" t="str">
        <v/>
      </c>
      <c r="F186" s="145" t="str">
        <v/>
      </c>
      <c r="G186" s="145" t="str">
        <v/>
      </c>
      <c r="H186" s="145" t="str">
        <v/>
      </c>
      <c r="I186" s="145" t="str">
        <v/>
      </c>
      <c r="J186" s="145" t="str">
        <v/>
      </c>
      <c r="K186" s="145" t="str">
        <v/>
      </c>
      <c r="L186" s="145" t="str">
        <v/>
      </c>
      <c r="M186" s="145" t="str">
        <v/>
      </c>
      <c r="N186" s="145" t="str">
        <v/>
      </c>
      <c r="O186" s="145" t="str">
        <v/>
      </c>
      <c r="P186" s="145" t="str">
        <v/>
      </c>
    </row>
    <row r="187" spans="1:16" x14ac:dyDescent="0.2">
      <c r="A187" s="58" t="str">
        <v/>
      </c>
      <c r="B187" s="123" t="str">
        <v/>
      </c>
      <c r="C187" s="145" t="str">
        <v/>
      </c>
      <c r="D187" s="145" t="str">
        <v/>
      </c>
      <c r="E187" s="145" t="str">
        <v/>
      </c>
      <c r="F187" s="145" t="str">
        <v/>
      </c>
      <c r="G187" s="145" t="str">
        <v/>
      </c>
      <c r="H187" s="145" t="str">
        <v/>
      </c>
      <c r="I187" s="145" t="str">
        <v/>
      </c>
      <c r="J187" s="145" t="str">
        <v/>
      </c>
      <c r="K187" s="145" t="str">
        <v/>
      </c>
      <c r="L187" s="145" t="str">
        <v/>
      </c>
      <c r="M187" s="145" t="str">
        <v/>
      </c>
      <c r="N187" s="145" t="str">
        <v/>
      </c>
      <c r="O187" s="145" t="str">
        <v/>
      </c>
      <c r="P187" s="145" t="str">
        <v/>
      </c>
    </row>
    <row r="188" spans="1:16" x14ac:dyDescent="0.2">
      <c r="A188" s="58" t="str">
        <v/>
      </c>
      <c r="B188" s="123" t="str">
        <v/>
      </c>
      <c r="C188" s="145" t="str">
        <v/>
      </c>
      <c r="D188" s="145" t="str">
        <v/>
      </c>
      <c r="E188" s="145" t="str">
        <v/>
      </c>
      <c r="F188" s="145" t="str">
        <v/>
      </c>
      <c r="G188" s="145" t="str">
        <v/>
      </c>
      <c r="H188" s="145" t="str">
        <v/>
      </c>
      <c r="I188" s="145" t="str">
        <v/>
      </c>
      <c r="J188" s="145" t="str">
        <v/>
      </c>
      <c r="K188" s="145" t="str">
        <v/>
      </c>
      <c r="L188" s="145" t="str">
        <v/>
      </c>
      <c r="M188" s="145" t="str">
        <v/>
      </c>
      <c r="N188" s="145" t="str">
        <v/>
      </c>
      <c r="O188" s="145" t="str">
        <v/>
      </c>
      <c r="P188" s="145" t="str">
        <v/>
      </c>
    </row>
    <row r="189" spans="1:16" x14ac:dyDescent="0.2">
      <c r="A189" s="58" t="str">
        <v/>
      </c>
      <c r="B189" s="123" t="str">
        <v/>
      </c>
      <c r="C189" s="145" t="str">
        <v/>
      </c>
      <c r="D189" s="145" t="str">
        <v/>
      </c>
      <c r="E189" s="145" t="str">
        <v/>
      </c>
      <c r="F189" s="145" t="str">
        <v/>
      </c>
      <c r="G189" s="145" t="str">
        <v/>
      </c>
      <c r="H189" s="145" t="str">
        <v/>
      </c>
      <c r="I189" s="145" t="str">
        <v/>
      </c>
      <c r="J189" s="145" t="str">
        <v/>
      </c>
      <c r="K189" s="145" t="str">
        <v/>
      </c>
      <c r="L189" s="145" t="str">
        <v/>
      </c>
      <c r="M189" s="145" t="str">
        <v/>
      </c>
      <c r="N189" s="145" t="str">
        <v/>
      </c>
      <c r="O189" s="145" t="str">
        <v/>
      </c>
      <c r="P189" s="145" t="str">
        <v/>
      </c>
    </row>
    <row r="190" spans="1:16" x14ac:dyDescent="0.2">
      <c r="A190" s="58" t="str">
        <v/>
      </c>
      <c r="B190" s="123" t="str">
        <v/>
      </c>
      <c r="C190" s="145" t="str">
        <v/>
      </c>
      <c r="D190" s="145" t="str">
        <v/>
      </c>
      <c r="E190" s="145" t="str">
        <v/>
      </c>
      <c r="F190" s="145" t="str">
        <v/>
      </c>
      <c r="G190" s="145" t="str">
        <v/>
      </c>
      <c r="H190" s="145" t="str">
        <v/>
      </c>
      <c r="I190" s="145" t="str">
        <v/>
      </c>
      <c r="J190" s="145" t="str">
        <v/>
      </c>
      <c r="K190" s="145" t="str">
        <v/>
      </c>
      <c r="L190" s="145" t="str">
        <v/>
      </c>
      <c r="M190" s="145" t="str">
        <v/>
      </c>
      <c r="N190" s="145" t="str">
        <v/>
      </c>
      <c r="O190" s="145" t="str">
        <v/>
      </c>
      <c r="P190" s="145" t="str">
        <v/>
      </c>
    </row>
    <row r="191" spans="1:16" x14ac:dyDescent="0.2">
      <c r="A191" s="58" t="str">
        <v/>
      </c>
      <c r="B191" s="123" t="str">
        <v/>
      </c>
      <c r="C191" s="145" t="str">
        <v/>
      </c>
      <c r="D191" s="145" t="str">
        <v/>
      </c>
      <c r="E191" s="145" t="str">
        <v/>
      </c>
      <c r="F191" s="145" t="str">
        <v/>
      </c>
      <c r="G191" s="145" t="str">
        <v/>
      </c>
      <c r="H191" s="145" t="str">
        <v/>
      </c>
      <c r="I191" s="145" t="str">
        <v/>
      </c>
      <c r="J191" s="145" t="str">
        <v/>
      </c>
      <c r="K191" s="145" t="str">
        <v/>
      </c>
      <c r="L191" s="145" t="str">
        <v/>
      </c>
      <c r="M191" s="145" t="str">
        <v/>
      </c>
      <c r="N191" s="145" t="str">
        <v/>
      </c>
      <c r="O191" s="145" t="str">
        <v/>
      </c>
      <c r="P191" s="145" t="str">
        <v/>
      </c>
    </row>
    <row r="192" spans="1:16" x14ac:dyDescent="0.2">
      <c r="A192" s="58" t="str">
        <v/>
      </c>
      <c r="B192" s="123" t="str">
        <v/>
      </c>
      <c r="C192" s="145" t="str">
        <v/>
      </c>
      <c r="D192" s="145" t="str">
        <v/>
      </c>
      <c r="E192" s="145" t="str">
        <v/>
      </c>
      <c r="F192" s="145" t="str">
        <v/>
      </c>
      <c r="G192" s="145" t="str">
        <v/>
      </c>
      <c r="H192" s="145" t="str">
        <v/>
      </c>
      <c r="I192" s="145" t="str">
        <v/>
      </c>
      <c r="J192" s="145" t="str">
        <v/>
      </c>
      <c r="K192" s="145" t="str">
        <v/>
      </c>
      <c r="L192" s="145" t="str">
        <v/>
      </c>
      <c r="M192" s="145" t="str">
        <v/>
      </c>
      <c r="N192" s="145" t="str">
        <v/>
      </c>
      <c r="O192" s="145" t="str">
        <v/>
      </c>
      <c r="P192" s="145" t="str">
        <v/>
      </c>
    </row>
    <row r="193" spans="1:16" x14ac:dyDescent="0.2">
      <c r="A193" s="58" t="str">
        <v/>
      </c>
      <c r="B193" s="123" t="str">
        <v/>
      </c>
      <c r="C193" s="145" t="str">
        <v/>
      </c>
      <c r="D193" s="145" t="str">
        <v/>
      </c>
      <c r="E193" s="145" t="str">
        <v/>
      </c>
      <c r="F193" s="145" t="str">
        <v/>
      </c>
      <c r="G193" s="145" t="str">
        <v/>
      </c>
      <c r="H193" s="145" t="str">
        <v/>
      </c>
      <c r="I193" s="145" t="str">
        <v/>
      </c>
      <c r="J193" s="145" t="str">
        <v/>
      </c>
      <c r="K193" s="145" t="str">
        <v/>
      </c>
      <c r="L193" s="145" t="str">
        <v/>
      </c>
      <c r="M193" s="145" t="str">
        <v/>
      </c>
      <c r="N193" s="145" t="str">
        <v/>
      </c>
      <c r="O193" s="145" t="str">
        <v/>
      </c>
      <c r="P193" s="145" t="str">
        <v/>
      </c>
    </row>
    <row r="194" spans="1:16" x14ac:dyDescent="0.2">
      <c r="A194" s="58" t="str">
        <v/>
      </c>
      <c r="B194" s="123" t="str">
        <v/>
      </c>
      <c r="C194" s="145" t="str">
        <v/>
      </c>
      <c r="D194" s="145" t="str">
        <v/>
      </c>
      <c r="E194" s="145" t="str">
        <v/>
      </c>
      <c r="F194" s="145" t="str">
        <v/>
      </c>
      <c r="G194" s="145" t="str">
        <v/>
      </c>
      <c r="H194" s="145" t="str">
        <v/>
      </c>
      <c r="I194" s="145" t="str">
        <v/>
      </c>
      <c r="J194" s="145" t="str">
        <v/>
      </c>
      <c r="K194" s="145" t="str">
        <v/>
      </c>
      <c r="L194" s="145" t="str">
        <v/>
      </c>
      <c r="M194" s="145" t="str">
        <v/>
      </c>
      <c r="N194" s="145" t="str">
        <v/>
      </c>
      <c r="O194" s="145" t="str">
        <v/>
      </c>
      <c r="P194" s="145" t="str">
        <v/>
      </c>
    </row>
    <row r="195" spans="1:16" x14ac:dyDescent="0.2">
      <c r="A195" s="58" t="str">
        <v/>
      </c>
      <c r="B195" s="123" t="str">
        <v/>
      </c>
      <c r="C195" s="145" t="str">
        <v/>
      </c>
      <c r="D195" s="145" t="str">
        <v/>
      </c>
      <c r="E195" s="145" t="str">
        <v/>
      </c>
      <c r="F195" s="145" t="str">
        <v/>
      </c>
      <c r="G195" s="145" t="str">
        <v/>
      </c>
      <c r="H195" s="145" t="str">
        <v/>
      </c>
      <c r="I195" s="145" t="str">
        <v/>
      </c>
      <c r="J195" s="145" t="str">
        <v/>
      </c>
      <c r="K195" s="145" t="str">
        <v/>
      </c>
      <c r="L195" s="145" t="str">
        <v/>
      </c>
      <c r="M195" s="145" t="str">
        <v/>
      </c>
      <c r="N195" s="145" t="str">
        <v/>
      </c>
      <c r="O195" s="145" t="str">
        <v/>
      </c>
      <c r="P195" s="145" t="str">
        <v/>
      </c>
    </row>
    <row r="196" spans="1:16" x14ac:dyDescent="0.2">
      <c r="A196" s="58" t="str">
        <v/>
      </c>
      <c r="B196" s="123" t="str">
        <v/>
      </c>
      <c r="C196" s="145" t="str">
        <v/>
      </c>
      <c r="D196" s="145" t="str">
        <v/>
      </c>
      <c r="E196" s="145" t="str">
        <v/>
      </c>
      <c r="F196" s="145" t="str">
        <v/>
      </c>
      <c r="G196" s="145" t="str">
        <v/>
      </c>
      <c r="H196" s="145" t="str">
        <v/>
      </c>
      <c r="I196" s="145" t="str">
        <v/>
      </c>
      <c r="J196" s="145" t="str">
        <v/>
      </c>
      <c r="K196" s="145" t="str">
        <v/>
      </c>
      <c r="L196" s="145" t="str">
        <v/>
      </c>
      <c r="M196" s="145" t="str">
        <v/>
      </c>
      <c r="N196" s="145" t="str">
        <v/>
      </c>
      <c r="O196" s="145" t="str">
        <v/>
      </c>
      <c r="P196" s="145" t="str">
        <v/>
      </c>
    </row>
    <row r="197" spans="1:16" x14ac:dyDescent="0.2">
      <c r="A197" s="58" t="str">
        <v/>
      </c>
      <c r="B197" s="123" t="str">
        <v/>
      </c>
      <c r="C197" s="145" t="str">
        <v/>
      </c>
      <c r="D197" s="145" t="str">
        <v/>
      </c>
      <c r="E197" s="145" t="str">
        <v/>
      </c>
      <c r="F197" s="145" t="str">
        <v/>
      </c>
      <c r="G197" s="145" t="str">
        <v/>
      </c>
      <c r="H197" s="145" t="str">
        <v/>
      </c>
      <c r="I197" s="145" t="str">
        <v/>
      </c>
      <c r="J197" s="145" t="str">
        <v/>
      </c>
      <c r="K197" s="145" t="str">
        <v/>
      </c>
      <c r="L197" s="145" t="str">
        <v/>
      </c>
      <c r="M197" s="145" t="str">
        <v/>
      </c>
      <c r="N197" s="145" t="str">
        <v/>
      </c>
      <c r="O197" s="145" t="str">
        <v/>
      </c>
      <c r="P197" s="145" t="str">
        <v/>
      </c>
    </row>
    <row r="198" spans="1:16" x14ac:dyDescent="0.2">
      <c r="A198" s="58" t="str">
        <v/>
      </c>
      <c r="B198" s="123" t="str">
        <v/>
      </c>
      <c r="C198" s="145" t="str">
        <v/>
      </c>
      <c r="D198" s="145" t="str">
        <v/>
      </c>
      <c r="E198" s="145" t="str">
        <v/>
      </c>
      <c r="F198" s="145" t="str">
        <v/>
      </c>
      <c r="G198" s="145" t="str">
        <v/>
      </c>
      <c r="H198" s="145" t="str">
        <v/>
      </c>
      <c r="I198" s="145" t="str">
        <v/>
      </c>
      <c r="J198" s="145" t="str">
        <v/>
      </c>
      <c r="K198" s="145" t="str">
        <v/>
      </c>
      <c r="L198" s="145" t="str">
        <v/>
      </c>
      <c r="M198" s="145" t="str">
        <v/>
      </c>
      <c r="N198" s="145" t="str">
        <v/>
      </c>
      <c r="O198" s="145" t="str">
        <v/>
      </c>
      <c r="P198" s="145" t="str">
        <v/>
      </c>
    </row>
    <row r="199" spans="1:16" x14ac:dyDescent="0.2">
      <c r="A199" s="58" t="str">
        <v/>
      </c>
      <c r="B199" s="123" t="str">
        <v/>
      </c>
      <c r="C199" s="145" t="str">
        <v/>
      </c>
      <c r="D199" s="145" t="str">
        <v/>
      </c>
      <c r="E199" s="145" t="str">
        <v/>
      </c>
      <c r="F199" s="145" t="str">
        <v/>
      </c>
      <c r="G199" s="145" t="str">
        <v/>
      </c>
      <c r="H199" s="145" t="str">
        <v/>
      </c>
      <c r="I199" s="145" t="str">
        <v/>
      </c>
      <c r="J199" s="145" t="str">
        <v/>
      </c>
      <c r="K199" s="145" t="str">
        <v/>
      </c>
      <c r="L199" s="145" t="str">
        <v/>
      </c>
      <c r="M199" s="145" t="str">
        <v/>
      </c>
      <c r="N199" s="145" t="str">
        <v/>
      </c>
      <c r="O199" s="145" t="str">
        <v/>
      </c>
      <c r="P199" s="145" t="str">
        <v/>
      </c>
    </row>
    <row r="200" spans="1:16" x14ac:dyDescent="0.2">
      <c r="A200" s="58" t="str">
        <v/>
      </c>
      <c r="B200" s="123" t="str">
        <v/>
      </c>
      <c r="C200" s="145" t="str">
        <v/>
      </c>
      <c r="D200" s="145" t="str">
        <v/>
      </c>
      <c r="E200" s="145" t="str">
        <v/>
      </c>
      <c r="F200" s="145" t="str">
        <v/>
      </c>
      <c r="G200" s="145" t="str">
        <v/>
      </c>
      <c r="H200" s="145" t="str">
        <v/>
      </c>
      <c r="I200" s="145" t="str">
        <v/>
      </c>
      <c r="J200" s="145" t="str">
        <v/>
      </c>
      <c r="K200" s="145" t="str">
        <v/>
      </c>
      <c r="L200" s="145" t="str">
        <v/>
      </c>
      <c r="M200" s="145" t="str">
        <v/>
      </c>
      <c r="N200" s="145" t="str">
        <v/>
      </c>
      <c r="O200" s="145" t="str">
        <v/>
      </c>
      <c r="P200" s="145" t="str">
        <v/>
      </c>
    </row>
    <row r="201" spans="1:16" x14ac:dyDescent="0.2">
      <c r="A201" s="58" t="str">
        <v/>
      </c>
      <c r="B201" s="123" t="str">
        <v/>
      </c>
      <c r="C201" s="145" t="str">
        <v/>
      </c>
      <c r="D201" s="145" t="str">
        <v/>
      </c>
      <c r="E201" s="145" t="str">
        <v/>
      </c>
      <c r="F201" s="145" t="str">
        <v/>
      </c>
      <c r="G201" s="145" t="str">
        <v/>
      </c>
      <c r="H201" s="145" t="str">
        <v/>
      </c>
      <c r="I201" s="145" t="str">
        <v/>
      </c>
      <c r="J201" s="145" t="str">
        <v/>
      </c>
      <c r="K201" s="145" t="str">
        <v/>
      </c>
      <c r="L201" s="145" t="str">
        <v/>
      </c>
      <c r="M201" s="145" t="str">
        <v/>
      </c>
      <c r="N201" s="145" t="str">
        <v/>
      </c>
      <c r="O201" s="145" t="str">
        <v/>
      </c>
      <c r="P201" s="145" t="str">
        <v/>
      </c>
    </row>
    <row r="202" spans="1:16" x14ac:dyDescent="0.2">
      <c r="A202" s="58" t="str">
        <v/>
      </c>
      <c r="B202" s="123" t="str">
        <v/>
      </c>
      <c r="C202" s="145" t="str">
        <v/>
      </c>
      <c r="D202" s="145" t="str">
        <v/>
      </c>
      <c r="E202" s="145" t="str">
        <v/>
      </c>
      <c r="F202" s="145" t="str">
        <v/>
      </c>
      <c r="G202" s="145" t="str">
        <v/>
      </c>
      <c r="H202" s="145" t="str">
        <v/>
      </c>
      <c r="I202" s="145" t="str">
        <v/>
      </c>
      <c r="J202" s="145" t="str">
        <v/>
      </c>
      <c r="K202" s="145" t="str">
        <v/>
      </c>
      <c r="L202" s="145" t="str">
        <v/>
      </c>
      <c r="M202" s="145" t="str">
        <v/>
      </c>
      <c r="N202" s="145" t="str">
        <v/>
      </c>
      <c r="O202" s="145" t="str">
        <v/>
      </c>
      <c r="P202" s="145" t="str">
        <v/>
      </c>
    </row>
    <row r="203" spans="1:16" x14ac:dyDescent="0.2">
      <c r="A203" s="58" t="str">
        <v/>
      </c>
      <c r="B203" s="123" t="str">
        <v/>
      </c>
      <c r="C203" s="145" t="str">
        <v/>
      </c>
      <c r="D203" s="145" t="str">
        <v/>
      </c>
      <c r="E203" s="145" t="str">
        <v/>
      </c>
      <c r="F203" s="145" t="str">
        <v/>
      </c>
      <c r="G203" s="145" t="str">
        <v/>
      </c>
      <c r="H203" s="145" t="str">
        <v/>
      </c>
      <c r="I203" s="145" t="str">
        <v/>
      </c>
      <c r="J203" s="145" t="str">
        <v/>
      </c>
      <c r="K203" s="145" t="str">
        <v/>
      </c>
      <c r="L203" s="145" t="str">
        <v/>
      </c>
      <c r="M203" s="145" t="str">
        <v/>
      </c>
      <c r="N203" s="145" t="str">
        <v/>
      </c>
      <c r="O203" s="145" t="str">
        <v/>
      </c>
      <c r="P203" s="145" t="str">
        <v/>
      </c>
    </row>
    <row r="204" spans="1:16" x14ac:dyDescent="0.2">
      <c r="A204" s="58" t="str">
        <v/>
      </c>
      <c r="B204" s="123" t="str">
        <v/>
      </c>
      <c r="C204" s="145" t="str">
        <v/>
      </c>
      <c r="D204" s="145" t="str">
        <v/>
      </c>
      <c r="E204" s="145" t="str">
        <v/>
      </c>
      <c r="F204" s="145" t="str">
        <v/>
      </c>
      <c r="G204" s="145" t="str">
        <v/>
      </c>
      <c r="H204" s="145" t="str">
        <v/>
      </c>
      <c r="I204" s="145" t="str">
        <v/>
      </c>
      <c r="J204" s="145" t="str">
        <v/>
      </c>
      <c r="K204" s="145" t="str">
        <v/>
      </c>
      <c r="L204" s="145" t="str">
        <v/>
      </c>
      <c r="M204" s="145" t="str">
        <v/>
      </c>
      <c r="N204" s="145" t="str">
        <v/>
      </c>
      <c r="O204" s="145" t="str">
        <v/>
      </c>
      <c r="P204" s="145" t="str">
        <v/>
      </c>
    </row>
    <row r="205" spans="1:16" x14ac:dyDescent="0.2">
      <c r="A205" s="58" t="str">
        <v/>
      </c>
      <c r="B205" s="123" t="str">
        <v/>
      </c>
      <c r="C205" s="145" t="str">
        <v/>
      </c>
      <c r="D205" s="145" t="str">
        <v/>
      </c>
      <c r="E205" s="145" t="str">
        <v/>
      </c>
      <c r="F205" s="145" t="str">
        <v/>
      </c>
      <c r="G205" s="145" t="str">
        <v/>
      </c>
      <c r="H205" s="145" t="str">
        <v/>
      </c>
      <c r="I205" s="145" t="str">
        <v/>
      </c>
      <c r="J205" s="145" t="str">
        <v/>
      </c>
      <c r="K205" s="145" t="str">
        <v/>
      </c>
      <c r="L205" s="145" t="str">
        <v/>
      </c>
      <c r="M205" s="145" t="str">
        <v/>
      </c>
      <c r="N205" s="145" t="str">
        <v/>
      </c>
      <c r="O205" s="145" t="str">
        <v/>
      </c>
      <c r="P205" s="145" t="str">
        <v/>
      </c>
    </row>
    <row r="206" spans="1:16" x14ac:dyDescent="0.2">
      <c r="A206" s="58" t="str">
        <v/>
      </c>
      <c r="B206" s="123" t="str">
        <v/>
      </c>
      <c r="C206" s="145" t="str">
        <v/>
      </c>
      <c r="D206" s="145" t="str">
        <v/>
      </c>
      <c r="E206" s="145" t="str">
        <v/>
      </c>
      <c r="F206" s="145" t="str">
        <v/>
      </c>
      <c r="G206" s="145" t="str">
        <v/>
      </c>
      <c r="H206" s="145" t="str">
        <v/>
      </c>
      <c r="I206" s="145" t="str">
        <v/>
      </c>
      <c r="J206" s="145" t="str">
        <v/>
      </c>
      <c r="K206" s="145" t="str">
        <v/>
      </c>
      <c r="L206" s="145" t="str">
        <v/>
      </c>
      <c r="M206" s="145" t="str">
        <v/>
      </c>
      <c r="N206" s="145" t="str">
        <v/>
      </c>
      <c r="O206" s="145" t="str">
        <v/>
      </c>
      <c r="P206" s="145" t="str">
        <v/>
      </c>
    </row>
    <row r="207" spans="1:16" x14ac:dyDescent="0.2">
      <c r="A207" s="58" t="str">
        <v/>
      </c>
      <c r="B207" s="123" t="str">
        <v/>
      </c>
      <c r="C207" s="145" t="str">
        <v/>
      </c>
      <c r="D207" s="145" t="str">
        <v/>
      </c>
      <c r="E207" s="145" t="str">
        <v/>
      </c>
      <c r="F207" s="145" t="str">
        <v/>
      </c>
      <c r="G207" s="145" t="str">
        <v/>
      </c>
      <c r="H207" s="145" t="str">
        <v/>
      </c>
      <c r="I207" s="145" t="str">
        <v/>
      </c>
      <c r="J207" s="145" t="str">
        <v/>
      </c>
      <c r="K207" s="145" t="str">
        <v/>
      </c>
      <c r="L207" s="145" t="str">
        <v/>
      </c>
      <c r="M207" s="145" t="str">
        <v/>
      </c>
      <c r="N207" s="145" t="str">
        <v/>
      </c>
      <c r="O207" s="145" t="str">
        <v/>
      </c>
      <c r="P207" s="145" t="str">
        <v/>
      </c>
    </row>
    <row r="208" spans="1:16" x14ac:dyDescent="0.2">
      <c r="A208" s="58" t="str">
        <v/>
      </c>
      <c r="B208" s="123" t="str">
        <v/>
      </c>
      <c r="C208" s="145" t="str">
        <v/>
      </c>
      <c r="D208" s="145" t="str">
        <v/>
      </c>
      <c r="E208" s="145" t="str">
        <v/>
      </c>
      <c r="F208" s="145" t="str">
        <v/>
      </c>
      <c r="G208" s="145" t="str">
        <v/>
      </c>
      <c r="H208" s="145" t="str">
        <v/>
      </c>
      <c r="I208" s="145" t="str">
        <v/>
      </c>
      <c r="J208" s="145" t="str">
        <v/>
      </c>
      <c r="K208" s="145" t="str">
        <v/>
      </c>
      <c r="L208" s="145" t="str">
        <v/>
      </c>
      <c r="M208" s="145" t="str">
        <v/>
      </c>
      <c r="N208" s="145" t="str">
        <v/>
      </c>
      <c r="O208" s="145" t="str">
        <v/>
      </c>
      <c r="P208" s="145" t="str">
        <v/>
      </c>
    </row>
    <row r="209" spans="1:16" x14ac:dyDescent="0.2">
      <c r="A209" s="58" t="str">
        <v/>
      </c>
      <c r="B209" s="123" t="str">
        <v/>
      </c>
      <c r="C209" s="145" t="str">
        <v/>
      </c>
      <c r="D209" s="145" t="str">
        <v/>
      </c>
      <c r="E209" s="145" t="str">
        <v/>
      </c>
      <c r="F209" s="145" t="str">
        <v/>
      </c>
      <c r="G209" s="145" t="str">
        <v/>
      </c>
      <c r="H209" s="145" t="str">
        <v/>
      </c>
      <c r="I209" s="145" t="str">
        <v/>
      </c>
      <c r="J209" s="145" t="str">
        <v/>
      </c>
      <c r="K209" s="145" t="str">
        <v/>
      </c>
      <c r="L209" s="145" t="str">
        <v/>
      </c>
      <c r="M209" s="145" t="str">
        <v/>
      </c>
      <c r="N209" s="145" t="str">
        <v/>
      </c>
      <c r="O209" s="145" t="str">
        <v/>
      </c>
      <c r="P209" s="145" t="str">
        <v/>
      </c>
    </row>
    <row r="210" spans="1:16" x14ac:dyDescent="0.2">
      <c r="A210" s="58" t="str">
        <v/>
      </c>
      <c r="B210" s="123" t="str">
        <v/>
      </c>
      <c r="C210" s="145" t="str">
        <v/>
      </c>
      <c r="D210" s="145" t="str">
        <v/>
      </c>
      <c r="E210" s="145" t="str">
        <v/>
      </c>
      <c r="F210" s="145" t="str">
        <v/>
      </c>
      <c r="G210" s="145" t="str">
        <v/>
      </c>
      <c r="H210" s="145" t="str">
        <v/>
      </c>
      <c r="I210" s="145" t="str">
        <v/>
      </c>
      <c r="J210" s="145" t="str">
        <v/>
      </c>
      <c r="K210" s="145" t="str">
        <v/>
      </c>
      <c r="L210" s="145" t="str">
        <v/>
      </c>
      <c r="M210" s="145" t="str">
        <v/>
      </c>
      <c r="N210" s="145" t="str">
        <v/>
      </c>
      <c r="O210" s="145" t="str">
        <v/>
      </c>
      <c r="P210" s="145" t="str">
        <v/>
      </c>
    </row>
    <row r="211" spans="1:16" x14ac:dyDescent="0.2">
      <c r="A211" s="58" t="str">
        <v/>
      </c>
      <c r="B211" s="123" t="str">
        <v/>
      </c>
      <c r="C211" s="145" t="str">
        <v/>
      </c>
      <c r="D211" s="145" t="str">
        <v/>
      </c>
      <c r="E211" s="145" t="str">
        <v/>
      </c>
      <c r="F211" s="145" t="str">
        <v/>
      </c>
      <c r="G211" s="145" t="str">
        <v/>
      </c>
      <c r="H211" s="145" t="str">
        <v/>
      </c>
      <c r="I211" s="145" t="str">
        <v/>
      </c>
      <c r="J211" s="145" t="str">
        <v/>
      </c>
      <c r="K211" s="145" t="str">
        <v/>
      </c>
      <c r="L211" s="145" t="str">
        <v/>
      </c>
      <c r="M211" s="145" t="str">
        <v/>
      </c>
      <c r="N211" s="145" t="str">
        <v/>
      </c>
      <c r="O211" s="145" t="str">
        <v/>
      </c>
      <c r="P211" s="145" t="str">
        <v/>
      </c>
    </row>
    <row r="212" spans="1:16" x14ac:dyDescent="0.2">
      <c r="A212" s="58" t="str">
        <v/>
      </c>
      <c r="B212" s="123" t="str">
        <v/>
      </c>
      <c r="C212" s="145" t="str">
        <v/>
      </c>
      <c r="D212" s="145" t="str">
        <v/>
      </c>
      <c r="E212" s="145" t="str">
        <v/>
      </c>
      <c r="F212" s="145" t="str">
        <v/>
      </c>
      <c r="G212" s="145" t="str">
        <v/>
      </c>
      <c r="H212" s="145" t="str">
        <v/>
      </c>
      <c r="I212" s="145" t="str">
        <v/>
      </c>
      <c r="J212" s="145" t="str">
        <v/>
      </c>
      <c r="K212" s="145" t="str">
        <v/>
      </c>
      <c r="L212" s="145" t="str">
        <v/>
      </c>
      <c r="M212" s="145" t="str">
        <v/>
      </c>
      <c r="N212" s="145" t="str">
        <v/>
      </c>
      <c r="O212" s="145" t="str">
        <v/>
      </c>
      <c r="P212" s="145" t="str">
        <v/>
      </c>
    </row>
    <row r="213" spans="1:16" x14ac:dyDescent="0.2">
      <c r="A213" s="58" t="str">
        <v/>
      </c>
      <c r="B213" s="123" t="str">
        <v/>
      </c>
      <c r="C213" s="145" t="str">
        <v/>
      </c>
      <c r="D213" s="145" t="str">
        <v/>
      </c>
      <c r="E213" s="145" t="str">
        <v/>
      </c>
      <c r="F213" s="145" t="str">
        <v/>
      </c>
      <c r="G213" s="145" t="str">
        <v/>
      </c>
      <c r="H213" s="145" t="str">
        <v/>
      </c>
      <c r="I213" s="145" t="str">
        <v/>
      </c>
      <c r="J213" s="145" t="str">
        <v/>
      </c>
      <c r="K213" s="145" t="str">
        <v/>
      </c>
      <c r="L213" s="145" t="str">
        <v/>
      </c>
      <c r="M213" s="145" t="str">
        <v/>
      </c>
      <c r="N213" s="145" t="str">
        <v/>
      </c>
      <c r="O213" s="145" t="str">
        <v/>
      </c>
      <c r="P213" s="145" t="str">
        <v/>
      </c>
    </row>
    <row r="214" spans="1:16" x14ac:dyDescent="0.2">
      <c r="A214" s="58" t="str">
        <v/>
      </c>
      <c r="B214" s="123" t="str">
        <v/>
      </c>
      <c r="C214" s="145" t="str">
        <v/>
      </c>
      <c r="D214" s="145" t="str">
        <v/>
      </c>
      <c r="E214" s="145" t="str">
        <v/>
      </c>
      <c r="F214" s="145" t="str">
        <v/>
      </c>
      <c r="G214" s="145" t="str">
        <v/>
      </c>
      <c r="H214" s="145" t="str">
        <v/>
      </c>
      <c r="I214" s="145" t="str">
        <v/>
      </c>
      <c r="J214" s="145" t="str">
        <v/>
      </c>
      <c r="K214" s="145" t="str">
        <v/>
      </c>
      <c r="L214" s="145" t="str">
        <v/>
      </c>
      <c r="M214" s="145" t="str">
        <v/>
      </c>
      <c r="N214" s="145" t="str">
        <v/>
      </c>
      <c r="O214" s="145" t="str">
        <v/>
      </c>
      <c r="P214" s="145" t="str">
        <v/>
      </c>
    </row>
    <row r="215" spans="1:16" x14ac:dyDescent="0.2">
      <c r="A215" s="58" t="str">
        <v/>
      </c>
      <c r="B215" s="123" t="str">
        <v/>
      </c>
      <c r="C215" s="145" t="str">
        <v/>
      </c>
      <c r="D215" s="145" t="str">
        <v/>
      </c>
      <c r="E215" s="145" t="str">
        <v/>
      </c>
      <c r="F215" s="145" t="str">
        <v/>
      </c>
      <c r="G215" s="145" t="str">
        <v/>
      </c>
      <c r="H215" s="145" t="str">
        <v/>
      </c>
      <c r="I215" s="145" t="str">
        <v/>
      </c>
      <c r="J215" s="145" t="str">
        <v/>
      </c>
      <c r="K215" s="145" t="str">
        <v/>
      </c>
      <c r="L215" s="145" t="str">
        <v/>
      </c>
      <c r="M215" s="145" t="str">
        <v/>
      </c>
      <c r="N215" s="145" t="str">
        <v/>
      </c>
      <c r="O215" s="145" t="str">
        <v/>
      </c>
      <c r="P215" s="145" t="str">
        <v/>
      </c>
    </row>
    <row r="216" spans="1:16" x14ac:dyDescent="0.2">
      <c r="A216" s="58" t="str">
        <v/>
      </c>
      <c r="B216" s="123" t="str">
        <v/>
      </c>
      <c r="C216" s="145" t="str">
        <v/>
      </c>
      <c r="D216" s="145" t="str">
        <v/>
      </c>
      <c r="E216" s="145" t="str">
        <v/>
      </c>
      <c r="F216" s="145" t="str">
        <v/>
      </c>
      <c r="G216" s="145" t="str">
        <v/>
      </c>
      <c r="H216" s="145" t="str">
        <v/>
      </c>
      <c r="I216" s="145" t="str">
        <v/>
      </c>
      <c r="J216" s="145" t="str">
        <v/>
      </c>
      <c r="K216" s="145" t="str">
        <v/>
      </c>
      <c r="L216" s="145" t="str">
        <v/>
      </c>
      <c r="M216" s="145" t="str">
        <v/>
      </c>
      <c r="N216" s="145" t="str">
        <v/>
      </c>
      <c r="O216" s="145" t="str">
        <v/>
      </c>
      <c r="P216" s="145" t="str">
        <v/>
      </c>
    </row>
    <row r="217" spans="1:16" x14ac:dyDescent="0.2">
      <c r="A217" s="58" t="str">
        <v/>
      </c>
      <c r="B217" s="123" t="str">
        <v/>
      </c>
      <c r="C217" s="145" t="str">
        <v/>
      </c>
      <c r="D217" s="145" t="str">
        <v/>
      </c>
      <c r="E217" s="145" t="str">
        <v/>
      </c>
      <c r="F217" s="145" t="str">
        <v/>
      </c>
      <c r="G217" s="145" t="str">
        <v/>
      </c>
      <c r="H217" s="145" t="str">
        <v/>
      </c>
      <c r="I217" s="145" t="str">
        <v/>
      </c>
      <c r="J217" s="145" t="str">
        <v/>
      </c>
      <c r="K217" s="145" t="str">
        <v/>
      </c>
      <c r="L217" s="145" t="str">
        <v/>
      </c>
      <c r="M217" s="145" t="str">
        <v/>
      </c>
      <c r="N217" s="145" t="str">
        <v/>
      </c>
      <c r="O217" s="145" t="str">
        <v/>
      </c>
      <c r="P217" s="145" t="str">
        <v/>
      </c>
    </row>
    <row r="218" spans="1:16" x14ac:dyDescent="0.2">
      <c r="A218" s="58" t="str">
        <v/>
      </c>
      <c r="B218" s="123" t="str">
        <v/>
      </c>
      <c r="C218" s="145" t="str">
        <v/>
      </c>
      <c r="D218" s="145" t="str">
        <v/>
      </c>
      <c r="E218" s="145" t="str">
        <v/>
      </c>
      <c r="F218" s="145" t="str">
        <v/>
      </c>
      <c r="G218" s="145" t="str">
        <v/>
      </c>
      <c r="H218" s="145" t="str">
        <v/>
      </c>
      <c r="I218" s="145" t="str">
        <v/>
      </c>
      <c r="J218" s="145" t="str">
        <v/>
      </c>
      <c r="K218" s="145" t="str">
        <v/>
      </c>
      <c r="L218" s="145" t="str">
        <v/>
      </c>
      <c r="M218" s="145" t="str">
        <v/>
      </c>
      <c r="N218" s="145" t="str">
        <v/>
      </c>
      <c r="O218" s="145" t="str">
        <v/>
      </c>
      <c r="P218" s="145" t="str">
        <v/>
      </c>
    </row>
    <row r="219" spans="1:16" x14ac:dyDescent="0.2">
      <c r="A219" s="58" t="str">
        <v/>
      </c>
      <c r="B219" s="123" t="str">
        <v/>
      </c>
      <c r="C219" s="145" t="str">
        <v/>
      </c>
      <c r="D219" s="145" t="str">
        <v/>
      </c>
      <c r="E219" s="145" t="str">
        <v/>
      </c>
      <c r="F219" s="145" t="str">
        <v/>
      </c>
      <c r="G219" s="145" t="str">
        <v/>
      </c>
      <c r="H219" s="145" t="str">
        <v/>
      </c>
      <c r="I219" s="145" t="str">
        <v/>
      </c>
      <c r="J219" s="145" t="str">
        <v/>
      </c>
      <c r="K219" s="145" t="str">
        <v/>
      </c>
      <c r="L219" s="145" t="str">
        <v/>
      </c>
      <c r="M219" s="145" t="str">
        <v/>
      </c>
      <c r="N219" s="145" t="str">
        <v/>
      </c>
      <c r="O219" s="145" t="str">
        <v/>
      </c>
      <c r="P219" s="145" t="str">
        <v/>
      </c>
    </row>
    <row r="220" spans="1:16" x14ac:dyDescent="0.2">
      <c r="A220" s="58" t="str">
        <v/>
      </c>
      <c r="B220" s="123" t="str">
        <v/>
      </c>
      <c r="C220" s="145" t="str">
        <v/>
      </c>
      <c r="D220" s="145" t="str">
        <v/>
      </c>
      <c r="E220" s="145" t="str">
        <v/>
      </c>
      <c r="F220" s="145" t="str">
        <v/>
      </c>
      <c r="G220" s="145" t="str">
        <v/>
      </c>
      <c r="H220" s="145" t="str">
        <v/>
      </c>
      <c r="I220" s="145" t="str">
        <v/>
      </c>
      <c r="J220" s="145" t="str">
        <v/>
      </c>
      <c r="K220" s="145" t="str">
        <v/>
      </c>
      <c r="L220" s="145" t="str">
        <v/>
      </c>
      <c r="M220" s="145" t="str">
        <v/>
      </c>
      <c r="N220" s="145" t="str">
        <v/>
      </c>
      <c r="O220" s="145" t="str">
        <v/>
      </c>
      <c r="P220" s="145" t="str">
        <v/>
      </c>
    </row>
    <row r="221" spans="1:16" x14ac:dyDescent="0.2">
      <c r="A221" s="58" t="str">
        <v/>
      </c>
      <c r="B221" s="123" t="str">
        <v/>
      </c>
      <c r="C221" s="145" t="str">
        <v/>
      </c>
      <c r="D221" s="145" t="str">
        <v/>
      </c>
      <c r="E221" s="145" t="str">
        <v/>
      </c>
      <c r="F221" s="145" t="str">
        <v/>
      </c>
      <c r="G221" s="145" t="str">
        <v/>
      </c>
      <c r="H221" s="145" t="str">
        <v/>
      </c>
      <c r="I221" s="145" t="str">
        <v/>
      </c>
      <c r="J221" s="145" t="str">
        <v/>
      </c>
      <c r="K221" s="145" t="str">
        <v/>
      </c>
      <c r="L221" s="145" t="str">
        <v/>
      </c>
      <c r="M221" s="145" t="str">
        <v/>
      </c>
      <c r="N221" s="145" t="str">
        <v/>
      </c>
      <c r="O221" s="145" t="str">
        <v/>
      </c>
      <c r="P221" s="145" t="str">
        <v/>
      </c>
    </row>
    <row r="222" spans="1:16" x14ac:dyDescent="0.2">
      <c r="A222" s="58" t="str">
        <v/>
      </c>
      <c r="B222" s="123" t="str">
        <v/>
      </c>
      <c r="C222" s="145" t="str">
        <v/>
      </c>
      <c r="D222" s="145" t="str">
        <v/>
      </c>
      <c r="E222" s="145" t="str">
        <v/>
      </c>
      <c r="F222" s="145" t="str">
        <v/>
      </c>
      <c r="G222" s="145" t="str">
        <v/>
      </c>
      <c r="H222" s="145" t="str">
        <v/>
      </c>
      <c r="I222" s="145" t="str">
        <v/>
      </c>
      <c r="J222" s="145" t="str">
        <v/>
      </c>
      <c r="K222" s="145" t="str">
        <v/>
      </c>
      <c r="L222" s="145" t="str">
        <v/>
      </c>
      <c r="M222" s="145" t="str">
        <v/>
      </c>
      <c r="N222" s="145" t="str">
        <v/>
      </c>
      <c r="O222" s="145" t="str">
        <v/>
      </c>
      <c r="P222" s="145" t="str">
        <v/>
      </c>
    </row>
    <row r="223" spans="1:16" x14ac:dyDescent="0.2">
      <c r="A223" s="58" t="str">
        <v/>
      </c>
      <c r="B223" s="123" t="str">
        <v/>
      </c>
      <c r="C223" s="145" t="str">
        <v/>
      </c>
      <c r="D223" s="145" t="str">
        <v/>
      </c>
      <c r="E223" s="145" t="str">
        <v/>
      </c>
      <c r="F223" s="145" t="str">
        <v/>
      </c>
      <c r="G223" s="145" t="str">
        <v/>
      </c>
      <c r="H223" s="145" t="str">
        <v/>
      </c>
      <c r="I223" s="145" t="str">
        <v/>
      </c>
      <c r="J223" s="145" t="str">
        <v/>
      </c>
      <c r="K223" s="145" t="str">
        <v/>
      </c>
      <c r="L223" s="145" t="str">
        <v/>
      </c>
      <c r="M223" s="145" t="str">
        <v/>
      </c>
      <c r="N223" s="145" t="str">
        <v/>
      </c>
      <c r="O223" s="145" t="str">
        <v/>
      </c>
      <c r="P223" s="145" t="str">
        <v/>
      </c>
    </row>
    <row r="224" spans="1:16" x14ac:dyDescent="0.2">
      <c r="A224" s="58" t="str">
        <v/>
      </c>
      <c r="B224" s="123" t="str">
        <v/>
      </c>
      <c r="C224" s="145" t="str">
        <v/>
      </c>
      <c r="D224" s="145" t="str">
        <v/>
      </c>
      <c r="E224" s="145" t="str">
        <v/>
      </c>
      <c r="F224" s="145" t="str">
        <v/>
      </c>
      <c r="G224" s="145" t="str">
        <v/>
      </c>
      <c r="H224" s="145" t="str">
        <v/>
      </c>
      <c r="I224" s="145" t="str">
        <v/>
      </c>
      <c r="J224" s="145" t="str">
        <v/>
      </c>
      <c r="K224" s="145" t="str">
        <v/>
      </c>
      <c r="L224" s="145" t="str">
        <v/>
      </c>
      <c r="M224" s="145" t="str">
        <v/>
      </c>
      <c r="N224" s="145" t="str">
        <v/>
      </c>
      <c r="O224" s="145" t="str">
        <v/>
      </c>
      <c r="P224" s="145" t="str">
        <v/>
      </c>
    </row>
    <row r="225" spans="1:16" x14ac:dyDescent="0.2">
      <c r="A225" s="58" t="str">
        <v/>
      </c>
      <c r="B225" s="123" t="str">
        <v/>
      </c>
      <c r="C225" s="145" t="str">
        <v/>
      </c>
      <c r="D225" s="145" t="str">
        <v/>
      </c>
      <c r="E225" s="145" t="str">
        <v/>
      </c>
      <c r="F225" s="145" t="str">
        <v/>
      </c>
      <c r="G225" s="145" t="str">
        <v/>
      </c>
      <c r="H225" s="145" t="str">
        <v/>
      </c>
      <c r="I225" s="145" t="str">
        <v/>
      </c>
      <c r="J225" s="145" t="str">
        <v/>
      </c>
      <c r="K225" s="145" t="str">
        <v/>
      </c>
      <c r="L225" s="145" t="str">
        <v/>
      </c>
      <c r="M225" s="145" t="str">
        <v/>
      </c>
      <c r="N225" s="145" t="str">
        <v/>
      </c>
      <c r="O225" s="145" t="str">
        <v/>
      </c>
      <c r="P225" s="145" t="str">
        <v/>
      </c>
    </row>
    <row r="226" spans="1:16" x14ac:dyDescent="0.2">
      <c r="A226" s="58" t="str">
        <v/>
      </c>
      <c r="B226" s="123" t="str">
        <v/>
      </c>
      <c r="C226" s="145" t="str">
        <v/>
      </c>
      <c r="D226" s="145" t="str">
        <v/>
      </c>
      <c r="E226" s="145" t="str">
        <v/>
      </c>
      <c r="F226" s="145" t="str">
        <v/>
      </c>
      <c r="G226" s="145" t="str">
        <v/>
      </c>
      <c r="H226" s="145" t="str">
        <v/>
      </c>
      <c r="I226" s="145" t="str">
        <v/>
      </c>
      <c r="J226" s="145" t="str">
        <v/>
      </c>
      <c r="K226" s="145" t="str">
        <v/>
      </c>
      <c r="L226" s="145" t="str">
        <v/>
      </c>
      <c r="M226" s="145" t="str">
        <v/>
      </c>
      <c r="N226" s="145" t="str">
        <v/>
      </c>
      <c r="O226" s="145" t="str">
        <v/>
      </c>
      <c r="P226" s="145" t="str">
        <v/>
      </c>
    </row>
    <row r="227" spans="1:16" x14ac:dyDescent="0.2">
      <c r="A227" s="58" t="str">
        <v/>
      </c>
      <c r="B227" s="123" t="str">
        <v/>
      </c>
      <c r="C227" s="145" t="str">
        <v/>
      </c>
      <c r="D227" s="145" t="str">
        <v/>
      </c>
      <c r="E227" s="145" t="str">
        <v/>
      </c>
      <c r="F227" s="145" t="str">
        <v/>
      </c>
      <c r="G227" s="145" t="str">
        <v/>
      </c>
      <c r="H227" s="145" t="str">
        <v/>
      </c>
      <c r="I227" s="145" t="str">
        <v/>
      </c>
      <c r="J227" s="145" t="str">
        <v/>
      </c>
      <c r="K227" s="145" t="str">
        <v/>
      </c>
      <c r="L227" s="145" t="str">
        <v/>
      </c>
      <c r="M227" s="145" t="str">
        <v/>
      </c>
      <c r="N227" s="145" t="str">
        <v/>
      </c>
      <c r="O227" s="145" t="str">
        <v/>
      </c>
      <c r="P227" s="145" t="str">
        <v/>
      </c>
    </row>
    <row r="228" spans="1:16" x14ac:dyDescent="0.2">
      <c r="A228" s="58" t="str">
        <v/>
      </c>
      <c r="B228" s="123" t="str">
        <v/>
      </c>
      <c r="C228" s="145" t="str">
        <v/>
      </c>
      <c r="D228" s="145" t="str">
        <v/>
      </c>
      <c r="E228" s="145" t="str">
        <v/>
      </c>
      <c r="F228" s="145" t="str">
        <v/>
      </c>
      <c r="G228" s="145" t="str">
        <v/>
      </c>
      <c r="H228" s="145" t="str">
        <v/>
      </c>
      <c r="I228" s="145" t="str">
        <v/>
      </c>
      <c r="J228" s="145" t="str">
        <v/>
      </c>
      <c r="K228" s="145" t="str">
        <v/>
      </c>
      <c r="L228" s="145" t="str">
        <v/>
      </c>
      <c r="M228" s="145" t="str">
        <v/>
      </c>
      <c r="N228" s="145" t="str">
        <v/>
      </c>
      <c r="O228" s="145" t="str">
        <v/>
      </c>
      <c r="P228" s="145" t="str">
        <v/>
      </c>
    </row>
    <row r="229" spans="1:16" x14ac:dyDescent="0.2">
      <c r="A229" s="58" t="str">
        <v/>
      </c>
      <c r="B229" s="123" t="str">
        <v/>
      </c>
      <c r="C229" s="145" t="str">
        <v/>
      </c>
      <c r="D229" s="145" t="str">
        <v/>
      </c>
      <c r="E229" s="145" t="str">
        <v/>
      </c>
      <c r="F229" s="145" t="str">
        <v/>
      </c>
      <c r="G229" s="145" t="str">
        <v/>
      </c>
      <c r="H229" s="145" t="str">
        <v/>
      </c>
      <c r="I229" s="145" t="str">
        <v/>
      </c>
      <c r="J229" s="145" t="str">
        <v/>
      </c>
      <c r="K229" s="145" t="str">
        <v/>
      </c>
      <c r="L229" s="145" t="str">
        <v/>
      </c>
      <c r="M229" s="145" t="str">
        <v/>
      </c>
      <c r="N229" s="145" t="str">
        <v/>
      </c>
      <c r="O229" s="145" t="str">
        <v/>
      </c>
      <c r="P229" s="145" t="str">
        <v/>
      </c>
    </row>
    <row r="230" spans="1:16" x14ac:dyDescent="0.2">
      <c r="A230" s="58" t="str">
        <v/>
      </c>
      <c r="B230" s="123" t="str">
        <v/>
      </c>
      <c r="C230" s="145" t="str">
        <v/>
      </c>
      <c r="D230" s="145" t="str">
        <v/>
      </c>
      <c r="E230" s="145" t="str">
        <v/>
      </c>
      <c r="F230" s="145" t="str">
        <v/>
      </c>
      <c r="G230" s="145" t="str">
        <v/>
      </c>
      <c r="H230" s="145" t="str">
        <v/>
      </c>
      <c r="I230" s="145" t="str">
        <v/>
      </c>
      <c r="J230" s="145" t="str">
        <v/>
      </c>
      <c r="K230" s="145" t="str">
        <v/>
      </c>
      <c r="L230" s="145" t="str">
        <v/>
      </c>
      <c r="M230" s="145" t="str">
        <v/>
      </c>
      <c r="N230" s="145" t="str">
        <v/>
      </c>
      <c r="O230" s="145" t="str">
        <v/>
      </c>
      <c r="P230" s="145" t="str">
        <v/>
      </c>
    </row>
    <row r="231" spans="1:16" x14ac:dyDescent="0.2">
      <c r="A231" s="58" t="str">
        <v/>
      </c>
      <c r="B231" s="123" t="str">
        <v/>
      </c>
      <c r="C231" s="145" t="str">
        <v/>
      </c>
      <c r="D231" s="145" t="str">
        <v/>
      </c>
      <c r="E231" s="145" t="str">
        <v/>
      </c>
      <c r="F231" s="145" t="str">
        <v/>
      </c>
      <c r="G231" s="145" t="str">
        <v/>
      </c>
      <c r="H231" s="145" t="str">
        <v/>
      </c>
      <c r="I231" s="145" t="str">
        <v/>
      </c>
      <c r="J231" s="145" t="str">
        <v/>
      </c>
      <c r="K231" s="145" t="str">
        <v/>
      </c>
      <c r="L231" s="145" t="str">
        <v/>
      </c>
      <c r="M231" s="145" t="str">
        <v/>
      </c>
      <c r="N231" s="145" t="str">
        <v/>
      </c>
      <c r="O231" s="145" t="str">
        <v/>
      </c>
      <c r="P231" s="145" t="str">
        <v/>
      </c>
    </row>
    <row r="232" spans="1:16" x14ac:dyDescent="0.2">
      <c r="A232" s="58" t="str">
        <v/>
      </c>
      <c r="B232" s="123" t="str">
        <v/>
      </c>
      <c r="C232" s="145" t="str">
        <v/>
      </c>
      <c r="D232" s="145" t="str">
        <v/>
      </c>
      <c r="E232" s="145" t="str">
        <v/>
      </c>
      <c r="F232" s="145" t="str">
        <v/>
      </c>
      <c r="G232" s="145" t="str">
        <v/>
      </c>
      <c r="H232" s="145" t="str">
        <v/>
      </c>
      <c r="I232" s="145" t="str">
        <v/>
      </c>
      <c r="J232" s="145" t="str">
        <v/>
      </c>
      <c r="K232" s="145" t="str">
        <v/>
      </c>
      <c r="L232" s="145" t="str">
        <v/>
      </c>
      <c r="M232" s="145" t="str">
        <v/>
      </c>
      <c r="N232" s="145" t="str">
        <v/>
      </c>
      <c r="O232" s="145" t="str">
        <v/>
      </c>
      <c r="P232" s="145" t="str">
        <v/>
      </c>
    </row>
    <row r="233" spans="1:16" x14ac:dyDescent="0.2">
      <c r="A233" s="58" t="str">
        <v/>
      </c>
      <c r="B233" s="123" t="str">
        <v/>
      </c>
      <c r="C233" s="145" t="str">
        <v/>
      </c>
      <c r="D233" s="145" t="str">
        <v/>
      </c>
      <c r="E233" s="145" t="str">
        <v/>
      </c>
      <c r="F233" s="145" t="str">
        <v/>
      </c>
      <c r="G233" s="145" t="str">
        <v/>
      </c>
      <c r="H233" s="145" t="str">
        <v/>
      </c>
      <c r="I233" s="145" t="str">
        <v/>
      </c>
      <c r="J233" s="145" t="str">
        <v/>
      </c>
      <c r="K233" s="145" t="str">
        <v/>
      </c>
      <c r="L233" s="145" t="str">
        <v/>
      </c>
      <c r="M233" s="145" t="str">
        <v/>
      </c>
      <c r="N233" s="145" t="str">
        <v/>
      </c>
      <c r="O233" s="145" t="str">
        <v/>
      </c>
      <c r="P233" s="145" t="str">
        <v/>
      </c>
    </row>
    <row r="234" spans="1:16" x14ac:dyDescent="0.2">
      <c r="A234" s="58" t="str">
        <v/>
      </c>
      <c r="B234" s="123" t="str">
        <v/>
      </c>
      <c r="C234" s="145" t="str">
        <v/>
      </c>
      <c r="D234" s="145" t="str">
        <v/>
      </c>
      <c r="E234" s="145" t="str">
        <v/>
      </c>
      <c r="F234" s="145" t="str">
        <v/>
      </c>
      <c r="G234" s="145" t="str">
        <v/>
      </c>
      <c r="H234" s="145" t="str">
        <v/>
      </c>
      <c r="I234" s="145" t="str">
        <v/>
      </c>
      <c r="J234" s="145" t="str">
        <v/>
      </c>
      <c r="K234" s="145" t="str">
        <v/>
      </c>
      <c r="L234" s="145" t="str">
        <v/>
      </c>
      <c r="M234" s="145" t="str">
        <v/>
      </c>
      <c r="N234" s="145" t="str">
        <v/>
      </c>
      <c r="O234" s="145" t="str">
        <v/>
      </c>
      <c r="P234" s="145" t="str">
        <v/>
      </c>
    </row>
    <row r="235" spans="1:16" x14ac:dyDescent="0.2">
      <c r="A235" s="58" t="str">
        <v/>
      </c>
      <c r="B235" s="123" t="str">
        <v/>
      </c>
      <c r="C235" s="145" t="str">
        <v/>
      </c>
      <c r="D235" s="145" t="str">
        <v/>
      </c>
      <c r="E235" s="145" t="str">
        <v/>
      </c>
      <c r="F235" s="145" t="str">
        <v/>
      </c>
      <c r="G235" s="145" t="str">
        <v/>
      </c>
      <c r="H235" s="145" t="str">
        <v/>
      </c>
      <c r="I235" s="145" t="str">
        <v/>
      </c>
      <c r="J235" s="145" t="str">
        <v/>
      </c>
      <c r="K235" s="145" t="str">
        <v/>
      </c>
      <c r="L235" s="145" t="str">
        <v/>
      </c>
      <c r="M235" s="145" t="str">
        <v/>
      </c>
      <c r="N235" s="145" t="str">
        <v/>
      </c>
      <c r="O235" s="145" t="str">
        <v/>
      </c>
      <c r="P235" s="145" t="str">
        <v/>
      </c>
    </row>
    <row r="236" spans="1:16" x14ac:dyDescent="0.2">
      <c r="A236" s="58" t="str">
        <v/>
      </c>
      <c r="B236" s="123" t="str">
        <v/>
      </c>
      <c r="C236" s="145" t="str">
        <v/>
      </c>
      <c r="D236" s="145" t="str">
        <v/>
      </c>
      <c r="E236" s="145" t="str">
        <v/>
      </c>
      <c r="F236" s="145" t="str">
        <v/>
      </c>
      <c r="G236" s="145" t="str">
        <v/>
      </c>
      <c r="H236" s="145" t="str">
        <v/>
      </c>
      <c r="I236" s="145" t="str">
        <v/>
      </c>
      <c r="J236" s="145" t="str">
        <v/>
      </c>
      <c r="K236" s="145" t="str">
        <v/>
      </c>
      <c r="L236" s="145" t="str">
        <v/>
      </c>
      <c r="M236" s="145" t="str">
        <v/>
      </c>
      <c r="N236" s="145" t="str">
        <v/>
      </c>
      <c r="O236" s="145" t="str">
        <v/>
      </c>
      <c r="P236" s="145" t="str">
        <v/>
      </c>
    </row>
    <row r="237" spans="1:16" x14ac:dyDescent="0.2">
      <c r="A237" s="58" t="str">
        <v/>
      </c>
      <c r="B237" s="123" t="str">
        <v/>
      </c>
      <c r="C237" s="145" t="str">
        <v/>
      </c>
      <c r="D237" s="145" t="str">
        <v/>
      </c>
      <c r="E237" s="145" t="str">
        <v/>
      </c>
      <c r="F237" s="145" t="str">
        <v/>
      </c>
      <c r="G237" s="145" t="str">
        <v/>
      </c>
      <c r="H237" s="145" t="str">
        <v/>
      </c>
      <c r="I237" s="145" t="str">
        <v/>
      </c>
      <c r="J237" s="145" t="str">
        <v/>
      </c>
      <c r="K237" s="145" t="str">
        <v/>
      </c>
      <c r="L237" s="145" t="str">
        <v/>
      </c>
      <c r="M237" s="145" t="str">
        <v/>
      </c>
      <c r="N237" s="145" t="str">
        <v/>
      </c>
      <c r="O237" s="145" t="str">
        <v/>
      </c>
      <c r="P237" s="145" t="str">
        <v/>
      </c>
    </row>
    <row r="238" spans="1:16" x14ac:dyDescent="0.2">
      <c r="A238" s="58" t="str">
        <v/>
      </c>
      <c r="B238" s="123" t="str">
        <v/>
      </c>
      <c r="C238" s="145" t="str">
        <v/>
      </c>
      <c r="D238" s="145" t="str">
        <v/>
      </c>
      <c r="E238" s="145" t="str">
        <v/>
      </c>
      <c r="F238" s="145" t="str">
        <v/>
      </c>
      <c r="G238" s="145" t="str">
        <v/>
      </c>
      <c r="H238" s="145" t="str">
        <v/>
      </c>
      <c r="I238" s="145" t="str">
        <v/>
      </c>
      <c r="J238" s="145" t="str">
        <v/>
      </c>
      <c r="K238" s="145" t="str">
        <v/>
      </c>
      <c r="L238" s="145" t="str">
        <v/>
      </c>
      <c r="M238" s="145" t="str">
        <v/>
      </c>
      <c r="N238" s="145" t="str">
        <v/>
      </c>
      <c r="O238" s="145" t="str">
        <v/>
      </c>
      <c r="P238" s="145" t="str">
        <v/>
      </c>
    </row>
    <row r="239" spans="1:16" x14ac:dyDescent="0.2">
      <c r="A239" s="58" t="str">
        <v/>
      </c>
      <c r="B239" s="123" t="str">
        <v/>
      </c>
      <c r="C239" s="145" t="str">
        <v/>
      </c>
      <c r="D239" s="145" t="str">
        <v/>
      </c>
      <c r="E239" s="145" t="str">
        <v/>
      </c>
      <c r="F239" s="145" t="str">
        <v/>
      </c>
      <c r="G239" s="145" t="str">
        <v/>
      </c>
      <c r="H239" s="145" t="str">
        <v/>
      </c>
      <c r="I239" s="145" t="str">
        <v/>
      </c>
      <c r="J239" s="145" t="str">
        <v/>
      </c>
      <c r="K239" s="145" t="str">
        <v/>
      </c>
      <c r="L239" s="145" t="str">
        <v/>
      </c>
      <c r="M239" s="145" t="str">
        <v/>
      </c>
      <c r="N239" s="145" t="str">
        <v/>
      </c>
      <c r="O239" s="145" t="str">
        <v/>
      </c>
      <c r="P239" s="145" t="str">
        <v/>
      </c>
    </row>
    <row r="240" spans="1:16" x14ac:dyDescent="0.2">
      <c r="A240" s="58" t="str">
        <v/>
      </c>
      <c r="B240" s="123" t="str">
        <v/>
      </c>
      <c r="C240" s="145" t="str">
        <v/>
      </c>
      <c r="D240" s="145" t="str">
        <v/>
      </c>
      <c r="E240" s="145" t="str">
        <v/>
      </c>
      <c r="F240" s="145" t="str">
        <v/>
      </c>
      <c r="G240" s="145" t="str">
        <v/>
      </c>
      <c r="H240" s="145" t="str">
        <v/>
      </c>
      <c r="I240" s="145" t="str">
        <v/>
      </c>
      <c r="J240" s="145" t="str">
        <v/>
      </c>
      <c r="K240" s="145" t="str">
        <v/>
      </c>
      <c r="L240" s="145" t="str">
        <v/>
      </c>
      <c r="M240" s="145" t="str">
        <v/>
      </c>
      <c r="N240" s="145" t="str">
        <v/>
      </c>
      <c r="O240" s="145" t="str">
        <v/>
      </c>
      <c r="P240" s="145" t="str">
        <v/>
      </c>
    </row>
    <row r="241" spans="1:16" x14ac:dyDescent="0.2">
      <c r="A241" s="58" t="str">
        <v/>
      </c>
      <c r="B241" s="123" t="str">
        <v/>
      </c>
      <c r="C241" s="145" t="str">
        <v/>
      </c>
      <c r="D241" s="145" t="str">
        <v/>
      </c>
      <c r="E241" s="145" t="str">
        <v/>
      </c>
      <c r="F241" s="145" t="str">
        <v/>
      </c>
      <c r="G241" s="145" t="str">
        <v/>
      </c>
      <c r="H241" s="145" t="str">
        <v/>
      </c>
      <c r="I241" s="145" t="str">
        <v/>
      </c>
      <c r="J241" s="145" t="str">
        <v/>
      </c>
      <c r="K241" s="145" t="str">
        <v/>
      </c>
      <c r="L241" s="145" t="str">
        <v/>
      </c>
      <c r="M241" s="145" t="str">
        <v/>
      </c>
      <c r="N241" s="145" t="str">
        <v/>
      </c>
      <c r="O241" s="145" t="str">
        <v/>
      </c>
      <c r="P241" s="145" t="str">
        <v/>
      </c>
    </row>
    <row r="242" spans="1:16" x14ac:dyDescent="0.2">
      <c r="A242" s="58" t="str">
        <v/>
      </c>
      <c r="B242" s="123" t="str">
        <v/>
      </c>
      <c r="C242" s="145" t="str">
        <v/>
      </c>
      <c r="D242" s="145" t="str">
        <v/>
      </c>
      <c r="E242" s="145" t="str">
        <v/>
      </c>
      <c r="F242" s="145" t="str">
        <v/>
      </c>
      <c r="G242" s="145" t="str">
        <v/>
      </c>
      <c r="H242" s="145" t="str">
        <v/>
      </c>
      <c r="I242" s="145" t="str">
        <v/>
      </c>
      <c r="J242" s="145" t="str">
        <v/>
      </c>
      <c r="K242" s="145" t="str">
        <v/>
      </c>
      <c r="L242" s="145" t="str">
        <v/>
      </c>
      <c r="M242" s="145" t="str">
        <v/>
      </c>
      <c r="N242" s="145" t="str">
        <v/>
      </c>
      <c r="O242" s="145" t="str">
        <v/>
      </c>
      <c r="P242" s="145" t="str">
        <v/>
      </c>
    </row>
    <row r="243" spans="1:16" x14ac:dyDescent="0.2">
      <c r="A243" s="58" t="str">
        <v/>
      </c>
      <c r="B243" s="123" t="str">
        <v/>
      </c>
      <c r="C243" s="145" t="str">
        <v/>
      </c>
      <c r="D243" s="145" t="str">
        <v/>
      </c>
      <c r="E243" s="145" t="str">
        <v/>
      </c>
      <c r="F243" s="145" t="str">
        <v/>
      </c>
      <c r="G243" s="145" t="str">
        <v/>
      </c>
      <c r="H243" s="145" t="str">
        <v/>
      </c>
      <c r="I243" s="145" t="str">
        <v/>
      </c>
      <c r="J243" s="145" t="str">
        <v/>
      </c>
      <c r="K243" s="145" t="str">
        <v/>
      </c>
      <c r="L243" s="145" t="str">
        <v/>
      </c>
      <c r="M243" s="145" t="str">
        <v/>
      </c>
      <c r="N243" s="145" t="str">
        <v/>
      </c>
      <c r="O243" s="145" t="str">
        <v/>
      </c>
      <c r="P243" s="145" t="str">
        <v/>
      </c>
    </row>
    <row r="244" spans="1:16" x14ac:dyDescent="0.2">
      <c r="A244" s="58" t="str">
        <v/>
      </c>
      <c r="B244" s="123" t="str">
        <v/>
      </c>
      <c r="C244" s="145" t="str">
        <v/>
      </c>
      <c r="D244" s="145" t="str">
        <v/>
      </c>
      <c r="E244" s="145" t="str">
        <v/>
      </c>
      <c r="F244" s="145" t="str">
        <v/>
      </c>
      <c r="G244" s="145" t="str">
        <v/>
      </c>
      <c r="H244" s="145" t="str">
        <v/>
      </c>
      <c r="I244" s="145" t="str">
        <v/>
      </c>
      <c r="J244" s="145" t="str">
        <v/>
      </c>
      <c r="K244" s="145" t="str">
        <v/>
      </c>
      <c r="L244" s="145" t="str">
        <v/>
      </c>
      <c r="M244" s="145" t="str">
        <v/>
      </c>
      <c r="N244" s="145" t="str">
        <v/>
      </c>
      <c r="O244" s="145" t="str">
        <v/>
      </c>
      <c r="P244" s="145" t="str">
        <v/>
      </c>
    </row>
    <row r="245" spans="1:16" x14ac:dyDescent="0.2">
      <c r="A245" s="58" t="str">
        <v/>
      </c>
      <c r="B245" s="123" t="str">
        <v/>
      </c>
      <c r="C245" s="145" t="str">
        <v/>
      </c>
      <c r="D245" s="145" t="str">
        <v/>
      </c>
      <c r="E245" s="145" t="str">
        <v/>
      </c>
      <c r="F245" s="145" t="str">
        <v/>
      </c>
      <c r="G245" s="145" t="str">
        <v/>
      </c>
      <c r="H245" s="145" t="str">
        <v/>
      </c>
      <c r="I245" s="145" t="str">
        <v/>
      </c>
      <c r="J245" s="145" t="str">
        <v/>
      </c>
      <c r="K245" s="145" t="str">
        <v/>
      </c>
      <c r="L245" s="145" t="str">
        <v/>
      </c>
      <c r="M245" s="145" t="str">
        <v/>
      </c>
      <c r="N245" s="145" t="str">
        <v/>
      </c>
      <c r="O245" s="145" t="str">
        <v/>
      </c>
      <c r="P245" s="145" t="str">
        <v/>
      </c>
    </row>
    <row r="246" spans="1:16" x14ac:dyDescent="0.2">
      <c r="A246" s="58" t="str">
        <v/>
      </c>
      <c r="B246" s="123" t="str">
        <v/>
      </c>
      <c r="C246" s="145" t="str">
        <v/>
      </c>
      <c r="D246" s="145" t="str">
        <v/>
      </c>
      <c r="E246" s="145" t="str">
        <v/>
      </c>
      <c r="F246" s="145" t="str">
        <v/>
      </c>
      <c r="G246" s="145" t="str">
        <v/>
      </c>
      <c r="H246" s="145" t="str">
        <v/>
      </c>
      <c r="I246" s="145" t="str">
        <v/>
      </c>
      <c r="J246" s="145" t="str">
        <v/>
      </c>
      <c r="K246" s="145" t="str">
        <v/>
      </c>
      <c r="L246" s="145" t="str">
        <v/>
      </c>
      <c r="M246" s="145" t="str">
        <v/>
      </c>
      <c r="N246" s="145" t="str">
        <v/>
      </c>
      <c r="O246" s="145" t="str">
        <v/>
      </c>
      <c r="P246" s="145" t="str">
        <v/>
      </c>
    </row>
    <row r="247" spans="1:16" x14ac:dyDescent="0.2">
      <c r="A247" s="58" t="str">
        <v/>
      </c>
      <c r="B247" s="123" t="str">
        <v/>
      </c>
      <c r="C247" s="145" t="str">
        <v/>
      </c>
      <c r="D247" s="145" t="str">
        <v/>
      </c>
      <c r="E247" s="145" t="str">
        <v/>
      </c>
      <c r="F247" s="145" t="str">
        <v/>
      </c>
      <c r="G247" s="145" t="str">
        <v/>
      </c>
      <c r="H247" s="145" t="str">
        <v/>
      </c>
      <c r="I247" s="145" t="str">
        <v/>
      </c>
      <c r="J247" s="145" t="str">
        <v/>
      </c>
      <c r="K247" s="145" t="str">
        <v/>
      </c>
      <c r="L247" s="145" t="str">
        <v/>
      </c>
      <c r="M247" s="145" t="str">
        <v/>
      </c>
      <c r="N247" s="145" t="str">
        <v/>
      </c>
      <c r="O247" s="145" t="str">
        <v/>
      </c>
      <c r="P247" s="145" t="str">
        <v/>
      </c>
    </row>
    <row r="248" spans="1:16" x14ac:dyDescent="0.2">
      <c r="A248" s="58" t="str">
        <v/>
      </c>
      <c r="B248" s="123" t="str">
        <v/>
      </c>
      <c r="C248" s="145" t="str">
        <v/>
      </c>
      <c r="D248" s="145" t="str">
        <v/>
      </c>
      <c r="E248" s="145" t="str">
        <v/>
      </c>
      <c r="F248" s="145" t="str">
        <v/>
      </c>
      <c r="G248" s="145" t="str">
        <v/>
      </c>
      <c r="H248" s="145" t="str">
        <v/>
      </c>
      <c r="I248" s="145" t="str">
        <v/>
      </c>
      <c r="J248" s="145" t="str">
        <v/>
      </c>
      <c r="K248" s="145" t="str">
        <v/>
      </c>
      <c r="L248" s="145" t="str">
        <v/>
      </c>
      <c r="M248" s="145" t="str">
        <v/>
      </c>
      <c r="N248" s="145" t="str">
        <v/>
      </c>
      <c r="O248" s="145" t="str">
        <v/>
      </c>
      <c r="P248" s="145" t="str">
        <v/>
      </c>
    </row>
    <row r="249" spans="1:16" x14ac:dyDescent="0.2">
      <c r="A249" s="58" t="str">
        <v/>
      </c>
      <c r="B249" s="123" t="str">
        <v/>
      </c>
      <c r="C249" s="145" t="str">
        <v/>
      </c>
      <c r="D249" s="145" t="str">
        <v/>
      </c>
      <c r="E249" s="145" t="str">
        <v/>
      </c>
      <c r="F249" s="145" t="str">
        <v/>
      </c>
      <c r="G249" s="145" t="str">
        <v/>
      </c>
      <c r="H249" s="145" t="str">
        <v/>
      </c>
      <c r="I249" s="145" t="str">
        <v/>
      </c>
      <c r="J249" s="145" t="str">
        <v/>
      </c>
      <c r="K249" s="145" t="str">
        <v/>
      </c>
      <c r="L249" s="145" t="str">
        <v/>
      </c>
      <c r="M249" s="145" t="str">
        <v/>
      </c>
      <c r="N249" s="145" t="str">
        <v/>
      </c>
      <c r="O249" s="145" t="str">
        <v/>
      </c>
      <c r="P249" s="145" t="str">
        <v/>
      </c>
    </row>
    <row r="250" spans="1:16" x14ac:dyDescent="0.2">
      <c r="A250" s="58" t="str">
        <v/>
      </c>
      <c r="B250" s="123" t="str">
        <v/>
      </c>
      <c r="C250" s="145" t="str">
        <v/>
      </c>
      <c r="D250" s="145" t="str">
        <v/>
      </c>
      <c r="E250" s="145" t="str">
        <v/>
      </c>
      <c r="F250" s="145" t="str">
        <v/>
      </c>
      <c r="G250" s="145" t="str">
        <v/>
      </c>
      <c r="H250" s="145" t="str">
        <v/>
      </c>
      <c r="I250" s="145" t="str">
        <v/>
      </c>
      <c r="J250" s="145" t="str">
        <v/>
      </c>
      <c r="K250" s="145" t="str">
        <v/>
      </c>
      <c r="L250" s="145" t="str">
        <v/>
      </c>
      <c r="M250" s="145" t="str">
        <v/>
      </c>
      <c r="N250" s="145" t="str">
        <v/>
      </c>
      <c r="O250" s="145" t="str">
        <v/>
      </c>
      <c r="P250" s="145" t="str">
        <v/>
      </c>
    </row>
    <row r="251" spans="1:16" x14ac:dyDescent="0.2">
      <c r="A251" s="58" t="str">
        <v/>
      </c>
      <c r="B251" s="123" t="str">
        <v/>
      </c>
      <c r="C251" s="145" t="str">
        <v/>
      </c>
      <c r="D251" s="145" t="str">
        <v/>
      </c>
      <c r="E251" s="145" t="str">
        <v/>
      </c>
      <c r="F251" s="145" t="str">
        <v/>
      </c>
      <c r="G251" s="145" t="str">
        <v/>
      </c>
      <c r="H251" s="145" t="str">
        <v/>
      </c>
      <c r="I251" s="145" t="str">
        <v/>
      </c>
      <c r="J251" s="145" t="str">
        <v/>
      </c>
      <c r="K251" s="145" t="str">
        <v/>
      </c>
      <c r="L251" s="145" t="str">
        <v/>
      </c>
      <c r="M251" s="145" t="str">
        <v/>
      </c>
      <c r="N251" s="145" t="str">
        <v/>
      </c>
      <c r="O251" s="145" t="str">
        <v/>
      </c>
      <c r="P251" s="145" t="str">
        <v/>
      </c>
    </row>
    <row r="252" spans="1:16" x14ac:dyDescent="0.2">
      <c r="A252" s="58" t="str">
        <v/>
      </c>
      <c r="B252" s="123" t="str">
        <v/>
      </c>
      <c r="C252" s="145" t="str">
        <v/>
      </c>
      <c r="D252" s="145" t="str">
        <v/>
      </c>
      <c r="E252" s="145" t="str">
        <v/>
      </c>
      <c r="F252" s="145" t="str">
        <v/>
      </c>
      <c r="G252" s="145" t="str">
        <v/>
      </c>
      <c r="H252" s="145" t="str">
        <v/>
      </c>
      <c r="I252" s="145" t="str">
        <v/>
      </c>
      <c r="J252" s="145" t="str">
        <v/>
      </c>
      <c r="K252" s="145" t="str">
        <v/>
      </c>
      <c r="L252" s="145" t="str">
        <v/>
      </c>
      <c r="M252" s="145" t="str">
        <v/>
      </c>
      <c r="N252" s="145" t="str">
        <v/>
      </c>
      <c r="O252" s="145" t="str">
        <v/>
      </c>
      <c r="P252" s="145" t="str">
        <v/>
      </c>
    </row>
    <row r="253" spans="1:16" x14ac:dyDescent="0.2">
      <c r="A253" s="58" t="str">
        <v/>
      </c>
      <c r="B253" s="123" t="str">
        <v/>
      </c>
      <c r="C253" s="145" t="str">
        <v/>
      </c>
      <c r="D253" s="145" t="str">
        <v/>
      </c>
      <c r="E253" s="145" t="str">
        <v/>
      </c>
      <c r="F253" s="145" t="str">
        <v/>
      </c>
      <c r="G253" s="145" t="str">
        <v/>
      </c>
      <c r="H253" s="145" t="str">
        <v/>
      </c>
      <c r="I253" s="145" t="str">
        <v/>
      </c>
      <c r="J253" s="145" t="str">
        <v/>
      </c>
      <c r="K253" s="145" t="str">
        <v/>
      </c>
      <c r="L253" s="145" t="str">
        <v/>
      </c>
      <c r="M253" s="145" t="str">
        <v/>
      </c>
      <c r="N253" s="145" t="str">
        <v/>
      </c>
      <c r="O253" s="145" t="str">
        <v/>
      </c>
      <c r="P253" s="145" t="str">
        <v/>
      </c>
    </row>
    <row r="254" spans="1:16" x14ac:dyDescent="0.2">
      <c r="A254" s="58" t="str">
        <v/>
      </c>
      <c r="B254" s="123" t="str">
        <v/>
      </c>
      <c r="C254" s="145" t="str">
        <v/>
      </c>
      <c r="D254" s="145" t="str">
        <v/>
      </c>
      <c r="E254" s="145" t="str">
        <v/>
      </c>
      <c r="F254" s="145" t="str">
        <v/>
      </c>
      <c r="G254" s="145" t="str">
        <v/>
      </c>
      <c r="H254" s="145" t="str">
        <v/>
      </c>
      <c r="I254" s="145" t="str">
        <v/>
      </c>
      <c r="J254" s="145" t="str">
        <v/>
      </c>
      <c r="K254" s="145" t="str">
        <v/>
      </c>
      <c r="L254" s="145" t="str">
        <v/>
      </c>
      <c r="M254" s="145" t="str">
        <v/>
      </c>
      <c r="N254" s="145" t="str">
        <v/>
      </c>
      <c r="O254" s="145" t="str">
        <v/>
      </c>
      <c r="P254" s="145" t="str">
        <v/>
      </c>
    </row>
    <row r="255" spans="1:16" x14ac:dyDescent="0.2">
      <c r="A255" s="58" t="str">
        <v/>
      </c>
      <c r="B255" s="123" t="str">
        <v/>
      </c>
      <c r="C255" s="145" t="str">
        <v/>
      </c>
      <c r="D255" s="145" t="str">
        <v/>
      </c>
      <c r="E255" s="145" t="str">
        <v/>
      </c>
      <c r="F255" s="145" t="str">
        <v/>
      </c>
      <c r="G255" s="145" t="str">
        <v/>
      </c>
      <c r="H255" s="145" t="str">
        <v/>
      </c>
      <c r="I255" s="145" t="str">
        <v/>
      </c>
      <c r="J255" s="145" t="str">
        <v/>
      </c>
      <c r="K255" s="145" t="str">
        <v/>
      </c>
      <c r="L255" s="145" t="str">
        <v/>
      </c>
      <c r="M255" s="145" t="str">
        <v/>
      </c>
      <c r="N255" s="145" t="str">
        <v/>
      </c>
      <c r="O255" s="145" t="str">
        <v/>
      </c>
      <c r="P255" s="145" t="str">
        <v/>
      </c>
    </row>
    <row r="256" spans="1:16" x14ac:dyDescent="0.2">
      <c r="A256" s="58" t="str">
        <v/>
      </c>
      <c r="B256" s="123" t="str">
        <v/>
      </c>
      <c r="C256" s="145" t="str">
        <v/>
      </c>
      <c r="D256" s="145" t="str">
        <v/>
      </c>
      <c r="E256" s="145" t="str">
        <v/>
      </c>
      <c r="F256" s="145" t="str">
        <v/>
      </c>
      <c r="G256" s="145" t="str">
        <v/>
      </c>
      <c r="H256" s="145" t="str">
        <v/>
      </c>
      <c r="I256" s="145" t="str">
        <v/>
      </c>
      <c r="J256" s="145" t="str">
        <v/>
      </c>
      <c r="K256" s="145" t="str">
        <v/>
      </c>
      <c r="L256" s="145" t="str">
        <v/>
      </c>
      <c r="M256" s="145" t="str">
        <v/>
      </c>
      <c r="N256" s="145" t="str">
        <v/>
      </c>
      <c r="O256" s="145" t="str">
        <v/>
      </c>
      <c r="P256" s="145" t="str">
        <v/>
      </c>
    </row>
    <row r="257" spans="1:16" x14ac:dyDescent="0.2">
      <c r="A257" s="58" t="str">
        <v/>
      </c>
      <c r="B257" s="123" t="str">
        <v/>
      </c>
      <c r="C257" s="145" t="str">
        <v/>
      </c>
      <c r="D257" s="145" t="str">
        <v/>
      </c>
      <c r="E257" s="145" t="str">
        <v/>
      </c>
      <c r="F257" s="145" t="str">
        <v/>
      </c>
      <c r="G257" s="145" t="str">
        <v/>
      </c>
      <c r="H257" s="145" t="str">
        <v/>
      </c>
      <c r="I257" s="145" t="str">
        <v/>
      </c>
      <c r="J257" s="145" t="str">
        <v/>
      </c>
      <c r="K257" s="145" t="str">
        <v/>
      </c>
      <c r="L257" s="145" t="str">
        <v/>
      </c>
      <c r="M257" s="145" t="str">
        <v/>
      </c>
      <c r="N257" s="145" t="str">
        <v/>
      </c>
      <c r="O257" s="145" t="str">
        <v/>
      </c>
      <c r="P257" s="145" t="str">
        <v/>
      </c>
    </row>
    <row r="258" spans="1:16" x14ac:dyDescent="0.2">
      <c r="A258" s="58" t="str">
        <v/>
      </c>
      <c r="B258" s="123" t="str">
        <v/>
      </c>
      <c r="C258" s="145" t="str">
        <v/>
      </c>
      <c r="D258" s="145" t="str">
        <v/>
      </c>
      <c r="E258" s="145" t="str">
        <v/>
      </c>
      <c r="F258" s="145" t="str">
        <v/>
      </c>
      <c r="G258" s="145" t="str">
        <v/>
      </c>
      <c r="H258" s="145" t="str">
        <v/>
      </c>
      <c r="I258" s="145" t="str">
        <v/>
      </c>
      <c r="J258" s="145" t="str">
        <v/>
      </c>
      <c r="K258" s="145" t="str">
        <v/>
      </c>
      <c r="L258" s="145" t="str">
        <v/>
      </c>
      <c r="M258" s="145" t="str">
        <v/>
      </c>
      <c r="N258" s="145" t="str">
        <v/>
      </c>
      <c r="O258" s="145" t="str">
        <v/>
      </c>
      <c r="P258" s="145" t="str">
        <v/>
      </c>
    </row>
    <row r="259" spans="1:16" x14ac:dyDescent="0.2">
      <c r="A259" s="58" t="str">
        <v/>
      </c>
      <c r="B259" s="123" t="str">
        <v/>
      </c>
      <c r="C259" s="145" t="str">
        <v/>
      </c>
      <c r="D259" s="145" t="str">
        <v/>
      </c>
      <c r="E259" s="145" t="str">
        <v/>
      </c>
      <c r="F259" s="145" t="str">
        <v/>
      </c>
      <c r="G259" s="145" t="str">
        <v/>
      </c>
      <c r="H259" s="145" t="str">
        <v/>
      </c>
      <c r="I259" s="145" t="str">
        <v/>
      </c>
      <c r="J259" s="145" t="str">
        <v/>
      </c>
      <c r="K259" s="145" t="str">
        <v/>
      </c>
      <c r="L259" s="145" t="str">
        <v/>
      </c>
      <c r="M259" s="145" t="str">
        <v/>
      </c>
      <c r="N259" s="145" t="str">
        <v/>
      </c>
      <c r="O259" s="145" t="str">
        <v/>
      </c>
      <c r="P259" s="145" t="str">
        <v/>
      </c>
    </row>
    <row r="260" spans="1:16" x14ac:dyDescent="0.2">
      <c r="A260" s="58" t="str">
        <v/>
      </c>
      <c r="B260" s="123" t="str">
        <v/>
      </c>
      <c r="C260" s="145" t="str">
        <v/>
      </c>
      <c r="D260" s="145" t="str">
        <v/>
      </c>
      <c r="E260" s="145" t="str">
        <v/>
      </c>
      <c r="F260" s="145" t="str">
        <v/>
      </c>
      <c r="G260" s="145" t="str">
        <v/>
      </c>
      <c r="H260" s="145" t="str">
        <v/>
      </c>
      <c r="I260" s="145" t="str">
        <v/>
      </c>
      <c r="J260" s="145" t="str">
        <v/>
      </c>
      <c r="K260" s="145" t="str">
        <v/>
      </c>
      <c r="L260" s="145" t="str">
        <v/>
      </c>
      <c r="M260" s="145" t="str">
        <v/>
      </c>
      <c r="N260" s="145" t="str">
        <v/>
      </c>
      <c r="O260" s="145" t="str">
        <v/>
      </c>
      <c r="P260" s="145" t="str">
        <v/>
      </c>
    </row>
    <row r="261" spans="1:16" x14ac:dyDescent="0.2">
      <c r="A261" s="58" t="str">
        <v/>
      </c>
      <c r="B261" s="123" t="str">
        <v/>
      </c>
      <c r="C261" s="145" t="str">
        <v/>
      </c>
      <c r="D261" s="145" t="str">
        <v/>
      </c>
      <c r="E261" s="145" t="str">
        <v/>
      </c>
      <c r="F261" s="145" t="str">
        <v/>
      </c>
      <c r="G261" s="145" t="str">
        <v/>
      </c>
      <c r="H261" s="145" t="str">
        <v/>
      </c>
      <c r="I261" s="145" t="str">
        <v/>
      </c>
      <c r="J261" s="145" t="str">
        <v/>
      </c>
      <c r="K261" s="145" t="str">
        <v/>
      </c>
      <c r="L261" s="145" t="str">
        <v/>
      </c>
      <c r="M261" s="145" t="str">
        <v/>
      </c>
      <c r="N261" s="145" t="str">
        <v/>
      </c>
      <c r="O261" s="145" t="str">
        <v/>
      </c>
      <c r="P261" s="145" t="str">
        <v/>
      </c>
    </row>
    <row r="262" spans="1:16" x14ac:dyDescent="0.2">
      <c r="A262" s="58" t="str">
        <v/>
      </c>
      <c r="B262" s="123" t="str">
        <v/>
      </c>
      <c r="C262" s="145" t="str">
        <v/>
      </c>
      <c r="D262" s="145" t="str">
        <v/>
      </c>
      <c r="E262" s="145" t="str">
        <v/>
      </c>
      <c r="F262" s="145" t="str">
        <v/>
      </c>
      <c r="G262" s="145" t="str">
        <v/>
      </c>
      <c r="H262" s="145" t="str">
        <v/>
      </c>
      <c r="I262" s="145" t="str">
        <v/>
      </c>
      <c r="J262" s="145" t="str">
        <v/>
      </c>
      <c r="K262" s="145" t="str">
        <v/>
      </c>
      <c r="L262" s="145" t="str">
        <v/>
      </c>
      <c r="M262" s="145" t="str">
        <v/>
      </c>
      <c r="N262" s="145" t="str">
        <v/>
      </c>
      <c r="O262" s="145" t="str">
        <v/>
      </c>
      <c r="P262" s="145" t="str">
        <v/>
      </c>
    </row>
    <row r="263" spans="1:16" x14ac:dyDescent="0.2">
      <c r="A263" s="58" t="str">
        <v/>
      </c>
      <c r="B263" s="123" t="str">
        <v/>
      </c>
      <c r="C263" s="145" t="str">
        <v/>
      </c>
      <c r="D263" s="145" t="str">
        <v/>
      </c>
      <c r="E263" s="145" t="str">
        <v/>
      </c>
      <c r="F263" s="145" t="str">
        <v/>
      </c>
      <c r="G263" s="145" t="str">
        <v/>
      </c>
      <c r="H263" s="145" t="str">
        <v/>
      </c>
      <c r="I263" s="145" t="str">
        <v/>
      </c>
      <c r="J263" s="145" t="str">
        <v/>
      </c>
      <c r="K263" s="145" t="str">
        <v/>
      </c>
      <c r="L263" s="145" t="str">
        <v/>
      </c>
      <c r="M263" s="145" t="str">
        <v/>
      </c>
      <c r="N263" s="145" t="str">
        <v/>
      </c>
      <c r="O263" s="145" t="str">
        <v/>
      </c>
      <c r="P263" s="145" t="str">
        <v/>
      </c>
    </row>
    <row r="264" spans="1:16" x14ac:dyDescent="0.2">
      <c r="A264" s="58" t="str">
        <v/>
      </c>
      <c r="B264" s="123" t="str">
        <v/>
      </c>
      <c r="C264" s="145" t="str">
        <v/>
      </c>
      <c r="D264" s="145" t="str">
        <v/>
      </c>
      <c r="E264" s="145" t="str">
        <v/>
      </c>
      <c r="F264" s="145" t="str">
        <v/>
      </c>
      <c r="G264" s="145" t="str">
        <v/>
      </c>
      <c r="H264" s="145" t="str">
        <v/>
      </c>
      <c r="I264" s="145" t="str">
        <v/>
      </c>
      <c r="J264" s="145" t="str">
        <v/>
      </c>
      <c r="K264" s="145" t="str">
        <v/>
      </c>
      <c r="L264" s="145" t="str">
        <v/>
      </c>
      <c r="M264" s="145" t="str">
        <v/>
      </c>
      <c r="N264" s="145" t="str">
        <v/>
      </c>
      <c r="O264" s="145" t="str">
        <v/>
      </c>
      <c r="P264" s="145" t="str">
        <v/>
      </c>
    </row>
    <row r="265" spans="1:16" x14ac:dyDescent="0.2">
      <c r="A265" s="58" t="str">
        <v/>
      </c>
      <c r="B265" s="123" t="str">
        <v/>
      </c>
      <c r="C265" s="145" t="str">
        <v/>
      </c>
      <c r="D265" s="145" t="str">
        <v/>
      </c>
      <c r="E265" s="145" t="str">
        <v/>
      </c>
      <c r="F265" s="145" t="str">
        <v/>
      </c>
      <c r="G265" s="145" t="str">
        <v/>
      </c>
      <c r="H265" s="145" t="str">
        <v/>
      </c>
      <c r="I265" s="145" t="str">
        <v/>
      </c>
      <c r="J265" s="145" t="str">
        <v/>
      </c>
      <c r="K265" s="145" t="str">
        <v/>
      </c>
      <c r="L265" s="145" t="str">
        <v/>
      </c>
      <c r="M265" s="145" t="str">
        <v/>
      </c>
      <c r="N265" s="145" t="str">
        <v/>
      </c>
      <c r="O265" s="145" t="str">
        <v/>
      </c>
      <c r="P265" s="145" t="str">
        <v/>
      </c>
    </row>
    <row r="266" spans="1:16" x14ac:dyDescent="0.2">
      <c r="A266" s="58" t="str">
        <v/>
      </c>
      <c r="B266" s="123" t="str">
        <v/>
      </c>
      <c r="C266" s="145" t="str">
        <v/>
      </c>
      <c r="D266" s="145" t="str">
        <v/>
      </c>
      <c r="E266" s="145" t="str">
        <v/>
      </c>
      <c r="F266" s="145" t="str">
        <v/>
      </c>
      <c r="G266" s="145" t="str">
        <v/>
      </c>
      <c r="H266" s="145" t="str">
        <v/>
      </c>
      <c r="I266" s="145" t="str">
        <v/>
      </c>
      <c r="J266" s="145" t="str">
        <v/>
      </c>
      <c r="K266" s="145" t="str">
        <v/>
      </c>
      <c r="L266" s="145" t="str">
        <v/>
      </c>
      <c r="M266" s="145" t="str">
        <v/>
      </c>
      <c r="N266" s="145" t="str">
        <v/>
      </c>
      <c r="O266" s="145" t="str">
        <v/>
      </c>
      <c r="P266" s="145" t="str">
        <v/>
      </c>
    </row>
    <row r="267" spans="1:16" x14ac:dyDescent="0.2">
      <c r="A267" s="58" t="str">
        <v/>
      </c>
      <c r="B267" s="123" t="str">
        <v/>
      </c>
      <c r="C267" s="145" t="str">
        <v/>
      </c>
      <c r="D267" s="145" t="str">
        <v/>
      </c>
      <c r="E267" s="145" t="str">
        <v/>
      </c>
      <c r="F267" s="145" t="str">
        <v/>
      </c>
      <c r="G267" s="145" t="str">
        <v/>
      </c>
      <c r="H267" s="145" t="str">
        <v/>
      </c>
      <c r="I267" s="145" t="str">
        <v/>
      </c>
      <c r="J267" s="145" t="str">
        <v/>
      </c>
      <c r="K267" s="145" t="str">
        <v/>
      </c>
      <c r="L267" s="145" t="str">
        <v/>
      </c>
      <c r="M267" s="145" t="str">
        <v/>
      </c>
      <c r="N267" s="145" t="str">
        <v/>
      </c>
      <c r="O267" s="145" t="str">
        <v/>
      </c>
      <c r="P267" s="145" t="str">
        <v/>
      </c>
    </row>
    <row r="268" spans="1:16" x14ac:dyDescent="0.2">
      <c r="A268" s="58" t="str">
        <v/>
      </c>
      <c r="B268" s="123" t="str">
        <v/>
      </c>
      <c r="C268" s="145" t="str">
        <v/>
      </c>
      <c r="D268" s="145" t="str">
        <v/>
      </c>
      <c r="E268" s="145" t="str">
        <v/>
      </c>
      <c r="F268" s="145" t="str">
        <v/>
      </c>
      <c r="G268" s="145" t="str">
        <v/>
      </c>
      <c r="H268" s="145" t="str">
        <v/>
      </c>
      <c r="I268" s="145" t="str">
        <v/>
      </c>
      <c r="J268" s="145" t="str">
        <v/>
      </c>
      <c r="K268" s="145" t="str">
        <v/>
      </c>
      <c r="L268" s="145" t="str">
        <v/>
      </c>
      <c r="M268" s="145" t="str">
        <v/>
      </c>
      <c r="N268" s="145" t="str">
        <v/>
      </c>
      <c r="O268" s="145" t="str">
        <v/>
      </c>
      <c r="P268" s="145" t="str">
        <v/>
      </c>
    </row>
    <row r="269" spans="1:16" x14ac:dyDescent="0.2">
      <c r="A269" s="58" t="str">
        <v/>
      </c>
      <c r="B269" s="123" t="str">
        <v/>
      </c>
      <c r="C269" s="145" t="str">
        <v/>
      </c>
      <c r="D269" s="145" t="str">
        <v/>
      </c>
      <c r="E269" s="145" t="str">
        <v/>
      </c>
      <c r="F269" s="145" t="str">
        <v/>
      </c>
      <c r="G269" s="145" t="str">
        <v/>
      </c>
      <c r="H269" s="145" t="str">
        <v/>
      </c>
      <c r="I269" s="145" t="str">
        <v/>
      </c>
      <c r="J269" s="145" t="str">
        <v/>
      </c>
      <c r="K269" s="145" t="str">
        <v/>
      </c>
      <c r="L269" s="145" t="str">
        <v/>
      </c>
      <c r="M269" s="145" t="str">
        <v/>
      </c>
      <c r="N269" s="145" t="str">
        <v/>
      </c>
      <c r="O269" s="145" t="str">
        <v/>
      </c>
      <c r="P269" s="145" t="str">
        <v/>
      </c>
    </row>
    <row r="270" spans="1:16" x14ac:dyDescent="0.2">
      <c r="A270" s="58" t="str">
        <v/>
      </c>
      <c r="B270" s="123" t="str">
        <v/>
      </c>
      <c r="C270" s="145" t="str">
        <v/>
      </c>
      <c r="D270" s="145" t="str">
        <v/>
      </c>
      <c r="E270" s="145" t="str">
        <v/>
      </c>
      <c r="F270" s="145" t="str">
        <v/>
      </c>
      <c r="G270" s="145" t="str">
        <v/>
      </c>
      <c r="H270" s="145" t="str">
        <v/>
      </c>
      <c r="I270" s="145" t="str">
        <v/>
      </c>
      <c r="J270" s="145" t="str">
        <v/>
      </c>
      <c r="K270" s="145" t="str">
        <v/>
      </c>
      <c r="L270" s="145" t="str">
        <v/>
      </c>
      <c r="M270" s="145" t="str">
        <v/>
      </c>
      <c r="N270" s="145" t="str">
        <v/>
      </c>
      <c r="O270" s="145" t="str">
        <v/>
      </c>
      <c r="P270" s="145" t="str">
        <v/>
      </c>
    </row>
    <row r="271" spans="1:16" x14ac:dyDescent="0.2">
      <c r="A271" s="58" t="str">
        <v/>
      </c>
      <c r="B271" s="123" t="str">
        <v/>
      </c>
      <c r="C271" s="145" t="str">
        <v/>
      </c>
      <c r="D271" s="145" t="str">
        <v/>
      </c>
      <c r="E271" s="145" t="str">
        <v/>
      </c>
      <c r="F271" s="145" t="str">
        <v/>
      </c>
      <c r="G271" s="145" t="str">
        <v/>
      </c>
      <c r="H271" s="145" t="str">
        <v/>
      </c>
      <c r="I271" s="145" t="str">
        <v/>
      </c>
      <c r="J271" s="145" t="str">
        <v/>
      </c>
      <c r="K271" s="145" t="str">
        <v/>
      </c>
      <c r="L271" s="145" t="str">
        <v/>
      </c>
      <c r="M271" s="145" t="str">
        <v/>
      </c>
      <c r="N271" s="145" t="str">
        <v/>
      </c>
      <c r="O271" s="145" t="str">
        <v/>
      </c>
      <c r="P271" s="145" t="str">
        <v/>
      </c>
    </row>
    <row r="272" spans="1:16" x14ac:dyDescent="0.2">
      <c r="A272" s="58" t="str">
        <v/>
      </c>
      <c r="B272" s="123" t="str">
        <v/>
      </c>
      <c r="C272" s="145" t="str">
        <v/>
      </c>
      <c r="D272" s="145" t="str">
        <v/>
      </c>
      <c r="E272" s="145" t="str">
        <v/>
      </c>
      <c r="F272" s="145" t="str">
        <v/>
      </c>
      <c r="G272" s="145" t="str">
        <v/>
      </c>
      <c r="H272" s="145" t="str">
        <v/>
      </c>
      <c r="I272" s="145" t="str">
        <v/>
      </c>
      <c r="J272" s="145" t="str">
        <v/>
      </c>
      <c r="K272" s="145" t="str">
        <v/>
      </c>
      <c r="L272" s="145" t="str">
        <v/>
      </c>
      <c r="M272" s="145" t="str">
        <v/>
      </c>
      <c r="N272" s="145" t="str">
        <v/>
      </c>
      <c r="O272" s="145" t="str">
        <v/>
      </c>
      <c r="P272" s="145" t="str">
        <v/>
      </c>
    </row>
    <row r="273" spans="1:16" x14ac:dyDescent="0.2">
      <c r="A273" s="58" t="str">
        <v/>
      </c>
      <c r="B273" s="123" t="str">
        <v/>
      </c>
      <c r="C273" s="145" t="str">
        <v/>
      </c>
      <c r="D273" s="145" t="str">
        <v/>
      </c>
      <c r="E273" s="145" t="str">
        <v/>
      </c>
      <c r="F273" s="145" t="str">
        <v/>
      </c>
      <c r="G273" s="145" t="str">
        <v/>
      </c>
      <c r="H273" s="145" t="str">
        <v/>
      </c>
      <c r="I273" s="145" t="str">
        <v/>
      </c>
      <c r="J273" s="145" t="str">
        <v/>
      </c>
      <c r="K273" s="145" t="str">
        <v/>
      </c>
      <c r="L273" s="145" t="str">
        <v/>
      </c>
      <c r="M273" s="145" t="str">
        <v/>
      </c>
      <c r="N273" s="145" t="str">
        <v/>
      </c>
      <c r="O273" s="145" t="str">
        <v/>
      </c>
      <c r="P273" s="145" t="str">
        <v/>
      </c>
    </row>
    <row r="274" spans="1:16" x14ac:dyDescent="0.2">
      <c r="A274" s="58" t="str">
        <v/>
      </c>
      <c r="B274" s="123" t="str">
        <v/>
      </c>
      <c r="C274" s="145" t="str">
        <v/>
      </c>
      <c r="D274" s="145" t="str">
        <v/>
      </c>
      <c r="E274" s="145" t="str">
        <v/>
      </c>
      <c r="F274" s="145" t="str">
        <v/>
      </c>
      <c r="G274" s="145" t="str">
        <v/>
      </c>
      <c r="H274" s="145" t="str">
        <v/>
      </c>
      <c r="I274" s="145" t="str">
        <v/>
      </c>
      <c r="J274" s="145" t="str">
        <v/>
      </c>
      <c r="K274" s="145" t="str">
        <v/>
      </c>
      <c r="L274" s="145" t="str">
        <v/>
      </c>
      <c r="M274" s="145" t="str">
        <v/>
      </c>
      <c r="N274" s="145" t="str">
        <v/>
      </c>
      <c r="O274" s="145" t="str">
        <v/>
      </c>
      <c r="P274" s="145" t="str">
        <v/>
      </c>
    </row>
    <row r="275" spans="1:16" x14ac:dyDescent="0.2">
      <c r="A275" s="58" t="str">
        <v/>
      </c>
      <c r="B275" s="123" t="str">
        <v/>
      </c>
      <c r="C275" s="145" t="str">
        <v/>
      </c>
      <c r="D275" s="145" t="str">
        <v/>
      </c>
      <c r="E275" s="145" t="str">
        <v/>
      </c>
      <c r="F275" s="145" t="str">
        <v/>
      </c>
      <c r="G275" s="145" t="str">
        <v/>
      </c>
      <c r="H275" s="145" t="str">
        <v/>
      </c>
      <c r="I275" s="145" t="str">
        <v/>
      </c>
      <c r="J275" s="145" t="str">
        <v/>
      </c>
      <c r="K275" s="145" t="str">
        <v/>
      </c>
      <c r="L275" s="145" t="str">
        <v/>
      </c>
      <c r="M275" s="145" t="str">
        <v/>
      </c>
      <c r="N275" s="145" t="str">
        <v/>
      </c>
      <c r="O275" s="145" t="str">
        <v/>
      </c>
      <c r="P275" s="145" t="str">
        <v/>
      </c>
    </row>
    <row r="276" spans="1:16" x14ac:dyDescent="0.2">
      <c r="A276" s="58" t="str">
        <v/>
      </c>
      <c r="B276" s="123" t="str">
        <v/>
      </c>
      <c r="C276" s="145" t="str">
        <v/>
      </c>
      <c r="D276" s="145" t="str">
        <v/>
      </c>
      <c r="E276" s="145" t="str">
        <v/>
      </c>
      <c r="F276" s="145" t="str">
        <v/>
      </c>
      <c r="G276" s="145" t="str">
        <v/>
      </c>
      <c r="H276" s="145" t="str">
        <v/>
      </c>
      <c r="I276" s="145" t="str">
        <v/>
      </c>
      <c r="J276" s="145" t="str">
        <v/>
      </c>
      <c r="K276" s="145" t="str">
        <v/>
      </c>
      <c r="L276" s="145" t="str">
        <v/>
      </c>
      <c r="M276" s="145" t="str">
        <v/>
      </c>
      <c r="N276" s="145" t="str">
        <v/>
      </c>
      <c r="O276" s="145" t="str">
        <v/>
      </c>
      <c r="P276" s="145" t="str">
        <v/>
      </c>
    </row>
    <row r="277" spans="1:16" x14ac:dyDescent="0.2">
      <c r="A277" s="58" t="str">
        <v/>
      </c>
      <c r="B277" s="123" t="str">
        <v/>
      </c>
      <c r="C277" s="145" t="str">
        <v/>
      </c>
      <c r="D277" s="145" t="str">
        <v/>
      </c>
      <c r="E277" s="145" t="str">
        <v/>
      </c>
      <c r="F277" s="145" t="str">
        <v/>
      </c>
      <c r="G277" s="145" t="str">
        <v/>
      </c>
      <c r="H277" s="145" t="str">
        <v/>
      </c>
      <c r="I277" s="145" t="str">
        <v/>
      </c>
      <c r="J277" s="145" t="str">
        <v/>
      </c>
      <c r="K277" s="145" t="str">
        <v/>
      </c>
      <c r="L277" s="145" t="str">
        <v/>
      </c>
      <c r="M277" s="145" t="str">
        <v/>
      </c>
      <c r="N277" s="145" t="str">
        <v/>
      </c>
      <c r="O277" s="145" t="str">
        <v/>
      </c>
      <c r="P277" s="145" t="str">
        <v/>
      </c>
    </row>
    <row r="278" spans="1:16" x14ac:dyDescent="0.2">
      <c r="A278" s="58" t="str">
        <v/>
      </c>
      <c r="B278" s="123" t="str">
        <v/>
      </c>
      <c r="C278" s="145" t="str">
        <v/>
      </c>
      <c r="D278" s="145" t="str">
        <v/>
      </c>
      <c r="E278" s="145" t="str">
        <v/>
      </c>
      <c r="F278" s="145" t="str">
        <v/>
      </c>
      <c r="G278" s="145" t="str">
        <v/>
      </c>
      <c r="H278" s="145" t="str">
        <v/>
      </c>
      <c r="I278" s="145" t="str">
        <v/>
      </c>
      <c r="J278" s="145" t="str">
        <v/>
      </c>
      <c r="K278" s="145" t="str">
        <v/>
      </c>
      <c r="L278" s="145" t="str">
        <v/>
      </c>
      <c r="M278" s="145" t="str">
        <v/>
      </c>
      <c r="N278" s="145" t="str">
        <v/>
      </c>
      <c r="O278" s="145" t="str">
        <v/>
      </c>
      <c r="P278" s="145" t="str">
        <v/>
      </c>
    </row>
    <row r="279" spans="1:16" x14ac:dyDescent="0.2">
      <c r="A279" s="58" t="str">
        <v/>
      </c>
      <c r="B279" s="123" t="str">
        <v/>
      </c>
      <c r="C279" s="145" t="str">
        <v/>
      </c>
      <c r="D279" s="145" t="str">
        <v/>
      </c>
      <c r="E279" s="145" t="str">
        <v/>
      </c>
      <c r="F279" s="145" t="str">
        <v/>
      </c>
      <c r="G279" s="145" t="str">
        <v/>
      </c>
      <c r="H279" s="145" t="str">
        <v/>
      </c>
      <c r="I279" s="145" t="str">
        <v/>
      </c>
      <c r="J279" s="145" t="str">
        <v/>
      </c>
      <c r="K279" s="145" t="str">
        <v/>
      </c>
      <c r="L279" s="145" t="str">
        <v/>
      </c>
      <c r="M279" s="145" t="str">
        <v/>
      </c>
      <c r="N279" s="145" t="str">
        <v/>
      </c>
      <c r="O279" s="145" t="str">
        <v/>
      </c>
      <c r="P279" s="145" t="str">
        <v/>
      </c>
    </row>
    <row r="280" spans="1:16" x14ac:dyDescent="0.2">
      <c r="A280" s="58" t="str">
        <v/>
      </c>
      <c r="B280" s="123" t="str">
        <v/>
      </c>
      <c r="C280" s="145" t="str">
        <v/>
      </c>
      <c r="D280" s="145" t="str">
        <v/>
      </c>
      <c r="E280" s="145" t="str">
        <v/>
      </c>
      <c r="F280" s="145" t="str">
        <v/>
      </c>
      <c r="G280" s="145" t="str">
        <v/>
      </c>
      <c r="H280" s="145" t="str">
        <v/>
      </c>
      <c r="I280" s="145" t="str">
        <v/>
      </c>
      <c r="J280" s="145" t="str">
        <v/>
      </c>
      <c r="K280" s="145" t="str">
        <v/>
      </c>
      <c r="L280" s="145" t="str">
        <v/>
      </c>
      <c r="M280" s="145" t="str">
        <v/>
      </c>
      <c r="N280" s="145" t="str">
        <v/>
      </c>
      <c r="O280" s="145" t="str">
        <v/>
      </c>
      <c r="P280" s="145" t="str">
        <v/>
      </c>
    </row>
    <row r="281" spans="1:16" x14ac:dyDescent="0.2">
      <c r="A281" s="58" t="str">
        <v/>
      </c>
      <c r="B281" s="123" t="str">
        <v/>
      </c>
      <c r="C281" s="145" t="str">
        <v/>
      </c>
      <c r="D281" s="145" t="str">
        <v/>
      </c>
      <c r="E281" s="145" t="str">
        <v/>
      </c>
      <c r="F281" s="145" t="str">
        <v/>
      </c>
      <c r="G281" s="145" t="str">
        <v/>
      </c>
      <c r="H281" s="145" t="str">
        <v/>
      </c>
      <c r="I281" s="145" t="str">
        <v/>
      </c>
      <c r="J281" s="145" t="str">
        <v/>
      </c>
      <c r="K281" s="145" t="str">
        <v/>
      </c>
      <c r="L281" s="145" t="str">
        <v/>
      </c>
      <c r="M281" s="145" t="str">
        <v/>
      </c>
      <c r="N281" s="145" t="str">
        <v/>
      </c>
      <c r="O281" s="145" t="str">
        <v/>
      </c>
      <c r="P281" s="145" t="str">
        <v/>
      </c>
    </row>
    <row r="282" spans="1:16" x14ac:dyDescent="0.2">
      <c r="A282" s="58" t="str">
        <v/>
      </c>
      <c r="B282" s="123" t="str">
        <v/>
      </c>
      <c r="C282" s="145" t="str">
        <v/>
      </c>
      <c r="D282" s="145" t="str">
        <v/>
      </c>
      <c r="E282" s="145" t="str">
        <v/>
      </c>
      <c r="F282" s="145" t="str">
        <v/>
      </c>
      <c r="G282" s="145" t="str">
        <v/>
      </c>
      <c r="H282" s="145" t="str">
        <v/>
      </c>
      <c r="I282" s="145" t="str">
        <v/>
      </c>
      <c r="J282" s="145" t="str">
        <v/>
      </c>
      <c r="K282" s="145" t="str">
        <v/>
      </c>
      <c r="L282" s="145" t="str">
        <v/>
      </c>
      <c r="M282" s="145" t="str">
        <v/>
      </c>
      <c r="N282" s="145" t="str">
        <v/>
      </c>
      <c r="O282" s="145" t="str">
        <v/>
      </c>
      <c r="P282" s="145" t="str">
        <v/>
      </c>
    </row>
    <row r="283" spans="1:16" x14ac:dyDescent="0.2">
      <c r="A283" s="58" t="str">
        <v/>
      </c>
      <c r="B283" s="123" t="str">
        <v/>
      </c>
      <c r="C283" s="145" t="str">
        <v/>
      </c>
      <c r="D283" s="145" t="str">
        <v/>
      </c>
      <c r="E283" s="145" t="str">
        <v/>
      </c>
      <c r="F283" s="145" t="str">
        <v/>
      </c>
      <c r="G283" s="145" t="str">
        <v/>
      </c>
      <c r="H283" s="145" t="str">
        <v/>
      </c>
      <c r="I283" s="145" t="str">
        <v/>
      </c>
      <c r="J283" s="145" t="str">
        <v/>
      </c>
      <c r="K283" s="145" t="str">
        <v/>
      </c>
      <c r="L283" s="145" t="str">
        <v/>
      </c>
      <c r="M283" s="145" t="str">
        <v/>
      </c>
      <c r="N283" s="145" t="str">
        <v/>
      </c>
      <c r="O283" s="145" t="str">
        <v/>
      </c>
      <c r="P283" s="145" t="str">
        <v/>
      </c>
    </row>
    <row r="284" spans="1:16" x14ac:dyDescent="0.2">
      <c r="A284" s="58" t="str">
        <v/>
      </c>
      <c r="B284" s="123" t="str">
        <v/>
      </c>
      <c r="C284" s="145" t="str">
        <v/>
      </c>
      <c r="D284" s="145" t="str">
        <v/>
      </c>
      <c r="E284" s="145" t="str">
        <v/>
      </c>
      <c r="F284" s="145" t="str">
        <v/>
      </c>
      <c r="G284" s="145" t="str">
        <v/>
      </c>
      <c r="H284" s="145" t="str">
        <v/>
      </c>
      <c r="I284" s="145" t="str">
        <v/>
      </c>
      <c r="J284" s="145" t="str">
        <v/>
      </c>
      <c r="K284" s="145" t="str">
        <v/>
      </c>
      <c r="L284" s="145" t="str">
        <v/>
      </c>
      <c r="M284" s="145" t="str">
        <v/>
      </c>
      <c r="N284" s="145" t="str">
        <v/>
      </c>
      <c r="O284" s="145" t="str">
        <v/>
      </c>
      <c r="P284" s="145" t="str">
        <v/>
      </c>
    </row>
    <row r="285" spans="1:16" x14ac:dyDescent="0.2">
      <c r="A285" s="58" t="str">
        <v/>
      </c>
      <c r="B285" s="123" t="str">
        <v/>
      </c>
      <c r="C285" s="145" t="str">
        <v/>
      </c>
      <c r="D285" s="145" t="str">
        <v/>
      </c>
      <c r="E285" s="145" t="str">
        <v/>
      </c>
      <c r="F285" s="145" t="str">
        <v/>
      </c>
      <c r="G285" s="145" t="str">
        <v/>
      </c>
      <c r="H285" s="145" t="str">
        <v/>
      </c>
      <c r="I285" s="145" t="str">
        <v/>
      </c>
      <c r="J285" s="145" t="str">
        <v/>
      </c>
      <c r="K285" s="145" t="str">
        <v/>
      </c>
      <c r="L285" s="145" t="str">
        <v/>
      </c>
      <c r="M285" s="145" t="str">
        <v/>
      </c>
      <c r="N285" s="145" t="str">
        <v/>
      </c>
      <c r="O285" s="145" t="str">
        <v/>
      </c>
      <c r="P285" s="145" t="str">
        <v/>
      </c>
    </row>
    <row r="286" spans="1:16" x14ac:dyDescent="0.2">
      <c r="A286" s="58" t="str">
        <v/>
      </c>
      <c r="B286" s="123" t="str">
        <v/>
      </c>
      <c r="C286" s="145" t="str">
        <v/>
      </c>
      <c r="D286" s="145" t="str">
        <v/>
      </c>
      <c r="E286" s="145" t="str">
        <v/>
      </c>
      <c r="F286" s="145" t="str">
        <v/>
      </c>
      <c r="G286" s="145" t="str">
        <v/>
      </c>
      <c r="H286" s="145" t="str">
        <v/>
      </c>
      <c r="I286" s="145" t="str">
        <v/>
      </c>
      <c r="J286" s="145" t="str">
        <v/>
      </c>
      <c r="K286" s="145" t="str">
        <v/>
      </c>
      <c r="L286" s="145" t="str">
        <v/>
      </c>
      <c r="M286" s="145" t="str">
        <v/>
      </c>
      <c r="N286" s="145" t="str">
        <v/>
      </c>
      <c r="O286" s="145" t="str">
        <v/>
      </c>
      <c r="P286" s="145" t="str">
        <v/>
      </c>
    </row>
    <row r="287" spans="1:16" x14ac:dyDescent="0.2">
      <c r="A287" s="58" t="str">
        <v/>
      </c>
      <c r="B287" s="123" t="str">
        <v/>
      </c>
      <c r="C287" s="145" t="str">
        <v/>
      </c>
      <c r="D287" s="145" t="str">
        <v/>
      </c>
      <c r="E287" s="145" t="str">
        <v/>
      </c>
      <c r="F287" s="145" t="str">
        <v/>
      </c>
      <c r="G287" s="145" t="str">
        <v/>
      </c>
      <c r="H287" s="145" t="str">
        <v/>
      </c>
      <c r="I287" s="145" t="str">
        <v/>
      </c>
      <c r="J287" s="145" t="str">
        <v/>
      </c>
      <c r="K287" s="145" t="str">
        <v/>
      </c>
      <c r="L287" s="145" t="str">
        <v/>
      </c>
      <c r="M287" s="145" t="str">
        <v/>
      </c>
      <c r="N287" s="145" t="str">
        <v/>
      </c>
      <c r="O287" s="145" t="str">
        <v/>
      </c>
      <c r="P287" s="145" t="str">
        <v/>
      </c>
    </row>
    <row r="288" spans="1:16" x14ac:dyDescent="0.2">
      <c r="A288" s="58" t="str">
        <v/>
      </c>
      <c r="B288" s="123" t="str">
        <v/>
      </c>
      <c r="C288" s="145" t="str">
        <v/>
      </c>
      <c r="D288" s="145" t="str">
        <v/>
      </c>
      <c r="E288" s="145" t="str">
        <v/>
      </c>
      <c r="F288" s="145" t="str">
        <v/>
      </c>
      <c r="G288" s="145" t="str">
        <v/>
      </c>
      <c r="H288" s="145" t="str">
        <v/>
      </c>
      <c r="I288" s="145" t="str">
        <v/>
      </c>
      <c r="J288" s="145" t="str">
        <v/>
      </c>
      <c r="K288" s="145" t="str">
        <v/>
      </c>
      <c r="L288" s="145" t="str">
        <v/>
      </c>
      <c r="M288" s="145" t="str">
        <v/>
      </c>
      <c r="N288" s="145" t="str">
        <v/>
      </c>
      <c r="O288" s="145" t="str">
        <v/>
      </c>
      <c r="P288" s="145" t="str">
        <v/>
      </c>
    </row>
    <row r="289" spans="1:16" x14ac:dyDescent="0.2">
      <c r="A289" s="58" t="str">
        <v/>
      </c>
      <c r="B289" s="123" t="str">
        <v/>
      </c>
      <c r="C289" s="145" t="str">
        <v/>
      </c>
      <c r="D289" s="145" t="str">
        <v/>
      </c>
      <c r="E289" s="145" t="str">
        <v/>
      </c>
      <c r="F289" s="145" t="str">
        <v/>
      </c>
      <c r="G289" s="145" t="str">
        <v/>
      </c>
      <c r="H289" s="145" t="str">
        <v/>
      </c>
      <c r="I289" s="145" t="str">
        <v/>
      </c>
      <c r="J289" s="145" t="str">
        <v/>
      </c>
      <c r="K289" s="145" t="str">
        <v/>
      </c>
      <c r="L289" s="145" t="str">
        <v/>
      </c>
      <c r="M289" s="145" t="str">
        <v/>
      </c>
      <c r="N289" s="145" t="str">
        <v/>
      </c>
      <c r="O289" s="145" t="str">
        <v/>
      </c>
      <c r="P289" s="145" t="str">
        <v/>
      </c>
    </row>
    <row r="290" spans="1:16" x14ac:dyDescent="0.2">
      <c r="A290" s="58" t="str">
        <v/>
      </c>
      <c r="B290" s="123" t="str">
        <v/>
      </c>
      <c r="C290" s="145" t="str">
        <v/>
      </c>
      <c r="D290" s="145" t="str">
        <v/>
      </c>
      <c r="E290" s="145" t="str">
        <v/>
      </c>
      <c r="F290" s="145" t="str">
        <v/>
      </c>
      <c r="G290" s="145" t="str">
        <v/>
      </c>
      <c r="H290" s="145" t="str">
        <v/>
      </c>
      <c r="I290" s="145" t="str">
        <v/>
      </c>
      <c r="J290" s="145" t="str">
        <v/>
      </c>
      <c r="K290" s="145" t="str">
        <v/>
      </c>
      <c r="L290" s="145" t="str">
        <v/>
      </c>
      <c r="M290" s="145" t="str">
        <v/>
      </c>
      <c r="N290" s="145" t="str">
        <v/>
      </c>
      <c r="O290" s="145" t="str">
        <v/>
      </c>
      <c r="P290" s="145" t="str">
        <v/>
      </c>
    </row>
    <row r="291" spans="1:16" x14ac:dyDescent="0.2">
      <c r="A291" s="58" t="str">
        <v/>
      </c>
      <c r="B291" s="123" t="str">
        <v/>
      </c>
      <c r="C291" s="145" t="str">
        <v/>
      </c>
      <c r="D291" s="145" t="str">
        <v/>
      </c>
      <c r="E291" s="145" t="str">
        <v/>
      </c>
      <c r="F291" s="145" t="str">
        <v/>
      </c>
      <c r="G291" s="145" t="str">
        <v/>
      </c>
      <c r="H291" s="145" t="str">
        <v/>
      </c>
      <c r="I291" s="145" t="str">
        <v/>
      </c>
      <c r="J291" s="145" t="str">
        <v/>
      </c>
      <c r="K291" s="145" t="str">
        <v/>
      </c>
      <c r="L291" s="145" t="str">
        <v/>
      </c>
      <c r="M291" s="145" t="str">
        <v/>
      </c>
      <c r="N291" s="145" t="str">
        <v/>
      </c>
      <c r="O291" s="145" t="str">
        <v/>
      </c>
      <c r="P291" s="145" t="str">
        <v/>
      </c>
    </row>
    <row r="292" spans="1:16" x14ac:dyDescent="0.2">
      <c r="A292" s="58" t="str">
        <v/>
      </c>
      <c r="B292" s="123" t="str">
        <v/>
      </c>
      <c r="C292" s="145" t="str">
        <v/>
      </c>
      <c r="D292" s="145" t="str">
        <v/>
      </c>
      <c r="E292" s="145" t="str">
        <v/>
      </c>
      <c r="F292" s="145" t="str">
        <v/>
      </c>
      <c r="G292" s="145" t="str">
        <v/>
      </c>
      <c r="H292" s="145" t="str">
        <v/>
      </c>
      <c r="I292" s="145" t="str">
        <v/>
      </c>
      <c r="J292" s="145" t="str">
        <v/>
      </c>
      <c r="K292" s="145" t="str">
        <v/>
      </c>
      <c r="L292" s="145" t="str">
        <v/>
      </c>
      <c r="M292" s="145" t="str">
        <v/>
      </c>
      <c r="N292" s="145" t="str">
        <v/>
      </c>
      <c r="O292" s="145" t="str">
        <v/>
      </c>
      <c r="P292" s="145" t="str">
        <v/>
      </c>
    </row>
    <row r="293" spans="1:16" x14ac:dyDescent="0.2">
      <c r="A293" s="58" t="str">
        <v/>
      </c>
      <c r="B293" s="123" t="str">
        <v/>
      </c>
      <c r="C293" s="145" t="str">
        <v/>
      </c>
      <c r="D293" s="145" t="str">
        <v/>
      </c>
      <c r="E293" s="145" t="str">
        <v/>
      </c>
      <c r="F293" s="145" t="str">
        <v/>
      </c>
      <c r="G293" s="145" t="str">
        <v/>
      </c>
      <c r="H293" s="145" t="str">
        <v/>
      </c>
      <c r="I293" s="145" t="str">
        <v/>
      </c>
      <c r="J293" s="145" t="str">
        <v/>
      </c>
      <c r="K293" s="145" t="str">
        <v/>
      </c>
      <c r="L293" s="145" t="str">
        <v/>
      </c>
      <c r="M293" s="145" t="str">
        <v/>
      </c>
      <c r="N293" s="145" t="str">
        <v/>
      </c>
      <c r="O293" s="145" t="str">
        <v/>
      </c>
      <c r="P293" s="145" t="str">
        <v/>
      </c>
    </row>
    <row r="294" spans="1:16" x14ac:dyDescent="0.2">
      <c r="A294" s="58" t="str">
        <v/>
      </c>
      <c r="B294" s="123" t="str">
        <v/>
      </c>
      <c r="C294" s="145" t="str">
        <v/>
      </c>
      <c r="D294" s="145" t="str">
        <v/>
      </c>
      <c r="E294" s="145" t="str">
        <v/>
      </c>
      <c r="F294" s="145" t="str">
        <v/>
      </c>
      <c r="G294" s="145" t="str">
        <v/>
      </c>
      <c r="H294" s="145" t="str">
        <v/>
      </c>
      <c r="I294" s="145" t="str">
        <v/>
      </c>
      <c r="J294" s="145" t="str">
        <v/>
      </c>
      <c r="K294" s="145" t="str">
        <v/>
      </c>
      <c r="L294" s="145" t="str">
        <v/>
      </c>
      <c r="M294" s="145" t="str">
        <v/>
      </c>
      <c r="N294" s="145" t="str">
        <v/>
      </c>
      <c r="O294" s="145" t="str">
        <v/>
      </c>
      <c r="P294" s="145" t="str">
        <v/>
      </c>
    </row>
    <row r="295" spans="1:16" x14ac:dyDescent="0.2">
      <c r="A295" s="58" t="str">
        <v/>
      </c>
      <c r="B295" s="123" t="str">
        <v/>
      </c>
      <c r="C295" s="145" t="str">
        <v/>
      </c>
      <c r="D295" s="145" t="str">
        <v/>
      </c>
      <c r="E295" s="145" t="str">
        <v/>
      </c>
      <c r="F295" s="145" t="str">
        <v/>
      </c>
      <c r="G295" s="145" t="str">
        <v/>
      </c>
      <c r="H295" s="145" t="str">
        <v/>
      </c>
      <c r="I295" s="145" t="str">
        <v/>
      </c>
      <c r="J295" s="145" t="str">
        <v/>
      </c>
      <c r="K295" s="145" t="str">
        <v/>
      </c>
      <c r="L295" s="145" t="str">
        <v/>
      </c>
      <c r="M295" s="145" t="str">
        <v/>
      </c>
      <c r="N295" s="145" t="str">
        <v/>
      </c>
      <c r="O295" s="145" t="str">
        <v/>
      </c>
      <c r="P295" s="145" t="str">
        <v/>
      </c>
    </row>
    <row r="296" spans="1:16" x14ac:dyDescent="0.2">
      <c r="A296" s="58" t="str">
        <v/>
      </c>
      <c r="B296" s="123" t="str">
        <v/>
      </c>
      <c r="C296" s="145" t="str">
        <v/>
      </c>
      <c r="D296" s="145" t="str">
        <v/>
      </c>
      <c r="E296" s="145" t="str">
        <v/>
      </c>
      <c r="F296" s="145" t="str">
        <v/>
      </c>
      <c r="G296" s="145" t="str">
        <v/>
      </c>
      <c r="H296" s="145" t="str">
        <v/>
      </c>
      <c r="I296" s="145" t="str">
        <v/>
      </c>
      <c r="J296" s="145" t="str">
        <v/>
      </c>
      <c r="K296" s="145" t="str">
        <v/>
      </c>
      <c r="L296" s="145" t="str">
        <v/>
      </c>
      <c r="M296" s="145" t="str">
        <v/>
      </c>
      <c r="N296" s="145" t="str">
        <v/>
      </c>
      <c r="O296" s="145" t="str">
        <v/>
      </c>
      <c r="P296" s="145" t="str">
        <v/>
      </c>
    </row>
    <row r="297" spans="1:16" x14ac:dyDescent="0.2">
      <c r="A297" s="58" t="str">
        <v/>
      </c>
      <c r="B297" s="123" t="str">
        <v/>
      </c>
      <c r="C297" s="145" t="str">
        <v/>
      </c>
      <c r="D297" s="145" t="str">
        <v/>
      </c>
      <c r="E297" s="145" t="str">
        <v/>
      </c>
      <c r="F297" s="145" t="str">
        <v/>
      </c>
      <c r="G297" s="145" t="str">
        <v/>
      </c>
      <c r="H297" s="145" t="str">
        <v/>
      </c>
      <c r="I297" s="145" t="str">
        <v/>
      </c>
      <c r="J297" s="145" t="str">
        <v/>
      </c>
      <c r="K297" s="145" t="str">
        <v/>
      </c>
      <c r="L297" s="145" t="str">
        <v/>
      </c>
      <c r="M297" s="145" t="str">
        <v/>
      </c>
      <c r="N297" s="145" t="str">
        <v/>
      </c>
      <c r="O297" s="145" t="str">
        <v/>
      </c>
      <c r="P297" s="145" t="str">
        <v/>
      </c>
    </row>
    <row r="298" spans="1:16" x14ac:dyDescent="0.2">
      <c r="A298" s="58" t="str">
        <v/>
      </c>
      <c r="B298" s="123" t="str">
        <v/>
      </c>
      <c r="C298" s="145" t="str">
        <v/>
      </c>
      <c r="D298" s="145" t="str">
        <v/>
      </c>
      <c r="E298" s="145" t="str">
        <v/>
      </c>
      <c r="F298" s="145" t="str">
        <v/>
      </c>
      <c r="G298" s="145" t="str">
        <v/>
      </c>
      <c r="H298" s="145" t="str">
        <v/>
      </c>
      <c r="I298" s="145" t="str">
        <v/>
      </c>
      <c r="J298" s="145" t="str">
        <v/>
      </c>
      <c r="K298" s="145" t="str">
        <v/>
      </c>
      <c r="L298" s="145" t="str">
        <v/>
      </c>
      <c r="M298" s="145" t="str">
        <v/>
      </c>
      <c r="N298" s="145" t="str">
        <v/>
      </c>
      <c r="O298" s="145" t="str">
        <v/>
      </c>
      <c r="P298" s="145" t="str">
        <v/>
      </c>
    </row>
    <row r="299" spans="1:16" x14ac:dyDescent="0.2">
      <c r="A299" s="58" t="str">
        <v/>
      </c>
      <c r="B299" s="123" t="str">
        <v/>
      </c>
      <c r="C299" s="145" t="str">
        <v/>
      </c>
      <c r="D299" s="145" t="str">
        <v/>
      </c>
      <c r="E299" s="145" t="str">
        <v/>
      </c>
      <c r="F299" s="145" t="str">
        <v/>
      </c>
      <c r="G299" s="145" t="str">
        <v/>
      </c>
      <c r="H299" s="145" t="str">
        <v/>
      </c>
      <c r="I299" s="145" t="str">
        <v/>
      </c>
      <c r="J299" s="145" t="str">
        <v/>
      </c>
      <c r="K299" s="145" t="str">
        <v/>
      </c>
      <c r="L299" s="145" t="str">
        <v/>
      </c>
      <c r="M299" s="145" t="str">
        <v/>
      </c>
      <c r="N299" s="145" t="str">
        <v/>
      </c>
      <c r="O299" s="145" t="str">
        <v/>
      </c>
      <c r="P299" s="145" t="str">
        <v/>
      </c>
    </row>
    <row r="300" spans="1:16" x14ac:dyDescent="0.2">
      <c r="A300" s="58" t="str">
        <v/>
      </c>
      <c r="B300" s="123" t="str">
        <v/>
      </c>
      <c r="C300" s="145" t="str">
        <v/>
      </c>
      <c r="D300" s="145" t="str">
        <v/>
      </c>
      <c r="E300" s="145" t="str">
        <v/>
      </c>
      <c r="F300" s="145" t="str">
        <v/>
      </c>
      <c r="G300" s="145" t="str">
        <v/>
      </c>
      <c r="H300" s="145" t="str">
        <v/>
      </c>
      <c r="I300" s="145" t="str">
        <v/>
      </c>
      <c r="J300" s="145" t="str">
        <v/>
      </c>
      <c r="K300" s="145" t="str">
        <v/>
      </c>
      <c r="L300" s="145" t="str">
        <v/>
      </c>
      <c r="M300" s="145" t="str">
        <v/>
      </c>
      <c r="N300" s="145" t="str">
        <v/>
      </c>
      <c r="O300" s="145" t="str">
        <v/>
      </c>
      <c r="P300" s="145" t="str">
        <v/>
      </c>
    </row>
    <row r="301" spans="1:16" x14ac:dyDescent="0.2">
      <c r="A301" s="58" t="str">
        <v/>
      </c>
      <c r="B301" s="123" t="str">
        <v/>
      </c>
      <c r="C301" s="145" t="str">
        <v/>
      </c>
      <c r="D301" s="145" t="str">
        <v/>
      </c>
      <c r="E301" s="145" t="str">
        <v/>
      </c>
      <c r="F301" s="145" t="str">
        <v/>
      </c>
      <c r="G301" s="145" t="str">
        <v/>
      </c>
      <c r="H301" s="145" t="str">
        <v/>
      </c>
      <c r="I301" s="145" t="str">
        <v/>
      </c>
      <c r="J301" s="145" t="str">
        <v/>
      </c>
      <c r="K301" s="145" t="str">
        <v/>
      </c>
      <c r="L301" s="145" t="str">
        <v/>
      </c>
      <c r="M301" s="145" t="str">
        <v/>
      </c>
      <c r="N301" s="145" t="str">
        <v/>
      </c>
      <c r="O301" s="145" t="str">
        <v/>
      </c>
      <c r="P301" s="145" t="str">
        <v/>
      </c>
    </row>
    <row r="302" spans="1:16" x14ac:dyDescent="0.2">
      <c r="A302" s="58" t="str">
        <v/>
      </c>
      <c r="B302" s="123" t="str">
        <v/>
      </c>
      <c r="C302" s="145" t="str">
        <v/>
      </c>
      <c r="D302" s="145" t="str">
        <v/>
      </c>
      <c r="E302" s="145" t="str">
        <v/>
      </c>
      <c r="F302" s="145" t="str">
        <v/>
      </c>
      <c r="G302" s="145" t="str">
        <v/>
      </c>
      <c r="H302" s="145" t="str">
        <v/>
      </c>
      <c r="I302" s="145" t="str">
        <v/>
      </c>
      <c r="J302" s="145" t="str">
        <v/>
      </c>
      <c r="K302" s="145" t="str">
        <v/>
      </c>
      <c r="L302" s="145" t="str">
        <v/>
      </c>
      <c r="M302" s="145" t="str">
        <v/>
      </c>
      <c r="N302" s="145" t="str">
        <v/>
      </c>
      <c r="O302" s="145" t="str">
        <v/>
      </c>
      <c r="P302" s="145" t="str">
        <v/>
      </c>
    </row>
    <row r="303" spans="1:16" x14ac:dyDescent="0.2">
      <c r="A303" s="58" t="str">
        <v/>
      </c>
      <c r="B303" s="123" t="str">
        <v/>
      </c>
      <c r="C303" s="145" t="str">
        <v/>
      </c>
      <c r="D303" s="145" t="str">
        <v/>
      </c>
      <c r="E303" s="145" t="str">
        <v/>
      </c>
      <c r="F303" s="145" t="str">
        <v/>
      </c>
      <c r="G303" s="145" t="str">
        <v/>
      </c>
      <c r="H303" s="145" t="str">
        <v/>
      </c>
      <c r="I303" s="145" t="str">
        <v/>
      </c>
      <c r="J303" s="145" t="str">
        <v/>
      </c>
      <c r="K303" s="145" t="str">
        <v/>
      </c>
      <c r="L303" s="145" t="str">
        <v/>
      </c>
      <c r="M303" s="145" t="str">
        <v/>
      </c>
      <c r="N303" s="145" t="str">
        <v/>
      </c>
      <c r="O303" s="145" t="str">
        <v/>
      </c>
      <c r="P303" s="145" t="str">
        <v/>
      </c>
    </row>
    <row r="304" spans="1:16" x14ac:dyDescent="0.2">
      <c r="A304" s="58" t="str">
        <v/>
      </c>
      <c r="B304" s="123" t="str">
        <v/>
      </c>
      <c r="C304" s="145" t="str">
        <v/>
      </c>
      <c r="D304" s="145" t="str">
        <v/>
      </c>
      <c r="E304" s="145" t="str">
        <v/>
      </c>
      <c r="F304" s="145" t="str">
        <v/>
      </c>
      <c r="G304" s="145" t="str">
        <v/>
      </c>
      <c r="H304" s="145" t="str">
        <v/>
      </c>
      <c r="I304" s="145" t="str">
        <v/>
      </c>
      <c r="J304" s="145" t="str">
        <v/>
      </c>
      <c r="K304" s="145" t="str">
        <v/>
      </c>
      <c r="L304" s="145" t="str">
        <v/>
      </c>
      <c r="M304" s="145" t="str">
        <v/>
      </c>
      <c r="N304" s="145" t="str">
        <v/>
      </c>
      <c r="O304" s="145" t="str">
        <v/>
      </c>
      <c r="P304" s="145" t="str">
        <v/>
      </c>
    </row>
    <row r="305" spans="1:16" x14ac:dyDescent="0.2">
      <c r="A305" s="58" t="str">
        <v/>
      </c>
      <c r="B305" s="123" t="str">
        <v/>
      </c>
      <c r="C305" s="145" t="str">
        <v/>
      </c>
      <c r="D305" s="145" t="str">
        <v/>
      </c>
      <c r="E305" s="145" t="str">
        <v/>
      </c>
      <c r="F305" s="145" t="str">
        <v/>
      </c>
      <c r="G305" s="145" t="str">
        <v/>
      </c>
      <c r="H305" s="145" t="str">
        <v/>
      </c>
      <c r="I305" s="145" t="str">
        <v/>
      </c>
      <c r="J305" s="145" t="str">
        <v/>
      </c>
      <c r="K305" s="145" t="str">
        <v/>
      </c>
      <c r="L305" s="145" t="str">
        <v/>
      </c>
      <c r="M305" s="145" t="str">
        <v/>
      </c>
      <c r="N305" s="145" t="str">
        <v/>
      </c>
      <c r="O305" s="145" t="str">
        <v/>
      </c>
      <c r="P305" s="145" t="str">
        <v/>
      </c>
    </row>
    <row r="306" spans="1:16" x14ac:dyDescent="0.2">
      <c r="A306" s="58" t="str">
        <v/>
      </c>
      <c r="B306" s="123" t="str">
        <v/>
      </c>
      <c r="C306" s="145" t="str">
        <v/>
      </c>
      <c r="D306" s="145" t="str">
        <v/>
      </c>
      <c r="E306" s="145" t="str">
        <v/>
      </c>
      <c r="F306" s="145" t="str">
        <v/>
      </c>
      <c r="G306" s="145" t="str">
        <v/>
      </c>
      <c r="H306" s="145" t="str">
        <v/>
      </c>
      <c r="I306" s="145" t="str">
        <v/>
      </c>
      <c r="J306" s="145" t="str">
        <v/>
      </c>
      <c r="K306" s="145" t="str">
        <v/>
      </c>
      <c r="L306" s="145" t="str">
        <v/>
      </c>
      <c r="M306" s="145" t="str">
        <v/>
      </c>
      <c r="N306" s="145" t="str">
        <v/>
      </c>
      <c r="O306" s="145" t="str">
        <v/>
      </c>
      <c r="P306" s="145" t="str">
        <v/>
      </c>
    </row>
    <row r="307" spans="1:16" x14ac:dyDescent="0.2">
      <c r="A307" s="58" t="str">
        <v/>
      </c>
      <c r="B307" s="123" t="str">
        <v/>
      </c>
      <c r="C307" s="145" t="str">
        <v/>
      </c>
      <c r="D307" s="145" t="str">
        <v/>
      </c>
      <c r="E307" s="145" t="str">
        <v/>
      </c>
      <c r="F307" s="145" t="str">
        <v/>
      </c>
      <c r="G307" s="145" t="str">
        <v/>
      </c>
      <c r="H307" s="145" t="str">
        <v/>
      </c>
      <c r="I307" s="145" t="str">
        <v/>
      </c>
      <c r="J307" s="145" t="str">
        <v/>
      </c>
      <c r="K307" s="145" t="str">
        <v/>
      </c>
      <c r="L307" s="145" t="str">
        <v/>
      </c>
      <c r="M307" s="145" t="str">
        <v/>
      </c>
      <c r="N307" s="145" t="str">
        <v/>
      </c>
      <c r="O307" s="145" t="str">
        <v/>
      </c>
      <c r="P307" s="145" t="str">
        <v/>
      </c>
    </row>
    <row r="308" spans="1:16" x14ac:dyDescent="0.2">
      <c r="A308" s="58" t="str">
        <v/>
      </c>
      <c r="B308" s="123" t="str">
        <v/>
      </c>
      <c r="C308" s="145" t="str">
        <v/>
      </c>
      <c r="D308" s="145" t="str">
        <v/>
      </c>
      <c r="E308" s="145" t="str">
        <v/>
      </c>
      <c r="F308" s="145" t="str">
        <v/>
      </c>
      <c r="G308" s="145" t="str">
        <v/>
      </c>
      <c r="H308" s="145" t="str">
        <v/>
      </c>
      <c r="I308" s="145" t="str">
        <v/>
      </c>
      <c r="J308" s="145" t="str">
        <v/>
      </c>
      <c r="K308" s="145" t="str">
        <v/>
      </c>
      <c r="L308" s="145" t="str">
        <v/>
      </c>
      <c r="M308" s="145" t="str">
        <v/>
      </c>
      <c r="N308" s="145" t="str">
        <v/>
      </c>
      <c r="O308" s="145" t="str">
        <v/>
      </c>
      <c r="P308" s="145" t="str">
        <v/>
      </c>
    </row>
    <row r="309" spans="1:16" x14ac:dyDescent="0.2">
      <c r="A309" s="58" t="str">
        <v/>
      </c>
      <c r="B309" s="123" t="str">
        <v/>
      </c>
      <c r="C309" s="145" t="str">
        <v/>
      </c>
      <c r="D309" s="145" t="str">
        <v/>
      </c>
      <c r="E309" s="145" t="str">
        <v/>
      </c>
      <c r="F309" s="145" t="str">
        <v/>
      </c>
      <c r="G309" s="145" t="str">
        <v/>
      </c>
      <c r="H309" s="145" t="str">
        <v/>
      </c>
      <c r="I309" s="145" t="str">
        <v/>
      </c>
      <c r="J309" s="145" t="str">
        <v/>
      </c>
      <c r="K309" s="145" t="str">
        <v/>
      </c>
      <c r="L309" s="145" t="str">
        <v/>
      </c>
      <c r="M309" s="145" t="str">
        <v/>
      </c>
      <c r="N309" s="145" t="str">
        <v/>
      </c>
      <c r="O309" s="145" t="str">
        <v/>
      </c>
      <c r="P309" s="145" t="str">
        <v/>
      </c>
    </row>
    <row r="310" spans="1:16" x14ac:dyDescent="0.2">
      <c r="A310" s="58" t="str">
        <v/>
      </c>
      <c r="B310" s="123" t="str">
        <v/>
      </c>
      <c r="C310" s="145" t="str">
        <v/>
      </c>
      <c r="D310" s="145" t="str">
        <v/>
      </c>
      <c r="E310" s="145" t="str">
        <v/>
      </c>
      <c r="F310" s="145" t="str">
        <v/>
      </c>
      <c r="G310" s="145" t="str">
        <v/>
      </c>
      <c r="H310" s="145" t="str">
        <v/>
      </c>
      <c r="I310" s="145" t="str">
        <v/>
      </c>
      <c r="J310" s="145" t="str">
        <v/>
      </c>
      <c r="K310" s="145" t="str">
        <v/>
      </c>
      <c r="L310" s="145" t="str">
        <v/>
      </c>
      <c r="M310" s="145" t="str">
        <v/>
      </c>
      <c r="N310" s="145" t="str">
        <v/>
      </c>
      <c r="O310" s="145" t="str">
        <v/>
      </c>
      <c r="P310" s="145" t="str">
        <v/>
      </c>
    </row>
    <row r="311" spans="1:16" x14ac:dyDescent="0.2">
      <c r="A311" s="58" t="str">
        <v/>
      </c>
      <c r="B311" s="123" t="str">
        <v/>
      </c>
      <c r="C311" s="145" t="str">
        <v/>
      </c>
      <c r="D311" s="145" t="str">
        <v/>
      </c>
      <c r="E311" s="145" t="str">
        <v/>
      </c>
      <c r="F311" s="145" t="str">
        <v/>
      </c>
      <c r="G311" s="145" t="str">
        <v/>
      </c>
      <c r="H311" s="145" t="str">
        <v/>
      </c>
      <c r="I311" s="145" t="str">
        <v/>
      </c>
      <c r="J311" s="145" t="str">
        <v/>
      </c>
      <c r="K311" s="145" t="str">
        <v/>
      </c>
      <c r="L311" s="145" t="str">
        <v/>
      </c>
      <c r="M311" s="145" t="str">
        <v/>
      </c>
      <c r="N311" s="145" t="str">
        <v/>
      </c>
      <c r="O311" s="145" t="str">
        <v/>
      </c>
      <c r="P311" s="145" t="str">
        <v/>
      </c>
    </row>
    <row r="312" spans="1:16" x14ac:dyDescent="0.2">
      <c r="A312" s="58" t="str">
        <v/>
      </c>
      <c r="B312" s="123" t="str">
        <v/>
      </c>
      <c r="C312" s="145" t="str">
        <v/>
      </c>
      <c r="D312" s="145" t="str">
        <v/>
      </c>
      <c r="E312" s="145" t="str">
        <v/>
      </c>
      <c r="F312" s="145" t="str">
        <v/>
      </c>
      <c r="G312" s="145" t="str">
        <v/>
      </c>
      <c r="H312" s="145" t="str">
        <v/>
      </c>
      <c r="I312" s="145" t="str">
        <v/>
      </c>
      <c r="J312" s="145" t="str">
        <v/>
      </c>
      <c r="K312" s="145" t="str">
        <v/>
      </c>
      <c r="L312" s="145" t="str">
        <v/>
      </c>
      <c r="M312" s="145" t="str">
        <v/>
      </c>
      <c r="N312" s="145" t="str">
        <v/>
      </c>
      <c r="O312" s="145" t="str">
        <v/>
      </c>
      <c r="P312" s="145" t="str">
        <v/>
      </c>
    </row>
    <row r="313" spans="1:16" x14ac:dyDescent="0.2">
      <c r="A313" s="58" t="str">
        <v/>
      </c>
      <c r="B313" s="123" t="str">
        <v/>
      </c>
      <c r="C313" s="145" t="str">
        <v/>
      </c>
      <c r="D313" s="145" t="str">
        <v/>
      </c>
      <c r="E313" s="145" t="str">
        <v/>
      </c>
      <c r="F313" s="145" t="str">
        <v/>
      </c>
      <c r="G313" s="145" t="str">
        <v/>
      </c>
      <c r="H313" s="145" t="str">
        <v/>
      </c>
      <c r="I313" s="145" t="str">
        <v/>
      </c>
      <c r="J313" s="145" t="str">
        <v/>
      </c>
      <c r="K313" s="145" t="str">
        <v/>
      </c>
      <c r="L313" s="145" t="str">
        <v/>
      </c>
      <c r="M313" s="145" t="str">
        <v/>
      </c>
      <c r="N313" s="145" t="str">
        <v/>
      </c>
      <c r="O313" s="145" t="str">
        <v/>
      </c>
      <c r="P313" s="145" t="str">
        <v/>
      </c>
    </row>
    <row r="314" spans="1:16" x14ac:dyDescent="0.2">
      <c r="A314" s="58" t="str">
        <v/>
      </c>
      <c r="B314" s="123" t="str">
        <v/>
      </c>
      <c r="C314" s="145" t="str">
        <v/>
      </c>
      <c r="D314" s="145" t="str">
        <v/>
      </c>
      <c r="E314" s="145" t="str">
        <v/>
      </c>
      <c r="F314" s="145" t="str">
        <v/>
      </c>
      <c r="G314" s="145" t="str">
        <v/>
      </c>
      <c r="H314" s="145" t="str">
        <v/>
      </c>
      <c r="I314" s="145" t="str">
        <v/>
      </c>
      <c r="J314" s="145" t="str">
        <v/>
      </c>
      <c r="K314" s="145" t="str">
        <v/>
      </c>
      <c r="L314" s="145" t="str">
        <v/>
      </c>
      <c r="M314" s="145" t="str">
        <v/>
      </c>
      <c r="N314" s="145" t="str">
        <v/>
      </c>
      <c r="O314" s="145" t="str">
        <v/>
      </c>
      <c r="P314" s="145" t="str">
        <v/>
      </c>
    </row>
    <row r="315" spans="1:16" x14ac:dyDescent="0.2">
      <c r="A315" s="58" t="str">
        <v/>
      </c>
      <c r="B315" s="123" t="str">
        <v/>
      </c>
      <c r="C315" s="145" t="str">
        <v/>
      </c>
      <c r="D315" s="145" t="str">
        <v/>
      </c>
      <c r="E315" s="145" t="str">
        <v/>
      </c>
      <c r="F315" s="145" t="str">
        <v/>
      </c>
      <c r="G315" s="145" t="str">
        <v/>
      </c>
      <c r="H315" s="145" t="str">
        <v/>
      </c>
      <c r="I315" s="145" t="str">
        <v/>
      </c>
      <c r="J315" s="145" t="str">
        <v/>
      </c>
      <c r="K315" s="145" t="str">
        <v/>
      </c>
      <c r="L315" s="145" t="str">
        <v/>
      </c>
      <c r="M315" s="145" t="str">
        <v/>
      </c>
      <c r="N315" s="145" t="str">
        <v/>
      </c>
      <c r="O315" s="145" t="str">
        <v/>
      </c>
      <c r="P315" s="145" t="str">
        <v/>
      </c>
    </row>
    <row r="316" spans="1:16" x14ac:dyDescent="0.2">
      <c r="A316" s="58" t="str">
        <v/>
      </c>
      <c r="B316" s="123" t="str">
        <v/>
      </c>
      <c r="C316" s="145" t="str">
        <v/>
      </c>
      <c r="D316" s="145" t="str">
        <v/>
      </c>
      <c r="E316" s="145" t="str">
        <v/>
      </c>
      <c r="F316" s="145" t="str">
        <v/>
      </c>
      <c r="G316" s="145" t="str">
        <v/>
      </c>
      <c r="H316" s="145" t="str">
        <v/>
      </c>
      <c r="I316" s="145" t="str">
        <v/>
      </c>
      <c r="J316" s="145" t="str">
        <v/>
      </c>
      <c r="K316" s="145" t="str">
        <v/>
      </c>
      <c r="L316" s="145" t="str">
        <v/>
      </c>
      <c r="M316" s="145" t="str">
        <v/>
      </c>
      <c r="N316" s="145" t="str">
        <v/>
      </c>
      <c r="O316" s="145" t="str">
        <v/>
      </c>
      <c r="P316" s="145" t="str">
        <v/>
      </c>
    </row>
    <row r="317" spans="1:16" x14ac:dyDescent="0.2">
      <c r="A317" s="58" t="str">
        <v/>
      </c>
      <c r="B317" s="123" t="str">
        <v/>
      </c>
      <c r="C317" s="145" t="str">
        <v/>
      </c>
      <c r="D317" s="145" t="str">
        <v/>
      </c>
      <c r="E317" s="145" t="str">
        <v/>
      </c>
      <c r="F317" s="145" t="str">
        <v/>
      </c>
      <c r="G317" s="145" t="str">
        <v/>
      </c>
      <c r="H317" s="145" t="str">
        <v/>
      </c>
      <c r="I317" s="145" t="str">
        <v/>
      </c>
      <c r="J317" s="145" t="str">
        <v/>
      </c>
      <c r="K317" s="145" t="str">
        <v/>
      </c>
      <c r="L317" s="145" t="str">
        <v/>
      </c>
      <c r="M317" s="145" t="str">
        <v/>
      </c>
      <c r="N317" s="145" t="str">
        <v/>
      </c>
      <c r="O317" s="145" t="str">
        <v/>
      </c>
      <c r="P317" s="145" t="str">
        <v/>
      </c>
    </row>
    <row r="318" spans="1:16" x14ac:dyDescent="0.2">
      <c r="A318" s="58" t="str">
        <v/>
      </c>
      <c r="B318" s="123" t="str">
        <v/>
      </c>
      <c r="C318" s="145" t="str">
        <v/>
      </c>
      <c r="D318" s="145" t="str">
        <v/>
      </c>
      <c r="E318" s="145" t="str">
        <v/>
      </c>
      <c r="F318" s="145" t="str">
        <v/>
      </c>
      <c r="G318" s="145" t="str">
        <v/>
      </c>
      <c r="H318" s="145" t="str">
        <v/>
      </c>
      <c r="I318" s="145" t="str">
        <v/>
      </c>
      <c r="J318" s="145" t="str">
        <v/>
      </c>
      <c r="K318" s="145" t="str">
        <v/>
      </c>
      <c r="L318" s="145" t="str">
        <v/>
      </c>
      <c r="M318" s="145" t="str">
        <v/>
      </c>
      <c r="N318" s="145" t="str">
        <v/>
      </c>
      <c r="O318" s="145" t="str">
        <v/>
      </c>
      <c r="P318" s="145" t="str">
        <v/>
      </c>
    </row>
    <row r="319" spans="1:16" x14ac:dyDescent="0.2">
      <c r="A319" s="58" t="str">
        <v/>
      </c>
      <c r="B319" s="123" t="str">
        <v/>
      </c>
      <c r="C319" s="145" t="str">
        <v/>
      </c>
      <c r="D319" s="145" t="str">
        <v/>
      </c>
      <c r="E319" s="145" t="str">
        <v/>
      </c>
      <c r="F319" s="145" t="str">
        <v/>
      </c>
      <c r="G319" s="145" t="str">
        <v/>
      </c>
      <c r="H319" s="145" t="str">
        <v/>
      </c>
      <c r="I319" s="145" t="str">
        <v/>
      </c>
      <c r="J319" s="145" t="str">
        <v/>
      </c>
      <c r="K319" s="145" t="str">
        <v/>
      </c>
      <c r="L319" s="145" t="str">
        <v/>
      </c>
      <c r="M319" s="145" t="str">
        <v/>
      </c>
      <c r="N319" s="145" t="str">
        <v/>
      </c>
      <c r="O319" s="145" t="str">
        <v/>
      </c>
      <c r="P319" s="145" t="str">
        <v/>
      </c>
    </row>
    <row r="320" spans="1:16" x14ac:dyDescent="0.2">
      <c r="A320" s="58" t="str">
        <v/>
      </c>
      <c r="B320" s="123" t="str">
        <v/>
      </c>
      <c r="C320" s="145" t="str">
        <v/>
      </c>
      <c r="D320" s="145" t="str">
        <v/>
      </c>
      <c r="E320" s="145" t="str">
        <v/>
      </c>
      <c r="F320" s="145" t="str">
        <v/>
      </c>
      <c r="G320" s="145" t="str">
        <v/>
      </c>
      <c r="H320" s="145" t="str">
        <v/>
      </c>
      <c r="I320" s="145" t="str">
        <v/>
      </c>
      <c r="J320" s="145" t="str">
        <v/>
      </c>
      <c r="K320" s="145" t="str">
        <v/>
      </c>
      <c r="L320" s="145" t="str">
        <v/>
      </c>
      <c r="M320" s="145" t="str">
        <v/>
      </c>
      <c r="N320" s="145" t="str">
        <v/>
      </c>
      <c r="O320" s="145" t="str">
        <v/>
      </c>
      <c r="P320" s="145" t="str">
        <v/>
      </c>
    </row>
    <row r="321" spans="1:16" x14ac:dyDescent="0.2">
      <c r="A321" s="58" t="str">
        <v/>
      </c>
      <c r="B321" s="123" t="str">
        <v/>
      </c>
      <c r="C321" s="145" t="str">
        <v/>
      </c>
      <c r="D321" s="145" t="str">
        <v/>
      </c>
      <c r="E321" s="145" t="str">
        <v/>
      </c>
      <c r="F321" s="145" t="str">
        <v/>
      </c>
      <c r="G321" s="145" t="str">
        <v/>
      </c>
      <c r="H321" s="145" t="str">
        <v/>
      </c>
      <c r="I321" s="145" t="str">
        <v/>
      </c>
      <c r="J321" s="145" t="str">
        <v/>
      </c>
      <c r="K321" s="145" t="str">
        <v/>
      </c>
      <c r="L321" s="145" t="str">
        <v/>
      </c>
      <c r="M321" s="145" t="str">
        <v/>
      </c>
      <c r="N321" s="145" t="str">
        <v/>
      </c>
      <c r="O321" s="145" t="str">
        <v/>
      </c>
      <c r="P321" s="145" t="str">
        <v/>
      </c>
    </row>
    <row r="322" spans="1:16" x14ac:dyDescent="0.2">
      <c r="A322" s="58" t="str">
        <v/>
      </c>
      <c r="B322" s="123" t="str">
        <v/>
      </c>
      <c r="C322" s="145" t="str">
        <v/>
      </c>
      <c r="D322" s="145" t="str">
        <v/>
      </c>
      <c r="E322" s="145" t="str">
        <v/>
      </c>
      <c r="F322" s="145" t="str">
        <v/>
      </c>
      <c r="G322" s="145" t="str">
        <v/>
      </c>
      <c r="H322" s="145" t="str">
        <v/>
      </c>
      <c r="I322" s="145" t="str">
        <v/>
      </c>
      <c r="J322" s="145" t="str">
        <v/>
      </c>
      <c r="K322" s="145" t="str">
        <v/>
      </c>
      <c r="L322" s="145" t="str">
        <v/>
      </c>
      <c r="M322" s="145" t="str">
        <v/>
      </c>
      <c r="N322" s="145" t="str">
        <v/>
      </c>
      <c r="O322" s="145" t="str">
        <v/>
      </c>
      <c r="P322" s="145" t="str">
        <v/>
      </c>
    </row>
    <row r="323" spans="1:16" x14ac:dyDescent="0.2">
      <c r="A323" s="58" t="str">
        <v/>
      </c>
      <c r="B323" s="123" t="str">
        <v/>
      </c>
      <c r="C323" s="145" t="str">
        <v/>
      </c>
      <c r="D323" s="145" t="str">
        <v/>
      </c>
      <c r="E323" s="145" t="str">
        <v/>
      </c>
      <c r="F323" s="145" t="str">
        <v/>
      </c>
      <c r="G323" s="145" t="str">
        <v/>
      </c>
      <c r="H323" s="145" t="str">
        <v/>
      </c>
      <c r="I323" s="145" t="str">
        <v/>
      </c>
      <c r="J323" s="145" t="str">
        <v/>
      </c>
      <c r="K323" s="145" t="str">
        <v/>
      </c>
      <c r="L323" s="145" t="str">
        <v/>
      </c>
      <c r="M323" s="145" t="str">
        <v/>
      </c>
      <c r="N323" s="145" t="str">
        <v/>
      </c>
      <c r="O323" s="145" t="str">
        <v/>
      </c>
      <c r="P323" s="145" t="str">
        <v/>
      </c>
    </row>
    <row r="324" spans="1:16" x14ac:dyDescent="0.2">
      <c r="A324" s="58" t="str">
        <v>0:00</v>
      </c>
      <c r="B324" s="123"/>
      <c r="C324" s="145"/>
      <c r="D324" s="145"/>
      <c r="E324" s="145"/>
      <c r="F324" s="145"/>
      <c r="G324" s="145"/>
      <c r="H324" s="145"/>
      <c r="I324" s="145"/>
      <c r="J324" s="145"/>
      <c r="K324" s="145"/>
      <c r="L324" s="145"/>
      <c r="M324" s="145"/>
      <c r="N324" s="145"/>
      <c r="O324" s="145"/>
      <c r="P324" s="145"/>
    </row>
    <row r="325" spans="1:16" x14ac:dyDescent="0.2">
      <c r="A325" s="58" t="str">
        <v>0:00</v>
      </c>
      <c r="B325" s="123"/>
      <c r="C325" s="145"/>
      <c r="D325" s="145"/>
      <c r="E325" s="145"/>
      <c r="F325" s="145"/>
      <c r="G325" s="145"/>
      <c r="H325" s="145"/>
      <c r="I325" s="145"/>
      <c r="J325" s="145"/>
      <c r="K325" s="145"/>
      <c r="L325" s="145"/>
      <c r="M325" s="145"/>
      <c r="N325" s="145"/>
      <c r="O325" s="145"/>
      <c r="P325" s="145"/>
    </row>
    <row r="326" spans="1:16" x14ac:dyDescent="0.2">
      <c r="A326" s="58" t="str">
        <v>0:00</v>
      </c>
      <c r="B326" s="123"/>
      <c r="C326" s="145"/>
      <c r="D326" s="145"/>
      <c r="E326" s="145"/>
      <c r="F326" s="145"/>
      <c r="G326" s="145"/>
      <c r="H326" s="145"/>
      <c r="I326" s="145"/>
      <c r="J326" s="145"/>
      <c r="K326" s="145"/>
      <c r="L326" s="145"/>
      <c r="M326" s="145"/>
      <c r="N326" s="145"/>
      <c r="O326" s="145"/>
      <c r="P326" s="145"/>
    </row>
    <row r="327" spans="1:16" x14ac:dyDescent="0.2">
      <c r="A327" s="58" t="str">
        <v>0:00</v>
      </c>
      <c r="B327" s="123"/>
      <c r="C327" s="145"/>
      <c r="D327" s="145"/>
      <c r="E327" s="145"/>
      <c r="F327" s="145"/>
      <c r="G327" s="145"/>
      <c r="H327" s="145"/>
      <c r="I327" s="145"/>
      <c r="J327" s="145"/>
      <c r="K327" s="145"/>
      <c r="L327" s="145"/>
      <c r="M327" s="145"/>
      <c r="N327" s="145"/>
      <c r="O327" s="145"/>
      <c r="P327" s="145"/>
    </row>
    <row r="328" spans="1:16" x14ac:dyDescent="0.2">
      <c r="A328" s="58" t="str">
        <v>0:00</v>
      </c>
      <c r="B328" s="123"/>
      <c r="C328" s="145"/>
      <c r="D328" s="145"/>
      <c r="E328" s="145"/>
      <c r="F328" s="145"/>
      <c r="G328" s="145"/>
      <c r="H328" s="145"/>
      <c r="I328" s="145"/>
      <c r="J328" s="145"/>
      <c r="K328" s="145"/>
      <c r="L328" s="145"/>
      <c r="M328" s="145"/>
      <c r="N328" s="145"/>
      <c r="O328" s="145"/>
      <c r="P328" s="145"/>
    </row>
    <row r="329" spans="1:16" x14ac:dyDescent="0.2">
      <c r="A329" s="58" t="str">
        <v>0:00</v>
      </c>
      <c r="B329" s="123"/>
      <c r="C329" s="145"/>
      <c r="D329" s="145"/>
      <c r="E329" s="145"/>
      <c r="F329" s="145"/>
      <c r="G329" s="145"/>
      <c r="H329" s="145"/>
      <c r="I329" s="145"/>
      <c r="J329" s="145"/>
      <c r="K329" s="145"/>
      <c r="L329" s="145"/>
      <c r="M329" s="145"/>
      <c r="N329" s="145"/>
      <c r="O329" s="145"/>
      <c r="P329" s="145"/>
    </row>
    <row r="330" spans="1:16" x14ac:dyDescent="0.2">
      <c r="A330" s="58" t="str">
        <v>0:00</v>
      </c>
      <c r="B330" s="123"/>
      <c r="C330" s="145"/>
      <c r="D330" s="145"/>
      <c r="E330" s="145"/>
      <c r="F330" s="145"/>
      <c r="G330" s="145"/>
      <c r="H330" s="145"/>
      <c r="I330" s="145"/>
      <c r="J330" s="145"/>
      <c r="K330" s="145"/>
      <c r="L330" s="145"/>
      <c r="M330" s="145"/>
      <c r="N330" s="145"/>
      <c r="O330" s="145"/>
      <c r="P330" s="145"/>
    </row>
    <row r="331" spans="1:16" x14ac:dyDescent="0.2">
      <c r="A331" s="58" t="str">
        <v>0:00</v>
      </c>
      <c r="B331" s="123"/>
      <c r="C331" s="145"/>
      <c r="D331" s="145"/>
      <c r="E331" s="145"/>
      <c r="F331" s="145"/>
      <c r="G331" s="145"/>
      <c r="H331" s="145"/>
      <c r="I331" s="145"/>
      <c r="J331" s="145"/>
      <c r="K331" s="145"/>
      <c r="L331" s="145"/>
      <c r="M331" s="145"/>
      <c r="N331" s="145"/>
      <c r="O331" s="145"/>
      <c r="P331" s="145"/>
    </row>
    <row r="332" spans="1:16" x14ac:dyDescent="0.2">
      <c r="A332" s="58" t="str">
        <v>0:00</v>
      </c>
      <c r="B332" s="123"/>
      <c r="C332" s="145"/>
      <c r="D332" s="145"/>
      <c r="E332" s="145"/>
      <c r="F332" s="145"/>
      <c r="G332" s="145"/>
      <c r="H332" s="145"/>
      <c r="I332" s="145"/>
      <c r="J332" s="145"/>
      <c r="K332" s="145"/>
      <c r="L332" s="145"/>
      <c r="M332" s="145"/>
      <c r="N332" s="145"/>
      <c r="O332" s="145"/>
      <c r="P332" s="145"/>
    </row>
    <row r="333" spans="1:16" x14ac:dyDescent="0.2">
      <c r="A333" s="58" t="str">
        <v>0:00</v>
      </c>
      <c r="B333" s="123"/>
      <c r="C333" s="145"/>
      <c r="D333" s="145"/>
      <c r="E333" s="145"/>
      <c r="F333" s="145"/>
      <c r="G333" s="145"/>
      <c r="H333" s="145"/>
      <c r="I333" s="145"/>
      <c r="J333" s="145"/>
      <c r="K333" s="145"/>
      <c r="L333" s="145"/>
      <c r="M333" s="145"/>
      <c r="N333" s="145"/>
      <c r="O333" s="145"/>
      <c r="P333" s="145"/>
    </row>
    <row r="334" spans="1:16" x14ac:dyDescent="0.2">
      <c r="A334" s="58" t="str">
        <v>0:00</v>
      </c>
      <c r="B334" s="123"/>
      <c r="C334" s="145"/>
      <c r="D334" s="145"/>
      <c r="E334" s="145"/>
      <c r="F334" s="145"/>
      <c r="G334" s="145"/>
      <c r="H334" s="145"/>
      <c r="I334" s="145"/>
      <c r="J334" s="145"/>
      <c r="K334" s="145"/>
      <c r="L334" s="145"/>
      <c r="M334" s="145"/>
      <c r="N334" s="145"/>
      <c r="O334" s="145"/>
      <c r="P334" s="145"/>
    </row>
    <row r="335" spans="1:16" x14ac:dyDescent="0.2">
      <c r="A335" s="58" t="str">
        <v>0:00</v>
      </c>
      <c r="B335" s="123"/>
      <c r="C335" s="145"/>
      <c r="D335" s="145"/>
      <c r="E335" s="145"/>
      <c r="F335" s="145"/>
      <c r="G335" s="145"/>
      <c r="H335" s="145"/>
      <c r="I335" s="145"/>
      <c r="J335" s="145"/>
      <c r="K335" s="145"/>
      <c r="L335" s="145"/>
      <c r="M335" s="145"/>
      <c r="N335" s="145"/>
      <c r="O335" s="145"/>
      <c r="P335" s="145"/>
    </row>
    <row r="336" spans="1:16" x14ac:dyDescent="0.2">
      <c r="A336" s="58" t="str">
        <v>0:00</v>
      </c>
      <c r="B336" s="123"/>
      <c r="C336" s="145"/>
      <c r="D336" s="145"/>
      <c r="E336" s="145"/>
      <c r="F336" s="145"/>
      <c r="G336" s="145"/>
      <c r="H336" s="145"/>
      <c r="I336" s="145"/>
      <c r="J336" s="145"/>
      <c r="K336" s="145"/>
      <c r="L336" s="145"/>
      <c r="M336" s="145"/>
      <c r="N336" s="145"/>
      <c r="O336" s="145"/>
      <c r="P336" s="145"/>
    </row>
    <row r="337" spans="1:16" x14ac:dyDescent="0.2">
      <c r="A337" s="58" t="str">
        <v>0:00</v>
      </c>
      <c r="B337" s="123"/>
      <c r="C337" s="145"/>
      <c r="D337" s="145"/>
      <c r="E337" s="145"/>
      <c r="F337" s="145"/>
      <c r="G337" s="145"/>
      <c r="H337" s="145"/>
      <c r="I337" s="145"/>
      <c r="J337" s="145"/>
      <c r="K337" s="145"/>
      <c r="L337" s="145"/>
      <c r="M337" s="145"/>
      <c r="N337" s="145"/>
      <c r="O337" s="145"/>
      <c r="P337" s="145"/>
    </row>
    <row r="338" spans="1:16" x14ac:dyDescent="0.2">
      <c r="A338" s="58" t="str">
        <v>0:00</v>
      </c>
      <c r="B338" s="123"/>
      <c r="C338" s="145"/>
      <c r="D338" s="145"/>
      <c r="E338" s="145"/>
      <c r="F338" s="145"/>
      <c r="G338" s="145"/>
      <c r="H338" s="145"/>
      <c r="I338" s="145"/>
      <c r="J338" s="145"/>
      <c r="K338" s="145"/>
      <c r="L338" s="145"/>
      <c r="M338" s="145"/>
      <c r="N338" s="145"/>
      <c r="O338" s="145"/>
      <c r="P338" s="145"/>
    </row>
    <row r="339" spans="1:16" x14ac:dyDescent="0.2">
      <c r="A339" s="58" t="str">
        <v>0:00</v>
      </c>
      <c r="B339" s="123"/>
      <c r="C339" s="145"/>
      <c r="D339" s="145"/>
      <c r="E339" s="145"/>
      <c r="F339" s="145"/>
      <c r="G339" s="145"/>
      <c r="H339" s="145"/>
      <c r="I339" s="145"/>
      <c r="J339" s="145"/>
      <c r="K339" s="145"/>
      <c r="L339" s="145"/>
      <c r="M339" s="145"/>
      <c r="N339" s="145"/>
      <c r="O339" s="145"/>
      <c r="P339" s="145"/>
    </row>
    <row r="340" spans="1:16" x14ac:dyDescent="0.2">
      <c r="A340" s="58" t="str">
        <v>0:00</v>
      </c>
      <c r="B340" s="123"/>
      <c r="C340" s="145"/>
      <c r="D340" s="145"/>
      <c r="E340" s="145"/>
      <c r="F340" s="145"/>
      <c r="G340" s="145"/>
      <c r="H340" s="145"/>
      <c r="I340" s="145"/>
      <c r="J340" s="145"/>
      <c r="K340" s="145"/>
      <c r="L340" s="145"/>
      <c r="M340" s="145"/>
      <c r="N340" s="145"/>
      <c r="O340" s="145"/>
      <c r="P340" s="145"/>
    </row>
    <row r="341" spans="1:16" x14ac:dyDescent="0.2">
      <c r="A341" s="58" t="str">
        <v>0:00</v>
      </c>
      <c r="B341" s="123"/>
      <c r="C341" s="145"/>
      <c r="D341" s="145"/>
      <c r="E341" s="145"/>
      <c r="F341" s="145"/>
      <c r="G341" s="145"/>
      <c r="H341" s="145"/>
      <c r="I341" s="145"/>
      <c r="J341" s="145"/>
      <c r="K341" s="145"/>
      <c r="L341" s="145"/>
      <c r="M341" s="145"/>
      <c r="N341" s="145"/>
      <c r="O341" s="145"/>
      <c r="P341" s="145"/>
    </row>
    <row r="342" spans="1:16" x14ac:dyDescent="0.2">
      <c r="A342" s="58" t="str">
        <v>0:00</v>
      </c>
      <c r="B342" s="123"/>
      <c r="C342" s="145"/>
      <c r="D342" s="145"/>
      <c r="E342" s="145"/>
      <c r="F342" s="145"/>
      <c r="G342" s="145"/>
      <c r="H342" s="145"/>
      <c r="I342" s="145"/>
      <c r="J342" s="145"/>
      <c r="K342" s="145"/>
      <c r="L342" s="145"/>
      <c r="M342" s="145"/>
      <c r="N342" s="145"/>
      <c r="O342" s="145"/>
      <c r="P342" s="145"/>
    </row>
    <row r="343" spans="1:16" x14ac:dyDescent="0.2">
      <c r="A343" s="58" t="str">
        <v>0:00</v>
      </c>
      <c r="B343" s="123"/>
      <c r="C343" s="145"/>
      <c r="D343" s="145"/>
      <c r="E343" s="145"/>
      <c r="F343" s="145"/>
      <c r="G343" s="145"/>
      <c r="H343" s="145"/>
      <c r="I343" s="145"/>
      <c r="J343" s="145"/>
      <c r="K343" s="145"/>
      <c r="L343" s="145"/>
      <c r="M343" s="145"/>
      <c r="N343" s="145"/>
      <c r="O343" s="145"/>
      <c r="P343" s="145"/>
    </row>
    <row r="344" spans="1:16" x14ac:dyDescent="0.2">
      <c r="A344" s="58" t="str">
        <v>0:00</v>
      </c>
      <c r="B344" s="123"/>
      <c r="C344" s="145"/>
      <c r="D344" s="145"/>
      <c r="E344" s="145"/>
      <c r="F344" s="145"/>
      <c r="G344" s="145"/>
      <c r="H344" s="145"/>
      <c r="I344" s="145"/>
      <c r="J344" s="145"/>
      <c r="K344" s="145"/>
      <c r="L344" s="145"/>
      <c r="M344" s="145"/>
      <c r="N344" s="145"/>
      <c r="O344" s="145"/>
      <c r="P344" s="145"/>
    </row>
    <row r="345" spans="1:16" x14ac:dyDescent="0.2">
      <c r="A345" s="58" t="str">
        <v>0:00</v>
      </c>
      <c r="B345" s="123"/>
      <c r="C345" s="145"/>
      <c r="D345" s="145"/>
      <c r="E345" s="145"/>
      <c r="F345" s="145"/>
      <c r="G345" s="145"/>
      <c r="H345" s="145"/>
      <c r="I345" s="145"/>
      <c r="J345" s="145"/>
      <c r="K345" s="145"/>
      <c r="L345" s="145"/>
      <c r="M345" s="145"/>
      <c r="N345" s="145"/>
      <c r="O345" s="145"/>
      <c r="P345" s="145"/>
    </row>
    <row r="346" spans="1:16" x14ac:dyDescent="0.2">
      <c r="A346" s="58" t="str">
        <v>0:00</v>
      </c>
      <c r="B346" s="123"/>
      <c r="C346" s="145"/>
      <c r="D346" s="145"/>
      <c r="E346" s="145"/>
      <c r="F346" s="145"/>
      <c r="G346" s="145"/>
      <c r="H346" s="145"/>
      <c r="I346" s="145"/>
      <c r="J346" s="145"/>
      <c r="K346" s="145"/>
      <c r="L346" s="145"/>
      <c r="M346" s="145"/>
      <c r="N346" s="145"/>
      <c r="O346" s="145"/>
      <c r="P346" s="145"/>
    </row>
    <row r="347" spans="1:16" x14ac:dyDescent="0.2">
      <c r="A347" s="58" t="str">
        <v>0:00</v>
      </c>
      <c r="B347" s="123"/>
      <c r="C347" s="145"/>
      <c r="D347" s="145"/>
      <c r="E347" s="145"/>
      <c r="F347" s="145"/>
      <c r="G347" s="145"/>
      <c r="H347" s="145"/>
      <c r="I347" s="145"/>
      <c r="J347" s="145"/>
      <c r="K347" s="145"/>
      <c r="L347" s="145"/>
      <c r="M347" s="145"/>
      <c r="N347" s="145"/>
      <c r="O347" s="145"/>
      <c r="P347" s="145"/>
    </row>
    <row r="348" spans="1:16" x14ac:dyDescent="0.2">
      <c r="A348" s="58" t="str">
        <v>0:00</v>
      </c>
      <c r="B348" s="123"/>
      <c r="C348" s="145"/>
      <c r="D348" s="145"/>
      <c r="E348" s="145"/>
      <c r="F348" s="145"/>
      <c r="G348" s="145"/>
      <c r="H348" s="145"/>
      <c r="I348" s="145"/>
      <c r="J348" s="145"/>
      <c r="K348" s="145"/>
      <c r="L348" s="145"/>
      <c r="M348" s="145"/>
      <c r="N348" s="145"/>
      <c r="O348" s="145"/>
      <c r="P348" s="145"/>
    </row>
    <row r="349" spans="1:16" x14ac:dyDescent="0.2">
      <c r="A349" s="58" t="str">
        <v>0:00</v>
      </c>
      <c r="B349" s="123"/>
      <c r="C349" s="145"/>
      <c r="D349" s="145"/>
      <c r="E349" s="145"/>
      <c r="F349" s="145"/>
      <c r="G349" s="145"/>
      <c r="H349" s="145"/>
      <c r="I349" s="145"/>
      <c r="J349" s="145"/>
      <c r="K349" s="145"/>
      <c r="L349" s="145"/>
      <c r="M349" s="145"/>
      <c r="N349" s="145"/>
      <c r="O349" s="145"/>
      <c r="P349" s="145"/>
    </row>
    <row r="350" spans="1:16" x14ac:dyDescent="0.2">
      <c r="A350" s="58" t="str">
        <v>0:00</v>
      </c>
      <c r="B350" s="123"/>
      <c r="C350" s="145"/>
      <c r="D350" s="145"/>
      <c r="E350" s="145"/>
      <c r="F350" s="145"/>
      <c r="G350" s="145"/>
      <c r="H350" s="145"/>
      <c r="I350" s="145"/>
      <c r="J350" s="145"/>
      <c r="K350" s="145"/>
      <c r="L350" s="145"/>
      <c r="M350" s="145"/>
      <c r="N350" s="145"/>
      <c r="O350" s="145"/>
      <c r="P350" s="145"/>
    </row>
    <row r="351" spans="1:16" x14ac:dyDescent="0.2">
      <c r="A351" s="58" t="str">
        <v>0:00</v>
      </c>
      <c r="B351" s="123"/>
      <c r="C351" s="145"/>
      <c r="D351" s="145"/>
      <c r="E351" s="145"/>
      <c r="F351" s="145"/>
      <c r="G351" s="145"/>
      <c r="H351" s="145"/>
      <c r="I351" s="145"/>
      <c r="J351" s="145"/>
      <c r="K351" s="145"/>
      <c r="L351" s="145"/>
      <c r="M351" s="145"/>
      <c r="N351" s="145"/>
      <c r="O351" s="145"/>
      <c r="P351" s="145"/>
    </row>
    <row r="352" spans="1:16" x14ac:dyDescent="0.2">
      <c r="A352" s="58" t="str">
        <v>0:00</v>
      </c>
      <c r="B352" s="123"/>
      <c r="C352" s="145"/>
      <c r="D352" s="145"/>
      <c r="E352" s="145"/>
      <c r="F352" s="145"/>
      <c r="G352" s="145"/>
      <c r="H352" s="145"/>
      <c r="I352" s="145"/>
      <c r="J352" s="145"/>
      <c r="K352" s="145"/>
      <c r="L352" s="145"/>
      <c r="M352" s="145"/>
      <c r="N352" s="145"/>
      <c r="O352" s="145"/>
      <c r="P352" s="145"/>
    </row>
    <row r="353" spans="1:16" x14ac:dyDescent="0.2">
      <c r="A353" s="58" t="str">
        <v>0:00</v>
      </c>
      <c r="B353" s="123"/>
      <c r="C353" s="145"/>
      <c r="D353" s="145"/>
      <c r="E353" s="145"/>
      <c r="F353" s="145"/>
      <c r="G353" s="145"/>
      <c r="H353" s="145"/>
      <c r="I353" s="145"/>
      <c r="J353" s="145"/>
      <c r="K353" s="145"/>
      <c r="L353" s="145"/>
      <c r="M353" s="145"/>
      <c r="N353" s="145"/>
      <c r="O353" s="145"/>
      <c r="P353" s="145"/>
    </row>
    <row r="354" spans="1:16" x14ac:dyDescent="0.2">
      <c r="A354" s="58" t="str">
        <v>0:00</v>
      </c>
      <c r="B354" s="123"/>
      <c r="C354" s="145"/>
      <c r="D354" s="145"/>
      <c r="E354" s="145"/>
      <c r="F354" s="145"/>
      <c r="G354" s="145"/>
      <c r="H354" s="145"/>
      <c r="I354" s="145"/>
      <c r="J354" s="145"/>
      <c r="K354" s="145"/>
      <c r="L354" s="145"/>
      <c r="M354" s="145"/>
      <c r="N354" s="145"/>
      <c r="O354" s="145"/>
      <c r="P354" s="145"/>
    </row>
    <row r="355" spans="1:16" x14ac:dyDescent="0.2">
      <c r="A355" s="58" t="str">
        <v>0:00</v>
      </c>
      <c r="B355" s="123"/>
      <c r="C355" s="145"/>
      <c r="D355" s="145"/>
      <c r="E355" s="145"/>
      <c r="F355" s="145"/>
      <c r="G355" s="145"/>
      <c r="H355" s="145"/>
      <c r="I355" s="145"/>
      <c r="J355" s="145"/>
      <c r="K355" s="145"/>
      <c r="L355" s="145"/>
      <c r="M355" s="145"/>
      <c r="N355" s="145"/>
      <c r="O355" s="145"/>
      <c r="P355" s="145"/>
    </row>
    <row r="356" spans="1:16" x14ac:dyDescent="0.2">
      <c r="A356" s="58" t="str">
        <v>0:00</v>
      </c>
      <c r="B356" s="123"/>
      <c r="C356" s="145"/>
      <c r="D356" s="145"/>
      <c r="E356" s="145"/>
      <c r="F356" s="145"/>
      <c r="G356" s="145"/>
      <c r="H356" s="145"/>
      <c r="I356" s="145"/>
      <c r="J356" s="145"/>
      <c r="K356" s="145"/>
      <c r="L356" s="145"/>
      <c r="M356" s="145"/>
      <c r="N356" s="145"/>
      <c r="O356" s="145"/>
      <c r="P356" s="145"/>
    </row>
    <row r="357" spans="1:16" x14ac:dyDescent="0.2">
      <c r="A357" s="58" t="str">
        <v>0:00</v>
      </c>
      <c r="B357" s="123"/>
      <c r="C357" s="145"/>
      <c r="D357" s="145"/>
      <c r="E357" s="145"/>
      <c r="F357" s="145"/>
      <c r="G357" s="145"/>
      <c r="H357" s="145"/>
      <c r="I357" s="145"/>
      <c r="J357" s="145"/>
      <c r="K357" s="145"/>
      <c r="L357" s="145"/>
      <c r="M357" s="145"/>
      <c r="N357" s="145"/>
      <c r="O357" s="145"/>
      <c r="P357" s="145"/>
    </row>
    <row r="358" spans="1:16" x14ac:dyDescent="0.2">
      <c r="A358" s="58" t="str">
        <v>0:00</v>
      </c>
      <c r="B358" s="123"/>
      <c r="C358" s="145"/>
      <c r="D358" s="145"/>
      <c r="E358" s="145"/>
      <c r="F358" s="145"/>
      <c r="G358" s="145"/>
      <c r="H358" s="145"/>
      <c r="I358" s="145"/>
      <c r="J358" s="145"/>
      <c r="K358" s="145"/>
      <c r="L358" s="145"/>
      <c r="M358" s="145"/>
      <c r="N358" s="145"/>
      <c r="O358" s="145"/>
      <c r="P358" s="145"/>
    </row>
    <row r="359" spans="1:16" x14ac:dyDescent="0.2">
      <c r="A359" s="58" t="str">
        <v>0:00</v>
      </c>
      <c r="B359" s="123"/>
      <c r="C359" s="145"/>
      <c r="D359" s="145"/>
      <c r="E359" s="145"/>
      <c r="F359" s="145"/>
      <c r="G359" s="145"/>
      <c r="H359" s="145"/>
      <c r="I359" s="145"/>
      <c r="J359" s="145"/>
      <c r="K359" s="145"/>
      <c r="L359" s="145"/>
      <c r="M359" s="145"/>
      <c r="N359" s="145"/>
      <c r="O359" s="145"/>
      <c r="P359" s="145"/>
    </row>
    <row r="360" spans="1:16" x14ac:dyDescent="0.2">
      <c r="A360" s="58" t="str">
        <v>0:00</v>
      </c>
      <c r="B360" s="123"/>
      <c r="C360" s="145"/>
      <c r="D360" s="145"/>
      <c r="E360" s="145"/>
      <c r="F360" s="145"/>
      <c r="G360" s="145"/>
      <c r="H360" s="145"/>
      <c r="I360" s="145"/>
      <c r="J360" s="145"/>
      <c r="K360" s="145"/>
      <c r="L360" s="145"/>
      <c r="M360" s="145"/>
      <c r="N360" s="145"/>
      <c r="O360" s="145"/>
      <c r="P360" s="145"/>
    </row>
    <row r="361" spans="1:16" x14ac:dyDescent="0.2">
      <c r="A361" s="58" t="str">
        <v>0:00</v>
      </c>
      <c r="B361" s="123"/>
      <c r="C361" s="145"/>
      <c r="D361" s="145"/>
      <c r="E361" s="145"/>
      <c r="F361" s="145"/>
      <c r="G361" s="145"/>
      <c r="H361" s="145"/>
      <c r="I361" s="145"/>
      <c r="J361" s="145"/>
      <c r="K361" s="145"/>
      <c r="L361" s="145"/>
      <c r="M361" s="145"/>
      <c r="N361" s="145"/>
      <c r="O361" s="145"/>
      <c r="P361" s="145"/>
    </row>
    <row r="362" spans="1:16" x14ac:dyDescent="0.2">
      <c r="A362" s="58" t="str">
        <v>0:00</v>
      </c>
      <c r="B362" s="123"/>
      <c r="C362" s="145"/>
      <c r="D362" s="145"/>
      <c r="E362" s="145"/>
      <c r="F362" s="145"/>
      <c r="G362" s="145"/>
      <c r="H362" s="145"/>
      <c r="I362" s="145"/>
      <c r="J362" s="145"/>
      <c r="K362" s="145"/>
      <c r="L362" s="145"/>
      <c r="M362" s="145"/>
      <c r="N362" s="145"/>
      <c r="O362" s="145"/>
      <c r="P362" s="145"/>
    </row>
    <row r="363" spans="1:16" x14ac:dyDescent="0.2">
      <c r="A363" s="58" t="str">
        <v>0:00</v>
      </c>
      <c r="B363" s="123"/>
      <c r="C363" s="145"/>
      <c r="D363" s="145"/>
      <c r="E363" s="145"/>
      <c r="F363" s="145"/>
      <c r="G363" s="145"/>
      <c r="H363" s="145"/>
      <c r="I363" s="145"/>
      <c r="J363" s="145"/>
      <c r="K363" s="145"/>
      <c r="L363" s="145"/>
      <c r="M363" s="145"/>
      <c r="N363" s="145"/>
      <c r="O363" s="145"/>
      <c r="P363" s="145"/>
    </row>
    <row r="364" spans="1:16" x14ac:dyDescent="0.2">
      <c r="A364" s="58" t="str">
        <v>0:00</v>
      </c>
      <c r="B364" s="123"/>
      <c r="C364" s="145"/>
      <c r="D364" s="145"/>
      <c r="E364" s="145"/>
      <c r="F364" s="145"/>
      <c r="G364" s="145"/>
      <c r="H364" s="145"/>
      <c r="I364" s="145"/>
      <c r="J364" s="145"/>
      <c r="K364" s="145"/>
      <c r="L364" s="145"/>
      <c r="M364" s="145"/>
      <c r="N364" s="145"/>
      <c r="O364" s="145"/>
      <c r="P364" s="145"/>
    </row>
    <row r="365" spans="1:16" x14ac:dyDescent="0.2">
      <c r="A365" s="58" t="str">
        <v>0:00</v>
      </c>
      <c r="B365" s="123"/>
      <c r="C365" s="145"/>
      <c r="D365" s="145"/>
      <c r="E365" s="145"/>
      <c r="F365" s="145"/>
      <c r="G365" s="145"/>
      <c r="H365" s="145"/>
      <c r="I365" s="145"/>
      <c r="J365" s="145"/>
      <c r="K365" s="145"/>
      <c r="L365" s="145"/>
      <c r="M365" s="145"/>
      <c r="N365" s="145"/>
      <c r="O365" s="145"/>
      <c r="P365" s="145"/>
    </row>
    <row r="366" spans="1:16" x14ac:dyDescent="0.2">
      <c r="A366" s="58" t="str">
        <v>0:00</v>
      </c>
      <c r="B366" s="123"/>
      <c r="C366" s="145"/>
      <c r="D366" s="145"/>
      <c r="E366" s="145"/>
      <c r="F366" s="145"/>
      <c r="G366" s="145"/>
      <c r="H366" s="145"/>
      <c r="I366" s="145"/>
      <c r="J366" s="145"/>
      <c r="K366" s="145"/>
      <c r="L366" s="145"/>
      <c r="M366" s="145"/>
      <c r="N366" s="145"/>
      <c r="O366" s="145"/>
      <c r="P366" s="145"/>
    </row>
    <row r="367" spans="1:16" x14ac:dyDescent="0.2">
      <c r="A367" s="58" t="str">
        <v>0:00</v>
      </c>
      <c r="B367" s="123"/>
      <c r="C367" s="145"/>
      <c r="D367" s="145"/>
      <c r="E367" s="145"/>
      <c r="F367" s="145"/>
      <c r="G367" s="145"/>
      <c r="H367" s="145"/>
      <c r="I367" s="145"/>
      <c r="J367" s="145"/>
      <c r="K367" s="145"/>
      <c r="L367" s="145"/>
      <c r="M367" s="145"/>
      <c r="N367" s="145"/>
      <c r="O367" s="145"/>
      <c r="P367" s="145"/>
    </row>
    <row r="368" spans="1:16" x14ac:dyDescent="0.2">
      <c r="A368" s="58" t="str">
        <v>0:00</v>
      </c>
      <c r="B368" s="123"/>
      <c r="C368" s="145"/>
      <c r="D368" s="145"/>
      <c r="E368" s="145"/>
      <c r="F368" s="145"/>
      <c r="G368" s="145"/>
      <c r="H368" s="145"/>
      <c r="I368" s="145"/>
      <c r="J368" s="145"/>
      <c r="K368" s="145"/>
      <c r="L368" s="145"/>
      <c r="M368" s="145"/>
      <c r="N368" s="145"/>
      <c r="O368" s="145"/>
      <c r="P368" s="145"/>
    </row>
    <row r="369" spans="1:16" x14ac:dyDescent="0.2">
      <c r="A369" s="58" t="str">
        <v>0:00</v>
      </c>
      <c r="B369" s="123"/>
      <c r="C369" s="145"/>
      <c r="D369" s="145"/>
      <c r="E369" s="145"/>
      <c r="F369" s="145"/>
      <c r="G369" s="145"/>
      <c r="H369" s="145"/>
      <c r="I369" s="145"/>
      <c r="J369" s="145"/>
      <c r="K369" s="145"/>
      <c r="L369" s="145"/>
      <c r="M369" s="145"/>
      <c r="N369" s="145"/>
      <c r="O369" s="145"/>
      <c r="P369" s="145"/>
    </row>
    <row r="370" spans="1:16" x14ac:dyDescent="0.2">
      <c r="A370" s="58" t="str">
        <v>0:00</v>
      </c>
      <c r="B370" s="123"/>
      <c r="C370" s="145"/>
      <c r="D370" s="145"/>
      <c r="E370" s="145"/>
      <c r="F370" s="145"/>
      <c r="G370" s="145"/>
      <c r="H370" s="145"/>
      <c r="I370" s="145"/>
      <c r="J370" s="145"/>
      <c r="K370" s="145"/>
      <c r="L370" s="145"/>
      <c r="M370" s="145"/>
      <c r="N370" s="145"/>
      <c r="O370" s="145"/>
      <c r="P370" s="145"/>
    </row>
    <row r="371" spans="1:16" x14ac:dyDescent="0.2">
      <c r="A371" s="58" t="str">
        <v>0:00</v>
      </c>
      <c r="B371" s="123"/>
      <c r="C371" s="145"/>
      <c r="D371" s="145"/>
      <c r="E371" s="145"/>
      <c r="F371" s="145"/>
      <c r="G371" s="145"/>
      <c r="H371" s="145"/>
      <c r="I371" s="145"/>
      <c r="J371" s="145"/>
      <c r="K371" s="145"/>
      <c r="L371" s="145"/>
      <c r="M371" s="145"/>
      <c r="N371" s="145"/>
      <c r="O371" s="145"/>
      <c r="P371" s="145"/>
    </row>
    <row r="372" spans="1:16" x14ac:dyDescent="0.2">
      <c r="A372" s="58" t="str">
        <v>0:00</v>
      </c>
      <c r="B372" s="123"/>
      <c r="C372" s="145"/>
      <c r="D372" s="145"/>
      <c r="E372" s="145"/>
      <c r="F372" s="145"/>
      <c r="G372" s="145"/>
      <c r="H372" s="145"/>
      <c r="I372" s="145"/>
      <c r="J372" s="145"/>
      <c r="K372" s="145"/>
      <c r="L372" s="145"/>
      <c r="M372" s="145"/>
      <c r="N372" s="145"/>
      <c r="O372" s="145"/>
      <c r="P372" s="145"/>
    </row>
    <row r="373" spans="1:16" x14ac:dyDescent="0.2">
      <c r="A373" s="58" t="str">
        <v>0:00</v>
      </c>
      <c r="B373" s="123"/>
      <c r="C373" s="145"/>
      <c r="D373" s="145"/>
      <c r="E373" s="145"/>
      <c r="F373" s="145"/>
      <c r="G373" s="145"/>
      <c r="H373" s="145"/>
      <c r="I373" s="145"/>
      <c r="J373" s="145"/>
      <c r="K373" s="145"/>
      <c r="L373" s="145"/>
      <c r="M373" s="145"/>
      <c r="N373" s="145"/>
      <c r="O373" s="145"/>
      <c r="P373" s="145"/>
    </row>
    <row r="374" spans="1:16" x14ac:dyDescent="0.2">
      <c r="A374" s="58" t="str">
        <v>0:00</v>
      </c>
      <c r="B374" s="123"/>
      <c r="C374" s="145"/>
      <c r="D374" s="145"/>
      <c r="E374" s="145"/>
      <c r="F374" s="145"/>
      <c r="G374" s="145"/>
      <c r="H374" s="145"/>
      <c r="I374" s="145"/>
      <c r="J374" s="145"/>
      <c r="K374" s="145"/>
      <c r="L374" s="145"/>
      <c r="M374" s="145"/>
      <c r="N374" s="145"/>
      <c r="O374" s="145"/>
      <c r="P374" s="145"/>
    </row>
    <row r="375" spans="1:16" x14ac:dyDescent="0.2">
      <c r="A375" s="58" t="str">
        <v>0:00</v>
      </c>
      <c r="B375" s="123"/>
      <c r="C375" s="145"/>
      <c r="D375" s="145"/>
      <c r="E375" s="145"/>
      <c r="F375" s="145"/>
      <c r="G375" s="145"/>
      <c r="H375" s="145"/>
      <c r="I375" s="145"/>
      <c r="J375" s="145"/>
      <c r="K375" s="145"/>
      <c r="L375" s="145"/>
      <c r="M375" s="145"/>
      <c r="N375" s="145"/>
      <c r="O375" s="145"/>
      <c r="P375" s="145"/>
    </row>
    <row r="376" spans="1:16" x14ac:dyDescent="0.2">
      <c r="A376" s="58" t="str">
        <v>0:00</v>
      </c>
      <c r="B376" s="123"/>
      <c r="C376" s="145"/>
      <c r="D376" s="145"/>
      <c r="E376" s="145"/>
      <c r="F376" s="145"/>
      <c r="G376" s="145"/>
      <c r="H376" s="145"/>
      <c r="I376" s="145"/>
      <c r="J376" s="145"/>
      <c r="K376" s="145"/>
      <c r="L376" s="145"/>
      <c r="M376" s="145"/>
      <c r="N376" s="145"/>
      <c r="O376" s="145"/>
      <c r="P376" s="145"/>
    </row>
    <row r="377" spans="1:16" x14ac:dyDescent="0.2">
      <c r="A377" s="58" t="str">
        <v>0:00</v>
      </c>
      <c r="B377" s="123"/>
      <c r="C377" s="145"/>
      <c r="D377" s="145"/>
      <c r="E377" s="145"/>
      <c r="F377" s="145"/>
      <c r="G377" s="145"/>
      <c r="H377" s="145"/>
      <c r="I377" s="145"/>
      <c r="J377" s="145"/>
      <c r="K377" s="145"/>
      <c r="L377" s="145"/>
      <c r="M377" s="145"/>
      <c r="N377" s="145"/>
      <c r="O377" s="145"/>
      <c r="P377" s="145"/>
    </row>
    <row r="378" spans="1:16" x14ac:dyDescent="0.2">
      <c r="A378" s="58" t="str">
        <v>0:00</v>
      </c>
      <c r="B378" s="123"/>
      <c r="C378" s="145"/>
      <c r="D378" s="145"/>
      <c r="E378" s="145"/>
      <c r="F378" s="145"/>
      <c r="G378" s="145"/>
      <c r="H378" s="145"/>
      <c r="I378" s="145"/>
      <c r="J378" s="145"/>
      <c r="K378" s="145"/>
      <c r="L378" s="145"/>
      <c r="M378" s="145"/>
      <c r="N378" s="145"/>
      <c r="O378" s="145"/>
      <c r="P378" s="145"/>
    </row>
    <row r="379" spans="1:16" x14ac:dyDescent="0.2">
      <c r="A379" s="58" t="str">
        <v>0:00</v>
      </c>
      <c r="B379" s="123"/>
      <c r="C379" s="145"/>
      <c r="D379" s="145"/>
      <c r="E379" s="145"/>
      <c r="F379" s="145"/>
      <c r="G379" s="145"/>
      <c r="H379" s="145"/>
      <c r="I379" s="145"/>
      <c r="J379" s="145"/>
      <c r="K379" s="145"/>
      <c r="L379" s="145"/>
      <c r="M379" s="145"/>
      <c r="N379" s="145"/>
      <c r="O379" s="145"/>
      <c r="P379" s="145"/>
    </row>
    <row r="380" spans="1:16" x14ac:dyDescent="0.2">
      <c r="A380" s="58" t="str">
        <v>0:00</v>
      </c>
      <c r="B380" s="123"/>
      <c r="C380" s="145"/>
      <c r="D380" s="145"/>
      <c r="E380" s="145"/>
      <c r="F380" s="145"/>
      <c r="G380" s="145"/>
      <c r="H380" s="145"/>
      <c r="I380" s="145"/>
      <c r="J380" s="145"/>
      <c r="K380" s="145"/>
      <c r="L380" s="145"/>
      <c r="M380" s="145"/>
      <c r="N380" s="145"/>
      <c r="O380" s="145"/>
      <c r="P380" s="145"/>
    </row>
    <row r="381" spans="1:16" x14ac:dyDescent="0.2">
      <c r="A381" s="58" t="str">
        <v>0:00</v>
      </c>
      <c r="B381" s="123"/>
      <c r="C381" s="145"/>
      <c r="D381" s="145"/>
      <c r="E381" s="145"/>
      <c r="F381" s="145"/>
      <c r="G381" s="145"/>
      <c r="H381" s="145"/>
      <c r="I381" s="145"/>
      <c r="J381" s="145"/>
      <c r="K381" s="145"/>
      <c r="L381" s="145"/>
      <c r="M381" s="145"/>
      <c r="N381" s="145"/>
      <c r="O381" s="145"/>
      <c r="P381" s="145"/>
    </row>
    <row r="382" spans="1:16" x14ac:dyDescent="0.2">
      <c r="A382" s="58" t="str">
        <v>0:00</v>
      </c>
      <c r="B382" s="123"/>
      <c r="C382" s="145"/>
      <c r="D382" s="145"/>
      <c r="E382" s="145"/>
      <c r="F382" s="145"/>
      <c r="G382" s="145"/>
      <c r="H382" s="145"/>
      <c r="I382" s="145"/>
      <c r="J382" s="145"/>
      <c r="K382" s="145"/>
      <c r="L382" s="145"/>
      <c r="M382" s="145"/>
      <c r="N382" s="145"/>
      <c r="O382" s="145"/>
      <c r="P382" s="145"/>
    </row>
    <row r="383" spans="1:16" x14ac:dyDescent="0.2">
      <c r="A383" s="58" t="str">
        <v>0:00</v>
      </c>
      <c r="B383" s="123"/>
      <c r="C383" s="145"/>
      <c r="D383" s="145"/>
      <c r="E383" s="145"/>
      <c r="F383" s="145"/>
      <c r="G383" s="145"/>
      <c r="H383" s="145"/>
      <c r="I383" s="145"/>
      <c r="J383" s="145"/>
      <c r="K383" s="145"/>
      <c r="L383" s="145"/>
      <c r="M383" s="145"/>
      <c r="N383" s="145"/>
      <c r="O383" s="145"/>
      <c r="P383" s="145"/>
    </row>
    <row r="384" spans="1:16" x14ac:dyDescent="0.2">
      <c r="A384" s="58" t="str">
        <v>0:00</v>
      </c>
      <c r="B384" s="123"/>
      <c r="C384" s="145"/>
      <c r="D384" s="145"/>
      <c r="E384" s="145"/>
      <c r="F384" s="145"/>
      <c r="G384" s="145"/>
      <c r="H384" s="145"/>
      <c r="I384" s="145"/>
      <c r="J384" s="145"/>
      <c r="K384" s="145"/>
      <c r="L384" s="145"/>
      <c r="M384" s="145"/>
      <c r="N384" s="145"/>
      <c r="O384" s="145"/>
      <c r="P384" s="145"/>
    </row>
    <row r="385" spans="1:16" x14ac:dyDescent="0.2">
      <c r="A385" s="58" t="str">
        <v>0:00</v>
      </c>
      <c r="B385" s="123"/>
      <c r="C385" s="145"/>
      <c r="D385" s="145"/>
      <c r="E385" s="145"/>
      <c r="F385" s="145"/>
      <c r="G385" s="145"/>
      <c r="H385" s="145"/>
      <c r="I385" s="145"/>
      <c r="J385" s="145"/>
      <c r="K385" s="145"/>
      <c r="L385" s="145"/>
      <c r="M385" s="145"/>
      <c r="N385" s="145"/>
      <c r="O385" s="145"/>
      <c r="P385" s="145"/>
    </row>
    <row r="386" spans="1:16" x14ac:dyDescent="0.2">
      <c r="A386" s="58" t="str">
        <v>0:00</v>
      </c>
      <c r="B386" s="123"/>
      <c r="C386" s="145"/>
      <c r="D386" s="145"/>
      <c r="E386" s="145"/>
      <c r="F386" s="145"/>
      <c r="G386" s="145"/>
      <c r="H386" s="145"/>
      <c r="I386" s="145"/>
      <c r="J386" s="145"/>
      <c r="K386" s="145"/>
      <c r="L386" s="145"/>
      <c r="M386" s="145"/>
      <c r="N386" s="145"/>
      <c r="O386" s="145"/>
      <c r="P386" s="145"/>
    </row>
    <row r="387" spans="1:16" x14ac:dyDescent="0.2">
      <c r="A387" s="58" t="str">
        <v>0:00</v>
      </c>
      <c r="B387" s="123"/>
      <c r="C387" s="145"/>
      <c r="D387" s="145"/>
      <c r="E387" s="145"/>
      <c r="F387" s="145"/>
      <c r="G387" s="145"/>
      <c r="H387" s="145"/>
      <c r="I387" s="145"/>
      <c r="J387" s="145"/>
      <c r="K387" s="145"/>
      <c r="L387" s="145"/>
      <c r="M387" s="145"/>
      <c r="N387" s="145"/>
      <c r="O387" s="145"/>
      <c r="P387" s="145"/>
    </row>
    <row r="388" spans="1:16" x14ac:dyDescent="0.2">
      <c r="A388" s="58" t="str">
        <v>0:00</v>
      </c>
      <c r="B388" s="123"/>
      <c r="C388" s="145"/>
      <c r="D388" s="145"/>
      <c r="E388" s="145"/>
      <c r="F388" s="145"/>
      <c r="G388" s="145"/>
      <c r="H388" s="145"/>
      <c r="I388" s="145"/>
      <c r="J388" s="145"/>
      <c r="K388" s="145"/>
      <c r="L388" s="145"/>
      <c r="M388" s="145"/>
      <c r="N388" s="145"/>
      <c r="O388" s="145"/>
      <c r="P388" s="145"/>
    </row>
    <row r="389" spans="1:16" x14ac:dyDescent="0.2">
      <c r="A389" s="58" t="str">
        <v>0:00</v>
      </c>
      <c r="B389" s="123"/>
      <c r="C389" s="145"/>
      <c r="D389" s="145"/>
      <c r="E389" s="145"/>
      <c r="F389" s="145"/>
      <c r="G389" s="145"/>
      <c r="H389" s="145"/>
      <c r="I389" s="145"/>
      <c r="J389" s="145"/>
      <c r="K389" s="145"/>
      <c r="L389" s="145"/>
      <c r="M389" s="145"/>
      <c r="N389" s="145"/>
      <c r="O389" s="145"/>
      <c r="P389" s="145"/>
    </row>
    <row r="390" spans="1:16" x14ac:dyDescent="0.2">
      <c r="A390" s="58" t="str">
        <v>0:00</v>
      </c>
      <c r="B390" s="123"/>
      <c r="C390" s="145"/>
      <c r="D390" s="145"/>
      <c r="E390" s="145"/>
      <c r="F390" s="145"/>
      <c r="G390" s="145"/>
      <c r="H390" s="145"/>
      <c r="I390" s="145"/>
      <c r="J390" s="145"/>
      <c r="K390" s="145"/>
      <c r="L390" s="145"/>
      <c r="M390" s="145"/>
      <c r="N390" s="145"/>
      <c r="O390" s="145"/>
      <c r="P390" s="145"/>
    </row>
    <row r="391" spans="1:16" x14ac:dyDescent="0.2">
      <c r="A391" s="58" t="str">
        <v>0:00</v>
      </c>
      <c r="B391" s="123"/>
      <c r="C391" s="145"/>
      <c r="D391" s="145"/>
      <c r="E391" s="145"/>
      <c r="F391" s="145"/>
      <c r="G391" s="145"/>
      <c r="H391" s="145"/>
      <c r="I391" s="145"/>
      <c r="J391" s="145"/>
      <c r="K391" s="145"/>
      <c r="L391" s="145"/>
      <c r="M391" s="145"/>
      <c r="N391" s="145"/>
      <c r="O391" s="145"/>
      <c r="P391" s="145"/>
    </row>
    <row r="392" spans="1:16" x14ac:dyDescent="0.2">
      <c r="A392" s="58" t="str">
        <v>0:00</v>
      </c>
      <c r="B392" s="123"/>
      <c r="C392" s="145"/>
      <c r="D392" s="145"/>
      <c r="E392" s="145"/>
      <c r="F392" s="145"/>
      <c r="G392" s="145"/>
      <c r="H392" s="145"/>
      <c r="I392" s="145"/>
      <c r="J392" s="145"/>
      <c r="K392" s="145"/>
      <c r="L392" s="145"/>
      <c r="M392" s="145"/>
      <c r="N392" s="145"/>
      <c r="O392" s="145"/>
      <c r="P392" s="145"/>
    </row>
    <row r="393" spans="1:16" x14ac:dyDescent="0.2">
      <c r="A393" s="58" t="str">
        <v>0:00</v>
      </c>
      <c r="B393" s="123"/>
      <c r="C393" s="145"/>
      <c r="D393" s="145"/>
      <c r="E393" s="145"/>
      <c r="F393" s="145"/>
      <c r="G393" s="145"/>
      <c r="H393" s="145"/>
      <c r="I393" s="145"/>
      <c r="J393" s="145"/>
      <c r="K393" s="145"/>
      <c r="L393" s="145"/>
      <c r="M393" s="145"/>
      <c r="N393" s="145"/>
      <c r="O393" s="145"/>
      <c r="P393" s="145"/>
    </row>
    <row r="394" spans="1:16" x14ac:dyDescent="0.2">
      <c r="A394" s="58" t="str">
        <v>0:00</v>
      </c>
      <c r="B394" s="123"/>
      <c r="C394" s="145"/>
      <c r="D394" s="145"/>
      <c r="E394" s="145"/>
      <c r="F394" s="145"/>
      <c r="G394" s="145"/>
      <c r="H394" s="145"/>
      <c r="I394" s="145"/>
      <c r="J394" s="145"/>
      <c r="K394" s="145"/>
      <c r="L394" s="145"/>
      <c r="M394" s="145"/>
      <c r="N394" s="145"/>
      <c r="O394" s="145"/>
      <c r="P394" s="145"/>
    </row>
    <row r="395" spans="1:16" x14ac:dyDescent="0.2">
      <c r="A395" s="58" t="str">
        <v>0:00</v>
      </c>
      <c r="B395" s="123"/>
      <c r="C395" s="145"/>
      <c r="D395" s="145"/>
      <c r="E395" s="145"/>
      <c r="F395" s="145"/>
      <c r="G395" s="145"/>
      <c r="H395" s="145"/>
      <c r="I395" s="145"/>
      <c r="J395" s="145"/>
      <c r="K395" s="145"/>
      <c r="L395" s="145"/>
      <c r="M395" s="145"/>
      <c r="N395" s="145"/>
      <c r="O395" s="145"/>
      <c r="P395" s="145"/>
    </row>
    <row r="396" spans="1:16" x14ac:dyDescent="0.2">
      <c r="A396" s="58" t="str">
        <v>0:00</v>
      </c>
      <c r="B396" s="123"/>
      <c r="C396" s="145"/>
      <c r="D396" s="145"/>
      <c r="E396" s="145"/>
      <c r="F396" s="145"/>
      <c r="G396" s="145"/>
      <c r="H396" s="145"/>
      <c r="I396" s="145"/>
      <c r="J396" s="145"/>
      <c r="K396" s="145"/>
      <c r="L396" s="145"/>
      <c r="M396" s="145"/>
      <c r="N396" s="145"/>
      <c r="O396" s="145"/>
      <c r="P396" s="145"/>
    </row>
    <row r="397" spans="1:16" x14ac:dyDescent="0.2">
      <c r="A397" s="58" t="str">
        <v>0:00</v>
      </c>
      <c r="B397" s="123"/>
      <c r="C397" s="145"/>
      <c r="D397" s="145"/>
      <c r="E397" s="145"/>
      <c r="F397" s="145"/>
      <c r="G397" s="145"/>
      <c r="H397" s="145"/>
      <c r="I397" s="145"/>
      <c r="J397" s="145"/>
      <c r="K397" s="145"/>
      <c r="L397" s="145"/>
      <c r="M397" s="145"/>
      <c r="N397" s="145"/>
      <c r="O397" s="145"/>
      <c r="P397" s="145"/>
    </row>
    <row r="398" spans="1:16" x14ac:dyDescent="0.2">
      <c r="A398" s="58" t="str">
        <v>0:00</v>
      </c>
      <c r="B398" s="123"/>
      <c r="C398" s="145"/>
      <c r="D398" s="145"/>
      <c r="E398" s="145"/>
      <c r="F398" s="145"/>
      <c r="G398" s="145"/>
      <c r="H398" s="145"/>
      <c r="I398" s="145"/>
      <c r="J398" s="145"/>
      <c r="K398" s="145"/>
      <c r="L398" s="145"/>
      <c r="M398" s="145"/>
      <c r="N398" s="145"/>
      <c r="O398" s="145"/>
      <c r="P398" s="145"/>
    </row>
    <row r="399" spans="1:16" x14ac:dyDescent="0.2">
      <c r="A399" s="58" t="str">
        <v>0:00</v>
      </c>
      <c r="B399" s="123"/>
      <c r="C399" s="145"/>
      <c r="D399" s="145"/>
      <c r="E399" s="145"/>
      <c r="F399" s="145"/>
      <c r="G399" s="145"/>
      <c r="H399" s="145"/>
      <c r="I399" s="145"/>
      <c r="J399" s="145"/>
      <c r="K399" s="145"/>
      <c r="L399" s="145"/>
      <c r="M399" s="145"/>
      <c r="N399" s="145"/>
      <c r="O399" s="145"/>
      <c r="P399" s="145"/>
    </row>
    <row r="400" spans="1:16" x14ac:dyDescent="0.2">
      <c r="A400" s="58" t="str">
        <v>0:00</v>
      </c>
      <c r="B400" s="123"/>
      <c r="C400" s="145"/>
      <c r="D400" s="145"/>
      <c r="E400" s="145"/>
      <c r="F400" s="145"/>
      <c r="G400" s="145"/>
      <c r="H400" s="145"/>
      <c r="I400" s="145"/>
      <c r="J400" s="145"/>
      <c r="K400" s="145"/>
      <c r="L400" s="145"/>
      <c r="M400" s="145"/>
      <c r="N400" s="145"/>
      <c r="O400" s="145"/>
      <c r="P400" s="145"/>
    </row>
    <row r="401" spans="1:16" x14ac:dyDescent="0.2">
      <c r="A401" s="58" t="str">
        <v>0:00</v>
      </c>
      <c r="B401" s="123"/>
      <c r="C401" s="145"/>
      <c r="D401" s="145"/>
      <c r="E401" s="145"/>
      <c r="F401" s="145"/>
      <c r="G401" s="145"/>
      <c r="H401" s="145"/>
      <c r="I401" s="145"/>
      <c r="J401" s="145"/>
      <c r="K401" s="145"/>
      <c r="L401" s="145"/>
      <c r="M401" s="145"/>
      <c r="N401" s="145"/>
      <c r="O401" s="145"/>
      <c r="P401" s="145"/>
    </row>
    <row r="402" spans="1:16" x14ac:dyDescent="0.2">
      <c r="A402" s="58" t="str">
        <v>0:00</v>
      </c>
      <c r="B402" s="123"/>
      <c r="C402" s="145"/>
      <c r="D402" s="145"/>
      <c r="E402" s="145"/>
      <c r="F402" s="145"/>
      <c r="G402" s="145"/>
      <c r="H402" s="145"/>
      <c r="I402" s="145"/>
      <c r="J402" s="145"/>
      <c r="K402" s="145"/>
      <c r="L402" s="145"/>
      <c r="M402" s="145"/>
      <c r="N402" s="145"/>
      <c r="O402" s="145"/>
      <c r="P402" s="145"/>
    </row>
    <row r="403" spans="1:16" x14ac:dyDescent="0.2">
      <c r="A403" s="58" t="str">
        <v>0:00</v>
      </c>
      <c r="B403" s="123"/>
      <c r="C403" s="145"/>
      <c r="D403" s="145"/>
      <c r="E403" s="145"/>
      <c r="F403" s="145"/>
      <c r="G403" s="145"/>
      <c r="H403" s="145"/>
      <c r="I403" s="145"/>
      <c r="J403" s="145"/>
      <c r="K403" s="145"/>
      <c r="L403" s="145"/>
      <c r="M403" s="145"/>
      <c r="N403" s="145"/>
      <c r="O403" s="145"/>
      <c r="P403" s="145"/>
    </row>
    <row r="404" spans="1:16" x14ac:dyDescent="0.2">
      <c r="A404" s="58" t="str">
        <v>0:00</v>
      </c>
      <c r="B404" s="123"/>
      <c r="C404" s="145"/>
      <c r="D404" s="145"/>
      <c r="E404" s="145"/>
      <c r="F404" s="145"/>
      <c r="G404" s="145"/>
      <c r="H404" s="145"/>
      <c r="I404" s="145"/>
      <c r="J404" s="145"/>
      <c r="K404" s="145"/>
      <c r="L404" s="145"/>
      <c r="M404" s="145"/>
      <c r="N404" s="145"/>
      <c r="O404" s="145"/>
      <c r="P404" s="145"/>
    </row>
    <row r="405" spans="1:16" x14ac:dyDescent="0.2">
      <c r="A405" s="58" t="str">
        <v>0:00</v>
      </c>
      <c r="B405" s="123"/>
      <c r="C405" s="145"/>
      <c r="D405" s="145"/>
      <c r="E405" s="145"/>
      <c r="F405" s="145"/>
      <c r="G405" s="145"/>
      <c r="H405" s="145"/>
      <c r="I405" s="145"/>
      <c r="J405" s="145"/>
      <c r="K405" s="145"/>
      <c r="L405" s="145"/>
      <c r="M405" s="145"/>
      <c r="N405" s="145"/>
      <c r="O405" s="145"/>
      <c r="P405" s="145"/>
    </row>
    <row r="406" spans="1:16" x14ac:dyDescent="0.2">
      <c r="A406" s="58" t="str">
        <v>0:00</v>
      </c>
      <c r="B406" s="123"/>
      <c r="C406" s="145"/>
      <c r="D406" s="145"/>
      <c r="E406" s="145"/>
      <c r="F406" s="145"/>
      <c r="G406" s="145"/>
      <c r="H406" s="145"/>
      <c r="I406" s="145"/>
      <c r="J406" s="145"/>
      <c r="K406" s="145"/>
      <c r="L406" s="145"/>
      <c r="M406" s="145"/>
      <c r="N406" s="145"/>
      <c r="O406" s="145"/>
      <c r="P406" s="145"/>
    </row>
    <row r="407" spans="1:16" x14ac:dyDescent="0.2">
      <c r="A407" s="58" t="str">
        <v>0:00</v>
      </c>
      <c r="B407" s="123"/>
      <c r="C407" s="145"/>
      <c r="D407" s="145"/>
      <c r="E407" s="145"/>
      <c r="F407" s="145"/>
      <c r="G407" s="145"/>
      <c r="H407" s="145"/>
      <c r="I407" s="145"/>
      <c r="J407" s="145"/>
      <c r="K407" s="145"/>
      <c r="L407" s="145"/>
      <c r="M407" s="145"/>
      <c r="N407" s="145"/>
      <c r="O407" s="145"/>
      <c r="P407" s="145"/>
    </row>
    <row r="408" spans="1:16" x14ac:dyDescent="0.2">
      <c r="A408" s="58" t="str">
        <v>0:00</v>
      </c>
      <c r="B408" s="123"/>
      <c r="C408" s="145"/>
      <c r="D408" s="145"/>
      <c r="E408" s="145"/>
      <c r="F408" s="145"/>
      <c r="G408" s="145"/>
      <c r="H408" s="145"/>
      <c r="I408" s="145"/>
      <c r="J408" s="145"/>
      <c r="K408" s="145"/>
      <c r="L408" s="145"/>
      <c r="M408" s="145"/>
      <c r="N408" s="145"/>
      <c r="O408" s="145"/>
      <c r="P408" s="145"/>
    </row>
    <row r="409" spans="1:16" x14ac:dyDescent="0.2">
      <c r="A409" s="58" t="str">
        <v>0:00</v>
      </c>
      <c r="B409" s="123"/>
      <c r="C409" s="145"/>
      <c r="D409" s="145"/>
      <c r="E409" s="145"/>
      <c r="F409" s="145"/>
      <c r="G409" s="145"/>
      <c r="H409" s="145"/>
      <c r="I409" s="145"/>
      <c r="J409" s="145"/>
      <c r="K409" s="145"/>
      <c r="L409" s="145"/>
      <c r="M409" s="145"/>
      <c r="N409" s="145"/>
      <c r="O409" s="145"/>
      <c r="P409" s="145"/>
    </row>
    <row r="410" spans="1:16" x14ac:dyDescent="0.2">
      <c r="A410" s="58" t="str">
        <v>0:00</v>
      </c>
      <c r="B410" s="123"/>
      <c r="C410" s="145"/>
      <c r="D410" s="145"/>
      <c r="E410" s="145"/>
      <c r="F410" s="145"/>
      <c r="G410" s="145"/>
      <c r="H410" s="145"/>
      <c r="I410" s="145"/>
      <c r="J410" s="145"/>
      <c r="K410" s="145"/>
      <c r="L410" s="145"/>
      <c r="M410" s="145"/>
      <c r="N410" s="145"/>
      <c r="O410" s="145"/>
      <c r="P410" s="145"/>
    </row>
    <row r="411" spans="1:16" x14ac:dyDescent="0.2">
      <c r="A411" s="58" t="str">
        <v>0:00</v>
      </c>
      <c r="B411" s="123"/>
      <c r="C411" s="145"/>
      <c r="D411" s="145"/>
      <c r="E411" s="145"/>
      <c r="F411" s="145"/>
      <c r="G411" s="145"/>
      <c r="H411" s="145"/>
      <c r="I411" s="145"/>
      <c r="J411" s="145"/>
      <c r="K411" s="145"/>
      <c r="L411" s="145"/>
      <c r="M411" s="145"/>
      <c r="N411" s="145"/>
      <c r="O411" s="145"/>
      <c r="P411" s="145"/>
    </row>
    <row r="412" spans="1:16" x14ac:dyDescent="0.2">
      <c r="A412" s="58" t="str">
        <v>0:00</v>
      </c>
      <c r="B412" s="123"/>
      <c r="C412" s="145"/>
      <c r="D412" s="145"/>
      <c r="E412" s="145"/>
      <c r="F412" s="145"/>
      <c r="G412" s="145"/>
      <c r="H412" s="145"/>
      <c r="I412" s="145"/>
      <c r="J412" s="145"/>
      <c r="K412" s="145"/>
      <c r="L412" s="145"/>
      <c r="M412" s="145"/>
      <c r="N412" s="145"/>
      <c r="O412" s="145"/>
      <c r="P412" s="145"/>
    </row>
    <row r="413" spans="1:16" x14ac:dyDescent="0.2">
      <c r="A413" s="58" t="str">
        <v>0:00</v>
      </c>
      <c r="B413" s="123"/>
      <c r="C413" s="145"/>
      <c r="D413" s="145"/>
      <c r="E413" s="145"/>
      <c r="F413" s="145"/>
      <c r="G413" s="145"/>
      <c r="H413" s="145"/>
      <c r="I413" s="145"/>
      <c r="J413" s="145"/>
      <c r="K413" s="145"/>
      <c r="L413" s="145"/>
      <c r="M413" s="145"/>
      <c r="N413" s="145"/>
      <c r="O413" s="145"/>
      <c r="P413" s="145"/>
    </row>
    <row r="414" spans="1:16" x14ac:dyDescent="0.2">
      <c r="A414" s="58" t="str">
        <v>0:00</v>
      </c>
      <c r="B414" s="123"/>
      <c r="C414" s="145"/>
      <c r="D414" s="145"/>
      <c r="E414" s="145"/>
      <c r="F414" s="145"/>
      <c r="G414" s="145"/>
      <c r="H414" s="145"/>
      <c r="I414" s="145"/>
      <c r="J414" s="145"/>
      <c r="K414" s="145"/>
      <c r="L414" s="145"/>
      <c r="M414" s="145"/>
      <c r="N414" s="145"/>
      <c r="O414" s="145"/>
      <c r="P414" s="145"/>
    </row>
    <row r="415" spans="1:16" x14ac:dyDescent="0.2">
      <c r="A415" s="58" t="str">
        <v>0:00</v>
      </c>
      <c r="B415" s="123"/>
      <c r="C415" s="145"/>
      <c r="D415" s="145"/>
      <c r="E415" s="145"/>
      <c r="F415" s="145"/>
      <c r="G415" s="145"/>
      <c r="H415" s="145"/>
      <c r="I415" s="145"/>
      <c r="J415" s="145"/>
      <c r="K415" s="145"/>
      <c r="L415" s="145"/>
      <c r="M415" s="145"/>
      <c r="N415" s="145"/>
      <c r="O415" s="145"/>
      <c r="P415" s="145"/>
    </row>
    <row r="416" spans="1:16" x14ac:dyDescent="0.2">
      <c r="A416" s="58" t="str">
        <v>0:00</v>
      </c>
      <c r="B416" s="123"/>
      <c r="C416" s="145"/>
      <c r="D416" s="145"/>
      <c r="E416" s="145"/>
      <c r="F416" s="145"/>
      <c r="G416" s="145"/>
      <c r="H416" s="145"/>
      <c r="I416" s="145"/>
      <c r="J416" s="145"/>
      <c r="K416" s="145"/>
      <c r="L416" s="145"/>
      <c r="M416" s="145"/>
      <c r="N416" s="145"/>
      <c r="O416" s="145"/>
      <c r="P416" s="145"/>
    </row>
    <row r="417" spans="1:16" x14ac:dyDescent="0.2">
      <c r="A417" s="58" t="str">
        <v>0:00</v>
      </c>
      <c r="B417" s="123"/>
      <c r="C417" s="145"/>
      <c r="D417" s="145"/>
      <c r="E417" s="145"/>
      <c r="F417" s="145"/>
      <c r="G417" s="145"/>
      <c r="H417" s="145"/>
      <c r="I417" s="145"/>
      <c r="J417" s="145"/>
      <c r="K417" s="145"/>
      <c r="L417" s="145"/>
      <c r="M417" s="145"/>
      <c r="N417" s="145"/>
      <c r="O417" s="145"/>
      <c r="P417" s="145"/>
    </row>
    <row r="418" spans="1:16" x14ac:dyDescent="0.2">
      <c r="A418" s="58" t="str">
        <v>0:00</v>
      </c>
      <c r="B418" s="123"/>
      <c r="C418" s="145"/>
      <c r="D418" s="145"/>
      <c r="E418" s="145"/>
      <c r="F418" s="145"/>
      <c r="G418" s="145"/>
      <c r="H418" s="145"/>
      <c r="I418" s="145"/>
      <c r="J418" s="145"/>
      <c r="K418" s="145"/>
      <c r="L418" s="145"/>
      <c r="M418" s="145"/>
      <c r="N418" s="145"/>
      <c r="O418" s="145"/>
      <c r="P418" s="145"/>
    </row>
    <row r="419" spans="1:16" x14ac:dyDescent="0.2">
      <c r="A419" s="58" t="str">
        <v>0:00</v>
      </c>
      <c r="B419" s="123"/>
      <c r="C419" s="145"/>
      <c r="D419" s="145"/>
      <c r="E419" s="145"/>
      <c r="F419" s="145"/>
      <c r="G419" s="145"/>
      <c r="H419" s="145"/>
      <c r="I419" s="145"/>
      <c r="J419" s="145"/>
      <c r="K419" s="145"/>
      <c r="L419" s="145"/>
      <c r="M419" s="145"/>
      <c r="N419" s="145"/>
      <c r="O419" s="145"/>
      <c r="P419" s="145"/>
    </row>
    <row r="420" spans="1:16" x14ac:dyDescent="0.2">
      <c r="A420" s="58" t="str">
        <v>0:00</v>
      </c>
      <c r="B420" s="123"/>
      <c r="C420" s="145"/>
      <c r="D420" s="145"/>
      <c r="E420" s="145"/>
      <c r="F420" s="145"/>
      <c r="G420" s="145"/>
      <c r="H420" s="145"/>
      <c r="I420" s="145"/>
      <c r="J420" s="145"/>
      <c r="K420" s="145"/>
      <c r="L420" s="145"/>
      <c r="M420" s="145"/>
      <c r="N420" s="145"/>
      <c r="O420" s="145"/>
      <c r="P420" s="145"/>
    </row>
    <row r="421" spans="1:16" x14ac:dyDescent="0.2">
      <c r="A421" s="58" t="str">
        <v>0:00</v>
      </c>
      <c r="B421" s="123"/>
      <c r="C421" s="145"/>
      <c r="D421" s="145"/>
      <c r="E421" s="145"/>
      <c r="F421" s="145"/>
      <c r="G421" s="145"/>
      <c r="H421" s="145"/>
      <c r="I421" s="145"/>
      <c r="J421" s="145"/>
      <c r="K421" s="145"/>
      <c r="L421" s="145"/>
      <c r="M421" s="145"/>
      <c r="N421" s="145"/>
      <c r="O421" s="145"/>
      <c r="P421" s="145"/>
    </row>
    <row r="422" spans="1:16" x14ac:dyDescent="0.2">
      <c r="A422" s="58" t="str">
        <v>0:00</v>
      </c>
      <c r="B422" s="123"/>
      <c r="C422" s="145"/>
      <c r="D422" s="145"/>
      <c r="E422" s="145"/>
      <c r="F422" s="145"/>
      <c r="G422" s="145"/>
      <c r="H422" s="145"/>
      <c r="I422" s="145"/>
      <c r="J422" s="145"/>
      <c r="K422" s="145"/>
      <c r="L422" s="145"/>
      <c r="M422" s="145"/>
      <c r="N422" s="145"/>
      <c r="O422" s="145"/>
      <c r="P422" s="145"/>
    </row>
    <row r="423" spans="1:16" x14ac:dyDescent="0.2">
      <c r="A423" s="58" t="str">
        <v>0:00</v>
      </c>
      <c r="B423" s="123"/>
      <c r="C423" s="145"/>
      <c r="D423" s="145"/>
      <c r="E423" s="145"/>
      <c r="F423" s="145"/>
      <c r="G423" s="145"/>
      <c r="H423" s="145"/>
      <c r="I423" s="145"/>
      <c r="J423" s="145"/>
      <c r="K423" s="145"/>
      <c r="L423" s="145"/>
      <c r="M423" s="145"/>
      <c r="N423" s="145"/>
      <c r="O423" s="145"/>
      <c r="P423" s="145"/>
    </row>
    <row r="424" spans="1:16" x14ac:dyDescent="0.2">
      <c r="A424" s="58" t="str">
        <v>0:00</v>
      </c>
      <c r="B424" s="123"/>
      <c r="C424" s="145"/>
      <c r="D424" s="145"/>
      <c r="E424" s="145"/>
      <c r="F424" s="145"/>
      <c r="G424" s="145"/>
      <c r="H424" s="145"/>
      <c r="I424" s="145"/>
      <c r="J424" s="145"/>
      <c r="K424" s="145"/>
      <c r="L424" s="145"/>
      <c r="M424" s="145"/>
      <c r="N424" s="145"/>
      <c r="O424" s="145"/>
      <c r="P424" s="145"/>
    </row>
    <row r="425" spans="1:16" x14ac:dyDescent="0.2">
      <c r="A425" s="58" t="str">
        <v>0:00</v>
      </c>
      <c r="B425" s="123"/>
      <c r="C425" s="145"/>
      <c r="D425" s="145"/>
      <c r="E425" s="145"/>
      <c r="F425" s="145"/>
      <c r="G425" s="145"/>
      <c r="H425" s="145"/>
      <c r="I425" s="145"/>
      <c r="J425" s="145"/>
      <c r="K425" s="145"/>
      <c r="L425" s="145"/>
      <c r="M425" s="145"/>
      <c r="N425" s="145"/>
      <c r="O425" s="145"/>
      <c r="P425" s="145"/>
    </row>
    <row r="426" spans="1:16" x14ac:dyDescent="0.2">
      <c r="A426" s="58" t="str">
        <v>0:00</v>
      </c>
      <c r="B426" s="123"/>
      <c r="C426" s="145"/>
      <c r="D426" s="145"/>
      <c r="E426" s="145"/>
      <c r="F426" s="145"/>
      <c r="G426" s="145"/>
      <c r="H426" s="145"/>
      <c r="I426" s="145"/>
      <c r="J426" s="145"/>
      <c r="K426" s="145"/>
      <c r="L426" s="145"/>
      <c r="M426" s="145"/>
      <c r="N426" s="145"/>
      <c r="O426" s="145"/>
      <c r="P426" s="145"/>
    </row>
    <row r="427" spans="1:16" x14ac:dyDescent="0.2">
      <c r="A427" s="58" t="str">
        <v>0:00</v>
      </c>
      <c r="B427" s="123"/>
      <c r="C427" s="145"/>
      <c r="D427" s="145"/>
      <c r="E427" s="145"/>
      <c r="F427" s="145"/>
      <c r="G427" s="145"/>
      <c r="H427" s="145"/>
      <c r="I427" s="145"/>
      <c r="J427" s="145"/>
      <c r="K427" s="145"/>
      <c r="L427" s="145"/>
      <c r="M427" s="145"/>
      <c r="N427" s="145"/>
      <c r="O427" s="145"/>
      <c r="P427" s="145"/>
    </row>
    <row r="428" spans="1:16" x14ac:dyDescent="0.2">
      <c r="A428" s="58" t="str">
        <v>0:00</v>
      </c>
      <c r="B428" s="123"/>
      <c r="C428" s="145"/>
      <c r="D428" s="145"/>
      <c r="E428" s="145"/>
      <c r="F428" s="145"/>
      <c r="G428" s="145"/>
      <c r="H428" s="145"/>
      <c r="I428" s="145"/>
      <c r="J428" s="145"/>
      <c r="K428" s="145"/>
      <c r="L428" s="145"/>
      <c r="M428" s="145"/>
      <c r="N428" s="145"/>
      <c r="O428" s="145"/>
      <c r="P428" s="145"/>
    </row>
    <row r="429" spans="1:16" x14ac:dyDescent="0.2">
      <c r="A429" s="58" t="str">
        <v>0:00</v>
      </c>
      <c r="B429" s="123"/>
      <c r="C429" s="145"/>
      <c r="D429" s="145"/>
      <c r="E429" s="145"/>
      <c r="F429" s="145"/>
      <c r="G429" s="145"/>
      <c r="H429" s="145"/>
      <c r="I429" s="145"/>
      <c r="J429" s="145"/>
      <c r="K429" s="145"/>
      <c r="L429" s="145"/>
      <c r="M429" s="145"/>
      <c r="N429" s="145"/>
      <c r="O429" s="145"/>
      <c r="P429" s="145"/>
    </row>
    <row r="430" spans="1:16" x14ac:dyDescent="0.2">
      <c r="A430" s="58" t="str">
        <v>0:00</v>
      </c>
      <c r="B430" s="123"/>
      <c r="C430" s="145"/>
      <c r="D430" s="145"/>
      <c r="E430" s="145"/>
      <c r="F430" s="145"/>
      <c r="G430" s="145"/>
      <c r="H430" s="145"/>
      <c r="I430" s="145"/>
      <c r="J430" s="145"/>
      <c r="K430" s="145"/>
      <c r="L430" s="145"/>
      <c r="M430" s="145"/>
      <c r="N430" s="145"/>
      <c r="O430" s="145"/>
      <c r="P430" s="145"/>
    </row>
    <row r="431" spans="1:16" x14ac:dyDescent="0.2">
      <c r="A431" s="58" t="str">
        <v>0:00</v>
      </c>
      <c r="B431" s="123"/>
      <c r="C431" s="145"/>
      <c r="D431" s="145"/>
      <c r="E431" s="145"/>
      <c r="F431" s="145"/>
      <c r="G431" s="145"/>
      <c r="H431" s="145"/>
      <c r="I431" s="145"/>
      <c r="J431" s="145"/>
      <c r="K431" s="145"/>
      <c r="L431" s="145"/>
      <c r="M431" s="145"/>
      <c r="N431" s="145"/>
      <c r="O431" s="145"/>
      <c r="P431" s="145"/>
    </row>
    <row r="432" spans="1:16" x14ac:dyDescent="0.2">
      <c r="A432" s="58" t="str">
        <v>0:00</v>
      </c>
      <c r="B432" s="123"/>
      <c r="C432" s="145"/>
      <c r="D432" s="145"/>
      <c r="E432" s="145"/>
      <c r="F432" s="145"/>
      <c r="G432" s="145"/>
      <c r="H432" s="145"/>
      <c r="I432" s="145"/>
      <c r="J432" s="145"/>
      <c r="K432" s="145"/>
      <c r="L432" s="145"/>
      <c r="M432" s="145"/>
      <c r="N432" s="145"/>
      <c r="O432" s="145"/>
      <c r="P432" s="145"/>
    </row>
    <row r="433" spans="1:16" x14ac:dyDescent="0.2">
      <c r="A433" s="58" t="str">
        <v>0:00</v>
      </c>
      <c r="B433" s="123"/>
      <c r="C433" s="145"/>
      <c r="D433" s="145"/>
      <c r="E433" s="145"/>
      <c r="F433" s="145"/>
      <c r="G433" s="145"/>
      <c r="H433" s="145"/>
      <c r="I433" s="145"/>
      <c r="J433" s="145"/>
      <c r="K433" s="145"/>
      <c r="L433" s="145"/>
      <c r="M433" s="145"/>
      <c r="N433" s="145"/>
      <c r="O433" s="145"/>
      <c r="P433" s="145"/>
    </row>
    <row r="434" spans="1:16" x14ac:dyDescent="0.2">
      <c r="A434" s="58" t="str">
        <v>0:00</v>
      </c>
      <c r="B434" s="123"/>
      <c r="C434" s="145"/>
      <c r="D434" s="145"/>
      <c r="E434" s="145"/>
      <c r="F434" s="145"/>
      <c r="G434" s="145"/>
      <c r="H434" s="145"/>
      <c r="I434" s="145"/>
      <c r="J434" s="145"/>
      <c r="K434" s="145"/>
      <c r="L434" s="145"/>
      <c r="M434" s="145"/>
      <c r="N434" s="145"/>
      <c r="O434" s="145"/>
      <c r="P434" s="145"/>
    </row>
    <row r="435" spans="1:16" x14ac:dyDescent="0.2">
      <c r="A435" s="58" t="str">
        <v>0:00</v>
      </c>
      <c r="B435" s="123"/>
      <c r="C435" s="145"/>
      <c r="D435" s="145"/>
      <c r="E435" s="145"/>
      <c r="F435" s="145"/>
      <c r="G435" s="145"/>
      <c r="H435" s="145"/>
      <c r="I435" s="145"/>
      <c r="J435" s="145"/>
      <c r="K435" s="145"/>
      <c r="L435" s="145"/>
      <c r="M435" s="145"/>
      <c r="N435" s="145"/>
      <c r="O435" s="145"/>
      <c r="P435" s="145"/>
    </row>
    <row r="436" spans="1:16" x14ac:dyDescent="0.2">
      <c r="A436" s="58" t="str">
        <v>0:00</v>
      </c>
      <c r="B436" s="123"/>
      <c r="C436" s="145"/>
      <c r="D436" s="145"/>
      <c r="E436" s="145"/>
      <c r="F436" s="145"/>
      <c r="G436" s="145"/>
      <c r="H436" s="145"/>
      <c r="I436" s="145"/>
      <c r="J436" s="145"/>
      <c r="K436" s="145"/>
      <c r="L436" s="145"/>
      <c r="M436" s="145"/>
      <c r="N436" s="145"/>
      <c r="O436" s="145"/>
      <c r="P436" s="145"/>
    </row>
    <row r="437" spans="1:16" x14ac:dyDescent="0.2">
      <c r="A437" s="58" t="str">
        <v>0:00</v>
      </c>
      <c r="B437" s="123"/>
      <c r="C437" s="145"/>
      <c r="D437" s="145"/>
      <c r="E437" s="145"/>
      <c r="F437" s="145"/>
      <c r="G437" s="145"/>
      <c r="H437" s="145"/>
      <c r="I437" s="145"/>
      <c r="J437" s="145"/>
      <c r="K437" s="145"/>
      <c r="L437" s="145"/>
      <c r="M437" s="145"/>
      <c r="N437" s="145"/>
      <c r="O437" s="145"/>
      <c r="P437" s="145"/>
    </row>
    <row r="438" spans="1:16" x14ac:dyDescent="0.2">
      <c r="A438" s="58" t="str">
        <v>0:00</v>
      </c>
      <c r="B438" s="123"/>
      <c r="C438" s="145"/>
      <c r="D438" s="145"/>
      <c r="E438" s="145"/>
      <c r="F438" s="145"/>
      <c r="G438" s="145"/>
      <c r="H438" s="145"/>
      <c r="I438" s="145"/>
      <c r="J438" s="145"/>
      <c r="K438" s="145"/>
      <c r="L438" s="145"/>
      <c r="M438" s="145"/>
      <c r="N438" s="145"/>
      <c r="O438" s="145"/>
      <c r="P438" s="145"/>
    </row>
    <row r="439" spans="1:16" x14ac:dyDescent="0.2">
      <c r="A439" s="58" t="str">
        <v>0:00</v>
      </c>
      <c r="B439" s="123"/>
      <c r="C439" s="145"/>
      <c r="D439" s="145"/>
      <c r="E439" s="145"/>
      <c r="F439" s="145"/>
      <c r="G439" s="145"/>
      <c r="H439" s="145"/>
      <c r="I439" s="145"/>
      <c r="J439" s="145"/>
      <c r="K439" s="145"/>
      <c r="L439" s="145"/>
      <c r="M439" s="145"/>
      <c r="N439" s="145"/>
      <c r="O439" s="145"/>
      <c r="P439" s="145"/>
    </row>
    <row r="440" spans="1:16" x14ac:dyDescent="0.2">
      <c r="A440" s="58" t="str">
        <v>0:00</v>
      </c>
      <c r="B440" s="123"/>
      <c r="C440" s="145"/>
      <c r="D440" s="145"/>
      <c r="E440" s="145"/>
      <c r="F440" s="145"/>
      <c r="G440" s="145"/>
      <c r="H440" s="145"/>
      <c r="I440" s="145"/>
      <c r="J440" s="145"/>
      <c r="K440" s="145"/>
      <c r="L440" s="145"/>
      <c r="M440" s="145"/>
      <c r="N440" s="145"/>
      <c r="O440" s="145"/>
      <c r="P440" s="145"/>
    </row>
    <row r="441" spans="1:16" x14ac:dyDescent="0.2">
      <c r="A441" s="58" t="str">
        <v>0:00</v>
      </c>
      <c r="B441" s="123"/>
      <c r="C441" s="145"/>
      <c r="D441" s="145"/>
      <c r="E441" s="145"/>
      <c r="F441" s="145"/>
      <c r="G441" s="145"/>
      <c r="H441" s="145"/>
      <c r="I441" s="145"/>
      <c r="J441" s="145"/>
      <c r="K441" s="145"/>
      <c r="L441" s="145"/>
      <c r="M441" s="145"/>
      <c r="N441" s="145"/>
      <c r="O441" s="145"/>
      <c r="P441" s="145"/>
    </row>
    <row r="442" spans="1:16" x14ac:dyDescent="0.2">
      <c r="A442" s="58" t="str">
        <v>0:00</v>
      </c>
      <c r="B442" s="123"/>
      <c r="C442" s="145"/>
      <c r="D442" s="145"/>
      <c r="E442" s="145"/>
      <c r="F442" s="145"/>
      <c r="G442" s="145"/>
      <c r="H442" s="145"/>
      <c r="I442" s="145"/>
      <c r="J442" s="145"/>
      <c r="K442" s="145"/>
      <c r="L442" s="145"/>
      <c r="M442" s="145"/>
      <c r="N442" s="145"/>
      <c r="O442" s="145"/>
      <c r="P442" s="145"/>
    </row>
    <row r="443" spans="1:16" x14ac:dyDescent="0.2">
      <c r="A443" s="58" t="str">
        <v>0:00</v>
      </c>
      <c r="B443" s="123"/>
      <c r="C443" s="145"/>
      <c r="D443" s="145"/>
      <c r="E443" s="145"/>
      <c r="F443" s="145"/>
      <c r="G443" s="145"/>
      <c r="H443" s="145"/>
      <c r="I443" s="145"/>
      <c r="J443" s="145"/>
      <c r="K443" s="145"/>
      <c r="L443" s="145"/>
      <c r="M443" s="145"/>
      <c r="N443" s="145"/>
      <c r="O443" s="145"/>
      <c r="P443" s="145"/>
    </row>
    <row r="444" spans="1:16" x14ac:dyDescent="0.2">
      <c r="A444" s="58" t="str">
        <v>0:00</v>
      </c>
      <c r="B444" s="123"/>
      <c r="C444" s="145"/>
      <c r="D444" s="145"/>
      <c r="E444" s="145"/>
      <c r="F444" s="145"/>
      <c r="G444" s="145"/>
      <c r="H444" s="145"/>
      <c r="I444" s="145"/>
      <c r="J444" s="145"/>
      <c r="K444" s="145"/>
      <c r="L444" s="145"/>
      <c r="M444" s="145"/>
      <c r="N444" s="145"/>
      <c r="O444" s="145"/>
      <c r="P444" s="145"/>
    </row>
    <row r="445" spans="1:16" x14ac:dyDescent="0.2">
      <c r="A445" s="58" t="str">
        <v>0:00</v>
      </c>
      <c r="B445" s="123"/>
      <c r="C445" s="145"/>
      <c r="D445" s="145"/>
      <c r="E445" s="145"/>
      <c r="F445" s="145"/>
      <c r="G445" s="145"/>
      <c r="H445" s="145"/>
      <c r="I445" s="145"/>
      <c r="J445" s="145"/>
      <c r="K445" s="145"/>
      <c r="L445" s="145"/>
      <c r="M445" s="145"/>
      <c r="N445" s="145"/>
      <c r="O445" s="145"/>
      <c r="P445" s="145"/>
    </row>
    <row r="446" spans="1:16" x14ac:dyDescent="0.2">
      <c r="A446" s="58" t="str">
        <v>0:00</v>
      </c>
      <c r="B446" s="123"/>
      <c r="C446" s="145"/>
      <c r="D446" s="145"/>
      <c r="E446" s="145"/>
      <c r="F446" s="145"/>
      <c r="G446" s="145"/>
      <c r="H446" s="145"/>
      <c r="I446" s="145"/>
      <c r="J446" s="145"/>
      <c r="K446" s="145"/>
      <c r="L446" s="145"/>
      <c r="M446" s="145"/>
      <c r="N446" s="145"/>
      <c r="O446" s="145"/>
      <c r="P446" s="145"/>
    </row>
    <row r="447" spans="1:16" x14ac:dyDescent="0.2">
      <c r="A447" s="58" t="str">
        <v>0:00</v>
      </c>
      <c r="B447" s="123"/>
      <c r="C447" s="145"/>
      <c r="D447" s="145"/>
      <c r="E447" s="145"/>
      <c r="F447" s="145"/>
      <c r="G447" s="145"/>
      <c r="H447" s="145"/>
      <c r="I447" s="145"/>
      <c r="J447" s="145"/>
      <c r="K447" s="145"/>
      <c r="L447" s="145"/>
      <c r="M447" s="145"/>
      <c r="N447" s="145"/>
      <c r="O447" s="145"/>
      <c r="P447" s="145"/>
    </row>
    <row r="448" spans="1:16" x14ac:dyDescent="0.2">
      <c r="A448" s="58" t="str">
        <v>0:00</v>
      </c>
      <c r="B448" s="123"/>
      <c r="C448" s="145"/>
      <c r="D448" s="145"/>
      <c r="E448" s="145"/>
      <c r="F448" s="145"/>
      <c r="G448" s="145"/>
      <c r="H448" s="145"/>
      <c r="I448" s="145"/>
      <c r="J448" s="145"/>
      <c r="K448" s="145"/>
      <c r="L448" s="145"/>
      <c r="M448" s="145"/>
      <c r="N448" s="145"/>
      <c r="O448" s="145"/>
      <c r="P448" s="145"/>
    </row>
    <row r="449" spans="1:16" x14ac:dyDescent="0.2">
      <c r="A449" s="58" t="str">
        <v>0:00</v>
      </c>
      <c r="B449" s="123"/>
      <c r="C449" s="145"/>
      <c r="D449" s="145"/>
      <c r="E449" s="145"/>
      <c r="F449" s="145"/>
      <c r="G449" s="145"/>
      <c r="H449" s="145"/>
      <c r="I449" s="145"/>
      <c r="J449" s="145"/>
      <c r="K449" s="145"/>
      <c r="L449" s="145"/>
      <c r="M449" s="145"/>
      <c r="N449" s="145"/>
      <c r="O449" s="145"/>
      <c r="P449" s="145"/>
    </row>
    <row r="450" spans="1:16" x14ac:dyDescent="0.2">
      <c r="A450" s="58" t="str">
        <v>0:00</v>
      </c>
      <c r="B450" s="123"/>
      <c r="C450" s="145"/>
      <c r="D450" s="145"/>
      <c r="E450" s="145"/>
      <c r="F450" s="145"/>
      <c r="G450" s="145"/>
      <c r="H450" s="145"/>
      <c r="I450" s="145"/>
      <c r="J450" s="145"/>
      <c r="K450" s="145"/>
      <c r="L450" s="145"/>
      <c r="M450" s="145"/>
      <c r="N450" s="145"/>
      <c r="O450" s="145"/>
      <c r="P450" s="145"/>
    </row>
    <row r="451" spans="1:16" x14ac:dyDescent="0.2">
      <c r="A451" s="58" t="str">
        <v>0:00</v>
      </c>
      <c r="B451" s="123"/>
      <c r="C451" s="145"/>
      <c r="D451" s="145"/>
      <c r="E451" s="145"/>
      <c r="F451" s="145"/>
      <c r="G451" s="145"/>
      <c r="H451" s="145"/>
      <c r="I451" s="145"/>
      <c r="J451" s="145"/>
      <c r="K451" s="145"/>
      <c r="L451" s="145"/>
      <c r="M451" s="145"/>
      <c r="N451" s="145"/>
      <c r="O451" s="145"/>
      <c r="P451" s="145"/>
    </row>
    <row r="452" spans="1:16" x14ac:dyDescent="0.2">
      <c r="A452" s="58" t="str">
        <v>0:00</v>
      </c>
      <c r="B452" s="123"/>
      <c r="C452" s="145"/>
      <c r="D452" s="145"/>
      <c r="E452" s="145"/>
      <c r="F452" s="145"/>
      <c r="G452" s="145"/>
      <c r="H452" s="145"/>
      <c r="I452" s="145"/>
      <c r="J452" s="145"/>
      <c r="K452" s="145"/>
      <c r="L452" s="145"/>
      <c r="M452" s="145"/>
      <c r="N452" s="145"/>
      <c r="O452" s="145"/>
      <c r="P452" s="145"/>
    </row>
    <row r="453" spans="1:16" x14ac:dyDescent="0.2">
      <c r="A453" s="58" t="str">
        <v>0:00</v>
      </c>
      <c r="B453" s="123"/>
      <c r="C453" s="145"/>
      <c r="D453" s="145"/>
      <c r="E453" s="145"/>
      <c r="F453" s="145"/>
      <c r="G453" s="145"/>
      <c r="H453" s="145"/>
      <c r="I453" s="145"/>
      <c r="J453" s="145"/>
      <c r="K453" s="145"/>
      <c r="L453" s="145"/>
      <c r="M453" s="145"/>
      <c r="N453" s="145"/>
      <c r="O453" s="145"/>
      <c r="P453" s="145"/>
    </row>
    <row r="454" spans="1:16" x14ac:dyDescent="0.2">
      <c r="A454" s="58" t="str">
        <v>0:00</v>
      </c>
      <c r="B454" s="123"/>
      <c r="C454" s="145"/>
      <c r="D454" s="145"/>
      <c r="E454" s="145"/>
      <c r="F454" s="145"/>
      <c r="G454" s="145"/>
      <c r="H454" s="145"/>
      <c r="I454" s="145"/>
      <c r="J454" s="145"/>
      <c r="K454" s="145"/>
      <c r="L454" s="145"/>
      <c r="M454" s="145"/>
      <c r="N454" s="145"/>
      <c r="O454" s="145"/>
      <c r="P454" s="145"/>
    </row>
    <row r="455" spans="1:16" x14ac:dyDescent="0.2">
      <c r="A455" s="58" t="str">
        <v>0:00</v>
      </c>
      <c r="B455" s="123"/>
      <c r="C455" s="145"/>
      <c r="D455" s="145"/>
      <c r="E455" s="145"/>
      <c r="F455" s="145"/>
      <c r="G455" s="145"/>
      <c r="H455" s="145"/>
      <c r="I455" s="145"/>
      <c r="J455" s="145"/>
      <c r="K455" s="145"/>
      <c r="L455" s="145"/>
      <c r="M455" s="145"/>
      <c r="N455" s="145"/>
      <c r="O455" s="145"/>
      <c r="P455" s="145"/>
    </row>
    <row r="456" spans="1:16" x14ac:dyDescent="0.2">
      <c r="A456" s="58" t="str">
        <v>0:00</v>
      </c>
      <c r="B456" s="123"/>
      <c r="C456" s="145"/>
      <c r="D456" s="145"/>
      <c r="E456" s="145"/>
      <c r="F456" s="145"/>
      <c r="G456" s="145"/>
      <c r="H456" s="145"/>
      <c r="I456" s="145"/>
      <c r="J456" s="145"/>
      <c r="K456" s="145"/>
      <c r="L456" s="145"/>
      <c r="M456" s="145"/>
      <c r="N456" s="145"/>
      <c r="O456" s="145"/>
      <c r="P456" s="145"/>
    </row>
    <row r="457" spans="1:16" x14ac:dyDescent="0.2">
      <c r="A457" s="58" t="str">
        <v>0:00</v>
      </c>
      <c r="B457" s="123"/>
      <c r="C457" s="145"/>
      <c r="D457" s="145"/>
      <c r="E457" s="145"/>
      <c r="F457" s="145"/>
      <c r="G457" s="145"/>
      <c r="H457" s="145"/>
      <c r="I457" s="145"/>
      <c r="J457" s="145"/>
      <c r="K457" s="145"/>
      <c r="L457" s="145"/>
      <c r="M457" s="145"/>
      <c r="N457" s="145"/>
      <c r="O457" s="145"/>
      <c r="P457" s="145"/>
    </row>
    <row r="458" spans="1:16" x14ac:dyDescent="0.2">
      <c r="A458" s="58" t="str">
        <v>0:00</v>
      </c>
      <c r="B458" s="123"/>
      <c r="C458" s="145"/>
      <c r="D458" s="145"/>
      <c r="E458" s="145"/>
      <c r="F458" s="145"/>
      <c r="G458" s="145"/>
      <c r="H458" s="145"/>
      <c r="I458" s="145"/>
      <c r="J458" s="145"/>
      <c r="K458" s="145"/>
      <c r="L458" s="145"/>
      <c r="M458" s="145"/>
      <c r="N458" s="145"/>
      <c r="O458" s="145"/>
      <c r="P458" s="145"/>
    </row>
    <row r="459" spans="1:16" x14ac:dyDescent="0.2">
      <c r="A459" s="58" t="str">
        <v>0:00</v>
      </c>
      <c r="B459" s="123"/>
      <c r="C459" s="145"/>
      <c r="D459" s="145"/>
      <c r="E459" s="145"/>
      <c r="F459" s="145"/>
      <c r="G459" s="145"/>
      <c r="H459" s="145"/>
      <c r="I459" s="145"/>
      <c r="J459" s="145"/>
      <c r="K459" s="145"/>
      <c r="L459" s="145"/>
      <c r="M459" s="145"/>
      <c r="N459" s="145"/>
      <c r="O459" s="145"/>
      <c r="P459" s="145"/>
    </row>
    <row r="460" spans="1:16" x14ac:dyDescent="0.2">
      <c r="A460" s="58" t="str">
        <v>0:00</v>
      </c>
      <c r="B460" s="123"/>
      <c r="C460" s="145"/>
      <c r="D460" s="145"/>
      <c r="E460" s="145"/>
      <c r="F460" s="145"/>
      <c r="G460" s="145"/>
      <c r="H460" s="145"/>
      <c r="I460" s="145"/>
      <c r="J460" s="145"/>
      <c r="K460" s="145"/>
      <c r="L460" s="145"/>
      <c r="M460" s="145"/>
      <c r="N460" s="145"/>
      <c r="O460" s="145"/>
      <c r="P460" s="145"/>
    </row>
    <row r="461" spans="1:16" x14ac:dyDescent="0.2">
      <c r="A461" s="58" t="str">
        <v>0:00</v>
      </c>
      <c r="B461" s="123"/>
      <c r="C461" s="145"/>
      <c r="D461" s="145"/>
      <c r="E461" s="145"/>
      <c r="F461" s="145"/>
      <c r="G461" s="145"/>
      <c r="H461" s="145"/>
      <c r="I461" s="145"/>
      <c r="J461" s="145"/>
      <c r="K461" s="145"/>
      <c r="L461" s="145"/>
      <c r="M461" s="145"/>
      <c r="N461" s="145"/>
      <c r="O461" s="145"/>
      <c r="P461" s="145"/>
    </row>
    <row r="462" spans="1:16" x14ac:dyDescent="0.2">
      <c r="A462" s="58" t="str">
        <v>0:00</v>
      </c>
      <c r="B462" s="123"/>
      <c r="C462" s="145"/>
      <c r="D462" s="145"/>
      <c r="E462" s="145"/>
      <c r="F462" s="145"/>
      <c r="G462" s="145"/>
      <c r="H462" s="145"/>
      <c r="I462" s="145"/>
      <c r="J462" s="145"/>
      <c r="K462" s="145"/>
      <c r="L462" s="145"/>
      <c r="M462" s="145"/>
      <c r="N462" s="145"/>
      <c r="O462" s="145"/>
      <c r="P462" s="145"/>
    </row>
    <row r="463" spans="1:16" x14ac:dyDescent="0.2">
      <c r="A463" s="58" t="str">
        <v>0:00</v>
      </c>
      <c r="B463" s="123"/>
      <c r="C463" s="145"/>
      <c r="D463" s="145"/>
      <c r="E463" s="145"/>
      <c r="F463" s="145"/>
      <c r="G463" s="145"/>
      <c r="H463" s="145"/>
      <c r="I463" s="145"/>
      <c r="J463" s="145"/>
      <c r="K463" s="145"/>
      <c r="L463" s="145"/>
      <c r="M463" s="145"/>
      <c r="N463" s="145"/>
      <c r="O463" s="145"/>
      <c r="P463" s="145"/>
    </row>
    <row r="464" spans="1:16" x14ac:dyDescent="0.2">
      <c r="A464" s="58" t="str">
        <v>0:00</v>
      </c>
      <c r="B464" s="123"/>
      <c r="C464" s="145"/>
      <c r="D464" s="145"/>
      <c r="E464" s="145"/>
      <c r="F464" s="145"/>
      <c r="G464" s="145"/>
      <c r="H464" s="145"/>
      <c r="I464" s="145"/>
      <c r="J464" s="145"/>
      <c r="K464" s="145"/>
      <c r="L464" s="145"/>
      <c r="M464" s="145"/>
      <c r="N464" s="145"/>
      <c r="O464" s="145"/>
      <c r="P464" s="145"/>
    </row>
    <row r="465" spans="1:16" x14ac:dyDescent="0.2">
      <c r="A465" s="58" t="str">
        <v>0:00</v>
      </c>
      <c r="B465" s="123"/>
      <c r="C465" s="145"/>
      <c r="D465" s="145"/>
      <c r="E465" s="145"/>
      <c r="F465" s="145"/>
      <c r="G465" s="145"/>
      <c r="H465" s="145"/>
      <c r="I465" s="145"/>
      <c r="J465" s="145"/>
      <c r="K465" s="145"/>
      <c r="L465" s="145"/>
      <c r="M465" s="145"/>
      <c r="N465" s="145"/>
      <c r="O465" s="145"/>
      <c r="P465" s="145"/>
    </row>
    <row r="466" spans="1:16" x14ac:dyDescent="0.2">
      <c r="A466" s="58" t="str">
        <v>0:00</v>
      </c>
      <c r="B466" s="123"/>
      <c r="C466" s="145"/>
      <c r="D466" s="145"/>
      <c r="E466" s="145"/>
      <c r="F466" s="145"/>
      <c r="G466" s="145"/>
      <c r="H466" s="145"/>
      <c r="I466" s="145"/>
      <c r="J466" s="145"/>
      <c r="K466" s="145"/>
      <c r="L466" s="145"/>
      <c r="M466" s="145"/>
      <c r="N466" s="145"/>
      <c r="O466" s="145"/>
      <c r="P466" s="145"/>
    </row>
    <row r="467" spans="1:16" x14ac:dyDescent="0.2">
      <c r="A467" s="58" t="str">
        <v>0:00</v>
      </c>
      <c r="B467" s="123"/>
      <c r="C467" s="145"/>
      <c r="D467" s="145"/>
      <c r="E467" s="145"/>
      <c r="F467" s="145"/>
      <c r="G467" s="145"/>
      <c r="H467" s="145"/>
      <c r="I467" s="145"/>
      <c r="J467" s="145"/>
      <c r="K467" s="145"/>
      <c r="L467" s="145"/>
      <c r="M467" s="145"/>
      <c r="N467" s="145"/>
      <c r="O467" s="145"/>
      <c r="P467" s="145"/>
    </row>
    <row r="468" spans="1:16" x14ac:dyDescent="0.2">
      <c r="A468" s="58" t="str">
        <v>0:00</v>
      </c>
      <c r="B468" s="123"/>
      <c r="C468" s="145"/>
      <c r="D468" s="145"/>
      <c r="E468" s="145"/>
      <c r="F468" s="145"/>
      <c r="G468" s="145"/>
      <c r="H468" s="145"/>
      <c r="I468" s="145"/>
      <c r="J468" s="145"/>
      <c r="K468" s="145"/>
      <c r="L468" s="145"/>
      <c r="M468" s="145"/>
      <c r="N468" s="145"/>
      <c r="O468" s="145"/>
      <c r="P468" s="145"/>
    </row>
    <row r="469" spans="1:16" x14ac:dyDescent="0.2">
      <c r="A469" s="58" t="str">
        <v>0:00</v>
      </c>
      <c r="B469" s="123"/>
      <c r="C469" s="145"/>
      <c r="D469" s="145"/>
      <c r="E469" s="145"/>
      <c r="F469" s="145"/>
      <c r="G469" s="145"/>
      <c r="H469" s="145"/>
      <c r="I469" s="145"/>
      <c r="J469" s="145"/>
      <c r="K469" s="145"/>
      <c r="L469" s="145"/>
      <c r="M469" s="145"/>
      <c r="N469" s="145"/>
      <c r="O469" s="145"/>
      <c r="P469" s="145"/>
    </row>
    <row r="470" spans="1:16" x14ac:dyDescent="0.2">
      <c r="A470" s="58" t="str">
        <v>0:00</v>
      </c>
      <c r="B470" s="123"/>
      <c r="C470" s="145"/>
      <c r="D470" s="145"/>
      <c r="E470" s="145"/>
      <c r="F470" s="145"/>
      <c r="G470" s="145"/>
      <c r="H470" s="145"/>
      <c r="I470" s="145"/>
      <c r="J470" s="145"/>
      <c r="K470" s="145"/>
      <c r="L470" s="145"/>
      <c r="M470" s="145"/>
      <c r="N470" s="145"/>
      <c r="O470" s="145"/>
      <c r="P470" s="145"/>
    </row>
    <row r="471" spans="1:16" x14ac:dyDescent="0.2">
      <c r="A471" s="58" t="str">
        <v>0:00</v>
      </c>
      <c r="B471" s="123"/>
      <c r="C471" s="145"/>
      <c r="D471" s="145"/>
      <c r="E471" s="145"/>
      <c r="F471" s="145"/>
      <c r="G471" s="145"/>
      <c r="H471" s="145"/>
      <c r="I471" s="145"/>
      <c r="J471" s="145"/>
      <c r="K471" s="145"/>
      <c r="L471" s="145"/>
      <c r="M471" s="145"/>
      <c r="N471" s="145"/>
      <c r="O471" s="145"/>
      <c r="P471" s="145"/>
    </row>
    <row r="472" spans="1:16" x14ac:dyDescent="0.2">
      <c r="A472" s="58" t="str">
        <v>0:00</v>
      </c>
      <c r="B472" s="123"/>
      <c r="C472" s="145"/>
      <c r="D472" s="145"/>
      <c r="E472" s="145"/>
      <c r="F472" s="145"/>
      <c r="G472" s="145"/>
      <c r="H472" s="145"/>
      <c r="I472" s="145"/>
      <c r="J472" s="145"/>
      <c r="K472" s="145"/>
      <c r="L472" s="145"/>
      <c r="M472" s="145"/>
      <c r="N472" s="145"/>
      <c r="O472" s="145"/>
      <c r="P472" s="145"/>
    </row>
    <row r="473" spans="1:16" x14ac:dyDescent="0.2">
      <c r="A473" s="58" t="str">
        <v>0:00</v>
      </c>
      <c r="B473" s="123"/>
      <c r="C473" s="145"/>
      <c r="D473" s="145"/>
      <c r="E473" s="145"/>
      <c r="F473" s="145"/>
      <c r="G473" s="145"/>
      <c r="H473" s="145"/>
      <c r="I473" s="145"/>
      <c r="J473" s="145"/>
      <c r="K473" s="145"/>
      <c r="L473" s="145"/>
      <c r="M473" s="145"/>
      <c r="N473" s="145"/>
      <c r="O473" s="145"/>
      <c r="P473" s="145"/>
    </row>
    <row r="474" spans="1:16" x14ac:dyDescent="0.2">
      <c r="A474" s="58" t="str">
        <v>0:00</v>
      </c>
      <c r="B474" s="123"/>
      <c r="C474" s="145"/>
      <c r="D474" s="145"/>
      <c r="E474" s="145"/>
      <c r="F474" s="145"/>
      <c r="G474" s="145"/>
      <c r="H474" s="145"/>
      <c r="I474" s="145"/>
      <c r="J474" s="145"/>
      <c r="K474" s="145"/>
      <c r="L474" s="145"/>
      <c r="M474" s="145"/>
      <c r="N474" s="145"/>
      <c r="O474" s="145"/>
      <c r="P474" s="145"/>
    </row>
    <row r="475" spans="1:16" x14ac:dyDescent="0.2">
      <c r="A475" s="58" t="str">
        <v>0:00</v>
      </c>
      <c r="B475" s="123"/>
      <c r="C475" s="145"/>
      <c r="D475" s="145"/>
      <c r="E475" s="145"/>
      <c r="F475" s="145"/>
      <c r="G475" s="145"/>
      <c r="H475" s="145"/>
      <c r="I475" s="145"/>
      <c r="J475" s="145"/>
      <c r="K475" s="145"/>
      <c r="L475" s="145"/>
      <c r="M475" s="145"/>
      <c r="N475" s="145"/>
      <c r="O475" s="145"/>
      <c r="P475" s="145"/>
    </row>
    <row r="476" spans="1:16" x14ac:dyDescent="0.2">
      <c r="A476" s="58" t="str">
        <v>0:00</v>
      </c>
      <c r="B476" s="123"/>
      <c r="C476" s="145"/>
      <c r="D476" s="145"/>
      <c r="E476" s="145"/>
      <c r="F476" s="145"/>
      <c r="G476" s="145"/>
      <c r="H476" s="145"/>
      <c r="I476" s="145"/>
      <c r="J476" s="145"/>
      <c r="K476" s="145"/>
      <c r="L476" s="145"/>
      <c r="M476" s="145"/>
      <c r="N476" s="145"/>
      <c r="O476" s="145"/>
      <c r="P476" s="145"/>
    </row>
    <row r="477" spans="1:16" x14ac:dyDescent="0.2">
      <c r="A477" s="58" t="str">
        <v>0:00</v>
      </c>
      <c r="B477" s="123"/>
      <c r="C477" s="145"/>
      <c r="D477" s="145"/>
      <c r="E477" s="145"/>
      <c r="F477" s="145"/>
      <c r="G477" s="145"/>
      <c r="H477" s="145"/>
      <c r="I477" s="145"/>
      <c r="J477" s="145"/>
      <c r="K477" s="145"/>
      <c r="L477" s="145"/>
      <c r="M477" s="145"/>
      <c r="N477" s="145"/>
      <c r="O477" s="145"/>
      <c r="P477" s="145"/>
    </row>
    <row r="478" spans="1:16" x14ac:dyDescent="0.2">
      <c r="A478" s="58" t="str">
        <v>0:00</v>
      </c>
      <c r="B478" s="123"/>
      <c r="C478" s="145"/>
      <c r="D478" s="145"/>
      <c r="E478" s="145"/>
      <c r="F478" s="145"/>
      <c r="G478" s="145"/>
      <c r="H478" s="145"/>
      <c r="I478" s="145"/>
      <c r="J478" s="145"/>
      <c r="K478" s="145"/>
      <c r="L478" s="145"/>
      <c r="M478" s="145"/>
      <c r="N478" s="145"/>
      <c r="O478" s="145"/>
      <c r="P478" s="145"/>
    </row>
    <row r="479" spans="1:16" x14ac:dyDescent="0.2">
      <c r="A479" s="58" t="str">
        <v>0:00</v>
      </c>
      <c r="B479" s="123"/>
      <c r="C479" s="145"/>
      <c r="D479" s="145"/>
      <c r="E479" s="145"/>
      <c r="F479" s="145"/>
      <c r="G479" s="145"/>
      <c r="H479" s="145"/>
      <c r="I479" s="145"/>
      <c r="J479" s="145"/>
      <c r="K479" s="145"/>
      <c r="L479" s="145"/>
      <c r="M479" s="145"/>
      <c r="N479" s="145"/>
      <c r="O479" s="145"/>
      <c r="P479" s="145"/>
    </row>
    <row r="480" spans="1:16" x14ac:dyDescent="0.2">
      <c r="A480" s="58" t="str">
        <v>0:00</v>
      </c>
      <c r="B480" s="123"/>
      <c r="C480" s="145"/>
      <c r="D480" s="145"/>
      <c r="E480" s="145"/>
      <c r="F480" s="145"/>
      <c r="G480" s="145"/>
      <c r="H480" s="145"/>
      <c r="I480" s="145"/>
      <c r="J480" s="145"/>
      <c r="K480" s="145"/>
      <c r="L480" s="145"/>
      <c r="M480" s="145"/>
      <c r="N480" s="145"/>
      <c r="O480" s="145"/>
      <c r="P480" s="145"/>
    </row>
    <row r="481" spans="1:16" x14ac:dyDescent="0.2">
      <c r="A481" s="58" t="str">
        <v>0:00</v>
      </c>
      <c r="B481" s="123"/>
      <c r="C481" s="145"/>
      <c r="D481" s="145"/>
      <c r="E481" s="145"/>
      <c r="F481" s="145"/>
      <c r="G481" s="145"/>
      <c r="H481" s="145"/>
      <c r="I481" s="145"/>
      <c r="J481" s="145"/>
      <c r="K481" s="145"/>
      <c r="L481" s="145"/>
      <c r="M481" s="145"/>
      <c r="N481" s="145"/>
      <c r="O481" s="145"/>
      <c r="P481" s="145"/>
    </row>
    <row r="482" spans="1:16" x14ac:dyDescent="0.2">
      <c r="A482" s="58" t="str">
        <v>0:00</v>
      </c>
      <c r="B482" s="123"/>
      <c r="C482" s="145"/>
      <c r="D482" s="145"/>
      <c r="E482" s="145"/>
      <c r="F482" s="145"/>
      <c r="G482" s="145"/>
      <c r="H482" s="145"/>
      <c r="I482" s="145"/>
      <c r="J482" s="145"/>
      <c r="K482" s="145"/>
      <c r="L482" s="145"/>
      <c r="M482" s="145"/>
      <c r="N482" s="145"/>
      <c r="O482" s="145"/>
      <c r="P482" s="145"/>
    </row>
    <row r="483" spans="1:16" x14ac:dyDescent="0.2">
      <c r="A483" s="58" t="str">
        <v>0:00</v>
      </c>
      <c r="B483" s="123"/>
      <c r="C483" s="145"/>
      <c r="D483" s="145"/>
      <c r="E483" s="145"/>
      <c r="F483" s="145"/>
      <c r="G483" s="145"/>
      <c r="H483" s="145"/>
      <c r="I483" s="145"/>
      <c r="J483" s="145"/>
      <c r="K483" s="145"/>
      <c r="L483" s="145"/>
      <c r="M483" s="145"/>
      <c r="N483" s="145"/>
      <c r="O483" s="145"/>
      <c r="P483" s="145"/>
    </row>
    <row r="484" spans="1:16" x14ac:dyDescent="0.2">
      <c r="A484" s="58" t="str">
        <v>0:00</v>
      </c>
      <c r="B484" s="123"/>
      <c r="C484" s="145"/>
      <c r="D484" s="145"/>
      <c r="E484" s="145"/>
      <c r="F484" s="145"/>
      <c r="G484" s="145"/>
      <c r="H484" s="145"/>
      <c r="I484" s="145"/>
      <c r="J484" s="145"/>
      <c r="K484" s="145"/>
      <c r="L484" s="145"/>
      <c r="M484" s="145"/>
      <c r="N484" s="145"/>
      <c r="O484" s="145"/>
      <c r="P484" s="145"/>
    </row>
    <row r="485" spans="1:16" x14ac:dyDescent="0.2">
      <c r="A485" s="58" t="str">
        <v>0:00</v>
      </c>
      <c r="B485" s="123"/>
      <c r="C485" s="145"/>
      <c r="D485" s="145"/>
      <c r="E485" s="145"/>
      <c r="F485" s="145"/>
      <c r="G485" s="145"/>
      <c r="H485" s="145"/>
      <c r="I485" s="145"/>
      <c r="J485" s="145"/>
      <c r="K485" s="145"/>
      <c r="L485" s="145"/>
      <c r="M485" s="145"/>
      <c r="N485" s="145"/>
      <c r="O485" s="145"/>
      <c r="P485" s="145"/>
    </row>
    <row r="486" spans="1:16" x14ac:dyDescent="0.2">
      <c r="A486" s="58" t="str">
        <v>0:00</v>
      </c>
      <c r="B486" s="123"/>
      <c r="C486" s="145"/>
      <c r="D486" s="145"/>
      <c r="E486" s="145"/>
      <c r="F486" s="145"/>
      <c r="G486" s="145"/>
      <c r="H486" s="145"/>
      <c r="I486" s="145"/>
      <c r="J486" s="145"/>
      <c r="K486" s="145"/>
      <c r="L486" s="145"/>
      <c r="M486" s="145"/>
      <c r="N486" s="145"/>
      <c r="O486" s="145"/>
      <c r="P486" s="145"/>
    </row>
    <row r="487" spans="1:16" x14ac:dyDescent="0.2">
      <c r="A487" s="58" t="str">
        <v>0:00</v>
      </c>
      <c r="B487" s="123"/>
      <c r="C487" s="145"/>
      <c r="D487" s="145"/>
      <c r="E487" s="145"/>
      <c r="F487" s="145"/>
      <c r="G487" s="145"/>
      <c r="H487" s="145"/>
      <c r="I487" s="145"/>
      <c r="J487" s="145"/>
      <c r="K487" s="145"/>
      <c r="L487" s="145"/>
      <c r="M487" s="145"/>
      <c r="N487" s="145"/>
      <c r="O487" s="145"/>
      <c r="P487" s="145"/>
    </row>
    <row r="488" spans="1:16" x14ac:dyDescent="0.2">
      <c r="A488" s="58" t="str">
        <v>0:00</v>
      </c>
      <c r="B488" s="123"/>
      <c r="C488" s="145"/>
      <c r="D488" s="145"/>
      <c r="E488" s="145"/>
      <c r="F488" s="145"/>
      <c r="G488" s="145"/>
      <c r="H488" s="145"/>
      <c r="I488" s="145"/>
      <c r="J488" s="145"/>
      <c r="K488" s="145"/>
      <c r="L488" s="145"/>
      <c r="M488" s="145"/>
      <c r="N488" s="145"/>
      <c r="O488" s="145"/>
      <c r="P488" s="145"/>
    </row>
    <row r="489" spans="1:16" x14ac:dyDescent="0.2">
      <c r="A489" s="58" t="str">
        <v>0:00</v>
      </c>
      <c r="B489" s="123"/>
      <c r="C489" s="145"/>
      <c r="D489" s="145"/>
      <c r="E489" s="145"/>
      <c r="F489" s="145"/>
      <c r="G489" s="145"/>
      <c r="H489" s="145"/>
      <c r="I489" s="145"/>
      <c r="J489" s="145"/>
      <c r="K489" s="145"/>
      <c r="L489" s="145"/>
      <c r="M489" s="145"/>
      <c r="N489" s="145"/>
      <c r="O489" s="145"/>
      <c r="P489" s="145"/>
    </row>
    <row r="490" spans="1:16" x14ac:dyDescent="0.2">
      <c r="A490" s="58" t="str">
        <v>0:00</v>
      </c>
      <c r="B490" s="123"/>
      <c r="C490" s="145"/>
      <c r="D490" s="145"/>
      <c r="E490" s="145"/>
      <c r="F490" s="145"/>
      <c r="G490" s="145"/>
      <c r="H490" s="145"/>
      <c r="I490" s="145"/>
      <c r="J490" s="145"/>
      <c r="K490" s="145"/>
      <c r="L490" s="145"/>
      <c r="M490" s="145"/>
      <c r="N490" s="145"/>
      <c r="O490" s="145"/>
      <c r="P490" s="145"/>
    </row>
    <row r="491" spans="1:16" x14ac:dyDescent="0.2">
      <c r="A491" s="58" t="str">
        <v>0:00</v>
      </c>
      <c r="B491" s="123"/>
      <c r="C491" s="145"/>
      <c r="D491" s="145"/>
      <c r="E491" s="145"/>
      <c r="F491" s="145"/>
      <c r="G491" s="145"/>
      <c r="H491" s="145"/>
      <c r="I491" s="145"/>
      <c r="J491" s="145"/>
      <c r="K491" s="145"/>
      <c r="L491" s="145"/>
      <c r="M491" s="145"/>
      <c r="N491" s="145"/>
      <c r="O491" s="145"/>
      <c r="P491" s="145"/>
    </row>
    <row r="492" spans="1:16" x14ac:dyDescent="0.2">
      <c r="A492" s="58" t="str">
        <v>0:00</v>
      </c>
      <c r="B492" s="123"/>
      <c r="C492" s="145"/>
      <c r="D492" s="145"/>
      <c r="E492" s="145"/>
      <c r="F492" s="145"/>
      <c r="G492" s="145"/>
      <c r="H492" s="145"/>
      <c r="I492" s="145"/>
      <c r="J492" s="145"/>
      <c r="K492" s="145"/>
      <c r="L492" s="145"/>
      <c r="M492" s="145"/>
      <c r="N492" s="145"/>
      <c r="O492" s="145"/>
      <c r="P492" s="145"/>
    </row>
    <row r="493" spans="1:16" x14ac:dyDescent="0.2">
      <c r="A493" s="58" t="str">
        <v>0:00</v>
      </c>
      <c r="B493" s="123"/>
      <c r="C493" s="145"/>
      <c r="D493" s="145"/>
      <c r="E493" s="145"/>
      <c r="F493" s="145"/>
      <c r="G493" s="145"/>
      <c r="H493" s="145"/>
      <c r="I493" s="145"/>
      <c r="J493" s="145"/>
      <c r="K493" s="145"/>
      <c r="L493" s="145"/>
      <c r="M493" s="145"/>
      <c r="N493" s="145"/>
      <c r="O493" s="145"/>
      <c r="P493" s="145"/>
    </row>
    <row r="494" spans="1:16" x14ac:dyDescent="0.2">
      <c r="A494" s="58" t="str">
        <v>0:00</v>
      </c>
      <c r="B494" s="123"/>
      <c r="C494" s="145"/>
      <c r="D494" s="145"/>
      <c r="E494" s="145"/>
      <c r="F494" s="145"/>
      <c r="G494" s="145"/>
      <c r="H494" s="145"/>
      <c r="I494" s="145"/>
      <c r="J494" s="145"/>
      <c r="K494" s="145"/>
      <c r="L494" s="145"/>
      <c r="M494" s="145"/>
      <c r="N494" s="145"/>
      <c r="O494" s="145"/>
      <c r="P494" s="145"/>
    </row>
    <row r="495" spans="1:16" x14ac:dyDescent="0.2">
      <c r="A495" s="58" t="str">
        <v>0:00</v>
      </c>
      <c r="B495" s="123"/>
      <c r="C495" s="145"/>
      <c r="D495" s="145"/>
      <c r="E495" s="145"/>
      <c r="F495" s="145"/>
      <c r="G495" s="145"/>
      <c r="H495" s="145"/>
      <c r="I495" s="145"/>
      <c r="J495" s="145"/>
      <c r="K495" s="145"/>
      <c r="L495" s="145"/>
      <c r="M495" s="145"/>
      <c r="N495" s="145"/>
      <c r="O495" s="145"/>
      <c r="P495" s="145"/>
    </row>
    <row r="496" spans="1:16" x14ac:dyDescent="0.2">
      <c r="A496" s="58" t="str">
        <v>0:00</v>
      </c>
      <c r="B496" s="123"/>
      <c r="C496" s="145"/>
      <c r="D496" s="145"/>
      <c r="E496" s="145"/>
      <c r="F496" s="145"/>
      <c r="G496" s="145"/>
      <c r="H496" s="145"/>
      <c r="I496" s="145"/>
      <c r="J496" s="145"/>
      <c r="K496" s="145"/>
      <c r="L496" s="145"/>
      <c r="M496" s="145"/>
      <c r="N496" s="145"/>
      <c r="O496" s="145"/>
      <c r="P496" s="145"/>
    </row>
    <row r="497" spans="1:16" x14ac:dyDescent="0.2">
      <c r="A497" s="58" t="str">
        <v>0:00</v>
      </c>
      <c r="B497" s="123"/>
      <c r="C497" s="145"/>
      <c r="D497" s="145"/>
      <c r="E497" s="145"/>
      <c r="F497" s="145"/>
      <c r="G497" s="145"/>
      <c r="H497" s="145"/>
      <c r="I497" s="145"/>
      <c r="J497" s="145"/>
      <c r="K497" s="145"/>
      <c r="L497" s="145"/>
      <c r="M497" s="145"/>
      <c r="N497" s="145"/>
      <c r="O497" s="145"/>
      <c r="P497" s="145"/>
    </row>
    <row r="498" spans="1:16" x14ac:dyDescent="0.2">
      <c r="A498" s="58" t="str">
        <v>0:00</v>
      </c>
      <c r="B498" s="123"/>
      <c r="C498" s="145"/>
      <c r="D498" s="145"/>
      <c r="E498" s="145"/>
      <c r="F498" s="145"/>
      <c r="G498" s="145"/>
      <c r="H498" s="145"/>
      <c r="I498" s="145"/>
      <c r="J498" s="145"/>
      <c r="K498" s="145"/>
      <c r="L498" s="145"/>
      <c r="M498" s="145"/>
      <c r="N498" s="145"/>
      <c r="O498" s="145"/>
      <c r="P498" s="145"/>
    </row>
    <row r="499" spans="1:16" x14ac:dyDescent="0.2">
      <c r="A499" s="58" t="str">
        <v>0:00</v>
      </c>
      <c r="B499" s="123"/>
      <c r="C499" s="145"/>
      <c r="D499" s="145"/>
      <c r="E499" s="145"/>
      <c r="F499" s="145"/>
      <c r="G499" s="145"/>
      <c r="H499" s="145"/>
      <c r="I499" s="145"/>
      <c r="J499" s="145"/>
      <c r="K499" s="145"/>
      <c r="L499" s="145"/>
      <c r="M499" s="145"/>
      <c r="N499" s="145"/>
      <c r="O499" s="145"/>
      <c r="P499" s="145"/>
    </row>
    <row r="500" spans="1:16" x14ac:dyDescent="0.2">
      <c r="A500" s="58" t="str">
        <v>0:00</v>
      </c>
      <c r="B500" s="123"/>
      <c r="C500" s="145"/>
      <c r="D500" s="145"/>
      <c r="E500" s="145"/>
      <c r="F500" s="145"/>
      <c r="G500" s="145"/>
      <c r="H500" s="145"/>
      <c r="I500" s="145"/>
      <c r="J500" s="145"/>
      <c r="K500" s="145"/>
      <c r="L500" s="145"/>
      <c r="M500" s="145"/>
      <c r="N500" s="145"/>
      <c r="O500" s="145"/>
      <c r="P500" s="145"/>
    </row>
    <row r="501" spans="1:16" x14ac:dyDescent="0.2">
      <c r="A501" s="58" t="str">
        <v>0:00</v>
      </c>
      <c r="B501" s="123"/>
      <c r="C501" s="44"/>
      <c r="D501" s="44"/>
      <c r="E501" s="44"/>
      <c r="F501" s="44"/>
      <c r="G501" s="44"/>
      <c r="H501" s="44"/>
      <c r="I501" s="44"/>
      <c r="J501" s="44"/>
      <c r="K501" s="44"/>
      <c r="L501" s="44"/>
      <c r="M501" s="44"/>
      <c r="N501" s="44"/>
      <c r="O501" s="44"/>
      <c r="P501" s="44"/>
    </row>
    <row r="502" spans="1:16" x14ac:dyDescent="0.2">
      <c r="A502" s="58" t="str">
        <v>0:00</v>
      </c>
      <c r="B502" s="123"/>
      <c r="C502" s="44"/>
      <c r="D502" s="44"/>
      <c r="E502" s="44"/>
      <c r="F502" s="44"/>
      <c r="G502" s="44"/>
      <c r="H502" s="44"/>
      <c r="I502" s="44"/>
      <c r="J502" s="44"/>
      <c r="K502" s="44"/>
      <c r="L502" s="44"/>
      <c r="M502" s="44"/>
      <c r="N502" s="44"/>
      <c r="O502" s="44"/>
      <c r="P502" s="44"/>
    </row>
    <row r="503" spans="1:16" x14ac:dyDescent="0.2">
      <c r="A503" s="58" t="str">
        <v>0:00</v>
      </c>
      <c r="B503" s="123"/>
      <c r="C503" s="44"/>
      <c r="D503" s="44"/>
      <c r="E503" s="44"/>
      <c r="F503" s="44"/>
      <c r="G503" s="44"/>
      <c r="H503" s="44"/>
      <c r="I503" s="44"/>
      <c r="J503" s="44"/>
      <c r="K503" s="44"/>
      <c r="L503" s="44"/>
      <c r="M503" s="44"/>
      <c r="N503" s="44"/>
      <c r="O503" s="44"/>
      <c r="P503" s="44"/>
    </row>
    <row r="504" spans="1:16" x14ac:dyDescent="0.2">
      <c r="A504" s="58" t="str">
        <v>0:00</v>
      </c>
      <c r="B504" s="123"/>
      <c r="C504" s="44"/>
      <c r="D504" s="44"/>
      <c r="E504" s="44"/>
      <c r="F504" s="44"/>
      <c r="G504" s="44"/>
      <c r="H504" s="44"/>
      <c r="I504" s="44"/>
      <c r="J504" s="44"/>
      <c r="K504" s="44"/>
      <c r="L504" s="44"/>
      <c r="M504" s="44"/>
      <c r="N504" s="44"/>
      <c r="O504" s="44"/>
      <c r="P504" s="44"/>
    </row>
    <row r="505" spans="1:16" x14ac:dyDescent="0.2">
      <c r="A505" s="58" t="str">
        <v>0:00</v>
      </c>
      <c r="B505" s="123"/>
      <c r="C505" s="44"/>
      <c r="D505" s="44"/>
      <c r="E505" s="44"/>
      <c r="F505" s="44"/>
      <c r="G505" s="44"/>
      <c r="H505" s="44"/>
      <c r="I505" s="44"/>
      <c r="J505" s="44"/>
      <c r="K505" s="44"/>
      <c r="L505" s="44"/>
      <c r="M505" s="44"/>
      <c r="N505" s="44"/>
      <c r="O505" s="44"/>
      <c r="P505" s="44"/>
    </row>
    <row r="506" spans="1:16" x14ac:dyDescent="0.2">
      <c r="A506" s="58" t="str">
        <v>0:00</v>
      </c>
      <c r="B506" s="123"/>
      <c r="C506" s="44"/>
      <c r="D506" s="44"/>
      <c r="E506" s="44"/>
      <c r="F506" s="44"/>
      <c r="G506" s="44"/>
      <c r="H506" s="44"/>
      <c r="I506" s="44"/>
      <c r="J506" s="44"/>
      <c r="K506" s="44"/>
      <c r="L506" s="44"/>
      <c r="M506" s="44"/>
      <c r="N506" s="44"/>
      <c r="O506" s="44"/>
      <c r="P506" s="44"/>
    </row>
    <row r="507" spans="1:16" x14ac:dyDescent="0.2">
      <c r="A507" s="58" t="str">
        <v>0:00</v>
      </c>
      <c r="B507" s="123"/>
      <c r="C507" s="44"/>
      <c r="D507" s="44"/>
      <c r="E507" s="44"/>
      <c r="F507" s="44"/>
      <c r="G507" s="44"/>
      <c r="H507" s="44"/>
      <c r="I507" s="44"/>
      <c r="J507" s="44"/>
      <c r="K507" s="44"/>
      <c r="L507" s="44"/>
      <c r="M507" s="44"/>
      <c r="N507" s="44"/>
      <c r="O507" s="44"/>
      <c r="P507" s="44"/>
    </row>
    <row r="508" spans="1:16" x14ac:dyDescent="0.2">
      <c r="A508" s="58" t="str">
        <v>0:00</v>
      </c>
      <c r="B508" s="123"/>
      <c r="C508" s="44"/>
      <c r="D508" s="44"/>
      <c r="E508" s="44"/>
      <c r="F508" s="44"/>
      <c r="G508" s="44"/>
      <c r="H508" s="44"/>
      <c r="I508" s="44"/>
      <c r="J508" s="44"/>
      <c r="K508" s="44"/>
      <c r="L508" s="44"/>
      <c r="M508" s="44"/>
      <c r="N508" s="44"/>
      <c r="O508" s="44"/>
      <c r="P508" s="44"/>
    </row>
    <row r="509" spans="1:16" x14ac:dyDescent="0.2">
      <c r="A509" s="58" t="str">
        <v>0:00</v>
      </c>
      <c r="B509" s="123"/>
      <c r="C509" s="44"/>
      <c r="D509" s="44"/>
      <c r="E509" s="44"/>
      <c r="F509" s="44"/>
      <c r="G509" s="44"/>
      <c r="H509" s="44"/>
      <c r="I509" s="44"/>
      <c r="J509" s="44"/>
      <c r="K509" s="44"/>
      <c r="L509" s="44"/>
      <c r="M509" s="44"/>
      <c r="N509" s="44"/>
      <c r="O509" s="44"/>
      <c r="P509" s="44"/>
    </row>
    <row r="510" spans="1:16" x14ac:dyDescent="0.2">
      <c r="A510" s="58" t="str">
        <v>0:00</v>
      </c>
      <c r="B510" s="123"/>
      <c r="C510" s="44"/>
      <c r="D510" s="44"/>
      <c r="E510" s="44"/>
      <c r="F510" s="44"/>
      <c r="G510" s="44"/>
      <c r="H510" s="44"/>
      <c r="I510" s="44"/>
      <c r="J510" s="44"/>
      <c r="K510" s="44"/>
      <c r="L510" s="44"/>
      <c r="M510" s="44"/>
      <c r="N510" s="44"/>
      <c r="O510" s="44"/>
      <c r="P510" s="44"/>
    </row>
    <row r="511" spans="1:16" x14ac:dyDescent="0.2">
      <c r="A511" s="58" t="str">
        <v>0:00</v>
      </c>
      <c r="B511" s="123"/>
      <c r="C511" s="44"/>
      <c r="D511" s="44"/>
      <c r="E511" s="44"/>
      <c r="F511" s="44"/>
      <c r="G511" s="44"/>
      <c r="H511" s="44"/>
      <c r="I511" s="44"/>
      <c r="J511" s="44"/>
      <c r="K511" s="44"/>
      <c r="L511" s="44"/>
      <c r="M511" s="44"/>
      <c r="N511" s="44"/>
      <c r="O511" s="44"/>
      <c r="P511" s="44"/>
    </row>
    <row r="512" spans="1:16" x14ac:dyDescent="0.2">
      <c r="A512" s="58" t="str">
        <v>0:00</v>
      </c>
      <c r="B512" s="123"/>
      <c r="C512" s="44"/>
      <c r="D512" s="44"/>
      <c r="E512" s="44"/>
      <c r="F512" s="44"/>
      <c r="G512" s="44"/>
      <c r="H512" s="44"/>
      <c r="I512" s="44"/>
      <c r="J512" s="44"/>
      <c r="K512" s="44"/>
      <c r="L512" s="44"/>
      <c r="M512" s="44"/>
      <c r="N512" s="44"/>
      <c r="O512" s="44"/>
      <c r="P512" s="44"/>
    </row>
    <row r="513" spans="1:16" x14ac:dyDescent="0.2">
      <c r="A513" s="58" t="str">
        <v>0:00</v>
      </c>
      <c r="B513" s="123"/>
      <c r="C513" s="44"/>
      <c r="D513" s="44"/>
      <c r="E513" s="44"/>
      <c r="F513" s="44"/>
      <c r="G513" s="44"/>
      <c r="H513" s="44"/>
      <c r="I513" s="44"/>
      <c r="J513" s="44"/>
      <c r="K513" s="44"/>
      <c r="L513" s="44"/>
      <c r="M513" s="44"/>
      <c r="N513" s="44"/>
      <c r="O513" s="44"/>
      <c r="P513" s="44"/>
    </row>
    <row r="514" spans="1:16" x14ac:dyDescent="0.2">
      <c r="A514" s="58" t="str">
        <v>0:00</v>
      </c>
      <c r="B514" s="123"/>
      <c r="C514" s="44"/>
      <c r="D514" s="44"/>
      <c r="E514" s="44"/>
      <c r="F514" s="44"/>
      <c r="G514" s="44"/>
      <c r="H514" s="44"/>
      <c r="I514" s="44"/>
      <c r="J514" s="44"/>
      <c r="K514" s="44"/>
      <c r="L514" s="44"/>
      <c r="M514" s="44"/>
      <c r="N514" s="44"/>
      <c r="O514" s="44"/>
      <c r="P514" s="44"/>
    </row>
    <row r="515" spans="1:16" x14ac:dyDescent="0.2">
      <c r="A515" s="58" t="str">
        <v>0:00</v>
      </c>
      <c r="B515" s="123"/>
      <c r="C515" s="44"/>
      <c r="D515" s="44"/>
      <c r="E515" s="44"/>
      <c r="F515" s="44"/>
      <c r="G515" s="44"/>
      <c r="H515" s="44"/>
      <c r="I515" s="44"/>
      <c r="J515" s="44"/>
      <c r="K515" s="44"/>
      <c r="L515" s="44"/>
      <c r="M515" s="44"/>
      <c r="N515" s="44"/>
      <c r="O515" s="44"/>
      <c r="P515" s="44"/>
    </row>
    <row r="516" spans="1:16" x14ac:dyDescent="0.2">
      <c r="A516" s="58" t="str">
        <v>0:00</v>
      </c>
      <c r="B516" s="123"/>
      <c r="C516" s="44"/>
      <c r="D516" s="44"/>
      <c r="E516" s="44"/>
      <c r="F516" s="44"/>
      <c r="G516" s="44"/>
      <c r="H516" s="44"/>
      <c r="I516" s="44"/>
      <c r="J516" s="44"/>
      <c r="K516" s="44"/>
      <c r="L516" s="44"/>
      <c r="M516" s="44"/>
      <c r="N516" s="44"/>
      <c r="O516" s="44"/>
      <c r="P516" s="44"/>
    </row>
    <row r="517" spans="1:16" x14ac:dyDescent="0.2">
      <c r="A517" s="58" t="str">
        <v>0:00</v>
      </c>
      <c r="B517" s="123"/>
      <c r="C517" s="44"/>
      <c r="D517" s="44"/>
      <c r="E517" s="44"/>
      <c r="F517" s="44"/>
      <c r="G517" s="44"/>
      <c r="H517" s="44"/>
      <c r="I517" s="44"/>
      <c r="J517" s="44"/>
      <c r="K517" s="44"/>
      <c r="L517" s="44"/>
      <c r="M517" s="44"/>
      <c r="N517" s="44"/>
      <c r="O517" s="44"/>
      <c r="P517" s="44"/>
    </row>
    <row r="518" spans="1:16" x14ac:dyDescent="0.2">
      <c r="A518" s="58" t="str">
        <v>0:00</v>
      </c>
      <c r="B518" s="123"/>
      <c r="C518" s="44"/>
      <c r="D518" s="44"/>
      <c r="E518" s="44"/>
      <c r="F518" s="44"/>
      <c r="G518" s="44"/>
      <c r="H518" s="44"/>
      <c r="I518" s="44"/>
      <c r="J518" s="44"/>
      <c r="K518" s="44"/>
      <c r="L518" s="44"/>
      <c r="M518" s="44"/>
      <c r="N518" s="44"/>
      <c r="O518" s="44"/>
      <c r="P518" s="44"/>
    </row>
    <row r="519" spans="1:16" x14ac:dyDescent="0.2">
      <c r="A519" s="58" t="str">
        <v>0:00</v>
      </c>
      <c r="B519" s="123"/>
      <c r="C519" s="44"/>
      <c r="D519" s="44"/>
      <c r="E519" s="44"/>
      <c r="F519" s="44"/>
      <c r="G519" s="44"/>
      <c r="H519" s="44"/>
      <c r="I519" s="44"/>
      <c r="J519" s="44"/>
      <c r="K519" s="44"/>
      <c r="L519" s="44"/>
      <c r="M519" s="44"/>
      <c r="N519" s="44"/>
      <c r="O519" s="44"/>
      <c r="P519" s="44"/>
    </row>
    <row r="520" spans="1:16" x14ac:dyDescent="0.2">
      <c r="A520" s="58" t="str">
        <v>0:00</v>
      </c>
      <c r="B520" s="123"/>
      <c r="C520" s="44"/>
      <c r="D520" s="44"/>
      <c r="E520" s="44"/>
      <c r="F520" s="44"/>
      <c r="G520" s="44"/>
      <c r="H520" s="44"/>
      <c r="I520" s="44"/>
      <c r="J520" s="44"/>
      <c r="K520" s="44"/>
      <c r="L520" s="44"/>
      <c r="M520" s="44"/>
      <c r="N520" s="44"/>
      <c r="O520" s="44"/>
      <c r="P520" s="44"/>
    </row>
    <row r="521" spans="1:16" x14ac:dyDescent="0.2">
      <c r="A521" s="58" t="str">
        <v>0:00</v>
      </c>
      <c r="B521" s="123"/>
      <c r="C521" s="44"/>
      <c r="D521" s="44"/>
      <c r="E521" s="44"/>
      <c r="F521" s="44"/>
      <c r="G521" s="44"/>
      <c r="H521" s="44"/>
      <c r="I521" s="44"/>
      <c r="J521" s="44"/>
      <c r="K521" s="44"/>
      <c r="L521" s="44"/>
      <c r="M521" s="44"/>
      <c r="N521" s="44"/>
      <c r="O521" s="44"/>
      <c r="P521" s="44"/>
    </row>
    <row r="522" spans="1:16" x14ac:dyDescent="0.2">
      <c r="A522" s="58" t="str">
        <v>0:00</v>
      </c>
      <c r="B522" s="123"/>
      <c r="C522" s="44"/>
      <c r="D522" s="44"/>
      <c r="E522" s="44"/>
      <c r="F522" s="44"/>
      <c r="G522" s="44"/>
      <c r="H522" s="44"/>
      <c r="I522" s="44"/>
      <c r="J522" s="44"/>
      <c r="K522" s="44"/>
      <c r="L522" s="44"/>
      <c r="M522" s="44"/>
      <c r="N522" s="44"/>
      <c r="O522" s="44"/>
      <c r="P522" s="44"/>
    </row>
    <row r="523" spans="1:16" x14ac:dyDescent="0.2">
      <c r="A523" s="58" t="str">
        <v>0:00</v>
      </c>
      <c r="B523" s="123"/>
      <c r="C523" s="44"/>
      <c r="D523" s="44"/>
      <c r="E523" s="44"/>
      <c r="F523" s="44"/>
      <c r="G523" s="44"/>
      <c r="H523" s="44"/>
      <c r="I523" s="44"/>
      <c r="J523" s="44"/>
      <c r="K523" s="44"/>
      <c r="L523" s="44"/>
      <c r="M523" s="44"/>
      <c r="N523" s="44"/>
      <c r="O523" s="44"/>
      <c r="P523" s="44"/>
    </row>
    <row r="524" spans="1:16" x14ac:dyDescent="0.2">
      <c r="A524" s="58" t="str">
        <v>0:00</v>
      </c>
      <c r="B524" s="123"/>
      <c r="C524" s="44"/>
      <c r="D524" s="44"/>
      <c r="E524" s="44"/>
      <c r="F524" s="44"/>
      <c r="G524" s="44"/>
      <c r="H524" s="44"/>
      <c r="I524" s="44"/>
      <c r="J524" s="44"/>
      <c r="K524" s="44"/>
      <c r="L524" s="44"/>
      <c r="M524" s="44"/>
      <c r="N524" s="44"/>
      <c r="O524" s="44"/>
      <c r="P524" s="44"/>
    </row>
    <row r="525" spans="1:16" x14ac:dyDescent="0.2">
      <c r="A525" s="58" t="str">
        <v>0:00</v>
      </c>
      <c r="B525" s="123"/>
      <c r="C525" s="44"/>
      <c r="D525" s="44"/>
      <c r="E525" s="44"/>
      <c r="F525" s="44"/>
      <c r="G525" s="44"/>
      <c r="H525" s="44"/>
      <c r="I525" s="44"/>
      <c r="J525" s="44"/>
      <c r="K525" s="44"/>
      <c r="L525" s="44"/>
      <c r="M525" s="44"/>
      <c r="N525" s="44"/>
      <c r="O525" s="44"/>
      <c r="P525" s="44"/>
    </row>
    <row r="526" spans="1:16" x14ac:dyDescent="0.2">
      <c r="A526" s="58" t="str">
        <v>0:00</v>
      </c>
      <c r="B526" s="123"/>
      <c r="C526" s="44"/>
      <c r="D526" s="44"/>
      <c r="E526" s="44"/>
      <c r="F526" s="44"/>
      <c r="G526" s="44"/>
      <c r="H526" s="44"/>
      <c r="I526" s="44"/>
      <c r="J526" s="44"/>
      <c r="K526" s="44"/>
      <c r="L526" s="44"/>
      <c r="M526" s="44"/>
      <c r="N526" s="44"/>
      <c r="O526" s="44"/>
      <c r="P526" s="44"/>
    </row>
    <row r="527" spans="1:16" x14ac:dyDescent="0.2">
      <c r="A527" s="58" t="str">
        <v>0:00</v>
      </c>
      <c r="B527" s="123"/>
      <c r="C527" s="44"/>
      <c r="D527" s="44"/>
      <c r="E527" s="44"/>
      <c r="F527" s="44"/>
      <c r="G527" s="44"/>
      <c r="H527" s="44"/>
      <c r="I527" s="44"/>
      <c r="J527" s="44"/>
      <c r="K527" s="44"/>
      <c r="L527" s="44"/>
      <c r="M527" s="44"/>
      <c r="N527" s="44"/>
      <c r="O527" s="44"/>
      <c r="P527" s="44"/>
    </row>
    <row r="528" spans="1:16" x14ac:dyDescent="0.2">
      <c r="A528" s="58" t="str">
        <v>0:00</v>
      </c>
      <c r="B528" s="123"/>
      <c r="C528" s="44"/>
      <c r="D528" s="44"/>
      <c r="E528" s="44"/>
      <c r="F528" s="44"/>
      <c r="G528" s="44"/>
      <c r="H528" s="44"/>
      <c r="I528" s="44"/>
      <c r="J528" s="44"/>
      <c r="K528" s="44"/>
      <c r="L528" s="44"/>
      <c r="M528" s="44"/>
      <c r="N528" s="44"/>
      <c r="O528" s="44"/>
      <c r="P528" s="44"/>
    </row>
    <row r="529" spans="1:16" x14ac:dyDescent="0.2">
      <c r="A529" s="58" t="str">
        <v>0:00</v>
      </c>
      <c r="B529" s="123"/>
      <c r="C529" s="44"/>
      <c r="D529" s="44"/>
      <c r="E529" s="44"/>
      <c r="F529" s="44"/>
      <c r="G529" s="44"/>
      <c r="H529" s="44"/>
      <c r="I529" s="44"/>
      <c r="J529" s="44"/>
      <c r="K529" s="44"/>
      <c r="L529" s="44"/>
      <c r="M529" s="44"/>
      <c r="N529" s="44"/>
      <c r="O529" s="44"/>
      <c r="P529" s="44"/>
    </row>
    <row r="530" spans="1:16" x14ac:dyDescent="0.2">
      <c r="A530" s="58" t="str">
        <v>0:00</v>
      </c>
      <c r="B530" s="123"/>
      <c r="C530" s="44"/>
      <c r="D530" s="44"/>
      <c r="E530" s="44"/>
      <c r="F530" s="44"/>
      <c r="G530" s="44"/>
      <c r="H530" s="44"/>
      <c r="I530" s="44"/>
      <c r="J530" s="44"/>
      <c r="K530" s="44"/>
      <c r="L530" s="44"/>
      <c r="M530" s="44"/>
      <c r="N530" s="44"/>
      <c r="O530" s="44"/>
      <c r="P530" s="44"/>
    </row>
    <row r="531" spans="1:16" x14ac:dyDescent="0.2">
      <c r="A531" s="58" t="str">
        <v>0:00</v>
      </c>
      <c r="B531" s="123"/>
      <c r="C531" s="44"/>
      <c r="D531" s="44"/>
      <c r="E531" s="44"/>
      <c r="F531" s="44"/>
      <c r="G531" s="44"/>
      <c r="H531" s="44"/>
      <c r="I531" s="44"/>
      <c r="J531" s="44"/>
      <c r="K531" s="44"/>
      <c r="L531" s="44"/>
      <c r="M531" s="44"/>
      <c r="N531" s="44"/>
      <c r="O531" s="44"/>
      <c r="P531" s="44"/>
    </row>
    <row r="532" spans="1:16" x14ac:dyDescent="0.2">
      <c r="A532" s="58" t="str">
        <v>0:00</v>
      </c>
      <c r="B532" s="123"/>
      <c r="C532" s="44"/>
      <c r="D532" s="44"/>
      <c r="E532" s="44"/>
      <c r="F532" s="44"/>
      <c r="G532" s="44"/>
      <c r="H532" s="44"/>
      <c r="I532" s="44"/>
      <c r="J532" s="44"/>
      <c r="K532" s="44"/>
      <c r="L532" s="44"/>
      <c r="M532" s="44"/>
      <c r="N532" s="44"/>
      <c r="O532" s="44"/>
      <c r="P532" s="44"/>
    </row>
    <row r="533" spans="1:16" x14ac:dyDescent="0.2">
      <c r="A533" s="58" t="str">
        <v>0:00</v>
      </c>
      <c r="B533" s="123"/>
      <c r="C533" s="44"/>
      <c r="D533" s="44"/>
      <c r="E533" s="44"/>
      <c r="F533" s="44"/>
      <c r="G533" s="44"/>
      <c r="H533" s="44"/>
      <c r="I533" s="44"/>
      <c r="J533" s="44"/>
      <c r="K533" s="44"/>
      <c r="L533" s="44"/>
      <c r="M533" s="44"/>
      <c r="N533" s="44"/>
      <c r="O533" s="44"/>
      <c r="P533" s="44"/>
    </row>
    <row r="534" spans="1:16" x14ac:dyDescent="0.2">
      <c r="A534" s="58" t="str">
        <v>0:00</v>
      </c>
      <c r="B534" s="123"/>
      <c r="C534" s="44"/>
      <c r="D534" s="44"/>
      <c r="E534" s="44"/>
      <c r="F534" s="44"/>
      <c r="G534" s="44"/>
      <c r="H534" s="44"/>
      <c r="I534" s="44"/>
      <c r="J534" s="44"/>
      <c r="K534" s="44"/>
      <c r="L534" s="44"/>
      <c r="M534" s="44"/>
      <c r="N534" s="44"/>
      <c r="O534" s="44"/>
      <c r="P534" s="44"/>
    </row>
    <row r="535" spans="1:16" x14ac:dyDescent="0.2">
      <c r="A535" s="58" t="str">
        <v>0:00</v>
      </c>
      <c r="B535" s="123"/>
      <c r="C535" s="44"/>
      <c r="D535" s="44"/>
      <c r="E535" s="44"/>
      <c r="F535" s="44"/>
      <c r="G535" s="44"/>
      <c r="H535" s="44"/>
      <c r="I535" s="44"/>
      <c r="J535" s="44"/>
      <c r="K535" s="44"/>
      <c r="L535" s="44"/>
      <c r="M535" s="44"/>
      <c r="N535" s="44"/>
      <c r="O535" s="44"/>
      <c r="P535" s="44"/>
    </row>
    <row r="536" spans="1:16" x14ac:dyDescent="0.2">
      <c r="A536" s="58" t="str">
        <v>0:00</v>
      </c>
      <c r="B536" s="123"/>
      <c r="C536" s="44"/>
      <c r="D536" s="44"/>
      <c r="E536" s="44"/>
      <c r="F536" s="44"/>
      <c r="G536" s="44"/>
      <c r="H536" s="44"/>
      <c r="I536" s="44"/>
      <c r="J536" s="44"/>
      <c r="K536" s="44"/>
      <c r="L536" s="44"/>
      <c r="M536" s="44"/>
      <c r="N536" s="44"/>
      <c r="O536" s="44"/>
      <c r="P536" s="44"/>
    </row>
    <row r="537" spans="1:16" x14ac:dyDescent="0.2">
      <c r="A537" s="58" t="str">
        <v>0:00</v>
      </c>
      <c r="B537" s="123"/>
      <c r="C537" s="44"/>
      <c r="D537" s="44"/>
      <c r="E537" s="44"/>
      <c r="F537" s="44"/>
      <c r="G537" s="44"/>
      <c r="H537" s="44"/>
      <c r="I537" s="44"/>
      <c r="J537" s="44"/>
      <c r="K537" s="44"/>
      <c r="L537" s="44"/>
      <c r="M537" s="44"/>
      <c r="N537" s="44"/>
      <c r="O537" s="44"/>
      <c r="P537" s="44"/>
    </row>
    <row r="538" spans="1:16" x14ac:dyDescent="0.2">
      <c r="A538" s="58" t="str">
        <v>0:00</v>
      </c>
      <c r="B538" s="123"/>
      <c r="C538" s="44"/>
      <c r="D538" s="44"/>
      <c r="E538" s="44"/>
      <c r="F538" s="44"/>
      <c r="G538" s="44"/>
      <c r="H538" s="44"/>
      <c r="I538" s="44"/>
      <c r="J538" s="44"/>
      <c r="K538" s="44"/>
      <c r="L538" s="44"/>
      <c r="M538" s="44"/>
      <c r="N538" s="44"/>
      <c r="O538" s="44"/>
      <c r="P538" s="44"/>
    </row>
    <row r="539" spans="1:16" x14ac:dyDescent="0.2">
      <c r="A539" s="58" t="str">
        <v>0:00</v>
      </c>
      <c r="B539" s="123"/>
      <c r="C539" s="44"/>
      <c r="D539" s="44"/>
      <c r="E539" s="44"/>
      <c r="F539" s="44"/>
      <c r="G539" s="44"/>
      <c r="H539" s="44"/>
      <c r="I539" s="44"/>
      <c r="J539" s="44"/>
      <c r="K539" s="44"/>
      <c r="L539" s="44"/>
      <c r="M539" s="44"/>
      <c r="N539" s="44"/>
      <c r="O539" s="44"/>
      <c r="P539" s="44"/>
    </row>
    <row r="540" spans="1:16" x14ac:dyDescent="0.2">
      <c r="A540" s="58" t="str">
        <v>0:00</v>
      </c>
      <c r="B540" s="123"/>
      <c r="C540" s="44"/>
      <c r="D540" s="44"/>
      <c r="E540" s="44"/>
      <c r="F540" s="44"/>
      <c r="G540" s="44"/>
      <c r="H540" s="44"/>
      <c r="I540" s="44"/>
      <c r="J540" s="44"/>
      <c r="K540" s="44"/>
      <c r="L540" s="44"/>
      <c r="M540" s="44"/>
      <c r="N540" s="44"/>
      <c r="O540" s="44"/>
      <c r="P540" s="44"/>
    </row>
    <row r="541" spans="1:16" x14ac:dyDescent="0.2">
      <c r="A541" s="58" t="str">
        <v>0:00</v>
      </c>
      <c r="B541" s="123"/>
      <c r="C541" s="44"/>
      <c r="D541" s="44"/>
      <c r="E541" s="44"/>
      <c r="F541" s="44"/>
      <c r="G541" s="44"/>
      <c r="H541" s="44"/>
      <c r="I541" s="44"/>
      <c r="J541" s="44"/>
      <c r="K541" s="44"/>
      <c r="L541" s="44"/>
      <c r="M541" s="44"/>
      <c r="N541" s="44"/>
      <c r="O541" s="44"/>
      <c r="P541" s="44"/>
    </row>
    <row r="542" spans="1:16" x14ac:dyDescent="0.2">
      <c r="A542" s="58" t="str">
        <v>0:00</v>
      </c>
      <c r="B542" s="123"/>
      <c r="C542" s="44"/>
      <c r="D542" s="44"/>
      <c r="E542" s="44"/>
      <c r="F542" s="44"/>
      <c r="G542" s="44"/>
      <c r="H542" s="44"/>
      <c r="I542" s="44"/>
      <c r="J542" s="44"/>
      <c r="K542" s="44"/>
      <c r="L542" s="44"/>
      <c r="M542" s="44"/>
      <c r="N542" s="44"/>
      <c r="O542" s="44"/>
      <c r="P542" s="44"/>
    </row>
    <row r="543" spans="1:16" x14ac:dyDescent="0.2">
      <c r="A543" s="58" t="str">
        <v>0:00</v>
      </c>
      <c r="B543" s="123"/>
      <c r="C543" s="44"/>
      <c r="D543" s="44"/>
      <c r="E543" s="44"/>
      <c r="F543" s="44"/>
      <c r="G543" s="44"/>
      <c r="H543" s="44"/>
      <c r="I543" s="44"/>
      <c r="J543" s="44"/>
      <c r="K543" s="44"/>
      <c r="L543" s="44"/>
      <c r="M543" s="44"/>
      <c r="N543" s="44"/>
      <c r="O543" s="44"/>
      <c r="P543" s="44"/>
    </row>
    <row r="544" spans="1:16" x14ac:dyDescent="0.2">
      <c r="A544" s="58" t="str">
        <v>0:00</v>
      </c>
      <c r="B544" s="123"/>
      <c r="C544" s="44"/>
      <c r="D544" s="44"/>
      <c r="E544" s="44"/>
      <c r="F544" s="44"/>
      <c r="G544" s="44"/>
      <c r="H544" s="44"/>
      <c r="I544" s="44"/>
      <c r="J544" s="44"/>
      <c r="K544" s="44"/>
      <c r="L544" s="44"/>
      <c r="M544" s="44"/>
      <c r="N544" s="44"/>
      <c r="O544" s="44"/>
      <c r="P544" s="44"/>
    </row>
    <row r="545" spans="1:16" x14ac:dyDescent="0.2">
      <c r="A545" s="58" t="str">
        <v>0:00</v>
      </c>
      <c r="B545" s="123"/>
      <c r="C545" s="44"/>
      <c r="D545" s="44"/>
      <c r="E545" s="44"/>
      <c r="F545" s="44"/>
      <c r="G545" s="44"/>
      <c r="H545" s="44"/>
      <c r="I545" s="44"/>
      <c r="J545" s="44"/>
      <c r="K545" s="44"/>
      <c r="L545" s="44"/>
      <c r="M545" s="44"/>
      <c r="N545" s="44"/>
      <c r="O545" s="44"/>
      <c r="P545" s="44"/>
    </row>
    <row r="546" spans="1:16" x14ac:dyDescent="0.2">
      <c r="A546" s="58" t="str">
        <v>0:00</v>
      </c>
      <c r="B546" s="123"/>
      <c r="C546" s="44"/>
      <c r="D546" s="44"/>
      <c r="E546" s="44"/>
      <c r="F546" s="44"/>
      <c r="G546" s="44"/>
      <c r="H546" s="44"/>
      <c r="I546" s="44"/>
      <c r="J546" s="44"/>
      <c r="K546" s="44"/>
      <c r="L546" s="44"/>
      <c r="M546" s="44"/>
      <c r="N546" s="44"/>
      <c r="O546" s="44"/>
      <c r="P546" s="44"/>
    </row>
    <row r="547" spans="1:16" x14ac:dyDescent="0.2">
      <c r="A547" s="58" t="str">
        <v>0:00</v>
      </c>
      <c r="B547" s="123"/>
      <c r="C547" s="44"/>
      <c r="D547" s="44"/>
      <c r="E547" s="44"/>
      <c r="F547" s="44"/>
      <c r="G547" s="44"/>
      <c r="H547" s="44"/>
      <c r="I547" s="44"/>
      <c r="J547" s="44"/>
      <c r="K547" s="44"/>
      <c r="L547" s="44"/>
      <c r="M547" s="44"/>
      <c r="N547" s="44"/>
      <c r="O547" s="44"/>
      <c r="P547" s="44"/>
    </row>
    <row r="548" spans="1:16" x14ac:dyDescent="0.2">
      <c r="A548" s="58" t="str">
        <v>0:00</v>
      </c>
      <c r="B548" s="123"/>
      <c r="C548" s="44"/>
      <c r="D548" s="44"/>
      <c r="E548" s="44"/>
      <c r="F548" s="44"/>
      <c r="G548" s="44"/>
      <c r="H548" s="44"/>
      <c r="I548" s="44"/>
      <c r="J548" s="44"/>
      <c r="K548" s="44"/>
      <c r="L548" s="44"/>
      <c r="M548" s="44"/>
      <c r="N548" s="44"/>
      <c r="O548" s="44"/>
      <c r="P548" s="44"/>
    </row>
    <row r="549" spans="1:16" x14ac:dyDescent="0.2">
      <c r="A549" s="58" t="str">
        <v>0:00</v>
      </c>
      <c r="B549" s="123"/>
      <c r="C549" s="44"/>
      <c r="D549" s="44"/>
      <c r="E549" s="44"/>
      <c r="F549" s="44"/>
      <c r="G549" s="44"/>
      <c r="H549" s="44"/>
      <c r="I549" s="44"/>
      <c r="J549" s="44"/>
      <c r="K549" s="44"/>
      <c r="L549" s="44"/>
      <c r="M549" s="44"/>
      <c r="N549" s="44"/>
      <c r="O549" s="44"/>
      <c r="P549" s="44"/>
    </row>
    <row r="550" spans="1:16" x14ac:dyDescent="0.2">
      <c r="A550" s="58" t="str">
        <v>0:00</v>
      </c>
      <c r="B550" s="123"/>
      <c r="C550" s="44"/>
      <c r="D550" s="44"/>
      <c r="E550" s="44"/>
      <c r="F550" s="44"/>
      <c r="G550" s="44"/>
      <c r="H550" s="44"/>
      <c r="I550" s="44"/>
      <c r="J550" s="44"/>
      <c r="K550" s="44"/>
      <c r="L550" s="44"/>
      <c r="M550" s="44"/>
      <c r="N550" s="44"/>
      <c r="O550" s="44"/>
      <c r="P550" s="44"/>
    </row>
    <row r="551" spans="1:16" x14ac:dyDescent="0.2">
      <c r="A551" s="58" t="str">
        <v>0:00</v>
      </c>
      <c r="B551" s="123"/>
      <c r="C551" s="44"/>
      <c r="D551" s="44"/>
      <c r="E551" s="44"/>
      <c r="F551" s="44"/>
      <c r="G551" s="44"/>
      <c r="H551" s="44"/>
      <c r="I551" s="44"/>
      <c r="J551" s="44"/>
      <c r="K551" s="44"/>
      <c r="L551" s="44"/>
      <c r="M551" s="44"/>
      <c r="N551" s="44"/>
      <c r="O551" s="44"/>
      <c r="P551" s="44"/>
    </row>
    <row r="552" spans="1:16" x14ac:dyDescent="0.2">
      <c r="A552" s="58" t="str">
        <v>0:00</v>
      </c>
      <c r="B552" s="123"/>
      <c r="C552" s="44"/>
      <c r="D552" s="44"/>
      <c r="E552" s="44"/>
      <c r="F552" s="44"/>
      <c r="G552" s="44"/>
      <c r="H552" s="44"/>
      <c r="I552" s="44"/>
      <c r="J552" s="44"/>
      <c r="K552" s="44"/>
      <c r="L552" s="44"/>
      <c r="M552" s="44"/>
      <c r="N552" s="44"/>
      <c r="O552" s="44"/>
      <c r="P552" s="44"/>
    </row>
    <row r="553" spans="1:16" x14ac:dyDescent="0.2">
      <c r="A553" s="58" t="str">
        <v>0:00</v>
      </c>
      <c r="B553" s="123"/>
      <c r="C553" s="44"/>
      <c r="D553" s="44"/>
      <c r="E553" s="44"/>
      <c r="F553" s="44"/>
      <c r="G553" s="44"/>
      <c r="H553" s="44"/>
      <c r="I553" s="44"/>
      <c r="J553" s="44"/>
      <c r="K553" s="44"/>
      <c r="L553" s="44"/>
      <c r="M553" s="44"/>
      <c r="N553" s="44"/>
      <c r="O553" s="44"/>
      <c r="P553" s="44"/>
    </row>
    <row r="554" spans="1:16" x14ac:dyDescent="0.2">
      <c r="A554" s="58" t="str">
        <v>0:00</v>
      </c>
      <c r="B554" s="123"/>
      <c r="C554" s="44"/>
      <c r="D554" s="44"/>
      <c r="E554" s="44"/>
      <c r="F554" s="44"/>
      <c r="G554" s="44"/>
      <c r="H554" s="44"/>
      <c r="I554" s="44"/>
      <c r="J554" s="44"/>
      <c r="K554" s="44"/>
      <c r="L554" s="44"/>
      <c r="M554" s="44"/>
      <c r="N554" s="44"/>
      <c r="O554" s="44"/>
      <c r="P554" s="44"/>
    </row>
    <row r="555" spans="1:16" x14ac:dyDescent="0.2">
      <c r="A555" s="58" t="str">
        <v>0:00</v>
      </c>
      <c r="B555" s="123"/>
      <c r="C555" s="44"/>
      <c r="D555" s="44"/>
      <c r="E555" s="44"/>
      <c r="F555" s="44"/>
      <c r="G555" s="44"/>
      <c r="H555" s="44"/>
      <c r="I555" s="44"/>
      <c r="J555" s="44"/>
      <c r="K555" s="44"/>
      <c r="L555" s="44"/>
      <c r="M555" s="44"/>
      <c r="N555" s="44"/>
      <c r="O555" s="44"/>
      <c r="P555" s="44"/>
    </row>
    <row r="556" spans="1:16" x14ac:dyDescent="0.2">
      <c r="A556" s="58" t="str">
        <v>0:00</v>
      </c>
      <c r="B556" s="123"/>
      <c r="C556" s="44"/>
      <c r="D556" s="44"/>
      <c r="E556" s="44"/>
      <c r="F556" s="44"/>
      <c r="G556" s="44"/>
      <c r="H556" s="44"/>
      <c r="I556" s="44"/>
      <c r="J556" s="44"/>
      <c r="K556" s="44"/>
      <c r="L556" s="44"/>
      <c r="M556" s="44"/>
      <c r="N556" s="44"/>
      <c r="O556" s="44"/>
      <c r="P556" s="44"/>
    </row>
    <row r="557" spans="1:16" x14ac:dyDescent="0.2">
      <c r="A557" s="58" t="str">
        <v>0:00</v>
      </c>
      <c r="B557" s="123"/>
      <c r="C557" s="44"/>
      <c r="D557" s="44"/>
      <c r="E557" s="44"/>
      <c r="F557" s="44"/>
      <c r="G557" s="44"/>
      <c r="H557" s="44"/>
      <c r="I557" s="44"/>
      <c r="J557" s="44"/>
      <c r="K557" s="44"/>
      <c r="L557" s="44"/>
      <c r="M557" s="44"/>
      <c r="N557" s="44"/>
      <c r="O557" s="44"/>
      <c r="P557" s="44"/>
    </row>
    <row r="558" spans="1:16" x14ac:dyDescent="0.2">
      <c r="A558" s="58" t="str">
        <v>0:00</v>
      </c>
      <c r="B558" s="123"/>
      <c r="C558" s="44"/>
      <c r="D558" s="44"/>
      <c r="E558" s="44"/>
      <c r="F558" s="44"/>
      <c r="G558" s="44"/>
      <c r="H558" s="44"/>
      <c r="I558" s="44"/>
      <c r="J558" s="44"/>
      <c r="K558" s="44"/>
      <c r="L558" s="44"/>
      <c r="M558" s="44"/>
      <c r="N558" s="44"/>
      <c r="O558" s="44"/>
      <c r="P558" s="44"/>
    </row>
    <row r="559" spans="1:16" x14ac:dyDescent="0.2">
      <c r="A559" s="58" t="str">
        <v>0:00</v>
      </c>
      <c r="B559" s="123"/>
      <c r="C559" s="44"/>
      <c r="D559" s="44"/>
      <c r="E559" s="44"/>
      <c r="F559" s="44"/>
      <c r="G559" s="44"/>
      <c r="H559" s="44"/>
      <c r="I559" s="44"/>
      <c r="J559" s="44"/>
      <c r="K559" s="44"/>
      <c r="L559" s="44"/>
      <c r="M559" s="44"/>
      <c r="N559" s="44"/>
      <c r="O559" s="44"/>
      <c r="P559" s="44"/>
    </row>
    <row r="560" spans="1:16" x14ac:dyDescent="0.2">
      <c r="A560" s="58" t="str">
        <v>0:00</v>
      </c>
      <c r="B560" s="123"/>
      <c r="C560" s="44"/>
      <c r="D560" s="44"/>
      <c r="E560" s="44"/>
      <c r="F560" s="44"/>
      <c r="G560" s="44"/>
      <c r="H560" s="44"/>
      <c r="I560" s="44"/>
      <c r="J560" s="44"/>
      <c r="K560" s="44"/>
      <c r="L560" s="44"/>
      <c r="M560" s="44"/>
      <c r="N560" s="44"/>
      <c r="O560" s="44"/>
      <c r="P560" s="44"/>
    </row>
    <row r="561" spans="1:16" x14ac:dyDescent="0.2">
      <c r="A561" s="58" t="str">
        <v>0:00</v>
      </c>
      <c r="B561" s="123"/>
      <c r="C561" s="44"/>
      <c r="D561" s="44"/>
      <c r="E561" s="44"/>
      <c r="F561" s="44"/>
      <c r="G561" s="44"/>
      <c r="H561" s="44"/>
      <c r="I561" s="44"/>
      <c r="J561" s="44"/>
      <c r="K561" s="44"/>
      <c r="L561" s="44"/>
      <c r="M561" s="44"/>
      <c r="N561" s="44"/>
      <c r="O561" s="44"/>
      <c r="P561" s="44"/>
    </row>
    <row r="562" spans="1:16" x14ac:dyDescent="0.2">
      <c r="A562" s="58" t="str">
        <v>0:00</v>
      </c>
      <c r="B562" s="123"/>
      <c r="C562" s="44"/>
      <c r="D562" s="44"/>
      <c r="E562" s="44"/>
      <c r="F562" s="44"/>
      <c r="G562" s="44"/>
      <c r="H562" s="44"/>
      <c r="I562" s="44"/>
      <c r="J562" s="44"/>
      <c r="K562" s="44"/>
      <c r="L562" s="44"/>
      <c r="M562" s="44"/>
      <c r="N562" s="44"/>
      <c r="O562" s="44"/>
      <c r="P562" s="44"/>
    </row>
    <row r="563" spans="1:16" x14ac:dyDescent="0.2">
      <c r="A563" s="58" t="str">
        <v>0:00</v>
      </c>
      <c r="B563" s="123"/>
      <c r="C563" s="44"/>
      <c r="D563" s="44"/>
      <c r="E563" s="44"/>
      <c r="F563" s="44"/>
      <c r="G563" s="44"/>
      <c r="H563" s="44"/>
      <c r="I563" s="44"/>
      <c r="J563" s="44"/>
      <c r="K563" s="44"/>
      <c r="L563" s="44"/>
      <c r="M563" s="44"/>
      <c r="N563" s="44"/>
      <c r="O563" s="44"/>
      <c r="P563" s="44"/>
    </row>
    <row r="564" spans="1:16" x14ac:dyDescent="0.2">
      <c r="A564" s="58" t="str">
        <v>0:00</v>
      </c>
      <c r="B564" s="123"/>
      <c r="C564" s="44"/>
      <c r="D564" s="44"/>
      <c r="E564" s="44"/>
      <c r="F564" s="44"/>
      <c r="G564" s="44"/>
      <c r="H564" s="44"/>
      <c r="I564" s="44"/>
      <c r="J564" s="44"/>
      <c r="K564" s="44"/>
      <c r="L564" s="44"/>
      <c r="M564" s="44"/>
      <c r="N564" s="44"/>
      <c r="O564" s="44"/>
      <c r="P564" s="44"/>
    </row>
    <row r="565" spans="1:16" x14ac:dyDescent="0.2">
      <c r="A565" s="58" t="str">
        <v>0:00</v>
      </c>
      <c r="B565" s="123"/>
      <c r="C565" s="44"/>
      <c r="D565" s="44"/>
      <c r="E565" s="44"/>
      <c r="F565" s="44"/>
      <c r="G565" s="44"/>
      <c r="H565" s="44"/>
      <c r="I565" s="44"/>
      <c r="J565" s="44"/>
      <c r="K565" s="44"/>
      <c r="L565" s="44"/>
      <c r="M565" s="44"/>
      <c r="N565" s="44"/>
      <c r="O565" s="44"/>
      <c r="P565" s="44"/>
    </row>
    <row r="566" spans="1:16" x14ac:dyDescent="0.2">
      <c r="A566" s="58" t="str">
        <v>0:00</v>
      </c>
      <c r="B566" s="123"/>
      <c r="C566" s="44"/>
      <c r="D566" s="44"/>
      <c r="E566" s="44"/>
      <c r="F566" s="44"/>
      <c r="G566" s="44"/>
      <c r="H566" s="44"/>
      <c r="I566" s="44"/>
      <c r="J566" s="44"/>
      <c r="K566" s="44"/>
      <c r="L566" s="44"/>
      <c r="M566" s="44"/>
      <c r="N566" s="44"/>
      <c r="O566" s="44"/>
      <c r="P566" s="44"/>
    </row>
    <row r="567" spans="1:16" x14ac:dyDescent="0.2">
      <c r="A567" s="58" t="str">
        <v>0:00</v>
      </c>
      <c r="B567" s="123"/>
      <c r="C567" s="44"/>
      <c r="D567" s="44"/>
      <c r="E567" s="44"/>
      <c r="F567" s="44"/>
      <c r="G567" s="44"/>
      <c r="H567" s="44"/>
      <c r="I567" s="44"/>
      <c r="J567" s="44"/>
      <c r="K567" s="44"/>
      <c r="L567" s="44"/>
      <c r="M567" s="44"/>
      <c r="N567" s="44"/>
      <c r="O567" s="44"/>
      <c r="P567" s="44"/>
    </row>
    <row r="568" spans="1:16" x14ac:dyDescent="0.2">
      <c r="A568" s="58" t="str">
        <v>0:00</v>
      </c>
      <c r="B568" s="123"/>
      <c r="C568" s="44"/>
      <c r="D568" s="44"/>
      <c r="E568" s="44"/>
      <c r="F568" s="44"/>
      <c r="G568" s="44"/>
      <c r="H568" s="44"/>
      <c r="I568" s="44"/>
      <c r="J568" s="44"/>
      <c r="K568" s="44"/>
      <c r="L568" s="44"/>
      <c r="M568" s="44"/>
      <c r="N568" s="44"/>
      <c r="O568" s="44"/>
      <c r="P568" s="44"/>
    </row>
    <row r="569" spans="1:16" x14ac:dyDescent="0.2">
      <c r="A569" s="58" t="str">
        <v>0:00</v>
      </c>
      <c r="B569" s="123"/>
      <c r="C569" s="44"/>
      <c r="D569" s="44"/>
      <c r="E569" s="44"/>
      <c r="F569" s="44"/>
      <c r="G569" s="44"/>
      <c r="H569" s="44"/>
      <c r="I569" s="44"/>
      <c r="J569" s="44"/>
      <c r="K569" s="44"/>
      <c r="L569" s="44"/>
      <c r="M569" s="44"/>
      <c r="N569" s="44"/>
      <c r="O569" s="44"/>
      <c r="P569" s="44"/>
    </row>
    <row r="570" spans="1:16" x14ac:dyDescent="0.2">
      <c r="A570" s="58" t="str">
        <v>0:00</v>
      </c>
      <c r="B570" s="123"/>
      <c r="C570" s="44"/>
      <c r="D570" s="44"/>
      <c r="E570" s="44"/>
      <c r="F570" s="44"/>
      <c r="G570" s="44"/>
      <c r="H570" s="44"/>
      <c r="I570" s="44"/>
      <c r="J570" s="44"/>
      <c r="K570" s="44"/>
      <c r="L570" s="44"/>
      <c r="M570" s="44"/>
      <c r="N570" s="44"/>
      <c r="O570" s="44"/>
      <c r="P570" s="44"/>
    </row>
    <row r="571" spans="1:16" x14ac:dyDescent="0.2">
      <c r="A571" s="58" t="str">
        <v>0:00</v>
      </c>
      <c r="B571" s="123"/>
      <c r="C571" s="44"/>
      <c r="D571" s="44"/>
      <c r="E571" s="44"/>
      <c r="F571" s="44"/>
      <c r="G571" s="44"/>
      <c r="H571" s="44"/>
      <c r="I571" s="44"/>
      <c r="J571" s="44"/>
      <c r="K571" s="44"/>
      <c r="L571" s="44"/>
      <c r="M571" s="44"/>
      <c r="N571" s="44"/>
      <c r="O571" s="44"/>
      <c r="P571" s="44"/>
    </row>
    <row r="572" spans="1:16" x14ac:dyDescent="0.2">
      <c r="A572" s="58" t="str">
        <v>0:00</v>
      </c>
      <c r="B572" s="123"/>
      <c r="C572" s="44"/>
      <c r="D572" s="44"/>
      <c r="E572" s="44"/>
      <c r="F572" s="44"/>
      <c r="G572" s="44"/>
      <c r="H572" s="44"/>
      <c r="I572" s="44"/>
      <c r="J572" s="44"/>
      <c r="K572" s="44"/>
      <c r="L572" s="44"/>
      <c r="M572" s="44"/>
      <c r="N572" s="44"/>
      <c r="O572" s="44"/>
      <c r="P572" s="44"/>
    </row>
    <row r="573" spans="1:16" x14ac:dyDescent="0.2">
      <c r="A573" s="58" t="str">
        <v>0:00</v>
      </c>
      <c r="B573" s="123"/>
      <c r="C573" s="44"/>
      <c r="D573" s="44"/>
      <c r="E573" s="44"/>
      <c r="F573" s="44"/>
      <c r="G573" s="44"/>
      <c r="H573" s="44"/>
      <c r="I573" s="44"/>
      <c r="J573" s="44"/>
      <c r="K573" s="44"/>
      <c r="L573" s="44"/>
      <c r="M573" s="44"/>
      <c r="N573" s="44"/>
      <c r="O573" s="44"/>
      <c r="P573" s="44"/>
    </row>
    <row r="574" spans="1:16" x14ac:dyDescent="0.2">
      <c r="A574" s="58" t="str">
        <v>0:00</v>
      </c>
      <c r="B574" s="123"/>
      <c r="C574" s="44"/>
      <c r="D574" s="44"/>
      <c r="E574" s="44"/>
      <c r="F574" s="44"/>
      <c r="G574" s="44"/>
      <c r="H574" s="44"/>
      <c r="I574" s="44"/>
      <c r="J574" s="44"/>
      <c r="K574" s="44"/>
      <c r="L574" s="44"/>
      <c r="M574" s="44"/>
      <c r="N574" s="44"/>
      <c r="O574" s="44"/>
      <c r="P574" s="44"/>
    </row>
    <row r="575" spans="1:16" x14ac:dyDescent="0.2">
      <c r="A575" s="58" t="str">
        <v>0:00</v>
      </c>
      <c r="B575" s="123"/>
      <c r="C575" s="44"/>
      <c r="D575" s="44"/>
      <c r="E575" s="44"/>
      <c r="F575" s="44"/>
      <c r="G575" s="44"/>
      <c r="H575" s="44"/>
      <c r="I575" s="44"/>
      <c r="J575" s="44"/>
      <c r="K575" s="44"/>
      <c r="L575" s="44"/>
      <c r="M575" s="44"/>
      <c r="N575" s="44"/>
      <c r="O575" s="44"/>
      <c r="P575" s="44"/>
    </row>
    <row r="576" spans="1:16" x14ac:dyDescent="0.2">
      <c r="A576" s="58" t="str">
        <v>0:00</v>
      </c>
      <c r="B576" s="123"/>
      <c r="C576" s="44"/>
      <c r="D576" s="44"/>
      <c r="E576" s="44"/>
      <c r="F576" s="44"/>
      <c r="G576" s="44"/>
      <c r="H576" s="44"/>
      <c r="I576" s="44"/>
      <c r="J576" s="44"/>
      <c r="K576" s="44"/>
      <c r="L576" s="44"/>
      <c r="M576" s="44"/>
      <c r="N576" s="44"/>
      <c r="O576" s="44"/>
      <c r="P576" s="44"/>
    </row>
    <row r="577" spans="1:16" x14ac:dyDescent="0.2">
      <c r="A577" s="58" t="str">
        <v>0:00</v>
      </c>
      <c r="B577" s="123"/>
      <c r="C577" s="44"/>
      <c r="D577" s="44"/>
      <c r="E577" s="44"/>
      <c r="F577" s="44"/>
      <c r="G577" s="44"/>
      <c r="H577" s="44"/>
      <c r="I577" s="44"/>
      <c r="J577" s="44"/>
      <c r="K577" s="44"/>
      <c r="L577" s="44"/>
      <c r="M577" s="44"/>
      <c r="N577" s="44"/>
      <c r="O577" s="44"/>
      <c r="P577" s="44"/>
    </row>
    <row r="578" spans="1:16" x14ac:dyDescent="0.2">
      <c r="A578" s="58" t="str">
        <v>0:00</v>
      </c>
      <c r="B578" s="123"/>
      <c r="C578" s="44"/>
      <c r="D578" s="44"/>
      <c r="E578" s="44"/>
      <c r="F578" s="44"/>
      <c r="G578" s="44"/>
      <c r="H578" s="44"/>
      <c r="I578" s="44"/>
      <c r="J578" s="44"/>
      <c r="K578" s="44"/>
      <c r="L578" s="44"/>
      <c r="M578" s="44"/>
      <c r="N578" s="44"/>
      <c r="O578" s="44"/>
      <c r="P578" s="44"/>
    </row>
    <row r="579" spans="1:16" x14ac:dyDescent="0.2">
      <c r="A579" s="58" t="str">
        <v>0:00</v>
      </c>
      <c r="B579" s="123"/>
      <c r="C579" s="44"/>
      <c r="D579" s="44"/>
      <c r="E579" s="44"/>
      <c r="F579" s="44"/>
      <c r="G579" s="44"/>
      <c r="H579" s="44"/>
      <c r="I579" s="44"/>
      <c r="J579" s="44"/>
      <c r="K579" s="44"/>
      <c r="L579" s="44"/>
      <c r="M579" s="44"/>
      <c r="N579" s="44"/>
      <c r="O579" s="44"/>
      <c r="P579" s="44"/>
    </row>
    <row r="580" spans="1:16" x14ac:dyDescent="0.2">
      <c r="A580" s="58" t="str">
        <v>0:00</v>
      </c>
      <c r="B580" s="123"/>
      <c r="C580" s="44"/>
      <c r="D580" s="44"/>
      <c r="E580" s="44"/>
      <c r="F580" s="44"/>
      <c r="G580" s="44"/>
      <c r="H580" s="44"/>
      <c r="I580" s="44"/>
      <c r="J580" s="44"/>
      <c r="K580" s="44"/>
      <c r="L580" s="44"/>
      <c r="M580" s="44"/>
      <c r="N580" s="44"/>
      <c r="O580" s="44"/>
      <c r="P580" s="44"/>
    </row>
    <row r="581" spans="1:16" x14ac:dyDescent="0.2">
      <c r="A581" s="58" t="str">
        <v>0:00</v>
      </c>
      <c r="B581" s="123"/>
      <c r="C581" s="44"/>
      <c r="D581" s="44"/>
      <c r="E581" s="44"/>
      <c r="F581" s="44"/>
      <c r="G581" s="44"/>
      <c r="H581" s="44"/>
      <c r="I581" s="44"/>
      <c r="J581" s="44"/>
      <c r="K581" s="44"/>
      <c r="L581" s="44"/>
      <c r="M581" s="44"/>
      <c r="N581" s="44"/>
      <c r="O581" s="44"/>
      <c r="P581" s="44"/>
    </row>
    <row r="582" spans="1:16" x14ac:dyDescent="0.2">
      <c r="A582" s="58" t="str">
        <v>0:00</v>
      </c>
      <c r="B582" s="123"/>
      <c r="C582" s="44"/>
      <c r="D582" s="44"/>
      <c r="E582" s="44"/>
      <c r="F582" s="44"/>
      <c r="G582" s="44"/>
      <c r="H582" s="44"/>
      <c r="I582" s="44"/>
      <c r="J582" s="44"/>
      <c r="K582" s="44"/>
      <c r="L582" s="44"/>
      <c r="M582" s="44"/>
      <c r="N582" s="44"/>
      <c r="O582" s="44"/>
      <c r="P582" s="44"/>
    </row>
    <row r="583" spans="1:16" x14ac:dyDescent="0.2">
      <c r="A583" s="58" t="str">
        <v>0:00</v>
      </c>
      <c r="B583" s="123"/>
      <c r="C583" s="44"/>
      <c r="D583" s="44"/>
      <c r="E583" s="44"/>
      <c r="F583" s="44"/>
      <c r="G583" s="44"/>
      <c r="H583" s="44"/>
      <c r="I583" s="44"/>
      <c r="J583" s="44"/>
      <c r="K583" s="44"/>
      <c r="L583" s="44"/>
      <c r="M583" s="44"/>
      <c r="N583" s="44"/>
      <c r="O583" s="44"/>
      <c r="P583" s="44"/>
    </row>
    <row r="584" spans="1:16" x14ac:dyDescent="0.2">
      <c r="A584" s="58" t="str">
        <v>0:00</v>
      </c>
      <c r="B584" s="123"/>
      <c r="C584" s="44"/>
      <c r="D584" s="44"/>
      <c r="E584" s="44"/>
      <c r="F584" s="44"/>
      <c r="G584" s="44"/>
      <c r="H584" s="44"/>
      <c r="I584" s="44"/>
      <c r="J584" s="44"/>
      <c r="K584" s="44"/>
      <c r="L584" s="44"/>
      <c r="M584" s="44"/>
      <c r="N584" s="44"/>
      <c r="O584" s="44"/>
      <c r="P584" s="44"/>
    </row>
    <row r="585" spans="1:16" x14ac:dyDescent="0.2">
      <c r="A585" s="58" t="str">
        <v>0:00</v>
      </c>
      <c r="B585" s="123"/>
      <c r="C585" s="44"/>
      <c r="D585" s="44"/>
      <c r="E585" s="44"/>
      <c r="F585" s="44"/>
      <c r="G585" s="44"/>
      <c r="H585" s="44"/>
      <c r="I585" s="44"/>
      <c r="J585" s="44"/>
      <c r="K585" s="44"/>
      <c r="L585" s="44"/>
      <c r="M585" s="44"/>
      <c r="N585" s="44"/>
      <c r="O585" s="44"/>
      <c r="P585" s="44"/>
    </row>
    <row r="586" spans="1:16" x14ac:dyDescent="0.2">
      <c r="A586" s="58" t="str">
        <v>0:00</v>
      </c>
      <c r="B586" s="123"/>
      <c r="C586" s="44"/>
      <c r="D586" s="44"/>
      <c r="E586" s="44"/>
      <c r="F586" s="44"/>
      <c r="G586" s="44"/>
      <c r="H586" s="44"/>
      <c r="I586" s="44"/>
      <c r="J586" s="44"/>
      <c r="K586" s="44"/>
      <c r="L586" s="44"/>
      <c r="M586" s="44"/>
      <c r="N586" s="44"/>
      <c r="O586" s="44"/>
      <c r="P586" s="44"/>
    </row>
    <row r="587" spans="1:16" x14ac:dyDescent="0.2">
      <c r="A587" s="58" t="str">
        <v>0:00</v>
      </c>
      <c r="B587" s="123"/>
      <c r="C587" s="44"/>
      <c r="D587" s="44"/>
      <c r="E587" s="44"/>
      <c r="F587" s="44"/>
      <c r="G587" s="44"/>
      <c r="H587" s="44"/>
      <c r="I587" s="44"/>
      <c r="J587" s="44"/>
      <c r="K587" s="44"/>
      <c r="L587" s="44"/>
      <c r="M587" s="44"/>
      <c r="N587" s="44"/>
      <c r="O587" s="44"/>
      <c r="P587" s="44"/>
    </row>
    <row r="588" spans="1:16" x14ac:dyDescent="0.2">
      <c r="A588" s="58" t="str">
        <v>0:00</v>
      </c>
      <c r="B588" s="123"/>
      <c r="C588" s="44"/>
      <c r="D588" s="44"/>
      <c r="E588" s="44"/>
      <c r="F588" s="44"/>
      <c r="G588" s="44"/>
      <c r="H588" s="44"/>
      <c r="I588" s="44"/>
      <c r="J588" s="44"/>
      <c r="K588" s="44"/>
      <c r="L588" s="44"/>
      <c r="M588" s="44"/>
      <c r="N588" s="44"/>
      <c r="O588" s="44"/>
      <c r="P588" s="44"/>
    </row>
    <row r="589" spans="1:16" x14ac:dyDescent="0.2">
      <c r="A589" s="58" t="str">
        <v>0:00</v>
      </c>
      <c r="B589" s="123"/>
      <c r="C589" s="44"/>
      <c r="D589" s="44"/>
      <c r="E589" s="44"/>
      <c r="F589" s="44"/>
      <c r="G589" s="44"/>
      <c r="H589" s="44"/>
      <c r="I589" s="44"/>
      <c r="J589" s="44"/>
      <c r="K589" s="44"/>
      <c r="L589" s="44"/>
      <c r="M589" s="44"/>
      <c r="N589" s="44"/>
      <c r="O589" s="44"/>
      <c r="P589" s="44"/>
    </row>
    <row r="590" spans="1:16" x14ac:dyDescent="0.2">
      <c r="A590" s="58" t="str">
        <v>0:00</v>
      </c>
      <c r="B590" s="123"/>
      <c r="C590" s="44"/>
      <c r="D590" s="44"/>
      <c r="E590" s="44"/>
      <c r="F590" s="44"/>
      <c r="G590" s="44"/>
      <c r="H590" s="44"/>
      <c r="I590" s="44"/>
      <c r="J590" s="44"/>
      <c r="K590" s="44"/>
      <c r="L590" s="44"/>
      <c r="M590" s="44"/>
      <c r="N590" s="44"/>
      <c r="O590" s="44"/>
      <c r="P590" s="44"/>
    </row>
    <row r="591" spans="1:16" x14ac:dyDescent="0.2">
      <c r="A591" s="58" t="str">
        <v>0:00</v>
      </c>
      <c r="B591" s="123"/>
      <c r="C591" s="44"/>
      <c r="D591" s="44"/>
      <c r="E591" s="44"/>
      <c r="F591" s="44"/>
      <c r="G591" s="44"/>
      <c r="H591" s="44"/>
      <c r="I591" s="44"/>
      <c r="J591" s="44"/>
      <c r="K591" s="44"/>
      <c r="L591" s="44"/>
      <c r="M591" s="44"/>
      <c r="N591" s="44"/>
      <c r="O591" s="44"/>
      <c r="P591" s="44"/>
    </row>
    <row r="592" spans="1:16" x14ac:dyDescent="0.2">
      <c r="A592" s="58" t="str">
        <v>0:00</v>
      </c>
      <c r="B592" s="123"/>
      <c r="C592" s="44"/>
      <c r="D592" s="44"/>
      <c r="E592" s="44"/>
      <c r="F592" s="44"/>
      <c r="G592" s="44"/>
      <c r="H592" s="44"/>
      <c r="I592" s="44"/>
      <c r="J592" s="44"/>
      <c r="K592" s="44"/>
      <c r="L592" s="44"/>
      <c r="M592" s="44"/>
      <c r="N592" s="44"/>
      <c r="O592" s="44"/>
      <c r="P592" s="44"/>
    </row>
    <row r="593" spans="1:16" x14ac:dyDescent="0.2">
      <c r="A593" s="58" t="str">
        <v>0:00</v>
      </c>
      <c r="B593" s="123"/>
      <c r="C593" s="44"/>
      <c r="D593" s="44"/>
      <c r="E593" s="44"/>
      <c r="F593" s="44"/>
      <c r="G593" s="44"/>
      <c r="H593" s="44"/>
      <c r="I593" s="44"/>
      <c r="J593" s="44"/>
      <c r="K593" s="44"/>
      <c r="L593" s="44"/>
      <c r="M593" s="44"/>
      <c r="N593" s="44"/>
      <c r="O593" s="44"/>
      <c r="P593" s="44"/>
    </row>
    <row r="594" spans="1:16" x14ac:dyDescent="0.2">
      <c r="A594" s="58" t="str">
        <v>0:00</v>
      </c>
      <c r="B594" s="123"/>
      <c r="C594" s="44"/>
      <c r="D594" s="44"/>
      <c r="E594" s="44"/>
      <c r="F594" s="44"/>
      <c r="G594" s="44"/>
      <c r="H594" s="44"/>
      <c r="I594" s="44"/>
      <c r="J594" s="44"/>
      <c r="K594" s="44"/>
      <c r="L594" s="44"/>
      <c r="M594" s="44"/>
      <c r="N594" s="44"/>
      <c r="O594" s="44"/>
      <c r="P594" s="44"/>
    </row>
    <row r="595" spans="1:16" x14ac:dyDescent="0.2">
      <c r="A595" s="58" t="str">
        <v>0:00</v>
      </c>
      <c r="B595" s="123"/>
      <c r="C595" s="44"/>
      <c r="D595" s="44"/>
      <c r="E595" s="44"/>
      <c r="F595" s="44"/>
      <c r="G595" s="44"/>
      <c r="H595" s="44"/>
      <c r="I595" s="44"/>
      <c r="J595" s="44"/>
      <c r="K595" s="44"/>
      <c r="L595" s="44"/>
      <c r="M595" s="44"/>
      <c r="N595" s="44"/>
      <c r="O595" s="44"/>
      <c r="P595" s="44"/>
    </row>
    <row r="596" spans="1:16" x14ac:dyDescent="0.2">
      <c r="A596" s="58" t="str">
        <v>0:00</v>
      </c>
      <c r="B596" s="123"/>
      <c r="C596" s="44"/>
      <c r="D596" s="44"/>
      <c r="E596" s="44"/>
      <c r="F596" s="44"/>
      <c r="G596" s="44"/>
      <c r="H596" s="44"/>
      <c r="I596" s="44"/>
      <c r="J596" s="44"/>
      <c r="K596" s="44"/>
      <c r="L596" s="44"/>
      <c r="M596" s="44"/>
      <c r="N596" s="44"/>
      <c r="O596" s="44"/>
      <c r="P596" s="44"/>
    </row>
    <row r="597" spans="1:16" x14ac:dyDescent="0.2">
      <c r="A597" s="58" t="str">
        <v>0:00</v>
      </c>
      <c r="B597" s="123"/>
      <c r="C597" s="44"/>
      <c r="D597" s="44"/>
      <c r="E597" s="44"/>
      <c r="F597" s="44"/>
      <c r="G597" s="44"/>
      <c r="H597" s="44"/>
      <c r="I597" s="44"/>
      <c r="J597" s="44"/>
      <c r="K597" s="44"/>
      <c r="L597" s="44"/>
      <c r="M597" s="44"/>
      <c r="N597" s="44"/>
      <c r="O597" s="44"/>
      <c r="P597" s="44"/>
    </row>
    <row r="598" spans="1:16" x14ac:dyDescent="0.2">
      <c r="A598" s="58" t="str">
        <v>0:00</v>
      </c>
      <c r="B598" s="123"/>
      <c r="C598" s="44"/>
      <c r="D598" s="44"/>
      <c r="E598" s="44"/>
      <c r="F598" s="44"/>
      <c r="G598" s="44"/>
      <c r="H598" s="44"/>
      <c r="I598" s="44"/>
      <c r="J598" s="44"/>
      <c r="K598" s="44"/>
      <c r="L598" s="44"/>
      <c r="M598" s="44"/>
      <c r="N598" s="44"/>
      <c r="O598" s="44"/>
      <c r="P598" s="44"/>
    </row>
    <row r="599" spans="1:16" x14ac:dyDescent="0.2">
      <c r="A599" s="58" t="str">
        <v>0:00</v>
      </c>
      <c r="B599" s="123"/>
      <c r="C599" s="44"/>
      <c r="D599" s="44"/>
      <c r="E599" s="44"/>
      <c r="F599" s="44"/>
      <c r="G599" s="44"/>
      <c r="H599" s="44"/>
      <c r="I599" s="44"/>
      <c r="J599" s="44"/>
      <c r="K599" s="44"/>
      <c r="L599" s="44"/>
      <c r="M599" s="44"/>
      <c r="N599" s="44"/>
      <c r="O599" s="44"/>
      <c r="P599" s="44"/>
    </row>
    <row r="600" spans="1:16" x14ac:dyDescent="0.2">
      <c r="A600" s="58" t="str">
        <v>0:00</v>
      </c>
      <c r="B600" s="123"/>
      <c r="C600" s="44"/>
      <c r="D600" s="44"/>
      <c r="E600" s="44"/>
      <c r="F600" s="44"/>
      <c r="G600" s="44"/>
      <c r="H600" s="44"/>
      <c r="I600" s="44"/>
      <c r="J600" s="44"/>
      <c r="K600" s="44"/>
      <c r="L600" s="44"/>
      <c r="M600" s="44"/>
      <c r="N600" s="44"/>
      <c r="O600" s="44"/>
      <c r="P600" s="44"/>
    </row>
    <row r="601" spans="1:16" x14ac:dyDescent="0.2">
      <c r="A601" s="58" t="str">
        <v>0:00</v>
      </c>
      <c r="B601" s="123"/>
      <c r="C601" s="44"/>
      <c r="D601" s="44"/>
      <c r="E601" s="44"/>
      <c r="F601" s="44"/>
      <c r="G601" s="44"/>
      <c r="H601" s="44"/>
      <c r="I601" s="44"/>
      <c r="J601" s="44"/>
      <c r="K601" s="44"/>
      <c r="L601" s="44"/>
      <c r="M601" s="44"/>
      <c r="N601" s="44"/>
      <c r="O601" s="44"/>
      <c r="P601" s="44"/>
    </row>
    <row r="602" spans="1:16" x14ac:dyDescent="0.2">
      <c r="A602" s="58" t="str">
        <v>0:00</v>
      </c>
      <c r="B602" s="123"/>
      <c r="C602" s="44"/>
      <c r="D602" s="44"/>
      <c r="E602" s="44"/>
      <c r="F602" s="44"/>
      <c r="G602" s="44"/>
      <c r="H602" s="44"/>
      <c r="I602" s="44"/>
      <c r="J602" s="44"/>
      <c r="K602" s="44"/>
      <c r="L602" s="44"/>
      <c r="M602" s="44"/>
      <c r="N602" s="44"/>
      <c r="O602" s="44"/>
      <c r="P602" s="44"/>
    </row>
    <row r="603" spans="1:16" x14ac:dyDescent="0.2">
      <c r="A603" s="58" t="str">
        <v>0:00</v>
      </c>
      <c r="B603" s="123"/>
      <c r="C603" s="44"/>
      <c r="D603" s="44"/>
      <c r="E603" s="44"/>
      <c r="F603" s="44"/>
      <c r="G603" s="44"/>
      <c r="H603" s="44"/>
      <c r="I603" s="44"/>
      <c r="J603" s="44"/>
      <c r="K603" s="44"/>
      <c r="L603" s="44"/>
      <c r="M603" s="44"/>
      <c r="N603" s="44"/>
      <c r="O603" s="44"/>
      <c r="P603" s="44"/>
    </row>
    <row r="604" spans="1:16" x14ac:dyDescent="0.2">
      <c r="A604" s="58" t="str">
        <v>0:00</v>
      </c>
      <c r="B604" s="123"/>
      <c r="C604" s="44"/>
      <c r="D604" s="44"/>
      <c r="E604" s="44"/>
      <c r="F604" s="44"/>
      <c r="G604" s="44"/>
      <c r="H604" s="44"/>
      <c r="I604" s="44"/>
      <c r="J604" s="44"/>
      <c r="K604" s="44"/>
      <c r="L604" s="44"/>
      <c r="M604" s="44"/>
      <c r="N604" s="44"/>
      <c r="O604" s="44"/>
      <c r="P604" s="44"/>
    </row>
    <row r="605" spans="1:16" x14ac:dyDescent="0.2">
      <c r="A605" s="58" t="str">
        <v>0:00</v>
      </c>
      <c r="B605" s="123"/>
      <c r="C605" s="44"/>
      <c r="D605" s="44"/>
      <c r="E605" s="44"/>
      <c r="F605" s="44"/>
      <c r="G605" s="44"/>
      <c r="H605" s="44"/>
      <c r="I605" s="44"/>
      <c r="J605" s="44"/>
      <c r="K605" s="44"/>
      <c r="L605" s="44"/>
      <c r="M605" s="44"/>
      <c r="N605" s="44"/>
      <c r="O605" s="44"/>
      <c r="P605" s="44"/>
    </row>
    <row r="606" spans="1:16" x14ac:dyDescent="0.2">
      <c r="A606" s="58" t="str">
        <v>0:00</v>
      </c>
      <c r="B606" s="123"/>
      <c r="C606" s="44"/>
      <c r="D606" s="44"/>
      <c r="E606" s="44"/>
      <c r="F606" s="44"/>
      <c r="G606" s="44"/>
      <c r="H606" s="44"/>
      <c r="I606" s="44"/>
      <c r="J606" s="44"/>
      <c r="K606" s="44"/>
      <c r="L606" s="44"/>
      <c r="M606" s="44"/>
      <c r="N606" s="44"/>
      <c r="O606" s="44"/>
      <c r="P606" s="44"/>
    </row>
    <row r="607" spans="1:16" x14ac:dyDescent="0.2">
      <c r="A607" s="58" t="str">
        <v>0:00</v>
      </c>
      <c r="B607" s="123"/>
      <c r="C607" s="44"/>
      <c r="D607" s="44"/>
      <c r="E607" s="44"/>
      <c r="F607" s="44"/>
      <c r="G607" s="44"/>
      <c r="H607" s="44"/>
      <c r="I607" s="44"/>
      <c r="J607" s="44"/>
      <c r="K607" s="44"/>
      <c r="L607" s="44"/>
      <c r="M607" s="44"/>
      <c r="N607" s="44"/>
      <c r="O607" s="44"/>
      <c r="P607" s="44"/>
    </row>
    <row r="608" spans="1:16" x14ac:dyDescent="0.2">
      <c r="A608" s="58" t="str">
        <v>0:00</v>
      </c>
      <c r="B608" s="123"/>
      <c r="C608" s="44"/>
      <c r="D608" s="44"/>
      <c r="E608" s="44"/>
      <c r="F608" s="44"/>
      <c r="G608" s="44"/>
      <c r="H608" s="44"/>
      <c r="I608" s="44"/>
      <c r="J608" s="44"/>
      <c r="K608" s="44"/>
      <c r="L608" s="44"/>
      <c r="M608" s="44"/>
      <c r="N608" s="44"/>
      <c r="O608" s="44"/>
      <c r="P608" s="44"/>
    </row>
    <row r="609" spans="1:16" x14ac:dyDescent="0.2">
      <c r="A609" s="58" t="str">
        <v>0:00</v>
      </c>
      <c r="B609" s="123"/>
      <c r="C609" s="44"/>
      <c r="D609" s="44"/>
      <c r="E609" s="44"/>
      <c r="F609" s="44"/>
      <c r="G609" s="44"/>
      <c r="H609" s="44"/>
      <c r="I609" s="44"/>
      <c r="J609" s="44"/>
      <c r="K609" s="44"/>
      <c r="L609" s="44"/>
      <c r="M609" s="44"/>
      <c r="N609" s="44"/>
      <c r="O609" s="44"/>
      <c r="P609" s="44"/>
    </row>
    <row r="610" spans="1:16" x14ac:dyDescent="0.2">
      <c r="A610" s="58" t="str">
        <v>0:00</v>
      </c>
      <c r="B610" s="123"/>
      <c r="C610" s="44"/>
      <c r="D610" s="44"/>
      <c r="E610" s="44"/>
      <c r="F610" s="44"/>
      <c r="G610" s="44"/>
      <c r="H610" s="44"/>
      <c r="I610" s="44"/>
      <c r="J610" s="44"/>
      <c r="K610" s="44"/>
      <c r="L610" s="44"/>
      <c r="M610" s="44"/>
      <c r="N610" s="44"/>
      <c r="O610" s="44"/>
      <c r="P610" s="44"/>
    </row>
    <row r="611" spans="1:16" x14ac:dyDescent="0.2">
      <c r="A611" s="58" t="str">
        <v>0:00</v>
      </c>
      <c r="B611" s="123"/>
      <c r="C611" s="44"/>
      <c r="D611" s="44"/>
      <c r="E611" s="44"/>
      <c r="F611" s="44"/>
      <c r="G611" s="44"/>
      <c r="H611" s="44"/>
      <c r="I611" s="44"/>
      <c r="J611" s="44"/>
      <c r="K611" s="44"/>
      <c r="L611" s="44"/>
      <c r="M611" s="44"/>
      <c r="N611" s="44"/>
      <c r="O611" s="44"/>
      <c r="P611" s="44"/>
    </row>
    <row r="612" spans="1:16" x14ac:dyDescent="0.2">
      <c r="A612" s="58" t="str">
        <v>0:00</v>
      </c>
      <c r="B612" s="123"/>
      <c r="C612" s="44"/>
      <c r="D612" s="44"/>
      <c r="E612" s="44"/>
      <c r="F612" s="44"/>
      <c r="G612" s="44"/>
      <c r="H612" s="44"/>
      <c r="I612" s="44"/>
      <c r="J612" s="44"/>
      <c r="K612" s="44"/>
      <c r="L612" s="44"/>
      <c r="M612" s="44"/>
      <c r="N612" s="44"/>
      <c r="O612" s="44"/>
      <c r="P612" s="44"/>
    </row>
    <row r="613" spans="1:16" x14ac:dyDescent="0.2">
      <c r="A613" s="58" t="str">
        <v>0:00</v>
      </c>
      <c r="B613" s="123"/>
      <c r="C613" s="44"/>
      <c r="D613" s="44"/>
      <c r="E613" s="44"/>
      <c r="F613" s="44"/>
      <c r="G613" s="44"/>
      <c r="H613" s="44"/>
      <c r="I613" s="44"/>
      <c r="J613" s="44"/>
      <c r="K613" s="44"/>
      <c r="L613" s="44"/>
      <c r="M613" s="44"/>
      <c r="N613" s="44"/>
      <c r="O613" s="44"/>
      <c r="P613" s="44"/>
    </row>
    <row r="614" spans="1:16" x14ac:dyDescent="0.2">
      <c r="A614" s="58" t="str">
        <v>0:00</v>
      </c>
      <c r="B614" s="123"/>
      <c r="C614" s="44"/>
      <c r="D614" s="44"/>
      <c r="E614" s="44"/>
      <c r="F614" s="44"/>
      <c r="G614" s="44"/>
      <c r="H614" s="44"/>
      <c r="I614" s="44"/>
      <c r="J614" s="44"/>
      <c r="K614" s="44"/>
      <c r="L614" s="44"/>
      <c r="M614" s="44"/>
      <c r="N614" s="44"/>
      <c r="O614" s="44"/>
      <c r="P614" s="44"/>
    </row>
    <row r="615" spans="1:16" x14ac:dyDescent="0.2">
      <c r="A615" s="58" t="str">
        <v>0:00</v>
      </c>
      <c r="B615" s="123"/>
      <c r="C615" s="44"/>
      <c r="D615" s="44"/>
      <c r="E615" s="44"/>
      <c r="F615" s="44"/>
      <c r="G615" s="44"/>
      <c r="H615" s="44"/>
      <c r="I615" s="44"/>
      <c r="J615" s="44"/>
      <c r="K615" s="44"/>
      <c r="L615" s="44"/>
      <c r="M615" s="44"/>
      <c r="N615" s="44"/>
      <c r="O615" s="44"/>
      <c r="P615" s="44"/>
    </row>
    <row r="616" spans="1:16" x14ac:dyDescent="0.2">
      <c r="A616" s="58" t="str">
        <v>0:00</v>
      </c>
      <c r="B616" s="123"/>
      <c r="C616" s="44"/>
      <c r="D616" s="44"/>
      <c r="E616" s="44"/>
      <c r="F616" s="44"/>
      <c r="G616" s="44"/>
      <c r="H616" s="44"/>
      <c r="I616" s="44"/>
      <c r="J616" s="44"/>
      <c r="K616" s="44"/>
      <c r="L616" s="44"/>
      <c r="M616" s="44"/>
      <c r="N616" s="44"/>
      <c r="O616" s="44"/>
      <c r="P616" s="44"/>
    </row>
    <row r="617" spans="1:16" x14ac:dyDescent="0.2">
      <c r="A617" s="58" t="str">
        <v>0:00</v>
      </c>
      <c r="B617" s="123"/>
      <c r="C617" s="44"/>
      <c r="D617" s="44"/>
      <c r="E617" s="44"/>
      <c r="F617" s="44"/>
      <c r="G617" s="44"/>
      <c r="H617" s="44"/>
      <c r="I617" s="44"/>
      <c r="J617" s="44"/>
      <c r="K617" s="44"/>
      <c r="L617" s="44"/>
      <c r="M617" s="44"/>
      <c r="N617" s="44"/>
      <c r="O617" s="44"/>
      <c r="P617" s="44"/>
    </row>
    <row r="618" spans="1:16" x14ac:dyDescent="0.2">
      <c r="A618" s="58" t="str">
        <v>0:00</v>
      </c>
      <c r="B618" s="123"/>
      <c r="C618" s="44"/>
      <c r="D618" s="44"/>
      <c r="E618" s="44"/>
      <c r="F618" s="44"/>
      <c r="G618" s="44"/>
      <c r="H618" s="44"/>
      <c r="I618" s="44"/>
      <c r="J618" s="44"/>
      <c r="K618" s="44"/>
      <c r="L618" s="44"/>
      <c r="M618" s="44"/>
      <c r="N618" s="44"/>
      <c r="O618" s="44"/>
      <c r="P618" s="44"/>
    </row>
    <row r="619" spans="1:16" x14ac:dyDescent="0.2">
      <c r="A619" s="58" t="str">
        <v>0:00</v>
      </c>
      <c r="B619" s="123"/>
      <c r="C619" s="44"/>
      <c r="D619" s="44"/>
      <c r="E619" s="44"/>
      <c r="F619" s="44"/>
      <c r="G619" s="44"/>
      <c r="H619" s="44"/>
      <c r="I619" s="44"/>
      <c r="J619" s="44"/>
      <c r="K619" s="44"/>
      <c r="L619" s="44"/>
      <c r="M619" s="44"/>
      <c r="N619" s="44"/>
      <c r="O619" s="44"/>
      <c r="P619" s="44"/>
    </row>
    <row r="620" spans="1:16" x14ac:dyDescent="0.2">
      <c r="A620" s="58" t="str">
        <v>0:00</v>
      </c>
      <c r="B620" s="123"/>
      <c r="C620" s="44"/>
      <c r="D620" s="44"/>
      <c r="E620" s="44"/>
      <c r="F620" s="44"/>
      <c r="G620" s="44"/>
      <c r="H620" s="44"/>
      <c r="I620" s="44"/>
      <c r="J620" s="44"/>
      <c r="K620" s="44"/>
      <c r="L620" s="44"/>
      <c r="M620" s="44"/>
      <c r="N620" s="44"/>
      <c r="O620" s="44"/>
      <c r="P620" s="44"/>
    </row>
    <row r="621" spans="1:16" x14ac:dyDescent="0.2">
      <c r="A621" s="58" t="str">
        <v>0:00</v>
      </c>
      <c r="B621" s="123"/>
      <c r="C621" s="44"/>
      <c r="D621" s="44"/>
      <c r="E621" s="44"/>
      <c r="F621" s="44"/>
      <c r="G621" s="44"/>
      <c r="H621" s="44"/>
      <c r="I621" s="44"/>
      <c r="J621" s="44"/>
      <c r="K621" s="44"/>
      <c r="L621" s="44"/>
      <c r="M621" s="44"/>
      <c r="N621" s="44"/>
      <c r="O621" s="44"/>
      <c r="P621" s="44"/>
    </row>
    <row r="622" spans="1:16" x14ac:dyDescent="0.2">
      <c r="A622" s="58" t="str">
        <v>0:00</v>
      </c>
      <c r="B622" s="123"/>
      <c r="C622" s="44"/>
      <c r="D622" s="44"/>
      <c r="E622" s="44"/>
      <c r="F622" s="44"/>
      <c r="G622" s="44"/>
      <c r="H622" s="44"/>
      <c r="I622" s="44"/>
      <c r="J622" s="44"/>
      <c r="K622" s="44"/>
      <c r="L622" s="44"/>
      <c r="M622" s="44"/>
      <c r="N622" s="44"/>
      <c r="O622" s="44"/>
      <c r="P622" s="44"/>
    </row>
    <row r="623" spans="1:16" x14ac:dyDescent="0.2">
      <c r="A623" s="58" t="str">
        <v>0:00</v>
      </c>
      <c r="B623" s="123"/>
      <c r="C623" s="44"/>
      <c r="D623" s="44"/>
      <c r="E623" s="44"/>
      <c r="F623" s="44"/>
      <c r="G623" s="44"/>
      <c r="H623" s="44"/>
      <c r="I623" s="44"/>
      <c r="J623" s="44"/>
      <c r="K623" s="44"/>
      <c r="L623" s="44"/>
      <c r="M623" s="44"/>
      <c r="N623" s="44"/>
      <c r="O623" s="44"/>
      <c r="P623" s="44"/>
    </row>
    <row r="624" spans="1:16" x14ac:dyDescent="0.2">
      <c r="A624" s="58" t="str">
        <v>0:00</v>
      </c>
      <c r="B624" s="123"/>
      <c r="C624" s="44"/>
      <c r="D624" s="44"/>
      <c r="E624" s="44"/>
      <c r="F624" s="44"/>
      <c r="G624" s="44"/>
      <c r="H624" s="44"/>
      <c r="I624" s="44"/>
      <c r="J624" s="44"/>
      <c r="K624" s="44"/>
      <c r="L624" s="44"/>
      <c r="M624" s="44"/>
      <c r="N624" s="44"/>
      <c r="O624" s="44"/>
      <c r="P624" s="44"/>
    </row>
    <row r="625" spans="1:16" x14ac:dyDescent="0.2">
      <c r="A625" s="58" t="str">
        <v>0:00</v>
      </c>
      <c r="B625" s="123"/>
      <c r="C625" s="44"/>
      <c r="D625" s="44"/>
      <c r="E625" s="44"/>
      <c r="F625" s="44"/>
      <c r="G625" s="44"/>
      <c r="H625" s="44"/>
      <c r="I625" s="44"/>
      <c r="J625" s="44"/>
      <c r="K625" s="44"/>
      <c r="L625" s="44"/>
      <c r="M625" s="44"/>
      <c r="N625" s="44"/>
      <c r="O625" s="44"/>
      <c r="P625" s="44"/>
    </row>
    <row r="626" spans="1:16" x14ac:dyDescent="0.2">
      <c r="A626" s="58" t="str">
        <v>0:00</v>
      </c>
      <c r="B626" s="123"/>
      <c r="C626" s="44"/>
      <c r="D626" s="44"/>
      <c r="E626" s="44"/>
      <c r="F626" s="44"/>
      <c r="G626" s="44"/>
      <c r="H626" s="44"/>
      <c r="I626" s="44"/>
      <c r="J626" s="44"/>
      <c r="K626" s="44"/>
      <c r="L626" s="44"/>
      <c r="M626" s="44"/>
      <c r="N626" s="44"/>
      <c r="O626" s="44"/>
      <c r="P626" s="44"/>
    </row>
    <row r="627" spans="1:16" x14ac:dyDescent="0.2">
      <c r="A627" s="58" t="str">
        <v>0:00</v>
      </c>
      <c r="B627" s="123"/>
      <c r="C627" s="44"/>
      <c r="D627" s="44"/>
      <c r="E627" s="44"/>
      <c r="F627" s="44"/>
      <c r="G627" s="44"/>
      <c r="H627" s="44"/>
      <c r="I627" s="44"/>
      <c r="J627" s="44"/>
      <c r="K627" s="44"/>
      <c r="L627" s="44"/>
      <c r="M627" s="44"/>
      <c r="N627" s="44"/>
      <c r="O627" s="44"/>
      <c r="P627" s="44"/>
    </row>
    <row r="628" spans="1:16" x14ac:dyDescent="0.2">
      <c r="A628" s="58" t="str">
        <v>0:00</v>
      </c>
      <c r="B628" s="123"/>
      <c r="C628" s="44"/>
      <c r="D628" s="44"/>
      <c r="E628" s="44"/>
      <c r="F628" s="44"/>
      <c r="G628" s="44"/>
      <c r="H628" s="44"/>
      <c r="I628" s="44"/>
      <c r="J628" s="44"/>
      <c r="K628" s="44"/>
      <c r="L628" s="44"/>
      <c r="M628" s="44"/>
      <c r="N628" s="44"/>
      <c r="O628" s="44"/>
      <c r="P628" s="44"/>
    </row>
    <row r="629" spans="1:16" x14ac:dyDescent="0.2">
      <c r="A629" s="58" t="str">
        <v>0:00</v>
      </c>
      <c r="B629" s="123"/>
      <c r="C629" s="44"/>
      <c r="D629" s="44"/>
      <c r="E629" s="44"/>
      <c r="F629" s="44"/>
      <c r="G629" s="44"/>
      <c r="H629" s="44"/>
      <c r="I629" s="44"/>
      <c r="J629" s="44"/>
      <c r="K629" s="44"/>
      <c r="L629" s="44"/>
      <c r="M629" s="44"/>
      <c r="N629" s="44"/>
      <c r="O629" s="44"/>
      <c r="P629" s="44"/>
    </row>
    <row r="630" spans="1:16" x14ac:dyDescent="0.2">
      <c r="A630" s="58" t="str">
        <v>0:00</v>
      </c>
      <c r="B630" s="123"/>
      <c r="C630" s="44"/>
      <c r="D630" s="44"/>
      <c r="E630" s="44"/>
      <c r="F630" s="44"/>
      <c r="G630" s="44"/>
      <c r="H630" s="44"/>
      <c r="I630" s="44"/>
      <c r="J630" s="44"/>
      <c r="K630" s="44"/>
      <c r="L630" s="44"/>
      <c r="M630" s="44"/>
      <c r="N630" s="44"/>
      <c r="O630" s="44"/>
      <c r="P630" s="44"/>
    </row>
    <row r="631" spans="1:16" x14ac:dyDescent="0.2">
      <c r="A631" s="58" t="str">
        <v>0:00</v>
      </c>
      <c r="B631" s="123"/>
      <c r="C631" s="44"/>
      <c r="D631" s="44"/>
      <c r="E631" s="44"/>
      <c r="F631" s="44"/>
      <c r="G631" s="44"/>
      <c r="H631" s="44"/>
      <c r="I631" s="44"/>
      <c r="J631" s="44"/>
      <c r="K631" s="44"/>
      <c r="L631" s="44"/>
      <c r="M631" s="44"/>
      <c r="N631" s="44"/>
      <c r="O631" s="44"/>
      <c r="P631" s="44"/>
    </row>
    <row r="632" spans="1:16" x14ac:dyDescent="0.2">
      <c r="A632" s="58" t="str">
        <v>0:00</v>
      </c>
      <c r="B632" s="123"/>
      <c r="C632" s="44"/>
      <c r="D632" s="44"/>
      <c r="E632" s="44"/>
      <c r="F632" s="44"/>
      <c r="G632" s="44"/>
      <c r="H632" s="44"/>
      <c r="I632" s="44"/>
      <c r="J632" s="44"/>
      <c r="K632" s="44"/>
      <c r="L632" s="44"/>
      <c r="M632" s="44"/>
      <c r="N632" s="44"/>
      <c r="O632" s="44"/>
      <c r="P632" s="44"/>
    </row>
    <row r="633" spans="1:16" x14ac:dyDescent="0.2">
      <c r="A633" s="58" t="str">
        <v>0:00</v>
      </c>
      <c r="B633" s="123"/>
      <c r="C633" s="44"/>
      <c r="D633" s="44"/>
      <c r="E633" s="44"/>
      <c r="F633" s="44"/>
      <c r="G633" s="44"/>
      <c r="H633" s="44"/>
      <c r="I633" s="44"/>
      <c r="J633" s="44"/>
      <c r="K633" s="44"/>
      <c r="L633" s="44"/>
      <c r="M633" s="44"/>
      <c r="N633" s="44"/>
      <c r="O633" s="44"/>
      <c r="P633" s="44"/>
    </row>
    <row r="634" spans="1:16" x14ac:dyDescent="0.2">
      <c r="A634" s="58" t="str">
        <v>0:00</v>
      </c>
      <c r="B634" s="123"/>
      <c r="C634" s="44"/>
      <c r="D634" s="44"/>
      <c r="E634" s="44"/>
      <c r="F634" s="44"/>
      <c r="G634" s="44"/>
      <c r="H634" s="44"/>
      <c r="I634" s="44"/>
      <c r="J634" s="44"/>
      <c r="K634" s="44"/>
      <c r="L634" s="44"/>
      <c r="M634" s="44"/>
      <c r="N634" s="44"/>
      <c r="O634" s="44"/>
      <c r="P634" s="44"/>
    </row>
    <row r="635" spans="1:16" x14ac:dyDescent="0.2">
      <c r="A635" s="58" t="str">
        <v>0:00</v>
      </c>
      <c r="B635" s="123"/>
      <c r="C635" s="44"/>
      <c r="D635" s="44"/>
      <c r="E635" s="44"/>
      <c r="F635" s="44"/>
      <c r="G635" s="44"/>
      <c r="H635" s="44"/>
      <c r="I635" s="44"/>
      <c r="J635" s="44"/>
      <c r="K635" s="44"/>
      <c r="L635" s="44"/>
      <c r="M635" s="44"/>
      <c r="N635" s="44"/>
      <c r="O635" s="44"/>
      <c r="P635" s="44"/>
    </row>
    <row r="636" spans="1:16" x14ac:dyDescent="0.2">
      <c r="A636" s="58" t="str">
        <v>0:00</v>
      </c>
      <c r="B636" s="123"/>
      <c r="C636" s="44"/>
      <c r="D636" s="44"/>
      <c r="E636" s="44"/>
      <c r="F636" s="44"/>
      <c r="G636" s="44"/>
      <c r="H636" s="44"/>
      <c r="I636" s="44"/>
      <c r="J636" s="44"/>
      <c r="K636" s="44"/>
      <c r="L636" s="44"/>
      <c r="M636" s="44"/>
      <c r="N636" s="44"/>
      <c r="O636" s="44"/>
      <c r="P636" s="44"/>
    </row>
    <row r="637" spans="1:16" x14ac:dyDescent="0.2">
      <c r="A637" s="58" t="str">
        <v>0:00</v>
      </c>
      <c r="B637" s="123"/>
      <c r="C637" s="44"/>
      <c r="D637" s="44"/>
      <c r="E637" s="44"/>
      <c r="F637" s="44"/>
      <c r="G637" s="44"/>
      <c r="H637" s="44"/>
      <c r="I637" s="44"/>
      <c r="J637" s="44"/>
      <c r="K637" s="44"/>
      <c r="L637" s="44"/>
      <c r="M637" s="44"/>
      <c r="N637" s="44"/>
      <c r="O637" s="44"/>
      <c r="P637" s="44"/>
    </row>
    <row r="638" spans="1:16" x14ac:dyDescent="0.2">
      <c r="A638" s="58" t="str">
        <v>0:00</v>
      </c>
      <c r="B638" s="123"/>
      <c r="C638" s="44"/>
      <c r="D638" s="44"/>
      <c r="E638" s="44"/>
      <c r="F638" s="44"/>
      <c r="G638" s="44"/>
      <c r="H638" s="44"/>
      <c r="I638" s="44"/>
      <c r="J638" s="44"/>
      <c r="K638" s="44"/>
      <c r="L638" s="44"/>
      <c r="M638" s="44"/>
      <c r="N638" s="44"/>
      <c r="O638" s="44"/>
      <c r="P638" s="44"/>
    </row>
    <row r="639" spans="1:16" x14ac:dyDescent="0.2">
      <c r="A639" s="58" t="str">
        <v>0:00</v>
      </c>
      <c r="B639" s="123"/>
      <c r="C639" s="44"/>
      <c r="D639" s="44"/>
      <c r="E639" s="44"/>
      <c r="F639" s="44"/>
      <c r="G639" s="44"/>
      <c r="H639" s="44"/>
      <c r="I639" s="44"/>
      <c r="J639" s="44"/>
      <c r="K639" s="44"/>
      <c r="L639" s="44"/>
      <c r="M639" s="44"/>
      <c r="N639" s="44"/>
      <c r="O639" s="44"/>
      <c r="P639" s="44"/>
    </row>
    <row r="640" spans="1:16" x14ac:dyDescent="0.2">
      <c r="A640" s="58" t="str">
        <v>0:00</v>
      </c>
      <c r="B640" s="123"/>
      <c r="C640" s="44"/>
      <c r="D640" s="44"/>
      <c r="E640" s="44"/>
      <c r="F640" s="44"/>
      <c r="G640" s="44"/>
      <c r="H640" s="44"/>
      <c r="I640" s="44"/>
      <c r="J640" s="44"/>
      <c r="K640" s="44"/>
      <c r="L640" s="44"/>
      <c r="M640" s="44"/>
      <c r="N640" s="44"/>
      <c r="O640" s="44"/>
      <c r="P640" s="44"/>
    </row>
    <row r="641" spans="1:16" x14ac:dyDescent="0.2">
      <c r="A641" s="58" t="str">
        <v>0:00</v>
      </c>
      <c r="B641" s="123"/>
      <c r="C641" s="44"/>
      <c r="D641" s="44"/>
      <c r="E641" s="44"/>
      <c r="F641" s="44"/>
      <c r="G641" s="44"/>
      <c r="H641" s="44"/>
      <c r="I641" s="44"/>
      <c r="J641" s="44"/>
      <c r="K641" s="44"/>
      <c r="L641" s="44"/>
      <c r="M641" s="44"/>
      <c r="N641" s="44"/>
      <c r="O641" s="44"/>
      <c r="P641" s="44"/>
    </row>
    <row r="642" spans="1:16" x14ac:dyDescent="0.2">
      <c r="A642" s="58" t="str">
        <v>0:00</v>
      </c>
      <c r="B642" s="123"/>
      <c r="C642" s="44"/>
      <c r="D642" s="44"/>
      <c r="E642" s="44"/>
      <c r="F642" s="44"/>
      <c r="G642" s="44"/>
      <c r="H642" s="44"/>
      <c r="I642" s="44"/>
      <c r="J642" s="44"/>
      <c r="K642" s="44"/>
      <c r="L642" s="44"/>
      <c r="M642" s="44"/>
      <c r="N642" s="44"/>
      <c r="O642" s="44"/>
      <c r="P642" s="44"/>
    </row>
    <row r="643" spans="1:16" x14ac:dyDescent="0.2">
      <c r="A643" s="58" t="str">
        <v>0:00</v>
      </c>
      <c r="B643" s="123"/>
      <c r="C643" s="44"/>
      <c r="D643" s="44"/>
      <c r="E643" s="44"/>
      <c r="F643" s="44"/>
      <c r="G643" s="44"/>
      <c r="H643" s="44"/>
      <c r="I643" s="44"/>
      <c r="J643" s="44"/>
      <c r="K643" s="44"/>
      <c r="L643" s="44"/>
      <c r="M643" s="44"/>
      <c r="N643" s="44"/>
      <c r="O643" s="44"/>
      <c r="P643" s="44"/>
    </row>
    <row r="644" spans="1:16" x14ac:dyDescent="0.2">
      <c r="A644" s="58" t="str">
        <v>0:00</v>
      </c>
      <c r="B644" s="123"/>
      <c r="C644" s="44"/>
      <c r="D644" s="44"/>
      <c r="E644" s="44"/>
      <c r="F644" s="44"/>
      <c r="G644" s="44"/>
      <c r="H644" s="44"/>
      <c r="I644" s="44"/>
      <c r="J644" s="44"/>
      <c r="K644" s="44"/>
      <c r="L644" s="44"/>
      <c r="M644" s="44"/>
      <c r="N644" s="44"/>
      <c r="O644" s="44"/>
      <c r="P644" s="44"/>
    </row>
    <row r="645" spans="1:16" x14ac:dyDescent="0.2">
      <c r="A645" s="58" t="str">
        <v>0:00</v>
      </c>
      <c r="B645" s="123"/>
      <c r="C645" s="44"/>
      <c r="D645" s="44"/>
      <c r="E645" s="44"/>
      <c r="F645" s="44"/>
      <c r="G645" s="44"/>
      <c r="H645" s="44"/>
      <c r="I645" s="44"/>
      <c r="J645" s="44"/>
      <c r="K645" s="44"/>
      <c r="L645" s="44"/>
      <c r="M645" s="44"/>
      <c r="N645" s="44"/>
      <c r="O645" s="44"/>
      <c r="P645" s="44"/>
    </row>
    <row r="646" spans="1:16" x14ac:dyDescent="0.2">
      <c r="A646" s="58" t="str">
        <v>0:00</v>
      </c>
      <c r="B646" s="123"/>
      <c r="C646" s="44"/>
      <c r="D646" s="44"/>
      <c r="E646" s="44"/>
      <c r="F646" s="44"/>
      <c r="G646" s="44"/>
      <c r="H646" s="44"/>
      <c r="I646" s="44"/>
      <c r="J646" s="44"/>
      <c r="K646" s="44"/>
      <c r="L646" s="44"/>
      <c r="M646" s="44"/>
      <c r="N646" s="44"/>
      <c r="O646" s="44"/>
      <c r="P646" s="44"/>
    </row>
    <row r="647" spans="1:16" x14ac:dyDescent="0.2">
      <c r="A647" s="58" t="str">
        <v>0:00</v>
      </c>
      <c r="B647" s="123"/>
      <c r="C647" s="44"/>
      <c r="D647" s="44"/>
      <c r="E647" s="44"/>
      <c r="F647" s="44"/>
      <c r="G647" s="44"/>
      <c r="H647" s="44"/>
      <c r="I647" s="44"/>
      <c r="J647" s="44"/>
      <c r="K647" s="44"/>
      <c r="L647" s="44"/>
      <c r="M647" s="44"/>
      <c r="N647" s="44"/>
      <c r="O647" s="44"/>
      <c r="P647" s="44"/>
    </row>
    <row r="648" spans="1:16" x14ac:dyDescent="0.2">
      <c r="A648" s="58" t="str">
        <v>0:00</v>
      </c>
      <c r="B648" s="123"/>
      <c r="C648" s="44"/>
      <c r="D648" s="44"/>
      <c r="E648" s="44"/>
      <c r="F648" s="44"/>
      <c r="G648" s="44"/>
      <c r="H648" s="44"/>
      <c r="I648" s="44"/>
      <c r="J648" s="44"/>
      <c r="K648" s="44"/>
      <c r="L648" s="44"/>
      <c r="M648" s="44"/>
      <c r="N648" s="44"/>
      <c r="O648" s="44"/>
      <c r="P648" s="44"/>
    </row>
    <row r="649" spans="1:16" x14ac:dyDescent="0.2">
      <c r="A649" s="58" t="str">
        <v>0:00</v>
      </c>
      <c r="B649" s="123"/>
      <c r="C649" s="44"/>
      <c r="D649" s="44"/>
      <c r="E649" s="44"/>
      <c r="F649" s="44"/>
      <c r="G649" s="44"/>
      <c r="H649" s="44"/>
      <c r="I649" s="44"/>
      <c r="J649" s="44"/>
      <c r="K649" s="44"/>
      <c r="L649" s="44"/>
      <c r="M649" s="44"/>
      <c r="N649" s="44"/>
      <c r="O649" s="44"/>
      <c r="P649" s="44"/>
    </row>
    <row r="650" spans="1:16" x14ac:dyDescent="0.2">
      <c r="A650" s="58" t="str">
        <v>0:00</v>
      </c>
      <c r="B650" s="123"/>
      <c r="C650" s="44"/>
      <c r="D650" s="44"/>
      <c r="E650" s="44"/>
      <c r="F650" s="44"/>
      <c r="G650" s="44"/>
      <c r="H650" s="44"/>
      <c r="I650" s="44"/>
      <c r="J650" s="44"/>
      <c r="K650" s="44"/>
      <c r="L650" s="44"/>
      <c r="M650" s="44"/>
      <c r="N650" s="44"/>
      <c r="O650" s="44"/>
      <c r="P650" s="44"/>
    </row>
    <row r="651" spans="1:16" x14ac:dyDescent="0.2">
      <c r="A651" s="58" t="str">
        <v>0:00</v>
      </c>
      <c r="B651" s="123"/>
      <c r="C651" s="44"/>
      <c r="D651" s="44"/>
      <c r="E651" s="44"/>
      <c r="F651" s="44"/>
      <c r="G651" s="44"/>
      <c r="H651" s="44"/>
      <c r="I651" s="44"/>
      <c r="J651" s="44"/>
      <c r="K651" s="44"/>
      <c r="L651" s="44"/>
      <c r="M651" s="44"/>
      <c r="N651" s="44"/>
      <c r="O651" s="44"/>
      <c r="P651" s="44"/>
    </row>
    <row r="652" spans="1:16" x14ac:dyDescent="0.2">
      <c r="A652" s="58" t="str">
        <v>0:00</v>
      </c>
      <c r="B652" s="123"/>
      <c r="C652" s="44"/>
      <c r="D652" s="44"/>
      <c r="E652" s="44"/>
      <c r="F652" s="44"/>
      <c r="G652" s="44"/>
      <c r="H652" s="44"/>
      <c r="I652" s="44"/>
      <c r="J652" s="44"/>
      <c r="K652" s="44"/>
      <c r="L652" s="44"/>
      <c r="M652" s="44"/>
      <c r="N652" s="44"/>
      <c r="O652" s="44"/>
      <c r="P652" s="44"/>
    </row>
    <row r="653" spans="1:16" x14ac:dyDescent="0.2">
      <c r="A653" s="58" t="str">
        <v>0:00</v>
      </c>
      <c r="B653" s="123"/>
      <c r="C653" s="44"/>
      <c r="D653" s="44"/>
      <c r="E653" s="44"/>
      <c r="F653" s="44"/>
      <c r="G653" s="44"/>
      <c r="H653" s="44"/>
      <c r="I653" s="44"/>
      <c r="J653" s="44"/>
      <c r="K653" s="44"/>
      <c r="L653" s="44"/>
      <c r="M653" s="44"/>
      <c r="N653" s="44"/>
      <c r="O653" s="44"/>
      <c r="P653" s="44"/>
    </row>
    <row r="654" spans="1:16" x14ac:dyDescent="0.2">
      <c r="A654" s="58" t="str">
        <v>0:00</v>
      </c>
      <c r="B654" s="123"/>
      <c r="C654" s="44"/>
      <c r="D654" s="44"/>
      <c r="E654" s="44"/>
      <c r="F654" s="44"/>
      <c r="G654" s="44"/>
      <c r="H654" s="44"/>
      <c r="I654" s="44"/>
      <c r="J654" s="44"/>
      <c r="K654" s="44"/>
      <c r="L654" s="44"/>
      <c r="M654" s="44"/>
      <c r="N654" s="44"/>
      <c r="O654" s="44"/>
      <c r="P654" s="44"/>
    </row>
    <row r="655" spans="1:16" x14ac:dyDescent="0.2">
      <c r="A655" s="58" t="str">
        <v>0:00</v>
      </c>
      <c r="B655" s="123"/>
      <c r="C655" s="44"/>
      <c r="D655" s="44"/>
      <c r="E655" s="44"/>
      <c r="F655" s="44"/>
      <c r="G655" s="44"/>
      <c r="H655" s="44"/>
      <c r="I655" s="44"/>
      <c r="J655" s="44"/>
      <c r="K655" s="44"/>
      <c r="L655" s="44"/>
      <c r="M655" s="44"/>
      <c r="N655" s="44"/>
      <c r="O655" s="44"/>
      <c r="P655" s="44"/>
    </row>
    <row r="656" spans="1:16" x14ac:dyDescent="0.2">
      <c r="A656" s="58" t="str">
        <v>0:00</v>
      </c>
      <c r="B656" s="123"/>
      <c r="C656" s="44"/>
      <c r="D656" s="44"/>
      <c r="E656" s="44"/>
      <c r="F656" s="44"/>
      <c r="G656" s="44"/>
      <c r="H656" s="44"/>
      <c r="I656" s="44"/>
      <c r="J656" s="44"/>
      <c r="K656" s="44"/>
      <c r="L656" s="44"/>
      <c r="M656" s="44"/>
      <c r="N656" s="44"/>
      <c r="O656" s="44"/>
      <c r="P656" s="44"/>
    </row>
    <row r="657" spans="1:16" x14ac:dyDescent="0.2">
      <c r="A657" s="58" t="str">
        <v>0:00</v>
      </c>
      <c r="B657" s="123"/>
      <c r="C657" s="44"/>
      <c r="D657" s="44"/>
      <c r="E657" s="44"/>
      <c r="F657" s="44"/>
      <c r="G657" s="44"/>
      <c r="H657" s="44"/>
      <c r="I657" s="44"/>
      <c r="J657" s="44"/>
      <c r="K657" s="44"/>
      <c r="L657" s="44"/>
      <c r="M657" s="44"/>
      <c r="N657" s="44"/>
      <c r="O657" s="44"/>
      <c r="P657" s="44"/>
    </row>
    <row r="658" spans="1:16" x14ac:dyDescent="0.2">
      <c r="A658" s="58" t="str">
        <v>0:00</v>
      </c>
      <c r="B658" s="123"/>
      <c r="C658" s="44"/>
      <c r="D658" s="44"/>
      <c r="E658" s="44"/>
      <c r="F658" s="44"/>
      <c r="G658" s="44"/>
      <c r="H658" s="44"/>
      <c r="I658" s="44"/>
      <c r="J658" s="44"/>
      <c r="K658" s="44"/>
      <c r="L658" s="44"/>
      <c r="M658" s="44"/>
      <c r="N658" s="44"/>
      <c r="O658" s="44"/>
      <c r="P658" s="44"/>
    </row>
    <row r="659" spans="1:16" x14ac:dyDescent="0.2">
      <c r="A659" s="58" t="str">
        <v>0:00</v>
      </c>
      <c r="B659" s="123"/>
      <c r="C659" s="44"/>
      <c r="D659" s="44"/>
      <c r="E659" s="44"/>
      <c r="F659" s="44"/>
      <c r="G659" s="44"/>
      <c r="H659" s="44"/>
      <c r="I659" s="44"/>
      <c r="J659" s="44"/>
      <c r="K659" s="44"/>
      <c r="L659" s="44"/>
      <c r="M659" s="44"/>
      <c r="N659" s="44"/>
      <c r="O659" s="44"/>
      <c r="P659" s="44"/>
    </row>
    <row r="660" spans="1:16" x14ac:dyDescent="0.2">
      <c r="A660" s="58" t="str">
        <v>0:00</v>
      </c>
      <c r="B660" s="123"/>
      <c r="C660" s="44"/>
      <c r="D660" s="44"/>
      <c r="E660" s="44"/>
      <c r="F660" s="44"/>
      <c r="G660" s="44"/>
      <c r="H660" s="44"/>
      <c r="I660" s="44"/>
      <c r="J660" s="44"/>
      <c r="K660" s="44"/>
      <c r="L660" s="44"/>
      <c r="M660" s="44"/>
      <c r="N660" s="44"/>
      <c r="O660" s="44"/>
      <c r="P660" s="44"/>
    </row>
    <row r="661" spans="1:16" x14ac:dyDescent="0.2">
      <c r="A661" s="58" t="str">
        <v>0:00</v>
      </c>
      <c r="B661" s="123"/>
      <c r="C661" s="44"/>
      <c r="D661" s="44"/>
      <c r="E661" s="44"/>
      <c r="F661" s="44"/>
      <c r="G661" s="44"/>
      <c r="H661" s="44"/>
      <c r="I661" s="44"/>
      <c r="J661" s="44"/>
      <c r="K661" s="44"/>
      <c r="L661" s="44"/>
      <c r="M661" s="44"/>
      <c r="N661" s="44"/>
      <c r="O661" s="44"/>
      <c r="P661" s="44"/>
    </row>
    <row r="662" spans="1:16" x14ac:dyDescent="0.2">
      <c r="A662" s="58" t="str">
        <v>0:00</v>
      </c>
      <c r="B662" s="123"/>
      <c r="C662" s="44"/>
      <c r="D662" s="44"/>
      <c r="E662" s="44"/>
      <c r="F662" s="44"/>
      <c r="G662" s="44"/>
      <c r="H662" s="44"/>
      <c r="I662" s="44"/>
      <c r="J662" s="44"/>
      <c r="K662" s="44"/>
      <c r="L662" s="44"/>
      <c r="M662" s="44"/>
      <c r="N662" s="44"/>
      <c r="O662" s="44"/>
      <c r="P662" s="44"/>
    </row>
    <row r="663" spans="1:16" x14ac:dyDescent="0.2">
      <c r="A663" s="58" t="str">
        <v>0:00</v>
      </c>
      <c r="B663" s="123"/>
      <c r="C663" s="44"/>
      <c r="D663" s="44"/>
      <c r="E663" s="44"/>
      <c r="F663" s="44"/>
      <c r="G663" s="44"/>
      <c r="H663" s="44"/>
      <c r="I663" s="44"/>
      <c r="J663" s="44"/>
      <c r="K663" s="44"/>
      <c r="L663" s="44"/>
      <c r="M663" s="44"/>
      <c r="N663" s="44"/>
      <c r="O663" s="44"/>
      <c r="P663" s="44"/>
    </row>
    <row r="664" spans="1:16" x14ac:dyDescent="0.2">
      <c r="A664" s="58" t="str">
        <v>0:00</v>
      </c>
      <c r="B664" s="123"/>
      <c r="C664" s="44"/>
      <c r="D664" s="44"/>
      <c r="E664" s="44"/>
      <c r="F664" s="44"/>
      <c r="G664" s="44"/>
      <c r="H664" s="44"/>
      <c r="I664" s="44"/>
      <c r="J664" s="44"/>
      <c r="K664" s="44"/>
      <c r="L664" s="44"/>
      <c r="M664" s="44"/>
      <c r="N664" s="44"/>
      <c r="O664" s="44"/>
      <c r="P664" s="44"/>
    </row>
    <row r="665" spans="1:16" x14ac:dyDescent="0.2">
      <c r="A665" s="58" t="str">
        <v>0:00</v>
      </c>
      <c r="B665" s="123"/>
      <c r="C665" s="44"/>
      <c r="D665" s="44"/>
      <c r="E665" s="44"/>
      <c r="F665" s="44"/>
      <c r="G665" s="44"/>
      <c r="H665" s="44"/>
      <c r="I665" s="44"/>
      <c r="J665" s="44"/>
      <c r="K665" s="44"/>
      <c r="L665" s="44"/>
      <c r="M665" s="44"/>
      <c r="N665" s="44"/>
      <c r="O665" s="44"/>
      <c r="P665" s="44"/>
    </row>
    <row r="666" spans="1:16" x14ac:dyDescent="0.2">
      <c r="A666" s="58" t="str">
        <v>0:00</v>
      </c>
      <c r="B666" s="123"/>
      <c r="C666" s="44"/>
      <c r="D666" s="44"/>
      <c r="E666" s="44"/>
      <c r="F666" s="44"/>
      <c r="G666" s="44"/>
      <c r="H666" s="44"/>
      <c r="I666" s="44"/>
      <c r="J666" s="44"/>
      <c r="K666" s="44"/>
      <c r="L666" s="44"/>
      <c r="M666" s="44"/>
      <c r="N666" s="44"/>
      <c r="O666" s="44"/>
      <c r="P666" s="44"/>
    </row>
    <row r="667" spans="1:16" x14ac:dyDescent="0.2">
      <c r="A667" s="58" t="str">
        <v>0:00</v>
      </c>
      <c r="B667" s="123"/>
      <c r="C667" s="44"/>
      <c r="D667" s="44"/>
      <c r="E667" s="44"/>
      <c r="F667" s="44"/>
      <c r="G667" s="44"/>
      <c r="H667" s="44"/>
      <c r="I667" s="44"/>
      <c r="J667" s="44"/>
      <c r="K667" s="44"/>
      <c r="L667" s="44"/>
      <c r="M667" s="44"/>
      <c r="N667" s="44"/>
      <c r="O667" s="44"/>
      <c r="P667" s="44"/>
    </row>
    <row r="668" spans="1:16" x14ac:dyDescent="0.2">
      <c r="A668" s="58" t="str">
        <v>0:00</v>
      </c>
      <c r="B668" s="123"/>
      <c r="C668" s="44"/>
      <c r="D668" s="44"/>
      <c r="E668" s="44"/>
      <c r="F668" s="44"/>
      <c r="G668" s="44"/>
      <c r="H668" s="44"/>
      <c r="I668" s="44"/>
      <c r="J668" s="44"/>
      <c r="K668" s="44"/>
      <c r="L668" s="44"/>
      <c r="M668" s="44"/>
      <c r="N668" s="44"/>
      <c r="O668" s="44"/>
      <c r="P668" s="44"/>
    </row>
    <row r="669" spans="1:16" x14ac:dyDescent="0.2">
      <c r="A669" s="58" t="str">
        <v>0:00</v>
      </c>
      <c r="B669" s="123"/>
      <c r="C669" s="44"/>
      <c r="D669" s="44"/>
      <c r="E669" s="44"/>
      <c r="F669" s="44"/>
      <c r="G669" s="44"/>
      <c r="H669" s="44"/>
      <c r="I669" s="44"/>
      <c r="J669" s="44"/>
      <c r="K669" s="44"/>
      <c r="L669" s="44"/>
      <c r="M669" s="44"/>
      <c r="N669" s="44"/>
      <c r="O669" s="44"/>
      <c r="P669" s="44"/>
    </row>
    <row r="670" spans="1:16" x14ac:dyDescent="0.2">
      <c r="A670" s="58" t="str">
        <v>0:00</v>
      </c>
      <c r="B670" s="123"/>
      <c r="C670" s="44"/>
      <c r="D670" s="44"/>
      <c r="E670" s="44"/>
      <c r="F670" s="44"/>
      <c r="G670" s="44"/>
      <c r="H670" s="44"/>
      <c r="I670" s="44"/>
      <c r="J670" s="44"/>
      <c r="K670" s="44"/>
      <c r="L670" s="44"/>
      <c r="M670" s="44"/>
      <c r="N670" s="44"/>
      <c r="O670" s="44"/>
      <c r="P670" s="44"/>
    </row>
    <row r="671" spans="1:16" x14ac:dyDescent="0.2">
      <c r="A671" s="58" t="str">
        <v>0:00</v>
      </c>
      <c r="B671" s="123"/>
      <c r="C671" s="44"/>
      <c r="D671" s="44"/>
      <c r="E671" s="44"/>
      <c r="F671" s="44"/>
      <c r="G671" s="44"/>
      <c r="H671" s="44"/>
      <c r="I671" s="44"/>
      <c r="J671" s="44"/>
      <c r="K671" s="44"/>
      <c r="L671" s="44"/>
      <c r="M671" s="44"/>
      <c r="N671" s="44"/>
      <c r="O671" s="44"/>
      <c r="P671" s="44"/>
    </row>
    <row r="672" spans="1:16" x14ac:dyDescent="0.2">
      <c r="A672" s="58" t="str">
        <v>0:00</v>
      </c>
      <c r="B672" s="123"/>
      <c r="C672" s="44"/>
      <c r="D672" s="44"/>
      <c r="E672" s="44"/>
      <c r="F672" s="44"/>
      <c r="G672" s="44"/>
      <c r="H672" s="44"/>
      <c r="I672" s="44"/>
      <c r="J672" s="44"/>
      <c r="K672" s="44"/>
      <c r="L672" s="44"/>
      <c r="M672" s="44"/>
      <c r="N672" s="44"/>
      <c r="O672" s="44"/>
      <c r="P672" s="44"/>
    </row>
    <row r="673" spans="1:16" x14ac:dyDescent="0.2">
      <c r="A673" s="58" t="str">
        <v>0:00</v>
      </c>
      <c r="B673" s="123"/>
      <c r="C673" s="44"/>
      <c r="D673" s="44"/>
      <c r="E673" s="44"/>
      <c r="F673" s="44"/>
      <c r="G673" s="44"/>
      <c r="H673" s="44"/>
      <c r="I673" s="44"/>
      <c r="J673" s="44"/>
      <c r="K673" s="44"/>
      <c r="L673" s="44"/>
      <c r="M673" s="44"/>
      <c r="N673" s="44"/>
      <c r="O673" s="44"/>
      <c r="P673" s="44"/>
    </row>
    <row r="674" spans="1:16" x14ac:dyDescent="0.2">
      <c r="A674" s="58" t="str">
        <v>0:00</v>
      </c>
      <c r="B674" s="123"/>
      <c r="C674" s="44"/>
      <c r="D674" s="44"/>
      <c r="E674" s="44"/>
      <c r="F674" s="44"/>
      <c r="G674" s="44"/>
      <c r="H674" s="44"/>
      <c r="I674" s="44"/>
      <c r="J674" s="44"/>
      <c r="K674" s="44"/>
      <c r="L674" s="44"/>
      <c r="M674" s="44"/>
      <c r="N674" s="44"/>
      <c r="O674" s="44"/>
      <c r="P674" s="44"/>
    </row>
    <row r="675" spans="1:16" x14ac:dyDescent="0.2">
      <c r="A675" s="58" t="str">
        <v>0:00</v>
      </c>
      <c r="B675" s="123"/>
      <c r="C675" s="44"/>
      <c r="D675" s="44"/>
      <c r="E675" s="44"/>
      <c r="F675" s="44"/>
      <c r="G675" s="44"/>
      <c r="H675" s="44"/>
      <c r="I675" s="44"/>
      <c r="J675" s="44"/>
      <c r="K675" s="44"/>
      <c r="L675" s="44"/>
      <c r="M675" s="44"/>
      <c r="N675" s="44"/>
      <c r="O675" s="44"/>
      <c r="P675" s="44"/>
    </row>
    <row r="676" spans="1:16" x14ac:dyDescent="0.2">
      <c r="A676" s="58" t="str">
        <v>0:00</v>
      </c>
      <c r="B676" s="123"/>
      <c r="C676" s="44"/>
      <c r="D676" s="44"/>
      <c r="E676" s="44"/>
      <c r="F676" s="44"/>
      <c r="G676" s="44"/>
      <c r="H676" s="44"/>
      <c r="I676" s="44"/>
      <c r="J676" s="44"/>
      <c r="K676" s="44"/>
      <c r="L676" s="44"/>
      <c r="M676" s="44"/>
      <c r="N676" s="44"/>
      <c r="O676" s="44"/>
      <c r="P676" s="44"/>
    </row>
    <row r="677" spans="1:16" x14ac:dyDescent="0.2">
      <c r="A677" s="58" t="str">
        <v>0:00</v>
      </c>
      <c r="B677" s="123"/>
      <c r="C677" s="44"/>
      <c r="D677" s="44"/>
      <c r="E677" s="44"/>
      <c r="F677" s="44"/>
      <c r="G677" s="44"/>
      <c r="H677" s="44"/>
      <c r="I677" s="44"/>
      <c r="J677" s="44"/>
      <c r="K677" s="44"/>
      <c r="L677" s="44"/>
      <c r="M677" s="44"/>
      <c r="N677" s="44"/>
      <c r="O677" s="44"/>
      <c r="P677" s="44"/>
    </row>
    <row r="678" spans="1:16" x14ac:dyDescent="0.2">
      <c r="A678" s="58" t="str">
        <v>0:00</v>
      </c>
      <c r="B678" s="123"/>
      <c r="C678" s="44"/>
      <c r="D678" s="44"/>
      <c r="E678" s="44"/>
      <c r="F678" s="44"/>
      <c r="G678" s="44"/>
      <c r="H678" s="44"/>
      <c r="I678" s="44"/>
      <c r="J678" s="44"/>
      <c r="K678" s="44"/>
      <c r="L678" s="44"/>
      <c r="M678" s="44"/>
      <c r="N678" s="44"/>
      <c r="O678" s="44"/>
      <c r="P678" s="44"/>
    </row>
    <row r="679" spans="1:16" x14ac:dyDescent="0.2">
      <c r="A679" s="58" t="str">
        <v>0:00</v>
      </c>
      <c r="B679" s="123"/>
      <c r="C679" s="44"/>
      <c r="D679" s="44"/>
      <c r="E679" s="44"/>
      <c r="F679" s="44"/>
      <c r="G679" s="44"/>
      <c r="H679" s="44"/>
      <c r="I679" s="44"/>
      <c r="J679" s="44"/>
      <c r="K679" s="44"/>
      <c r="L679" s="44"/>
      <c r="M679" s="44"/>
      <c r="N679" s="44"/>
      <c r="O679" s="44"/>
      <c r="P679" s="44"/>
    </row>
    <row r="680" spans="1:16" x14ac:dyDescent="0.2">
      <c r="A680" s="58" t="str">
        <v>0:00</v>
      </c>
      <c r="B680" s="123"/>
      <c r="C680" s="44"/>
      <c r="D680" s="44"/>
      <c r="E680" s="44"/>
      <c r="F680" s="44"/>
      <c r="G680" s="44"/>
      <c r="H680" s="44"/>
      <c r="I680" s="44"/>
      <c r="J680" s="44"/>
      <c r="K680" s="44"/>
      <c r="L680" s="44"/>
      <c r="M680" s="44"/>
      <c r="N680" s="44"/>
      <c r="O680" s="44"/>
      <c r="P680" s="44"/>
    </row>
    <row r="681" spans="1:16" x14ac:dyDescent="0.2">
      <c r="A681" s="58" t="str">
        <v>0:00</v>
      </c>
      <c r="B681" s="123"/>
      <c r="C681" s="44"/>
      <c r="D681" s="44"/>
      <c r="E681" s="44"/>
      <c r="F681" s="44"/>
      <c r="G681" s="44"/>
      <c r="H681" s="44"/>
      <c r="I681" s="44"/>
      <c r="J681" s="44"/>
      <c r="K681" s="44"/>
      <c r="L681" s="44"/>
      <c r="M681" s="44"/>
      <c r="N681" s="44"/>
      <c r="O681" s="44"/>
      <c r="P681" s="44"/>
    </row>
    <row r="682" spans="1:16" x14ac:dyDescent="0.2">
      <c r="A682" s="58" t="str">
        <v>0:00</v>
      </c>
      <c r="B682" s="123"/>
      <c r="C682" s="44"/>
      <c r="D682" s="44"/>
      <c r="E682" s="44"/>
      <c r="F682" s="44"/>
      <c r="G682" s="44"/>
      <c r="H682" s="44"/>
      <c r="I682" s="44"/>
      <c r="J682" s="44"/>
      <c r="K682" s="44"/>
      <c r="L682" s="44"/>
      <c r="M682" s="44"/>
      <c r="N682" s="44"/>
      <c r="O682" s="44"/>
      <c r="P682" s="44"/>
    </row>
    <row r="683" spans="1:16" x14ac:dyDescent="0.2">
      <c r="A683" s="58" t="str">
        <v>0:00</v>
      </c>
      <c r="B683" s="123"/>
      <c r="C683" s="44"/>
      <c r="D683" s="44"/>
      <c r="E683" s="44"/>
      <c r="F683" s="44"/>
      <c r="G683" s="44"/>
      <c r="H683" s="44"/>
      <c r="I683" s="44"/>
      <c r="J683" s="44"/>
      <c r="K683" s="44"/>
      <c r="L683" s="44"/>
      <c r="M683" s="44"/>
      <c r="N683" s="44"/>
      <c r="O683" s="44"/>
      <c r="P683" s="44"/>
    </row>
    <row r="684" spans="1:16" x14ac:dyDescent="0.2">
      <c r="A684" s="58" t="str">
        <v>0:00</v>
      </c>
      <c r="B684" s="123"/>
      <c r="C684" s="44"/>
      <c r="D684" s="44"/>
      <c r="E684" s="44"/>
      <c r="F684" s="44"/>
      <c r="G684" s="44"/>
      <c r="H684" s="44"/>
      <c r="I684" s="44"/>
      <c r="J684" s="44"/>
      <c r="K684" s="44"/>
      <c r="L684" s="44"/>
      <c r="M684" s="44"/>
      <c r="N684" s="44"/>
      <c r="O684" s="44"/>
      <c r="P684" s="44"/>
    </row>
    <row r="685" spans="1:16" x14ac:dyDescent="0.2">
      <c r="A685" s="58" t="str">
        <v>0:00</v>
      </c>
      <c r="B685" s="123"/>
      <c r="C685" s="44"/>
      <c r="D685" s="44"/>
      <c r="E685" s="44"/>
      <c r="F685" s="44"/>
      <c r="G685" s="44"/>
      <c r="H685" s="44"/>
      <c r="I685" s="44"/>
      <c r="J685" s="44"/>
      <c r="K685" s="44"/>
      <c r="L685" s="44"/>
      <c r="M685" s="44"/>
      <c r="N685" s="44"/>
      <c r="O685" s="44"/>
      <c r="P685" s="44"/>
    </row>
    <row r="686" spans="1:16" x14ac:dyDescent="0.2">
      <c r="A686" s="58" t="str">
        <v>0:00</v>
      </c>
      <c r="B686" s="123"/>
      <c r="C686" s="44"/>
      <c r="D686" s="44"/>
      <c r="E686" s="44"/>
      <c r="F686" s="44"/>
      <c r="G686" s="44"/>
      <c r="H686" s="44"/>
      <c r="I686" s="44"/>
      <c r="J686" s="44"/>
      <c r="K686" s="44"/>
      <c r="L686" s="44"/>
      <c r="M686" s="44"/>
      <c r="N686" s="44"/>
      <c r="O686" s="44"/>
      <c r="P686" s="44"/>
    </row>
    <row r="687" spans="1:16" x14ac:dyDescent="0.2">
      <c r="A687" s="58" t="str">
        <v>0:00</v>
      </c>
      <c r="B687" s="123"/>
      <c r="C687" s="44"/>
      <c r="D687" s="44"/>
      <c r="E687" s="44"/>
      <c r="F687" s="44"/>
      <c r="G687" s="44"/>
      <c r="H687" s="44"/>
      <c r="I687" s="44"/>
      <c r="J687" s="44"/>
      <c r="K687" s="44"/>
      <c r="L687" s="44"/>
      <c r="M687" s="44"/>
      <c r="N687" s="44"/>
      <c r="O687" s="44"/>
      <c r="P687" s="44"/>
    </row>
    <row r="688" spans="1:16" x14ac:dyDescent="0.2">
      <c r="A688" s="58" t="str">
        <v>0:00</v>
      </c>
      <c r="B688" s="123"/>
      <c r="C688" s="44"/>
      <c r="D688" s="44"/>
      <c r="E688" s="44"/>
      <c r="F688" s="44"/>
      <c r="G688" s="44"/>
      <c r="H688" s="44"/>
      <c r="I688" s="44"/>
      <c r="J688" s="44"/>
      <c r="K688" s="44"/>
      <c r="L688" s="44"/>
      <c r="M688" s="44"/>
      <c r="N688" s="44"/>
      <c r="O688" s="44"/>
      <c r="P688" s="44"/>
    </row>
    <row r="689" spans="1:16" x14ac:dyDescent="0.2">
      <c r="A689" s="58" t="str">
        <v>0:00</v>
      </c>
      <c r="B689" s="123"/>
      <c r="C689" s="44"/>
      <c r="D689" s="44"/>
      <c r="E689" s="44"/>
      <c r="F689" s="44"/>
      <c r="G689" s="44"/>
      <c r="H689" s="44"/>
      <c r="I689" s="44"/>
      <c r="J689" s="44"/>
      <c r="K689" s="44"/>
      <c r="L689" s="44"/>
      <c r="M689" s="44"/>
      <c r="N689" s="44"/>
      <c r="O689" s="44"/>
      <c r="P689" s="44"/>
    </row>
    <row r="690" spans="1:16" x14ac:dyDescent="0.2">
      <c r="A690" s="58" t="str">
        <v>0:00</v>
      </c>
      <c r="B690" s="123"/>
      <c r="C690" s="44"/>
      <c r="D690" s="44"/>
      <c r="E690" s="44"/>
      <c r="F690" s="44"/>
      <c r="G690" s="44"/>
      <c r="H690" s="44"/>
      <c r="I690" s="44"/>
      <c r="J690" s="44"/>
      <c r="K690" s="44"/>
      <c r="L690" s="44"/>
      <c r="M690" s="44"/>
      <c r="N690" s="44"/>
      <c r="O690" s="44"/>
      <c r="P690" s="44"/>
    </row>
    <row r="691" spans="1:16" x14ac:dyDescent="0.2">
      <c r="A691" s="58" t="str">
        <v>0:00</v>
      </c>
      <c r="B691" s="123"/>
      <c r="C691" s="44"/>
      <c r="D691" s="44"/>
      <c r="E691" s="44"/>
      <c r="F691" s="44"/>
      <c r="G691" s="44"/>
      <c r="H691" s="44"/>
      <c r="I691" s="44"/>
      <c r="J691" s="44"/>
      <c r="K691" s="44"/>
      <c r="L691" s="44"/>
      <c r="M691" s="44"/>
      <c r="N691" s="44"/>
      <c r="O691" s="44"/>
      <c r="P691" s="44"/>
    </row>
    <row r="692" spans="1:16" x14ac:dyDescent="0.2">
      <c r="A692" s="58" t="str">
        <v>0:00</v>
      </c>
      <c r="B692" s="123"/>
      <c r="C692" s="44"/>
      <c r="D692" s="44"/>
      <c r="E692" s="44"/>
      <c r="F692" s="44"/>
      <c r="G692" s="44"/>
      <c r="H692" s="44"/>
      <c r="I692" s="44"/>
      <c r="J692" s="44"/>
      <c r="K692" s="44"/>
      <c r="L692" s="44"/>
      <c r="M692" s="44"/>
      <c r="N692" s="44"/>
      <c r="O692" s="44"/>
      <c r="P692" s="44"/>
    </row>
    <row r="693" spans="1:16" x14ac:dyDescent="0.2">
      <c r="A693" s="58" t="str">
        <v>0:00</v>
      </c>
      <c r="B693" s="123"/>
      <c r="C693" s="44"/>
      <c r="D693" s="44"/>
      <c r="E693" s="44"/>
      <c r="F693" s="44"/>
      <c r="G693" s="44"/>
      <c r="H693" s="44"/>
      <c r="I693" s="44"/>
      <c r="J693" s="44"/>
      <c r="K693" s="44"/>
      <c r="L693" s="44"/>
      <c r="M693" s="44"/>
      <c r="N693" s="44"/>
      <c r="O693" s="44"/>
      <c r="P693" s="44"/>
    </row>
    <row r="694" spans="1:16" x14ac:dyDescent="0.2">
      <c r="A694" s="58" t="str">
        <v>0:00</v>
      </c>
      <c r="B694" s="123"/>
      <c r="C694" s="44"/>
      <c r="D694" s="44"/>
      <c r="E694" s="44"/>
      <c r="F694" s="44"/>
      <c r="G694" s="44"/>
      <c r="H694" s="44"/>
      <c r="I694" s="44"/>
      <c r="J694" s="44"/>
      <c r="K694" s="44"/>
      <c r="L694" s="44"/>
      <c r="M694" s="44"/>
      <c r="N694" s="44"/>
      <c r="O694" s="44"/>
      <c r="P694" s="44"/>
    </row>
    <row r="695" spans="1:16" x14ac:dyDescent="0.2">
      <c r="A695" s="58" t="str">
        <v>0:00</v>
      </c>
      <c r="B695" s="123"/>
      <c r="C695" s="44"/>
      <c r="D695" s="44"/>
      <c r="E695" s="44"/>
      <c r="F695" s="44"/>
      <c r="G695" s="44"/>
      <c r="H695" s="44"/>
      <c r="I695" s="44"/>
      <c r="J695" s="44"/>
      <c r="K695" s="44"/>
      <c r="L695" s="44"/>
      <c r="M695" s="44"/>
      <c r="N695" s="44"/>
      <c r="O695" s="44"/>
      <c r="P695" s="44"/>
    </row>
    <row r="696" spans="1:16" x14ac:dyDescent="0.2">
      <c r="A696" s="58" t="str">
        <v>0:00</v>
      </c>
      <c r="B696" s="123"/>
      <c r="C696" s="44"/>
      <c r="D696" s="44"/>
      <c r="E696" s="44"/>
      <c r="F696" s="44"/>
      <c r="G696" s="44"/>
      <c r="H696" s="44"/>
      <c r="I696" s="44"/>
      <c r="J696" s="44"/>
      <c r="K696" s="44"/>
      <c r="L696" s="44"/>
      <c r="M696" s="44"/>
      <c r="N696" s="44"/>
      <c r="O696" s="44"/>
      <c r="P696" s="44"/>
    </row>
    <row r="697" spans="1:16" x14ac:dyDescent="0.2">
      <c r="A697" s="58" t="str">
        <v>0:00</v>
      </c>
      <c r="B697" s="123"/>
      <c r="C697" s="44"/>
      <c r="D697" s="44"/>
      <c r="E697" s="44"/>
      <c r="F697" s="44"/>
      <c r="G697" s="44"/>
      <c r="H697" s="44"/>
      <c r="I697" s="44"/>
      <c r="J697" s="44"/>
      <c r="K697" s="44"/>
      <c r="L697" s="44"/>
      <c r="M697" s="44"/>
      <c r="N697" s="44"/>
      <c r="O697" s="44"/>
      <c r="P697" s="44"/>
    </row>
    <row r="698" spans="1:16" x14ac:dyDescent="0.2">
      <c r="A698" s="58" t="str">
        <v>0:00</v>
      </c>
      <c r="B698" s="123"/>
      <c r="C698" s="44"/>
      <c r="D698" s="44"/>
      <c r="E698" s="44"/>
      <c r="F698" s="44"/>
      <c r="G698" s="44"/>
      <c r="H698" s="44"/>
      <c r="I698" s="44"/>
      <c r="J698" s="44"/>
      <c r="K698" s="44"/>
      <c r="L698" s="44"/>
      <c r="M698" s="44"/>
      <c r="N698" s="44"/>
      <c r="O698" s="44"/>
      <c r="P698" s="44"/>
    </row>
    <row r="699" spans="1:16" x14ac:dyDescent="0.2">
      <c r="A699" s="58" t="str">
        <v>0:00</v>
      </c>
      <c r="B699" s="123"/>
      <c r="C699" s="44"/>
      <c r="D699" s="44"/>
      <c r="E699" s="44"/>
      <c r="F699" s="44"/>
      <c r="G699" s="44"/>
      <c r="H699" s="44"/>
      <c r="I699" s="44"/>
      <c r="J699" s="44"/>
      <c r="K699" s="44"/>
      <c r="L699" s="44"/>
      <c r="M699" s="44"/>
      <c r="N699" s="44"/>
      <c r="O699" s="44"/>
      <c r="P699" s="44"/>
    </row>
    <row r="700" spans="1:16" x14ac:dyDescent="0.2">
      <c r="A700" s="58" t="str">
        <v>0:00</v>
      </c>
      <c r="B700" s="123"/>
      <c r="C700" s="44"/>
      <c r="D700" s="44"/>
      <c r="E700" s="44"/>
      <c r="F700" s="44"/>
      <c r="G700" s="44"/>
      <c r="H700" s="44"/>
      <c r="I700" s="44"/>
      <c r="J700" s="44"/>
      <c r="K700" s="44"/>
      <c r="L700" s="44"/>
      <c r="M700" s="44"/>
      <c r="N700" s="44"/>
      <c r="O700" s="44"/>
      <c r="P700" s="44"/>
    </row>
    <row r="701" spans="1:16" x14ac:dyDescent="0.2">
      <c r="A701" s="58" t="str">
        <v>0:00</v>
      </c>
      <c r="B701" s="123"/>
      <c r="C701" s="44"/>
      <c r="D701" s="44"/>
      <c r="E701" s="44"/>
      <c r="F701" s="44"/>
      <c r="G701" s="44"/>
      <c r="H701" s="44"/>
      <c r="I701" s="44"/>
      <c r="J701" s="44"/>
      <c r="K701" s="44"/>
      <c r="L701" s="44"/>
      <c r="M701" s="44"/>
      <c r="N701" s="44"/>
      <c r="O701" s="44"/>
      <c r="P701" s="44"/>
    </row>
    <row r="702" spans="1:16" x14ac:dyDescent="0.2">
      <c r="A702" s="58" t="str">
        <v>0:00</v>
      </c>
      <c r="B702" s="123"/>
      <c r="C702" s="44"/>
      <c r="D702" s="44"/>
      <c r="E702" s="44"/>
      <c r="F702" s="44"/>
      <c r="G702" s="44"/>
      <c r="H702" s="44"/>
      <c r="I702" s="44"/>
      <c r="J702" s="44"/>
      <c r="K702" s="44"/>
      <c r="L702" s="44"/>
      <c r="M702" s="44"/>
      <c r="N702" s="44"/>
      <c r="O702" s="44"/>
      <c r="P702" s="44"/>
    </row>
    <row r="703" spans="1:16" x14ac:dyDescent="0.2">
      <c r="A703" s="58" t="str">
        <v>0:00</v>
      </c>
      <c r="B703" s="123"/>
      <c r="C703" s="44"/>
      <c r="D703" s="44"/>
      <c r="E703" s="44"/>
      <c r="F703" s="44"/>
      <c r="G703" s="44"/>
      <c r="H703" s="44"/>
      <c r="I703" s="44"/>
      <c r="J703" s="44"/>
      <c r="K703" s="44"/>
      <c r="L703" s="44"/>
      <c r="M703" s="44"/>
      <c r="N703" s="44"/>
      <c r="O703" s="44"/>
      <c r="P703" s="44"/>
    </row>
    <row r="704" spans="1:16" x14ac:dyDescent="0.2">
      <c r="A704" s="58" t="str">
        <v>0:00</v>
      </c>
      <c r="B704" s="123"/>
      <c r="C704" s="44"/>
      <c r="D704" s="44"/>
      <c r="E704" s="44"/>
      <c r="F704" s="44"/>
      <c r="G704" s="44"/>
      <c r="H704" s="44"/>
      <c r="I704" s="44"/>
      <c r="J704" s="44"/>
      <c r="K704" s="44"/>
      <c r="L704" s="44"/>
      <c r="M704" s="44"/>
      <c r="N704" s="44"/>
      <c r="O704" s="44"/>
      <c r="P704" s="44"/>
    </row>
    <row r="705" spans="1:16" x14ac:dyDescent="0.2">
      <c r="A705" s="58" t="str">
        <v>0:00</v>
      </c>
      <c r="B705" s="123"/>
      <c r="C705" s="44"/>
      <c r="D705" s="44"/>
      <c r="E705" s="44"/>
      <c r="F705" s="44"/>
      <c r="G705" s="44"/>
      <c r="H705" s="44"/>
      <c r="I705" s="44"/>
      <c r="J705" s="44"/>
      <c r="K705" s="44"/>
      <c r="L705" s="44"/>
      <c r="M705" s="44"/>
      <c r="N705" s="44"/>
      <c r="O705" s="44"/>
      <c r="P705" s="44"/>
    </row>
    <row r="706" spans="1:16" x14ac:dyDescent="0.2">
      <c r="A706" s="58" t="str">
        <v>0:00</v>
      </c>
      <c r="B706" s="123"/>
      <c r="C706" s="44"/>
      <c r="D706" s="44"/>
      <c r="E706" s="44"/>
      <c r="F706" s="44"/>
      <c r="G706" s="44"/>
      <c r="H706" s="44"/>
      <c r="I706" s="44"/>
      <c r="J706" s="44"/>
      <c r="K706" s="44"/>
      <c r="L706" s="44"/>
      <c r="M706" s="44"/>
      <c r="N706" s="44"/>
      <c r="O706" s="44"/>
      <c r="P706" s="44"/>
    </row>
    <row r="707" spans="1:16" x14ac:dyDescent="0.2">
      <c r="A707" s="58" t="str">
        <v>0:00</v>
      </c>
      <c r="B707" s="123"/>
      <c r="C707" s="44"/>
      <c r="D707" s="44"/>
      <c r="E707" s="44"/>
      <c r="F707" s="44"/>
      <c r="G707" s="44"/>
      <c r="H707" s="44"/>
      <c r="I707" s="44"/>
      <c r="J707" s="44"/>
      <c r="K707" s="44"/>
      <c r="L707" s="44"/>
      <c r="M707" s="44"/>
      <c r="N707" s="44"/>
      <c r="O707" s="44"/>
      <c r="P707" s="44"/>
    </row>
    <row r="708" spans="1:16" x14ac:dyDescent="0.2">
      <c r="A708" s="58" t="str">
        <v>0:00</v>
      </c>
      <c r="B708" s="123"/>
      <c r="C708" s="44"/>
      <c r="D708" s="44"/>
      <c r="E708" s="44"/>
      <c r="F708" s="44"/>
      <c r="G708" s="44"/>
      <c r="H708" s="44"/>
      <c r="I708" s="44"/>
      <c r="J708" s="44"/>
      <c r="K708" s="44"/>
      <c r="L708" s="44"/>
      <c r="M708" s="44"/>
      <c r="N708" s="44"/>
      <c r="O708" s="44"/>
      <c r="P708" s="44"/>
    </row>
    <row r="709" spans="1:16" x14ac:dyDescent="0.2">
      <c r="A709" s="58" t="str">
        <v>0:00</v>
      </c>
      <c r="B709" s="123"/>
      <c r="C709" s="44"/>
      <c r="D709" s="44"/>
      <c r="E709" s="44"/>
      <c r="F709" s="44"/>
      <c r="G709" s="44"/>
      <c r="H709" s="44"/>
      <c r="I709" s="44"/>
      <c r="J709" s="44"/>
      <c r="K709" s="44"/>
      <c r="L709" s="44"/>
      <c r="M709" s="44"/>
      <c r="N709" s="44"/>
      <c r="O709" s="44"/>
      <c r="P709" s="44"/>
    </row>
    <row r="710" spans="1:16" x14ac:dyDescent="0.2">
      <c r="A710" s="58" t="str">
        <v>0:00</v>
      </c>
      <c r="B710" s="123"/>
      <c r="C710" s="44"/>
      <c r="D710" s="44"/>
      <c r="E710" s="44"/>
      <c r="F710" s="44"/>
      <c r="G710" s="44"/>
      <c r="H710" s="44"/>
      <c r="I710" s="44"/>
      <c r="J710" s="44"/>
      <c r="K710" s="44"/>
      <c r="L710" s="44"/>
      <c r="M710" s="44"/>
      <c r="N710" s="44"/>
      <c r="O710" s="44"/>
      <c r="P710" s="44"/>
    </row>
    <row r="711" spans="1:16" x14ac:dyDescent="0.2">
      <c r="A711" s="58" t="str">
        <v>0:00</v>
      </c>
      <c r="B711" s="123"/>
      <c r="C711" s="44"/>
      <c r="D711" s="44"/>
      <c r="E711" s="44"/>
      <c r="F711" s="44"/>
      <c r="G711" s="44"/>
      <c r="H711" s="44"/>
      <c r="I711" s="44"/>
      <c r="J711" s="44"/>
      <c r="K711" s="44"/>
      <c r="L711" s="44"/>
      <c r="M711" s="44"/>
      <c r="N711" s="44"/>
      <c r="O711" s="44"/>
      <c r="P711" s="44"/>
    </row>
    <row r="712" spans="1:16" x14ac:dyDescent="0.2">
      <c r="A712" s="58" t="str">
        <v>0:00</v>
      </c>
      <c r="B712" s="123"/>
      <c r="C712" s="44"/>
      <c r="D712" s="44"/>
      <c r="E712" s="44"/>
      <c r="F712" s="44"/>
      <c r="G712" s="44"/>
      <c r="H712" s="44"/>
      <c r="I712" s="44"/>
      <c r="J712" s="44"/>
      <c r="K712" s="44"/>
      <c r="L712" s="44"/>
      <c r="M712" s="44"/>
      <c r="N712" s="44"/>
      <c r="O712" s="44"/>
      <c r="P712" s="44"/>
    </row>
    <row r="713" spans="1:16" x14ac:dyDescent="0.2">
      <c r="A713" s="58" t="str">
        <v>0:00</v>
      </c>
      <c r="B713" s="123"/>
      <c r="C713" s="44"/>
      <c r="D713" s="44"/>
      <c r="E713" s="44"/>
      <c r="F713" s="44"/>
      <c r="G713" s="44"/>
      <c r="H713" s="44"/>
      <c r="I713" s="44"/>
      <c r="J713" s="44"/>
      <c r="K713" s="44"/>
      <c r="L713" s="44"/>
      <c r="M713" s="44"/>
      <c r="N713" s="44"/>
      <c r="O713" s="44"/>
      <c r="P713" s="44"/>
    </row>
    <row r="714" spans="1:16" x14ac:dyDescent="0.2">
      <c r="A714" s="58" t="str">
        <v>0:00</v>
      </c>
      <c r="B714" s="123"/>
      <c r="C714" s="44"/>
      <c r="D714" s="44"/>
      <c r="E714" s="44"/>
      <c r="F714" s="44"/>
      <c r="G714" s="44"/>
      <c r="H714" s="44"/>
      <c r="I714" s="44"/>
      <c r="J714" s="44"/>
      <c r="K714" s="44"/>
      <c r="L714" s="44"/>
      <c r="M714" s="44"/>
      <c r="N714" s="44"/>
      <c r="O714" s="44"/>
      <c r="P714" s="44"/>
    </row>
    <row r="715" spans="1:16" x14ac:dyDescent="0.2">
      <c r="A715" s="58" t="str">
        <v>0:00</v>
      </c>
      <c r="B715" s="123"/>
      <c r="C715" s="44"/>
      <c r="D715" s="44"/>
      <c r="E715" s="44"/>
      <c r="F715" s="44"/>
      <c r="G715" s="44"/>
      <c r="H715" s="44"/>
      <c r="I715" s="44"/>
      <c r="J715" s="44"/>
      <c r="K715" s="44"/>
      <c r="L715" s="44"/>
      <c r="M715" s="44"/>
      <c r="N715" s="44"/>
      <c r="O715" s="44"/>
      <c r="P715" s="44"/>
    </row>
    <row r="716" spans="1:16" x14ac:dyDescent="0.2">
      <c r="A716" s="58" t="str">
        <v>0:00</v>
      </c>
      <c r="B716" s="123"/>
      <c r="C716" s="44"/>
      <c r="D716" s="44"/>
      <c r="E716" s="44"/>
      <c r="F716" s="44"/>
      <c r="G716" s="44"/>
      <c r="H716" s="44"/>
      <c r="I716" s="44"/>
      <c r="J716" s="44"/>
      <c r="K716" s="44"/>
      <c r="L716" s="44"/>
      <c r="M716" s="44"/>
      <c r="N716" s="44"/>
      <c r="O716" s="44"/>
      <c r="P716" s="44"/>
    </row>
    <row r="717" spans="1:16" x14ac:dyDescent="0.2">
      <c r="A717" s="58" t="str">
        <v>0:00</v>
      </c>
      <c r="B717" s="123"/>
      <c r="C717" s="44"/>
      <c r="D717" s="44"/>
      <c r="E717" s="44"/>
      <c r="F717" s="44"/>
      <c r="G717" s="44"/>
      <c r="H717" s="44"/>
      <c r="I717" s="44"/>
      <c r="J717" s="44"/>
      <c r="K717" s="44"/>
      <c r="L717" s="44"/>
      <c r="M717" s="44"/>
      <c r="N717" s="44"/>
      <c r="O717" s="44"/>
      <c r="P717" s="44"/>
    </row>
    <row r="718" spans="1:16" x14ac:dyDescent="0.2">
      <c r="A718" s="58" t="str">
        <v>0:00</v>
      </c>
      <c r="B718" s="123"/>
      <c r="C718" s="44"/>
      <c r="D718" s="44"/>
      <c r="E718" s="44"/>
      <c r="F718" s="44"/>
      <c r="G718" s="44"/>
      <c r="H718" s="44"/>
      <c r="I718" s="44"/>
      <c r="J718" s="44"/>
      <c r="K718" s="44"/>
      <c r="L718" s="44"/>
      <c r="M718" s="44"/>
      <c r="N718" s="44"/>
      <c r="O718" s="44"/>
      <c r="P718" s="44"/>
    </row>
    <row r="719" spans="1:16" x14ac:dyDescent="0.2">
      <c r="A719" s="58" t="str">
        <v>0:00</v>
      </c>
      <c r="B719" s="123"/>
      <c r="C719" s="44"/>
      <c r="D719" s="44"/>
      <c r="E719" s="44"/>
      <c r="F719" s="44"/>
      <c r="G719" s="44"/>
      <c r="H719" s="44"/>
      <c r="I719" s="44"/>
      <c r="J719" s="44"/>
      <c r="K719" s="44"/>
      <c r="L719" s="44"/>
      <c r="M719" s="44"/>
      <c r="N719" s="44"/>
      <c r="O719" s="44"/>
      <c r="P719" s="44"/>
    </row>
    <row r="720" spans="1:16" x14ac:dyDescent="0.2">
      <c r="A720" s="58" t="str">
        <v>0:00</v>
      </c>
      <c r="B720" s="123"/>
      <c r="C720" s="44"/>
      <c r="D720" s="44"/>
      <c r="E720" s="44"/>
      <c r="F720" s="44"/>
      <c r="G720" s="44"/>
      <c r="H720" s="44"/>
      <c r="I720" s="44"/>
      <c r="J720" s="44"/>
      <c r="K720" s="44"/>
      <c r="L720" s="44"/>
      <c r="M720" s="44"/>
      <c r="N720" s="44"/>
      <c r="O720" s="44"/>
      <c r="P720" s="44"/>
    </row>
    <row r="721" spans="1:16" x14ac:dyDescent="0.2">
      <c r="A721" s="58" t="str">
        <v>0:00</v>
      </c>
      <c r="B721" s="123"/>
      <c r="C721" s="44"/>
      <c r="D721" s="44"/>
      <c r="E721" s="44"/>
      <c r="F721" s="44"/>
      <c r="G721" s="44"/>
      <c r="H721" s="44"/>
      <c r="I721" s="44"/>
      <c r="J721" s="44"/>
      <c r="K721" s="44"/>
      <c r="L721" s="44"/>
      <c r="M721" s="44"/>
      <c r="N721" s="44"/>
      <c r="O721" s="44"/>
      <c r="P721" s="44"/>
    </row>
    <row r="722" spans="1:16" x14ac:dyDescent="0.2">
      <c r="A722" s="58" t="str">
        <v>0:00</v>
      </c>
      <c r="B722" s="123"/>
      <c r="C722" s="44"/>
      <c r="D722" s="44"/>
      <c r="E722" s="44"/>
      <c r="F722" s="44"/>
      <c r="G722" s="44"/>
      <c r="H722" s="44"/>
      <c r="I722" s="44"/>
      <c r="J722" s="44"/>
      <c r="K722" s="44"/>
      <c r="L722" s="44"/>
      <c r="M722" s="44"/>
      <c r="N722" s="44"/>
      <c r="O722" s="44"/>
      <c r="P722" s="44"/>
    </row>
    <row r="723" spans="1:16" x14ac:dyDescent="0.2">
      <c r="A723" s="58" t="str">
        <v>0:00</v>
      </c>
      <c r="B723" s="123"/>
      <c r="C723" s="44"/>
      <c r="D723" s="44"/>
      <c r="E723" s="44"/>
      <c r="F723" s="44"/>
      <c r="G723" s="44"/>
      <c r="H723" s="44"/>
      <c r="I723" s="44"/>
      <c r="J723" s="44"/>
      <c r="K723" s="44"/>
      <c r="L723" s="44"/>
      <c r="M723" s="44"/>
      <c r="N723" s="44"/>
      <c r="O723" s="44"/>
      <c r="P723" s="44"/>
    </row>
    <row r="724" spans="1:16" x14ac:dyDescent="0.2">
      <c r="A724" s="58" t="str">
        <v>0:00</v>
      </c>
      <c r="B724" s="123"/>
      <c r="C724" s="44"/>
      <c r="D724" s="44"/>
      <c r="E724" s="44"/>
      <c r="F724" s="44"/>
      <c r="G724" s="44"/>
      <c r="H724" s="44"/>
      <c r="I724" s="44"/>
      <c r="J724" s="44"/>
      <c r="K724" s="44"/>
      <c r="L724" s="44"/>
      <c r="M724" s="44"/>
      <c r="N724" s="44"/>
      <c r="O724" s="44"/>
      <c r="P724" s="44"/>
    </row>
    <row r="725" spans="1:16" x14ac:dyDescent="0.2">
      <c r="A725" s="58" t="str">
        <v>0:00</v>
      </c>
      <c r="B725" s="123"/>
      <c r="C725" s="44"/>
      <c r="D725" s="44"/>
      <c r="E725" s="44"/>
      <c r="F725" s="44"/>
      <c r="G725" s="44"/>
      <c r="H725" s="44"/>
      <c r="I725" s="44"/>
      <c r="J725" s="44"/>
      <c r="K725" s="44"/>
      <c r="L725" s="44"/>
      <c r="M725" s="44"/>
      <c r="N725" s="44"/>
      <c r="O725" s="44"/>
      <c r="P725" s="44"/>
    </row>
    <row r="726" spans="1:16" x14ac:dyDescent="0.2">
      <c r="A726" s="58" t="str">
        <v>0:00</v>
      </c>
      <c r="B726" s="123"/>
      <c r="C726" s="44"/>
      <c r="D726" s="44"/>
      <c r="E726" s="44"/>
      <c r="F726" s="44"/>
      <c r="G726" s="44"/>
      <c r="H726" s="44"/>
      <c r="I726" s="44"/>
      <c r="J726" s="44"/>
      <c r="K726" s="44"/>
      <c r="L726" s="44"/>
      <c r="M726" s="44"/>
      <c r="N726" s="44"/>
      <c r="O726" s="44"/>
      <c r="P726" s="44"/>
    </row>
    <row r="727" spans="1:16" x14ac:dyDescent="0.2">
      <c r="A727" s="58" t="str">
        <v>0:00</v>
      </c>
      <c r="B727" s="123"/>
      <c r="C727" s="44"/>
      <c r="D727" s="44"/>
      <c r="E727" s="44"/>
      <c r="F727" s="44"/>
      <c r="G727" s="44"/>
      <c r="H727" s="44"/>
      <c r="I727" s="44"/>
      <c r="J727" s="44"/>
      <c r="K727" s="44"/>
      <c r="L727" s="44"/>
      <c r="M727" s="44"/>
      <c r="N727" s="44"/>
      <c r="O727" s="44"/>
      <c r="P727" s="44"/>
    </row>
    <row r="728" spans="1:16" x14ac:dyDescent="0.2">
      <c r="A728" s="58" t="str">
        <v>0:00</v>
      </c>
      <c r="B728" s="123"/>
      <c r="C728" s="44"/>
      <c r="D728" s="44"/>
      <c r="E728" s="44"/>
      <c r="F728" s="44"/>
      <c r="G728" s="44"/>
      <c r="H728" s="44"/>
      <c r="I728" s="44"/>
      <c r="J728" s="44"/>
      <c r="K728" s="44"/>
      <c r="L728" s="44"/>
      <c r="M728" s="44"/>
      <c r="N728" s="44"/>
      <c r="O728" s="44"/>
      <c r="P728" s="44"/>
    </row>
    <row r="729" spans="1:16" x14ac:dyDescent="0.2">
      <c r="A729" s="58" t="str">
        <v>0:00</v>
      </c>
      <c r="B729" s="123"/>
      <c r="C729" s="44"/>
      <c r="D729" s="44"/>
      <c r="E729" s="44"/>
      <c r="F729" s="44"/>
      <c r="G729" s="44"/>
      <c r="H729" s="44"/>
      <c r="I729" s="44"/>
      <c r="J729" s="44"/>
      <c r="K729" s="44"/>
      <c r="L729" s="44"/>
      <c r="M729" s="44"/>
      <c r="N729" s="44"/>
      <c r="O729" s="44"/>
      <c r="P729" s="44"/>
    </row>
    <row r="730" spans="1:16" x14ac:dyDescent="0.2">
      <c r="A730" s="58" t="str">
        <v>0:00</v>
      </c>
      <c r="B730" s="123"/>
      <c r="C730" s="44"/>
      <c r="D730" s="44"/>
      <c r="E730" s="44"/>
      <c r="F730" s="44"/>
      <c r="G730" s="44"/>
      <c r="H730" s="44"/>
      <c r="I730" s="44"/>
      <c r="J730" s="44"/>
      <c r="K730" s="44"/>
      <c r="L730" s="44"/>
      <c r="M730" s="44"/>
      <c r="N730" s="44"/>
      <c r="O730" s="44"/>
      <c r="P730" s="44"/>
    </row>
    <row r="731" spans="1:16" x14ac:dyDescent="0.2">
      <c r="A731" s="58" t="str">
        <v>0:00</v>
      </c>
      <c r="B731" s="123"/>
      <c r="C731" s="44"/>
      <c r="D731" s="44"/>
      <c r="E731" s="44"/>
      <c r="F731" s="44"/>
      <c r="G731" s="44"/>
      <c r="H731" s="44"/>
      <c r="I731" s="44"/>
      <c r="J731" s="44"/>
      <c r="K731" s="44"/>
      <c r="L731" s="44"/>
      <c r="M731" s="44"/>
      <c r="N731" s="44"/>
      <c r="O731" s="44"/>
      <c r="P731" s="44"/>
    </row>
    <row r="732" spans="1:16" x14ac:dyDescent="0.2">
      <c r="A732" s="58" t="str">
        <v>0:00</v>
      </c>
      <c r="B732" s="123"/>
      <c r="C732" s="44"/>
      <c r="D732" s="44"/>
      <c r="E732" s="44"/>
      <c r="F732" s="44"/>
      <c r="G732" s="44"/>
      <c r="H732" s="44"/>
      <c r="I732" s="44"/>
      <c r="J732" s="44"/>
      <c r="K732" s="44"/>
      <c r="L732" s="44"/>
      <c r="M732" s="44"/>
      <c r="N732" s="44"/>
      <c r="O732" s="44"/>
      <c r="P732" s="44"/>
    </row>
    <row r="733" spans="1:16" x14ac:dyDescent="0.2">
      <c r="A733" s="58" t="str">
        <v>0:00</v>
      </c>
      <c r="B733" s="123"/>
      <c r="C733" s="44"/>
      <c r="D733" s="44"/>
      <c r="E733" s="44"/>
      <c r="F733" s="44"/>
      <c r="G733" s="44"/>
      <c r="H733" s="44"/>
      <c r="I733" s="44"/>
      <c r="J733" s="44"/>
      <c r="K733" s="44"/>
      <c r="L733" s="44"/>
      <c r="M733" s="44"/>
      <c r="N733" s="44"/>
      <c r="O733" s="44"/>
      <c r="P733" s="44"/>
    </row>
    <row r="734" spans="1:16" x14ac:dyDescent="0.2">
      <c r="A734" s="58" t="str">
        <v>0:00</v>
      </c>
      <c r="B734" s="123"/>
      <c r="C734" s="44"/>
      <c r="D734" s="44"/>
      <c r="E734" s="44"/>
      <c r="F734" s="44"/>
      <c r="G734" s="44"/>
      <c r="H734" s="44"/>
      <c r="I734" s="44"/>
      <c r="J734" s="44"/>
      <c r="K734" s="44"/>
      <c r="L734" s="44"/>
      <c r="M734" s="44"/>
      <c r="N734" s="44"/>
      <c r="O734" s="44"/>
      <c r="P734" s="44"/>
    </row>
    <row r="735" spans="1:16" x14ac:dyDescent="0.2">
      <c r="A735" s="58" t="str">
        <v>0:00</v>
      </c>
      <c r="B735" s="123"/>
      <c r="C735" s="44"/>
      <c r="D735" s="44"/>
      <c r="E735" s="44"/>
      <c r="F735" s="44"/>
      <c r="G735" s="44"/>
      <c r="H735" s="44"/>
      <c r="I735" s="44"/>
      <c r="J735" s="44"/>
      <c r="K735" s="44"/>
      <c r="L735" s="44"/>
      <c r="M735" s="44"/>
      <c r="N735" s="44"/>
      <c r="O735" s="44"/>
      <c r="P735" s="44"/>
    </row>
    <row r="736" spans="1:16" x14ac:dyDescent="0.2">
      <c r="A736" s="58" t="str">
        <v>0:00</v>
      </c>
      <c r="B736" s="123"/>
      <c r="C736" s="44"/>
      <c r="D736" s="44"/>
      <c r="E736" s="44"/>
      <c r="F736" s="44"/>
      <c r="G736" s="44"/>
      <c r="H736" s="44"/>
      <c r="I736" s="44"/>
      <c r="J736" s="44"/>
      <c r="K736" s="44"/>
      <c r="L736" s="44"/>
      <c r="M736" s="44"/>
      <c r="N736" s="44"/>
      <c r="O736" s="44"/>
      <c r="P736" s="44"/>
    </row>
    <row r="737" spans="1:16" x14ac:dyDescent="0.2">
      <c r="A737" s="58" t="str">
        <v>0:00</v>
      </c>
      <c r="B737" s="123"/>
      <c r="C737" s="44"/>
      <c r="D737" s="44"/>
      <c r="E737" s="44"/>
      <c r="F737" s="44"/>
      <c r="G737" s="44"/>
      <c r="H737" s="44"/>
      <c r="I737" s="44"/>
      <c r="J737" s="44"/>
      <c r="K737" s="44"/>
      <c r="L737" s="44"/>
      <c r="M737" s="44"/>
      <c r="N737" s="44"/>
      <c r="O737" s="44"/>
      <c r="P737" s="44"/>
    </row>
    <row r="738" spans="1:16" x14ac:dyDescent="0.2">
      <c r="A738" s="58" t="str">
        <v>0:00</v>
      </c>
      <c r="B738" s="123"/>
      <c r="C738" s="44"/>
      <c r="D738" s="44"/>
      <c r="E738" s="44"/>
      <c r="F738" s="44"/>
      <c r="G738" s="44"/>
      <c r="H738" s="44"/>
      <c r="I738" s="44"/>
      <c r="J738" s="44"/>
      <c r="K738" s="44"/>
      <c r="L738" s="44"/>
      <c r="M738" s="44"/>
      <c r="N738" s="44"/>
      <c r="O738" s="44"/>
      <c r="P738" s="44"/>
    </row>
    <row r="739" spans="1:16" x14ac:dyDescent="0.2">
      <c r="A739" s="58" t="str">
        <v>0:00</v>
      </c>
      <c r="B739" s="123"/>
      <c r="C739" s="44"/>
      <c r="D739" s="44"/>
      <c r="E739" s="44"/>
      <c r="F739" s="44"/>
      <c r="G739" s="44"/>
      <c r="H739" s="44"/>
      <c r="I739" s="44"/>
      <c r="J739" s="44"/>
      <c r="K739" s="44"/>
      <c r="L739" s="44"/>
      <c r="M739" s="44"/>
      <c r="N739" s="44"/>
      <c r="O739" s="44"/>
      <c r="P739" s="44"/>
    </row>
    <row r="740" spans="1:16" x14ac:dyDescent="0.2">
      <c r="A740" s="58" t="str">
        <v>0:00</v>
      </c>
      <c r="B740" s="123"/>
      <c r="C740" s="44"/>
      <c r="D740" s="44"/>
      <c r="E740" s="44"/>
      <c r="F740" s="44"/>
      <c r="G740" s="44"/>
      <c r="H740" s="44"/>
      <c r="I740" s="44"/>
      <c r="J740" s="44"/>
      <c r="K740" s="44"/>
      <c r="L740" s="44"/>
      <c r="M740" s="44"/>
      <c r="N740" s="44"/>
      <c r="O740" s="44"/>
      <c r="P740" s="44"/>
    </row>
    <row r="741" spans="1:16" x14ac:dyDescent="0.2">
      <c r="A741" s="58" t="str">
        <v>0:00</v>
      </c>
      <c r="B741" s="123"/>
      <c r="C741" s="44"/>
      <c r="D741" s="44"/>
      <c r="E741" s="44"/>
      <c r="F741" s="44"/>
      <c r="G741" s="44"/>
      <c r="H741" s="44"/>
      <c r="I741" s="44"/>
      <c r="J741" s="44"/>
      <c r="K741" s="44"/>
      <c r="L741" s="44"/>
      <c r="M741" s="44"/>
      <c r="N741" s="44"/>
      <c r="O741" s="44"/>
      <c r="P741" s="44"/>
    </row>
    <row r="742" spans="1:16" x14ac:dyDescent="0.2">
      <c r="A742" s="58" t="str">
        <v>0:00</v>
      </c>
      <c r="B742" s="123"/>
      <c r="C742" s="44"/>
      <c r="D742" s="44"/>
      <c r="E742" s="44"/>
      <c r="F742" s="44"/>
      <c r="G742" s="44"/>
      <c r="H742" s="44"/>
      <c r="I742" s="44"/>
      <c r="J742" s="44"/>
      <c r="K742" s="44"/>
      <c r="L742" s="44"/>
      <c r="M742" s="44"/>
      <c r="N742" s="44"/>
      <c r="O742" s="44"/>
      <c r="P742" s="44"/>
    </row>
    <row r="743" spans="1:16" x14ac:dyDescent="0.2">
      <c r="A743" s="58" t="str">
        <v>0:00</v>
      </c>
      <c r="B743" s="123"/>
      <c r="C743" s="44"/>
      <c r="D743" s="44"/>
      <c r="E743" s="44"/>
      <c r="F743" s="44"/>
      <c r="G743" s="44"/>
      <c r="H743" s="44"/>
      <c r="I743" s="44"/>
      <c r="J743" s="44"/>
      <c r="K743" s="44"/>
      <c r="L743" s="44"/>
      <c r="M743" s="44"/>
      <c r="N743" s="44"/>
      <c r="O743" s="44"/>
      <c r="P743" s="44"/>
    </row>
    <row r="744" spans="1:16" x14ac:dyDescent="0.2">
      <c r="A744" s="58" t="str">
        <v>0:00</v>
      </c>
      <c r="B744" s="123"/>
      <c r="C744" s="44"/>
      <c r="D744" s="44"/>
      <c r="E744" s="44"/>
      <c r="F744" s="44"/>
      <c r="G744" s="44"/>
      <c r="H744" s="44"/>
      <c r="I744" s="44"/>
      <c r="J744" s="44"/>
      <c r="K744" s="44"/>
      <c r="L744" s="44"/>
      <c r="M744" s="44"/>
      <c r="N744" s="44"/>
      <c r="O744" s="44"/>
      <c r="P744" s="44"/>
    </row>
    <row r="745" spans="1:16" x14ac:dyDescent="0.2">
      <c r="A745" s="58" t="str">
        <v>0:00</v>
      </c>
      <c r="B745" s="123"/>
      <c r="C745" s="44"/>
      <c r="D745" s="44"/>
      <c r="E745" s="44"/>
      <c r="F745" s="44"/>
      <c r="G745" s="44"/>
      <c r="H745" s="44"/>
      <c r="I745" s="44"/>
      <c r="J745" s="44"/>
      <c r="K745" s="44"/>
      <c r="L745" s="44"/>
      <c r="M745" s="44"/>
      <c r="N745" s="44"/>
      <c r="O745" s="44"/>
      <c r="P745" s="44"/>
    </row>
    <row r="746" spans="1:16" x14ac:dyDescent="0.2">
      <c r="A746" s="58" t="str">
        <v>0:00</v>
      </c>
      <c r="B746" s="123"/>
      <c r="C746" s="44"/>
      <c r="D746" s="44"/>
      <c r="E746" s="44"/>
      <c r="F746" s="44"/>
      <c r="G746" s="44"/>
      <c r="H746" s="44"/>
      <c r="I746" s="44"/>
      <c r="J746" s="44"/>
      <c r="K746" s="44"/>
      <c r="L746" s="44"/>
      <c r="M746" s="44"/>
      <c r="N746" s="44"/>
      <c r="O746" s="44"/>
      <c r="P746" s="44"/>
    </row>
    <row r="747" spans="1:16" x14ac:dyDescent="0.2">
      <c r="A747" s="58" t="str">
        <v>0:00</v>
      </c>
      <c r="B747" s="123"/>
      <c r="C747" s="44"/>
      <c r="D747" s="44"/>
      <c r="E747" s="44"/>
      <c r="F747" s="44"/>
      <c r="G747" s="44"/>
      <c r="H747" s="44"/>
      <c r="I747" s="44"/>
      <c r="J747" s="44"/>
      <c r="K747" s="44"/>
      <c r="L747" s="44"/>
      <c r="M747" s="44"/>
      <c r="N747" s="44"/>
      <c r="O747" s="44"/>
      <c r="P747" s="44"/>
    </row>
    <row r="748" spans="1:16" x14ac:dyDescent="0.2">
      <c r="A748" s="58" t="str">
        <v>0:00</v>
      </c>
      <c r="B748" s="123"/>
      <c r="C748" s="44"/>
      <c r="D748" s="44"/>
      <c r="E748" s="44"/>
      <c r="F748" s="44"/>
      <c r="G748" s="44"/>
      <c r="H748" s="44"/>
      <c r="I748" s="44"/>
      <c r="J748" s="44"/>
      <c r="K748" s="44"/>
      <c r="L748" s="44"/>
      <c r="M748" s="44"/>
      <c r="N748" s="44"/>
      <c r="O748" s="44"/>
      <c r="P748" s="44"/>
    </row>
    <row r="749" spans="1:16" x14ac:dyDescent="0.2">
      <c r="A749" s="58" t="str">
        <v>0:00</v>
      </c>
      <c r="B749" s="123"/>
      <c r="C749" s="44"/>
      <c r="D749" s="44"/>
      <c r="E749" s="44"/>
      <c r="F749" s="44"/>
      <c r="G749" s="44"/>
      <c r="H749" s="44"/>
      <c r="I749" s="44"/>
      <c r="J749" s="44"/>
      <c r="K749" s="44"/>
      <c r="L749" s="44"/>
      <c r="M749" s="44"/>
      <c r="N749" s="44"/>
      <c r="O749" s="44"/>
      <c r="P749" s="44"/>
    </row>
    <row r="750" spans="1:16" x14ac:dyDescent="0.2">
      <c r="A750" s="58" t="str">
        <v>0:00</v>
      </c>
      <c r="B750" s="123"/>
      <c r="C750" s="44"/>
      <c r="D750" s="44"/>
      <c r="E750" s="44"/>
      <c r="F750" s="44"/>
      <c r="G750" s="44"/>
      <c r="H750" s="44"/>
      <c r="I750" s="44"/>
      <c r="J750" s="44"/>
      <c r="K750" s="44"/>
      <c r="L750" s="44"/>
      <c r="M750" s="44"/>
      <c r="N750" s="44"/>
      <c r="O750" s="44"/>
      <c r="P750" s="44"/>
    </row>
    <row r="751" spans="1:16" x14ac:dyDescent="0.2">
      <c r="A751" s="58" t="str">
        <v>0:00</v>
      </c>
      <c r="B751" s="123"/>
      <c r="C751" s="44"/>
      <c r="D751" s="44"/>
      <c r="E751" s="44"/>
      <c r="F751" s="44"/>
      <c r="G751" s="44"/>
      <c r="H751" s="44"/>
      <c r="I751" s="44"/>
      <c r="J751" s="44"/>
      <c r="K751" s="44"/>
      <c r="L751" s="44"/>
      <c r="M751" s="44"/>
      <c r="N751" s="44"/>
      <c r="O751" s="44"/>
      <c r="P751" s="44"/>
    </row>
    <row r="752" spans="1:16" x14ac:dyDescent="0.2">
      <c r="A752" s="58" t="str">
        <v>0:00</v>
      </c>
      <c r="B752" s="123"/>
      <c r="C752" s="44"/>
      <c r="D752" s="44"/>
      <c r="E752" s="44"/>
      <c r="F752" s="44"/>
      <c r="G752" s="44"/>
      <c r="H752" s="44"/>
      <c r="I752" s="44"/>
      <c r="J752" s="44"/>
      <c r="K752" s="44"/>
      <c r="L752" s="44"/>
      <c r="M752" s="44"/>
      <c r="N752" s="44"/>
      <c r="O752" s="44"/>
      <c r="P752" s="44"/>
    </row>
    <row r="753" spans="1:16" x14ac:dyDescent="0.2">
      <c r="A753" s="58" t="str">
        <v>0:00</v>
      </c>
      <c r="B753" s="123"/>
      <c r="C753" s="44"/>
      <c r="D753" s="44"/>
      <c r="E753" s="44"/>
      <c r="F753" s="44"/>
      <c r="G753" s="44"/>
      <c r="H753" s="44"/>
      <c r="I753" s="44"/>
      <c r="J753" s="44"/>
      <c r="K753" s="44"/>
      <c r="L753" s="44"/>
      <c r="M753" s="44"/>
      <c r="N753" s="44"/>
      <c r="O753" s="44"/>
      <c r="P753" s="44"/>
    </row>
    <row r="754" spans="1:16" x14ac:dyDescent="0.2">
      <c r="A754" s="58" t="str">
        <v>0:00</v>
      </c>
      <c r="B754" s="123"/>
      <c r="C754" s="44"/>
      <c r="D754" s="44"/>
      <c r="E754" s="44"/>
      <c r="F754" s="44"/>
      <c r="G754" s="44"/>
      <c r="H754" s="44"/>
      <c r="I754" s="44"/>
      <c r="J754" s="44"/>
      <c r="K754" s="44"/>
      <c r="L754" s="44"/>
      <c r="M754" s="44"/>
      <c r="N754" s="44"/>
      <c r="O754" s="44"/>
      <c r="P754" s="44"/>
    </row>
    <row r="755" spans="1:16" x14ac:dyDescent="0.2">
      <c r="A755" s="58" t="str">
        <v>0:00</v>
      </c>
      <c r="B755" s="123"/>
      <c r="C755" s="44"/>
      <c r="D755" s="44"/>
      <c r="E755" s="44"/>
      <c r="F755" s="44"/>
      <c r="G755" s="44"/>
      <c r="H755" s="44"/>
      <c r="I755" s="44"/>
      <c r="J755" s="44"/>
      <c r="K755" s="44"/>
      <c r="L755" s="44"/>
      <c r="M755" s="44"/>
      <c r="N755" s="44"/>
      <c r="O755" s="44"/>
      <c r="P755" s="44"/>
    </row>
    <row r="756" spans="1:16" x14ac:dyDescent="0.2">
      <c r="A756" s="58" t="str">
        <v>0:00</v>
      </c>
      <c r="B756" s="123"/>
      <c r="C756" s="44"/>
      <c r="D756" s="44"/>
      <c r="E756" s="44"/>
      <c r="F756" s="44"/>
      <c r="G756" s="44"/>
      <c r="H756" s="44"/>
      <c r="I756" s="44"/>
      <c r="J756" s="44"/>
      <c r="K756" s="44"/>
      <c r="L756" s="44"/>
      <c r="M756" s="44"/>
      <c r="N756" s="44"/>
      <c r="O756" s="44"/>
      <c r="P756" s="44"/>
    </row>
    <row r="757" spans="1:16" x14ac:dyDescent="0.2">
      <c r="A757" s="58" t="str">
        <v>0:00</v>
      </c>
      <c r="B757" s="123"/>
      <c r="C757" s="44"/>
      <c r="D757" s="44"/>
      <c r="E757" s="44"/>
      <c r="F757" s="44"/>
      <c r="G757" s="44"/>
      <c r="H757" s="44"/>
      <c r="I757" s="44"/>
      <c r="J757" s="44"/>
      <c r="K757" s="44"/>
      <c r="L757" s="44"/>
      <c r="M757" s="44"/>
      <c r="N757" s="44"/>
      <c r="O757" s="44"/>
      <c r="P757" s="44"/>
    </row>
    <row r="758" spans="1:16" x14ac:dyDescent="0.2">
      <c r="A758" s="58" t="str">
        <v>0:00</v>
      </c>
      <c r="B758" s="123"/>
      <c r="C758" s="44"/>
      <c r="D758" s="44"/>
      <c r="E758" s="44"/>
      <c r="F758" s="44"/>
      <c r="G758" s="44"/>
      <c r="H758" s="44"/>
      <c r="I758" s="44"/>
      <c r="J758" s="44"/>
      <c r="K758" s="44"/>
      <c r="L758" s="44"/>
      <c r="M758" s="44"/>
      <c r="N758" s="44"/>
      <c r="O758" s="44"/>
      <c r="P758" s="44"/>
    </row>
    <row r="759" spans="1:16" x14ac:dyDescent="0.2">
      <c r="A759" s="58" t="str">
        <v>0:00</v>
      </c>
      <c r="B759" s="123"/>
      <c r="C759" s="44"/>
      <c r="D759" s="44"/>
      <c r="E759" s="44"/>
      <c r="F759" s="44"/>
      <c r="G759" s="44"/>
      <c r="H759" s="44"/>
      <c r="I759" s="44"/>
      <c r="J759" s="44"/>
      <c r="K759" s="44"/>
      <c r="L759" s="44"/>
      <c r="M759" s="44"/>
      <c r="N759" s="44"/>
      <c r="O759" s="44"/>
      <c r="P759" s="44"/>
    </row>
    <row r="760" spans="1:16" x14ac:dyDescent="0.2">
      <c r="A760" s="58" t="str">
        <v>0:00</v>
      </c>
      <c r="B760" s="123"/>
      <c r="C760" s="44"/>
      <c r="D760" s="44"/>
      <c r="E760" s="44"/>
      <c r="F760" s="44"/>
      <c r="G760" s="44"/>
      <c r="H760" s="44"/>
      <c r="I760" s="44"/>
      <c r="J760" s="44"/>
      <c r="K760" s="44"/>
      <c r="L760" s="44"/>
      <c r="M760" s="44"/>
      <c r="N760" s="44"/>
      <c r="O760" s="44"/>
      <c r="P760" s="44"/>
    </row>
    <row r="761" spans="1:16" x14ac:dyDescent="0.2">
      <c r="A761" s="58" t="str">
        <v>0:00</v>
      </c>
      <c r="B761" s="123"/>
      <c r="C761" s="44"/>
      <c r="D761" s="44"/>
      <c r="E761" s="44"/>
      <c r="F761" s="44"/>
      <c r="G761" s="44"/>
      <c r="H761" s="44"/>
      <c r="I761" s="44"/>
      <c r="J761" s="44"/>
      <c r="K761" s="44"/>
      <c r="L761" s="44"/>
      <c r="M761" s="44"/>
      <c r="N761" s="44"/>
      <c r="O761" s="44"/>
      <c r="P761" s="44"/>
    </row>
    <row r="762" spans="1:16" x14ac:dyDescent="0.2">
      <c r="A762" s="58" t="str">
        <v>0:00</v>
      </c>
      <c r="B762" s="123"/>
      <c r="C762" s="44"/>
      <c r="D762" s="44"/>
      <c r="E762" s="44"/>
      <c r="F762" s="44"/>
      <c r="G762" s="44"/>
      <c r="H762" s="44"/>
      <c r="I762" s="44"/>
      <c r="J762" s="44"/>
      <c r="K762" s="44"/>
      <c r="L762" s="44"/>
      <c r="M762" s="44"/>
      <c r="N762" s="44"/>
      <c r="O762" s="44"/>
      <c r="P762" s="44"/>
    </row>
    <row r="763" spans="1:16" x14ac:dyDescent="0.2">
      <c r="A763" s="58" t="str">
        <v>0:00</v>
      </c>
      <c r="B763" s="123"/>
      <c r="C763" s="44"/>
      <c r="D763" s="44"/>
      <c r="E763" s="44"/>
      <c r="F763" s="44"/>
      <c r="G763" s="44"/>
      <c r="H763" s="44"/>
      <c r="I763" s="44"/>
      <c r="J763" s="44"/>
      <c r="K763" s="44"/>
      <c r="L763" s="44"/>
      <c r="M763" s="44"/>
      <c r="N763" s="44"/>
      <c r="O763" s="44"/>
      <c r="P763" s="44"/>
    </row>
    <row r="764" spans="1:16" x14ac:dyDescent="0.2">
      <c r="A764" s="58" t="str">
        <v>0:00</v>
      </c>
      <c r="B764" s="123"/>
      <c r="C764" s="44"/>
      <c r="D764" s="44"/>
      <c r="E764" s="44"/>
      <c r="F764" s="44"/>
      <c r="G764" s="44"/>
      <c r="H764" s="44"/>
      <c r="I764" s="44"/>
      <c r="J764" s="44"/>
      <c r="K764" s="44"/>
      <c r="L764" s="44"/>
      <c r="M764" s="44"/>
      <c r="N764" s="44"/>
      <c r="O764" s="44"/>
      <c r="P764" s="44"/>
    </row>
    <row r="765" spans="1:16" x14ac:dyDescent="0.2">
      <c r="A765" s="58" t="str">
        <v>0:00</v>
      </c>
      <c r="B765" s="123"/>
      <c r="C765" s="44"/>
      <c r="D765" s="44"/>
      <c r="E765" s="44"/>
      <c r="F765" s="44"/>
      <c r="G765" s="44"/>
      <c r="H765" s="44"/>
      <c r="I765" s="44"/>
      <c r="J765" s="44"/>
      <c r="K765" s="44"/>
      <c r="L765" s="44"/>
      <c r="M765" s="44"/>
      <c r="N765" s="44"/>
      <c r="O765" s="44"/>
      <c r="P765" s="44"/>
    </row>
    <row r="766" spans="1:16" x14ac:dyDescent="0.2">
      <c r="A766" s="58" t="str">
        <v>0:00</v>
      </c>
      <c r="B766" s="123"/>
      <c r="C766" s="44"/>
      <c r="D766" s="44"/>
      <c r="E766" s="44"/>
      <c r="F766" s="44"/>
      <c r="G766" s="44"/>
      <c r="H766" s="44"/>
      <c r="I766" s="44"/>
      <c r="J766" s="44"/>
      <c r="K766" s="44"/>
      <c r="L766" s="44"/>
      <c r="M766" s="44"/>
      <c r="N766" s="44"/>
      <c r="O766" s="44"/>
      <c r="P766" s="44"/>
    </row>
    <row r="767" spans="1:16" x14ac:dyDescent="0.2">
      <c r="A767" s="58" t="str">
        <v>0:00</v>
      </c>
      <c r="B767" s="123"/>
      <c r="C767" s="44"/>
      <c r="D767" s="44"/>
      <c r="E767" s="44"/>
      <c r="F767" s="44"/>
      <c r="G767" s="44"/>
      <c r="H767" s="44"/>
      <c r="I767" s="44"/>
      <c r="J767" s="44"/>
      <c r="K767" s="44"/>
      <c r="L767" s="44"/>
      <c r="M767" s="44"/>
      <c r="N767" s="44"/>
      <c r="O767" s="44"/>
      <c r="P767" s="44"/>
    </row>
    <row r="768" spans="1:16" x14ac:dyDescent="0.2">
      <c r="A768" s="58" t="str">
        <v>0:00</v>
      </c>
      <c r="B768" s="123"/>
      <c r="C768" s="44"/>
      <c r="D768" s="44"/>
      <c r="E768" s="44"/>
      <c r="F768" s="44"/>
      <c r="G768" s="44"/>
      <c r="H768" s="44"/>
      <c r="I768" s="44"/>
      <c r="J768" s="44"/>
      <c r="K768" s="44"/>
      <c r="L768" s="44"/>
      <c r="M768" s="44"/>
      <c r="N768" s="44"/>
      <c r="O768" s="44"/>
      <c r="P768" s="44"/>
    </row>
    <row r="769" spans="1:16" x14ac:dyDescent="0.2">
      <c r="A769" s="58" t="str">
        <v>0:00</v>
      </c>
      <c r="B769" s="123"/>
      <c r="C769" s="44"/>
      <c r="D769" s="44"/>
      <c r="E769" s="44"/>
      <c r="F769" s="44"/>
      <c r="G769" s="44"/>
      <c r="H769" s="44"/>
      <c r="I769" s="44"/>
      <c r="J769" s="44"/>
      <c r="K769" s="44"/>
      <c r="L769" s="44"/>
      <c r="M769" s="44"/>
      <c r="N769" s="44"/>
      <c r="O769" s="44"/>
      <c r="P769" s="44"/>
    </row>
    <row r="770" spans="1:16" x14ac:dyDescent="0.2">
      <c r="A770" s="58" t="str">
        <v>0:00</v>
      </c>
      <c r="B770" s="123"/>
      <c r="C770" s="44"/>
      <c r="D770" s="44"/>
      <c r="E770" s="44"/>
      <c r="F770" s="44"/>
      <c r="G770" s="44"/>
      <c r="H770" s="44"/>
      <c r="I770" s="44"/>
      <c r="J770" s="44"/>
      <c r="K770" s="44"/>
      <c r="L770" s="44"/>
      <c r="M770" s="44"/>
      <c r="N770" s="44"/>
      <c r="O770" s="44"/>
      <c r="P770" s="44"/>
    </row>
    <row r="771" spans="1:16" x14ac:dyDescent="0.2">
      <c r="A771" s="58" t="str">
        <v>0:00</v>
      </c>
      <c r="B771" s="123"/>
      <c r="C771" s="44"/>
      <c r="D771" s="44"/>
      <c r="E771" s="44"/>
      <c r="F771" s="44"/>
      <c r="G771" s="44"/>
      <c r="H771" s="44"/>
      <c r="I771" s="44"/>
      <c r="J771" s="44"/>
      <c r="K771" s="44"/>
      <c r="L771" s="44"/>
      <c r="M771" s="44"/>
      <c r="N771" s="44"/>
      <c r="O771" s="44"/>
      <c r="P771" s="44"/>
    </row>
    <row r="772" spans="1:16" x14ac:dyDescent="0.2">
      <c r="A772" s="58" t="str">
        <v>0:00</v>
      </c>
      <c r="B772" s="123"/>
      <c r="C772" s="44"/>
      <c r="D772" s="44"/>
      <c r="E772" s="44"/>
      <c r="F772" s="44"/>
      <c r="G772" s="44"/>
      <c r="H772" s="44"/>
      <c r="I772" s="44"/>
      <c r="J772" s="44"/>
      <c r="K772" s="44"/>
      <c r="L772" s="44"/>
      <c r="M772" s="44"/>
      <c r="N772" s="44"/>
      <c r="O772" s="44"/>
      <c r="P772" s="44"/>
    </row>
    <row r="773" spans="1:16" x14ac:dyDescent="0.2">
      <c r="A773" s="58" t="str">
        <v>0:00</v>
      </c>
      <c r="B773" s="123"/>
      <c r="C773" s="44"/>
      <c r="D773" s="44"/>
      <c r="E773" s="44"/>
      <c r="F773" s="44"/>
      <c r="G773" s="44"/>
      <c r="H773" s="44"/>
      <c r="I773" s="44"/>
      <c r="J773" s="44"/>
      <c r="K773" s="44"/>
      <c r="L773" s="44"/>
      <c r="M773" s="44"/>
      <c r="N773" s="44"/>
      <c r="O773" s="44"/>
      <c r="P773" s="44"/>
    </row>
    <row r="774" spans="1:16" x14ac:dyDescent="0.2">
      <c r="A774" s="58" t="str">
        <v>0:00</v>
      </c>
      <c r="B774" s="123"/>
      <c r="C774" s="44"/>
      <c r="D774" s="44"/>
      <c r="E774" s="44"/>
      <c r="F774" s="44"/>
      <c r="G774" s="44"/>
      <c r="H774" s="44"/>
      <c r="I774" s="44"/>
      <c r="J774" s="44"/>
      <c r="K774" s="44"/>
      <c r="L774" s="44"/>
      <c r="M774" s="44"/>
      <c r="N774" s="44"/>
      <c r="O774" s="44"/>
      <c r="P774" s="44"/>
    </row>
    <row r="775" spans="1:16" x14ac:dyDescent="0.2">
      <c r="A775" s="58" t="str">
        <v>0:00</v>
      </c>
      <c r="B775" s="123"/>
      <c r="C775" s="44"/>
      <c r="D775" s="44"/>
      <c r="E775" s="44"/>
      <c r="F775" s="44"/>
      <c r="G775" s="44"/>
      <c r="H775" s="44"/>
      <c r="I775" s="44"/>
      <c r="J775" s="44"/>
      <c r="K775" s="44"/>
      <c r="L775" s="44"/>
      <c r="M775" s="44"/>
      <c r="N775" s="44"/>
      <c r="O775" s="44"/>
      <c r="P775" s="44"/>
    </row>
    <row r="776" spans="1:16" x14ac:dyDescent="0.2">
      <c r="A776" s="58" t="str">
        <v>0:00</v>
      </c>
      <c r="B776" s="123"/>
      <c r="C776" s="44"/>
      <c r="D776" s="44"/>
      <c r="E776" s="44"/>
      <c r="F776" s="44"/>
      <c r="G776" s="44"/>
      <c r="H776" s="44"/>
      <c r="I776" s="44"/>
      <c r="J776" s="44"/>
      <c r="K776" s="44"/>
      <c r="L776" s="44"/>
      <c r="M776" s="44"/>
      <c r="N776" s="44"/>
      <c r="O776" s="44"/>
      <c r="P776" s="44"/>
    </row>
    <row r="777" spans="1:16" x14ac:dyDescent="0.2">
      <c r="A777" s="58" t="str">
        <v>0:00</v>
      </c>
      <c r="B777" s="123"/>
      <c r="C777" s="44"/>
      <c r="D777" s="44"/>
      <c r="E777" s="44"/>
      <c r="F777" s="44"/>
      <c r="G777" s="44"/>
      <c r="H777" s="44"/>
      <c r="I777" s="44"/>
      <c r="J777" s="44"/>
      <c r="K777" s="44"/>
      <c r="L777" s="44"/>
      <c r="M777" s="44"/>
      <c r="N777" s="44"/>
      <c r="O777" s="44"/>
      <c r="P777" s="44"/>
    </row>
    <row r="778" spans="1:16" x14ac:dyDescent="0.2">
      <c r="A778" s="58" t="str">
        <v>0:00</v>
      </c>
      <c r="B778" s="123"/>
      <c r="C778" s="44"/>
      <c r="D778" s="44"/>
      <c r="E778" s="44"/>
      <c r="F778" s="44"/>
      <c r="G778" s="44"/>
      <c r="H778" s="44"/>
      <c r="I778" s="44"/>
      <c r="J778" s="44"/>
      <c r="K778" s="44"/>
      <c r="L778" s="44"/>
      <c r="M778" s="44"/>
      <c r="N778" s="44"/>
      <c r="O778" s="44"/>
      <c r="P778" s="44"/>
    </row>
    <row r="779" spans="1:16" x14ac:dyDescent="0.2">
      <c r="A779" s="58" t="str">
        <v>0:00</v>
      </c>
      <c r="B779" s="123"/>
      <c r="C779" s="44"/>
      <c r="D779" s="44"/>
      <c r="E779" s="44"/>
      <c r="F779" s="44"/>
      <c r="G779" s="44"/>
      <c r="H779" s="44"/>
      <c r="I779" s="44"/>
      <c r="J779" s="44"/>
      <c r="K779" s="44"/>
      <c r="L779" s="44"/>
      <c r="M779" s="44"/>
      <c r="N779" s="44"/>
      <c r="O779" s="44"/>
      <c r="P779" s="44"/>
    </row>
    <row r="780" spans="1:16" x14ac:dyDescent="0.2">
      <c r="A780" s="58" t="str">
        <v>0:00</v>
      </c>
      <c r="B780" s="123"/>
      <c r="C780" s="44"/>
      <c r="D780" s="44"/>
      <c r="E780" s="44"/>
      <c r="F780" s="44"/>
      <c r="G780" s="44"/>
      <c r="H780" s="44"/>
      <c r="I780" s="44"/>
      <c r="J780" s="44"/>
      <c r="K780" s="44"/>
      <c r="L780" s="44"/>
      <c r="M780" s="44"/>
      <c r="N780" s="44"/>
      <c r="O780" s="44"/>
      <c r="P780" s="44"/>
    </row>
    <row r="781" spans="1:16" x14ac:dyDescent="0.2">
      <c r="A781" s="58" t="str">
        <v>0:00</v>
      </c>
      <c r="B781" s="123"/>
      <c r="C781" s="44"/>
      <c r="D781" s="44"/>
      <c r="E781" s="44"/>
      <c r="F781" s="44"/>
      <c r="G781" s="44"/>
      <c r="H781" s="44"/>
      <c r="I781" s="44"/>
      <c r="J781" s="44"/>
      <c r="K781" s="44"/>
      <c r="L781" s="44"/>
      <c r="M781" s="44"/>
      <c r="N781" s="44"/>
      <c r="O781" s="44"/>
      <c r="P781" s="44"/>
    </row>
    <row r="782" spans="1:16" x14ac:dyDescent="0.2">
      <c r="A782" s="58" t="str">
        <v>0:00</v>
      </c>
      <c r="B782" s="123"/>
      <c r="C782" s="44"/>
      <c r="D782" s="44"/>
      <c r="E782" s="44"/>
      <c r="F782" s="44"/>
      <c r="G782" s="44"/>
      <c r="H782" s="44"/>
      <c r="I782" s="44"/>
      <c r="J782" s="44"/>
      <c r="K782" s="44"/>
      <c r="L782" s="44"/>
      <c r="M782" s="44"/>
      <c r="N782" s="44"/>
      <c r="O782" s="44"/>
      <c r="P782" s="44"/>
    </row>
    <row r="783" spans="1:16" x14ac:dyDescent="0.2">
      <c r="A783" s="58" t="str">
        <v>0:00</v>
      </c>
      <c r="B783" s="123"/>
      <c r="C783" s="44"/>
      <c r="D783" s="44"/>
      <c r="E783" s="44"/>
      <c r="F783" s="44"/>
      <c r="G783" s="44"/>
      <c r="H783" s="44"/>
      <c r="I783" s="44"/>
      <c r="J783" s="44"/>
      <c r="K783" s="44"/>
      <c r="L783" s="44"/>
      <c r="M783" s="44"/>
      <c r="N783" s="44"/>
      <c r="O783" s="44"/>
      <c r="P783" s="44"/>
    </row>
    <row r="784" spans="1:16" x14ac:dyDescent="0.2">
      <c r="A784" s="58" t="str">
        <v>0:00</v>
      </c>
      <c r="B784" s="123"/>
      <c r="C784" s="44"/>
      <c r="D784" s="44"/>
      <c r="E784" s="44"/>
      <c r="F784" s="44"/>
      <c r="G784" s="44"/>
      <c r="H784" s="44"/>
      <c r="I784" s="44"/>
      <c r="J784" s="44"/>
      <c r="K784" s="44"/>
      <c r="L784" s="44"/>
      <c r="M784" s="44"/>
      <c r="N784" s="44"/>
      <c r="O784" s="44"/>
      <c r="P784" s="44"/>
    </row>
    <row r="785" spans="1:16" x14ac:dyDescent="0.2">
      <c r="A785" s="58" t="str">
        <v>0:00</v>
      </c>
      <c r="B785" s="123"/>
      <c r="C785" s="44"/>
      <c r="D785" s="44"/>
      <c r="E785" s="44"/>
      <c r="F785" s="44"/>
      <c r="G785" s="44"/>
      <c r="H785" s="44"/>
      <c r="I785" s="44"/>
      <c r="J785" s="44"/>
      <c r="K785" s="44"/>
      <c r="L785" s="44"/>
      <c r="M785" s="44"/>
      <c r="N785" s="44"/>
      <c r="O785" s="44"/>
      <c r="P785" s="44"/>
    </row>
    <row r="786" spans="1:16" x14ac:dyDescent="0.2">
      <c r="A786" s="58" t="str">
        <v>0:00</v>
      </c>
      <c r="B786" s="123"/>
      <c r="C786" s="44"/>
      <c r="D786" s="44"/>
      <c r="E786" s="44"/>
      <c r="F786" s="44"/>
      <c r="G786" s="44"/>
      <c r="H786" s="44"/>
      <c r="I786" s="44"/>
      <c r="J786" s="44"/>
      <c r="K786" s="44"/>
      <c r="L786" s="44"/>
      <c r="M786" s="44"/>
      <c r="N786" s="44"/>
      <c r="O786" s="44"/>
      <c r="P786" s="44"/>
    </row>
    <row r="787" spans="1:16" x14ac:dyDescent="0.2">
      <c r="A787" s="58" t="str">
        <v>0:00</v>
      </c>
      <c r="B787" s="123"/>
      <c r="C787" s="44"/>
      <c r="D787" s="44"/>
      <c r="E787" s="44"/>
      <c r="F787" s="44"/>
      <c r="G787" s="44"/>
      <c r="H787" s="44"/>
      <c r="I787" s="44"/>
      <c r="J787" s="44"/>
      <c r="K787" s="44"/>
      <c r="L787" s="44"/>
      <c r="M787" s="44"/>
      <c r="N787" s="44"/>
      <c r="O787" s="44"/>
      <c r="P787" s="44"/>
    </row>
    <row r="788" spans="1:16" x14ac:dyDescent="0.2">
      <c r="A788" s="58" t="str">
        <v>0:00</v>
      </c>
      <c r="B788" s="123"/>
      <c r="C788" s="44"/>
      <c r="D788" s="44"/>
      <c r="E788" s="44"/>
      <c r="F788" s="44"/>
      <c r="G788" s="44"/>
      <c r="H788" s="44"/>
      <c r="I788" s="44"/>
      <c r="J788" s="44"/>
      <c r="K788" s="44"/>
      <c r="L788" s="44"/>
      <c r="M788" s="44"/>
      <c r="N788" s="44"/>
      <c r="O788" s="44"/>
      <c r="P788" s="44"/>
    </row>
    <row r="789" spans="1:16" x14ac:dyDescent="0.2">
      <c r="A789" s="58" t="str">
        <v>0:00</v>
      </c>
      <c r="B789" s="123"/>
      <c r="C789" s="44"/>
      <c r="D789" s="44"/>
      <c r="E789" s="44"/>
      <c r="F789" s="44"/>
      <c r="G789" s="44"/>
      <c r="H789" s="44"/>
      <c r="I789" s="44"/>
      <c r="J789" s="44"/>
      <c r="K789" s="44"/>
      <c r="L789" s="44"/>
      <c r="M789" s="44"/>
      <c r="N789" s="44"/>
      <c r="O789" s="44"/>
      <c r="P789" s="44"/>
    </row>
    <row r="790" spans="1:16" x14ac:dyDescent="0.2">
      <c r="A790" s="58" t="str">
        <v>0:00</v>
      </c>
      <c r="B790" s="123"/>
      <c r="C790" s="44"/>
      <c r="D790" s="44"/>
      <c r="E790" s="44"/>
      <c r="F790" s="44"/>
      <c r="G790" s="44"/>
      <c r="H790" s="44"/>
      <c r="I790" s="44"/>
      <c r="J790" s="44"/>
      <c r="K790" s="44"/>
      <c r="L790" s="44"/>
      <c r="M790" s="44"/>
      <c r="N790" s="44"/>
      <c r="O790" s="44"/>
      <c r="P790" s="44"/>
    </row>
    <row r="791" spans="1:16" x14ac:dyDescent="0.2">
      <c r="A791" s="58" t="str">
        <v>0:00</v>
      </c>
      <c r="B791" s="123"/>
      <c r="C791" s="44"/>
      <c r="D791" s="44"/>
      <c r="E791" s="44"/>
      <c r="F791" s="44"/>
      <c r="G791" s="44"/>
      <c r="H791" s="44"/>
      <c r="I791" s="44"/>
      <c r="J791" s="44"/>
      <c r="K791" s="44"/>
      <c r="L791" s="44"/>
      <c r="M791" s="44"/>
      <c r="N791" s="44"/>
      <c r="O791" s="44"/>
      <c r="P791" s="44"/>
    </row>
    <row r="792" spans="1:16" x14ac:dyDescent="0.2">
      <c r="A792" s="58" t="str">
        <v>0:00</v>
      </c>
      <c r="B792" s="123"/>
      <c r="C792" s="44"/>
      <c r="D792" s="44"/>
      <c r="E792" s="44"/>
      <c r="F792" s="44"/>
      <c r="G792" s="44"/>
      <c r="H792" s="44"/>
      <c r="I792" s="44"/>
      <c r="J792" s="44"/>
      <c r="K792" s="44"/>
      <c r="L792" s="44"/>
      <c r="M792" s="44"/>
      <c r="N792" s="44"/>
      <c r="O792" s="44"/>
      <c r="P792" s="44"/>
    </row>
    <row r="793" spans="1:16" x14ac:dyDescent="0.2">
      <c r="A793" s="58" t="str">
        <v>0:00</v>
      </c>
      <c r="B793" s="123"/>
      <c r="C793" s="44"/>
      <c r="D793" s="44"/>
      <c r="E793" s="44"/>
      <c r="F793" s="44"/>
      <c r="G793" s="44"/>
      <c r="H793" s="44"/>
      <c r="I793" s="44"/>
      <c r="J793" s="44"/>
      <c r="K793" s="44"/>
      <c r="L793" s="44"/>
      <c r="M793" s="44"/>
      <c r="N793" s="44"/>
      <c r="O793" s="44"/>
      <c r="P793" s="44"/>
    </row>
    <row r="794" spans="1:16" x14ac:dyDescent="0.2">
      <c r="A794" s="58" t="str">
        <v>0:00</v>
      </c>
      <c r="B794" s="123"/>
      <c r="C794" s="44"/>
      <c r="D794" s="44"/>
      <c r="E794" s="44"/>
      <c r="F794" s="44"/>
      <c r="G794" s="44"/>
      <c r="H794" s="44"/>
      <c r="I794" s="44"/>
      <c r="J794" s="44"/>
      <c r="K794" s="44"/>
      <c r="L794" s="44"/>
      <c r="M794" s="44"/>
      <c r="N794" s="44"/>
      <c r="O794" s="44"/>
      <c r="P794" s="44"/>
    </row>
    <row r="795" spans="1:16" x14ac:dyDescent="0.2">
      <c r="A795" s="58" t="str">
        <v>0:00</v>
      </c>
      <c r="B795" s="123"/>
      <c r="C795" s="44"/>
      <c r="D795" s="44"/>
      <c r="E795" s="44"/>
      <c r="F795" s="44"/>
      <c r="G795" s="44"/>
      <c r="H795" s="44"/>
      <c r="I795" s="44"/>
      <c r="J795" s="44"/>
      <c r="K795" s="44"/>
      <c r="L795" s="44"/>
      <c r="M795" s="44"/>
      <c r="N795" s="44"/>
      <c r="O795" s="44"/>
      <c r="P795" s="44"/>
    </row>
    <row r="796" spans="1:16" x14ac:dyDescent="0.2">
      <c r="A796" s="58" t="str">
        <v>0:00</v>
      </c>
      <c r="B796" s="123"/>
      <c r="C796" s="44"/>
      <c r="D796" s="44"/>
      <c r="E796" s="44"/>
      <c r="F796" s="44"/>
      <c r="G796" s="44"/>
      <c r="H796" s="44"/>
      <c r="I796" s="44"/>
      <c r="J796" s="44"/>
      <c r="K796" s="44"/>
      <c r="L796" s="44"/>
      <c r="M796" s="44"/>
      <c r="N796" s="44"/>
      <c r="O796" s="44"/>
      <c r="P796" s="44"/>
    </row>
    <row r="797" spans="1:16" x14ac:dyDescent="0.2">
      <c r="A797" s="58" t="str">
        <v>0:00</v>
      </c>
      <c r="B797" s="123"/>
      <c r="C797" s="44"/>
      <c r="D797" s="44"/>
      <c r="E797" s="44"/>
      <c r="F797" s="44"/>
      <c r="G797" s="44"/>
      <c r="H797" s="44"/>
      <c r="I797" s="44"/>
      <c r="J797" s="44"/>
      <c r="K797" s="44"/>
      <c r="L797" s="44"/>
      <c r="M797" s="44"/>
      <c r="N797" s="44"/>
      <c r="O797" s="44"/>
      <c r="P797" s="44"/>
    </row>
    <row r="798" spans="1:16" x14ac:dyDescent="0.2">
      <c r="A798" s="58" t="str">
        <v>0:00</v>
      </c>
      <c r="B798" s="123"/>
      <c r="C798" s="44"/>
      <c r="D798" s="44"/>
      <c r="E798" s="44"/>
      <c r="F798" s="44"/>
      <c r="G798" s="44"/>
      <c r="H798" s="44"/>
      <c r="I798" s="44"/>
      <c r="J798" s="44"/>
      <c r="K798" s="44"/>
      <c r="L798" s="44"/>
      <c r="M798" s="44"/>
      <c r="N798" s="44"/>
      <c r="O798" s="44"/>
      <c r="P798" s="44"/>
    </row>
    <row r="799" spans="1:16" x14ac:dyDescent="0.2">
      <c r="A799" s="58" t="str">
        <v>0:00</v>
      </c>
      <c r="B799" s="123"/>
      <c r="C799" s="44"/>
      <c r="D799" s="44"/>
      <c r="E799" s="44"/>
      <c r="F799" s="44"/>
      <c r="G799" s="44"/>
      <c r="H799" s="44"/>
      <c r="I799" s="44"/>
      <c r="J799" s="44"/>
      <c r="K799" s="44"/>
      <c r="L799" s="44"/>
      <c r="M799" s="44"/>
      <c r="N799" s="44"/>
      <c r="O799" s="44"/>
      <c r="P799" s="44"/>
    </row>
    <row r="800" spans="1:16" x14ac:dyDescent="0.2">
      <c r="A800" s="58" t="str">
        <v>0:00</v>
      </c>
      <c r="B800" s="123"/>
      <c r="C800" s="44"/>
      <c r="D800" s="44"/>
      <c r="E800" s="44"/>
      <c r="F800" s="44"/>
      <c r="G800" s="44"/>
      <c r="H800" s="44"/>
      <c r="I800" s="44"/>
      <c r="J800" s="44"/>
      <c r="K800" s="44"/>
      <c r="L800" s="44"/>
      <c r="M800" s="44"/>
      <c r="N800" s="44"/>
      <c r="O800" s="44"/>
      <c r="P800" s="44"/>
    </row>
    <row r="801" spans="1:16" x14ac:dyDescent="0.2">
      <c r="A801" s="58" t="str">
        <v>0:00</v>
      </c>
      <c r="B801" s="123"/>
      <c r="C801" s="44"/>
      <c r="D801" s="44"/>
      <c r="E801" s="44"/>
      <c r="F801" s="44"/>
      <c r="G801" s="44"/>
      <c r="H801" s="44"/>
      <c r="I801" s="44"/>
      <c r="J801" s="44"/>
      <c r="K801" s="44"/>
      <c r="L801" s="44"/>
      <c r="M801" s="44"/>
      <c r="N801" s="44"/>
      <c r="O801" s="44"/>
      <c r="P801" s="44"/>
    </row>
    <row r="802" spans="1:16" x14ac:dyDescent="0.2">
      <c r="A802" s="58" t="str">
        <v>0:00</v>
      </c>
      <c r="B802" s="123"/>
      <c r="C802" s="44"/>
      <c r="D802" s="44"/>
      <c r="E802" s="44"/>
      <c r="F802" s="44"/>
      <c r="G802" s="44"/>
      <c r="H802" s="44"/>
      <c r="I802" s="44"/>
      <c r="J802" s="44"/>
      <c r="K802" s="44"/>
      <c r="L802" s="44"/>
      <c r="M802" s="44"/>
      <c r="N802" s="44"/>
      <c r="O802" s="44"/>
      <c r="P802" s="44"/>
    </row>
    <row r="803" spans="1:16" x14ac:dyDescent="0.2">
      <c r="A803" s="58" t="str">
        <v>0:00</v>
      </c>
      <c r="B803" s="123"/>
      <c r="C803" s="44"/>
      <c r="D803" s="44"/>
      <c r="E803" s="44"/>
      <c r="F803" s="44"/>
      <c r="G803" s="44"/>
      <c r="H803" s="44"/>
      <c r="I803" s="44"/>
      <c r="J803" s="44"/>
      <c r="K803" s="44"/>
      <c r="L803" s="44"/>
      <c r="M803" s="44"/>
      <c r="N803" s="44"/>
      <c r="O803" s="44"/>
      <c r="P803" s="44"/>
    </row>
    <row r="804" spans="1:16" x14ac:dyDescent="0.2">
      <c r="A804" s="58" t="str">
        <v>0:00</v>
      </c>
      <c r="B804" s="123"/>
      <c r="C804" s="44"/>
      <c r="D804" s="44"/>
      <c r="E804" s="44"/>
      <c r="F804" s="44"/>
      <c r="G804" s="44"/>
      <c r="H804" s="44"/>
      <c r="I804" s="44"/>
      <c r="J804" s="44"/>
      <c r="K804" s="44"/>
      <c r="L804" s="44"/>
      <c r="M804" s="44"/>
      <c r="N804" s="44"/>
      <c r="O804" s="44"/>
      <c r="P804" s="44"/>
    </row>
    <row r="805" spans="1:16" x14ac:dyDescent="0.2">
      <c r="A805" s="58" t="str">
        <v>0:00</v>
      </c>
      <c r="B805" s="123"/>
      <c r="C805" s="44"/>
      <c r="D805" s="44"/>
      <c r="E805" s="44"/>
      <c r="F805" s="44"/>
      <c r="G805" s="44"/>
      <c r="H805" s="44"/>
      <c r="I805" s="44"/>
      <c r="J805" s="44"/>
      <c r="K805" s="44"/>
      <c r="L805" s="44"/>
      <c r="M805" s="44"/>
      <c r="N805" s="44"/>
      <c r="O805" s="44"/>
      <c r="P805" s="44"/>
    </row>
    <row r="806" spans="1:16" x14ac:dyDescent="0.2">
      <c r="A806" s="58" t="str">
        <v>0:00</v>
      </c>
      <c r="B806" s="123"/>
      <c r="C806" s="44"/>
      <c r="D806" s="44"/>
      <c r="E806" s="44"/>
      <c r="F806" s="44"/>
      <c r="G806" s="44"/>
      <c r="H806" s="44"/>
      <c r="I806" s="44"/>
      <c r="J806" s="44"/>
      <c r="K806" s="44"/>
      <c r="L806" s="44"/>
      <c r="M806" s="44"/>
      <c r="N806" s="44"/>
      <c r="O806" s="44"/>
      <c r="P806" s="44"/>
    </row>
    <row r="807" spans="1:16" x14ac:dyDescent="0.2">
      <c r="A807" s="58" t="str">
        <v>0:00</v>
      </c>
      <c r="B807" s="123"/>
      <c r="C807" s="44"/>
      <c r="D807" s="44"/>
      <c r="E807" s="44"/>
      <c r="F807" s="44"/>
      <c r="G807" s="44"/>
      <c r="H807" s="44"/>
      <c r="I807" s="44"/>
      <c r="J807" s="44"/>
      <c r="K807" s="44"/>
      <c r="L807" s="44"/>
      <c r="M807" s="44"/>
      <c r="N807" s="44"/>
      <c r="O807" s="44"/>
      <c r="P807" s="44"/>
    </row>
    <row r="808" spans="1:16" x14ac:dyDescent="0.2">
      <c r="A808" s="58" t="str">
        <v>0:00</v>
      </c>
      <c r="B808" s="123"/>
      <c r="C808" s="44"/>
      <c r="D808" s="44"/>
      <c r="E808" s="44"/>
      <c r="F808" s="44"/>
      <c r="G808" s="44"/>
      <c r="H808" s="44"/>
      <c r="I808" s="44"/>
      <c r="J808" s="44"/>
      <c r="K808" s="44"/>
      <c r="L808" s="44"/>
      <c r="M808" s="44"/>
      <c r="N808" s="44"/>
      <c r="O808" s="44"/>
      <c r="P808" s="44"/>
    </row>
    <row r="809" spans="1:16" x14ac:dyDescent="0.2">
      <c r="A809" s="58" t="str">
        <v>0:00</v>
      </c>
      <c r="B809" s="123"/>
      <c r="C809" s="44"/>
      <c r="D809" s="44"/>
      <c r="E809" s="44"/>
      <c r="F809" s="44"/>
      <c r="G809" s="44"/>
      <c r="H809" s="44"/>
      <c r="I809" s="44"/>
      <c r="J809" s="44"/>
      <c r="K809" s="44"/>
      <c r="L809" s="44"/>
      <c r="M809" s="44"/>
      <c r="N809" s="44"/>
      <c r="O809" s="44"/>
      <c r="P809" s="44"/>
    </row>
    <row r="810" spans="1:16" x14ac:dyDescent="0.2">
      <c r="A810" s="58" t="str">
        <v>0:00</v>
      </c>
      <c r="B810" s="123"/>
      <c r="C810" s="44"/>
      <c r="D810" s="44"/>
      <c r="E810" s="44"/>
      <c r="F810" s="44"/>
      <c r="G810" s="44"/>
      <c r="H810" s="44"/>
      <c r="I810" s="44"/>
      <c r="J810" s="44"/>
      <c r="K810" s="44"/>
      <c r="L810" s="44"/>
      <c r="M810" s="44"/>
      <c r="N810" s="44"/>
      <c r="O810" s="44"/>
      <c r="P810" s="44"/>
    </row>
    <row r="811" spans="1:16" x14ac:dyDescent="0.2">
      <c r="A811" s="58" t="str">
        <v>0:00</v>
      </c>
      <c r="B811" s="123"/>
      <c r="C811" s="44"/>
      <c r="D811" s="44"/>
      <c r="E811" s="44"/>
      <c r="F811" s="44"/>
      <c r="G811" s="44"/>
      <c r="H811" s="44"/>
      <c r="I811" s="44"/>
      <c r="J811" s="44"/>
      <c r="K811" s="44"/>
      <c r="L811" s="44"/>
      <c r="M811" s="44"/>
      <c r="N811" s="44"/>
      <c r="O811" s="44"/>
      <c r="P811" s="44"/>
    </row>
    <row r="812" spans="1:16" x14ac:dyDescent="0.2">
      <c r="A812" s="58" t="str">
        <v>0:00</v>
      </c>
      <c r="B812" s="123"/>
      <c r="C812" s="44"/>
      <c r="D812" s="44"/>
      <c r="E812" s="44"/>
      <c r="F812" s="44"/>
      <c r="G812" s="44"/>
      <c r="H812" s="44"/>
      <c r="I812" s="44"/>
      <c r="J812" s="44"/>
      <c r="K812" s="44"/>
      <c r="L812" s="44"/>
      <c r="M812" s="44"/>
      <c r="N812" s="44"/>
      <c r="O812" s="44"/>
      <c r="P812" s="44"/>
    </row>
    <row r="813" spans="1:16" x14ac:dyDescent="0.2">
      <c r="A813" s="58" t="str">
        <v>0:00</v>
      </c>
      <c r="B813" s="123"/>
      <c r="C813" s="44"/>
      <c r="D813" s="44"/>
      <c r="E813" s="44"/>
      <c r="F813" s="44"/>
      <c r="G813" s="44"/>
      <c r="H813" s="44"/>
      <c r="I813" s="44"/>
      <c r="J813" s="44"/>
      <c r="K813" s="44"/>
      <c r="L813" s="44"/>
      <c r="M813" s="44"/>
      <c r="N813" s="44"/>
      <c r="O813" s="44"/>
      <c r="P813" s="44"/>
    </row>
    <row r="814" spans="1:16" x14ac:dyDescent="0.2">
      <c r="A814" s="58" t="str">
        <v>0:00</v>
      </c>
      <c r="B814" s="123"/>
      <c r="C814" s="44"/>
      <c r="D814" s="44"/>
      <c r="E814" s="44"/>
      <c r="F814" s="44"/>
      <c r="G814" s="44"/>
      <c r="H814" s="44"/>
      <c r="I814" s="44"/>
      <c r="J814" s="44"/>
      <c r="K814" s="44"/>
      <c r="L814" s="44"/>
      <c r="M814" s="44"/>
      <c r="N814" s="44"/>
      <c r="O814" s="44"/>
      <c r="P814" s="44"/>
    </row>
    <row r="815" spans="1:16" x14ac:dyDescent="0.2">
      <c r="A815" s="58" t="str">
        <v>0:00</v>
      </c>
      <c r="B815" s="123"/>
      <c r="C815" s="44"/>
      <c r="D815" s="44"/>
      <c r="E815" s="44"/>
      <c r="F815" s="44"/>
      <c r="G815" s="44"/>
      <c r="H815" s="44"/>
      <c r="I815" s="44"/>
      <c r="J815" s="44"/>
      <c r="K815" s="44"/>
      <c r="L815" s="44"/>
      <c r="M815" s="44"/>
      <c r="N815" s="44"/>
      <c r="O815" s="44"/>
      <c r="P815" s="44"/>
    </row>
    <row r="816" spans="1:16" x14ac:dyDescent="0.2">
      <c r="A816" s="58" t="str">
        <v>0:00</v>
      </c>
      <c r="B816" s="123"/>
      <c r="C816" s="44"/>
      <c r="D816" s="44"/>
      <c r="E816" s="44"/>
      <c r="F816" s="44"/>
      <c r="G816" s="44"/>
      <c r="H816" s="44"/>
      <c r="I816" s="44"/>
      <c r="J816" s="44"/>
      <c r="K816" s="44"/>
      <c r="L816" s="44"/>
      <c r="M816" s="44"/>
      <c r="N816" s="44"/>
      <c r="O816" s="44"/>
      <c r="P816" s="44"/>
    </row>
    <row r="817" spans="1:16" x14ac:dyDescent="0.2">
      <c r="A817" s="58" t="str">
        <v>0:00</v>
      </c>
      <c r="B817" s="123"/>
      <c r="C817" s="44"/>
      <c r="D817" s="44"/>
      <c r="E817" s="44"/>
      <c r="F817" s="44"/>
      <c r="G817" s="44"/>
      <c r="H817" s="44"/>
      <c r="I817" s="44"/>
      <c r="J817" s="44"/>
      <c r="K817" s="44"/>
      <c r="L817" s="44"/>
      <c r="M817" s="44"/>
      <c r="N817" s="44"/>
      <c r="O817" s="44"/>
      <c r="P817" s="44"/>
    </row>
    <row r="818" spans="1:16" x14ac:dyDescent="0.2">
      <c r="A818" s="58" t="str">
        <v>0:00</v>
      </c>
      <c r="B818" s="123"/>
      <c r="C818" s="44"/>
      <c r="D818" s="44"/>
      <c r="E818" s="44"/>
      <c r="F818" s="44"/>
      <c r="G818" s="44"/>
      <c r="H818" s="44"/>
      <c r="I818" s="44"/>
      <c r="J818" s="44"/>
      <c r="K818" s="44"/>
      <c r="L818" s="44"/>
      <c r="M818" s="44"/>
      <c r="N818" s="44"/>
      <c r="O818" s="44"/>
      <c r="P818" s="44"/>
    </row>
    <row r="819" spans="1:16" x14ac:dyDescent="0.2">
      <c r="A819" s="58" t="str">
        <v>0:00</v>
      </c>
      <c r="B819" s="123"/>
      <c r="C819" s="44"/>
      <c r="D819" s="44"/>
      <c r="E819" s="44"/>
      <c r="F819" s="44"/>
      <c r="G819" s="44"/>
      <c r="H819" s="44"/>
      <c r="I819" s="44"/>
      <c r="J819" s="44"/>
      <c r="K819" s="44"/>
      <c r="L819" s="44"/>
      <c r="M819" s="44"/>
      <c r="N819" s="44"/>
      <c r="O819" s="44"/>
      <c r="P819" s="44"/>
    </row>
    <row r="820" spans="1:16" x14ac:dyDescent="0.2">
      <c r="A820" s="58" t="str">
        <v>0:00</v>
      </c>
      <c r="B820" s="123"/>
      <c r="C820" s="44"/>
      <c r="D820" s="44"/>
      <c r="E820" s="44"/>
      <c r="F820" s="44"/>
      <c r="G820" s="44"/>
      <c r="H820" s="44"/>
      <c r="I820" s="44"/>
      <c r="J820" s="44"/>
      <c r="K820" s="44"/>
      <c r="L820" s="44"/>
      <c r="M820" s="44"/>
      <c r="N820" s="44"/>
      <c r="O820" s="44"/>
      <c r="P820" s="44"/>
    </row>
    <row r="821" spans="1:16" x14ac:dyDescent="0.2">
      <c r="A821" s="58" t="str">
        <v>0:00</v>
      </c>
      <c r="B821" s="123"/>
      <c r="C821" s="44"/>
      <c r="D821" s="44"/>
      <c r="E821" s="44"/>
      <c r="F821" s="44"/>
      <c r="G821" s="44"/>
      <c r="H821" s="44"/>
      <c r="I821" s="44"/>
      <c r="J821" s="44"/>
      <c r="K821" s="44"/>
      <c r="L821" s="44"/>
      <c r="M821" s="44"/>
      <c r="N821" s="44"/>
      <c r="O821" s="44"/>
      <c r="P821" s="44"/>
    </row>
    <row r="822" spans="1:16" x14ac:dyDescent="0.2">
      <c r="A822" s="58" t="str">
        <v>0:00</v>
      </c>
      <c r="B822" s="123"/>
      <c r="C822" s="44"/>
      <c r="D822" s="44"/>
      <c r="E822" s="44"/>
      <c r="F822" s="44"/>
      <c r="G822" s="44"/>
      <c r="H822" s="44"/>
      <c r="I822" s="44"/>
      <c r="J822" s="44"/>
      <c r="K822" s="44"/>
      <c r="L822" s="44"/>
      <c r="M822" s="44"/>
      <c r="N822" s="44"/>
      <c r="O822" s="44"/>
      <c r="P822" s="44"/>
    </row>
    <row r="823" spans="1:16" x14ac:dyDescent="0.2">
      <c r="A823" s="58" t="str">
        <v>0:00</v>
      </c>
      <c r="B823" s="123"/>
      <c r="C823" s="44"/>
      <c r="D823" s="44"/>
      <c r="E823" s="44"/>
      <c r="F823" s="44"/>
      <c r="G823" s="44"/>
      <c r="H823" s="44"/>
      <c r="I823" s="44"/>
      <c r="J823" s="44"/>
      <c r="K823" s="44"/>
      <c r="L823" s="44"/>
      <c r="M823" s="44"/>
      <c r="N823" s="44"/>
      <c r="O823" s="44"/>
      <c r="P823" s="44"/>
    </row>
    <row r="824" spans="1:16" x14ac:dyDescent="0.2">
      <c r="A824" s="58" t="str">
        <v>0:00</v>
      </c>
      <c r="B824" s="123"/>
      <c r="C824" s="44"/>
      <c r="D824" s="44"/>
      <c r="E824" s="44"/>
      <c r="F824" s="44"/>
      <c r="G824" s="44"/>
      <c r="H824" s="44"/>
      <c r="I824" s="44"/>
      <c r="J824" s="44"/>
      <c r="K824" s="44"/>
      <c r="L824" s="44"/>
      <c r="M824" s="44"/>
      <c r="N824" s="44"/>
      <c r="O824" s="44"/>
      <c r="P824" s="44"/>
    </row>
    <row r="825" spans="1:16" x14ac:dyDescent="0.2">
      <c r="A825" s="58" t="str">
        <v>0:00</v>
      </c>
      <c r="B825" s="123"/>
      <c r="C825" s="44"/>
      <c r="D825" s="44"/>
      <c r="E825" s="44"/>
      <c r="F825" s="44"/>
      <c r="G825" s="44"/>
      <c r="H825" s="44"/>
      <c r="I825" s="44"/>
      <c r="J825" s="44"/>
      <c r="K825" s="44"/>
      <c r="L825" s="44"/>
      <c r="M825" s="44"/>
      <c r="N825" s="44"/>
      <c r="O825" s="44"/>
      <c r="P825" s="44"/>
    </row>
    <row r="826" spans="1:16" x14ac:dyDescent="0.2">
      <c r="A826" s="58" t="str">
        <v>0:00</v>
      </c>
      <c r="B826" s="123"/>
      <c r="C826" s="44"/>
      <c r="D826" s="44"/>
      <c r="E826" s="44"/>
      <c r="F826" s="44"/>
      <c r="G826" s="44"/>
      <c r="H826" s="44"/>
      <c r="I826" s="44"/>
      <c r="J826" s="44"/>
      <c r="K826" s="44"/>
      <c r="L826" s="44"/>
      <c r="M826" s="44"/>
      <c r="N826" s="44"/>
      <c r="O826" s="44"/>
      <c r="P826" s="44"/>
    </row>
    <row r="827" spans="1:16" x14ac:dyDescent="0.2">
      <c r="A827" s="58" t="str">
        <v>0:00</v>
      </c>
      <c r="B827" s="123"/>
      <c r="C827" s="44"/>
      <c r="D827" s="44"/>
      <c r="E827" s="44"/>
      <c r="F827" s="44"/>
      <c r="G827" s="44"/>
      <c r="H827" s="44"/>
      <c r="I827" s="44"/>
      <c r="J827" s="44"/>
      <c r="K827" s="44"/>
      <c r="L827" s="44"/>
      <c r="M827" s="44"/>
      <c r="N827" s="44"/>
      <c r="O827" s="44"/>
      <c r="P827" s="44"/>
    </row>
    <row r="828" spans="1:16" x14ac:dyDescent="0.2">
      <c r="A828" s="58" t="str">
        <v>0:00</v>
      </c>
      <c r="B828" s="123"/>
      <c r="C828" s="44"/>
      <c r="D828" s="44"/>
      <c r="E828" s="44"/>
      <c r="F828" s="44"/>
      <c r="G828" s="44"/>
      <c r="H828" s="44"/>
      <c r="I828" s="44"/>
      <c r="J828" s="44"/>
      <c r="K828" s="44"/>
      <c r="L828" s="44"/>
      <c r="M828" s="44"/>
      <c r="N828" s="44"/>
      <c r="O828" s="44"/>
      <c r="P828" s="44"/>
    </row>
    <row r="829" spans="1:16" x14ac:dyDescent="0.2">
      <c r="A829" s="58" t="str">
        <v>0:00</v>
      </c>
      <c r="B829" s="123"/>
      <c r="C829" s="44"/>
      <c r="D829" s="44"/>
      <c r="E829" s="44"/>
      <c r="F829" s="44"/>
      <c r="G829" s="44"/>
      <c r="H829" s="44"/>
      <c r="I829" s="44"/>
      <c r="J829" s="44"/>
      <c r="K829" s="44"/>
      <c r="L829" s="44"/>
      <c r="M829" s="44"/>
      <c r="N829" s="44"/>
      <c r="O829" s="44"/>
      <c r="P829" s="44"/>
    </row>
    <row r="830" spans="1:16" x14ac:dyDescent="0.2">
      <c r="A830" s="58" t="str">
        <v>0:00</v>
      </c>
      <c r="B830" s="123"/>
      <c r="C830" s="44"/>
      <c r="D830" s="44"/>
      <c r="E830" s="44"/>
      <c r="F830" s="44"/>
      <c r="G830" s="44"/>
      <c r="H830" s="44"/>
      <c r="I830" s="44"/>
      <c r="J830" s="44"/>
      <c r="K830" s="44"/>
      <c r="L830" s="44"/>
      <c r="M830" s="44"/>
      <c r="N830" s="44"/>
      <c r="O830" s="44"/>
      <c r="P830" s="44"/>
    </row>
    <row r="831" spans="1:16" x14ac:dyDescent="0.2">
      <c r="A831" s="58" t="str">
        <v>0:00</v>
      </c>
      <c r="B831" s="123"/>
      <c r="C831" s="44"/>
      <c r="D831" s="44"/>
      <c r="E831" s="44"/>
      <c r="F831" s="44"/>
      <c r="G831" s="44"/>
      <c r="H831" s="44"/>
      <c r="I831" s="44"/>
      <c r="J831" s="44"/>
      <c r="K831" s="44"/>
      <c r="L831" s="44"/>
      <c r="M831" s="44"/>
      <c r="N831" s="44"/>
      <c r="O831" s="44"/>
      <c r="P831" s="44"/>
    </row>
    <row r="832" spans="1:16" x14ac:dyDescent="0.2">
      <c r="A832" s="58" t="str">
        <v>0:00</v>
      </c>
      <c r="B832" s="123"/>
      <c r="C832" s="44"/>
      <c r="D832" s="44"/>
      <c r="E832" s="44"/>
      <c r="F832" s="44"/>
      <c r="G832" s="44"/>
      <c r="H832" s="44"/>
      <c r="I832" s="44"/>
      <c r="J832" s="44"/>
      <c r="K832" s="44"/>
      <c r="L832" s="44"/>
      <c r="M832" s="44"/>
      <c r="N832" s="44"/>
      <c r="O832" s="44"/>
      <c r="P832" s="44"/>
    </row>
    <row r="833" spans="1:16" x14ac:dyDescent="0.2">
      <c r="A833" s="58" t="str">
        <v>0:00</v>
      </c>
      <c r="B833" s="123"/>
      <c r="C833" s="44"/>
      <c r="D833" s="44"/>
      <c r="E833" s="44"/>
      <c r="F833" s="44"/>
      <c r="G833" s="44"/>
      <c r="H833" s="44"/>
      <c r="I833" s="44"/>
      <c r="J833" s="44"/>
      <c r="K833" s="44"/>
      <c r="L833" s="44"/>
      <c r="M833" s="44"/>
      <c r="N833" s="44"/>
      <c r="O833" s="44"/>
      <c r="P833" s="44"/>
    </row>
    <row r="834" spans="1:16" x14ac:dyDescent="0.2">
      <c r="A834" s="58" t="str">
        <v>0:00</v>
      </c>
      <c r="B834" s="123"/>
      <c r="C834" s="44"/>
      <c r="D834" s="44"/>
      <c r="E834" s="44"/>
      <c r="F834" s="44"/>
      <c r="G834" s="44"/>
      <c r="H834" s="44"/>
      <c r="I834" s="44"/>
      <c r="J834" s="44"/>
      <c r="K834" s="44"/>
      <c r="L834" s="44"/>
      <c r="M834" s="44"/>
      <c r="N834" s="44"/>
      <c r="O834" s="44"/>
      <c r="P834" s="44"/>
    </row>
    <row r="835" spans="1:16" x14ac:dyDescent="0.2">
      <c r="A835" s="58" t="str">
        <v>0:00</v>
      </c>
      <c r="B835" s="123"/>
      <c r="C835" s="44"/>
      <c r="D835" s="44"/>
      <c r="E835" s="44"/>
      <c r="F835" s="44"/>
      <c r="G835" s="44"/>
      <c r="H835" s="44"/>
      <c r="I835" s="44"/>
      <c r="J835" s="44"/>
      <c r="K835" s="44"/>
      <c r="L835" s="44"/>
      <c r="M835" s="44"/>
      <c r="N835" s="44"/>
      <c r="O835" s="44"/>
      <c r="P835" s="44"/>
    </row>
    <row r="836" spans="1:16" x14ac:dyDescent="0.2">
      <c r="A836" s="58" t="str">
        <v>0:00</v>
      </c>
      <c r="B836" s="123"/>
      <c r="C836" s="44"/>
      <c r="D836" s="44"/>
      <c r="E836" s="44"/>
      <c r="F836" s="44"/>
      <c r="G836" s="44"/>
      <c r="H836" s="44"/>
      <c r="I836" s="44"/>
      <c r="J836" s="44"/>
      <c r="K836" s="44"/>
      <c r="L836" s="44"/>
      <c r="M836" s="44"/>
      <c r="N836" s="44"/>
      <c r="O836" s="44"/>
      <c r="P836" s="44"/>
    </row>
    <row r="837" spans="1:16" x14ac:dyDescent="0.2">
      <c r="A837" s="58" t="str">
        <v>0:00</v>
      </c>
      <c r="B837" s="123"/>
      <c r="C837" s="44"/>
      <c r="D837" s="44"/>
      <c r="E837" s="44"/>
      <c r="F837" s="44"/>
      <c r="G837" s="44"/>
      <c r="H837" s="44"/>
      <c r="I837" s="44"/>
      <c r="J837" s="44"/>
      <c r="K837" s="44"/>
      <c r="L837" s="44"/>
      <c r="M837" s="44"/>
      <c r="N837" s="44"/>
      <c r="O837" s="44"/>
      <c r="P837" s="44"/>
    </row>
    <row r="838" spans="1:16" x14ac:dyDescent="0.2">
      <c r="A838" s="58" t="str">
        <v>0:00</v>
      </c>
      <c r="B838" s="123"/>
      <c r="C838" s="44"/>
      <c r="D838" s="44"/>
      <c r="E838" s="44"/>
      <c r="F838" s="44"/>
      <c r="G838" s="44"/>
      <c r="H838" s="44"/>
      <c r="I838" s="44"/>
      <c r="J838" s="44"/>
      <c r="K838" s="44"/>
      <c r="L838" s="44"/>
      <c r="M838" s="44"/>
      <c r="N838" s="44"/>
      <c r="O838" s="44"/>
      <c r="P838" s="44"/>
    </row>
    <row r="839" spans="1:16" x14ac:dyDescent="0.2">
      <c r="A839" s="58" t="str">
        <v>0:00</v>
      </c>
      <c r="B839" s="123"/>
      <c r="C839" s="44"/>
      <c r="D839" s="44"/>
      <c r="E839" s="44"/>
      <c r="F839" s="44"/>
      <c r="G839" s="44"/>
      <c r="H839" s="44"/>
      <c r="I839" s="44"/>
      <c r="J839" s="44"/>
      <c r="K839" s="44"/>
      <c r="L839" s="44"/>
      <c r="M839" s="44"/>
      <c r="N839" s="44"/>
      <c r="O839" s="44"/>
      <c r="P839" s="44"/>
    </row>
    <row r="840" spans="1:16" x14ac:dyDescent="0.2">
      <c r="A840" s="58" t="str">
        <v>0:00</v>
      </c>
      <c r="B840" s="123"/>
      <c r="C840" s="44"/>
      <c r="D840" s="44"/>
      <c r="E840" s="44"/>
      <c r="F840" s="44"/>
      <c r="G840" s="44"/>
      <c r="H840" s="44"/>
      <c r="I840" s="44"/>
      <c r="J840" s="44"/>
      <c r="K840" s="44"/>
      <c r="L840" s="44"/>
      <c r="M840" s="44"/>
      <c r="N840" s="44"/>
      <c r="O840" s="44"/>
      <c r="P840" s="44"/>
    </row>
    <row r="841" spans="1:16" x14ac:dyDescent="0.2">
      <c r="A841" s="58" t="str">
        <v>0:00</v>
      </c>
      <c r="B841" s="123"/>
      <c r="C841" s="44"/>
      <c r="D841" s="44"/>
      <c r="E841" s="44"/>
      <c r="F841" s="44"/>
      <c r="G841" s="44"/>
      <c r="H841" s="44"/>
      <c r="I841" s="44"/>
      <c r="J841" s="44"/>
      <c r="K841" s="44"/>
      <c r="L841" s="44"/>
      <c r="M841" s="44"/>
      <c r="N841" s="44"/>
      <c r="O841" s="44"/>
      <c r="P841" s="44"/>
    </row>
    <row r="842" spans="1:16" x14ac:dyDescent="0.2">
      <c r="A842" s="58" t="str">
        <v>0:00</v>
      </c>
      <c r="B842" s="123"/>
      <c r="C842" s="44"/>
      <c r="D842" s="44"/>
      <c r="E842" s="44"/>
      <c r="F842" s="44"/>
      <c r="G842" s="44"/>
      <c r="H842" s="44"/>
      <c r="I842" s="44"/>
      <c r="J842" s="44"/>
      <c r="K842" s="44"/>
      <c r="L842" s="44"/>
      <c r="M842" s="44"/>
      <c r="N842" s="44"/>
      <c r="O842" s="44"/>
      <c r="P842" s="44"/>
    </row>
    <row r="843" spans="1:16" x14ac:dyDescent="0.2">
      <c r="A843" s="58" t="str">
        <v>0:00</v>
      </c>
      <c r="B843" s="123"/>
      <c r="C843" s="44"/>
      <c r="D843" s="44"/>
      <c r="E843" s="44"/>
      <c r="F843" s="44"/>
      <c r="G843" s="44"/>
      <c r="H843" s="44"/>
      <c r="I843" s="44"/>
      <c r="J843" s="44"/>
      <c r="K843" s="44"/>
      <c r="L843" s="44"/>
      <c r="M843" s="44"/>
      <c r="N843" s="44"/>
      <c r="O843" s="44"/>
      <c r="P843" s="44"/>
    </row>
    <row r="844" spans="1:16" x14ac:dyDescent="0.2">
      <c r="A844" s="58" t="str">
        <v>0:00</v>
      </c>
      <c r="B844" s="123"/>
      <c r="C844" s="44"/>
      <c r="D844" s="44"/>
      <c r="E844" s="44"/>
      <c r="F844" s="44"/>
      <c r="G844" s="44"/>
      <c r="H844" s="44"/>
      <c r="I844" s="44"/>
      <c r="J844" s="44"/>
      <c r="K844" s="44"/>
      <c r="L844" s="44"/>
      <c r="M844" s="44"/>
      <c r="N844" s="44"/>
      <c r="O844" s="44"/>
      <c r="P844" s="44"/>
    </row>
    <row r="845" spans="1:16" x14ac:dyDescent="0.2">
      <c r="A845" s="58" t="str">
        <v>0:00</v>
      </c>
      <c r="B845" s="123"/>
      <c r="C845" s="44"/>
      <c r="D845" s="44"/>
      <c r="E845" s="44"/>
      <c r="F845" s="44"/>
      <c r="G845" s="44"/>
      <c r="H845" s="44"/>
      <c r="I845" s="44"/>
      <c r="J845" s="44"/>
      <c r="K845" s="44"/>
      <c r="L845" s="44"/>
      <c r="M845" s="44"/>
      <c r="N845" s="44"/>
      <c r="O845" s="44"/>
      <c r="P845" s="44"/>
    </row>
    <row r="846" spans="1:16" x14ac:dyDescent="0.2">
      <c r="A846" s="58" t="str">
        <v>0:00</v>
      </c>
      <c r="B846" s="123"/>
      <c r="C846" s="44"/>
      <c r="D846" s="44"/>
      <c r="E846" s="44"/>
      <c r="F846" s="44"/>
      <c r="G846" s="44"/>
      <c r="H846" s="44"/>
      <c r="I846" s="44"/>
      <c r="J846" s="44"/>
      <c r="K846" s="44"/>
      <c r="L846" s="44"/>
      <c r="M846" s="44"/>
      <c r="N846" s="44"/>
      <c r="O846" s="44"/>
      <c r="P846" s="44"/>
    </row>
    <row r="847" spans="1:16" x14ac:dyDescent="0.2">
      <c r="A847" s="58" t="str">
        <v>0:00</v>
      </c>
      <c r="B847" s="123"/>
      <c r="C847" s="44"/>
      <c r="D847" s="44"/>
      <c r="E847" s="44"/>
      <c r="F847" s="44"/>
      <c r="G847" s="44"/>
      <c r="H847" s="44"/>
      <c r="I847" s="44"/>
      <c r="J847" s="44"/>
      <c r="K847" s="44"/>
      <c r="L847" s="44"/>
      <c r="M847" s="44"/>
      <c r="N847" s="44"/>
      <c r="O847" s="44"/>
      <c r="P847" s="44"/>
    </row>
    <row r="848" spans="1:16" x14ac:dyDescent="0.2">
      <c r="A848" s="58" t="str">
        <v>0:00</v>
      </c>
      <c r="B848" s="123"/>
      <c r="C848" s="44"/>
      <c r="D848" s="44"/>
      <c r="E848" s="44"/>
      <c r="F848" s="44"/>
      <c r="G848" s="44"/>
      <c r="H848" s="44"/>
      <c r="I848" s="44"/>
      <c r="J848" s="44"/>
      <c r="K848" s="44"/>
      <c r="L848" s="44"/>
      <c r="M848" s="44"/>
      <c r="N848" s="44"/>
      <c r="O848" s="44"/>
      <c r="P848" s="44"/>
    </row>
    <row r="849" spans="1:16" x14ac:dyDescent="0.2">
      <c r="A849" s="58" t="str">
        <v>0:00</v>
      </c>
      <c r="B849" s="123"/>
      <c r="C849" s="44"/>
      <c r="D849" s="44"/>
      <c r="E849" s="44"/>
      <c r="F849" s="44"/>
      <c r="G849" s="44"/>
      <c r="H849" s="44"/>
      <c r="I849" s="44"/>
      <c r="J849" s="44"/>
      <c r="K849" s="44"/>
      <c r="L849" s="44"/>
      <c r="M849" s="44"/>
      <c r="N849" s="44"/>
      <c r="O849" s="44"/>
      <c r="P849" s="44"/>
    </row>
    <row r="850" spans="1:16" x14ac:dyDescent="0.2">
      <c r="A850" s="58" t="str">
        <v>0:00</v>
      </c>
      <c r="B850" s="123"/>
      <c r="C850" s="44"/>
      <c r="D850" s="44"/>
      <c r="E850" s="44"/>
      <c r="F850" s="44"/>
      <c r="G850" s="44"/>
      <c r="H850" s="44"/>
      <c r="I850" s="44"/>
      <c r="J850" s="44"/>
      <c r="K850" s="44"/>
      <c r="L850" s="44"/>
      <c r="M850" s="44"/>
      <c r="N850" s="44"/>
      <c r="O850" s="44"/>
      <c r="P850" s="44"/>
    </row>
    <row r="851" spans="1:16" x14ac:dyDescent="0.2">
      <c r="A851" s="58" t="str">
        <v>0:00</v>
      </c>
      <c r="B851" s="123"/>
      <c r="C851" s="44"/>
      <c r="D851" s="44"/>
      <c r="E851" s="44"/>
      <c r="F851" s="44"/>
      <c r="G851" s="44"/>
      <c r="H851" s="44"/>
      <c r="I851" s="44"/>
      <c r="J851" s="44"/>
      <c r="K851" s="44"/>
      <c r="L851" s="44"/>
      <c r="M851" s="44"/>
      <c r="N851" s="44"/>
      <c r="O851" s="44"/>
      <c r="P851" s="44"/>
    </row>
    <row r="852" spans="1:16" x14ac:dyDescent="0.2">
      <c r="A852" s="58" t="str">
        <v>0:00</v>
      </c>
      <c r="B852" s="123"/>
      <c r="C852" s="44"/>
      <c r="D852" s="44"/>
      <c r="E852" s="44"/>
      <c r="F852" s="44"/>
      <c r="G852" s="44"/>
      <c r="H852" s="44"/>
      <c r="I852" s="44"/>
      <c r="J852" s="44"/>
      <c r="K852" s="44"/>
      <c r="L852" s="44"/>
      <c r="M852" s="44"/>
      <c r="N852" s="44"/>
      <c r="O852" s="44"/>
      <c r="P852" s="44"/>
    </row>
    <row r="853" spans="1:16" x14ac:dyDescent="0.2">
      <c r="A853" s="58" t="str">
        <v>0:00</v>
      </c>
      <c r="B853" s="123"/>
      <c r="C853" s="44"/>
      <c r="D853" s="44"/>
      <c r="E853" s="44"/>
      <c r="F853" s="44"/>
      <c r="G853" s="44"/>
      <c r="H853" s="44"/>
      <c r="I853" s="44"/>
      <c r="J853" s="44"/>
      <c r="K853" s="44"/>
      <c r="L853" s="44"/>
      <c r="M853" s="44"/>
      <c r="N853" s="44"/>
      <c r="O853" s="44"/>
      <c r="P853" s="44"/>
    </row>
    <row r="854" spans="1:16" x14ac:dyDescent="0.2">
      <c r="A854" s="58" t="str">
        <v>0:00</v>
      </c>
      <c r="B854" s="123"/>
      <c r="C854" s="44"/>
      <c r="D854" s="44"/>
      <c r="E854" s="44"/>
      <c r="F854" s="44"/>
      <c r="G854" s="44"/>
      <c r="H854" s="44"/>
      <c r="I854" s="44"/>
      <c r="J854" s="44"/>
      <c r="K854" s="44"/>
      <c r="L854" s="44"/>
      <c r="M854" s="44"/>
      <c r="N854" s="44"/>
      <c r="O854" s="44"/>
      <c r="P854" s="44"/>
    </row>
    <row r="855" spans="1:16" x14ac:dyDescent="0.2">
      <c r="A855" s="58" t="str">
        <v>0:00</v>
      </c>
      <c r="B855" s="123"/>
      <c r="C855" s="44"/>
      <c r="D855" s="44"/>
      <c r="E855" s="44"/>
      <c r="F855" s="44"/>
      <c r="G855" s="44"/>
      <c r="H855" s="44"/>
      <c r="I855" s="44"/>
      <c r="J855" s="44"/>
      <c r="K855" s="44"/>
      <c r="L855" s="44"/>
      <c r="M855" s="44"/>
      <c r="N855" s="44"/>
      <c r="O855" s="44"/>
      <c r="P855" s="44"/>
    </row>
    <row r="856" spans="1:16" x14ac:dyDescent="0.2">
      <c r="A856" s="58" t="str">
        <v>0:00</v>
      </c>
      <c r="B856" s="123"/>
      <c r="C856" s="44"/>
      <c r="D856" s="44"/>
      <c r="E856" s="44"/>
      <c r="F856" s="44"/>
      <c r="G856" s="44"/>
      <c r="H856" s="44"/>
      <c r="I856" s="44"/>
      <c r="J856" s="44"/>
      <c r="K856" s="44"/>
      <c r="L856" s="44"/>
      <c r="M856" s="44"/>
      <c r="N856" s="44"/>
      <c r="O856" s="44"/>
      <c r="P856" s="44"/>
    </row>
    <row r="857" spans="1:16" x14ac:dyDescent="0.2">
      <c r="A857" s="58" t="str">
        <v>0:00</v>
      </c>
      <c r="B857" s="123"/>
      <c r="C857" s="44"/>
      <c r="D857" s="44"/>
      <c r="E857" s="44"/>
      <c r="F857" s="44"/>
      <c r="G857" s="44"/>
      <c r="H857" s="44"/>
      <c r="I857" s="44"/>
      <c r="J857" s="44"/>
      <c r="K857" s="44"/>
      <c r="L857" s="44"/>
      <c r="M857" s="44"/>
      <c r="N857" s="44"/>
      <c r="O857" s="44"/>
      <c r="P857" s="44"/>
    </row>
    <row r="858" spans="1:16" x14ac:dyDescent="0.2">
      <c r="A858" s="58" t="str">
        <v>0:00</v>
      </c>
      <c r="B858" s="123"/>
      <c r="C858" s="44"/>
      <c r="D858" s="44"/>
      <c r="E858" s="44"/>
      <c r="F858" s="44"/>
      <c r="G858" s="44"/>
      <c r="H858" s="44"/>
      <c r="I858" s="44"/>
      <c r="J858" s="44"/>
      <c r="K858" s="44"/>
      <c r="L858" s="44"/>
      <c r="M858" s="44"/>
      <c r="N858" s="44"/>
      <c r="O858" s="44"/>
      <c r="P858" s="44"/>
    </row>
    <row r="859" spans="1:16" x14ac:dyDescent="0.2">
      <c r="A859" s="58" t="str">
        <v>0:00</v>
      </c>
      <c r="B859" s="123"/>
      <c r="C859" s="44"/>
      <c r="D859" s="44"/>
      <c r="E859" s="44"/>
      <c r="F859" s="44"/>
      <c r="G859" s="44"/>
      <c r="H859" s="44"/>
      <c r="I859" s="44"/>
      <c r="J859" s="44"/>
      <c r="K859" s="44"/>
      <c r="L859" s="44"/>
      <c r="M859" s="44"/>
      <c r="N859" s="44"/>
      <c r="O859" s="44"/>
      <c r="P859" s="44"/>
    </row>
    <row r="860" spans="1:16" x14ac:dyDescent="0.2">
      <c r="A860" s="58" t="str">
        <v>0:00</v>
      </c>
      <c r="B860" s="123"/>
      <c r="C860" s="44"/>
      <c r="D860" s="44"/>
      <c r="E860" s="44"/>
      <c r="F860" s="44"/>
      <c r="G860" s="44"/>
      <c r="H860" s="44"/>
      <c r="I860" s="44"/>
      <c r="J860" s="44"/>
      <c r="K860" s="44"/>
      <c r="L860" s="44"/>
      <c r="M860" s="44"/>
      <c r="N860" s="44"/>
      <c r="O860" s="44"/>
      <c r="P860" s="44"/>
    </row>
    <row r="861" spans="1:16" x14ac:dyDescent="0.2">
      <c r="A861" s="58" t="str">
        <v>0:00</v>
      </c>
      <c r="B861" s="123"/>
      <c r="C861" s="44"/>
      <c r="D861" s="44"/>
      <c r="E861" s="44"/>
      <c r="F861" s="44"/>
      <c r="G861" s="44"/>
      <c r="H861" s="44"/>
      <c r="I861" s="44"/>
      <c r="J861" s="44"/>
      <c r="K861" s="44"/>
      <c r="L861" s="44"/>
      <c r="M861" s="44"/>
      <c r="N861" s="44"/>
      <c r="O861" s="44"/>
      <c r="P861" s="44"/>
    </row>
    <row r="862" spans="1:16" x14ac:dyDescent="0.2">
      <c r="A862" s="58" t="str">
        <v>0:00</v>
      </c>
      <c r="B862" s="123"/>
      <c r="C862" s="44"/>
      <c r="D862" s="44"/>
      <c r="E862" s="44"/>
      <c r="F862" s="44"/>
      <c r="G862" s="44"/>
      <c r="H862" s="44"/>
      <c r="I862" s="44"/>
      <c r="J862" s="44"/>
      <c r="K862" s="44"/>
      <c r="L862" s="44"/>
      <c r="M862" s="44"/>
      <c r="N862" s="44"/>
      <c r="O862" s="44"/>
      <c r="P862" s="44"/>
    </row>
    <row r="863" spans="1:16" x14ac:dyDescent="0.2">
      <c r="A863" s="58" t="str">
        <v>0:00</v>
      </c>
      <c r="B863" s="123"/>
      <c r="C863" s="44"/>
      <c r="D863" s="44"/>
      <c r="E863" s="44"/>
      <c r="F863" s="44"/>
      <c r="G863" s="44"/>
      <c r="H863" s="44"/>
      <c r="I863" s="44"/>
      <c r="J863" s="44"/>
      <c r="K863" s="44"/>
      <c r="L863" s="44"/>
      <c r="M863" s="44"/>
      <c r="N863" s="44"/>
      <c r="O863" s="44"/>
      <c r="P863" s="44"/>
    </row>
    <row r="864" spans="1:16" x14ac:dyDescent="0.2">
      <c r="A864" s="58" t="str">
        <v>0:00</v>
      </c>
      <c r="B864" s="123"/>
      <c r="C864" s="44"/>
      <c r="D864" s="44"/>
      <c r="E864" s="44"/>
      <c r="F864" s="44"/>
      <c r="G864" s="44"/>
      <c r="H864" s="44"/>
      <c r="I864" s="44"/>
      <c r="J864" s="44"/>
      <c r="K864" s="44"/>
      <c r="L864" s="44"/>
      <c r="M864" s="44"/>
      <c r="N864" s="44"/>
      <c r="O864" s="44"/>
      <c r="P864" s="44"/>
    </row>
    <row r="865" spans="1:16" x14ac:dyDescent="0.2">
      <c r="A865" s="58" t="str">
        <v>0:00</v>
      </c>
      <c r="B865" s="123"/>
      <c r="C865" s="44"/>
      <c r="D865" s="44"/>
      <c r="E865" s="44"/>
      <c r="F865" s="44"/>
      <c r="G865" s="44"/>
      <c r="H865" s="44"/>
      <c r="I865" s="44"/>
      <c r="J865" s="44"/>
      <c r="K865" s="44"/>
      <c r="L865" s="44"/>
      <c r="M865" s="44"/>
      <c r="N865" s="44"/>
      <c r="O865" s="44"/>
      <c r="P865" s="44"/>
    </row>
    <row r="866" spans="1:16" x14ac:dyDescent="0.2">
      <c r="A866" s="58" t="str">
        <v>0:00</v>
      </c>
      <c r="B866" s="123"/>
      <c r="C866" s="44"/>
      <c r="D866" s="44"/>
      <c r="E866" s="44"/>
      <c r="F866" s="44"/>
      <c r="G866" s="44"/>
      <c r="H866" s="44"/>
      <c r="I866" s="44"/>
      <c r="J866" s="44"/>
      <c r="K866" s="44"/>
      <c r="L866" s="44"/>
      <c r="M866" s="44"/>
      <c r="N866" s="44"/>
      <c r="O866" s="44"/>
      <c r="P866" s="44"/>
    </row>
    <row r="867" spans="1:16" x14ac:dyDescent="0.2">
      <c r="A867" s="58" t="str">
        <v>0:00</v>
      </c>
      <c r="B867" s="123"/>
      <c r="C867" s="44"/>
      <c r="D867" s="44"/>
      <c r="E867" s="44"/>
      <c r="F867" s="44"/>
      <c r="G867" s="44"/>
      <c r="H867" s="44"/>
      <c r="I867" s="44"/>
      <c r="J867" s="44"/>
      <c r="K867" s="44"/>
      <c r="L867" s="44"/>
      <c r="M867" s="44"/>
      <c r="N867" s="44"/>
      <c r="O867" s="44"/>
      <c r="P867" s="44"/>
    </row>
    <row r="868" spans="1:16" x14ac:dyDescent="0.2">
      <c r="A868" s="58" t="str">
        <v>0:00</v>
      </c>
      <c r="B868" s="123"/>
      <c r="C868" s="44"/>
      <c r="D868" s="44"/>
      <c r="E868" s="44"/>
      <c r="F868" s="44"/>
      <c r="G868" s="44"/>
      <c r="H868" s="44"/>
      <c r="I868" s="44"/>
      <c r="J868" s="44"/>
      <c r="K868" s="44"/>
      <c r="L868" s="44"/>
      <c r="M868" s="44"/>
      <c r="N868" s="44"/>
      <c r="O868" s="44"/>
      <c r="P868" s="44"/>
    </row>
    <row r="869" spans="1:16" x14ac:dyDescent="0.2">
      <c r="A869" s="58" t="str">
        <v>0:00</v>
      </c>
      <c r="B869" s="123"/>
      <c r="C869" s="44"/>
      <c r="D869" s="44"/>
      <c r="E869" s="44"/>
      <c r="F869" s="44"/>
      <c r="G869" s="44"/>
      <c r="H869" s="44"/>
      <c r="I869" s="44"/>
      <c r="J869" s="44"/>
      <c r="K869" s="44"/>
      <c r="L869" s="44"/>
      <c r="M869" s="44"/>
      <c r="N869" s="44"/>
      <c r="O869" s="44"/>
      <c r="P869" s="44"/>
    </row>
    <row r="870" spans="1:16" x14ac:dyDescent="0.2">
      <c r="A870" s="58" t="str">
        <v>0:00</v>
      </c>
      <c r="B870" s="123"/>
      <c r="C870" s="44"/>
      <c r="D870" s="44"/>
      <c r="E870" s="44"/>
      <c r="F870" s="44"/>
      <c r="G870" s="44"/>
      <c r="H870" s="44"/>
      <c r="I870" s="44"/>
      <c r="J870" s="44"/>
      <c r="K870" s="44"/>
      <c r="L870" s="44"/>
      <c r="M870" s="44"/>
      <c r="N870" s="44"/>
      <c r="O870" s="44"/>
      <c r="P870" s="44"/>
    </row>
    <row r="871" spans="1:16" x14ac:dyDescent="0.2">
      <c r="A871" s="58" t="str">
        <v>0:00</v>
      </c>
      <c r="B871" s="123"/>
      <c r="C871" s="44"/>
      <c r="D871" s="44"/>
      <c r="E871" s="44"/>
      <c r="F871" s="44"/>
      <c r="G871" s="44"/>
      <c r="H871" s="44"/>
      <c r="I871" s="44"/>
      <c r="J871" s="44"/>
      <c r="K871" s="44"/>
      <c r="L871" s="44"/>
      <c r="M871" s="44"/>
      <c r="N871" s="44"/>
      <c r="O871" s="44"/>
      <c r="P871" s="44"/>
    </row>
    <row r="872" spans="1:16" x14ac:dyDescent="0.2">
      <c r="A872" s="58" t="str">
        <v>0:00</v>
      </c>
      <c r="B872" s="123"/>
      <c r="C872" s="44"/>
      <c r="D872" s="44"/>
      <c r="E872" s="44"/>
      <c r="F872" s="44"/>
      <c r="G872" s="44"/>
      <c r="H872" s="44"/>
      <c r="I872" s="44"/>
      <c r="J872" s="44"/>
      <c r="K872" s="44"/>
      <c r="L872" s="44"/>
      <c r="M872" s="44"/>
      <c r="N872" s="44"/>
      <c r="O872" s="44"/>
      <c r="P872" s="44"/>
    </row>
    <row r="873" spans="1:16" x14ac:dyDescent="0.2">
      <c r="A873" s="58" t="str">
        <v>0:00</v>
      </c>
      <c r="B873" s="123"/>
      <c r="C873" s="44"/>
      <c r="D873" s="44"/>
      <c r="E873" s="44"/>
      <c r="F873" s="44"/>
      <c r="G873" s="44"/>
      <c r="H873" s="44"/>
      <c r="I873" s="44"/>
      <c r="J873" s="44"/>
      <c r="K873" s="44"/>
      <c r="L873" s="44"/>
      <c r="M873" s="44"/>
      <c r="N873" s="44"/>
      <c r="O873" s="44"/>
      <c r="P873" s="44"/>
    </row>
    <row r="874" spans="1:16" x14ac:dyDescent="0.2">
      <c r="A874" s="58" t="str">
        <v>0:00</v>
      </c>
      <c r="B874" s="123"/>
      <c r="C874" s="44"/>
      <c r="D874" s="44"/>
      <c r="E874" s="44"/>
      <c r="F874" s="44"/>
      <c r="G874" s="44"/>
      <c r="H874" s="44"/>
      <c r="I874" s="44"/>
      <c r="J874" s="44"/>
      <c r="K874" s="44"/>
      <c r="L874" s="44"/>
      <c r="M874" s="44"/>
      <c r="N874" s="44"/>
      <c r="O874" s="44"/>
      <c r="P874" s="44"/>
    </row>
    <row r="875" spans="1:16" x14ac:dyDescent="0.2">
      <c r="A875" s="58" t="str">
        <v>0:00</v>
      </c>
      <c r="B875" s="123"/>
      <c r="C875" s="44"/>
      <c r="D875" s="44"/>
      <c r="E875" s="44"/>
      <c r="F875" s="44"/>
      <c r="G875" s="44"/>
      <c r="H875" s="44"/>
      <c r="I875" s="44"/>
      <c r="J875" s="44"/>
      <c r="K875" s="44"/>
      <c r="L875" s="44"/>
      <c r="M875" s="44"/>
      <c r="N875" s="44"/>
      <c r="O875" s="44"/>
      <c r="P875" s="44"/>
    </row>
    <row r="876" spans="1:16" x14ac:dyDescent="0.2">
      <c r="A876" s="58" t="str">
        <v>0:00</v>
      </c>
      <c r="B876" s="123"/>
      <c r="C876" s="44"/>
      <c r="D876" s="44"/>
      <c r="E876" s="44"/>
      <c r="F876" s="44"/>
      <c r="G876" s="44"/>
      <c r="H876" s="44"/>
      <c r="I876" s="44"/>
      <c r="J876" s="44"/>
      <c r="K876" s="44"/>
      <c r="L876" s="44"/>
      <c r="M876" s="44"/>
      <c r="N876" s="44"/>
      <c r="O876" s="44"/>
      <c r="P876" s="44"/>
    </row>
    <row r="877" spans="1:16" x14ac:dyDescent="0.2">
      <c r="A877" s="58" t="str">
        <v>0:00</v>
      </c>
      <c r="B877" s="123"/>
      <c r="C877" s="44"/>
      <c r="D877" s="44"/>
      <c r="E877" s="44"/>
      <c r="F877" s="44"/>
      <c r="G877" s="44"/>
      <c r="H877" s="44"/>
      <c r="I877" s="44"/>
      <c r="J877" s="44"/>
      <c r="K877" s="44"/>
      <c r="L877" s="44"/>
      <c r="M877" s="44"/>
      <c r="N877" s="44"/>
      <c r="O877" s="44"/>
      <c r="P877" s="44"/>
    </row>
    <row r="878" spans="1:16" x14ac:dyDescent="0.2">
      <c r="A878" s="58" t="str">
        <v>0:00</v>
      </c>
      <c r="B878" s="123"/>
      <c r="C878" s="44"/>
      <c r="D878" s="44"/>
      <c r="E878" s="44"/>
      <c r="F878" s="44"/>
      <c r="G878" s="44"/>
      <c r="H878" s="44"/>
      <c r="I878" s="44"/>
      <c r="J878" s="44"/>
      <c r="K878" s="44"/>
      <c r="L878" s="44"/>
      <c r="M878" s="44"/>
      <c r="N878" s="44"/>
      <c r="O878" s="44"/>
      <c r="P878" s="44"/>
    </row>
    <row r="879" spans="1:16" x14ac:dyDescent="0.2">
      <c r="A879" s="58" t="str">
        <v>0:00</v>
      </c>
      <c r="B879" s="123"/>
      <c r="C879" s="44"/>
      <c r="D879" s="44"/>
      <c r="E879" s="44"/>
      <c r="F879" s="44"/>
      <c r="G879" s="44"/>
      <c r="H879" s="44"/>
      <c r="I879" s="44"/>
      <c r="J879" s="44"/>
      <c r="K879" s="44"/>
      <c r="L879" s="44"/>
      <c r="M879" s="44"/>
      <c r="N879" s="44"/>
      <c r="O879" s="44"/>
      <c r="P879" s="44"/>
    </row>
    <row r="880" spans="1:16" x14ac:dyDescent="0.2">
      <c r="A880" s="58" t="str">
        <v>0:00</v>
      </c>
      <c r="B880" s="123"/>
      <c r="C880" s="44"/>
      <c r="D880" s="44"/>
      <c r="E880" s="44"/>
      <c r="F880" s="44"/>
      <c r="G880" s="44"/>
      <c r="H880" s="44"/>
      <c r="I880" s="44"/>
      <c r="J880" s="44"/>
      <c r="K880" s="44"/>
      <c r="L880" s="44"/>
      <c r="M880" s="44"/>
      <c r="N880" s="44"/>
      <c r="O880" s="44"/>
      <c r="P880" s="44"/>
    </row>
    <row r="881" spans="1:16" x14ac:dyDescent="0.2">
      <c r="A881" s="58" t="str">
        <v>0:00</v>
      </c>
      <c r="B881" s="123"/>
      <c r="C881" s="44"/>
      <c r="D881" s="44"/>
      <c r="E881" s="44"/>
      <c r="F881" s="44"/>
      <c r="G881" s="44"/>
      <c r="H881" s="44"/>
      <c r="I881" s="44"/>
      <c r="J881" s="44"/>
      <c r="K881" s="44"/>
      <c r="L881" s="44"/>
      <c r="M881" s="44"/>
      <c r="N881" s="44"/>
      <c r="O881" s="44"/>
      <c r="P881" s="44"/>
    </row>
    <row r="882" spans="1:16" x14ac:dyDescent="0.2">
      <c r="A882" s="58" t="str">
        <v>0:00</v>
      </c>
      <c r="B882" s="123"/>
      <c r="C882" s="44"/>
      <c r="D882" s="44"/>
      <c r="E882" s="44"/>
      <c r="F882" s="44"/>
      <c r="G882" s="44"/>
      <c r="H882" s="44"/>
      <c r="I882" s="44"/>
      <c r="J882" s="44"/>
      <c r="K882" s="44"/>
      <c r="L882" s="44"/>
      <c r="M882" s="44"/>
      <c r="N882" s="44"/>
      <c r="O882" s="44"/>
      <c r="P882" s="44"/>
    </row>
    <row r="883" spans="1:16" x14ac:dyDescent="0.2">
      <c r="A883" s="58" t="str">
        <v>0:00</v>
      </c>
      <c r="B883" s="123"/>
      <c r="C883" s="44"/>
      <c r="D883" s="44"/>
      <c r="E883" s="44"/>
      <c r="F883" s="44"/>
      <c r="G883" s="44"/>
      <c r="H883" s="44"/>
      <c r="I883" s="44"/>
      <c r="J883" s="44"/>
      <c r="K883" s="44"/>
      <c r="L883" s="44"/>
      <c r="M883" s="44"/>
      <c r="N883" s="44"/>
      <c r="O883" s="44"/>
      <c r="P883" s="44"/>
    </row>
    <row r="884" spans="1:16" x14ac:dyDescent="0.2">
      <c r="A884" s="58" t="str">
        <v>0:00</v>
      </c>
      <c r="B884" s="123"/>
      <c r="C884" s="44"/>
      <c r="D884" s="44"/>
      <c r="E884" s="44"/>
      <c r="F884" s="44"/>
      <c r="G884" s="44"/>
      <c r="H884" s="44"/>
      <c r="I884" s="44"/>
      <c r="J884" s="44"/>
      <c r="K884" s="44"/>
      <c r="L884" s="44"/>
      <c r="M884" s="44"/>
      <c r="N884" s="44"/>
      <c r="O884" s="44"/>
      <c r="P884" s="44"/>
    </row>
    <row r="885" spans="1:16" x14ac:dyDescent="0.2">
      <c r="A885" s="58" t="str">
        <v>0:00</v>
      </c>
      <c r="B885" s="123"/>
      <c r="C885" s="44"/>
      <c r="D885" s="44"/>
      <c r="E885" s="44"/>
      <c r="F885" s="44"/>
      <c r="G885" s="44"/>
      <c r="H885" s="44"/>
      <c r="I885" s="44"/>
      <c r="J885" s="44"/>
      <c r="K885" s="44"/>
      <c r="L885" s="44"/>
      <c r="M885" s="44"/>
      <c r="N885" s="44"/>
      <c r="O885" s="44"/>
      <c r="P885" s="44"/>
    </row>
    <row r="886" spans="1:16" x14ac:dyDescent="0.2">
      <c r="A886" s="58" t="str">
        <v>0:00</v>
      </c>
      <c r="B886" s="123"/>
      <c r="C886" s="44"/>
      <c r="D886" s="44"/>
      <c r="E886" s="44"/>
      <c r="F886" s="44"/>
      <c r="G886" s="44"/>
      <c r="H886" s="44"/>
      <c r="I886" s="44"/>
      <c r="J886" s="44"/>
      <c r="K886" s="44"/>
      <c r="L886" s="44"/>
      <c r="M886" s="44"/>
      <c r="N886" s="44"/>
      <c r="O886" s="44"/>
      <c r="P886" s="44"/>
    </row>
    <row r="887" spans="1:16" x14ac:dyDescent="0.2">
      <c r="A887" s="58" t="str">
        <v>0:00</v>
      </c>
      <c r="B887" s="123"/>
      <c r="C887" s="44"/>
      <c r="D887" s="44"/>
      <c r="E887" s="44"/>
      <c r="F887" s="44"/>
      <c r="G887" s="44"/>
      <c r="H887" s="44"/>
      <c r="I887" s="44"/>
      <c r="J887" s="44"/>
      <c r="K887" s="44"/>
      <c r="L887" s="44"/>
      <c r="M887" s="44"/>
      <c r="N887" s="44"/>
      <c r="O887" s="44"/>
      <c r="P887" s="44"/>
    </row>
    <row r="888" spans="1:16" x14ac:dyDescent="0.2">
      <c r="A888" s="58" t="str">
        <v>0:00</v>
      </c>
      <c r="B888" s="123"/>
      <c r="C888" s="44"/>
      <c r="D888" s="44"/>
      <c r="E888" s="44"/>
      <c r="F888" s="44"/>
      <c r="G888" s="44"/>
      <c r="H888" s="44"/>
      <c r="I888" s="44"/>
      <c r="J888" s="44"/>
      <c r="K888" s="44"/>
      <c r="L888" s="44"/>
      <c r="M888" s="44"/>
      <c r="N888" s="44"/>
      <c r="O888" s="44"/>
      <c r="P888" s="44"/>
    </row>
    <row r="889" spans="1:16" x14ac:dyDescent="0.2">
      <c r="A889" s="58" t="str">
        <v>0:00</v>
      </c>
      <c r="B889" s="123"/>
      <c r="C889" s="44"/>
      <c r="D889" s="44"/>
      <c r="E889" s="44"/>
      <c r="F889" s="44"/>
      <c r="G889" s="44"/>
      <c r="H889" s="44"/>
      <c r="I889" s="44"/>
      <c r="J889" s="44"/>
      <c r="K889" s="44"/>
      <c r="L889" s="44"/>
      <c r="M889" s="44"/>
      <c r="N889" s="44"/>
      <c r="O889" s="44"/>
      <c r="P889" s="44"/>
    </row>
    <row r="890" spans="1:16" x14ac:dyDescent="0.2">
      <c r="A890" s="58" t="str">
        <v>0:00</v>
      </c>
      <c r="B890" s="123"/>
      <c r="C890" s="44"/>
      <c r="D890" s="44"/>
      <c r="E890" s="44"/>
      <c r="F890" s="44"/>
      <c r="G890" s="44"/>
      <c r="H890" s="44"/>
      <c r="I890" s="44"/>
      <c r="J890" s="44"/>
      <c r="K890" s="44"/>
      <c r="L890" s="44"/>
      <c r="M890" s="44"/>
      <c r="N890" s="44"/>
      <c r="O890" s="44"/>
      <c r="P890" s="44"/>
    </row>
    <row r="891" spans="1:16" x14ac:dyDescent="0.2">
      <c r="A891" s="58" t="str">
        <v>0:00</v>
      </c>
      <c r="B891" s="123"/>
      <c r="C891" s="44"/>
      <c r="D891" s="44"/>
      <c r="E891" s="44"/>
      <c r="F891" s="44"/>
      <c r="G891" s="44"/>
      <c r="H891" s="44"/>
      <c r="I891" s="44"/>
      <c r="J891" s="44"/>
      <c r="K891" s="44"/>
      <c r="L891" s="44"/>
      <c r="M891" s="44"/>
      <c r="N891" s="44"/>
      <c r="O891" s="44"/>
      <c r="P891" s="44"/>
    </row>
    <row r="892" spans="1:16" x14ac:dyDescent="0.2">
      <c r="A892" s="58" t="str">
        <v>0:00</v>
      </c>
      <c r="B892" s="123"/>
      <c r="C892" s="44"/>
      <c r="D892" s="44"/>
      <c r="E892" s="44"/>
      <c r="F892" s="44"/>
      <c r="G892" s="44"/>
      <c r="H892" s="44"/>
      <c r="I892" s="44"/>
      <c r="J892" s="44"/>
      <c r="K892" s="44"/>
      <c r="L892" s="44"/>
      <c r="M892" s="44"/>
      <c r="N892" s="44"/>
      <c r="O892" s="44"/>
      <c r="P892" s="44"/>
    </row>
    <row r="893" spans="1:16" x14ac:dyDescent="0.2">
      <c r="A893" s="58" t="str">
        <v>0:00</v>
      </c>
      <c r="B893" s="123"/>
      <c r="C893" s="44"/>
      <c r="D893" s="44"/>
      <c r="E893" s="44"/>
      <c r="F893" s="44"/>
      <c r="G893" s="44"/>
      <c r="H893" s="44"/>
      <c r="I893" s="44"/>
      <c r="J893" s="44"/>
      <c r="K893" s="44"/>
      <c r="L893" s="44"/>
      <c r="M893" s="44"/>
      <c r="N893" s="44"/>
      <c r="O893" s="44"/>
      <c r="P893" s="44"/>
    </row>
    <row r="894" spans="1:16" x14ac:dyDescent="0.2">
      <c r="A894" s="58" t="str">
        <v>0:00</v>
      </c>
      <c r="B894" s="123"/>
      <c r="C894" s="44"/>
      <c r="D894" s="44"/>
      <c r="E894" s="44"/>
      <c r="F894" s="44"/>
      <c r="G894" s="44"/>
      <c r="H894" s="44"/>
      <c r="I894" s="44"/>
      <c r="J894" s="44"/>
      <c r="K894" s="44"/>
      <c r="L894" s="44"/>
      <c r="M894" s="44"/>
      <c r="N894" s="44"/>
      <c r="O894" s="44"/>
      <c r="P894" s="44"/>
    </row>
    <row r="895" spans="1:16" x14ac:dyDescent="0.2">
      <c r="A895" s="58" t="str">
        <v>0:00</v>
      </c>
      <c r="B895" s="123"/>
      <c r="C895" s="44"/>
      <c r="D895" s="44"/>
      <c r="E895" s="44"/>
      <c r="F895" s="44"/>
      <c r="G895" s="44"/>
      <c r="H895" s="44"/>
      <c r="I895" s="44"/>
      <c r="J895" s="44"/>
      <c r="K895" s="44"/>
      <c r="L895" s="44"/>
      <c r="M895" s="44"/>
      <c r="N895" s="44"/>
      <c r="O895" s="44"/>
      <c r="P895" s="44"/>
    </row>
    <row r="896" spans="1:16" x14ac:dyDescent="0.2">
      <c r="A896" s="58" t="str">
        <v>0:00</v>
      </c>
      <c r="B896" s="123"/>
      <c r="C896" s="44"/>
      <c r="D896" s="44"/>
      <c r="E896" s="44"/>
      <c r="F896" s="44"/>
      <c r="G896" s="44"/>
      <c r="H896" s="44"/>
      <c r="I896" s="44"/>
      <c r="J896" s="44"/>
      <c r="K896" s="44"/>
      <c r="L896" s="44"/>
      <c r="M896" s="44"/>
      <c r="N896" s="44"/>
      <c r="O896" s="44"/>
      <c r="P896" s="44"/>
    </row>
    <row r="897" spans="1:16" x14ac:dyDescent="0.2">
      <c r="A897" s="58" t="str">
        <v>0:00</v>
      </c>
      <c r="B897" s="123"/>
      <c r="C897" s="44"/>
      <c r="D897" s="44"/>
      <c r="E897" s="44"/>
      <c r="F897" s="44"/>
      <c r="G897" s="44"/>
      <c r="H897" s="44"/>
      <c r="I897" s="44"/>
      <c r="J897" s="44"/>
      <c r="K897" s="44"/>
      <c r="L897" s="44"/>
      <c r="M897" s="44"/>
      <c r="N897" s="44"/>
      <c r="O897" s="44"/>
      <c r="P897" s="44"/>
    </row>
    <row r="898" spans="1:16" x14ac:dyDescent="0.2">
      <c r="A898" s="58" t="str">
        <v>0:00</v>
      </c>
      <c r="B898" s="123"/>
      <c r="C898" s="44"/>
      <c r="D898" s="44"/>
      <c r="E898" s="44"/>
      <c r="F898" s="44"/>
      <c r="G898" s="44"/>
      <c r="H898" s="44"/>
      <c r="I898" s="44"/>
      <c r="J898" s="44"/>
      <c r="K898" s="44"/>
      <c r="L898" s="44"/>
      <c r="M898" s="44"/>
      <c r="N898" s="44"/>
      <c r="O898" s="44"/>
      <c r="P898" s="44"/>
    </row>
    <row r="899" spans="1:16" x14ac:dyDescent="0.2">
      <c r="A899" s="58" t="str">
        <v>0:00</v>
      </c>
      <c r="B899" s="123"/>
      <c r="C899" s="44"/>
      <c r="D899" s="44"/>
      <c r="E899" s="44"/>
      <c r="F899" s="44"/>
      <c r="G899" s="44"/>
      <c r="H899" s="44"/>
      <c r="I899" s="44"/>
      <c r="J899" s="44"/>
      <c r="K899" s="44"/>
      <c r="L899" s="44"/>
      <c r="M899" s="44"/>
      <c r="N899" s="44"/>
      <c r="O899" s="44"/>
      <c r="P899" s="44"/>
    </row>
    <row r="900" spans="1:16" x14ac:dyDescent="0.2">
      <c r="A900" s="58" t="str">
        <v>0:00</v>
      </c>
      <c r="B900" s="123"/>
      <c r="C900" s="44"/>
      <c r="D900" s="44"/>
      <c r="E900" s="44"/>
      <c r="F900" s="44"/>
      <c r="G900" s="44"/>
      <c r="H900" s="44"/>
      <c r="I900" s="44"/>
      <c r="J900" s="44"/>
      <c r="K900" s="44"/>
      <c r="L900" s="44"/>
      <c r="M900" s="44"/>
      <c r="N900" s="44"/>
      <c r="O900" s="44"/>
      <c r="P900" s="44"/>
    </row>
    <row r="901" spans="1:16" x14ac:dyDescent="0.2">
      <c r="A901" s="58" t="str">
        <v>0:00</v>
      </c>
      <c r="B901" s="123"/>
      <c r="C901" s="44"/>
      <c r="D901" s="44"/>
      <c r="E901" s="44"/>
      <c r="F901" s="44"/>
      <c r="G901" s="44"/>
      <c r="H901" s="44"/>
      <c r="I901" s="44"/>
      <c r="J901" s="44"/>
      <c r="K901" s="44"/>
      <c r="L901" s="44"/>
      <c r="M901" s="44"/>
      <c r="N901" s="44"/>
      <c r="O901" s="44"/>
      <c r="P901" s="44"/>
    </row>
    <row r="902" spans="1:16" x14ac:dyDescent="0.2">
      <c r="A902" s="58" t="str">
        <v>0:00</v>
      </c>
      <c r="B902" s="123"/>
      <c r="C902" s="44"/>
      <c r="D902" s="44"/>
      <c r="E902" s="44"/>
      <c r="F902" s="44"/>
      <c r="G902" s="44"/>
      <c r="H902" s="44"/>
      <c r="I902" s="44"/>
      <c r="J902" s="44"/>
      <c r="K902" s="44"/>
      <c r="L902" s="44"/>
      <c r="M902" s="44"/>
      <c r="N902" s="44"/>
      <c r="O902" s="44"/>
      <c r="P902" s="44"/>
    </row>
    <row r="903" spans="1:16" x14ac:dyDescent="0.2">
      <c r="A903" s="58" t="str">
        <v>0:00</v>
      </c>
      <c r="B903" s="123"/>
      <c r="C903" s="44"/>
      <c r="D903" s="44"/>
      <c r="E903" s="44"/>
      <c r="F903" s="44"/>
      <c r="G903" s="44"/>
      <c r="H903" s="44"/>
      <c r="I903" s="44"/>
      <c r="J903" s="44"/>
      <c r="K903" s="44"/>
      <c r="L903" s="44"/>
      <c r="M903" s="44"/>
      <c r="N903" s="44"/>
      <c r="O903" s="44"/>
      <c r="P903" s="44"/>
    </row>
  </sheetData>
  <sheetProtection algorithmName="SHA-512" hashValue="ayLMjT8GoEcCbJj/pt5ggqu1r9MdPUfh+bYXW9pv9yfnZHuOKbkKR7F8tGuJl4wFPXxErm+WVhVCS4eWwODkyg==" saltValue="c3dXnH4E+zwbKRnxRIpxw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expression" dxfId="44" priority="1">
      <formula>AND(ROW() &gt;= $Q$1, ROW() &lt;= $Q$2)</formula>
    </cfRule>
    <cfRule type="cellIs" dxfId="43" priority="2" stopIfTrue="1" operator="between">
      <formula>$E$1</formula>
      <formula>$E$2</formula>
    </cfRule>
    <cfRule type="cellIs" dxfId="42" priority="3" stopIfTrue="1" operator="greaterThan">
      <formula>$C$2</formula>
    </cfRule>
    <cfRule type="cellIs" dxfId="41" priority="4" stopIfTrue="1" operator="lessThan">
      <formula>$C$1</formula>
    </cfRule>
    <cfRule type="cellIs" dxfId="4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0">
        <f>Main!$D$16</f>
        <v>0</v>
      </c>
      <c r="C1" s="134">
        <f>$B$1-$B$2</f>
        <v>0</v>
      </c>
      <c r="D1" s="134"/>
      <c r="E1" s="140">
        <f>B1-D2</f>
        <v>0</v>
      </c>
      <c r="F1" s="38" t="s">
        <v>92</v>
      </c>
      <c r="P1" s="340" t="str">
        <f>IF(Main!$E$30="","A10",ADDRESS(13+(MATCH(Main!$E$30,Data_Sheet!$A$14:$A$903,0)),1,4))</f>
        <v>A10</v>
      </c>
      <c r="Q1" s="340">
        <f>VALUE(MID(P1, 2, LEN(P1)-1))</f>
        <v>10</v>
      </c>
    </row>
    <row r="2" spans="1:17" x14ac:dyDescent="0.2">
      <c r="B2" s="140">
        <f>Main!$D$19</f>
        <v>0</v>
      </c>
      <c r="C2" s="134">
        <f>$B$1+$B$2</f>
        <v>0</v>
      </c>
      <c r="D2" s="134">
        <f>(Main!$D$19)/2</f>
        <v>0</v>
      </c>
      <c r="E2" s="140">
        <f>B1+D2</f>
        <v>0</v>
      </c>
      <c r="I2" s="94" t="s">
        <v>250</v>
      </c>
      <c r="M2" s="613" t="s">
        <v>120</v>
      </c>
      <c r="N2" s="613"/>
      <c r="O2" s="613"/>
      <c r="P2" s="340" t="str">
        <f>IF(Main!$E$30="","A10",ADDRESS(13+Standards_Info!W2+(MATCH(Main!$E$30,Data_Sheet!$A$14:$A$903,0)),1,4))</f>
        <v>A10</v>
      </c>
      <c r="Q2" s="340">
        <f>VALUE(MID(P2, 2, LEN(P2)-1))</f>
        <v>10</v>
      </c>
    </row>
    <row r="3" spans="1:17" ht="15" x14ac:dyDescent="0.25">
      <c r="B3" s="149" t="s">
        <v>0</v>
      </c>
      <c r="C3" s="4"/>
      <c r="M3" s="601" t="s">
        <v>121</v>
      </c>
      <c r="N3" s="602"/>
      <c r="O3" s="603"/>
      <c r="P3" s="47"/>
    </row>
    <row r="4" spans="1:17" ht="15" x14ac:dyDescent="0.25">
      <c r="B4" s="136" t="s">
        <v>37</v>
      </c>
      <c r="C4" s="5"/>
      <c r="M4" s="604" t="s">
        <v>162</v>
      </c>
      <c r="N4" s="605"/>
      <c r="O4" s="606"/>
    </row>
    <row r="5" spans="1:17" x14ac:dyDescent="0.2">
      <c r="B5" s="137" t="s">
        <v>38</v>
      </c>
      <c r="C5" s="75">
        <f>Main!D3</f>
        <v>0</v>
      </c>
      <c r="D5" s="44"/>
      <c r="E5" s="44"/>
      <c r="F5" s="44"/>
      <c r="G5" s="44"/>
      <c r="H5" s="44"/>
      <c r="I5" s="73" t="s">
        <v>9</v>
      </c>
      <c r="J5" t="e">
        <f>Main!D5</f>
        <v>#N/A</v>
      </c>
      <c r="M5" s="614" t="s">
        <v>161</v>
      </c>
      <c r="N5" s="615"/>
      <c r="O5" s="616"/>
    </row>
    <row r="6" spans="1:17" ht="13.5" thickBot="1" x14ac:dyDescent="0.25">
      <c r="B6" s="137" t="s">
        <v>7</v>
      </c>
      <c r="C6" s="76" t="e">
        <f>Main!D6</f>
        <v>#N/A</v>
      </c>
      <c r="D6" s="44"/>
      <c r="E6" s="44"/>
      <c r="F6" s="44"/>
      <c r="G6" s="44"/>
      <c r="H6" s="44"/>
      <c r="I6" s="73" t="s">
        <v>10</v>
      </c>
      <c r="J6" s="46">
        <f>Main!D16</f>
        <v>0</v>
      </c>
      <c r="M6" s="610" t="s">
        <v>160</v>
      </c>
      <c r="N6" s="611"/>
      <c r="O6" s="612"/>
    </row>
    <row r="7" spans="1:17" ht="13.5" thickBot="1" x14ac:dyDescent="0.25">
      <c r="B7" s="137" t="s">
        <v>39</v>
      </c>
      <c r="C7" s="76" t="str">
        <f>Main!D7</f>
        <v>Jeff Hall</v>
      </c>
      <c r="D7" s="44"/>
      <c r="E7" s="44"/>
      <c r="F7" s="44"/>
      <c r="G7" s="44"/>
      <c r="H7" s="44"/>
      <c r="I7" s="78" t="s">
        <v>188</v>
      </c>
      <c r="J7" s="598">
        <f>Main!$D$30</f>
        <v>0</v>
      </c>
      <c r="K7" s="599"/>
      <c r="L7" s="123"/>
      <c r="M7" s="597" t="s">
        <v>159</v>
      </c>
      <c r="N7" s="597"/>
      <c r="O7" s="597"/>
    </row>
    <row r="8" spans="1:17" x14ac:dyDescent="0.2">
      <c r="B8" s="137"/>
      <c r="C8" s="76"/>
      <c r="D8" s="44"/>
      <c r="E8" s="44"/>
      <c r="F8" s="44"/>
      <c r="G8" s="44"/>
      <c r="I8" s="78"/>
      <c r="J8" s="146"/>
      <c r="K8" s="146"/>
      <c r="L8" s="123"/>
      <c r="M8" s="147"/>
      <c r="N8" s="147"/>
      <c r="O8" s="147"/>
    </row>
    <row r="9" spans="1:17" x14ac:dyDescent="0.2">
      <c r="B9" s="137"/>
      <c r="C9" s="76"/>
      <c r="D9" s="44"/>
      <c r="E9" s="44"/>
      <c r="F9" s="44"/>
      <c r="G9" s="44"/>
      <c r="I9" s="150" t="str">
        <f>IF(Main!K15="SIM Load Hot",Main!N59,"")</f>
        <v/>
      </c>
      <c r="J9" s="148"/>
      <c r="K9" s="146"/>
      <c r="L9" s="123"/>
      <c r="M9" s="147"/>
      <c r="N9" s="147"/>
      <c r="O9" s="147"/>
    </row>
    <row r="10" spans="1:17" s="83" customFormat="1" x14ac:dyDescent="0.2">
      <c r="A10" s="124"/>
      <c r="B10" s="138"/>
      <c r="I10" s="150" t="str">
        <f>IF(OR(Main!E60="",Main!K60=""),IF(OR(Main!E61="",Main!K61=""),"",Main!N61),Main!N60)</f>
        <v/>
      </c>
    </row>
    <row r="11" spans="1:17" s="83" customFormat="1" x14ac:dyDescent="0.2">
      <c r="A11" s="124"/>
      <c r="B11" s="138"/>
      <c r="I11" s="150"/>
    </row>
    <row r="12" spans="1:17" s="83" customFormat="1" x14ac:dyDescent="0.2">
      <c r="A12" s="124"/>
      <c r="B12" s="123" t="str">
        <f>DaqBook_RAW_Data!Q2</f>
        <v>Time</v>
      </c>
      <c r="C12" s="44">
        <f>IF(ISBLANK(DaqBook_RAW_Data!R2),"",15)</f>
        <v>15</v>
      </c>
      <c r="D12" s="44">
        <f>IF(ISBLANK(DaqBook_RAW_Data!S2),"",16)</f>
        <v>16</v>
      </c>
      <c r="E12" s="44">
        <f>IF(ISBLANK(DaqBook_RAW_Data!T2),"",17)</f>
        <v>17</v>
      </c>
      <c r="F12" s="44">
        <f>IF(ISBLANK(DaqBook_RAW_Data!U2),"",18)</f>
        <v>18</v>
      </c>
      <c r="G12" s="44">
        <f>IF(ISBLANK(DaqBook_RAW_Data!V2),"",19)</f>
        <v>19</v>
      </c>
      <c r="H12" s="44">
        <f>IF(ISBLANK(DaqBook_RAW_Data!W2),"",20)</f>
        <v>20</v>
      </c>
      <c r="I12" s="44">
        <f>IF(ISBLANK(DaqBook_RAW_Data!X2),"",21)</f>
        <v>21</v>
      </c>
      <c r="J12" s="44">
        <f>IF(ISBLANK(DaqBook_RAW_Data!Y2),"",22)</f>
        <v>22</v>
      </c>
      <c r="K12" s="44">
        <f>IF(ISBLANK(DaqBook_RAW_Data!Z2),"",23)</f>
        <v>23</v>
      </c>
      <c r="L12" s="44">
        <f>IF(ISBLANK(DaqBook_RAW_Data!AA2),"",24)</f>
        <v>24</v>
      </c>
      <c r="M12" s="44">
        <f>IF(ISBLANK(DaqBook_RAW_Data!AB2),"",25)</f>
        <v>25</v>
      </c>
      <c r="N12" s="44">
        <f>IF(ISBLANK(DaqBook_RAW_Data!AC2),"",26)</f>
        <v>26</v>
      </c>
      <c r="O12" s="44">
        <f>IF(ISBLANK(DaqBook_RAW_Data!AD2),"",27)</f>
        <v>27</v>
      </c>
      <c r="P12" s="44">
        <f>IF(ISBLANK(DaqBook_RAW_Data!AE2),"",28)</f>
        <v>28</v>
      </c>
    </row>
    <row r="13" spans="1:17" s="83" customFormat="1" x14ac:dyDescent="0.2">
      <c r="A13" s="124"/>
      <c r="B13" s="12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3" customFormat="1" x14ac:dyDescent="0.2">
      <c r="A14" s="124" t="str" cm="1">
        <f t="array" ref="A14:A903">TEXT(B14:B903, "h:mm")</f>
        <v/>
      </c>
      <c r="B14" s="123" t="str">
        <f>IFERROR(TIMEVALUE(DaqBook_RAW_Data!#REF!),IFERROR(TIMEVALUE(DaqBook_RAW_Data!#REF!),""))</f>
        <v/>
      </c>
      <c r="C14" s="145" t="str" cm="1">
        <f t="array" ref="C14:P801">IF(DaqBook_RAW_Data!R4:AE791 = "", "", DaqBook_RAW_Data!R4:AE791)</f>
        <v/>
      </c>
      <c r="D14" s="145" t="str">
        <v/>
      </c>
      <c r="E14" s="145" t="str">
        <v/>
      </c>
      <c r="F14" s="145" t="str">
        <v/>
      </c>
      <c r="G14" s="145" t="str">
        <v/>
      </c>
      <c r="H14" s="145" t="str">
        <v/>
      </c>
      <c r="I14" s="145" t="str">
        <v/>
      </c>
      <c r="J14" s="145" t="str">
        <v/>
      </c>
      <c r="K14" s="145" t="str">
        <v/>
      </c>
      <c r="L14" s="145" t="str">
        <v/>
      </c>
      <c r="M14" s="145" t="str">
        <v/>
      </c>
      <c r="N14" s="145" t="str">
        <v/>
      </c>
      <c r="O14" s="145" t="str">
        <v/>
      </c>
      <c r="P14" s="145" t="str">
        <v/>
      </c>
    </row>
    <row r="15" spans="1:17" s="83" customFormat="1" x14ac:dyDescent="0.2">
      <c r="A15" s="124" t="str">
        <v/>
      </c>
      <c r="B15" s="123" t="str">
        <f>IFERROR(TIMEVALUE(DaqBook_RAW_Data!#REF!),IFERROR(TIMEVALUE(DaqBook_RAW_Data!#REF!),""))</f>
        <v/>
      </c>
      <c r="C15" s="145" t="str">
        <v/>
      </c>
      <c r="D15" s="145" t="str">
        <v/>
      </c>
      <c r="E15" s="145" t="str">
        <v/>
      </c>
      <c r="F15" s="145" t="str">
        <v/>
      </c>
      <c r="G15" s="145" t="str">
        <v/>
      </c>
      <c r="H15" s="145" t="str">
        <v/>
      </c>
      <c r="I15" s="145" t="str">
        <v/>
      </c>
      <c r="J15" s="145" t="str">
        <v/>
      </c>
      <c r="K15" s="145" t="str">
        <v/>
      </c>
      <c r="L15" s="145" t="str">
        <v/>
      </c>
      <c r="M15" s="145" t="str">
        <v/>
      </c>
      <c r="N15" s="145" t="str">
        <v/>
      </c>
      <c r="O15" s="145" t="str">
        <v/>
      </c>
      <c r="P15" s="145" t="str">
        <v/>
      </c>
    </row>
    <row r="16" spans="1:17" s="83" customFormat="1" x14ac:dyDescent="0.2">
      <c r="A16" s="124" t="str">
        <v/>
      </c>
      <c r="B16" s="123" t="str">
        <f>IFERROR(TIMEVALUE(DaqBook_RAW_Data!#REF!),IFERROR(TIMEVALUE(DaqBook_RAW_Data!#REF!),""))</f>
        <v/>
      </c>
      <c r="C16" s="145" t="str">
        <v/>
      </c>
      <c r="D16" s="145" t="str">
        <v/>
      </c>
      <c r="E16" s="145" t="str">
        <v/>
      </c>
      <c r="F16" s="145" t="str">
        <v/>
      </c>
      <c r="G16" s="145" t="str">
        <v/>
      </c>
      <c r="H16" s="145" t="str">
        <v/>
      </c>
      <c r="I16" s="145" t="str">
        <v/>
      </c>
      <c r="J16" s="145" t="str">
        <v/>
      </c>
      <c r="K16" s="145" t="str">
        <v/>
      </c>
      <c r="L16" s="145" t="str">
        <v/>
      </c>
      <c r="M16" s="145" t="str">
        <v/>
      </c>
      <c r="N16" s="145" t="str">
        <v/>
      </c>
      <c r="O16" s="145" t="str">
        <v/>
      </c>
      <c r="P16" s="145" t="str">
        <v/>
      </c>
    </row>
    <row r="17" spans="1:17" s="83" customFormat="1" x14ac:dyDescent="0.2">
      <c r="A17" s="124" t="str">
        <v/>
      </c>
      <c r="B17" s="123" t="str">
        <f>IFERROR(TIMEVALUE(DaqBook_RAW_Data!#REF!),IFERROR(TIMEVALUE(DaqBook_RAW_Data!#REF!),""))</f>
        <v/>
      </c>
      <c r="C17" s="145" t="str">
        <v/>
      </c>
      <c r="D17" s="145" t="str">
        <v/>
      </c>
      <c r="E17" s="145" t="str">
        <v/>
      </c>
      <c r="F17" s="145" t="str">
        <v/>
      </c>
      <c r="G17" s="145" t="str">
        <v/>
      </c>
      <c r="H17" s="145" t="str">
        <v/>
      </c>
      <c r="I17" s="145" t="str">
        <v/>
      </c>
      <c r="J17" s="145" t="str">
        <v/>
      </c>
      <c r="K17" s="145" t="str">
        <v/>
      </c>
      <c r="L17" s="145" t="str">
        <v/>
      </c>
      <c r="M17" s="145" t="str">
        <v/>
      </c>
      <c r="N17" s="145" t="str">
        <v/>
      </c>
      <c r="O17" s="145" t="str">
        <v/>
      </c>
      <c r="P17" s="145" t="str">
        <v/>
      </c>
    </row>
    <row r="18" spans="1:17" s="83" customFormat="1" x14ac:dyDescent="0.2">
      <c r="A18" s="124" t="str">
        <v/>
      </c>
      <c r="B18" s="123" t="str">
        <f>IFERROR(TIMEVALUE(DaqBook_RAW_Data!#REF!),IFERROR(TIMEVALUE(DaqBook_RAW_Data!#REF!),""))</f>
        <v/>
      </c>
      <c r="C18" s="145" t="str">
        <v/>
      </c>
      <c r="D18" s="145" t="str">
        <v/>
      </c>
      <c r="E18" s="145" t="str">
        <v/>
      </c>
      <c r="F18" s="145" t="str">
        <v/>
      </c>
      <c r="G18" s="145" t="str">
        <v/>
      </c>
      <c r="H18" s="145" t="str">
        <v/>
      </c>
      <c r="I18" s="145" t="str">
        <v/>
      </c>
      <c r="J18" s="145" t="str">
        <v/>
      </c>
      <c r="K18" s="145" t="str">
        <v/>
      </c>
      <c r="L18" s="145" t="str">
        <v/>
      </c>
      <c r="M18" s="145" t="str">
        <v/>
      </c>
      <c r="N18" s="145" t="str">
        <v/>
      </c>
      <c r="O18" s="145" t="str">
        <v/>
      </c>
      <c r="P18" s="145" t="str">
        <v/>
      </c>
    </row>
    <row r="19" spans="1:17" s="83" customFormat="1" x14ac:dyDescent="0.2">
      <c r="A19" s="124" t="str">
        <v/>
      </c>
      <c r="B19" s="123" t="str">
        <f>IFERROR(TIMEVALUE(DaqBook_RAW_Data!#REF!),IFERROR(TIMEVALUE(DaqBook_RAW_Data!#REF!),""))</f>
        <v/>
      </c>
      <c r="C19" s="145" t="str">
        <v/>
      </c>
      <c r="D19" s="145" t="str">
        <v/>
      </c>
      <c r="E19" s="145" t="str">
        <v/>
      </c>
      <c r="F19" s="145" t="str">
        <v/>
      </c>
      <c r="G19" s="145" t="str">
        <v/>
      </c>
      <c r="H19" s="145" t="str">
        <v/>
      </c>
      <c r="I19" s="145" t="str">
        <v/>
      </c>
      <c r="J19" s="145" t="str">
        <v/>
      </c>
      <c r="K19" s="145" t="str">
        <v/>
      </c>
      <c r="L19" s="145" t="str">
        <v/>
      </c>
      <c r="M19" s="145" t="str">
        <v/>
      </c>
      <c r="N19" s="145" t="str">
        <v/>
      </c>
      <c r="O19" s="145" t="str">
        <v/>
      </c>
      <c r="P19" s="145" t="str">
        <v/>
      </c>
    </row>
    <row r="20" spans="1:17" s="83" customFormat="1" x14ac:dyDescent="0.2">
      <c r="A20" s="124" t="str">
        <v/>
      </c>
      <c r="B20" s="123" t="str">
        <f>IFERROR(TIMEVALUE(DaqBook_RAW_Data!#REF!),IFERROR(TIMEVALUE(DaqBook_RAW_Data!#REF!),""))</f>
        <v/>
      </c>
      <c r="C20" s="145" t="str">
        <v/>
      </c>
      <c r="D20" s="145" t="str">
        <v/>
      </c>
      <c r="E20" s="145" t="str">
        <v/>
      </c>
      <c r="F20" s="145" t="str">
        <v/>
      </c>
      <c r="G20" s="145" t="str">
        <v/>
      </c>
      <c r="H20" s="145" t="str">
        <v/>
      </c>
      <c r="I20" s="145" t="str">
        <v/>
      </c>
      <c r="J20" s="145" t="str">
        <v/>
      </c>
      <c r="K20" s="145" t="str">
        <v/>
      </c>
      <c r="L20" s="145" t="str">
        <v/>
      </c>
      <c r="M20" s="145" t="str">
        <v/>
      </c>
      <c r="N20" s="145" t="str">
        <v/>
      </c>
      <c r="O20" s="145" t="str">
        <v/>
      </c>
      <c r="P20" s="145" t="str">
        <v/>
      </c>
    </row>
    <row r="21" spans="1:17" s="83" customFormat="1" x14ac:dyDescent="0.2">
      <c r="A21" s="124" t="str">
        <v/>
      </c>
      <c r="B21" s="123" t="str">
        <f>IFERROR(TIMEVALUE(DaqBook_RAW_Data!#REF!),IFERROR(TIMEVALUE(DaqBook_RAW_Data!#REF!),""))</f>
        <v/>
      </c>
      <c r="C21" s="145" t="str">
        <v/>
      </c>
      <c r="D21" s="145" t="str">
        <v/>
      </c>
      <c r="E21" s="145" t="str">
        <v/>
      </c>
      <c r="F21" s="145" t="str">
        <v/>
      </c>
      <c r="G21" s="145" t="str">
        <v/>
      </c>
      <c r="H21" s="145" t="str">
        <v/>
      </c>
      <c r="I21" s="145" t="str">
        <v/>
      </c>
      <c r="J21" s="145" t="str">
        <v/>
      </c>
      <c r="K21" s="145" t="str">
        <v/>
      </c>
      <c r="L21" s="145" t="str">
        <v/>
      </c>
      <c r="M21" s="145" t="str">
        <v/>
      </c>
      <c r="N21" s="145" t="str">
        <v/>
      </c>
      <c r="O21" s="145" t="str">
        <v/>
      </c>
      <c r="P21" s="145" t="str">
        <v/>
      </c>
    </row>
    <row r="22" spans="1:17" s="83" customFormat="1" x14ac:dyDescent="0.2">
      <c r="A22" s="124" t="str">
        <v/>
      </c>
      <c r="B22" s="123" t="str">
        <f>IFERROR(TIMEVALUE(DaqBook_RAW_Data!#REF!),IFERROR(TIMEVALUE(DaqBook_RAW_Data!#REF!),""))</f>
        <v/>
      </c>
      <c r="C22" s="145" t="str">
        <v/>
      </c>
      <c r="D22" s="145" t="str">
        <v/>
      </c>
      <c r="E22" s="145" t="str">
        <v/>
      </c>
      <c r="F22" s="145" t="str">
        <v/>
      </c>
      <c r="G22" s="145" t="str">
        <v/>
      </c>
      <c r="H22" s="145" t="str">
        <v/>
      </c>
      <c r="I22" s="145" t="str">
        <v/>
      </c>
      <c r="J22" s="145" t="str">
        <v/>
      </c>
      <c r="K22" s="145" t="str">
        <v/>
      </c>
      <c r="L22" s="145" t="str">
        <v/>
      </c>
      <c r="M22" s="145" t="str">
        <v/>
      </c>
      <c r="N22" s="145" t="str">
        <v/>
      </c>
      <c r="O22" s="145" t="str">
        <v/>
      </c>
      <c r="P22" s="145" t="str">
        <v/>
      </c>
    </row>
    <row r="23" spans="1:17" s="83" customFormat="1" x14ac:dyDescent="0.2">
      <c r="A23" s="124" t="str">
        <v/>
      </c>
      <c r="B23" s="123" t="str">
        <f>IFERROR(TIMEVALUE(DaqBook_RAW_Data!#REF!),IFERROR(TIMEVALUE(DaqBook_RAW_Data!#REF!),""))</f>
        <v/>
      </c>
      <c r="C23" s="145" t="str">
        <v/>
      </c>
      <c r="D23" s="145" t="str">
        <v/>
      </c>
      <c r="E23" s="145" t="str">
        <v/>
      </c>
      <c r="F23" s="145" t="str">
        <v/>
      </c>
      <c r="G23" s="145" t="str">
        <v/>
      </c>
      <c r="H23" s="145" t="str">
        <v/>
      </c>
      <c r="I23" s="145" t="str">
        <v/>
      </c>
      <c r="J23" s="145" t="str">
        <v/>
      </c>
      <c r="K23" s="145" t="str">
        <v/>
      </c>
      <c r="L23" s="145" t="str">
        <v/>
      </c>
      <c r="M23" s="145" t="str">
        <v/>
      </c>
      <c r="N23" s="145" t="str">
        <v/>
      </c>
      <c r="O23" s="145" t="str">
        <v/>
      </c>
      <c r="P23" s="145" t="str">
        <v/>
      </c>
    </row>
    <row r="24" spans="1:17" s="83" customFormat="1" x14ac:dyDescent="0.2">
      <c r="A24" s="124" t="str">
        <v/>
      </c>
      <c r="B24" s="123" t="str">
        <f>IFERROR(TIMEVALUE(DaqBook_RAW_Data!#REF!),IFERROR(TIMEVALUE(DaqBook_RAW_Data!#REF!),""))</f>
        <v/>
      </c>
      <c r="C24" s="145" t="str">
        <v/>
      </c>
      <c r="D24" s="145" t="str">
        <v/>
      </c>
      <c r="E24" s="145" t="str">
        <v/>
      </c>
      <c r="F24" s="145" t="str">
        <v/>
      </c>
      <c r="G24" s="145" t="str">
        <v/>
      </c>
      <c r="H24" s="145" t="str">
        <v/>
      </c>
      <c r="I24" s="145" t="str">
        <v/>
      </c>
      <c r="J24" s="145" t="str">
        <v/>
      </c>
      <c r="K24" s="145" t="str">
        <v/>
      </c>
      <c r="L24" s="145" t="str">
        <v/>
      </c>
      <c r="M24" s="145" t="str">
        <v/>
      </c>
      <c r="N24" s="145" t="str">
        <v/>
      </c>
      <c r="O24" s="145" t="str">
        <v/>
      </c>
      <c r="P24" s="145" t="str">
        <v/>
      </c>
    </row>
    <row r="25" spans="1:17" s="83" customFormat="1" x14ac:dyDescent="0.2">
      <c r="A25" s="124" t="str">
        <v/>
      </c>
      <c r="B25" s="123" t="str">
        <f>IFERROR(TIMEVALUE(DaqBook_RAW_Data!#REF!),IFERROR(TIMEVALUE(DaqBook_RAW_Data!#REF!),""))</f>
        <v/>
      </c>
      <c r="C25" s="145" t="str">
        <v/>
      </c>
      <c r="D25" s="145" t="str">
        <v/>
      </c>
      <c r="E25" s="145" t="str">
        <v/>
      </c>
      <c r="F25" s="145" t="str">
        <v/>
      </c>
      <c r="G25" s="145" t="str">
        <v/>
      </c>
      <c r="H25" s="145" t="str">
        <v/>
      </c>
      <c r="I25" s="145" t="str">
        <v/>
      </c>
      <c r="J25" s="145" t="str">
        <v/>
      </c>
      <c r="K25" s="145" t="str">
        <v/>
      </c>
      <c r="L25" s="145" t="str">
        <v/>
      </c>
      <c r="M25" s="145" t="str">
        <v/>
      </c>
      <c r="N25" s="145" t="str">
        <v/>
      </c>
      <c r="O25" s="145" t="str">
        <v/>
      </c>
      <c r="P25" s="145" t="str">
        <v/>
      </c>
    </row>
    <row r="26" spans="1:17" s="83" customFormat="1" x14ac:dyDescent="0.2">
      <c r="A26" s="124" t="str">
        <v/>
      </c>
      <c r="B26" s="123" t="str">
        <f>IFERROR(TIMEVALUE(DaqBook_RAW_Data!#REF!),IFERROR(TIMEVALUE(DaqBook_RAW_Data!#REF!),""))</f>
        <v/>
      </c>
      <c r="C26" s="145" t="str">
        <v/>
      </c>
      <c r="D26" s="145" t="str">
        <v/>
      </c>
      <c r="E26" s="145" t="str">
        <v/>
      </c>
      <c r="F26" s="145" t="str">
        <v/>
      </c>
      <c r="G26" s="145" t="str">
        <v/>
      </c>
      <c r="H26" s="145" t="str">
        <v/>
      </c>
      <c r="I26" s="145" t="str">
        <v/>
      </c>
      <c r="J26" s="145" t="str">
        <v/>
      </c>
      <c r="K26" s="145" t="str">
        <v/>
      </c>
      <c r="L26" s="145" t="str">
        <v/>
      </c>
      <c r="M26" s="145" t="str">
        <v/>
      </c>
      <c r="N26" s="145" t="str">
        <v/>
      </c>
      <c r="O26" s="145" t="str">
        <v/>
      </c>
      <c r="P26" s="145" t="str">
        <v/>
      </c>
    </row>
    <row r="27" spans="1:17" s="83" customFormat="1" x14ac:dyDescent="0.2">
      <c r="A27" s="124" t="str">
        <v/>
      </c>
      <c r="B27" s="123" t="str">
        <f>IFERROR(TIMEVALUE(DaqBook_RAW_Data!#REF!),IFERROR(TIMEVALUE(DaqBook_RAW_Data!#REF!),""))</f>
        <v/>
      </c>
      <c r="C27" s="145" t="str">
        <v/>
      </c>
      <c r="D27" s="145" t="str">
        <v/>
      </c>
      <c r="E27" s="145" t="str">
        <v/>
      </c>
      <c r="F27" s="145" t="str">
        <v/>
      </c>
      <c r="G27" s="145" t="str">
        <v/>
      </c>
      <c r="H27" s="145" t="str">
        <v/>
      </c>
      <c r="I27" s="145" t="str">
        <v/>
      </c>
      <c r="J27" s="145" t="str">
        <v/>
      </c>
      <c r="K27" s="145" t="str">
        <v/>
      </c>
      <c r="L27" s="145" t="str">
        <v/>
      </c>
      <c r="M27" s="145" t="str">
        <v/>
      </c>
      <c r="N27" s="145" t="str">
        <v/>
      </c>
      <c r="O27" s="145" t="str">
        <v/>
      </c>
      <c r="P27" s="145" t="str">
        <v/>
      </c>
      <c r="Q27" s="125"/>
    </row>
    <row r="28" spans="1:17" s="83" customFormat="1" x14ac:dyDescent="0.2">
      <c r="A28" s="124" t="str">
        <v/>
      </c>
      <c r="B28" s="123" t="str">
        <f>IFERROR(TIMEVALUE(DaqBook_RAW_Data!#REF!),IFERROR(TIMEVALUE(DaqBook_RAW_Data!#REF!),""))</f>
        <v/>
      </c>
      <c r="C28" s="145" t="str">
        <v/>
      </c>
      <c r="D28" s="145" t="str">
        <v/>
      </c>
      <c r="E28" s="145" t="str">
        <v/>
      </c>
      <c r="F28" s="145" t="str">
        <v/>
      </c>
      <c r="G28" s="145" t="str">
        <v/>
      </c>
      <c r="H28" s="145" t="str">
        <v/>
      </c>
      <c r="I28" s="145" t="str">
        <v/>
      </c>
      <c r="J28" s="145" t="str">
        <v/>
      </c>
      <c r="K28" s="145" t="str">
        <v/>
      </c>
      <c r="L28" s="145" t="str">
        <v/>
      </c>
      <c r="M28" s="145" t="str">
        <v/>
      </c>
      <c r="N28" s="145" t="str">
        <v/>
      </c>
      <c r="O28" s="145" t="str">
        <v/>
      </c>
      <c r="P28" s="145" t="str">
        <v/>
      </c>
    </row>
    <row r="29" spans="1:17" s="83" customFormat="1" x14ac:dyDescent="0.2">
      <c r="A29" s="124" t="str">
        <v/>
      </c>
      <c r="B29" s="123" t="str">
        <f>IFERROR(TIMEVALUE(DaqBook_RAW_Data!#REF!),IFERROR(TIMEVALUE(DaqBook_RAW_Data!#REF!),""))</f>
        <v/>
      </c>
      <c r="C29" s="145" t="str">
        <v/>
      </c>
      <c r="D29" s="145" t="str">
        <v/>
      </c>
      <c r="E29" s="145" t="str">
        <v/>
      </c>
      <c r="F29" s="145" t="str">
        <v/>
      </c>
      <c r="G29" s="145" t="str">
        <v/>
      </c>
      <c r="H29" s="145" t="str">
        <v/>
      </c>
      <c r="I29" s="145" t="str">
        <v/>
      </c>
      <c r="J29" s="145" t="str">
        <v/>
      </c>
      <c r="K29" s="145" t="str">
        <v/>
      </c>
      <c r="L29" s="145" t="str">
        <v/>
      </c>
      <c r="M29" s="145" t="str">
        <v/>
      </c>
      <c r="N29" s="145" t="str">
        <v/>
      </c>
      <c r="O29" s="145" t="str">
        <v/>
      </c>
      <c r="P29" s="145" t="str">
        <v/>
      </c>
    </row>
    <row r="30" spans="1:17" s="83" customFormat="1" x14ac:dyDescent="0.2">
      <c r="A30" s="124" t="str">
        <v/>
      </c>
      <c r="B30" s="123" t="str">
        <f>IFERROR(TIMEVALUE(DaqBook_RAW_Data!#REF!),IFERROR(TIMEVALUE(DaqBook_RAW_Data!#REF!),""))</f>
        <v/>
      </c>
      <c r="C30" s="145" t="str">
        <v/>
      </c>
      <c r="D30" s="145" t="str">
        <v/>
      </c>
      <c r="E30" s="145" t="str">
        <v/>
      </c>
      <c r="F30" s="145" t="str">
        <v/>
      </c>
      <c r="G30" s="145" t="str">
        <v/>
      </c>
      <c r="H30" s="145" t="str">
        <v/>
      </c>
      <c r="I30" s="145" t="str">
        <v/>
      </c>
      <c r="J30" s="145" t="str">
        <v/>
      </c>
      <c r="K30" s="145" t="str">
        <v/>
      </c>
      <c r="L30" s="145" t="str">
        <v/>
      </c>
      <c r="M30" s="145" t="str">
        <v/>
      </c>
      <c r="N30" s="145" t="str">
        <v/>
      </c>
      <c r="O30" s="145" t="str">
        <v/>
      </c>
      <c r="P30" s="145" t="str">
        <v/>
      </c>
    </row>
    <row r="31" spans="1:17" s="83" customFormat="1" x14ac:dyDescent="0.2">
      <c r="A31" s="124" t="str">
        <v/>
      </c>
      <c r="B31" s="123" t="str">
        <f>IFERROR(TIMEVALUE(DaqBook_RAW_Data!#REF!),IFERROR(TIMEVALUE(DaqBook_RAW_Data!#REF!),""))</f>
        <v/>
      </c>
      <c r="C31" s="145" t="str">
        <v/>
      </c>
      <c r="D31" s="145" t="str">
        <v/>
      </c>
      <c r="E31" s="145" t="str">
        <v/>
      </c>
      <c r="F31" s="145" t="str">
        <v/>
      </c>
      <c r="G31" s="145" t="str">
        <v/>
      </c>
      <c r="H31" s="145" t="str">
        <v/>
      </c>
      <c r="I31" s="145" t="str">
        <v/>
      </c>
      <c r="J31" s="145" t="str">
        <v/>
      </c>
      <c r="K31" s="145" t="str">
        <v/>
      </c>
      <c r="L31" s="145" t="str">
        <v/>
      </c>
      <c r="M31" s="145" t="str">
        <v/>
      </c>
      <c r="N31" s="145" t="str">
        <v/>
      </c>
      <c r="O31" s="145" t="str">
        <v/>
      </c>
      <c r="P31" s="145" t="str">
        <v/>
      </c>
    </row>
    <row r="32" spans="1:17" s="83" customFormat="1" x14ac:dyDescent="0.2">
      <c r="A32" s="124" t="str">
        <v/>
      </c>
      <c r="B32" s="123" t="str">
        <f>IFERROR(TIMEVALUE(DaqBook_RAW_Data!#REF!),IFERROR(TIMEVALUE(DaqBook_RAW_Data!#REF!),""))</f>
        <v/>
      </c>
      <c r="C32" s="145" t="str">
        <v/>
      </c>
      <c r="D32" s="145" t="str">
        <v/>
      </c>
      <c r="E32" s="145" t="str">
        <v/>
      </c>
      <c r="F32" s="145" t="str">
        <v/>
      </c>
      <c r="G32" s="145" t="str">
        <v/>
      </c>
      <c r="H32" s="145" t="str">
        <v/>
      </c>
      <c r="I32" s="145" t="str">
        <v/>
      </c>
      <c r="J32" s="145" t="str">
        <v/>
      </c>
      <c r="K32" s="145" t="str">
        <v/>
      </c>
      <c r="L32" s="145" t="str">
        <v/>
      </c>
      <c r="M32" s="145" t="str">
        <v/>
      </c>
      <c r="N32" s="145" t="str">
        <v/>
      </c>
      <c r="O32" s="145" t="str">
        <v/>
      </c>
      <c r="P32" s="145" t="str">
        <v/>
      </c>
    </row>
    <row r="33" spans="1:16" s="83" customFormat="1" x14ac:dyDescent="0.2">
      <c r="A33" s="124" t="str">
        <v/>
      </c>
      <c r="B33" s="123" t="str">
        <f>IFERROR(TIMEVALUE(DaqBook_RAW_Data!#REF!),IFERROR(TIMEVALUE(DaqBook_RAW_Data!#REF!),""))</f>
        <v/>
      </c>
      <c r="C33" s="145" t="str">
        <v/>
      </c>
      <c r="D33" s="145" t="str">
        <v/>
      </c>
      <c r="E33" s="145" t="str">
        <v/>
      </c>
      <c r="F33" s="145" t="str">
        <v/>
      </c>
      <c r="G33" s="145" t="str">
        <v/>
      </c>
      <c r="H33" s="145" t="str">
        <v/>
      </c>
      <c r="I33" s="145" t="str">
        <v/>
      </c>
      <c r="J33" s="145" t="str">
        <v/>
      </c>
      <c r="K33" s="145" t="str">
        <v/>
      </c>
      <c r="L33" s="145" t="str">
        <v/>
      </c>
      <c r="M33" s="145" t="str">
        <v/>
      </c>
      <c r="N33" s="145" t="str">
        <v/>
      </c>
      <c r="O33" s="145" t="str">
        <v/>
      </c>
      <c r="P33" s="145" t="str">
        <v/>
      </c>
    </row>
    <row r="34" spans="1:16" s="83" customFormat="1" x14ac:dyDescent="0.2">
      <c r="A34" s="124" t="str">
        <v/>
      </c>
      <c r="B34" s="123" t="str">
        <f>IFERROR(TIMEVALUE(DaqBook_RAW_Data!#REF!),IFERROR(TIMEVALUE(DaqBook_RAW_Data!#REF!),""))</f>
        <v/>
      </c>
      <c r="C34" s="145" t="str">
        <v/>
      </c>
      <c r="D34" s="145" t="str">
        <v/>
      </c>
      <c r="E34" s="145" t="str">
        <v/>
      </c>
      <c r="F34" s="145" t="str">
        <v/>
      </c>
      <c r="G34" s="145" t="str">
        <v/>
      </c>
      <c r="H34" s="145" t="str">
        <v/>
      </c>
      <c r="I34" s="145" t="str">
        <v/>
      </c>
      <c r="J34" s="145" t="str">
        <v/>
      </c>
      <c r="K34" s="145" t="str">
        <v/>
      </c>
      <c r="L34" s="145" t="str">
        <v/>
      </c>
      <c r="M34" s="145" t="str">
        <v/>
      </c>
      <c r="N34" s="145" t="str">
        <v/>
      </c>
      <c r="O34" s="145" t="str">
        <v/>
      </c>
      <c r="P34" s="145" t="str">
        <v/>
      </c>
    </row>
    <row r="35" spans="1:16" s="83" customFormat="1" x14ac:dyDescent="0.2">
      <c r="A35" s="124" t="str">
        <v/>
      </c>
      <c r="B35" s="123" t="str">
        <f>IFERROR(TIMEVALUE(DaqBook_RAW_Data!#REF!),IFERROR(TIMEVALUE(DaqBook_RAW_Data!#REF!),""))</f>
        <v/>
      </c>
      <c r="C35" s="145" t="str">
        <v/>
      </c>
      <c r="D35" s="145" t="str">
        <v/>
      </c>
      <c r="E35" s="145" t="str">
        <v/>
      </c>
      <c r="F35" s="145" t="str">
        <v/>
      </c>
      <c r="G35" s="145" t="str">
        <v/>
      </c>
      <c r="H35" s="145" t="str">
        <v/>
      </c>
      <c r="I35" s="145" t="str">
        <v/>
      </c>
      <c r="J35" s="145" t="str">
        <v/>
      </c>
      <c r="K35" s="145" t="str">
        <v/>
      </c>
      <c r="L35" s="145" t="str">
        <v/>
      </c>
      <c r="M35" s="145" t="str">
        <v/>
      </c>
      <c r="N35" s="145" t="str">
        <v/>
      </c>
      <c r="O35" s="145" t="str">
        <v/>
      </c>
      <c r="P35" s="145" t="str">
        <v/>
      </c>
    </row>
    <row r="36" spans="1:16" s="83" customFormat="1" x14ac:dyDescent="0.2">
      <c r="A36" s="124" t="str">
        <v/>
      </c>
      <c r="B36" s="123" t="str">
        <f>IFERROR(TIMEVALUE(DaqBook_RAW_Data!#REF!),IFERROR(TIMEVALUE(DaqBook_RAW_Data!#REF!),""))</f>
        <v/>
      </c>
      <c r="C36" s="145" t="str">
        <v/>
      </c>
      <c r="D36" s="145" t="str">
        <v/>
      </c>
      <c r="E36" s="145" t="str">
        <v/>
      </c>
      <c r="F36" s="145" t="str">
        <v/>
      </c>
      <c r="G36" s="145" t="str">
        <v/>
      </c>
      <c r="H36" s="145" t="str">
        <v/>
      </c>
      <c r="I36" s="145" t="str">
        <v/>
      </c>
      <c r="J36" s="145" t="str">
        <v/>
      </c>
      <c r="K36" s="145" t="str">
        <v/>
      </c>
      <c r="L36" s="145" t="str">
        <v/>
      </c>
      <c r="M36" s="145" t="str">
        <v/>
      </c>
      <c r="N36" s="145" t="str">
        <v/>
      </c>
      <c r="O36" s="145" t="str">
        <v/>
      </c>
      <c r="P36" s="145" t="str">
        <v/>
      </c>
    </row>
    <row r="37" spans="1:16" s="83" customFormat="1" x14ac:dyDescent="0.2">
      <c r="A37" s="124" t="str">
        <v/>
      </c>
      <c r="B37" s="123" t="str">
        <f>IFERROR(TIMEVALUE(DaqBook_RAW_Data!#REF!),IFERROR(TIMEVALUE(DaqBook_RAW_Data!#REF!),""))</f>
        <v/>
      </c>
      <c r="C37" s="145" t="str">
        <v/>
      </c>
      <c r="D37" s="145" t="str">
        <v/>
      </c>
      <c r="E37" s="145" t="str">
        <v/>
      </c>
      <c r="F37" s="145" t="str">
        <v/>
      </c>
      <c r="G37" s="145" t="str">
        <v/>
      </c>
      <c r="H37" s="145" t="str">
        <v/>
      </c>
      <c r="I37" s="145" t="str">
        <v/>
      </c>
      <c r="J37" s="145" t="str">
        <v/>
      </c>
      <c r="K37" s="145" t="str">
        <v/>
      </c>
      <c r="L37" s="145" t="str">
        <v/>
      </c>
      <c r="M37" s="145" t="str">
        <v/>
      </c>
      <c r="N37" s="145" t="str">
        <v/>
      </c>
      <c r="O37" s="145" t="str">
        <v/>
      </c>
      <c r="P37" s="145" t="str">
        <v/>
      </c>
    </row>
    <row r="38" spans="1:16" s="83" customFormat="1" x14ac:dyDescent="0.2">
      <c r="A38" s="124" t="str">
        <v/>
      </c>
      <c r="B38" s="123" t="str">
        <f>IFERROR(TIMEVALUE(DaqBook_RAW_Data!#REF!),IFERROR(TIMEVALUE(DaqBook_RAW_Data!#REF!),""))</f>
        <v/>
      </c>
      <c r="C38" s="145" t="str">
        <v/>
      </c>
      <c r="D38" s="145" t="str">
        <v/>
      </c>
      <c r="E38" s="145" t="str">
        <v/>
      </c>
      <c r="F38" s="145" t="str">
        <v/>
      </c>
      <c r="G38" s="145" t="str">
        <v/>
      </c>
      <c r="H38" s="145" t="str">
        <v/>
      </c>
      <c r="I38" s="145" t="str">
        <v/>
      </c>
      <c r="J38" s="145" t="str">
        <v/>
      </c>
      <c r="K38" s="145" t="str">
        <v/>
      </c>
      <c r="L38" s="145" t="str">
        <v/>
      </c>
      <c r="M38" s="145" t="str">
        <v/>
      </c>
      <c r="N38" s="145" t="str">
        <v/>
      </c>
      <c r="O38" s="145" t="str">
        <v/>
      </c>
      <c r="P38" s="145" t="str">
        <v/>
      </c>
    </row>
    <row r="39" spans="1:16" s="83" customFormat="1" x14ac:dyDescent="0.2">
      <c r="A39" s="124" t="str">
        <v/>
      </c>
      <c r="B39" s="123" t="str">
        <f>IFERROR(TIMEVALUE(DaqBook_RAW_Data!#REF!),IFERROR(TIMEVALUE(DaqBook_RAW_Data!#REF!),""))</f>
        <v/>
      </c>
      <c r="C39" s="145" t="str">
        <v/>
      </c>
      <c r="D39" s="145" t="str">
        <v/>
      </c>
      <c r="E39" s="145" t="str">
        <v/>
      </c>
      <c r="F39" s="145" t="str">
        <v/>
      </c>
      <c r="G39" s="145" t="str">
        <v/>
      </c>
      <c r="H39" s="145" t="str">
        <v/>
      </c>
      <c r="I39" s="145" t="str">
        <v/>
      </c>
      <c r="J39" s="145" t="str">
        <v/>
      </c>
      <c r="K39" s="145" t="str">
        <v/>
      </c>
      <c r="L39" s="145" t="str">
        <v/>
      </c>
      <c r="M39" s="145" t="str">
        <v/>
      </c>
      <c r="N39" s="145" t="str">
        <v/>
      </c>
      <c r="O39" s="145" t="str">
        <v/>
      </c>
      <c r="P39" s="145" t="str">
        <v/>
      </c>
    </row>
    <row r="40" spans="1:16" s="83" customFormat="1" x14ac:dyDescent="0.2">
      <c r="A40" s="124" t="str">
        <v/>
      </c>
      <c r="B40" s="123" t="str">
        <f>IFERROR(TIMEVALUE(DaqBook_RAW_Data!#REF!),IFERROR(TIMEVALUE(DaqBook_RAW_Data!#REF!),""))</f>
        <v/>
      </c>
      <c r="C40" s="145" t="str">
        <v/>
      </c>
      <c r="D40" s="145" t="str">
        <v/>
      </c>
      <c r="E40" s="145" t="str">
        <v/>
      </c>
      <c r="F40" s="145" t="str">
        <v/>
      </c>
      <c r="G40" s="145" t="str">
        <v/>
      </c>
      <c r="H40" s="145" t="str">
        <v/>
      </c>
      <c r="I40" s="145" t="str">
        <v/>
      </c>
      <c r="J40" s="145" t="str">
        <v/>
      </c>
      <c r="K40" s="145" t="str">
        <v/>
      </c>
      <c r="L40" s="145" t="str">
        <v/>
      </c>
      <c r="M40" s="145" t="str">
        <v/>
      </c>
      <c r="N40" s="145" t="str">
        <v/>
      </c>
      <c r="O40" s="145" t="str">
        <v/>
      </c>
      <c r="P40" s="145" t="str">
        <v/>
      </c>
    </row>
    <row r="41" spans="1:16" s="83" customFormat="1" x14ac:dyDescent="0.2">
      <c r="A41" s="124" t="str">
        <v/>
      </c>
      <c r="B41" s="123" t="str">
        <f>IFERROR(TIMEVALUE(DaqBook_RAW_Data!#REF!),IFERROR(TIMEVALUE(DaqBook_RAW_Data!#REF!),""))</f>
        <v/>
      </c>
      <c r="C41" s="145" t="str">
        <v/>
      </c>
      <c r="D41" s="145" t="str">
        <v/>
      </c>
      <c r="E41" s="145" t="str">
        <v/>
      </c>
      <c r="F41" s="145" t="str">
        <v/>
      </c>
      <c r="G41" s="145" t="str">
        <v/>
      </c>
      <c r="H41" s="145" t="str">
        <v/>
      </c>
      <c r="I41" s="145" t="str">
        <v/>
      </c>
      <c r="J41" s="145" t="str">
        <v/>
      </c>
      <c r="K41" s="145" t="str">
        <v/>
      </c>
      <c r="L41" s="145" t="str">
        <v/>
      </c>
      <c r="M41" s="145" t="str">
        <v/>
      </c>
      <c r="N41" s="145" t="str">
        <v/>
      </c>
      <c r="O41" s="145" t="str">
        <v/>
      </c>
      <c r="P41" s="145" t="str">
        <v/>
      </c>
    </row>
    <row r="42" spans="1:16" s="83" customFormat="1" x14ac:dyDescent="0.2">
      <c r="A42" s="124" t="str">
        <v/>
      </c>
      <c r="B42" s="123" t="str">
        <f>IFERROR(TIMEVALUE(DaqBook_RAW_Data!#REF!),IFERROR(TIMEVALUE(DaqBook_RAW_Data!#REF!),""))</f>
        <v/>
      </c>
      <c r="C42" s="145" t="str">
        <v/>
      </c>
      <c r="D42" s="145" t="str">
        <v/>
      </c>
      <c r="E42" s="145" t="str">
        <v/>
      </c>
      <c r="F42" s="145" t="str">
        <v/>
      </c>
      <c r="G42" s="145" t="str">
        <v/>
      </c>
      <c r="H42" s="145" t="str">
        <v/>
      </c>
      <c r="I42" s="145" t="str">
        <v/>
      </c>
      <c r="J42" s="145" t="str">
        <v/>
      </c>
      <c r="K42" s="145" t="str">
        <v/>
      </c>
      <c r="L42" s="145" t="str">
        <v/>
      </c>
      <c r="M42" s="145" t="str">
        <v/>
      </c>
      <c r="N42" s="145" t="str">
        <v/>
      </c>
      <c r="O42" s="145" t="str">
        <v/>
      </c>
      <c r="P42" s="145" t="str">
        <v/>
      </c>
    </row>
    <row r="43" spans="1:16" s="83" customFormat="1" x14ac:dyDescent="0.2">
      <c r="A43" s="124" t="str">
        <v/>
      </c>
      <c r="B43" s="123" t="str">
        <f>IFERROR(TIMEVALUE(DaqBook_RAW_Data!#REF!),IFERROR(TIMEVALUE(DaqBook_RAW_Data!#REF!),""))</f>
        <v/>
      </c>
      <c r="C43" s="145" t="str">
        <v/>
      </c>
      <c r="D43" s="145" t="str">
        <v/>
      </c>
      <c r="E43" s="145" t="str">
        <v/>
      </c>
      <c r="F43" s="145" t="str">
        <v/>
      </c>
      <c r="G43" s="145" t="str">
        <v/>
      </c>
      <c r="H43" s="145" t="str">
        <v/>
      </c>
      <c r="I43" s="145" t="str">
        <v/>
      </c>
      <c r="J43" s="145" t="str">
        <v/>
      </c>
      <c r="K43" s="145" t="str">
        <v/>
      </c>
      <c r="L43" s="145" t="str">
        <v/>
      </c>
      <c r="M43" s="145" t="str">
        <v/>
      </c>
      <c r="N43" s="145" t="str">
        <v/>
      </c>
      <c r="O43" s="145" t="str">
        <v/>
      </c>
      <c r="P43" s="145" t="str">
        <v/>
      </c>
    </row>
    <row r="44" spans="1:16" s="83" customFormat="1" x14ac:dyDescent="0.2">
      <c r="A44" s="124" t="str">
        <v/>
      </c>
      <c r="B44" s="123" t="str">
        <f>IFERROR(TIMEVALUE(DaqBook_RAW_Data!#REF!),IFERROR(TIMEVALUE(DaqBook_RAW_Data!#REF!),""))</f>
        <v/>
      </c>
      <c r="C44" s="145" t="str">
        <v/>
      </c>
      <c r="D44" s="145" t="str">
        <v/>
      </c>
      <c r="E44" s="145" t="str">
        <v/>
      </c>
      <c r="F44" s="145" t="str">
        <v/>
      </c>
      <c r="G44" s="145" t="str">
        <v/>
      </c>
      <c r="H44" s="145" t="str">
        <v/>
      </c>
      <c r="I44" s="145" t="str">
        <v/>
      </c>
      <c r="J44" s="145" t="str">
        <v/>
      </c>
      <c r="K44" s="145" t="str">
        <v/>
      </c>
      <c r="L44" s="145" t="str">
        <v/>
      </c>
      <c r="M44" s="145" t="str">
        <v/>
      </c>
      <c r="N44" s="145" t="str">
        <v/>
      </c>
      <c r="O44" s="145" t="str">
        <v/>
      </c>
      <c r="P44" s="145" t="str">
        <v/>
      </c>
    </row>
    <row r="45" spans="1:16" s="83" customFormat="1" x14ac:dyDescent="0.2">
      <c r="A45" s="124" t="str">
        <v/>
      </c>
      <c r="B45" s="123" t="str">
        <f>IFERROR(TIMEVALUE(DaqBook_RAW_Data!#REF!),IFERROR(TIMEVALUE(DaqBook_RAW_Data!#REF!),""))</f>
        <v/>
      </c>
      <c r="C45" s="145" t="str">
        <v/>
      </c>
      <c r="D45" s="145" t="str">
        <v/>
      </c>
      <c r="E45" s="145" t="str">
        <v/>
      </c>
      <c r="F45" s="145" t="str">
        <v/>
      </c>
      <c r="G45" s="145" t="str">
        <v/>
      </c>
      <c r="H45" s="145" t="str">
        <v/>
      </c>
      <c r="I45" s="145" t="str">
        <v/>
      </c>
      <c r="J45" s="145" t="str">
        <v/>
      </c>
      <c r="K45" s="145" t="str">
        <v/>
      </c>
      <c r="L45" s="145" t="str">
        <v/>
      </c>
      <c r="M45" s="145" t="str">
        <v/>
      </c>
      <c r="N45" s="145" t="str">
        <v/>
      </c>
      <c r="O45" s="145" t="str">
        <v/>
      </c>
      <c r="P45" s="145" t="str">
        <v/>
      </c>
    </row>
    <row r="46" spans="1:16" s="83" customFormat="1" x14ac:dyDescent="0.2">
      <c r="A46" s="124" t="str">
        <v/>
      </c>
      <c r="B46" s="123" t="str">
        <f>IFERROR(TIMEVALUE(DaqBook_RAW_Data!#REF!),IFERROR(TIMEVALUE(DaqBook_RAW_Data!#REF!),""))</f>
        <v/>
      </c>
      <c r="C46" s="145" t="str">
        <v/>
      </c>
      <c r="D46" s="145" t="str">
        <v/>
      </c>
      <c r="E46" s="145" t="str">
        <v/>
      </c>
      <c r="F46" s="145" t="str">
        <v/>
      </c>
      <c r="G46" s="145" t="str">
        <v/>
      </c>
      <c r="H46" s="145" t="str">
        <v/>
      </c>
      <c r="I46" s="145" t="str">
        <v/>
      </c>
      <c r="J46" s="145" t="str">
        <v/>
      </c>
      <c r="K46" s="145" t="str">
        <v/>
      </c>
      <c r="L46" s="145" t="str">
        <v/>
      </c>
      <c r="M46" s="145" t="str">
        <v/>
      </c>
      <c r="N46" s="145" t="str">
        <v/>
      </c>
      <c r="O46" s="145" t="str">
        <v/>
      </c>
      <c r="P46" s="145" t="str">
        <v/>
      </c>
    </row>
    <row r="47" spans="1:16" s="83" customFormat="1" x14ac:dyDescent="0.2">
      <c r="A47" s="124" t="str">
        <v/>
      </c>
      <c r="B47" s="123" t="str">
        <f>IFERROR(TIMEVALUE(DaqBook_RAW_Data!#REF!),IFERROR(TIMEVALUE(DaqBook_RAW_Data!#REF!),""))</f>
        <v/>
      </c>
      <c r="C47" s="145" t="str">
        <v/>
      </c>
      <c r="D47" s="145" t="str">
        <v/>
      </c>
      <c r="E47" s="145" t="str">
        <v/>
      </c>
      <c r="F47" s="145" t="str">
        <v/>
      </c>
      <c r="G47" s="145" t="str">
        <v/>
      </c>
      <c r="H47" s="145" t="str">
        <v/>
      </c>
      <c r="I47" s="145" t="str">
        <v/>
      </c>
      <c r="J47" s="145" t="str">
        <v/>
      </c>
      <c r="K47" s="145" t="str">
        <v/>
      </c>
      <c r="L47" s="145" t="str">
        <v/>
      </c>
      <c r="M47" s="145" t="str">
        <v/>
      </c>
      <c r="N47" s="145" t="str">
        <v/>
      </c>
      <c r="O47" s="145" t="str">
        <v/>
      </c>
      <c r="P47" s="145" t="str">
        <v/>
      </c>
    </row>
    <row r="48" spans="1:16" s="83" customFormat="1" x14ac:dyDescent="0.2">
      <c r="A48" s="124" t="str">
        <v/>
      </c>
      <c r="B48" s="123" t="str">
        <f>IFERROR(TIMEVALUE(DaqBook_RAW_Data!#REF!),IFERROR(TIMEVALUE(DaqBook_RAW_Data!#REF!),""))</f>
        <v/>
      </c>
      <c r="C48" s="145" t="str">
        <v/>
      </c>
      <c r="D48" s="145" t="str">
        <v/>
      </c>
      <c r="E48" s="145" t="str">
        <v/>
      </c>
      <c r="F48" s="145" t="str">
        <v/>
      </c>
      <c r="G48" s="145" t="str">
        <v/>
      </c>
      <c r="H48" s="145" t="str">
        <v/>
      </c>
      <c r="I48" s="145" t="str">
        <v/>
      </c>
      <c r="J48" s="145" t="str">
        <v/>
      </c>
      <c r="K48" s="145" t="str">
        <v/>
      </c>
      <c r="L48" s="145" t="str">
        <v/>
      </c>
      <c r="M48" s="145" t="str">
        <v/>
      </c>
      <c r="N48" s="145" t="str">
        <v/>
      </c>
      <c r="O48" s="145" t="str">
        <v/>
      </c>
      <c r="P48" s="145" t="str">
        <v/>
      </c>
    </row>
    <row r="49" spans="1:16" s="83" customFormat="1" x14ac:dyDescent="0.2">
      <c r="A49" s="124" t="str">
        <v/>
      </c>
      <c r="B49" s="123" t="str">
        <f>IFERROR(TIMEVALUE(DaqBook_RAW_Data!#REF!),IFERROR(TIMEVALUE(DaqBook_RAW_Data!#REF!),""))</f>
        <v/>
      </c>
      <c r="C49" s="145" t="str">
        <v/>
      </c>
      <c r="D49" s="145" t="str">
        <v/>
      </c>
      <c r="E49" s="145" t="str">
        <v/>
      </c>
      <c r="F49" s="145" t="str">
        <v/>
      </c>
      <c r="G49" s="145" t="str">
        <v/>
      </c>
      <c r="H49" s="145" t="str">
        <v/>
      </c>
      <c r="I49" s="145" t="str">
        <v/>
      </c>
      <c r="J49" s="145" t="str">
        <v/>
      </c>
      <c r="K49" s="145" t="str">
        <v/>
      </c>
      <c r="L49" s="145" t="str">
        <v/>
      </c>
      <c r="M49" s="145" t="str">
        <v/>
      </c>
      <c r="N49" s="145" t="str">
        <v/>
      </c>
      <c r="O49" s="145" t="str">
        <v/>
      </c>
      <c r="P49" s="145" t="str">
        <v/>
      </c>
    </row>
    <row r="50" spans="1:16" s="83" customFormat="1" x14ac:dyDescent="0.2">
      <c r="A50" s="124" t="str">
        <v/>
      </c>
      <c r="B50" s="123" t="str">
        <f>IFERROR(TIMEVALUE(DaqBook_RAW_Data!#REF!),IFERROR(TIMEVALUE(DaqBook_RAW_Data!#REF!),""))</f>
        <v/>
      </c>
      <c r="C50" s="145" t="str">
        <v/>
      </c>
      <c r="D50" s="145" t="str">
        <v/>
      </c>
      <c r="E50" s="145" t="str">
        <v/>
      </c>
      <c r="F50" s="145" t="str">
        <v/>
      </c>
      <c r="G50" s="145" t="str">
        <v/>
      </c>
      <c r="H50" s="145" t="str">
        <v/>
      </c>
      <c r="I50" s="145" t="str">
        <v/>
      </c>
      <c r="J50" s="145" t="str">
        <v/>
      </c>
      <c r="K50" s="145" t="str">
        <v/>
      </c>
      <c r="L50" s="145" t="str">
        <v/>
      </c>
      <c r="M50" s="145" t="str">
        <v/>
      </c>
      <c r="N50" s="145" t="str">
        <v/>
      </c>
      <c r="O50" s="145" t="str">
        <v/>
      </c>
      <c r="P50" s="145" t="str">
        <v/>
      </c>
    </row>
    <row r="51" spans="1:16" s="83" customFormat="1" x14ac:dyDescent="0.2">
      <c r="A51" s="124" t="str">
        <v/>
      </c>
      <c r="B51" s="123" t="str">
        <f>IFERROR(TIMEVALUE(DaqBook_RAW_Data!#REF!),IFERROR(TIMEVALUE(DaqBook_RAW_Data!#REF!),""))</f>
        <v/>
      </c>
      <c r="C51" s="145" t="str">
        <v/>
      </c>
      <c r="D51" s="145" t="str">
        <v/>
      </c>
      <c r="E51" s="145" t="str">
        <v/>
      </c>
      <c r="F51" s="145" t="str">
        <v/>
      </c>
      <c r="G51" s="145" t="str">
        <v/>
      </c>
      <c r="H51" s="145" t="str">
        <v/>
      </c>
      <c r="I51" s="145" t="str">
        <v/>
      </c>
      <c r="J51" s="145" t="str">
        <v/>
      </c>
      <c r="K51" s="145" t="str">
        <v/>
      </c>
      <c r="L51" s="145" t="str">
        <v/>
      </c>
      <c r="M51" s="145" t="str">
        <v/>
      </c>
      <c r="N51" s="145" t="str">
        <v/>
      </c>
      <c r="O51" s="145" t="str">
        <v/>
      </c>
      <c r="P51" s="145" t="str">
        <v/>
      </c>
    </row>
    <row r="52" spans="1:16" s="83" customFormat="1" x14ac:dyDescent="0.2">
      <c r="A52" s="124" t="str">
        <v/>
      </c>
      <c r="B52" s="123" t="str">
        <f>IFERROR(TIMEVALUE(DaqBook_RAW_Data!#REF!),IFERROR(TIMEVALUE(DaqBook_RAW_Data!#REF!),""))</f>
        <v/>
      </c>
      <c r="C52" s="145" t="str">
        <v/>
      </c>
      <c r="D52" s="145" t="str">
        <v/>
      </c>
      <c r="E52" s="145" t="str">
        <v/>
      </c>
      <c r="F52" s="145" t="str">
        <v/>
      </c>
      <c r="G52" s="145" t="str">
        <v/>
      </c>
      <c r="H52" s="145" t="str">
        <v/>
      </c>
      <c r="I52" s="145" t="str">
        <v/>
      </c>
      <c r="J52" s="145" t="str">
        <v/>
      </c>
      <c r="K52" s="145" t="str">
        <v/>
      </c>
      <c r="L52" s="145" t="str">
        <v/>
      </c>
      <c r="M52" s="145" t="str">
        <v/>
      </c>
      <c r="N52" s="145" t="str">
        <v/>
      </c>
      <c r="O52" s="145" t="str">
        <v/>
      </c>
      <c r="P52" s="145" t="str">
        <v/>
      </c>
    </row>
    <row r="53" spans="1:16" s="83" customFormat="1" x14ac:dyDescent="0.2">
      <c r="A53" s="124" t="str">
        <v/>
      </c>
      <c r="B53" s="123" t="str">
        <f>IFERROR(TIMEVALUE(DaqBook_RAW_Data!#REF!),IFERROR(TIMEVALUE(DaqBook_RAW_Data!#REF!),""))</f>
        <v/>
      </c>
      <c r="C53" s="145" t="str">
        <v/>
      </c>
      <c r="D53" s="145" t="str">
        <v/>
      </c>
      <c r="E53" s="145" t="str">
        <v/>
      </c>
      <c r="F53" s="145" t="str">
        <v/>
      </c>
      <c r="G53" s="145" t="str">
        <v/>
      </c>
      <c r="H53" s="145" t="str">
        <v/>
      </c>
      <c r="I53" s="145" t="str">
        <v/>
      </c>
      <c r="J53" s="145" t="str">
        <v/>
      </c>
      <c r="K53" s="145" t="str">
        <v/>
      </c>
      <c r="L53" s="145" t="str">
        <v/>
      </c>
      <c r="M53" s="145" t="str">
        <v/>
      </c>
      <c r="N53" s="145" t="str">
        <v/>
      </c>
      <c r="O53" s="145" t="str">
        <v/>
      </c>
      <c r="P53" s="145" t="str">
        <v/>
      </c>
    </row>
    <row r="54" spans="1:16" s="83" customFormat="1" x14ac:dyDescent="0.2">
      <c r="A54" s="124" t="str">
        <v/>
      </c>
      <c r="B54" s="123" t="str">
        <f>IFERROR(TIMEVALUE(DaqBook_RAW_Data!#REF!),IFERROR(TIMEVALUE(DaqBook_RAW_Data!#REF!),""))</f>
        <v/>
      </c>
      <c r="C54" s="145" t="str">
        <v/>
      </c>
      <c r="D54" s="145" t="str">
        <v/>
      </c>
      <c r="E54" s="145" t="str">
        <v/>
      </c>
      <c r="F54" s="145" t="str">
        <v/>
      </c>
      <c r="G54" s="145" t="str">
        <v/>
      </c>
      <c r="H54" s="145" t="str">
        <v/>
      </c>
      <c r="I54" s="145" t="str">
        <v/>
      </c>
      <c r="J54" s="145" t="str">
        <v/>
      </c>
      <c r="K54" s="145" t="str">
        <v/>
      </c>
      <c r="L54" s="145" t="str">
        <v/>
      </c>
      <c r="M54" s="145" t="str">
        <v/>
      </c>
      <c r="N54" s="145" t="str">
        <v/>
      </c>
      <c r="O54" s="145" t="str">
        <v/>
      </c>
      <c r="P54" s="145" t="str">
        <v/>
      </c>
    </row>
    <row r="55" spans="1:16" s="83" customFormat="1" x14ac:dyDescent="0.2">
      <c r="A55" s="124" t="str">
        <v/>
      </c>
      <c r="B55" s="123" t="str">
        <f>IFERROR(TIMEVALUE(DaqBook_RAW_Data!#REF!),IFERROR(TIMEVALUE(DaqBook_RAW_Data!#REF!),""))</f>
        <v/>
      </c>
      <c r="C55" s="145" t="str">
        <v/>
      </c>
      <c r="D55" s="145" t="str">
        <v/>
      </c>
      <c r="E55" s="145" t="str">
        <v/>
      </c>
      <c r="F55" s="145" t="str">
        <v/>
      </c>
      <c r="G55" s="145" t="str">
        <v/>
      </c>
      <c r="H55" s="145" t="str">
        <v/>
      </c>
      <c r="I55" s="145" t="str">
        <v/>
      </c>
      <c r="J55" s="145" t="str">
        <v/>
      </c>
      <c r="K55" s="145" t="str">
        <v/>
      </c>
      <c r="L55" s="145" t="str">
        <v/>
      </c>
      <c r="M55" s="145" t="str">
        <v/>
      </c>
      <c r="N55" s="145" t="str">
        <v/>
      </c>
      <c r="O55" s="145" t="str">
        <v/>
      </c>
      <c r="P55" s="145" t="str">
        <v/>
      </c>
    </row>
    <row r="56" spans="1:16" s="83" customFormat="1" x14ac:dyDescent="0.2">
      <c r="A56" s="124" t="str">
        <v/>
      </c>
      <c r="B56" s="123" t="str">
        <f>IFERROR(TIMEVALUE(DaqBook_RAW_Data!#REF!),IFERROR(TIMEVALUE(DaqBook_RAW_Data!#REF!),""))</f>
        <v/>
      </c>
      <c r="C56" s="145" t="str">
        <v/>
      </c>
      <c r="D56" s="145" t="str">
        <v/>
      </c>
      <c r="E56" s="145" t="str">
        <v/>
      </c>
      <c r="F56" s="145" t="str">
        <v/>
      </c>
      <c r="G56" s="145" t="str">
        <v/>
      </c>
      <c r="H56" s="145" t="str">
        <v/>
      </c>
      <c r="I56" s="145" t="str">
        <v/>
      </c>
      <c r="J56" s="145" t="str">
        <v/>
      </c>
      <c r="K56" s="145" t="str">
        <v/>
      </c>
      <c r="L56" s="145" t="str">
        <v/>
      </c>
      <c r="M56" s="145" t="str">
        <v/>
      </c>
      <c r="N56" s="145" t="str">
        <v/>
      </c>
      <c r="O56" s="145" t="str">
        <v/>
      </c>
      <c r="P56" s="145" t="str">
        <v/>
      </c>
    </row>
    <row r="57" spans="1:16" s="83" customFormat="1" x14ac:dyDescent="0.2">
      <c r="A57" s="124" t="str">
        <v/>
      </c>
      <c r="B57" s="123" t="str">
        <f>IFERROR(TIMEVALUE(DaqBook_RAW_Data!#REF!),IFERROR(TIMEVALUE(DaqBook_RAW_Data!#REF!),""))</f>
        <v/>
      </c>
      <c r="C57" s="145" t="str">
        <v/>
      </c>
      <c r="D57" s="145" t="str">
        <v/>
      </c>
      <c r="E57" s="145" t="str">
        <v/>
      </c>
      <c r="F57" s="145" t="str">
        <v/>
      </c>
      <c r="G57" s="145" t="str">
        <v/>
      </c>
      <c r="H57" s="145" t="str">
        <v/>
      </c>
      <c r="I57" s="145" t="str">
        <v/>
      </c>
      <c r="J57" s="145" t="str">
        <v/>
      </c>
      <c r="K57" s="145" t="str">
        <v/>
      </c>
      <c r="L57" s="145" t="str">
        <v/>
      </c>
      <c r="M57" s="145" t="str">
        <v/>
      </c>
      <c r="N57" s="145" t="str">
        <v/>
      </c>
      <c r="O57" s="145" t="str">
        <v/>
      </c>
      <c r="P57" s="145" t="str">
        <v/>
      </c>
    </row>
    <row r="58" spans="1:16" s="83" customFormat="1" x14ac:dyDescent="0.2">
      <c r="A58" s="124" t="str">
        <v/>
      </c>
      <c r="B58" s="123" t="str">
        <f>IFERROR(TIMEVALUE(DaqBook_RAW_Data!#REF!),IFERROR(TIMEVALUE(DaqBook_RAW_Data!#REF!),""))</f>
        <v/>
      </c>
      <c r="C58" s="145" t="str">
        <v/>
      </c>
      <c r="D58" s="145" t="str">
        <v/>
      </c>
      <c r="E58" s="145" t="str">
        <v/>
      </c>
      <c r="F58" s="145" t="str">
        <v/>
      </c>
      <c r="G58" s="145" t="str">
        <v/>
      </c>
      <c r="H58" s="145" t="str">
        <v/>
      </c>
      <c r="I58" s="145" t="str">
        <v/>
      </c>
      <c r="J58" s="145" t="str">
        <v/>
      </c>
      <c r="K58" s="145" t="str">
        <v/>
      </c>
      <c r="L58" s="145" t="str">
        <v/>
      </c>
      <c r="M58" s="145" t="str">
        <v/>
      </c>
      <c r="N58" s="145" t="str">
        <v/>
      </c>
      <c r="O58" s="145" t="str">
        <v/>
      </c>
      <c r="P58" s="145" t="str">
        <v/>
      </c>
    </row>
    <row r="59" spans="1:16" s="83" customFormat="1" x14ac:dyDescent="0.2">
      <c r="A59" s="124" t="str">
        <v/>
      </c>
      <c r="B59" s="123" t="str">
        <f>IFERROR(TIMEVALUE(DaqBook_RAW_Data!#REF!),IFERROR(TIMEVALUE(DaqBook_RAW_Data!#REF!),""))</f>
        <v/>
      </c>
      <c r="C59" s="145" t="str">
        <v/>
      </c>
      <c r="D59" s="145" t="str">
        <v/>
      </c>
      <c r="E59" s="145" t="str">
        <v/>
      </c>
      <c r="F59" s="145" t="str">
        <v/>
      </c>
      <c r="G59" s="145" t="str">
        <v/>
      </c>
      <c r="H59" s="145" t="str">
        <v/>
      </c>
      <c r="I59" s="145" t="str">
        <v/>
      </c>
      <c r="J59" s="145" t="str">
        <v/>
      </c>
      <c r="K59" s="145" t="str">
        <v/>
      </c>
      <c r="L59" s="145" t="str">
        <v/>
      </c>
      <c r="M59" s="145" t="str">
        <v/>
      </c>
      <c r="N59" s="145" t="str">
        <v/>
      </c>
      <c r="O59" s="145" t="str">
        <v/>
      </c>
      <c r="P59" s="145" t="str">
        <v/>
      </c>
    </row>
    <row r="60" spans="1:16" s="83" customFormat="1" x14ac:dyDescent="0.2">
      <c r="A60" s="124" t="str">
        <v/>
      </c>
      <c r="B60" s="123" t="str">
        <f>IFERROR(TIMEVALUE(DaqBook_RAW_Data!#REF!),IFERROR(TIMEVALUE(DaqBook_RAW_Data!#REF!),""))</f>
        <v/>
      </c>
      <c r="C60" s="145" t="str">
        <v/>
      </c>
      <c r="D60" s="145" t="str">
        <v/>
      </c>
      <c r="E60" s="145" t="str">
        <v/>
      </c>
      <c r="F60" s="145" t="str">
        <v/>
      </c>
      <c r="G60" s="145" t="str">
        <v/>
      </c>
      <c r="H60" s="145" t="str">
        <v/>
      </c>
      <c r="I60" s="145" t="str">
        <v/>
      </c>
      <c r="J60" s="145" t="str">
        <v/>
      </c>
      <c r="K60" s="145" t="str">
        <v/>
      </c>
      <c r="L60" s="145" t="str">
        <v/>
      </c>
      <c r="M60" s="145" t="str">
        <v/>
      </c>
      <c r="N60" s="145" t="str">
        <v/>
      </c>
      <c r="O60" s="145" t="str">
        <v/>
      </c>
      <c r="P60" s="145" t="str">
        <v/>
      </c>
    </row>
    <row r="61" spans="1:16" s="83" customFormat="1" x14ac:dyDescent="0.2">
      <c r="A61" s="124" t="str">
        <v/>
      </c>
      <c r="B61" s="123" t="str">
        <f>IFERROR(TIMEVALUE(DaqBook_RAW_Data!#REF!),IFERROR(TIMEVALUE(DaqBook_RAW_Data!#REF!),""))</f>
        <v/>
      </c>
      <c r="C61" s="145" t="str">
        <v/>
      </c>
      <c r="D61" s="145" t="str">
        <v/>
      </c>
      <c r="E61" s="145" t="str">
        <v/>
      </c>
      <c r="F61" s="145" t="str">
        <v/>
      </c>
      <c r="G61" s="145" t="str">
        <v/>
      </c>
      <c r="H61" s="145" t="str">
        <v/>
      </c>
      <c r="I61" s="145" t="str">
        <v/>
      </c>
      <c r="J61" s="145" t="str">
        <v/>
      </c>
      <c r="K61" s="145" t="str">
        <v/>
      </c>
      <c r="L61" s="145" t="str">
        <v/>
      </c>
      <c r="M61" s="145" t="str">
        <v/>
      </c>
      <c r="N61" s="145" t="str">
        <v/>
      </c>
      <c r="O61" s="145" t="str">
        <v/>
      </c>
      <c r="P61" s="145" t="str">
        <v/>
      </c>
    </row>
    <row r="62" spans="1:16" s="83" customFormat="1" x14ac:dyDescent="0.2">
      <c r="A62" s="124" t="str">
        <v/>
      </c>
      <c r="B62" s="123" t="str">
        <f>IFERROR(TIMEVALUE(DaqBook_RAW_Data!#REF!),IFERROR(TIMEVALUE(DaqBook_RAW_Data!#REF!),""))</f>
        <v/>
      </c>
      <c r="C62" s="145" t="str">
        <v/>
      </c>
      <c r="D62" s="145" t="str">
        <v/>
      </c>
      <c r="E62" s="145" t="str">
        <v/>
      </c>
      <c r="F62" s="145" t="str">
        <v/>
      </c>
      <c r="G62" s="145" t="str">
        <v/>
      </c>
      <c r="H62" s="145" t="str">
        <v/>
      </c>
      <c r="I62" s="145" t="str">
        <v/>
      </c>
      <c r="J62" s="145" t="str">
        <v/>
      </c>
      <c r="K62" s="145" t="str">
        <v/>
      </c>
      <c r="L62" s="145" t="str">
        <v/>
      </c>
      <c r="M62" s="145" t="str">
        <v/>
      </c>
      <c r="N62" s="145" t="str">
        <v/>
      </c>
      <c r="O62" s="145" t="str">
        <v/>
      </c>
      <c r="P62" s="145" t="str">
        <v/>
      </c>
    </row>
    <row r="63" spans="1:16" s="83" customFormat="1" x14ac:dyDescent="0.2">
      <c r="A63" s="124" t="str">
        <v/>
      </c>
      <c r="B63" s="123" t="str">
        <f>IFERROR(TIMEVALUE(DaqBook_RAW_Data!#REF!),IFERROR(TIMEVALUE(DaqBook_RAW_Data!#REF!),""))</f>
        <v/>
      </c>
      <c r="C63" s="145" t="str">
        <v/>
      </c>
      <c r="D63" s="145" t="str">
        <v/>
      </c>
      <c r="E63" s="145" t="str">
        <v/>
      </c>
      <c r="F63" s="145" t="str">
        <v/>
      </c>
      <c r="G63" s="145" t="str">
        <v/>
      </c>
      <c r="H63" s="145" t="str">
        <v/>
      </c>
      <c r="I63" s="145" t="str">
        <v/>
      </c>
      <c r="J63" s="145" t="str">
        <v/>
      </c>
      <c r="K63" s="145" t="str">
        <v/>
      </c>
      <c r="L63" s="145" t="str">
        <v/>
      </c>
      <c r="M63" s="145" t="str">
        <v/>
      </c>
      <c r="N63" s="145" t="str">
        <v/>
      </c>
      <c r="O63" s="145" t="str">
        <v/>
      </c>
      <c r="P63" s="145" t="str">
        <v/>
      </c>
    </row>
    <row r="64" spans="1:16" s="83" customFormat="1" x14ac:dyDescent="0.2">
      <c r="A64" s="124" t="str">
        <v/>
      </c>
      <c r="B64" s="123" t="str">
        <f>IFERROR(TIMEVALUE(DaqBook_RAW_Data!#REF!),IFERROR(TIMEVALUE(DaqBook_RAW_Data!#REF!),""))</f>
        <v/>
      </c>
      <c r="C64" s="145" t="str">
        <v/>
      </c>
      <c r="D64" s="145" t="str">
        <v/>
      </c>
      <c r="E64" s="145" t="str">
        <v/>
      </c>
      <c r="F64" s="145" t="str">
        <v/>
      </c>
      <c r="G64" s="145" t="str">
        <v/>
      </c>
      <c r="H64" s="145" t="str">
        <v/>
      </c>
      <c r="I64" s="145" t="str">
        <v/>
      </c>
      <c r="J64" s="145" t="str">
        <v/>
      </c>
      <c r="K64" s="145" t="str">
        <v/>
      </c>
      <c r="L64" s="145" t="str">
        <v/>
      </c>
      <c r="M64" s="145" t="str">
        <v/>
      </c>
      <c r="N64" s="145" t="str">
        <v/>
      </c>
      <c r="O64" s="145" t="str">
        <v/>
      </c>
      <c r="P64" s="145" t="str">
        <v/>
      </c>
    </row>
    <row r="65" spans="1:16" s="83" customFormat="1" x14ac:dyDescent="0.2">
      <c r="A65" s="124" t="str">
        <v/>
      </c>
      <c r="B65" s="123" t="str">
        <f>IFERROR(TIMEVALUE(DaqBook_RAW_Data!#REF!),IFERROR(TIMEVALUE(DaqBook_RAW_Data!#REF!),""))</f>
        <v/>
      </c>
      <c r="C65" s="145" t="str">
        <v/>
      </c>
      <c r="D65" s="145" t="str">
        <v/>
      </c>
      <c r="E65" s="145" t="str">
        <v/>
      </c>
      <c r="F65" s="145" t="str">
        <v/>
      </c>
      <c r="G65" s="145" t="str">
        <v/>
      </c>
      <c r="H65" s="145" t="str">
        <v/>
      </c>
      <c r="I65" s="145" t="str">
        <v/>
      </c>
      <c r="J65" s="145" t="str">
        <v/>
      </c>
      <c r="K65" s="145" t="str">
        <v/>
      </c>
      <c r="L65" s="145" t="str">
        <v/>
      </c>
      <c r="M65" s="145" t="str">
        <v/>
      </c>
      <c r="N65" s="145" t="str">
        <v/>
      </c>
      <c r="O65" s="145" t="str">
        <v/>
      </c>
      <c r="P65" s="145" t="str">
        <v/>
      </c>
    </row>
    <row r="66" spans="1:16" s="83" customFormat="1" x14ac:dyDescent="0.2">
      <c r="A66" s="124" t="str">
        <v/>
      </c>
      <c r="B66" s="123" t="str">
        <f>IFERROR(TIMEVALUE(DaqBook_RAW_Data!#REF!),IFERROR(TIMEVALUE(DaqBook_RAW_Data!#REF!),""))</f>
        <v/>
      </c>
      <c r="C66" s="145" t="str">
        <v/>
      </c>
      <c r="D66" s="145" t="str">
        <v/>
      </c>
      <c r="E66" s="145" t="str">
        <v/>
      </c>
      <c r="F66" s="145" t="str">
        <v/>
      </c>
      <c r="G66" s="145" t="str">
        <v/>
      </c>
      <c r="H66" s="145" t="str">
        <v/>
      </c>
      <c r="I66" s="145" t="str">
        <v/>
      </c>
      <c r="J66" s="145" t="str">
        <v/>
      </c>
      <c r="K66" s="145" t="str">
        <v/>
      </c>
      <c r="L66" s="145" t="str">
        <v/>
      </c>
      <c r="M66" s="145" t="str">
        <v/>
      </c>
      <c r="N66" s="145" t="str">
        <v/>
      </c>
      <c r="O66" s="145" t="str">
        <v/>
      </c>
      <c r="P66" s="145" t="str">
        <v/>
      </c>
    </row>
    <row r="67" spans="1:16" s="83" customFormat="1" x14ac:dyDescent="0.2">
      <c r="A67" s="124" t="str">
        <v/>
      </c>
      <c r="B67" s="123" t="str">
        <f>IFERROR(TIMEVALUE(DaqBook_RAW_Data!#REF!),IFERROR(TIMEVALUE(DaqBook_RAW_Data!#REF!),""))</f>
        <v/>
      </c>
      <c r="C67" s="145" t="str">
        <v/>
      </c>
      <c r="D67" s="145" t="str">
        <v/>
      </c>
      <c r="E67" s="145" t="str">
        <v/>
      </c>
      <c r="F67" s="145" t="str">
        <v/>
      </c>
      <c r="G67" s="145" t="str">
        <v/>
      </c>
      <c r="H67" s="145" t="str">
        <v/>
      </c>
      <c r="I67" s="145" t="str">
        <v/>
      </c>
      <c r="J67" s="145" t="str">
        <v/>
      </c>
      <c r="K67" s="145" t="str">
        <v/>
      </c>
      <c r="L67" s="145" t="str">
        <v/>
      </c>
      <c r="M67" s="145" t="str">
        <v/>
      </c>
      <c r="N67" s="145" t="str">
        <v/>
      </c>
      <c r="O67" s="145" t="str">
        <v/>
      </c>
      <c r="P67" s="145" t="str">
        <v/>
      </c>
    </row>
    <row r="68" spans="1:16" s="83" customFormat="1" x14ac:dyDescent="0.2">
      <c r="A68" s="124" t="str">
        <v/>
      </c>
      <c r="B68" s="123" t="str">
        <f>IFERROR(TIMEVALUE(DaqBook_RAW_Data!#REF!),IFERROR(TIMEVALUE(DaqBook_RAW_Data!#REF!),""))</f>
        <v/>
      </c>
      <c r="C68" s="145" t="str">
        <v/>
      </c>
      <c r="D68" s="145" t="str">
        <v/>
      </c>
      <c r="E68" s="145" t="str">
        <v/>
      </c>
      <c r="F68" s="145" t="str">
        <v/>
      </c>
      <c r="G68" s="145" t="str">
        <v/>
      </c>
      <c r="H68" s="145" t="str">
        <v/>
      </c>
      <c r="I68" s="145" t="str">
        <v/>
      </c>
      <c r="J68" s="145" t="str">
        <v/>
      </c>
      <c r="K68" s="145" t="str">
        <v/>
      </c>
      <c r="L68" s="145" t="str">
        <v/>
      </c>
      <c r="M68" s="145" t="str">
        <v/>
      </c>
      <c r="N68" s="145" t="str">
        <v/>
      </c>
      <c r="O68" s="145" t="str">
        <v/>
      </c>
      <c r="P68" s="145" t="str">
        <v/>
      </c>
    </row>
    <row r="69" spans="1:16" s="83" customFormat="1" x14ac:dyDescent="0.2">
      <c r="A69" s="124" t="str">
        <v/>
      </c>
      <c r="B69" s="123" t="str">
        <f>IFERROR(TIMEVALUE(DaqBook_RAW_Data!#REF!),IFERROR(TIMEVALUE(DaqBook_RAW_Data!#REF!),""))</f>
        <v/>
      </c>
      <c r="C69" s="145" t="str">
        <v/>
      </c>
      <c r="D69" s="145" t="str">
        <v/>
      </c>
      <c r="E69" s="145" t="str">
        <v/>
      </c>
      <c r="F69" s="145" t="str">
        <v/>
      </c>
      <c r="G69" s="145" t="str">
        <v/>
      </c>
      <c r="H69" s="145" t="str">
        <v/>
      </c>
      <c r="I69" s="145" t="str">
        <v/>
      </c>
      <c r="J69" s="145" t="str">
        <v/>
      </c>
      <c r="K69" s="145" t="str">
        <v/>
      </c>
      <c r="L69" s="145" t="str">
        <v/>
      </c>
      <c r="M69" s="145" t="str">
        <v/>
      </c>
      <c r="N69" s="145" t="str">
        <v/>
      </c>
      <c r="O69" s="145" t="str">
        <v/>
      </c>
      <c r="P69" s="145" t="str">
        <v/>
      </c>
    </row>
    <row r="70" spans="1:16" s="83" customFormat="1" x14ac:dyDescent="0.2">
      <c r="A70" s="124" t="str">
        <v/>
      </c>
      <c r="B70" s="123" t="str">
        <f>IFERROR(TIMEVALUE(DaqBook_RAW_Data!#REF!),IFERROR(TIMEVALUE(DaqBook_RAW_Data!#REF!),""))</f>
        <v/>
      </c>
      <c r="C70" s="145" t="str">
        <v/>
      </c>
      <c r="D70" s="145" t="str">
        <v/>
      </c>
      <c r="E70" s="145" t="str">
        <v/>
      </c>
      <c r="F70" s="145" t="str">
        <v/>
      </c>
      <c r="G70" s="145" t="str">
        <v/>
      </c>
      <c r="H70" s="145" t="str">
        <v/>
      </c>
      <c r="I70" s="145" t="str">
        <v/>
      </c>
      <c r="J70" s="145" t="str">
        <v/>
      </c>
      <c r="K70" s="145" t="str">
        <v/>
      </c>
      <c r="L70" s="145" t="str">
        <v/>
      </c>
      <c r="M70" s="145" t="str">
        <v/>
      </c>
      <c r="N70" s="145" t="str">
        <v/>
      </c>
      <c r="O70" s="145" t="str">
        <v/>
      </c>
      <c r="P70" s="145" t="str">
        <v/>
      </c>
    </row>
    <row r="71" spans="1:16" s="83" customFormat="1" x14ac:dyDescent="0.2">
      <c r="A71" s="124" t="str">
        <v/>
      </c>
      <c r="B71" s="123" t="str">
        <f>IFERROR(TIMEVALUE(DaqBook_RAW_Data!#REF!),IFERROR(TIMEVALUE(DaqBook_RAW_Data!#REF!),""))</f>
        <v/>
      </c>
      <c r="C71" s="145" t="str">
        <v/>
      </c>
      <c r="D71" s="145" t="str">
        <v/>
      </c>
      <c r="E71" s="145" t="str">
        <v/>
      </c>
      <c r="F71" s="145" t="str">
        <v/>
      </c>
      <c r="G71" s="145" t="str">
        <v/>
      </c>
      <c r="H71" s="145" t="str">
        <v/>
      </c>
      <c r="I71" s="145" t="str">
        <v/>
      </c>
      <c r="J71" s="145" t="str">
        <v/>
      </c>
      <c r="K71" s="145" t="str">
        <v/>
      </c>
      <c r="L71" s="145" t="str">
        <v/>
      </c>
      <c r="M71" s="145" t="str">
        <v/>
      </c>
      <c r="N71" s="145" t="str">
        <v/>
      </c>
      <c r="O71" s="145" t="str">
        <v/>
      </c>
      <c r="P71" s="145" t="str">
        <v/>
      </c>
    </row>
    <row r="72" spans="1:16" s="83" customFormat="1" x14ac:dyDescent="0.2">
      <c r="A72" s="124" t="str">
        <v/>
      </c>
      <c r="B72" s="123" t="str">
        <f>IFERROR(TIMEVALUE(DaqBook_RAW_Data!#REF!),IFERROR(TIMEVALUE(DaqBook_RAW_Data!#REF!),""))</f>
        <v/>
      </c>
      <c r="C72" s="145" t="str">
        <v/>
      </c>
      <c r="D72" s="145" t="str">
        <v/>
      </c>
      <c r="E72" s="145" t="str">
        <v/>
      </c>
      <c r="F72" s="145" t="str">
        <v/>
      </c>
      <c r="G72" s="145" t="str">
        <v/>
      </c>
      <c r="H72" s="145" t="str">
        <v/>
      </c>
      <c r="I72" s="145" t="str">
        <v/>
      </c>
      <c r="J72" s="145" t="str">
        <v/>
      </c>
      <c r="K72" s="145" t="str">
        <v/>
      </c>
      <c r="L72" s="145" t="str">
        <v/>
      </c>
      <c r="M72" s="145" t="str">
        <v/>
      </c>
      <c r="N72" s="145" t="str">
        <v/>
      </c>
      <c r="O72" s="145" t="str">
        <v/>
      </c>
      <c r="P72" s="145" t="str">
        <v/>
      </c>
    </row>
    <row r="73" spans="1:16" s="83" customFormat="1" x14ac:dyDescent="0.2">
      <c r="A73" s="124" t="str">
        <v/>
      </c>
      <c r="B73" s="123" t="str">
        <f>IFERROR(TIMEVALUE(DaqBook_RAW_Data!#REF!),IFERROR(TIMEVALUE(DaqBook_RAW_Data!#REF!),""))</f>
        <v/>
      </c>
      <c r="C73" s="145" t="str">
        <v/>
      </c>
      <c r="D73" s="145" t="str">
        <v/>
      </c>
      <c r="E73" s="145" t="str">
        <v/>
      </c>
      <c r="F73" s="145" t="str">
        <v/>
      </c>
      <c r="G73" s="145" t="str">
        <v/>
      </c>
      <c r="H73" s="145" t="str">
        <v/>
      </c>
      <c r="I73" s="145" t="str">
        <v/>
      </c>
      <c r="J73" s="145" t="str">
        <v/>
      </c>
      <c r="K73" s="145" t="str">
        <v/>
      </c>
      <c r="L73" s="145" t="str">
        <v/>
      </c>
      <c r="M73" s="145" t="str">
        <v/>
      </c>
      <c r="N73" s="145" t="str">
        <v/>
      </c>
      <c r="O73" s="145" t="str">
        <v/>
      </c>
      <c r="P73" s="145" t="str">
        <v/>
      </c>
    </row>
    <row r="74" spans="1:16" s="83" customFormat="1" x14ac:dyDescent="0.2">
      <c r="A74" s="124" t="str">
        <v/>
      </c>
      <c r="B74" s="123" t="str">
        <f>IFERROR(TIMEVALUE(DaqBook_RAW_Data!#REF!),IFERROR(TIMEVALUE(DaqBook_RAW_Data!#REF!),""))</f>
        <v/>
      </c>
      <c r="C74" s="145" t="str">
        <v/>
      </c>
      <c r="D74" s="145" t="str">
        <v/>
      </c>
      <c r="E74" s="145" t="str">
        <v/>
      </c>
      <c r="F74" s="145" t="str">
        <v/>
      </c>
      <c r="G74" s="145" t="str">
        <v/>
      </c>
      <c r="H74" s="145" t="str">
        <v/>
      </c>
      <c r="I74" s="145" t="str">
        <v/>
      </c>
      <c r="J74" s="145" t="str">
        <v/>
      </c>
      <c r="K74" s="145" t="str">
        <v/>
      </c>
      <c r="L74" s="145" t="str">
        <v/>
      </c>
      <c r="M74" s="145" t="str">
        <v/>
      </c>
      <c r="N74" s="145" t="str">
        <v/>
      </c>
      <c r="O74" s="145" t="str">
        <v/>
      </c>
      <c r="P74" s="145" t="str">
        <v/>
      </c>
    </row>
    <row r="75" spans="1:16" s="83" customFormat="1" x14ac:dyDescent="0.2">
      <c r="A75" s="124" t="str">
        <v/>
      </c>
      <c r="B75" s="123" t="str">
        <f>IFERROR(TIMEVALUE(DaqBook_RAW_Data!#REF!),IFERROR(TIMEVALUE(DaqBook_RAW_Data!#REF!),""))</f>
        <v/>
      </c>
      <c r="C75" s="145" t="str">
        <v/>
      </c>
      <c r="D75" s="145" t="str">
        <v/>
      </c>
      <c r="E75" s="145" t="str">
        <v/>
      </c>
      <c r="F75" s="145" t="str">
        <v/>
      </c>
      <c r="G75" s="145" t="str">
        <v/>
      </c>
      <c r="H75" s="145" t="str">
        <v/>
      </c>
      <c r="I75" s="145" t="str">
        <v/>
      </c>
      <c r="J75" s="145" t="str">
        <v/>
      </c>
      <c r="K75" s="145" t="str">
        <v/>
      </c>
      <c r="L75" s="145" t="str">
        <v/>
      </c>
      <c r="M75" s="145" t="str">
        <v/>
      </c>
      <c r="N75" s="145" t="str">
        <v/>
      </c>
      <c r="O75" s="145" t="str">
        <v/>
      </c>
      <c r="P75" s="145" t="str">
        <v/>
      </c>
    </row>
    <row r="76" spans="1:16" s="83" customFormat="1" x14ac:dyDescent="0.2">
      <c r="A76" s="124" t="str">
        <v/>
      </c>
      <c r="B76" s="123" t="str">
        <f>IFERROR(TIMEVALUE(DaqBook_RAW_Data!#REF!),IFERROR(TIMEVALUE(DaqBook_RAW_Data!#REF!),""))</f>
        <v/>
      </c>
      <c r="C76" s="145" t="str">
        <v/>
      </c>
      <c r="D76" s="145" t="str">
        <v/>
      </c>
      <c r="E76" s="145" t="str">
        <v/>
      </c>
      <c r="F76" s="145" t="str">
        <v/>
      </c>
      <c r="G76" s="145" t="str">
        <v/>
      </c>
      <c r="H76" s="145" t="str">
        <v/>
      </c>
      <c r="I76" s="145" t="str">
        <v/>
      </c>
      <c r="J76" s="145" t="str">
        <v/>
      </c>
      <c r="K76" s="145" t="str">
        <v/>
      </c>
      <c r="L76" s="145" t="str">
        <v/>
      </c>
      <c r="M76" s="145" t="str">
        <v/>
      </c>
      <c r="N76" s="145" t="str">
        <v/>
      </c>
      <c r="O76" s="145" t="str">
        <v/>
      </c>
      <c r="P76" s="145" t="str">
        <v/>
      </c>
    </row>
    <row r="77" spans="1:16" s="83" customFormat="1" x14ac:dyDescent="0.2">
      <c r="A77" s="124" t="str">
        <v/>
      </c>
      <c r="B77" s="123" t="str">
        <f>IFERROR(TIMEVALUE(DaqBook_RAW_Data!#REF!),IFERROR(TIMEVALUE(DaqBook_RAW_Data!#REF!),""))</f>
        <v/>
      </c>
      <c r="C77" s="145" t="str">
        <v/>
      </c>
      <c r="D77" s="145" t="str">
        <v/>
      </c>
      <c r="E77" s="145" t="str">
        <v/>
      </c>
      <c r="F77" s="145" t="str">
        <v/>
      </c>
      <c r="G77" s="145" t="str">
        <v/>
      </c>
      <c r="H77" s="145" t="str">
        <v/>
      </c>
      <c r="I77" s="145" t="str">
        <v/>
      </c>
      <c r="J77" s="145" t="str">
        <v/>
      </c>
      <c r="K77" s="145" t="str">
        <v/>
      </c>
      <c r="L77" s="145" t="str">
        <v/>
      </c>
      <c r="M77" s="145" t="str">
        <v/>
      </c>
      <c r="N77" s="145" t="str">
        <v/>
      </c>
      <c r="O77" s="145" t="str">
        <v/>
      </c>
      <c r="P77" s="145" t="str">
        <v/>
      </c>
    </row>
    <row r="78" spans="1:16" s="83" customFormat="1" x14ac:dyDescent="0.2">
      <c r="A78" s="124" t="str">
        <v/>
      </c>
      <c r="B78" s="123" t="str">
        <f>IFERROR(TIMEVALUE(DaqBook_RAW_Data!#REF!),IFERROR(TIMEVALUE(DaqBook_RAW_Data!#REF!),""))</f>
        <v/>
      </c>
      <c r="C78" s="145" t="str">
        <v/>
      </c>
      <c r="D78" s="145" t="str">
        <v/>
      </c>
      <c r="E78" s="145" t="str">
        <v/>
      </c>
      <c r="F78" s="145" t="str">
        <v/>
      </c>
      <c r="G78" s="145" t="str">
        <v/>
      </c>
      <c r="H78" s="145" t="str">
        <v/>
      </c>
      <c r="I78" s="145" t="str">
        <v/>
      </c>
      <c r="J78" s="145" t="str">
        <v/>
      </c>
      <c r="K78" s="145" t="str">
        <v/>
      </c>
      <c r="L78" s="145" t="str">
        <v/>
      </c>
      <c r="M78" s="145" t="str">
        <v/>
      </c>
      <c r="N78" s="145" t="str">
        <v/>
      </c>
      <c r="O78" s="145" t="str">
        <v/>
      </c>
      <c r="P78" s="145" t="str">
        <v/>
      </c>
    </row>
    <row r="79" spans="1:16" s="85" customFormat="1" x14ac:dyDescent="0.2">
      <c r="A79" s="84" t="str">
        <v/>
      </c>
      <c r="B79" s="123" t="str">
        <f>IFERROR(TIMEVALUE(DaqBook_RAW_Data!#REF!),IFERROR(TIMEVALUE(DaqBook_RAW_Data!#REF!),""))</f>
        <v/>
      </c>
      <c r="C79" s="145" t="str">
        <v/>
      </c>
      <c r="D79" s="145" t="str">
        <v/>
      </c>
      <c r="E79" s="145" t="str">
        <v/>
      </c>
      <c r="F79" s="145" t="str">
        <v/>
      </c>
      <c r="G79" s="145" t="str">
        <v/>
      </c>
      <c r="H79" s="145" t="str">
        <v/>
      </c>
      <c r="I79" s="145" t="str">
        <v/>
      </c>
      <c r="J79" s="145" t="str">
        <v/>
      </c>
      <c r="K79" s="145" t="str">
        <v/>
      </c>
      <c r="L79" s="145" t="str">
        <v/>
      </c>
      <c r="M79" s="145" t="str">
        <v/>
      </c>
      <c r="N79" s="145" t="str">
        <v/>
      </c>
      <c r="O79" s="145" t="str">
        <v/>
      </c>
      <c r="P79" s="145" t="str">
        <v/>
      </c>
    </row>
    <row r="80" spans="1:16" s="85" customFormat="1" x14ac:dyDescent="0.2">
      <c r="A80" s="84" t="str">
        <v/>
      </c>
      <c r="B80" s="123" t="str">
        <f>IFERROR(TIMEVALUE(DaqBook_RAW_Data!#REF!),IFERROR(TIMEVALUE(DaqBook_RAW_Data!#REF!),""))</f>
        <v/>
      </c>
      <c r="C80" s="145" t="str">
        <v/>
      </c>
      <c r="D80" s="145" t="str">
        <v/>
      </c>
      <c r="E80" s="145" t="str">
        <v/>
      </c>
      <c r="F80" s="145" t="str">
        <v/>
      </c>
      <c r="G80" s="145" t="str">
        <v/>
      </c>
      <c r="H80" s="145" t="str">
        <v/>
      </c>
      <c r="I80" s="145" t="str">
        <v/>
      </c>
      <c r="J80" s="145" t="str">
        <v/>
      </c>
      <c r="K80" s="145" t="str">
        <v/>
      </c>
      <c r="L80" s="145" t="str">
        <v/>
      </c>
      <c r="M80" s="145" t="str">
        <v/>
      </c>
      <c r="N80" s="145" t="str">
        <v/>
      </c>
      <c r="O80" s="145" t="str">
        <v/>
      </c>
      <c r="P80" s="145" t="str">
        <v/>
      </c>
    </row>
    <row r="81" spans="1:16" s="85" customFormat="1" x14ac:dyDescent="0.2">
      <c r="A81" s="84" t="str">
        <v/>
      </c>
      <c r="B81" s="123" t="str">
        <f>IFERROR(TIMEVALUE(DaqBook_RAW_Data!#REF!),IFERROR(TIMEVALUE(DaqBook_RAW_Data!#REF!),""))</f>
        <v/>
      </c>
      <c r="C81" s="145" t="str">
        <v/>
      </c>
      <c r="D81" s="145" t="str">
        <v/>
      </c>
      <c r="E81" s="145" t="str">
        <v/>
      </c>
      <c r="F81" s="145" t="str">
        <v/>
      </c>
      <c r="G81" s="145" t="str">
        <v/>
      </c>
      <c r="H81" s="145" t="str">
        <v/>
      </c>
      <c r="I81" s="145" t="str">
        <v/>
      </c>
      <c r="J81" s="145" t="str">
        <v/>
      </c>
      <c r="K81" s="145" t="str">
        <v/>
      </c>
      <c r="L81" s="145" t="str">
        <v/>
      </c>
      <c r="M81" s="145" t="str">
        <v/>
      </c>
      <c r="N81" s="145" t="str">
        <v/>
      </c>
      <c r="O81" s="145" t="str">
        <v/>
      </c>
      <c r="P81" s="145" t="str">
        <v/>
      </c>
    </row>
    <row r="82" spans="1:16" s="85" customFormat="1" x14ac:dyDescent="0.2">
      <c r="A82" s="84" t="str">
        <v/>
      </c>
      <c r="B82" s="123" t="str">
        <f>IFERROR(TIMEVALUE(DaqBook_RAW_Data!#REF!),IFERROR(TIMEVALUE(DaqBook_RAW_Data!#REF!),""))</f>
        <v/>
      </c>
      <c r="C82" s="145" t="str">
        <v/>
      </c>
      <c r="D82" s="145" t="str">
        <v/>
      </c>
      <c r="E82" s="145" t="str">
        <v/>
      </c>
      <c r="F82" s="145" t="str">
        <v/>
      </c>
      <c r="G82" s="145" t="str">
        <v/>
      </c>
      <c r="H82" s="145" t="str">
        <v/>
      </c>
      <c r="I82" s="145" t="str">
        <v/>
      </c>
      <c r="J82" s="145" t="str">
        <v/>
      </c>
      <c r="K82" s="145" t="str">
        <v/>
      </c>
      <c r="L82" s="145" t="str">
        <v/>
      </c>
      <c r="M82" s="145" t="str">
        <v/>
      </c>
      <c r="N82" s="145" t="str">
        <v/>
      </c>
      <c r="O82" s="145" t="str">
        <v/>
      </c>
      <c r="P82" s="145" t="str">
        <v/>
      </c>
    </row>
    <row r="83" spans="1:16" s="85" customFormat="1" x14ac:dyDescent="0.2">
      <c r="A83" s="84" t="str">
        <v/>
      </c>
      <c r="B83" s="123" t="str">
        <f>IFERROR(TIMEVALUE(DaqBook_RAW_Data!#REF!),IFERROR(TIMEVALUE(DaqBook_RAW_Data!#REF!),""))</f>
        <v/>
      </c>
      <c r="C83" s="145" t="str">
        <v/>
      </c>
      <c r="D83" s="145" t="str">
        <v/>
      </c>
      <c r="E83" s="145" t="str">
        <v/>
      </c>
      <c r="F83" s="145" t="str">
        <v/>
      </c>
      <c r="G83" s="145" t="str">
        <v/>
      </c>
      <c r="H83" s="145" t="str">
        <v/>
      </c>
      <c r="I83" s="145" t="str">
        <v/>
      </c>
      <c r="J83" s="145" t="str">
        <v/>
      </c>
      <c r="K83" s="145" t="str">
        <v/>
      </c>
      <c r="L83" s="145" t="str">
        <v/>
      </c>
      <c r="M83" s="145" t="str">
        <v/>
      </c>
      <c r="N83" s="145" t="str">
        <v/>
      </c>
      <c r="O83" s="145" t="str">
        <v/>
      </c>
      <c r="P83" s="145" t="str">
        <v/>
      </c>
    </row>
    <row r="84" spans="1:16" s="83" customFormat="1" x14ac:dyDescent="0.2">
      <c r="A84" s="124" t="str">
        <v/>
      </c>
      <c r="B84" s="123" t="str">
        <f>IFERROR(TIMEVALUE(DaqBook_RAW_Data!#REF!),IFERROR(TIMEVALUE(DaqBook_RAW_Data!#REF!),""))</f>
        <v/>
      </c>
      <c r="C84" s="145" t="str">
        <v/>
      </c>
      <c r="D84" s="145" t="str">
        <v/>
      </c>
      <c r="E84" s="145" t="str">
        <v/>
      </c>
      <c r="F84" s="145" t="str">
        <v/>
      </c>
      <c r="G84" s="145" t="str">
        <v/>
      </c>
      <c r="H84" s="145" t="str">
        <v/>
      </c>
      <c r="I84" s="145" t="str">
        <v/>
      </c>
      <c r="J84" s="145" t="str">
        <v/>
      </c>
      <c r="K84" s="145" t="str">
        <v/>
      </c>
      <c r="L84" s="145" t="str">
        <v/>
      </c>
      <c r="M84" s="145" t="str">
        <v/>
      </c>
      <c r="N84" s="145" t="str">
        <v/>
      </c>
      <c r="O84" s="145" t="str">
        <v/>
      </c>
      <c r="P84" s="145" t="str">
        <v/>
      </c>
    </row>
    <row r="85" spans="1:16" s="83" customFormat="1" x14ac:dyDescent="0.2">
      <c r="A85" s="124" t="str">
        <v/>
      </c>
      <c r="B85" s="123" t="str">
        <f>IFERROR(TIMEVALUE(DaqBook_RAW_Data!#REF!),IFERROR(TIMEVALUE(DaqBook_RAW_Data!#REF!),""))</f>
        <v/>
      </c>
      <c r="C85" s="145" t="str">
        <v/>
      </c>
      <c r="D85" s="145" t="str">
        <v/>
      </c>
      <c r="E85" s="145" t="str">
        <v/>
      </c>
      <c r="F85" s="145" t="str">
        <v/>
      </c>
      <c r="G85" s="145" t="str">
        <v/>
      </c>
      <c r="H85" s="145" t="str">
        <v/>
      </c>
      <c r="I85" s="145" t="str">
        <v/>
      </c>
      <c r="J85" s="145" t="str">
        <v/>
      </c>
      <c r="K85" s="145" t="str">
        <v/>
      </c>
      <c r="L85" s="145" t="str">
        <v/>
      </c>
      <c r="M85" s="145" t="str">
        <v/>
      </c>
      <c r="N85" s="145" t="str">
        <v/>
      </c>
      <c r="O85" s="145" t="str">
        <v/>
      </c>
      <c r="P85" s="145" t="str">
        <v/>
      </c>
    </row>
    <row r="86" spans="1:16" s="83" customFormat="1" x14ac:dyDescent="0.2">
      <c r="A86" s="124" t="str">
        <v/>
      </c>
      <c r="B86" s="123" t="str">
        <f>IFERROR(TIMEVALUE(DaqBook_RAW_Data!#REF!),IFERROR(TIMEVALUE(DaqBook_RAW_Data!#REF!),""))</f>
        <v/>
      </c>
      <c r="C86" s="145" t="str">
        <v/>
      </c>
      <c r="D86" s="145" t="str">
        <v/>
      </c>
      <c r="E86" s="145" t="str">
        <v/>
      </c>
      <c r="F86" s="145" t="str">
        <v/>
      </c>
      <c r="G86" s="145" t="str">
        <v/>
      </c>
      <c r="H86" s="145" t="str">
        <v/>
      </c>
      <c r="I86" s="145" t="str">
        <v/>
      </c>
      <c r="J86" s="145" t="str">
        <v/>
      </c>
      <c r="K86" s="145" t="str">
        <v/>
      </c>
      <c r="L86" s="145" t="str">
        <v/>
      </c>
      <c r="M86" s="145" t="str">
        <v/>
      </c>
      <c r="N86" s="145" t="str">
        <v/>
      </c>
      <c r="O86" s="145" t="str">
        <v/>
      </c>
      <c r="P86" s="145" t="str">
        <v/>
      </c>
    </row>
    <row r="87" spans="1:16" s="83" customFormat="1" x14ac:dyDescent="0.2">
      <c r="A87" s="124" t="str">
        <v/>
      </c>
      <c r="B87" s="123" t="str">
        <f>IFERROR(TIMEVALUE(DaqBook_RAW_Data!#REF!),IFERROR(TIMEVALUE(DaqBook_RAW_Data!#REF!),""))</f>
        <v/>
      </c>
      <c r="C87" s="145" t="str">
        <v/>
      </c>
      <c r="D87" s="145" t="str">
        <v/>
      </c>
      <c r="E87" s="145" t="str">
        <v/>
      </c>
      <c r="F87" s="145" t="str">
        <v/>
      </c>
      <c r="G87" s="145" t="str">
        <v/>
      </c>
      <c r="H87" s="145" t="str">
        <v/>
      </c>
      <c r="I87" s="145" t="str">
        <v/>
      </c>
      <c r="J87" s="145" t="str">
        <v/>
      </c>
      <c r="K87" s="145" t="str">
        <v/>
      </c>
      <c r="L87" s="145" t="str">
        <v/>
      </c>
      <c r="M87" s="145" t="str">
        <v/>
      </c>
      <c r="N87" s="145" t="str">
        <v/>
      </c>
      <c r="O87" s="145" t="str">
        <v/>
      </c>
      <c r="P87" s="145" t="str">
        <v/>
      </c>
    </row>
    <row r="88" spans="1:16" s="83" customFormat="1" x14ac:dyDescent="0.2">
      <c r="A88" s="124" t="str">
        <v/>
      </c>
      <c r="B88" s="123" t="str">
        <f>IFERROR(TIMEVALUE(DaqBook_RAW_Data!#REF!),IFERROR(TIMEVALUE(DaqBook_RAW_Data!#REF!),""))</f>
        <v/>
      </c>
      <c r="C88" s="145" t="str">
        <v/>
      </c>
      <c r="D88" s="145" t="str">
        <v/>
      </c>
      <c r="E88" s="145" t="str">
        <v/>
      </c>
      <c r="F88" s="145" t="str">
        <v/>
      </c>
      <c r="G88" s="145" t="str">
        <v/>
      </c>
      <c r="H88" s="145" t="str">
        <v/>
      </c>
      <c r="I88" s="145" t="str">
        <v/>
      </c>
      <c r="J88" s="145" t="str">
        <v/>
      </c>
      <c r="K88" s="145" t="str">
        <v/>
      </c>
      <c r="L88" s="145" t="str">
        <v/>
      </c>
      <c r="M88" s="145" t="str">
        <v/>
      </c>
      <c r="N88" s="145" t="str">
        <v/>
      </c>
      <c r="O88" s="145" t="str">
        <v/>
      </c>
      <c r="P88" s="145" t="str">
        <v/>
      </c>
    </row>
    <row r="89" spans="1:16" s="83" customFormat="1" x14ac:dyDescent="0.2">
      <c r="A89" s="124" t="str">
        <v/>
      </c>
      <c r="B89" s="123" t="str">
        <f>IFERROR(TIMEVALUE(DaqBook_RAW_Data!#REF!),IFERROR(TIMEVALUE(DaqBook_RAW_Data!#REF!),""))</f>
        <v/>
      </c>
      <c r="C89" s="145" t="str">
        <v/>
      </c>
      <c r="D89" s="145" t="str">
        <v/>
      </c>
      <c r="E89" s="145" t="str">
        <v/>
      </c>
      <c r="F89" s="145" t="str">
        <v/>
      </c>
      <c r="G89" s="145" t="str">
        <v/>
      </c>
      <c r="H89" s="145" t="str">
        <v/>
      </c>
      <c r="I89" s="145" t="str">
        <v/>
      </c>
      <c r="J89" s="145" t="str">
        <v/>
      </c>
      <c r="K89" s="145" t="str">
        <v/>
      </c>
      <c r="L89" s="145" t="str">
        <v/>
      </c>
      <c r="M89" s="145" t="str">
        <v/>
      </c>
      <c r="N89" s="145" t="str">
        <v/>
      </c>
      <c r="O89" s="145" t="str">
        <v/>
      </c>
      <c r="P89" s="145" t="str">
        <v/>
      </c>
    </row>
    <row r="90" spans="1:16" s="83" customFormat="1" x14ac:dyDescent="0.2">
      <c r="A90" s="124" t="str">
        <v/>
      </c>
      <c r="B90" s="123" t="str">
        <f>IFERROR(TIMEVALUE(DaqBook_RAW_Data!#REF!),IFERROR(TIMEVALUE(DaqBook_RAW_Data!#REF!),""))</f>
        <v/>
      </c>
      <c r="C90" s="145" t="str">
        <v/>
      </c>
      <c r="D90" s="145" t="str">
        <v/>
      </c>
      <c r="E90" s="145" t="str">
        <v/>
      </c>
      <c r="F90" s="145" t="str">
        <v/>
      </c>
      <c r="G90" s="145" t="str">
        <v/>
      </c>
      <c r="H90" s="145" t="str">
        <v/>
      </c>
      <c r="I90" s="145" t="str">
        <v/>
      </c>
      <c r="J90" s="145" t="str">
        <v/>
      </c>
      <c r="K90" s="145" t="str">
        <v/>
      </c>
      <c r="L90" s="145" t="str">
        <v/>
      </c>
      <c r="M90" s="145" t="str">
        <v/>
      </c>
      <c r="N90" s="145" t="str">
        <v/>
      </c>
      <c r="O90" s="145" t="str">
        <v/>
      </c>
      <c r="P90" s="145" t="str">
        <v/>
      </c>
    </row>
    <row r="91" spans="1:16" s="83" customFormat="1" x14ac:dyDescent="0.2">
      <c r="A91" s="124" t="str">
        <v/>
      </c>
      <c r="B91" s="123" t="str">
        <f>IFERROR(TIMEVALUE(DaqBook_RAW_Data!#REF!),IFERROR(TIMEVALUE(DaqBook_RAW_Data!#REF!),""))</f>
        <v/>
      </c>
      <c r="C91" s="145" t="str">
        <v/>
      </c>
      <c r="D91" s="145" t="str">
        <v/>
      </c>
      <c r="E91" s="145" t="str">
        <v/>
      </c>
      <c r="F91" s="145" t="str">
        <v/>
      </c>
      <c r="G91" s="145" t="str">
        <v/>
      </c>
      <c r="H91" s="145" t="str">
        <v/>
      </c>
      <c r="I91" s="145" t="str">
        <v/>
      </c>
      <c r="J91" s="145" t="str">
        <v/>
      </c>
      <c r="K91" s="145" t="str">
        <v/>
      </c>
      <c r="L91" s="145" t="str">
        <v/>
      </c>
      <c r="M91" s="145" t="str">
        <v/>
      </c>
      <c r="N91" s="145" t="str">
        <v/>
      </c>
      <c r="O91" s="145" t="str">
        <v/>
      </c>
      <c r="P91" s="145" t="str">
        <v/>
      </c>
    </row>
    <row r="92" spans="1:16" s="83" customFormat="1" x14ac:dyDescent="0.2">
      <c r="A92" s="124" t="str">
        <v/>
      </c>
      <c r="B92" s="123" t="str">
        <f>IFERROR(TIMEVALUE(DaqBook_RAW_Data!#REF!),IFERROR(TIMEVALUE(DaqBook_RAW_Data!#REF!),""))</f>
        <v/>
      </c>
      <c r="C92" s="145" t="str">
        <v/>
      </c>
      <c r="D92" s="145" t="str">
        <v/>
      </c>
      <c r="E92" s="145" t="str">
        <v/>
      </c>
      <c r="F92" s="145" t="str">
        <v/>
      </c>
      <c r="G92" s="145" t="str">
        <v/>
      </c>
      <c r="H92" s="145" t="str">
        <v/>
      </c>
      <c r="I92" s="145" t="str">
        <v/>
      </c>
      <c r="J92" s="145" t="str">
        <v/>
      </c>
      <c r="K92" s="145" t="str">
        <v/>
      </c>
      <c r="L92" s="145" t="str">
        <v/>
      </c>
      <c r="M92" s="145" t="str">
        <v/>
      </c>
      <c r="N92" s="145" t="str">
        <v/>
      </c>
      <c r="O92" s="145" t="str">
        <v/>
      </c>
      <c r="P92" s="145" t="str">
        <v/>
      </c>
    </row>
    <row r="93" spans="1:16" s="83" customFormat="1" x14ac:dyDescent="0.2">
      <c r="A93" s="124" t="str">
        <v/>
      </c>
      <c r="B93" s="123" t="str">
        <f>IFERROR(TIMEVALUE(DaqBook_RAW_Data!#REF!),IFERROR(TIMEVALUE(DaqBook_RAW_Data!#REF!),""))</f>
        <v/>
      </c>
      <c r="C93" s="145" t="str">
        <v/>
      </c>
      <c r="D93" s="145" t="str">
        <v/>
      </c>
      <c r="E93" s="145" t="str">
        <v/>
      </c>
      <c r="F93" s="145" t="str">
        <v/>
      </c>
      <c r="G93" s="145" t="str">
        <v/>
      </c>
      <c r="H93" s="145" t="str">
        <v/>
      </c>
      <c r="I93" s="145" t="str">
        <v/>
      </c>
      <c r="J93" s="145" t="str">
        <v/>
      </c>
      <c r="K93" s="145" t="str">
        <v/>
      </c>
      <c r="L93" s="145" t="str">
        <v/>
      </c>
      <c r="M93" s="145" t="str">
        <v/>
      </c>
      <c r="N93" s="145" t="str">
        <v/>
      </c>
      <c r="O93" s="145" t="str">
        <v/>
      </c>
      <c r="P93" s="145" t="str">
        <v/>
      </c>
    </row>
    <row r="94" spans="1:16" s="83" customFormat="1" x14ac:dyDescent="0.2">
      <c r="A94" s="124" t="str">
        <v/>
      </c>
      <c r="B94" s="123" t="str">
        <f>IFERROR(TIMEVALUE(DaqBook_RAW_Data!#REF!),IFERROR(TIMEVALUE(DaqBook_RAW_Data!#REF!),""))</f>
        <v/>
      </c>
      <c r="C94" s="145" t="str">
        <v/>
      </c>
      <c r="D94" s="145" t="str">
        <v/>
      </c>
      <c r="E94" s="145" t="str">
        <v/>
      </c>
      <c r="F94" s="145" t="str">
        <v/>
      </c>
      <c r="G94" s="145" t="str">
        <v/>
      </c>
      <c r="H94" s="145" t="str">
        <v/>
      </c>
      <c r="I94" s="145" t="str">
        <v/>
      </c>
      <c r="J94" s="145" t="str">
        <v/>
      </c>
      <c r="K94" s="145" t="str">
        <v/>
      </c>
      <c r="L94" s="145" t="str">
        <v/>
      </c>
      <c r="M94" s="145" t="str">
        <v/>
      </c>
      <c r="N94" s="145" t="str">
        <v/>
      </c>
      <c r="O94" s="145" t="str">
        <v/>
      </c>
      <c r="P94" s="145" t="str">
        <v/>
      </c>
    </row>
    <row r="95" spans="1:16" s="83" customFormat="1" x14ac:dyDescent="0.2">
      <c r="A95" s="124" t="str">
        <v/>
      </c>
      <c r="B95" s="123" t="str">
        <f>IFERROR(TIMEVALUE(DaqBook_RAW_Data!#REF!),IFERROR(TIMEVALUE(DaqBook_RAW_Data!#REF!),""))</f>
        <v/>
      </c>
      <c r="C95" s="145" t="str">
        <v/>
      </c>
      <c r="D95" s="145" t="str">
        <v/>
      </c>
      <c r="E95" s="145" t="str">
        <v/>
      </c>
      <c r="F95" s="145" t="str">
        <v/>
      </c>
      <c r="G95" s="145" t="str">
        <v/>
      </c>
      <c r="H95" s="145" t="str">
        <v/>
      </c>
      <c r="I95" s="145" t="str">
        <v/>
      </c>
      <c r="J95" s="145" t="str">
        <v/>
      </c>
      <c r="K95" s="145" t="str">
        <v/>
      </c>
      <c r="L95" s="145" t="str">
        <v/>
      </c>
      <c r="M95" s="145" t="str">
        <v/>
      </c>
      <c r="N95" s="145" t="str">
        <v/>
      </c>
      <c r="O95" s="145" t="str">
        <v/>
      </c>
      <c r="P95" s="145" t="str">
        <v/>
      </c>
    </row>
    <row r="96" spans="1:16" s="83" customFormat="1" x14ac:dyDescent="0.2">
      <c r="A96" s="124" t="str">
        <v/>
      </c>
      <c r="B96" s="123" t="str">
        <f>IFERROR(TIMEVALUE(DaqBook_RAW_Data!#REF!),IFERROR(TIMEVALUE(DaqBook_RAW_Data!#REF!),""))</f>
        <v/>
      </c>
      <c r="C96" s="145" t="str">
        <v/>
      </c>
      <c r="D96" s="145" t="str">
        <v/>
      </c>
      <c r="E96" s="145" t="str">
        <v/>
      </c>
      <c r="F96" s="145" t="str">
        <v/>
      </c>
      <c r="G96" s="145" t="str">
        <v/>
      </c>
      <c r="H96" s="145" t="str">
        <v/>
      </c>
      <c r="I96" s="145" t="str">
        <v/>
      </c>
      <c r="J96" s="145" t="str">
        <v/>
      </c>
      <c r="K96" s="145" t="str">
        <v/>
      </c>
      <c r="L96" s="145" t="str">
        <v/>
      </c>
      <c r="M96" s="145" t="str">
        <v/>
      </c>
      <c r="N96" s="145" t="str">
        <v/>
      </c>
      <c r="O96" s="145" t="str">
        <v/>
      </c>
      <c r="P96" s="145" t="str">
        <v/>
      </c>
    </row>
    <row r="97" spans="1:16" s="83" customFormat="1" x14ac:dyDescent="0.2">
      <c r="A97" s="124" t="str">
        <v/>
      </c>
      <c r="B97" s="123" t="str">
        <f>IFERROR(TIMEVALUE(DaqBook_RAW_Data!#REF!),IFERROR(TIMEVALUE(DaqBook_RAW_Data!#REF!),""))</f>
        <v/>
      </c>
      <c r="C97" s="145" t="str">
        <v/>
      </c>
      <c r="D97" s="145" t="str">
        <v/>
      </c>
      <c r="E97" s="145" t="str">
        <v/>
      </c>
      <c r="F97" s="145" t="str">
        <v/>
      </c>
      <c r="G97" s="145" t="str">
        <v/>
      </c>
      <c r="H97" s="145" t="str">
        <v/>
      </c>
      <c r="I97" s="145" t="str">
        <v/>
      </c>
      <c r="J97" s="145" t="str">
        <v/>
      </c>
      <c r="K97" s="145" t="str">
        <v/>
      </c>
      <c r="L97" s="145" t="str">
        <v/>
      </c>
      <c r="M97" s="145" t="str">
        <v/>
      </c>
      <c r="N97" s="145" t="str">
        <v/>
      </c>
      <c r="O97" s="145" t="str">
        <v/>
      </c>
      <c r="P97" s="145" t="str">
        <v/>
      </c>
    </row>
    <row r="98" spans="1:16" s="83" customFormat="1" x14ac:dyDescent="0.2">
      <c r="A98" s="124" t="str">
        <v/>
      </c>
      <c r="B98" s="123" t="str">
        <f>IFERROR(TIMEVALUE(DaqBook_RAW_Data!#REF!),IFERROR(TIMEVALUE(DaqBook_RAW_Data!#REF!),""))</f>
        <v/>
      </c>
      <c r="C98" s="145" t="str">
        <v/>
      </c>
      <c r="D98" s="145" t="str">
        <v/>
      </c>
      <c r="E98" s="145" t="str">
        <v/>
      </c>
      <c r="F98" s="145" t="str">
        <v/>
      </c>
      <c r="G98" s="145" t="str">
        <v/>
      </c>
      <c r="H98" s="145" t="str">
        <v/>
      </c>
      <c r="I98" s="145" t="str">
        <v/>
      </c>
      <c r="J98" s="145" t="str">
        <v/>
      </c>
      <c r="K98" s="145" t="str">
        <v/>
      </c>
      <c r="L98" s="145" t="str">
        <v/>
      </c>
      <c r="M98" s="145" t="str">
        <v/>
      </c>
      <c r="N98" s="145" t="str">
        <v/>
      </c>
      <c r="O98" s="145" t="str">
        <v/>
      </c>
      <c r="P98" s="145" t="str">
        <v/>
      </c>
    </row>
    <row r="99" spans="1:16" s="83" customFormat="1" x14ac:dyDescent="0.2">
      <c r="A99" s="124" t="str">
        <v/>
      </c>
      <c r="B99" s="123" t="str">
        <f>IFERROR(TIMEVALUE(DaqBook_RAW_Data!#REF!),IFERROR(TIMEVALUE(DaqBook_RAW_Data!#REF!),""))</f>
        <v/>
      </c>
      <c r="C99" s="145" t="str">
        <v/>
      </c>
      <c r="D99" s="145" t="str">
        <v/>
      </c>
      <c r="E99" s="145" t="str">
        <v/>
      </c>
      <c r="F99" s="145" t="str">
        <v/>
      </c>
      <c r="G99" s="145" t="str">
        <v/>
      </c>
      <c r="H99" s="145" t="str">
        <v/>
      </c>
      <c r="I99" s="145" t="str">
        <v/>
      </c>
      <c r="J99" s="145" t="str">
        <v/>
      </c>
      <c r="K99" s="145" t="str">
        <v/>
      </c>
      <c r="L99" s="145" t="str">
        <v/>
      </c>
      <c r="M99" s="145" t="str">
        <v/>
      </c>
      <c r="N99" s="145" t="str">
        <v/>
      </c>
      <c r="O99" s="145" t="str">
        <v/>
      </c>
      <c r="P99" s="145" t="str">
        <v/>
      </c>
    </row>
    <row r="100" spans="1:16" s="83" customFormat="1" x14ac:dyDescent="0.2">
      <c r="A100" s="124" t="str">
        <v/>
      </c>
      <c r="B100" s="123" t="str">
        <f>IFERROR(TIMEVALUE(DaqBook_RAW_Data!#REF!),IFERROR(TIMEVALUE(DaqBook_RAW_Data!#REF!),""))</f>
        <v/>
      </c>
      <c r="C100" s="145" t="str">
        <v/>
      </c>
      <c r="D100" s="145" t="str">
        <v/>
      </c>
      <c r="E100" s="145" t="str">
        <v/>
      </c>
      <c r="F100" s="145" t="str">
        <v/>
      </c>
      <c r="G100" s="145" t="str">
        <v/>
      </c>
      <c r="H100" s="145" t="str">
        <v/>
      </c>
      <c r="I100" s="145" t="str">
        <v/>
      </c>
      <c r="J100" s="145" t="str">
        <v/>
      </c>
      <c r="K100" s="145" t="str">
        <v/>
      </c>
      <c r="L100" s="145" t="str">
        <v/>
      </c>
      <c r="M100" s="145" t="str">
        <v/>
      </c>
      <c r="N100" s="145" t="str">
        <v/>
      </c>
      <c r="O100" s="145" t="str">
        <v/>
      </c>
      <c r="P100" s="145" t="str">
        <v/>
      </c>
    </row>
    <row r="101" spans="1:16" s="83" customFormat="1" x14ac:dyDescent="0.2">
      <c r="A101" s="124" t="str">
        <v/>
      </c>
      <c r="B101" s="123" t="str">
        <f>IFERROR(TIMEVALUE(DaqBook_RAW_Data!#REF!),IFERROR(TIMEVALUE(DaqBook_RAW_Data!#REF!),""))</f>
        <v/>
      </c>
      <c r="C101" s="145" t="str">
        <v/>
      </c>
      <c r="D101" s="145" t="str">
        <v/>
      </c>
      <c r="E101" s="145" t="str">
        <v/>
      </c>
      <c r="F101" s="145" t="str">
        <v/>
      </c>
      <c r="G101" s="145" t="str">
        <v/>
      </c>
      <c r="H101" s="145" t="str">
        <v/>
      </c>
      <c r="I101" s="145" t="str">
        <v/>
      </c>
      <c r="J101" s="145" t="str">
        <v/>
      </c>
      <c r="K101" s="145" t="str">
        <v/>
      </c>
      <c r="L101" s="145" t="str">
        <v/>
      </c>
      <c r="M101" s="145" t="str">
        <v/>
      </c>
      <c r="N101" s="145" t="str">
        <v/>
      </c>
      <c r="O101" s="145" t="str">
        <v/>
      </c>
      <c r="P101" s="145" t="str">
        <v/>
      </c>
    </row>
    <row r="102" spans="1:16" s="83" customFormat="1" x14ac:dyDescent="0.2">
      <c r="A102" s="124" t="str">
        <v/>
      </c>
      <c r="B102" s="123" t="str">
        <f>IFERROR(TIMEVALUE(DaqBook_RAW_Data!#REF!),IFERROR(TIMEVALUE(DaqBook_RAW_Data!#REF!),""))</f>
        <v/>
      </c>
      <c r="C102" s="145" t="str">
        <v/>
      </c>
      <c r="D102" s="145" t="str">
        <v/>
      </c>
      <c r="E102" s="145" t="str">
        <v/>
      </c>
      <c r="F102" s="145" t="str">
        <v/>
      </c>
      <c r="G102" s="145" t="str">
        <v/>
      </c>
      <c r="H102" s="145" t="str">
        <v/>
      </c>
      <c r="I102" s="145" t="str">
        <v/>
      </c>
      <c r="J102" s="145" t="str">
        <v/>
      </c>
      <c r="K102" s="145" t="str">
        <v/>
      </c>
      <c r="L102" s="145" t="str">
        <v/>
      </c>
      <c r="M102" s="145" t="str">
        <v/>
      </c>
      <c r="N102" s="145" t="str">
        <v/>
      </c>
      <c r="O102" s="145" t="str">
        <v/>
      </c>
      <c r="P102" s="145" t="str">
        <v/>
      </c>
    </row>
    <row r="103" spans="1:16" s="83" customFormat="1" x14ac:dyDescent="0.2">
      <c r="A103" s="124" t="str">
        <v/>
      </c>
      <c r="B103" s="123" t="str">
        <f>IFERROR(TIMEVALUE(DaqBook_RAW_Data!#REF!),IFERROR(TIMEVALUE(DaqBook_RAW_Data!#REF!),""))</f>
        <v/>
      </c>
      <c r="C103" s="145" t="str">
        <v/>
      </c>
      <c r="D103" s="145" t="str">
        <v/>
      </c>
      <c r="E103" s="145" t="str">
        <v/>
      </c>
      <c r="F103" s="145" t="str">
        <v/>
      </c>
      <c r="G103" s="145" t="str">
        <v/>
      </c>
      <c r="H103" s="145" t="str">
        <v/>
      </c>
      <c r="I103" s="145" t="str">
        <v/>
      </c>
      <c r="J103" s="145" t="str">
        <v/>
      </c>
      <c r="K103" s="145" t="str">
        <v/>
      </c>
      <c r="L103" s="145" t="str">
        <v/>
      </c>
      <c r="M103" s="145" t="str">
        <v/>
      </c>
      <c r="N103" s="145" t="str">
        <v/>
      </c>
      <c r="O103" s="145" t="str">
        <v/>
      </c>
      <c r="P103" s="145" t="str">
        <v/>
      </c>
    </row>
    <row r="104" spans="1:16" s="83" customFormat="1" x14ac:dyDescent="0.2">
      <c r="A104" s="124" t="str">
        <v/>
      </c>
      <c r="B104" s="123" t="str">
        <f>IFERROR(TIMEVALUE(DaqBook_RAW_Data!#REF!),IFERROR(TIMEVALUE(DaqBook_RAW_Data!#REF!),""))</f>
        <v/>
      </c>
      <c r="C104" s="145" t="str">
        <v/>
      </c>
      <c r="D104" s="145" t="str">
        <v/>
      </c>
      <c r="E104" s="145" t="str">
        <v/>
      </c>
      <c r="F104" s="145" t="str">
        <v/>
      </c>
      <c r="G104" s="145" t="str">
        <v/>
      </c>
      <c r="H104" s="145" t="str">
        <v/>
      </c>
      <c r="I104" s="145" t="str">
        <v/>
      </c>
      <c r="J104" s="145" t="str">
        <v/>
      </c>
      <c r="K104" s="145" t="str">
        <v/>
      </c>
      <c r="L104" s="145" t="str">
        <v/>
      </c>
      <c r="M104" s="145" t="str">
        <v/>
      </c>
      <c r="N104" s="145" t="str">
        <v/>
      </c>
      <c r="O104" s="145" t="str">
        <v/>
      </c>
      <c r="P104" s="145" t="str">
        <v/>
      </c>
    </row>
    <row r="105" spans="1:16" s="83" customFormat="1" x14ac:dyDescent="0.2">
      <c r="A105" s="124" t="str">
        <v/>
      </c>
      <c r="B105" s="123" t="str">
        <f>IFERROR(TIMEVALUE(DaqBook_RAW_Data!#REF!),IFERROR(TIMEVALUE(DaqBook_RAW_Data!#REF!),""))</f>
        <v/>
      </c>
      <c r="C105" s="145" t="str">
        <v/>
      </c>
      <c r="D105" s="145" t="str">
        <v/>
      </c>
      <c r="E105" s="145" t="str">
        <v/>
      </c>
      <c r="F105" s="145" t="str">
        <v/>
      </c>
      <c r="G105" s="145" t="str">
        <v/>
      </c>
      <c r="H105" s="145" t="str">
        <v/>
      </c>
      <c r="I105" s="145" t="str">
        <v/>
      </c>
      <c r="J105" s="145" t="str">
        <v/>
      </c>
      <c r="K105" s="145" t="str">
        <v/>
      </c>
      <c r="L105" s="145" t="str">
        <v/>
      </c>
      <c r="M105" s="145" t="str">
        <v/>
      </c>
      <c r="N105" s="145" t="str">
        <v/>
      </c>
      <c r="O105" s="145" t="str">
        <v/>
      </c>
      <c r="P105" s="145" t="str">
        <v/>
      </c>
    </row>
    <row r="106" spans="1:16" x14ac:dyDescent="0.2">
      <c r="A106" s="58" t="str">
        <v/>
      </c>
      <c r="B106" s="123" t="str">
        <f>IFERROR(TIMEVALUE(DaqBook_RAW_Data!#REF!),IFERROR(TIMEVALUE(DaqBook_RAW_Data!#REF!),""))</f>
        <v/>
      </c>
      <c r="C106" s="145" t="str">
        <v/>
      </c>
      <c r="D106" s="145" t="str">
        <v/>
      </c>
      <c r="E106" s="145" t="str">
        <v/>
      </c>
      <c r="F106" s="145" t="str">
        <v/>
      </c>
      <c r="G106" s="145" t="str">
        <v/>
      </c>
      <c r="H106" s="145" t="str">
        <v/>
      </c>
      <c r="I106" s="145" t="str">
        <v/>
      </c>
      <c r="J106" s="145" t="str">
        <v/>
      </c>
      <c r="K106" s="145" t="str">
        <v/>
      </c>
      <c r="L106" s="145" t="str">
        <v/>
      </c>
      <c r="M106" s="145" t="str">
        <v/>
      </c>
      <c r="N106" s="145" t="str">
        <v/>
      </c>
      <c r="O106" s="145" t="str">
        <v/>
      </c>
      <c r="P106" s="145" t="str">
        <v/>
      </c>
    </row>
    <row r="107" spans="1:16" x14ac:dyDescent="0.2">
      <c r="A107" s="58" t="str">
        <v/>
      </c>
      <c r="B107" s="123" t="str">
        <f>IFERROR(TIMEVALUE(DaqBook_RAW_Data!#REF!),IFERROR(TIMEVALUE(DaqBook_RAW_Data!#REF!),""))</f>
        <v/>
      </c>
      <c r="C107" s="145" t="str">
        <v/>
      </c>
      <c r="D107" s="145" t="str">
        <v/>
      </c>
      <c r="E107" s="145" t="str">
        <v/>
      </c>
      <c r="F107" s="145" t="str">
        <v/>
      </c>
      <c r="G107" s="145" t="str">
        <v/>
      </c>
      <c r="H107" s="145" t="str">
        <v/>
      </c>
      <c r="I107" s="145" t="str">
        <v/>
      </c>
      <c r="J107" s="145" t="str">
        <v/>
      </c>
      <c r="K107" s="145" t="str">
        <v/>
      </c>
      <c r="L107" s="145" t="str">
        <v/>
      </c>
      <c r="M107" s="145" t="str">
        <v/>
      </c>
      <c r="N107" s="145" t="str">
        <v/>
      </c>
      <c r="O107" s="145" t="str">
        <v/>
      </c>
      <c r="P107" s="145" t="str">
        <v/>
      </c>
    </row>
    <row r="108" spans="1:16" x14ac:dyDescent="0.2">
      <c r="A108" s="58" t="str">
        <v/>
      </c>
      <c r="B108" s="123" t="str">
        <f>IFERROR(TIMEVALUE(DaqBook_RAW_Data!#REF!),IFERROR(TIMEVALUE(DaqBook_RAW_Data!#REF!),""))</f>
        <v/>
      </c>
      <c r="C108" s="145" t="str">
        <v/>
      </c>
      <c r="D108" s="145" t="str">
        <v/>
      </c>
      <c r="E108" s="145" t="str">
        <v/>
      </c>
      <c r="F108" s="145" t="str">
        <v/>
      </c>
      <c r="G108" s="145" t="str">
        <v/>
      </c>
      <c r="H108" s="145" t="str">
        <v/>
      </c>
      <c r="I108" s="145" t="str">
        <v/>
      </c>
      <c r="J108" s="145" t="str">
        <v/>
      </c>
      <c r="K108" s="145" t="str">
        <v/>
      </c>
      <c r="L108" s="145" t="str">
        <v/>
      </c>
      <c r="M108" s="145" t="str">
        <v/>
      </c>
      <c r="N108" s="145" t="str">
        <v/>
      </c>
      <c r="O108" s="145" t="str">
        <v/>
      </c>
      <c r="P108" s="145" t="str">
        <v/>
      </c>
    </row>
    <row r="109" spans="1:16" x14ac:dyDescent="0.2">
      <c r="A109" s="58" t="str">
        <v/>
      </c>
      <c r="B109" s="123" t="str">
        <f>IFERROR(TIMEVALUE(DaqBook_RAW_Data!#REF!),IFERROR(TIMEVALUE(DaqBook_RAW_Data!#REF!),""))</f>
        <v/>
      </c>
      <c r="C109" s="145" t="str">
        <v/>
      </c>
      <c r="D109" s="145" t="str">
        <v/>
      </c>
      <c r="E109" s="145" t="str">
        <v/>
      </c>
      <c r="F109" s="145" t="str">
        <v/>
      </c>
      <c r="G109" s="145" t="str">
        <v/>
      </c>
      <c r="H109" s="145" t="str">
        <v/>
      </c>
      <c r="I109" s="145" t="str">
        <v/>
      </c>
      <c r="J109" s="145" t="str">
        <v/>
      </c>
      <c r="K109" s="145" t="str">
        <v/>
      </c>
      <c r="L109" s="145" t="str">
        <v/>
      </c>
      <c r="M109" s="145" t="str">
        <v/>
      </c>
      <c r="N109" s="145" t="str">
        <v/>
      </c>
      <c r="O109" s="145" t="str">
        <v/>
      </c>
      <c r="P109" s="145" t="str">
        <v/>
      </c>
    </row>
    <row r="110" spans="1:16" x14ac:dyDescent="0.2">
      <c r="A110" s="58" t="str">
        <v/>
      </c>
      <c r="B110" s="123" t="str">
        <f>IFERROR(TIMEVALUE(DaqBook_RAW_Data!#REF!),IFERROR(TIMEVALUE(DaqBook_RAW_Data!#REF!),""))</f>
        <v/>
      </c>
      <c r="C110" s="145" t="str">
        <v/>
      </c>
      <c r="D110" s="145" t="str">
        <v/>
      </c>
      <c r="E110" s="145" t="str">
        <v/>
      </c>
      <c r="F110" s="145" t="str">
        <v/>
      </c>
      <c r="G110" s="145" t="str">
        <v/>
      </c>
      <c r="H110" s="145" t="str">
        <v/>
      </c>
      <c r="I110" s="145" t="str">
        <v/>
      </c>
      <c r="J110" s="145" t="str">
        <v/>
      </c>
      <c r="K110" s="145" t="str">
        <v/>
      </c>
      <c r="L110" s="145" t="str">
        <v/>
      </c>
      <c r="M110" s="145" t="str">
        <v/>
      </c>
      <c r="N110" s="145" t="str">
        <v/>
      </c>
      <c r="O110" s="145" t="str">
        <v/>
      </c>
      <c r="P110" s="145" t="str">
        <v/>
      </c>
    </row>
    <row r="111" spans="1:16" x14ac:dyDescent="0.2">
      <c r="A111" s="58" t="str">
        <v/>
      </c>
      <c r="B111" s="123" t="str">
        <f>IFERROR(TIMEVALUE(DaqBook_RAW_Data!#REF!),IFERROR(TIMEVALUE(DaqBook_RAW_Data!#REF!),""))</f>
        <v/>
      </c>
      <c r="C111" s="145" t="str">
        <v/>
      </c>
      <c r="D111" s="145" t="str">
        <v/>
      </c>
      <c r="E111" s="145" t="str">
        <v/>
      </c>
      <c r="F111" s="145" t="str">
        <v/>
      </c>
      <c r="G111" s="145" t="str">
        <v/>
      </c>
      <c r="H111" s="145" t="str">
        <v/>
      </c>
      <c r="I111" s="145" t="str">
        <v/>
      </c>
      <c r="J111" s="145" t="str">
        <v/>
      </c>
      <c r="K111" s="145" t="str">
        <v/>
      </c>
      <c r="L111" s="145" t="str">
        <v/>
      </c>
      <c r="M111" s="145" t="str">
        <v/>
      </c>
      <c r="N111" s="145" t="str">
        <v/>
      </c>
      <c r="O111" s="145" t="str">
        <v/>
      </c>
      <c r="P111" s="145" t="str">
        <v/>
      </c>
    </row>
    <row r="112" spans="1:16" x14ac:dyDescent="0.2">
      <c r="A112" s="58" t="str">
        <v/>
      </c>
      <c r="B112" s="123" t="str">
        <f>IFERROR(TIMEVALUE(DaqBook_RAW_Data!#REF!),IFERROR(TIMEVALUE(DaqBook_RAW_Data!#REF!),""))</f>
        <v/>
      </c>
      <c r="C112" s="145" t="str">
        <v/>
      </c>
      <c r="D112" s="145" t="str">
        <v/>
      </c>
      <c r="E112" s="145" t="str">
        <v/>
      </c>
      <c r="F112" s="145" t="str">
        <v/>
      </c>
      <c r="G112" s="145" t="str">
        <v/>
      </c>
      <c r="H112" s="145" t="str">
        <v/>
      </c>
      <c r="I112" s="145" t="str">
        <v/>
      </c>
      <c r="J112" s="145" t="str">
        <v/>
      </c>
      <c r="K112" s="145" t="str">
        <v/>
      </c>
      <c r="L112" s="145" t="str">
        <v/>
      </c>
      <c r="M112" s="145" t="str">
        <v/>
      </c>
      <c r="N112" s="145" t="str">
        <v/>
      </c>
      <c r="O112" s="145" t="str">
        <v/>
      </c>
      <c r="P112" s="145" t="str">
        <v/>
      </c>
    </row>
    <row r="113" spans="1:16" x14ac:dyDescent="0.2">
      <c r="A113" s="58" t="str">
        <v/>
      </c>
      <c r="B113" s="123" t="str">
        <f>IFERROR(TIMEVALUE(DaqBook_RAW_Data!#REF!),IFERROR(TIMEVALUE(DaqBook_RAW_Data!#REF!),""))</f>
        <v/>
      </c>
      <c r="C113" s="145" t="str">
        <v/>
      </c>
      <c r="D113" s="145" t="str">
        <v/>
      </c>
      <c r="E113" s="145" t="str">
        <v/>
      </c>
      <c r="F113" s="145" t="str">
        <v/>
      </c>
      <c r="G113" s="145" t="str">
        <v/>
      </c>
      <c r="H113" s="145" t="str">
        <v/>
      </c>
      <c r="I113" s="145" t="str">
        <v/>
      </c>
      <c r="J113" s="145" t="str">
        <v/>
      </c>
      <c r="K113" s="145" t="str">
        <v/>
      </c>
      <c r="L113" s="145" t="str">
        <v/>
      </c>
      <c r="M113" s="145" t="str">
        <v/>
      </c>
      <c r="N113" s="145" t="str">
        <v/>
      </c>
      <c r="O113" s="145" t="str">
        <v/>
      </c>
      <c r="P113" s="145" t="str">
        <v/>
      </c>
    </row>
    <row r="114" spans="1:16" x14ac:dyDescent="0.2">
      <c r="A114" s="58" t="str">
        <v/>
      </c>
      <c r="B114" s="123" t="str">
        <f>IFERROR(TIMEVALUE(DaqBook_RAW_Data!#REF!),IFERROR(TIMEVALUE(DaqBook_RAW_Data!#REF!),""))</f>
        <v/>
      </c>
      <c r="C114" s="145" t="str">
        <v/>
      </c>
      <c r="D114" s="145" t="str">
        <v/>
      </c>
      <c r="E114" s="145" t="str">
        <v/>
      </c>
      <c r="F114" s="145" t="str">
        <v/>
      </c>
      <c r="G114" s="145" t="str">
        <v/>
      </c>
      <c r="H114" s="145" t="str">
        <v/>
      </c>
      <c r="I114" s="145" t="str">
        <v/>
      </c>
      <c r="J114" s="145" t="str">
        <v/>
      </c>
      <c r="K114" s="145" t="str">
        <v/>
      </c>
      <c r="L114" s="145" t="str">
        <v/>
      </c>
      <c r="M114" s="145" t="str">
        <v/>
      </c>
      <c r="N114" s="145" t="str">
        <v/>
      </c>
      <c r="O114" s="145" t="str">
        <v/>
      </c>
      <c r="P114" s="145" t="str">
        <v/>
      </c>
    </row>
    <row r="115" spans="1:16" x14ac:dyDescent="0.2">
      <c r="A115" s="58" t="str">
        <v/>
      </c>
      <c r="B115" s="123" t="str">
        <f>IFERROR(TIMEVALUE(DaqBook_RAW_Data!#REF!),IFERROR(TIMEVALUE(DaqBook_RAW_Data!#REF!),""))</f>
        <v/>
      </c>
      <c r="C115" s="145" t="str">
        <v/>
      </c>
      <c r="D115" s="145" t="str">
        <v/>
      </c>
      <c r="E115" s="145" t="str">
        <v/>
      </c>
      <c r="F115" s="145" t="str">
        <v/>
      </c>
      <c r="G115" s="145" t="str">
        <v/>
      </c>
      <c r="H115" s="145" t="str">
        <v/>
      </c>
      <c r="I115" s="145" t="str">
        <v/>
      </c>
      <c r="J115" s="145" t="str">
        <v/>
      </c>
      <c r="K115" s="145" t="str">
        <v/>
      </c>
      <c r="L115" s="145" t="str">
        <v/>
      </c>
      <c r="M115" s="145" t="str">
        <v/>
      </c>
      <c r="N115" s="145" t="str">
        <v/>
      </c>
      <c r="O115" s="145" t="str">
        <v/>
      </c>
      <c r="P115" s="145" t="str">
        <v/>
      </c>
    </row>
    <row r="116" spans="1:16" x14ac:dyDescent="0.2">
      <c r="A116" s="58" t="str">
        <v/>
      </c>
      <c r="B116" s="123" t="str">
        <f>IFERROR(TIMEVALUE(DaqBook_RAW_Data!Q4),IFERROR(TIMEVALUE(DaqBook_RAW_Data!#REF!),""))</f>
        <v/>
      </c>
      <c r="C116" s="145" t="str">
        <v/>
      </c>
      <c r="D116" s="145" t="str">
        <v/>
      </c>
      <c r="E116" s="145" t="str">
        <v/>
      </c>
      <c r="F116" s="145" t="str">
        <v/>
      </c>
      <c r="G116" s="145" t="str">
        <v/>
      </c>
      <c r="H116" s="145" t="str">
        <v/>
      </c>
      <c r="I116" s="145" t="str">
        <v/>
      </c>
      <c r="J116" s="145" t="str">
        <v/>
      </c>
      <c r="K116" s="145" t="str">
        <v/>
      </c>
      <c r="L116" s="145" t="str">
        <v/>
      </c>
      <c r="M116" s="145" t="str">
        <v/>
      </c>
      <c r="N116" s="145" t="str">
        <v/>
      </c>
      <c r="O116" s="145" t="str">
        <v/>
      </c>
      <c r="P116" s="145" t="str">
        <v/>
      </c>
    </row>
    <row r="117" spans="1:16" x14ac:dyDescent="0.2">
      <c r="A117" s="58" t="str">
        <v/>
      </c>
      <c r="B117" s="123" t="str">
        <f>IFERROR(TIMEVALUE(DaqBook_RAW_Data!Q5),IFERROR(TIMEVALUE(DaqBook_RAW_Data!#REF!),""))</f>
        <v/>
      </c>
      <c r="C117" s="145" t="str">
        <v/>
      </c>
      <c r="D117" s="145" t="str">
        <v/>
      </c>
      <c r="E117" s="145" t="str">
        <v/>
      </c>
      <c r="F117" s="145" t="str">
        <v/>
      </c>
      <c r="G117" s="145" t="str">
        <v/>
      </c>
      <c r="H117" s="145" t="str">
        <v/>
      </c>
      <c r="I117" s="145" t="str">
        <v/>
      </c>
      <c r="J117" s="145" t="str">
        <v/>
      </c>
      <c r="K117" s="145" t="str">
        <v/>
      </c>
      <c r="L117" s="145" t="str">
        <v/>
      </c>
      <c r="M117" s="145" t="str">
        <v/>
      </c>
      <c r="N117" s="145" t="str">
        <v/>
      </c>
      <c r="O117" s="145" t="str">
        <v/>
      </c>
      <c r="P117" s="145" t="str">
        <v/>
      </c>
    </row>
    <row r="118" spans="1:16" x14ac:dyDescent="0.2">
      <c r="A118" s="58" t="str">
        <v/>
      </c>
      <c r="B118" s="123" t="str">
        <f>IFERROR(TIMEVALUE(DaqBook_RAW_Data!Q6),IFERROR(TIMEVALUE(DaqBook_RAW_Data!#REF!),""))</f>
        <v/>
      </c>
      <c r="C118" s="145" t="str">
        <v/>
      </c>
      <c r="D118" s="145" t="str">
        <v/>
      </c>
      <c r="E118" s="145" t="str">
        <v/>
      </c>
      <c r="F118" s="145" t="str">
        <v/>
      </c>
      <c r="G118" s="145" t="str">
        <v/>
      </c>
      <c r="H118" s="145" t="str">
        <v/>
      </c>
      <c r="I118" s="145" t="str">
        <v/>
      </c>
      <c r="J118" s="145" t="str">
        <v/>
      </c>
      <c r="K118" s="145" t="str">
        <v/>
      </c>
      <c r="L118" s="145" t="str">
        <v/>
      </c>
      <c r="M118" s="145" t="str">
        <v/>
      </c>
      <c r="N118" s="145" t="str">
        <v/>
      </c>
      <c r="O118" s="145" t="str">
        <v/>
      </c>
      <c r="P118" s="145" t="str">
        <v/>
      </c>
    </row>
    <row r="119" spans="1:16" x14ac:dyDescent="0.2">
      <c r="A119" s="58" t="str">
        <v/>
      </c>
      <c r="B119" s="123" t="str">
        <f>IFERROR(TIMEVALUE(DaqBook_RAW_Data!Q7),IFERROR(TIMEVALUE(DaqBook_RAW_Data!#REF!),""))</f>
        <v/>
      </c>
      <c r="C119" s="145" t="str">
        <v/>
      </c>
      <c r="D119" s="145" t="str">
        <v/>
      </c>
      <c r="E119" s="145" t="str">
        <v/>
      </c>
      <c r="F119" s="145" t="str">
        <v/>
      </c>
      <c r="G119" s="145" t="str">
        <v/>
      </c>
      <c r="H119" s="145" t="str">
        <v/>
      </c>
      <c r="I119" s="145" t="str">
        <v/>
      </c>
      <c r="J119" s="145" t="str">
        <v/>
      </c>
      <c r="K119" s="145" t="str">
        <v/>
      </c>
      <c r="L119" s="145" t="str">
        <v/>
      </c>
      <c r="M119" s="145" t="str">
        <v/>
      </c>
      <c r="N119" s="145" t="str">
        <v/>
      </c>
      <c r="O119" s="145" t="str">
        <v/>
      </c>
      <c r="P119" s="145" t="str">
        <v/>
      </c>
    </row>
    <row r="120" spans="1:16" x14ac:dyDescent="0.2">
      <c r="A120" s="58" t="str">
        <v/>
      </c>
      <c r="B120" s="123" t="str">
        <f>IFERROR(TIMEVALUE(DaqBook_RAW_Data!Q8),IFERROR(TIMEVALUE(DaqBook_RAW_Data!#REF!),""))</f>
        <v/>
      </c>
      <c r="C120" s="145" t="str">
        <v/>
      </c>
      <c r="D120" s="145" t="str">
        <v/>
      </c>
      <c r="E120" s="145" t="str">
        <v/>
      </c>
      <c r="F120" s="145" t="str">
        <v/>
      </c>
      <c r="G120" s="145" t="str">
        <v/>
      </c>
      <c r="H120" s="145" t="str">
        <v/>
      </c>
      <c r="I120" s="145" t="str">
        <v/>
      </c>
      <c r="J120" s="145" t="str">
        <v/>
      </c>
      <c r="K120" s="145" t="str">
        <v/>
      </c>
      <c r="L120" s="145" t="str">
        <v/>
      </c>
      <c r="M120" s="145" t="str">
        <v/>
      </c>
      <c r="N120" s="145" t="str">
        <v/>
      </c>
      <c r="O120" s="145" t="str">
        <v/>
      </c>
      <c r="P120" s="145" t="str">
        <v/>
      </c>
    </row>
    <row r="121" spans="1:16" x14ac:dyDescent="0.2">
      <c r="A121" s="58" t="str">
        <v/>
      </c>
      <c r="B121" s="123" t="str">
        <f>IFERROR(TIMEVALUE(DaqBook_RAW_Data!Q9),IFERROR(TIMEVALUE(DaqBook_RAW_Data!#REF!),""))</f>
        <v/>
      </c>
      <c r="C121" s="145" t="str">
        <v/>
      </c>
      <c r="D121" s="145" t="str">
        <v/>
      </c>
      <c r="E121" s="145" t="str">
        <v/>
      </c>
      <c r="F121" s="145" t="str">
        <v/>
      </c>
      <c r="G121" s="145" t="str">
        <v/>
      </c>
      <c r="H121" s="145" t="str">
        <v/>
      </c>
      <c r="I121" s="145" t="str">
        <v/>
      </c>
      <c r="J121" s="145" t="str">
        <v/>
      </c>
      <c r="K121" s="145" t="str">
        <v/>
      </c>
      <c r="L121" s="145" t="str">
        <v/>
      </c>
      <c r="M121" s="145" t="str">
        <v/>
      </c>
      <c r="N121" s="145" t="str">
        <v/>
      </c>
      <c r="O121" s="145" t="str">
        <v/>
      </c>
      <c r="P121" s="145" t="str">
        <v/>
      </c>
    </row>
    <row r="122" spans="1:16" x14ac:dyDescent="0.2">
      <c r="A122" s="58" t="str">
        <v/>
      </c>
      <c r="B122" s="123" t="str">
        <f>IFERROR(TIMEVALUE(DaqBook_RAW_Data!Q10),IFERROR(TIMEVALUE(DaqBook_RAW_Data!#REF!),""))</f>
        <v/>
      </c>
      <c r="C122" s="145" t="str">
        <v/>
      </c>
      <c r="D122" s="145" t="str">
        <v/>
      </c>
      <c r="E122" s="145" t="str">
        <v/>
      </c>
      <c r="F122" s="145" t="str">
        <v/>
      </c>
      <c r="G122" s="145" t="str">
        <v/>
      </c>
      <c r="H122" s="145" t="str">
        <v/>
      </c>
      <c r="I122" s="145" t="str">
        <v/>
      </c>
      <c r="J122" s="145" t="str">
        <v/>
      </c>
      <c r="K122" s="145" t="str">
        <v/>
      </c>
      <c r="L122" s="145" t="str">
        <v/>
      </c>
      <c r="M122" s="145" t="str">
        <v/>
      </c>
      <c r="N122" s="145" t="str">
        <v/>
      </c>
      <c r="O122" s="145" t="str">
        <v/>
      </c>
      <c r="P122" s="145" t="str">
        <v/>
      </c>
    </row>
    <row r="123" spans="1:16" x14ac:dyDescent="0.2">
      <c r="A123" s="58" t="str">
        <v/>
      </c>
      <c r="B123" s="123" t="str">
        <f>IFERROR(TIMEVALUE(DaqBook_RAW_Data!Q11),IFERROR(TIMEVALUE(DaqBook_RAW_Data!#REF!),""))</f>
        <v/>
      </c>
      <c r="C123" s="145" t="str">
        <v/>
      </c>
      <c r="D123" s="145" t="str">
        <v/>
      </c>
      <c r="E123" s="145" t="str">
        <v/>
      </c>
      <c r="F123" s="145" t="str">
        <v/>
      </c>
      <c r="G123" s="145" t="str">
        <v/>
      </c>
      <c r="H123" s="145" t="str">
        <v/>
      </c>
      <c r="I123" s="145" t="str">
        <v/>
      </c>
      <c r="J123" s="145" t="str">
        <v/>
      </c>
      <c r="K123" s="145" t="str">
        <v/>
      </c>
      <c r="L123" s="145" t="str">
        <v/>
      </c>
      <c r="M123" s="145" t="str">
        <v/>
      </c>
      <c r="N123" s="145" t="str">
        <v/>
      </c>
      <c r="O123" s="145" t="str">
        <v/>
      </c>
      <c r="P123" s="145" t="str">
        <v/>
      </c>
    </row>
    <row r="124" spans="1:16" x14ac:dyDescent="0.2">
      <c r="A124" s="58" t="str">
        <v/>
      </c>
      <c r="B124" s="123" t="str">
        <f>IFERROR(TIMEVALUE(DaqBook_RAW_Data!Q12),IFERROR(TIMEVALUE(DaqBook_RAW_Data!#REF!),""))</f>
        <v/>
      </c>
      <c r="C124" s="145" t="str">
        <v/>
      </c>
      <c r="D124" s="145" t="str">
        <v/>
      </c>
      <c r="E124" s="145" t="str">
        <v/>
      </c>
      <c r="F124" s="145" t="str">
        <v/>
      </c>
      <c r="G124" s="145" t="str">
        <v/>
      </c>
      <c r="H124" s="145" t="str">
        <v/>
      </c>
      <c r="I124" s="145" t="str">
        <v/>
      </c>
      <c r="J124" s="145" t="str">
        <v/>
      </c>
      <c r="K124" s="145" t="str">
        <v/>
      </c>
      <c r="L124" s="145" t="str">
        <v/>
      </c>
      <c r="M124" s="145" t="str">
        <v/>
      </c>
      <c r="N124" s="145" t="str">
        <v/>
      </c>
      <c r="O124" s="145" t="str">
        <v/>
      </c>
      <c r="P124" s="145" t="str">
        <v/>
      </c>
    </row>
    <row r="125" spans="1:16" x14ac:dyDescent="0.2">
      <c r="A125" s="58" t="str">
        <v/>
      </c>
      <c r="B125" s="123" t="str">
        <f>IFERROR(TIMEVALUE(DaqBook_RAW_Data!Q13),IFERROR(TIMEVALUE(DaqBook_RAW_Data!#REF!),""))</f>
        <v/>
      </c>
      <c r="C125" s="145" t="str">
        <v/>
      </c>
      <c r="D125" s="145" t="str">
        <v/>
      </c>
      <c r="E125" s="145" t="str">
        <v/>
      </c>
      <c r="F125" s="145" t="str">
        <v/>
      </c>
      <c r="G125" s="145" t="str">
        <v/>
      </c>
      <c r="H125" s="145" t="str">
        <v/>
      </c>
      <c r="I125" s="145" t="str">
        <v/>
      </c>
      <c r="J125" s="145" t="str">
        <v/>
      </c>
      <c r="K125" s="145" t="str">
        <v/>
      </c>
      <c r="L125" s="145" t="str">
        <v/>
      </c>
      <c r="M125" s="145" t="str">
        <v/>
      </c>
      <c r="N125" s="145" t="str">
        <v/>
      </c>
      <c r="O125" s="145" t="str">
        <v/>
      </c>
      <c r="P125" s="145" t="str">
        <v/>
      </c>
    </row>
    <row r="126" spans="1:16" x14ac:dyDescent="0.2">
      <c r="A126" s="58" t="str">
        <v/>
      </c>
      <c r="B126" s="123" t="str">
        <f>IFERROR(TIMEVALUE(DaqBook_RAW_Data!Q14),IFERROR(TIMEVALUE(DaqBook_RAW_Data!#REF!),""))</f>
        <v/>
      </c>
      <c r="C126" s="145" t="str">
        <v/>
      </c>
      <c r="D126" s="145" t="str">
        <v/>
      </c>
      <c r="E126" s="145" t="str">
        <v/>
      </c>
      <c r="F126" s="145" t="str">
        <v/>
      </c>
      <c r="G126" s="145" t="str">
        <v/>
      </c>
      <c r="H126" s="145" t="str">
        <v/>
      </c>
      <c r="I126" s="145" t="str">
        <v/>
      </c>
      <c r="J126" s="145" t="str">
        <v/>
      </c>
      <c r="K126" s="145" t="str">
        <v/>
      </c>
      <c r="L126" s="145" t="str">
        <v/>
      </c>
      <c r="M126" s="145" t="str">
        <v/>
      </c>
      <c r="N126" s="145" t="str">
        <v/>
      </c>
      <c r="O126" s="145" t="str">
        <v/>
      </c>
      <c r="P126" s="145" t="str">
        <v/>
      </c>
    </row>
    <row r="127" spans="1:16" x14ac:dyDescent="0.2">
      <c r="A127" s="58" t="str">
        <v/>
      </c>
      <c r="B127" s="123" t="str">
        <f>IFERROR(TIMEVALUE(DaqBook_RAW_Data!Q15),IFERROR(TIMEVALUE(DaqBook_RAW_Data!#REF!),""))</f>
        <v/>
      </c>
      <c r="C127" s="145" t="str">
        <v/>
      </c>
      <c r="D127" s="145" t="str">
        <v/>
      </c>
      <c r="E127" s="145" t="str">
        <v/>
      </c>
      <c r="F127" s="145" t="str">
        <v/>
      </c>
      <c r="G127" s="145" t="str">
        <v/>
      </c>
      <c r="H127" s="145" t="str">
        <v/>
      </c>
      <c r="I127" s="145" t="str">
        <v/>
      </c>
      <c r="J127" s="145" t="str">
        <v/>
      </c>
      <c r="K127" s="145" t="str">
        <v/>
      </c>
      <c r="L127" s="145" t="str">
        <v/>
      </c>
      <c r="M127" s="145" t="str">
        <v/>
      </c>
      <c r="N127" s="145" t="str">
        <v/>
      </c>
      <c r="O127" s="145" t="str">
        <v/>
      </c>
      <c r="P127" s="145" t="str">
        <v/>
      </c>
    </row>
    <row r="128" spans="1:16" x14ac:dyDescent="0.2">
      <c r="A128" s="58" t="str">
        <v/>
      </c>
      <c r="B128" s="123" t="str">
        <f>IFERROR(TIMEVALUE(DaqBook_RAW_Data!Q16),IFERROR(TIMEVALUE(DaqBook_RAW_Data!#REF!),""))</f>
        <v/>
      </c>
      <c r="C128" s="145" t="str">
        <v/>
      </c>
      <c r="D128" s="145" t="str">
        <v/>
      </c>
      <c r="E128" s="145" t="str">
        <v/>
      </c>
      <c r="F128" s="145" t="str">
        <v/>
      </c>
      <c r="G128" s="145" t="str">
        <v/>
      </c>
      <c r="H128" s="145" t="str">
        <v/>
      </c>
      <c r="I128" s="145" t="str">
        <v/>
      </c>
      <c r="J128" s="145" t="str">
        <v/>
      </c>
      <c r="K128" s="145" t="str">
        <v/>
      </c>
      <c r="L128" s="145" t="str">
        <v/>
      </c>
      <c r="M128" s="145" t="str">
        <v/>
      </c>
      <c r="N128" s="145" t="str">
        <v/>
      </c>
      <c r="O128" s="145" t="str">
        <v/>
      </c>
      <c r="P128" s="145" t="str">
        <v/>
      </c>
    </row>
    <row r="129" spans="1:16" x14ac:dyDescent="0.2">
      <c r="A129" s="58" t="str">
        <v/>
      </c>
      <c r="B129" s="123" t="str">
        <f>IFERROR(TIMEVALUE(DaqBook_RAW_Data!Q17),IFERROR(TIMEVALUE(DaqBook_RAW_Data!#REF!),""))</f>
        <v/>
      </c>
      <c r="C129" s="145" t="str">
        <v/>
      </c>
      <c r="D129" s="145" t="str">
        <v/>
      </c>
      <c r="E129" s="145" t="str">
        <v/>
      </c>
      <c r="F129" s="145" t="str">
        <v/>
      </c>
      <c r="G129" s="145" t="str">
        <v/>
      </c>
      <c r="H129" s="145" t="str">
        <v/>
      </c>
      <c r="I129" s="145" t="str">
        <v/>
      </c>
      <c r="J129" s="145" t="str">
        <v/>
      </c>
      <c r="K129" s="145" t="str">
        <v/>
      </c>
      <c r="L129" s="145" t="str">
        <v/>
      </c>
      <c r="M129" s="145" t="str">
        <v/>
      </c>
      <c r="N129" s="145" t="str">
        <v/>
      </c>
      <c r="O129" s="145" t="str">
        <v/>
      </c>
      <c r="P129" s="145" t="str">
        <v/>
      </c>
    </row>
    <row r="130" spans="1:16" x14ac:dyDescent="0.2">
      <c r="A130" s="58" t="str">
        <v/>
      </c>
      <c r="B130" s="123" t="str">
        <f>IFERROR(TIMEVALUE(DaqBook_RAW_Data!Q18),IFERROR(TIMEVALUE(DaqBook_RAW_Data!#REF!),""))</f>
        <v/>
      </c>
      <c r="C130" s="145" t="str">
        <v/>
      </c>
      <c r="D130" s="145" t="str">
        <v/>
      </c>
      <c r="E130" s="145" t="str">
        <v/>
      </c>
      <c r="F130" s="145" t="str">
        <v/>
      </c>
      <c r="G130" s="145" t="str">
        <v/>
      </c>
      <c r="H130" s="145" t="str">
        <v/>
      </c>
      <c r="I130" s="145" t="str">
        <v/>
      </c>
      <c r="J130" s="145" t="str">
        <v/>
      </c>
      <c r="K130" s="145" t="str">
        <v/>
      </c>
      <c r="L130" s="145" t="str">
        <v/>
      </c>
      <c r="M130" s="145" t="str">
        <v/>
      </c>
      <c r="N130" s="145" t="str">
        <v/>
      </c>
      <c r="O130" s="145" t="str">
        <v/>
      </c>
      <c r="P130" s="145" t="str">
        <v/>
      </c>
    </row>
    <row r="131" spans="1:16" x14ac:dyDescent="0.2">
      <c r="A131" s="58" t="str">
        <v/>
      </c>
      <c r="B131" s="123" t="str">
        <f>IFERROR(TIMEVALUE(DaqBook_RAW_Data!Q19),IFERROR(TIMEVALUE(DaqBook_RAW_Data!#REF!),""))</f>
        <v/>
      </c>
      <c r="C131" s="145" t="str">
        <v/>
      </c>
      <c r="D131" s="145" t="str">
        <v/>
      </c>
      <c r="E131" s="145" t="str">
        <v/>
      </c>
      <c r="F131" s="145" t="str">
        <v/>
      </c>
      <c r="G131" s="145" t="str">
        <v/>
      </c>
      <c r="H131" s="145" t="str">
        <v/>
      </c>
      <c r="I131" s="145" t="str">
        <v/>
      </c>
      <c r="J131" s="145" t="str">
        <v/>
      </c>
      <c r="K131" s="145" t="str">
        <v/>
      </c>
      <c r="L131" s="145" t="str">
        <v/>
      </c>
      <c r="M131" s="145" t="str">
        <v/>
      </c>
      <c r="N131" s="145" t="str">
        <v/>
      </c>
      <c r="O131" s="145" t="str">
        <v/>
      </c>
      <c r="P131" s="145" t="str">
        <v/>
      </c>
    </row>
    <row r="132" spans="1:16" x14ac:dyDescent="0.2">
      <c r="A132" s="58" t="str">
        <v/>
      </c>
      <c r="B132" s="123" t="str">
        <f>IFERROR(TIMEVALUE(DaqBook_RAW_Data!Q20),IFERROR(TIMEVALUE(DaqBook_RAW_Data!#REF!),""))</f>
        <v/>
      </c>
      <c r="C132" s="145" t="str">
        <v/>
      </c>
      <c r="D132" s="145" t="str">
        <v/>
      </c>
      <c r="E132" s="145" t="str">
        <v/>
      </c>
      <c r="F132" s="145" t="str">
        <v/>
      </c>
      <c r="G132" s="145" t="str">
        <v/>
      </c>
      <c r="H132" s="145" t="str">
        <v/>
      </c>
      <c r="I132" s="145" t="str">
        <v/>
      </c>
      <c r="J132" s="145" t="str">
        <v/>
      </c>
      <c r="K132" s="145" t="str">
        <v/>
      </c>
      <c r="L132" s="145" t="str">
        <v/>
      </c>
      <c r="M132" s="145" t="str">
        <v/>
      </c>
      <c r="N132" s="145" t="str">
        <v/>
      </c>
      <c r="O132" s="145" t="str">
        <v/>
      </c>
      <c r="P132" s="145" t="str">
        <v/>
      </c>
    </row>
    <row r="133" spans="1:16" x14ac:dyDescent="0.2">
      <c r="A133" s="58" t="str">
        <v/>
      </c>
      <c r="B133" s="123" t="str">
        <f>IFERROR(TIMEVALUE(DaqBook_RAW_Data!Q21),IFERROR(TIMEVALUE(DaqBook_RAW_Data!#REF!),""))</f>
        <v/>
      </c>
      <c r="C133" s="145" t="str">
        <v/>
      </c>
      <c r="D133" s="145" t="str">
        <v/>
      </c>
      <c r="E133" s="145" t="str">
        <v/>
      </c>
      <c r="F133" s="145" t="str">
        <v/>
      </c>
      <c r="G133" s="145" t="str">
        <v/>
      </c>
      <c r="H133" s="145" t="str">
        <v/>
      </c>
      <c r="I133" s="145" t="str">
        <v/>
      </c>
      <c r="J133" s="145" t="str">
        <v/>
      </c>
      <c r="K133" s="145" t="str">
        <v/>
      </c>
      <c r="L133" s="145" t="str">
        <v/>
      </c>
      <c r="M133" s="145" t="str">
        <v/>
      </c>
      <c r="N133" s="145" t="str">
        <v/>
      </c>
      <c r="O133" s="145" t="str">
        <v/>
      </c>
      <c r="P133" s="145" t="str">
        <v/>
      </c>
    </row>
    <row r="134" spans="1:16" x14ac:dyDescent="0.2">
      <c r="A134" s="58" t="str">
        <v/>
      </c>
      <c r="B134" s="123" t="str">
        <f>IFERROR(TIMEVALUE(DaqBook_RAW_Data!Q22),IFERROR(TIMEVALUE(DaqBook_RAW_Data!#REF!),""))</f>
        <v/>
      </c>
      <c r="C134" s="145" t="str">
        <v/>
      </c>
      <c r="D134" s="145" t="str">
        <v/>
      </c>
      <c r="E134" s="145" t="str">
        <v/>
      </c>
      <c r="F134" s="145" t="str">
        <v/>
      </c>
      <c r="G134" s="145" t="str">
        <v/>
      </c>
      <c r="H134" s="145" t="str">
        <v/>
      </c>
      <c r="I134" s="145" t="str">
        <v/>
      </c>
      <c r="J134" s="145" t="str">
        <v/>
      </c>
      <c r="K134" s="145" t="str">
        <v/>
      </c>
      <c r="L134" s="145" t="str">
        <v/>
      </c>
      <c r="M134" s="145" t="str">
        <v/>
      </c>
      <c r="N134" s="145" t="str">
        <v/>
      </c>
      <c r="O134" s="145" t="str">
        <v/>
      </c>
      <c r="P134" s="145" t="str">
        <v/>
      </c>
    </row>
    <row r="135" spans="1:16" x14ac:dyDescent="0.2">
      <c r="A135" s="58" t="str">
        <v/>
      </c>
      <c r="B135" s="123" t="str">
        <f>IFERROR(TIMEVALUE(DaqBook_RAW_Data!Q23),IFERROR(TIMEVALUE(DaqBook_RAW_Data!#REF!),""))</f>
        <v/>
      </c>
      <c r="C135" s="145" t="str">
        <v/>
      </c>
      <c r="D135" s="145" t="str">
        <v/>
      </c>
      <c r="E135" s="145" t="str">
        <v/>
      </c>
      <c r="F135" s="145" t="str">
        <v/>
      </c>
      <c r="G135" s="145" t="str">
        <v/>
      </c>
      <c r="H135" s="145" t="str">
        <v/>
      </c>
      <c r="I135" s="145" t="str">
        <v/>
      </c>
      <c r="J135" s="145" t="str">
        <v/>
      </c>
      <c r="K135" s="145" t="str">
        <v/>
      </c>
      <c r="L135" s="145" t="str">
        <v/>
      </c>
      <c r="M135" s="145" t="str">
        <v/>
      </c>
      <c r="N135" s="145" t="str">
        <v/>
      </c>
      <c r="O135" s="145" t="str">
        <v/>
      </c>
      <c r="P135" s="145" t="str">
        <v/>
      </c>
    </row>
    <row r="136" spans="1:16" x14ac:dyDescent="0.2">
      <c r="A136" s="58" t="str">
        <v/>
      </c>
      <c r="B136" s="123" t="str">
        <f>IFERROR(TIMEVALUE(DaqBook_RAW_Data!Q24),IFERROR(TIMEVALUE(DaqBook_RAW_Data!#REF!),""))</f>
        <v/>
      </c>
      <c r="C136" s="145" t="str">
        <v/>
      </c>
      <c r="D136" s="145" t="str">
        <v/>
      </c>
      <c r="E136" s="145" t="str">
        <v/>
      </c>
      <c r="F136" s="145" t="str">
        <v/>
      </c>
      <c r="G136" s="145" t="str">
        <v/>
      </c>
      <c r="H136" s="145" t="str">
        <v/>
      </c>
      <c r="I136" s="145" t="str">
        <v/>
      </c>
      <c r="J136" s="145" t="str">
        <v/>
      </c>
      <c r="K136" s="145" t="str">
        <v/>
      </c>
      <c r="L136" s="145" t="str">
        <v/>
      </c>
      <c r="M136" s="145" t="str">
        <v/>
      </c>
      <c r="N136" s="145" t="str">
        <v/>
      </c>
      <c r="O136" s="145" t="str">
        <v/>
      </c>
      <c r="P136" s="145" t="str">
        <v/>
      </c>
    </row>
    <row r="137" spans="1:16" x14ac:dyDescent="0.2">
      <c r="A137" s="58" t="str">
        <v/>
      </c>
      <c r="B137" s="123" t="str">
        <f>IFERROR(TIMEVALUE(DaqBook_RAW_Data!Q25),IFERROR(TIMEVALUE(DaqBook_RAW_Data!#REF!),""))</f>
        <v/>
      </c>
      <c r="C137" s="145" t="str">
        <v/>
      </c>
      <c r="D137" s="145" t="str">
        <v/>
      </c>
      <c r="E137" s="145" t="str">
        <v/>
      </c>
      <c r="F137" s="145" t="str">
        <v/>
      </c>
      <c r="G137" s="145" t="str">
        <v/>
      </c>
      <c r="H137" s="145" t="str">
        <v/>
      </c>
      <c r="I137" s="145" t="str">
        <v/>
      </c>
      <c r="J137" s="145" t="str">
        <v/>
      </c>
      <c r="K137" s="145" t="str">
        <v/>
      </c>
      <c r="L137" s="145" t="str">
        <v/>
      </c>
      <c r="M137" s="145" t="str">
        <v/>
      </c>
      <c r="N137" s="145" t="str">
        <v/>
      </c>
      <c r="O137" s="145" t="str">
        <v/>
      </c>
      <c r="P137" s="145" t="str">
        <v/>
      </c>
    </row>
    <row r="138" spans="1:16" x14ac:dyDescent="0.2">
      <c r="A138" s="58" t="str">
        <v/>
      </c>
      <c r="B138" s="123" t="str">
        <f>IFERROR(TIMEVALUE(DaqBook_RAW_Data!Q26),IFERROR(TIMEVALUE(DaqBook_RAW_Data!#REF!),""))</f>
        <v/>
      </c>
      <c r="C138" s="145" t="str">
        <v/>
      </c>
      <c r="D138" s="145" t="str">
        <v/>
      </c>
      <c r="E138" s="145" t="str">
        <v/>
      </c>
      <c r="F138" s="145" t="str">
        <v/>
      </c>
      <c r="G138" s="145" t="str">
        <v/>
      </c>
      <c r="H138" s="145" t="str">
        <v/>
      </c>
      <c r="I138" s="145" t="str">
        <v/>
      </c>
      <c r="J138" s="145" t="str">
        <v/>
      </c>
      <c r="K138" s="145" t="str">
        <v/>
      </c>
      <c r="L138" s="145" t="str">
        <v/>
      </c>
      <c r="M138" s="145" t="str">
        <v/>
      </c>
      <c r="N138" s="145" t="str">
        <v/>
      </c>
      <c r="O138" s="145" t="str">
        <v/>
      </c>
      <c r="P138" s="145" t="str">
        <v/>
      </c>
    </row>
    <row r="139" spans="1:16" x14ac:dyDescent="0.2">
      <c r="A139" s="58" t="str">
        <v/>
      </c>
      <c r="B139" s="123" t="str">
        <f>IFERROR(TIMEVALUE(DaqBook_RAW_Data!Q27),IFERROR(TIMEVALUE(DaqBook_RAW_Data!#REF!),""))</f>
        <v/>
      </c>
      <c r="C139" s="145" t="str">
        <v/>
      </c>
      <c r="D139" s="145" t="str">
        <v/>
      </c>
      <c r="E139" s="145" t="str">
        <v/>
      </c>
      <c r="F139" s="145" t="str">
        <v/>
      </c>
      <c r="G139" s="145" t="str">
        <v/>
      </c>
      <c r="H139" s="145" t="str">
        <v/>
      </c>
      <c r="I139" s="145" t="str">
        <v/>
      </c>
      <c r="J139" s="145" t="str">
        <v/>
      </c>
      <c r="K139" s="145" t="str">
        <v/>
      </c>
      <c r="L139" s="145" t="str">
        <v/>
      </c>
      <c r="M139" s="145" t="str">
        <v/>
      </c>
      <c r="N139" s="145" t="str">
        <v/>
      </c>
      <c r="O139" s="145" t="str">
        <v/>
      </c>
      <c r="P139" s="145" t="str">
        <v/>
      </c>
    </row>
    <row r="140" spans="1:16" x14ac:dyDescent="0.2">
      <c r="A140" s="58" t="str">
        <v/>
      </c>
      <c r="B140" s="123" t="str">
        <f>IFERROR(TIMEVALUE(DaqBook_RAW_Data!Q28),IFERROR(TIMEVALUE(DaqBook_RAW_Data!#REF!),""))</f>
        <v/>
      </c>
      <c r="C140" s="145" t="str">
        <v/>
      </c>
      <c r="D140" s="145" t="str">
        <v/>
      </c>
      <c r="E140" s="145" t="str">
        <v/>
      </c>
      <c r="F140" s="145" t="str">
        <v/>
      </c>
      <c r="G140" s="145" t="str">
        <v/>
      </c>
      <c r="H140" s="145" t="str">
        <v/>
      </c>
      <c r="I140" s="145" t="str">
        <v/>
      </c>
      <c r="J140" s="145" t="str">
        <v/>
      </c>
      <c r="K140" s="145" t="str">
        <v/>
      </c>
      <c r="L140" s="145" t="str">
        <v/>
      </c>
      <c r="M140" s="145" t="str">
        <v/>
      </c>
      <c r="N140" s="145" t="str">
        <v/>
      </c>
      <c r="O140" s="145" t="str">
        <v/>
      </c>
      <c r="P140" s="145" t="str">
        <v/>
      </c>
    </row>
    <row r="141" spans="1:16" x14ac:dyDescent="0.2">
      <c r="A141" s="58" t="str">
        <v/>
      </c>
      <c r="B141" s="123" t="str">
        <f>IFERROR(TIMEVALUE(DaqBook_RAW_Data!Q29),IFERROR(TIMEVALUE(DaqBook_RAW_Data!#REF!),""))</f>
        <v/>
      </c>
      <c r="C141" s="145" t="str">
        <v/>
      </c>
      <c r="D141" s="145" t="str">
        <v/>
      </c>
      <c r="E141" s="145" t="str">
        <v/>
      </c>
      <c r="F141" s="145" t="str">
        <v/>
      </c>
      <c r="G141" s="145" t="str">
        <v/>
      </c>
      <c r="H141" s="145" t="str">
        <v/>
      </c>
      <c r="I141" s="145" t="str">
        <v/>
      </c>
      <c r="J141" s="145" t="str">
        <v/>
      </c>
      <c r="K141" s="145" t="str">
        <v/>
      </c>
      <c r="L141" s="145" t="str">
        <v/>
      </c>
      <c r="M141" s="145" t="str">
        <v/>
      </c>
      <c r="N141" s="145" t="str">
        <v/>
      </c>
      <c r="O141" s="145" t="str">
        <v/>
      </c>
      <c r="P141" s="145" t="str">
        <v/>
      </c>
    </row>
    <row r="142" spans="1:16" x14ac:dyDescent="0.2">
      <c r="A142" s="58" t="str">
        <v/>
      </c>
      <c r="B142" s="123" t="str">
        <f>IFERROR(TIMEVALUE(DaqBook_RAW_Data!Q30),IFERROR(TIMEVALUE(DaqBook_RAW_Data!#REF!),""))</f>
        <v/>
      </c>
      <c r="C142" s="145" t="str">
        <v/>
      </c>
      <c r="D142" s="145" t="str">
        <v/>
      </c>
      <c r="E142" s="145" t="str">
        <v/>
      </c>
      <c r="F142" s="145" t="str">
        <v/>
      </c>
      <c r="G142" s="145" t="str">
        <v/>
      </c>
      <c r="H142" s="145" t="str">
        <v/>
      </c>
      <c r="I142" s="145" t="str">
        <v/>
      </c>
      <c r="J142" s="145" t="str">
        <v/>
      </c>
      <c r="K142" s="145" t="str">
        <v/>
      </c>
      <c r="L142" s="145" t="str">
        <v/>
      </c>
      <c r="M142" s="145" t="str">
        <v/>
      </c>
      <c r="N142" s="145" t="str">
        <v/>
      </c>
      <c r="O142" s="145" t="str">
        <v/>
      </c>
      <c r="P142" s="145" t="str">
        <v/>
      </c>
    </row>
    <row r="143" spans="1:16" x14ac:dyDescent="0.2">
      <c r="A143" s="58" t="str">
        <v/>
      </c>
      <c r="B143" s="123" t="str">
        <f>IFERROR(TIMEVALUE(DaqBook_RAW_Data!Q31),IFERROR(TIMEVALUE(DaqBook_RAW_Data!#REF!),""))</f>
        <v/>
      </c>
      <c r="C143" s="145" t="str">
        <v/>
      </c>
      <c r="D143" s="145" t="str">
        <v/>
      </c>
      <c r="E143" s="145" t="str">
        <v/>
      </c>
      <c r="F143" s="145" t="str">
        <v/>
      </c>
      <c r="G143" s="145" t="str">
        <v/>
      </c>
      <c r="H143" s="145" t="str">
        <v/>
      </c>
      <c r="I143" s="145" t="str">
        <v/>
      </c>
      <c r="J143" s="145" t="str">
        <v/>
      </c>
      <c r="K143" s="145" t="str">
        <v/>
      </c>
      <c r="L143" s="145" t="str">
        <v/>
      </c>
      <c r="M143" s="145" t="str">
        <v/>
      </c>
      <c r="N143" s="145" t="str">
        <v/>
      </c>
      <c r="O143" s="145" t="str">
        <v/>
      </c>
      <c r="P143" s="145" t="str">
        <v/>
      </c>
    </row>
    <row r="144" spans="1:16" x14ac:dyDescent="0.2">
      <c r="A144" s="58" t="str">
        <v/>
      </c>
      <c r="B144" s="123" t="str">
        <f>IFERROR(TIMEVALUE(DaqBook_RAW_Data!Q32),IFERROR(TIMEVALUE(DaqBook_RAW_Data!#REF!),""))</f>
        <v/>
      </c>
      <c r="C144" s="145" t="str">
        <v/>
      </c>
      <c r="D144" s="145" t="str">
        <v/>
      </c>
      <c r="E144" s="145" t="str">
        <v/>
      </c>
      <c r="F144" s="145" t="str">
        <v/>
      </c>
      <c r="G144" s="145" t="str">
        <v/>
      </c>
      <c r="H144" s="145" t="str">
        <v/>
      </c>
      <c r="I144" s="145" t="str">
        <v/>
      </c>
      <c r="J144" s="145" t="str">
        <v/>
      </c>
      <c r="K144" s="145" t="str">
        <v/>
      </c>
      <c r="L144" s="145" t="str">
        <v/>
      </c>
      <c r="M144" s="145" t="str">
        <v/>
      </c>
      <c r="N144" s="145" t="str">
        <v/>
      </c>
      <c r="O144" s="145" t="str">
        <v/>
      </c>
      <c r="P144" s="145" t="str">
        <v/>
      </c>
    </row>
    <row r="145" spans="1:16" x14ac:dyDescent="0.2">
      <c r="A145" s="58" t="str">
        <v/>
      </c>
      <c r="B145" s="123" t="str">
        <f>IFERROR(TIMEVALUE(DaqBook_RAW_Data!Q33),IFERROR(TIMEVALUE(DaqBook_RAW_Data!#REF!),""))</f>
        <v/>
      </c>
      <c r="C145" s="145" t="str">
        <v/>
      </c>
      <c r="D145" s="145" t="str">
        <v/>
      </c>
      <c r="E145" s="145" t="str">
        <v/>
      </c>
      <c r="F145" s="145" t="str">
        <v/>
      </c>
      <c r="G145" s="145" t="str">
        <v/>
      </c>
      <c r="H145" s="145" t="str">
        <v/>
      </c>
      <c r="I145" s="145" t="str">
        <v/>
      </c>
      <c r="J145" s="145" t="str">
        <v/>
      </c>
      <c r="K145" s="145" t="str">
        <v/>
      </c>
      <c r="L145" s="145" t="str">
        <v/>
      </c>
      <c r="M145" s="145" t="str">
        <v/>
      </c>
      <c r="N145" s="145" t="str">
        <v/>
      </c>
      <c r="O145" s="145" t="str">
        <v/>
      </c>
      <c r="P145" s="145" t="str">
        <v/>
      </c>
    </row>
    <row r="146" spans="1:16" x14ac:dyDescent="0.2">
      <c r="A146" s="58" t="str">
        <v/>
      </c>
      <c r="B146" s="123" t="str">
        <f>IFERROR(TIMEVALUE(DaqBook_RAW_Data!Q34),IFERROR(TIMEVALUE(DaqBook_RAW_Data!#REF!),""))</f>
        <v/>
      </c>
      <c r="C146" s="145" t="str">
        <v/>
      </c>
      <c r="D146" s="145" t="str">
        <v/>
      </c>
      <c r="E146" s="145" t="str">
        <v/>
      </c>
      <c r="F146" s="145" t="str">
        <v/>
      </c>
      <c r="G146" s="145" t="str">
        <v/>
      </c>
      <c r="H146" s="145" t="str">
        <v/>
      </c>
      <c r="I146" s="145" t="str">
        <v/>
      </c>
      <c r="J146" s="145" t="str">
        <v/>
      </c>
      <c r="K146" s="145" t="str">
        <v/>
      </c>
      <c r="L146" s="145" t="str">
        <v/>
      </c>
      <c r="M146" s="145" t="str">
        <v/>
      </c>
      <c r="N146" s="145" t="str">
        <v/>
      </c>
      <c r="O146" s="145" t="str">
        <v/>
      </c>
      <c r="P146" s="145" t="str">
        <v/>
      </c>
    </row>
    <row r="147" spans="1:16" x14ac:dyDescent="0.2">
      <c r="A147" s="58" t="str">
        <v/>
      </c>
      <c r="B147" s="123" t="str">
        <f>IFERROR(TIMEVALUE(DaqBook_RAW_Data!Q35),IFERROR(TIMEVALUE(DaqBook_RAW_Data!#REF!),""))</f>
        <v/>
      </c>
      <c r="C147" s="145" t="str">
        <v/>
      </c>
      <c r="D147" s="145" t="str">
        <v/>
      </c>
      <c r="E147" s="145" t="str">
        <v/>
      </c>
      <c r="F147" s="145" t="str">
        <v/>
      </c>
      <c r="G147" s="145" t="str">
        <v/>
      </c>
      <c r="H147" s="145" t="str">
        <v/>
      </c>
      <c r="I147" s="145" t="str">
        <v/>
      </c>
      <c r="J147" s="145" t="str">
        <v/>
      </c>
      <c r="K147" s="145" t="str">
        <v/>
      </c>
      <c r="L147" s="145" t="str">
        <v/>
      </c>
      <c r="M147" s="145" t="str">
        <v/>
      </c>
      <c r="N147" s="145" t="str">
        <v/>
      </c>
      <c r="O147" s="145" t="str">
        <v/>
      </c>
      <c r="P147" s="145" t="str">
        <v/>
      </c>
    </row>
    <row r="148" spans="1:16" x14ac:dyDescent="0.2">
      <c r="A148" s="58" t="str">
        <v/>
      </c>
      <c r="B148" s="123" t="str">
        <f>IFERROR(TIMEVALUE(DaqBook_RAW_Data!Q36),IFERROR(TIMEVALUE(DaqBook_RAW_Data!#REF!),""))</f>
        <v/>
      </c>
      <c r="C148" s="145" t="str">
        <v/>
      </c>
      <c r="D148" s="145" t="str">
        <v/>
      </c>
      <c r="E148" s="145" t="str">
        <v/>
      </c>
      <c r="F148" s="145" t="str">
        <v/>
      </c>
      <c r="G148" s="145" t="str">
        <v/>
      </c>
      <c r="H148" s="145" t="str">
        <v/>
      </c>
      <c r="I148" s="145" t="str">
        <v/>
      </c>
      <c r="J148" s="145" t="str">
        <v/>
      </c>
      <c r="K148" s="145" t="str">
        <v/>
      </c>
      <c r="L148" s="145" t="str">
        <v/>
      </c>
      <c r="M148" s="145" t="str">
        <v/>
      </c>
      <c r="N148" s="145" t="str">
        <v/>
      </c>
      <c r="O148" s="145" t="str">
        <v/>
      </c>
      <c r="P148" s="145" t="str">
        <v/>
      </c>
    </row>
    <row r="149" spans="1:16" x14ac:dyDescent="0.2">
      <c r="A149" s="58" t="str">
        <v/>
      </c>
      <c r="B149" s="123" t="str">
        <f>IFERROR(TIMEVALUE(DaqBook_RAW_Data!Q37),IFERROR(TIMEVALUE(DaqBook_RAW_Data!#REF!),""))</f>
        <v/>
      </c>
      <c r="C149" s="145" t="str">
        <v/>
      </c>
      <c r="D149" s="145" t="str">
        <v/>
      </c>
      <c r="E149" s="145" t="str">
        <v/>
      </c>
      <c r="F149" s="145" t="str">
        <v/>
      </c>
      <c r="G149" s="145" t="str">
        <v/>
      </c>
      <c r="H149" s="145" t="str">
        <v/>
      </c>
      <c r="I149" s="145" t="str">
        <v/>
      </c>
      <c r="J149" s="145" t="str">
        <v/>
      </c>
      <c r="K149" s="145" t="str">
        <v/>
      </c>
      <c r="L149" s="145" t="str">
        <v/>
      </c>
      <c r="M149" s="145" t="str">
        <v/>
      </c>
      <c r="N149" s="145" t="str">
        <v/>
      </c>
      <c r="O149" s="145" t="str">
        <v/>
      </c>
      <c r="P149" s="145" t="str">
        <v/>
      </c>
    </row>
    <row r="150" spans="1:16" x14ac:dyDescent="0.2">
      <c r="A150" s="58" t="str">
        <v/>
      </c>
      <c r="B150" s="123" t="str">
        <f>IFERROR(TIMEVALUE(DaqBook_RAW_Data!Q38),IFERROR(TIMEVALUE(DaqBook_RAW_Data!#REF!),""))</f>
        <v/>
      </c>
      <c r="C150" s="145" t="str">
        <v/>
      </c>
      <c r="D150" s="145" t="str">
        <v/>
      </c>
      <c r="E150" s="145" t="str">
        <v/>
      </c>
      <c r="F150" s="145" t="str">
        <v/>
      </c>
      <c r="G150" s="145" t="str">
        <v/>
      </c>
      <c r="H150" s="145" t="str">
        <v/>
      </c>
      <c r="I150" s="145" t="str">
        <v/>
      </c>
      <c r="J150" s="145" t="str">
        <v/>
      </c>
      <c r="K150" s="145" t="str">
        <v/>
      </c>
      <c r="L150" s="145" t="str">
        <v/>
      </c>
      <c r="M150" s="145" t="str">
        <v/>
      </c>
      <c r="N150" s="145" t="str">
        <v/>
      </c>
      <c r="O150" s="145" t="str">
        <v/>
      </c>
      <c r="P150" s="145" t="str">
        <v/>
      </c>
    </row>
    <row r="151" spans="1:16" x14ac:dyDescent="0.2">
      <c r="A151" s="58" t="str">
        <v/>
      </c>
      <c r="B151" s="123" t="str">
        <f>IFERROR(TIMEVALUE(DaqBook_RAW_Data!Q39),IFERROR(TIMEVALUE(DaqBook_RAW_Data!#REF!),""))</f>
        <v/>
      </c>
      <c r="C151" s="145" t="str">
        <v/>
      </c>
      <c r="D151" s="145" t="str">
        <v/>
      </c>
      <c r="E151" s="145" t="str">
        <v/>
      </c>
      <c r="F151" s="145" t="str">
        <v/>
      </c>
      <c r="G151" s="145" t="str">
        <v/>
      </c>
      <c r="H151" s="145" t="str">
        <v/>
      </c>
      <c r="I151" s="145" t="str">
        <v/>
      </c>
      <c r="J151" s="145" t="str">
        <v/>
      </c>
      <c r="K151" s="145" t="str">
        <v/>
      </c>
      <c r="L151" s="145" t="str">
        <v/>
      </c>
      <c r="M151" s="145" t="str">
        <v/>
      </c>
      <c r="N151" s="145" t="str">
        <v/>
      </c>
      <c r="O151" s="145" t="str">
        <v/>
      </c>
      <c r="P151" s="145" t="str">
        <v/>
      </c>
    </row>
    <row r="152" spans="1:16" x14ac:dyDescent="0.2">
      <c r="A152" s="58" t="str">
        <v/>
      </c>
      <c r="B152" s="123" t="str">
        <f>IFERROR(TIMEVALUE(DaqBook_RAW_Data!Q40),IFERROR(TIMEVALUE(DaqBook_RAW_Data!#REF!),""))</f>
        <v/>
      </c>
      <c r="C152" s="145" t="str">
        <v/>
      </c>
      <c r="D152" s="145" t="str">
        <v/>
      </c>
      <c r="E152" s="145" t="str">
        <v/>
      </c>
      <c r="F152" s="145" t="str">
        <v/>
      </c>
      <c r="G152" s="145" t="str">
        <v/>
      </c>
      <c r="H152" s="145" t="str">
        <v/>
      </c>
      <c r="I152" s="145" t="str">
        <v/>
      </c>
      <c r="J152" s="145" t="str">
        <v/>
      </c>
      <c r="K152" s="145" t="str">
        <v/>
      </c>
      <c r="L152" s="145" t="str">
        <v/>
      </c>
      <c r="M152" s="145" t="str">
        <v/>
      </c>
      <c r="N152" s="145" t="str">
        <v/>
      </c>
      <c r="O152" s="145" t="str">
        <v/>
      </c>
      <c r="P152" s="145" t="str">
        <v/>
      </c>
    </row>
    <row r="153" spans="1:16" x14ac:dyDescent="0.2">
      <c r="A153" s="58" t="str">
        <v/>
      </c>
      <c r="B153" s="123" t="str">
        <f>IFERROR(TIMEVALUE(DaqBook_RAW_Data!Q41),IFERROR(TIMEVALUE(DaqBook_RAW_Data!#REF!),""))</f>
        <v/>
      </c>
      <c r="C153" s="145" t="str">
        <v/>
      </c>
      <c r="D153" s="145" t="str">
        <v/>
      </c>
      <c r="E153" s="145" t="str">
        <v/>
      </c>
      <c r="F153" s="145" t="str">
        <v/>
      </c>
      <c r="G153" s="145" t="str">
        <v/>
      </c>
      <c r="H153" s="145" t="str">
        <v/>
      </c>
      <c r="I153" s="145" t="str">
        <v/>
      </c>
      <c r="J153" s="145" t="str">
        <v/>
      </c>
      <c r="K153" s="145" t="str">
        <v/>
      </c>
      <c r="L153" s="145" t="str">
        <v/>
      </c>
      <c r="M153" s="145" t="str">
        <v/>
      </c>
      <c r="N153" s="145" t="str">
        <v/>
      </c>
      <c r="O153" s="145" t="str">
        <v/>
      </c>
      <c r="P153" s="145" t="str">
        <v/>
      </c>
    </row>
    <row r="154" spans="1:16" x14ac:dyDescent="0.2">
      <c r="A154" s="58" t="str">
        <v/>
      </c>
      <c r="B154" s="123" t="str">
        <f>IFERROR(TIMEVALUE(DaqBook_RAW_Data!Q42),IFERROR(TIMEVALUE(DaqBook_RAW_Data!#REF!),""))</f>
        <v/>
      </c>
      <c r="C154" s="145" t="str">
        <v/>
      </c>
      <c r="D154" s="145" t="str">
        <v/>
      </c>
      <c r="E154" s="145" t="str">
        <v/>
      </c>
      <c r="F154" s="145" t="str">
        <v/>
      </c>
      <c r="G154" s="145" t="str">
        <v/>
      </c>
      <c r="H154" s="145" t="str">
        <v/>
      </c>
      <c r="I154" s="145" t="str">
        <v/>
      </c>
      <c r="J154" s="145" t="str">
        <v/>
      </c>
      <c r="K154" s="145" t="str">
        <v/>
      </c>
      <c r="L154" s="145" t="str">
        <v/>
      </c>
      <c r="M154" s="145" t="str">
        <v/>
      </c>
      <c r="N154" s="145" t="str">
        <v/>
      </c>
      <c r="O154" s="145" t="str">
        <v/>
      </c>
      <c r="P154" s="145" t="str">
        <v/>
      </c>
    </row>
    <row r="155" spans="1:16" x14ac:dyDescent="0.2">
      <c r="A155" s="58" t="str">
        <v/>
      </c>
      <c r="B155" s="123" t="str">
        <f>IFERROR(TIMEVALUE(DaqBook_RAW_Data!Q43),IFERROR(TIMEVALUE(DaqBook_RAW_Data!#REF!),""))</f>
        <v/>
      </c>
      <c r="C155" s="145" t="str">
        <v/>
      </c>
      <c r="D155" s="145" t="str">
        <v/>
      </c>
      <c r="E155" s="145" t="str">
        <v/>
      </c>
      <c r="F155" s="145" t="str">
        <v/>
      </c>
      <c r="G155" s="145" t="str">
        <v/>
      </c>
      <c r="H155" s="145" t="str">
        <v/>
      </c>
      <c r="I155" s="145" t="str">
        <v/>
      </c>
      <c r="J155" s="145" t="str">
        <v/>
      </c>
      <c r="K155" s="145" t="str">
        <v/>
      </c>
      <c r="L155" s="145" t="str">
        <v/>
      </c>
      <c r="M155" s="145" t="str">
        <v/>
      </c>
      <c r="N155" s="145" t="str">
        <v/>
      </c>
      <c r="O155" s="145" t="str">
        <v/>
      </c>
      <c r="P155" s="145" t="str">
        <v/>
      </c>
    </row>
    <row r="156" spans="1:16" x14ac:dyDescent="0.2">
      <c r="A156" s="58" t="str">
        <v/>
      </c>
      <c r="B156" s="123" t="str">
        <f>IFERROR(TIMEVALUE(DaqBook_RAW_Data!Q44),IFERROR(TIMEVALUE(DaqBook_RAW_Data!#REF!),""))</f>
        <v/>
      </c>
      <c r="C156" s="145" t="str">
        <v/>
      </c>
      <c r="D156" s="145" t="str">
        <v/>
      </c>
      <c r="E156" s="145" t="str">
        <v/>
      </c>
      <c r="F156" s="145" t="str">
        <v/>
      </c>
      <c r="G156" s="145" t="str">
        <v/>
      </c>
      <c r="H156" s="145" t="str">
        <v/>
      </c>
      <c r="I156" s="145" t="str">
        <v/>
      </c>
      <c r="J156" s="145" t="str">
        <v/>
      </c>
      <c r="K156" s="145" t="str">
        <v/>
      </c>
      <c r="L156" s="145" t="str">
        <v/>
      </c>
      <c r="M156" s="145" t="str">
        <v/>
      </c>
      <c r="N156" s="145" t="str">
        <v/>
      </c>
      <c r="O156" s="145" t="str">
        <v/>
      </c>
      <c r="P156" s="145" t="str">
        <v/>
      </c>
    </row>
    <row r="157" spans="1:16" x14ac:dyDescent="0.2">
      <c r="A157" s="58" t="str">
        <v/>
      </c>
      <c r="B157" s="123" t="str">
        <f>IFERROR(TIMEVALUE(DaqBook_RAW_Data!Q45),IFERROR(TIMEVALUE(DaqBook_RAW_Data!#REF!),""))</f>
        <v/>
      </c>
      <c r="C157" s="145" t="str">
        <v/>
      </c>
      <c r="D157" s="145" t="str">
        <v/>
      </c>
      <c r="E157" s="145" t="str">
        <v/>
      </c>
      <c r="F157" s="145" t="str">
        <v/>
      </c>
      <c r="G157" s="145" t="str">
        <v/>
      </c>
      <c r="H157" s="145" t="str">
        <v/>
      </c>
      <c r="I157" s="145" t="str">
        <v/>
      </c>
      <c r="J157" s="145" t="str">
        <v/>
      </c>
      <c r="K157" s="145" t="str">
        <v/>
      </c>
      <c r="L157" s="145" t="str">
        <v/>
      </c>
      <c r="M157" s="145" t="str">
        <v/>
      </c>
      <c r="N157" s="145" t="str">
        <v/>
      </c>
      <c r="O157" s="145" t="str">
        <v/>
      </c>
      <c r="P157" s="145" t="str">
        <v/>
      </c>
    </row>
    <row r="158" spans="1:16" x14ac:dyDescent="0.2">
      <c r="A158" s="58" t="str">
        <v/>
      </c>
      <c r="B158" s="123" t="str">
        <f>IFERROR(TIMEVALUE(DaqBook_RAW_Data!Q46),IFERROR(TIMEVALUE(DaqBook_RAW_Data!#REF!),""))</f>
        <v/>
      </c>
      <c r="C158" s="145" t="str">
        <v/>
      </c>
      <c r="D158" s="145" t="str">
        <v/>
      </c>
      <c r="E158" s="145" t="str">
        <v/>
      </c>
      <c r="F158" s="145" t="str">
        <v/>
      </c>
      <c r="G158" s="145" t="str">
        <v/>
      </c>
      <c r="H158" s="145" t="str">
        <v/>
      </c>
      <c r="I158" s="145" t="str">
        <v/>
      </c>
      <c r="J158" s="145" t="str">
        <v/>
      </c>
      <c r="K158" s="145" t="str">
        <v/>
      </c>
      <c r="L158" s="145" t="str">
        <v/>
      </c>
      <c r="M158" s="145" t="str">
        <v/>
      </c>
      <c r="N158" s="145" t="str">
        <v/>
      </c>
      <c r="O158" s="145" t="str">
        <v/>
      </c>
      <c r="P158" s="145" t="str">
        <v/>
      </c>
    </row>
    <row r="159" spans="1:16" x14ac:dyDescent="0.2">
      <c r="A159" s="58" t="str">
        <v/>
      </c>
      <c r="B159" s="123" t="str">
        <f>IFERROR(TIMEVALUE(DaqBook_RAW_Data!Q47),IFERROR(TIMEVALUE(DaqBook_RAW_Data!#REF!),""))</f>
        <v/>
      </c>
      <c r="C159" s="145" t="str">
        <v/>
      </c>
      <c r="D159" s="145" t="str">
        <v/>
      </c>
      <c r="E159" s="145" t="str">
        <v/>
      </c>
      <c r="F159" s="145" t="str">
        <v/>
      </c>
      <c r="G159" s="145" t="str">
        <v/>
      </c>
      <c r="H159" s="145" t="str">
        <v/>
      </c>
      <c r="I159" s="145" t="str">
        <v/>
      </c>
      <c r="J159" s="145" t="str">
        <v/>
      </c>
      <c r="K159" s="145" t="str">
        <v/>
      </c>
      <c r="L159" s="145" t="str">
        <v/>
      </c>
      <c r="M159" s="145" t="str">
        <v/>
      </c>
      <c r="N159" s="145" t="str">
        <v/>
      </c>
      <c r="O159" s="145" t="str">
        <v/>
      </c>
      <c r="P159" s="145" t="str">
        <v/>
      </c>
    </row>
    <row r="160" spans="1:16" x14ac:dyDescent="0.2">
      <c r="A160" s="58" t="str">
        <v/>
      </c>
      <c r="B160" s="123" t="str">
        <f>IFERROR(TIMEVALUE(DaqBook_RAW_Data!Q48),IFERROR(TIMEVALUE(DaqBook_RAW_Data!#REF!),""))</f>
        <v/>
      </c>
      <c r="C160" s="145" t="str">
        <v/>
      </c>
      <c r="D160" s="145" t="str">
        <v/>
      </c>
      <c r="E160" s="145" t="str">
        <v/>
      </c>
      <c r="F160" s="145" t="str">
        <v/>
      </c>
      <c r="G160" s="145" t="str">
        <v/>
      </c>
      <c r="H160" s="145" t="str">
        <v/>
      </c>
      <c r="I160" s="145" t="str">
        <v/>
      </c>
      <c r="J160" s="145" t="str">
        <v/>
      </c>
      <c r="K160" s="145" t="str">
        <v/>
      </c>
      <c r="L160" s="145" t="str">
        <v/>
      </c>
      <c r="M160" s="145" t="str">
        <v/>
      </c>
      <c r="N160" s="145" t="str">
        <v/>
      </c>
      <c r="O160" s="145" t="str">
        <v/>
      </c>
      <c r="P160" s="145" t="str">
        <v/>
      </c>
    </row>
    <row r="161" spans="1:16" x14ac:dyDescent="0.2">
      <c r="A161" s="58" t="str">
        <v/>
      </c>
      <c r="B161" s="123" t="str">
        <f>IFERROR(TIMEVALUE(DaqBook_RAW_Data!Q49),IFERROR(TIMEVALUE(DaqBook_RAW_Data!#REF!),""))</f>
        <v/>
      </c>
      <c r="C161" s="145" t="str">
        <v/>
      </c>
      <c r="D161" s="145" t="str">
        <v/>
      </c>
      <c r="E161" s="145" t="str">
        <v/>
      </c>
      <c r="F161" s="145" t="str">
        <v/>
      </c>
      <c r="G161" s="145" t="str">
        <v/>
      </c>
      <c r="H161" s="145" t="str">
        <v/>
      </c>
      <c r="I161" s="145" t="str">
        <v/>
      </c>
      <c r="J161" s="145" t="str">
        <v/>
      </c>
      <c r="K161" s="145" t="str">
        <v/>
      </c>
      <c r="L161" s="145" t="str">
        <v/>
      </c>
      <c r="M161" s="145" t="str">
        <v/>
      </c>
      <c r="N161" s="145" t="str">
        <v/>
      </c>
      <c r="O161" s="145" t="str">
        <v/>
      </c>
      <c r="P161" s="145" t="str">
        <v/>
      </c>
    </row>
    <row r="162" spans="1:16" x14ac:dyDescent="0.2">
      <c r="A162" s="58" t="str">
        <v/>
      </c>
      <c r="B162" s="123" t="str">
        <f>IFERROR(TIMEVALUE(DaqBook_RAW_Data!Q50),IFERROR(TIMEVALUE(DaqBook_RAW_Data!#REF!),""))</f>
        <v/>
      </c>
      <c r="C162" s="145" t="str">
        <v/>
      </c>
      <c r="D162" s="145" t="str">
        <v/>
      </c>
      <c r="E162" s="145" t="str">
        <v/>
      </c>
      <c r="F162" s="145" t="str">
        <v/>
      </c>
      <c r="G162" s="145" t="str">
        <v/>
      </c>
      <c r="H162" s="145" t="str">
        <v/>
      </c>
      <c r="I162" s="145" t="str">
        <v/>
      </c>
      <c r="J162" s="145" t="str">
        <v/>
      </c>
      <c r="K162" s="145" t="str">
        <v/>
      </c>
      <c r="L162" s="145" t="str">
        <v/>
      </c>
      <c r="M162" s="145" t="str">
        <v/>
      </c>
      <c r="N162" s="145" t="str">
        <v/>
      </c>
      <c r="O162" s="145" t="str">
        <v/>
      </c>
      <c r="P162" s="145" t="str">
        <v/>
      </c>
    </row>
    <row r="163" spans="1:16" x14ac:dyDescent="0.2">
      <c r="A163" s="58" t="str">
        <v/>
      </c>
      <c r="B163" s="123" t="str">
        <f>IFERROR(TIMEVALUE(DaqBook_RAW_Data!Q51),IFERROR(TIMEVALUE(DaqBook_RAW_Data!#REF!),""))</f>
        <v/>
      </c>
      <c r="C163" s="145" t="str">
        <v/>
      </c>
      <c r="D163" s="145" t="str">
        <v/>
      </c>
      <c r="E163" s="145" t="str">
        <v/>
      </c>
      <c r="F163" s="145" t="str">
        <v/>
      </c>
      <c r="G163" s="145" t="str">
        <v/>
      </c>
      <c r="H163" s="145" t="str">
        <v/>
      </c>
      <c r="I163" s="145" t="str">
        <v/>
      </c>
      <c r="J163" s="145" t="str">
        <v/>
      </c>
      <c r="K163" s="145" t="str">
        <v/>
      </c>
      <c r="L163" s="145" t="str">
        <v/>
      </c>
      <c r="M163" s="145" t="str">
        <v/>
      </c>
      <c r="N163" s="145" t="str">
        <v/>
      </c>
      <c r="O163" s="145" t="str">
        <v/>
      </c>
      <c r="P163" s="145" t="str">
        <v/>
      </c>
    </row>
    <row r="164" spans="1:16" x14ac:dyDescent="0.2">
      <c r="A164" s="58" t="str">
        <v/>
      </c>
      <c r="B164" s="123" t="str">
        <f>IFERROR(TIMEVALUE(DaqBook_RAW_Data!Q52),IFERROR(TIMEVALUE(DaqBook_RAW_Data!#REF!),""))</f>
        <v/>
      </c>
      <c r="C164" s="145" t="str">
        <v/>
      </c>
      <c r="D164" s="145" t="str">
        <v/>
      </c>
      <c r="E164" s="145" t="str">
        <v/>
      </c>
      <c r="F164" s="145" t="str">
        <v/>
      </c>
      <c r="G164" s="145" t="str">
        <v/>
      </c>
      <c r="H164" s="145" t="str">
        <v/>
      </c>
      <c r="I164" s="145" t="str">
        <v/>
      </c>
      <c r="J164" s="145" t="str">
        <v/>
      </c>
      <c r="K164" s="145" t="str">
        <v/>
      </c>
      <c r="L164" s="145" t="str">
        <v/>
      </c>
      <c r="M164" s="145" t="str">
        <v/>
      </c>
      <c r="N164" s="145" t="str">
        <v/>
      </c>
      <c r="O164" s="145" t="str">
        <v/>
      </c>
      <c r="P164" s="145" t="str">
        <v/>
      </c>
    </row>
    <row r="165" spans="1:16" x14ac:dyDescent="0.2">
      <c r="A165" s="58" t="str">
        <v/>
      </c>
      <c r="B165" s="123" t="str">
        <f>IFERROR(TIMEVALUE(DaqBook_RAW_Data!Q53),IFERROR(TIMEVALUE(DaqBook_RAW_Data!#REF!),""))</f>
        <v/>
      </c>
      <c r="C165" s="145" t="str">
        <v/>
      </c>
      <c r="D165" s="145" t="str">
        <v/>
      </c>
      <c r="E165" s="145" t="str">
        <v/>
      </c>
      <c r="F165" s="145" t="str">
        <v/>
      </c>
      <c r="G165" s="145" t="str">
        <v/>
      </c>
      <c r="H165" s="145" t="str">
        <v/>
      </c>
      <c r="I165" s="145" t="str">
        <v/>
      </c>
      <c r="J165" s="145" t="str">
        <v/>
      </c>
      <c r="K165" s="145" t="str">
        <v/>
      </c>
      <c r="L165" s="145" t="str">
        <v/>
      </c>
      <c r="M165" s="145" t="str">
        <v/>
      </c>
      <c r="N165" s="145" t="str">
        <v/>
      </c>
      <c r="O165" s="145" t="str">
        <v/>
      </c>
      <c r="P165" s="145" t="str">
        <v/>
      </c>
    </row>
    <row r="166" spans="1:16" x14ac:dyDescent="0.2">
      <c r="A166" s="58" t="str">
        <v/>
      </c>
      <c r="B166" s="123" t="str">
        <f>IFERROR(TIMEVALUE(DaqBook_RAW_Data!Q54),IFERROR(TIMEVALUE(DaqBook_RAW_Data!#REF!),""))</f>
        <v/>
      </c>
      <c r="C166" s="145" t="str">
        <v/>
      </c>
      <c r="D166" s="145" t="str">
        <v/>
      </c>
      <c r="E166" s="145" t="str">
        <v/>
      </c>
      <c r="F166" s="145" t="str">
        <v/>
      </c>
      <c r="G166" s="145" t="str">
        <v/>
      </c>
      <c r="H166" s="145" t="str">
        <v/>
      </c>
      <c r="I166" s="145" t="str">
        <v/>
      </c>
      <c r="J166" s="145" t="str">
        <v/>
      </c>
      <c r="K166" s="145" t="str">
        <v/>
      </c>
      <c r="L166" s="145" t="str">
        <v/>
      </c>
      <c r="M166" s="145" t="str">
        <v/>
      </c>
      <c r="N166" s="145" t="str">
        <v/>
      </c>
      <c r="O166" s="145" t="str">
        <v/>
      </c>
      <c r="P166" s="145" t="str">
        <v/>
      </c>
    </row>
    <row r="167" spans="1:16" x14ac:dyDescent="0.2">
      <c r="A167" s="58" t="str">
        <v/>
      </c>
      <c r="B167" s="123" t="str">
        <f>IFERROR(TIMEVALUE(DaqBook_RAW_Data!Q55),IFERROR(TIMEVALUE(DaqBook_RAW_Data!#REF!),""))</f>
        <v/>
      </c>
      <c r="C167" s="145" t="str">
        <v/>
      </c>
      <c r="D167" s="145" t="str">
        <v/>
      </c>
      <c r="E167" s="145" t="str">
        <v/>
      </c>
      <c r="F167" s="145" t="str">
        <v/>
      </c>
      <c r="G167" s="145" t="str">
        <v/>
      </c>
      <c r="H167" s="145" t="str">
        <v/>
      </c>
      <c r="I167" s="145" t="str">
        <v/>
      </c>
      <c r="J167" s="145" t="str">
        <v/>
      </c>
      <c r="K167" s="145" t="str">
        <v/>
      </c>
      <c r="L167" s="145" t="str">
        <v/>
      </c>
      <c r="M167" s="145" t="str">
        <v/>
      </c>
      <c r="N167" s="145" t="str">
        <v/>
      </c>
      <c r="O167" s="145" t="str">
        <v/>
      </c>
      <c r="P167" s="145" t="str">
        <v/>
      </c>
    </row>
    <row r="168" spans="1:16" x14ac:dyDescent="0.2">
      <c r="A168" s="58" t="str">
        <v/>
      </c>
      <c r="B168" s="123" t="str">
        <f>IFERROR(TIMEVALUE(DaqBook_RAW_Data!Q56),IFERROR(TIMEVALUE(DaqBook_RAW_Data!#REF!),""))</f>
        <v/>
      </c>
      <c r="C168" s="145" t="str">
        <v/>
      </c>
      <c r="D168" s="145" t="str">
        <v/>
      </c>
      <c r="E168" s="145" t="str">
        <v/>
      </c>
      <c r="F168" s="145" t="str">
        <v/>
      </c>
      <c r="G168" s="145" t="str">
        <v/>
      </c>
      <c r="H168" s="145" t="str">
        <v/>
      </c>
      <c r="I168" s="145" t="str">
        <v/>
      </c>
      <c r="J168" s="145" t="str">
        <v/>
      </c>
      <c r="K168" s="145" t="str">
        <v/>
      </c>
      <c r="L168" s="145" t="str">
        <v/>
      </c>
      <c r="M168" s="145" t="str">
        <v/>
      </c>
      <c r="N168" s="145" t="str">
        <v/>
      </c>
      <c r="O168" s="145" t="str">
        <v/>
      </c>
      <c r="P168" s="145" t="str">
        <v/>
      </c>
    </row>
    <row r="169" spans="1:16" x14ac:dyDescent="0.2">
      <c r="A169" s="58" t="str">
        <v/>
      </c>
      <c r="B169" s="123" t="str">
        <f>IFERROR(TIMEVALUE(DaqBook_RAW_Data!Q57),IFERROR(TIMEVALUE(DaqBook_RAW_Data!#REF!),""))</f>
        <v/>
      </c>
      <c r="C169" s="145" t="str">
        <v/>
      </c>
      <c r="D169" s="145" t="str">
        <v/>
      </c>
      <c r="E169" s="145" t="str">
        <v/>
      </c>
      <c r="F169" s="145" t="str">
        <v/>
      </c>
      <c r="G169" s="145" t="str">
        <v/>
      </c>
      <c r="H169" s="145" t="str">
        <v/>
      </c>
      <c r="I169" s="145" t="str">
        <v/>
      </c>
      <c r="J169" s="145" t="str">
        <v/>
      </c>
      <c r="K169" s="145" t="str">
        <v/>
      </c>
      <c r="L169" s="145" t="str">
        <v/>
      </c>
      <c r="M169" s="145" t="str">
        <v/>
      </c>
      <c r="N169" s="145" t="str">
        <v/>
      </c>
      <c r="O169" s="145" t="str">
        <v/>
      </c>
      <c r="P169" s="145" t="str">
        <v/>
      </c>
    </row>
    <row r="170" spans="1:16" x14ac:dyDescent="0.2">
      <c r="A170" s="58" t="str">
        <v/>
      </c>
      <c r="B170" s="123" t="str">
        <f>IFERROR(TIMEVALUE(DaqBook_RAW_Data!Q58),IFERROR(TIMEVALUE(DaqBook_RAW_Data!#REF!),""))</f>
        <v/>
      </c>
      <c r="C170" s="145" t="str">
        <v/>
      </c>
      <c r="D170" s="145" t="str">
        <v/>
      </c>
      <c r="E170" s="145" t="str">
        <v/>
      </c>
      <c r="F170" s="145" t="str">
        <v/>
      </c>
      <c r="G170" s="145" t="str">
        <v/>
      </c>
      <c r="H170" s="145" t="str">
        <v/>
      </c>
      <c r="I170" s="145" t="str">
        <v/>
      </c>
      <c r="J170" s="145" t="str">
        <v/>
      </c>
      <c r="K170" s="145" t="str">
        <v/>
      </c>
      <c r="L170" s="145" t="str">
        <v/>
      </c>
      <c r="M170" s="145" t="str">
        <v/>
      </c>
      <c r="N170" s="145" t="str">
        <v/>
      </c>
      <c r="O170" s="145" t="str">
        <v/>
      </c>
      <c r="P170" s="145" t="str">
        <v/>
      </c>
    </row>
    <row r="171" spans="1:16" x14ac:dyDescent="0.2">
      <c r="A171" s="58" t="str">
        <v/>
      </c>
      <c r="B171" s="123" t="str">
        <f>IFERROR(TIMEVALUE(DaqBook_RAW_Data!Q59),IFERROR(TIMEVALUE(DaqBook_RAW_Data!#REF!),""))</f>
        <v/>
      </c>
      <c r="C171" s="145" t="str">
        <v/>
      </c>
      <c r="D171" s="145" t="str">
        <v/>
      </c>
      <c r="E171" s="145" t="str">
        <v/>
      </c>
      <c r="F171" s="145" t="str">
        <v/>
      </c>
      <c r="G171" s="145" t="str">
        <v/>
      </c>
      <c r="H171" s="145" t="str">
        <v/>
      </c>
      <c r="I171" s="145" t="str">
        <v/>
      </c>
      <c r="J171" s="145" t="str">
        <v/>
      </c>
      <c r="K171" s="145" t="str">
        <v/>
      </c>
      <c r="L171" s="145" t="str">
        <v/>
      </c>
      <c r="M171" s="145" t="str">
        <v/>
      </c>
      <c r="N171" s="145" t="str">
        <v/>
      </c>
      <c r="O171" s="145" t="str">
        <v/>
      </c>
      <c r="P171" s="145" t="str">
        <v/>
      </c>
    </row>
    <row r="172" spans="1:16" x14ac:dyDescent="0.2">
      <c r="A172" s="58" t="str">
        <v/>
      </c>
      <c r="B172" s="123" t="str">
        <f>IFERROR(TIMEVALUE(DaqBook_RAW_Data!Q60),IFERROR(TIMEVALUE(DaqBook_RAW_Data!#REF!),""))</f>
        <v/>
      </c>
      <c r="C172" s="145" t="str">
        <v/>
      </c>
      <c r="D172" s="145" t="str">
        <v/>
      </c>
      <c r="E172" s="145" t="str">
        <v/>
      </c>
      <c r="F172" s="145" t="str">
        <v/>
      </c>
      <c r="G172" s="145" t="str">
        <v/>
      </c>
      <c r="H172" s="145" t="str">
        <v/>
      </c>
      <c r="I172" s="145" t="str">
        <v/>
      </c>
      <c r="J172" s="145" t="str">
        <v/>
      </c>
      <c r="K172" s="145" t="str">
        <v/>
      </c>
      <c r="L172" s="145" t="str">
        <v/>
      </c>
      <c r="M172" s="145" t="str">
        <v/>
      </c>
      <c r="N172" s="145" t="str">
        <v/>
      </c>
      <c r="O172" s="145" t="str">
        <v/>
      </c>
      <c r="P172" s="145" t="str">
        <v/>
      </c>
    </row>
    <row r="173" spans="1:16" x14ac:dyDescent="0.2">
      <c r="A173" s="58" t="str">
        <v/>
      </c>
      <c r="B173" s="123" t="str">
        <f>IFERROR(TIMEVALUE(DaqBook_RAW_Data!Q61),IFERROR(TIMEVALUE(DaqBook_RAW_Data!#REF!),""))</f>
        <v/>
      </c>
      <c r="C173" s="145" t="str">
        <v/>
      </c>
      <c r="D173" s="145" t="str">
        <v/>
      </c>
      <c r="E173" s="145" t="str">
        <v/>
      </c>
      <c r="F173" s="145" t="str">
        <v/>
      </c>
      <c r="G173" s="145" t="str">
        <v/>
      </c>
      <c r="H173" s="145" t="str">
        <v/>
      </c>
      <c r="I173" s="145" t="str">
        <v/>
      </c>
      <c r="J173" s="145" t="str">
        <v/>
      </c>
      <c r="K173" s="145" t="str">
        <v/>
      </c>
      <c r="L173" s="145" t="str">
        <v/>
      </c>
      <c r="M173" s="145" t="str">
        <v/>
      </c>
      <c r="N173" s="145" t="str">
        <v/>
      </c>
      <c r="O173" s="145" t="str">
        <v/>
      </c>
      <c r="P173" s="145" t="str">
        <v/>
      </c>
    </row>
    <row r="174" spans="1:16" x14ac:dyDescent="0.2">
      <c r="A174" s="58" t="str">
        <v/>
      </c>
      <c r="B174" s="123" t="str">
        <f>IFERROR(TIMEVALUE(DaqBook_RAW_Data!Q62),IFERROR(TIMEVALUE(DaqBook_RAW_Data!#REF!),""))</f>
        <v/>
      </c>
      <c r="C174" s="145" t="str">
        <v/>
      </c>
      <c r="D174" s="145" t="str">
        <v/>
      </c>
      <c r="E174" s="145" t="str">
        <v/>
      </c>
      <c r="F174" s="145" t="str">
        <v/>
      </c>
      <c r="G174" s="145" t="str">
        <v/>
      </c>
      <c r="H174" s="145" t="str">
        <v/>
      </c>
      <c r="I174" s="145" t="str">
        <v/>
      </c>
      <c r="J174" s="145" t="str">
        <v/>
      </c>
      <c r="K174" s="145" t="str">
        <v/>
      </c>
      <c r="L174" s="145" t="str">
        <v/>
      </c>
      <c r="M174" s="145" t="str">
        <v/>
      </c>
      <c r="N174" s="145" t="str">
        <v/>
      </c>
      <c r="O174" s="145" t="str">
        <v/>
      </c>
      <c r="P174" s="145" t="str">
        <v/>
      </c>
    </row>
    <row r="175" spans="1:16" x14ac:dyDescent="0.2">
      <c r="A175" s="58" t="str">
        <v/>
      </c>
      <c r="B175" s="123" t="str">
        <f>IFERROR(TIMEVALUE(DaqBook_RAW_Data!Q63),IFERROR(TIMEVALUE(DaqBook_RAW_Data!#REF!),""))</f>
        <v/>
      </c>
      <c r="C175" s="145" t="str">
        <v/>
      </c>
      <c r="D175" s="145" t="str">
        <v/>
      </c>
      <c r="E175" s="145" t="str">
        <v/>
      </c>
      <c r="F175" s="145" t="str">
        <v/>
      </c>
      <c r="G175" s="145" t="str">
        <v/>
      </c>
      <c r="H175" s="145" t="str">
        <v/>
      </c>
      <c r="I175" s="145" t="str">
        <v/>
      </c>
      <c r="J175" s="145" t="str">
        <v/>
      </c>
      <c r="K175" s="145" t="str">
        <v/>
      </c>
      <c r="L175" s="145" t="str">
        <v/>
      </c>
      <c r="M175" s="145" t="str">
        <v/>
      </c>
      <c r="N175" s="145" t="str">
        <v/>
      </c>
      <c r="O175" s="145" t="str">
        <v/>
      </c>
      <c r="P175" s="145" t="str">
        <v/>
      </c>
    </row>
    <row r="176" spans="1:16" x14ac:dyDescent="0.2">
      <c r="A176" s="58" t="str">
        <v/>
      </c>
      <c r="B176" s="123" t="str">
        <f>IFERROR(TIMEVALUE(DaqBook_RAW_Data!Q64),IFERROR(TIMEVALUE(DaqBook_RAW_Data!#REF!),""))</f>
        <v/>
      </c>
      <c r="C176" s="145" t="str">
        <v/>
      </c>
      <c r="D176" s="145" t="str">
        <v/>
      </c>
      <c r="E176" s="145" t="str">
        <v/>
      </c>
      <c r="F176" s="145" t="str">
        <v/>
      </c>
      <c r="G176" s="145" t="str">
        <v/>
      </c>
      <c r="H176" s="145" t="str">
        <v/>
      </c>
      <c r="I176" s="145" t="str">
        <v/>
      </c>
      <c r="J176" s="145" t="str">
        <v/>
      </c>
      <c r="K176" s="145" t="str">
        <v/>
      </c>
      <c r="L176" s="145" t="str">
        <v/>
      </c>
      <c r="M176" s="145" t="str">
        <v/>
      </c>
      <c r="N176" s="145" t="str">
        <v/>
      </c>
      <c r="O176" s="145" t="str">
        <v/>
      </c>
      <c r="P176" s="145" t="str">
        <v/>
      </c>
    </row>
    <row r="177" spans="1:16" x14ac:dyDescent="0.2">
      <c r="A177" s="58" t="str">
        <v/>
      </c>
      <c r="B177" s="123" t="str">
        <f>IFERROR(TIMEVALUE(DaqBook_RAW_Data!Q65),IFERROR(TIMEVALUE(DaqBook_RAW_Data!#REF!),""))</f>
        <v/>
      </c>
      <c r="C177" s="145" t="str">
        <v/>
      </c>
      <c r="D177" s="145" t="str">
        <v/>
      </c>
      <c r="E177" s="145" t="str">
        <v/>
      </c>
      <c r="F177" s="145" t="str">
        <v/>
      </c>
      <c r="G177" s="145" t="str">
        <v/>
      </c>
      <c r="H177" s="145" t="str">
        <v/>
      </c>
      <c r="I177" s="145" t="str">
        <v/>
      </c>
      <c r="J177" s="145" t="str">
        <v/>
      </c>
      <c r="K177" s="145" t="str">
        <v/>
      </c>
      <c r="L177" s="145" t="str">
        <v/>
      </c>
      <c r="M177" s="145" t="str">
        <v/>
      </c>
      <c r="N177" s="145" t="str">
        <v/>
      </c>
      <c r="O177" s="145" t="str">
        <v/>
      </c>
      <c r="P177" s="145" t="str">
        <v/>
      </c>
    </row>
    <row r="178" spans="1:16" x14ac:dyDescent="0.2">
      <c r="A178" s="58" t="str">
        <v/>
      </c>
      <c r="B178" s="123" t="str">
        <f>IFERROR(TIMEVALUE(DaqBook_RAW_Data!Q66),IFERROR(TIMEVALUE(DaqBook_RAW_Data!#REF!),""))</f>
        <v/>
      </c>
      <c r="C178" s="145" t="str">
        <v/>
      </c>
      <c r="D178" s="145" t="str">
        <v/>
      </c>
      <c r="E178" s="145" t="str">
        <v/>
      </c>
      <c r="F178" s="145" t="str">
        <v/>
      </c>
      <c r="G178" s="145" t="str">
        <v/>
      </c>
      <c r="H178" s="145" t="str">
        <v/>
      </c>
      <c r="I178" s="145" t="str">
        <v/>
      </c>
      <c r="J178" s="145" t="str">
        <v/>
      </c>
      <c r="K178" s="145" t="str">
        <v/>
      </c>
      <c r="L178" s="145" t="str">
        <v/>
      </c>
      <c r="M178" s="145" t="str">
        <v/>
      </c>
      <c r="N178" s="145" t="str">
        <v/>
      </c>
      <c r="O178" s="145" t="str">
        <v/>
      </c>
      <c r="P178" s="145" t="str">
        <v/>
      </c>
    </row>
    <row r="179" spans="1:16" x14ac:dyDescent="0.2">
      <c r="A179" s="58" t="str">
        <v/>
      </c>
      <c r="B179" s="123" t="str">
        <f>IFERROR(TIMEVALUE(DaqBook_RAW_Data!Q67),IFERROR(TIMEVALUE(DaqBook_RAW_Data!#REF!),""))</f>
        <v/>
      </c>
      <c r="C179" s="145" t="str">
        <v/>
      </c>
      <c r="D179" s="145" t="str">
        <v/>
      </c>
      <c r="E179" s="145" t="str">
        <v/>
      </c>
      <c r="F179" s="145" t="str">
        <v/>
      </c>
      <c r="G179" s="145" t="str">
        <v/>
      </c>
      <c r="H179" s="145" t="str">
        <v/>
      </c>
      <c r="I179" s="145" t="str">
        <v/>
      </c>
      <c r="J179" s="145" t="str">
        <v/>
      </c>
      <c r="K179" s="145" t="str">
        <v/>
      </c>
      <c r="L179" s="145" t="str">
        <v/>
      </c>
      <c r="M179" s="145" t="str">
        <v/>
      </c>
      <c r="N179" s="145" t="str">
        <v/>
      </c>
      <c r="O179" s="145" t="str">
        <v/>
      </c>
      <c r="P179" s="145" t="str">
        <v/>
      </c>
    </row>
    <row r="180" spans="1:16" x14ac:dyDescent="0.2">
      <c r="A180" s="58" t="str">
        <v/>
      </c>
      <c r="B180" s="123" t="str">
        <f>IFERROR(TIMEVALUE(DaqBook_RAW_Data!Q68),IFERROR(TIMEVALUE(DaqBook_RAW_Data!#REF!),""))</f>
        <v/>
      </c>
      <c r="C180" s="145" t="str">
        <v/>
      </c>
      <c r="D180" s="145" t="str">
        <v/>
      </c>
      <c r="E180" s="145" t="str">
        <v/>
      </c>
      <c r="F180" s="145" t="str">
        <v/>
      </c>
      <c r="G180" s="145" t="str">
        <v/>
      </c>
      <c r="H180" s="145" t="str">
        <v/>
      </c>
      <c r="I180" s="145" t="str">
        <v/>
      </c>
      <c r="J180" s="145" t="str">
        <v/>
      </c>
      <c r="K180" s="145" t="str">
        <v/>
      </c>
      <c r="L180" s="145" t="str">
        <v/>
      </c>
      <c r="M180" s="145" t="str">
        <v/>
      </c>
      <c r="N180" s="145" t="str">
        <v/>
      </c>
      <c r="O180" s="145" t="str">
        <v/>
      </c>
      <c r="P180" s="145" t="str">
        <v/>
      </c>
    </row>
    <row r="181" spans="1:16" x14ac:dyDescent="0.2">
      <c r="A181" s="58" t="str">
        <v/>
      </c>
      <c r="B181" s="123" t="str">
        <f>IFERROR(TIMEVALUE(DaqBook_RAW_Data!Q69),IFERROR(TIMEVALUE(DaqBook_RAW_Data!#REF!),""))</f>
        <v/>
      </c>
      <c r="C181" s="145" t="str">
        <v/>
      </c>
      <c r="D181" s="145" t="str">
        <v/>
      </c>
      <c r="E181" s="145" t="str">
        <v/>
      </c>
      <c r="F181" s="145" t="str">
        <v/>
      </c>
      <c r="G181" s="145" t="str">
        <v/>
      </c>
      <c r="H181" s="145" t="str">
        <v/>
      </c>
      <c r="I181" s="145" t="str">
        <v/>
      </c>
      <c r="J181" s="145" t="str">
        <v/>
      </c>
      <c r="K181" s="145" t="str">
        <v/>
      </c>
      <c r="L181" s="145" t="str">
        <v/>
      </c>
      <c r="M181" s="145" t="str">
        <v/>
      </c>
      <c r="N181" s="145" t="str">
        <v/>
      </c>
      <c r="O181" s="145" t="str">
        <v/>
      </c>
      <c r="P181" s="145" t="str">
        <v/>
      </c>
    </row>
    <row r="182" spans="1:16" x14ac:dyDescent="0.2">
      <c r="A182" s="58" t="str">
        <v/>
      </c>
      <c r="B182" s="123" t="str">
        <f>IFERROR(TIMEVALUE(DaqBook_RAW_Data!Q70),IFERROR(TIMEVALUE(DaqBook_RAW_Data!#REF!),""))</f>
        <v/>
      </c>
      <c r="C182" s="145" t="str">
        <v/>
      </c>
      <c r="D182" s="145" t="str">
        <v/>
      </c>
      <c r="E182" s="145" t="str">
        <v/>
      </c>
      <c r="F182" s="145" t="str">
        <v/>
      </c>
      <c r="G182" s="145" t="str">
        <v/>
      </c>
      <c r="H182" s="145" t="str">
        <v/>
      </c>
      <c r="I182" s="145" t="str">
        <v/>
      </c>
      <c r="J182" s="145" t="str">
        <v/>
      </c>
      <c r="K182" s="145" t="str">
        <v/>
      </c>
      <c r="L182" s="145" t="str">
        <v/>
      </c>
      <c r="M182" s="145" t="str">
        <v/>
      </c>
      <c r="N182" s="145" t="str">
        <v/>
      </c>
      <c r="O182" s="145" t="str">
        <v/>
      </c>
      <c r="P182" s="145" t="str">
        <v/>
      </c>
    </row>
    <row r="183" spans="1:16" x14ac:dyDescent="0.2">
      <c r="A183" s="58" t="str">
        <v/>
      </c>
      <c r="B183" s="123" t="str">
        <f>IFERROR(TIMEVALUE(DaqBook_RAW_Data!Q71),IFERROR(TIMEVALUE(DaqBook_RAW_Data!#REF!),""))</f>
        <v/>
      </c>
      <c r="C183" s="145" t="str">
        <v/>
      </c>
      <c r="D183" s="145" t="str">
        <v/>
      </c>
      <c r="E183" s="145" t="str">
        <v/>
      </c>
      <c r="F183" s="145" t="str">
        <v/>
      </c>
      <c r="G183" s="145" t="str">
        <v/>
      </c>
      <c r="H183" s="145" t="str">
        <v/>
      </c>
      <c r="I183" s="145" t="str">
        <v/>
      </c>
      <c r="J183" s="145" t="str">
        <v/>
      </c>
      <c r="K183" s="145" t="str">
        <v/>
      </c>
      <c r="L183" s="145" t="str">
        <v/>
      </c>
      <c r="M183" s="145" t="str">
        <v/>
      </c>
      <c r="N183" s="145" t="str">
        <v/>
      </c>
      <c r="O183" s="145" t="str">
        <v/>
      </c>
      <c r="P183" s="145" t="str">
        <v/>
      </c>
    </row>
    <row r="184" spans="1:16" x14ac:dyDescent="0.2">
      <c r="A184" s="58" t="str">
        <v/>
      </c>
      <c r="B184" s="123" t="str">
        <f>IFERROR(TIMEVALUE(DaqBook_RAW_Data!Q72),IFERROR(TIMEVALUE(DaqBook_RAW_Data!#REF!),""))</f>
        <v/>
      </c>
      <c r="C184" s="145" t="str">
        <v/>
      </c>
      <c r="D184" s="145" t="str">
        <v/>
      </c>
      <c r="E184" s="145" t="str">
        <v/>
      </c>
      <c r="F184" s="145" t="str">
        <v/>
      </c>
      <c r="G184" s="145" t="str">
        <v/>
      </c>
      <c r="H184" s="145" t="str">
        <v/>
      </c>
      <c r="I184" s="145" t="str">
        <v/>
      </c>
      <c r="J184" s="145" t="str">
        <v/>
      </c>
      <c r="K184" s="145" t="str">
        <v/>
      </c>
      <c r="L184" s="145" t="str">
        <v/>
      </c>
      <c r="M184" s="145" t="str">
        <v/>
      </c>
      <c r="N184" s="145" t="str">
        <v/>
      </c>
      <c r="O184" s="145" t="str">
        <v/>
      </c>
      <c r="P184" s="145" t="str">
        <v/>
      </c>
    </row>
    <row r="185" spans="1:16" x14ac:dyDescent="0.2">
      <c r="A185" s="58" t="str">
        <v/>
      </c>
      <c r="B185" s="123" t="str">
        <f>IFERROR(TIMEVALUE(DaqBook_RAW_Data!Q73),IFERROR(TIMEVALUE(DaqBook_RAW_Data!#REF!),""))</f>
        <v/>
      </c>
      <c r="C185" s="145" t="str">
        <v/>
      </c>
      <c r="D185" s="145" t="str">
        <v/>
      </c>
      <c r="E185" s="145" t="str">
        <v/>
      </c>
      <c r="F185" s="145" t="str">
        <v/>
      </c>
      <c r="G185" s="145" t="str">
        <v/>
      </c>
      <c r="H185" s="145" t="str">
        <v/>
      </c>
      <c r="I185" s="145" t="str">
        <v/>
      </c>
      <c r="J185" s="145" t="str">
        <v/>
      </c>
      <c r="K185" s="145" t="str">
        <v/>
      </c>
      <c r="L185" s="145" t="str">
        <v/>
      </c>
      <c r="M185" s="145" t="str">
        <v/>
      </c>
      <c r="N185" s="145" t="str">
        <v/>
      </c>
      <c r="O185" s="145" t="str">
        <v/>
      </c>
      <c r="P185" s="145" t="str">
        <v/>
      </c>
    </row>
    <row r="186" spans="1:16" x14ac:dyDescent="0.2">
      <c r="A186" s="58" t="str">
        <v/>
      </c>
      <c r="B186" s="123" t="str">
        <f>IFERROR(TIMEVALUE(DaqBook_RAW_Data!Q74),IFERROR(TIMEVALUE(DaqBook_RAW_Data!#REF!),""))</f>
        <v/>
      </c>
      <c r="C186" s="145" t="str">
        <v/>
      </c>
      <c r="D186" s="145" t="str">
        <v/>
      </c>
      <c r="E186" s="145" t="str">
        <v/>
      </c>
      <c r="F186" s="145" t="str">
        <v/>
      </c>
      <c r="G186" s="145" t="str">
        <v/>
      </c>
      <c r="H186" s="145" t="str">
        <v/>
      </c>
      <c r="I186" s="145" t="str">
        <v/>
      </c>
      <c r="J186" s="145" t="str">
        <v/>
      </c>
      <c r="K186" s="145" t="str">
        <v/>
      </c>
      <c r="L186" s="145" t="str">
        <v/>
      </c>
      <c r="M186" s="145" t="str">
        <v/>
      </c>
      <c r="N186" s="145" t="str">
        <v/>
      </c>
      <c r="O186" s="145" t="str">
        <v/>
      </c>
      <c r="P186" s="145" t="str">
        <v/>
      </c>
    </row>
    <row r="187" spans="1:16" x14ac:dyDescent="0.2">
      <c r="A187" s="58" t="str">
        <v/>
      </c>
      <c r="B187" s="123" t="str">
        <f>IFERROR(TIMEVALUE(DaqBook_RAW_Data!Q75),IFERROR(TIMEVALUE(DaqBook_RAW_Data!#REF!),""))</f>
        <v/>
      </c>
      <c r="C187" s="145" t="str">
        <v/>
      </c>
      <c r="D187" s="145" t="str">
        <v/>
      </c>
      <c r="E187" s="145" t="str">
        <v/>
      </c>
      <c r="F187" s="145" t="str">
        <v/>
      </c>
      <c r="G187" s="145" t="str">
        <v/>
      </c>
      <c r="H187" s="145" t="str">
        <v/>
      </c>
      <c r="I187" s="145" t="str">
        <v/>
      </c>
      <c r="J187" s="145" t="str">
        <v/>
      </c>
      <c r="K187" s="145" t="str">
        <v/>
      </c>
      <c r="L187" s="145" t="str">
        <v/>
      </c>
      <c r="M187" s="145" t="str">
        <v/>
      </c>
      <c r="N187" s="145" t="str">
        <v/>
      </c>
      <c r="O187" s="145" t="str">
        <v/>
      </c>
      <c r="P187" s="145" t="str">
        <v/>
      </c>
    </row>
    <row r="188" spans="1:16" x14ac:dyDescent="0.2">
      <c r="A188" s="58" t="str">
        <v/>
      </c>
      <c r="B188" s="123" t="str">
        <f>IFERROR(TIMEVALUE(DaqBook_RAW_Data!Q76),IFERROR(TIMEVALUE(DaqBook_RAW_Data!#REF!),""))</f>
        <v/>
      </c>
      <c r="C188" s="145" t="str">
        <v/>
      </c>
      <c r="D188" s="145" t="str">
        <v/>
      </c>
      <c r="E188" s="145" t="str">
        <v/>
      </c>
      <c r="F188" s="145" t="str">
        <v/>
      </c>
      <c r="G188" s="145" t="str">
        <v/>
      </c>
      <c r="H188" s="145" t="str">
        <v/>
      </c>
      <c r="I188" s="145" t="str">
        <v/>
      </c>
      <c r="J188" s="145" t="str">
        <v/>
      </c>
      <c r="K188" s="145" t="str">
        <v/>
      </c>
      <c r="L188" s="145" t="str">
        <v/>
      </c>
      <c r="M188" s="145" t="str">
        <v/>
      </c>
      <c r="N188" s="145" t="str">
        <v/>
      </c>
      <c r="O188" s="145" t="str">
        <v/>
      </c>
      <c r="P188" s="145" t="str">
        <v/>
      </c>
    </row>
    <row r="189" spans="1:16" x14ac:dyDescent="0.2">
      <c r="A189" s="58" t="str">
        <v/>
      </c>
      <c r="B189" s="123" t="str">
        <f>IFERROR(TIMEVALUE(DaqBook_RAW_Data!Q77),IFERROR(TIMEVALUE(DaqBook_RAW_Data!#REF!),""))</f>
        <v/>
      </c>
      <c r="C189" s="145" t="str">
        <v/>
      </c>
      <c r="D189" s="145" t="str">
        <v/>
      </c>
      <c r="E189" s="145" t="str">
        <v/>
      </c>
      <c r="F189" s="145" t="str">
        <v/>
      </c>
      <c r="G189" s="145" t="str">
        <v/>
      </c>
      <c r="H189" s="145" t="str">
        <v/>
      </c>
      <c r="I189" s="145" t="str">
        <v/>
      </c>
      <c r="J189" s="145" t="str">
        <v/>
      </c>
      <c r="K189" s="145" t="str">
        <v/>
      </c>
      <c r="L189" s="145" t="str">
        <v/>
      </c>
      <c r="M189" s="145" t="str">
        <v/>
      </c>
      <c r="N189" s="145" t="str">
        <v/>
      </c>
      <c r="O189" s="145" t="str">
        <v/>
      </c>
      <c r="P189" s="145" t="str">
        <v/>
      </c>
    </row>
    <row r="190" spans="1:16" x14ac:dyDescent="0.2">
      <c r="A190" s="58" t="str">
        <v/>
      </c>
      <c r="B190" s="123" t="str">
        <f>IFERROR(TIMEVALUE(DaqBook_RAW_Data!Q78),IFERROR(TIMEVALUE(DaqBook_RAW_Data!#REF!),""))</f>
        <v/>
      </c>
      <c r="C190" s="145" t="str">
        <v/>
      </c>
      <c r="D190" s="145" t="str">
        <v/>
      </c>
      <c r="E190" s="145" t="str">
        <v/>
      </c>
      <c r="F190" s="145" t="str">
        <v/>
      </c>
      <c r="G190" s="145" t="str">
        <v/>
      </c>
      <c r="H190" s="145" t="str">
        <v/>
      </c>
      <c r="I190" s="145" t="str">
        <v/>
      </c>
      <c r="J190" s="145" t="str">
        <v/>
      </c>
      <c r="K190" s="145" t="str">
        <v/>
      </c>
      <c r="L190" s="145" t="str">
        <v/>
      </c>
      <c r="M190" s="145" t="str">
        <v/>
      </c>
      <c r="N190" s="145" t="str">
        <v/>
      </c>
      <c r="O190" s="145" t="str">
        <v/>
      </c>
      <c r="P190" s="145" t="str">
        <v/>
      </c>
    </row>
    <row r="191" spans="1:16" x14ac:dyDescent="0.2">
      <c r="A191" s="58" t="str">
        <v/>
      </c>
      <c r="B191" s="123" t="str">
        <f>IFERROR(TIMEVALUE(DaqBook_RAW_Data!Q79),IFERROR(TIMEVALUE(DaqBook_RAW_Data!#REF!),""))</f>
        <v/>
      </c>
      <c r="C191" s="145" t="str">
        <v/>
      </c>
      <c r="D191" s="145" t="str">
        <v/>
      </c>
      <c r="E191" s="145" t="str">
        <v/>
      </c>
      <c r="F191" s="145" t="str">
        <v/>
      </c>
      <c r="G191" s="145" t="str">
        <v/>
      </c>
      <c r="H191" s="145" t="str">
        <v/>
      </c>
      <c r="I191" s="145" t="str">
        <v/>
      </c>
      <c r="J191" s="145" t="str">
        <v/>
      </c>
      <c r="K191" s="145" t="str">
        <v/>
      </c>
      <c r="L191" s="145" t="str">
        <v/>
      </c>
      <c r="M191" s="145" t="str">
        <v/>
      </c>
      <c r="N191" s="145" t="str">
        <v/>
      </c>
      <c r="O191" s="145" t="str">
        <v/>
      </c>
      <c r="P191" s="145" t="str">
        <v/>
      </c>
    </row>
    <row r="192" spans="1:16" x14ac:dyDescent="0.2">
      <c r="A192" s="58" t="str">
        <v/>
      </c>
      <c r="B192" s="123" t="str">
        <f>IFERROR(TIMEVALUE(DaqBook_RAW_Data!Q80),IFERROR(TIMEVALUE(DaqBook_RAW_Data!#REF!),""))</f>
        <v/>
      </c>
      <c r="C192" s="145" t="str">
        <v/>
      </c>
      <c r="D192" s="145" t="str">
        <v/>
      </c>
      <c r="E192" s="145" t="str">
        <v/>
      </c>
      <c r="F192" s="145" t="str">
        <v/>
      </c>
      <c r="G192" s="145" t="str">
        <v/>
      </c>
      <c r="H192" s="145" t="str">
        <v/>
      </c>
      <c r="I192" s="145" t="str">
        <v/>
      </c>
      <c r="J192" s="145" t="str">
        <v/>
      </c>
      <c r="K192" s="145" t="str">
        <v/>
      </c>
      <c r="L192" s="145" t="str">
        <v/>
      </c>
      <c r="M192" s="145" t="str">
        <v/>
      </c>
      <c r="N192" s="145" t="str">
        <v/>
      </c>
      <c r="O192" s="145" t="str">
        <v/>
      </c>
      <c r="P192" s="145" t="str">
        <v/>
      </c>
    </row>
    <row r="193" spans="1:16" x14ac:dyDescent="0.2">
      <c r="A193" s="58" t="str">
        <v/>
      </c>
      <c r="B193" s="123" t="str">
        <f>IFERROR(TIMEVALUE(DaqBook_RAW_Data!Q81),IFERROR(TIMEVALUE(DaqBook_RAW_Data!#REF!),""))</f>
        <v/>
      </c>
      <c r="C193" s="145" t="str">
        <v/>
      </c>
      <c r="D193" s="145" t="str">
        <v/>
      </c>
      <c r="E193" s="145" t="str">
        <v/>
      </c>
      <c r="F193" s="145" t="str">
        <v/>
      </c>
      <c r="G193" s="145" t="str">
        <v/>
      </c>
      <c r="H193" s="145" t="str">
        <v/>
      </c>
      <c r="I193" s="145" t="str">
        <v/>
      </c>
      <c r="J193" s="145" t="str">
        <v/>
      </c>
      <c r="K193" s="145" t="str">
        <v/>
      </c>
      <c r="L193" s="145" t="str">
        <v/>
      </c>
      <c r="M193" s="145" t="str">
        <v/>
      </c>
      <c r="N193" s="145" t="str">
        <v/>
      </c>
      <c r="O193" s="145" t="str">
        <v/>
      </c>
      <c r="P193" s="145" t="str">
        <v/>
      </c>
    </row>
    <row r="194" spans="1:16" x14ac:dyDescent="0.2">
      <c r="A194" s="58" t="str">
        <v/>
      </c>
      <c r="B194" s="123" t="str">
        <f>IFERROR(TIMEVALUE(DaqBook_RAW_Data!Q82),IFERROR(TIMEVALUE(DaqBook_RAW_Data!#REF!),""))</f>
        <v/>
      </c>
      <c r="C194" s="145" t="str">
        <v/>
      </c>
      <c r="D194" s="145" t="str">
        <v/>
      </c>
      <c r="E194" s="145" t="str">
        <v/>
      </c>
      <c r="F194" s="145" t="str">
        <v/>
      </c>
      <c r="G194" s="145" t="str">
        <v/>
      </c>
      <c r="H194" s="145" t="str">
        <v/>
      </c>
      <c r="I194" s="145" t="str">
        <v/>
      </c>
      <c r="J194" s="145" t="str">
        <v/>
      </c>
      <c r="K194" s="145" t="str">
        <v/>
      </c>
      <c r="L194" s="145" t="str">
        <v/>
      </c>
      <c r="M194" s="145" t="str">
        <v/>
      </c>
      <c r="N194" s="145" t="str">
        <v/>
      </c>
      <c r="O194" s="145" t="str">
        <v/>
      </c>
      <c r="P194" s="145" t="str">
        <v/>
      </c>
    </row>
    <row r="195" spans="1:16" x14ac:dyDescent="0.2">
      <c r="A195" s="58" t="str">
        <v/>
      </c>
      <c r="B195" s="123" t="str">
        <f>IFERROR(TIMEVALUE(DaqBook_RAW_Data!Q83),IFERROR(TIMEVALUE(DaqBook_RAW_Data!#REF!),""))</f>
        <v/>
      </c>
      <c r="C195" s="145" t="str">
        <v/>
      </c>
      <c r="D195" s="145" t="str">
        <v/>
      </c>
      <c r="E195" s="145" t="str">
        <v/>
      </c>
      <c r="F195" s="145" t="str">
        <v/>
      </c>
      <c r="G195" s="145" t="str">
        <v/>
      </c>
      <c r="H195" s="145" t="str">
        <v/>
      </c>
      <c r="I195" s="145" t="str">
        <v/>
      </c>
      <c r="J195" s="145" t="str">
        <v/>
      </c>
      <c r="K195" s="145" t="str">
        <v/>
      </c>
      <c r="L195" s="145" t="str">
        <v/>
      </c>
      <c r="M195" s="145" t="str">
        <v/>
      </c>
      <c r="N195" s="145" t="str">
        <v/>
      </c>
      <c r="O195" s="145" t="str">
        <v/>
      </c>
      <c r="P195" s="145" t="str">
        <v/>
      </c>
    </row>
    <row r="196" spans="1:16" x14ac:dyDescent="0.2">
      <c r="A196" s="58" t="str">
        <v/>
      </c>
      <c r="B196" s="123" t="str">
        <f>IFERROR(TIMEVALUE(DaqBook_RAW_Data!Q84),IFERROR(TIMEVALUE(DaqBook_RAW_Data!#REF!),""))</f>
        <v/>
      </c>
      <c r="C196" s="145" t="str">
        <v/>
      </c>
      <c r="D196" s="145" t="str">
        <v/>
      </c>
      <c r="E196" s="145" t="str">
        <v/>
      </c>
      <c r="F196" s="145" t="str">
        <v/>
      </c>
      <c r="G196" s="145" t="str">
        <v/>
      </c>
      <c r="H196" s="145" t="str">
        <v/>
      </c>
      <c r="I196" s="145" t="str">
        <v/>
      </c>
      <c r="J196" s="145" t="str">
        <v/>
      </c>
      <c r="K196" s="145" t="str">
        <v/>
      </c>
      <c r="L196" s="145" t="str">
        <v/>
      </c>
      <c r="M196" s="145" t="str">
        <v/>
      </c>
      <c r="N196" s="145" t="str">
        <v/>
      </c>
      <c r="O196" s="145" t="str">
        <v/>
      </c>
      <c r="P196" s="145" t="str">
        <v/>
      </c>
    </row>
    <row r="197" spans="1:16" x14ac:dyDescent="0.2">
      <c r="A197" s="58" t="str">
        <v/>
      </c>
      <c r="B197" s="123" t="str">
        <f>IFERROR(TIMEVALUE(DaqBook_RAW_Data!Q85),IFERROR(TIMEVALUE(DaqBook_RAW_Data!#REF!),""))</f>
        <v/>
      </c>
      <c r="C197" s="145" t="str">
        <v/>
      </c>
      <c r="D197" s="145" t="str">
        <v/>
      </c>
      <c r="E197" s="145" t="str">
        <v/>
      </c>
      <c r="F197" s="145" t="str">
        <v/>
      </c>
      <c r="G197" s="145" t="str">
        <v/>
      </c>
      <c r="H197" s="145" t="str">
        <v/>
      </c>
      <c r="I197" s="145" t="str">
        <v/>
      </c>
      <c r="J197" s="145" t="str">
        <v/>
      </c>
      <c r="K197" s="145" t="str">
        <v/>
      </c>
      <c r="L197" s="145" t="str">
        <v/>
      </c>
      <c r="M197" s="145" t="str">
        <v/>
      </c>
      <c r="N197" s="145" t="str">
        <v/>
      </c>
      <c r="O197" s="145" t="str">
        <v/>
      </c>
      <c r="P197" s="145" t="str">
        <v/>
      </c>
    </row>
    <row r="198" spans="1:16" x14ac:dyDescent="0.2">
      <c r="A198" s="58" t="str">
        <v/>
      </c>
      <c r="B198" s="123" t="str">
        <f>IFERROR(TIMEVALUE(DaqBook_RAW_Data!Q86),IFERROR(TIMEVALUE(DaqBook_RAW_Data!#REF!),""))</f>
        <v/>
      </c>
      <c r="C198" s="145" t="str">
        <v/>
      </c>
      <c r="D198" s="145" t="str">
        <v/>
      </c>
      <c r="E198" s="145" t="str">
        <v/>
      </c>
      <c r="F198" s="145" t="str">
        <v/>
      </c>
      <c r="G198" s="145" t="str">
        <v/>
      </c>
      <c r="H198" s="145" t="str">
        <v/>
      </c>
      <c r="I198" s="145" t="str">
        <v/>
      </c>
      <c r="J198" s="145" t="str">
        <v/>
      </c>
      <c r="K198" s="145" t="str">
        <v/>
      </c>
      <c r="L198" s="145" t="str">
        <v/>
      </c>
      <c r="M198" s="145" t="str">
        <v/>
      </c>
      <c r="N198" s="145" t="str">
        <v/>
      </c>
      <c r="O198" s="145" t="str">
        <v/>
      </c>
      <c r="P198" s="145" t="str">
        <v/>
      </c>
    </row>
    <row r="199" spans="1:16" x14ac:dyDescent="0.2">
      <c r="A199" s="58" t="str">
        <v/>
      </c>
      <c r="B199" s="123" t="str">
        <f>IFERROR(TIMEVALUE(DaqBook_RAW_Data!Q87),IFERROR(TIMEVALUE(DaqBook_RAW_Data!#REF!),""))</f>
        <v/>
      </c>
      <c r="C199" s="145" t="str">
        <v/>
      </c>
      <c r="D199" s="145" t="str">
        <v/>
      </c>
      <c r="E199" s="145" t="str">
        <v/>
      </c>
      <c r="F199" s="145" t="str">
        <v/>
      </c>
      <c r="G199" s="145" t="str">
        <v/>
      </c>
      <c r="H199" s="145" t="str">
        <v/>
      </c>
      <c r="I199" s="145" t="str">
        <v/>
      </c>
      <c r="J199" s="145" t="str">
        <v/>
      </c>
      <c r="K199" s="145" t="str">
        <v/>
      </c>
      <c r="L199" s="145" t="str">
        <v/>
      </c>
      <c r="M199" s="145" t="str">
        <v/>
      </c>
      <c r="N199" s="145" t="str">
        <v/>
      </c>
      <c r="O199" s="145" t="str">
        <v/>
      </c>
      <c r="P199" s="145" t="str">
        <v/>
      </c>
    </row>
    <row r="200" spans="1:16" x14ac:dyDescent="0.2">
      <c r="A200" s="58" t="str">
        <v/>
      </c>
      <c r="B200" s="123" t="str">
        <f>IFERROR(TIMEVALUE(DaqBook_RAW_Data!Q88),IFERROR(TIMEVALUE(DaqBook_RAW_Data!#REF!),""))</f>
        <v/>
      </c>
      <c r="C200" s="145" t="str">
        <v/>
      </c>
      <c r="D200" s="145" t="str">
        <v/>
      </c>
      <c r="E200" s="145" t="str">
        <v/>
      </c>
      <c r="F200" s="145" t="str">
        <v/>
      </c>
      <c r="G200" s="145" t="str">
        <v/>
      </c>
      <c r="H200" s="145" t="str">
        <v/>
      </c>
      <c r="I200" s="145" t="str">
        <v/>
      </c>
      <c r="J200" s="145" t="str">
        <v/>
      </c>
      <c r="K200" s="145" t="str">
        <v/>
      </c>
      <c r="L200" s="145" t="str">
        <v/>
      </c>
      <c r="M200" s="145" t="str">
        <v/>
      </c>
      <c r="N200" s="145" t="str">
        <v/>
      </c>
      <c r="O200" s="145" t="str">
        <v/>
      </c>
      <c r="P200" s="145" t="str">
        <v/>
      </c>
    </row>
    <row r="201" spans="1:16" x14ac:dyDescent="0.2">
      <c r="A201" s="58" t="str">
        <v/>
      </c>
      <c r="B201" s="123" t="str">
        <f>IFERROR(TIMEVALUE(DaqBook_RAW_Data!Q89),IFERROR(TIMEVALUE(DaqBook_RAW_Data!#REF!),""))</f>
        <v/>
      </c>
      <c r="C201" s="145" t="str">
        <v/>
      </c>
      <c r="D201" s="145" t="str">
        <v/>
      </c>
      <c r="E201" s="145" t="str">
        <v/>
      </c>
      <c r="F201" s="145" t="str">
        <v/>
      </c>
      <c r="G201" s="145" t="str">
        <v/>
      </c>
      <c r="H201" s="145" t="str">
        <v/>
      </c>
      <c r="I201" s="145" t="str">
        <v/>
      </c>
      <c r="J201" s="145" t="str">
        <v/>
      </c>
      <c r="K201" s="145" t="str">
        <v/>
      </c>
      <c r="L201" s="145" t="str">
        <v/>
      </c>
      <c r="M201" s="145" t="str">
        <v/>
      </c>
      <c r="N201" s="145" t="str">
        <v/>
      </c>
      <c r="O201" s="145" t="str">
        <v/>
      </c>
      <c r="P201" s="145" t="str">
        <v/>
      </c>
    </row>
    <row r="202" spans="1:16" x14ac:dyDescent="0.2">
      <c r="A202" s="58" t="str">
        <v/>
      </c>
      <c r="B202" s="123" t="str">
        <f>IFERROR(TIMEVALUE(DaqBook_RAW_Data!Q90),IFERROR(TIMEVALUE(DaqBook_RAW_Data!#REF!),""))</f>
        <v/>
      </c>
      <c r="C202" s="145" t="str">
        <v/>
      </c>
      <c r="D202" s="145" t="str">
        <v/>
      </c>
      <c r="E202" s="145" t="str">
        <v/>
      </c>
      <c r="F202" s="145" t="str">
        <v/>
      </c>
      <c r="G202" s="145" t="str">
        <v/>
      </c>
      <c r="H202" s="145" t="str">
        <v/>
      </c>
      <c r="I202" s="145" t="str">
        <v/>
      </c>
      <c r="J202" s="145" t="str">
        <v/>
      </c>
      <c r="K202" s="145" t="str">
        <v/>
      </c>
      <c r="L202" s="145" t="str">
        <v/>
      </c>
      <c r="M202" s="145" t="str">
        <v/>
      </c>
      <c r="N202" s="145" t="str">
        <v/>
      </c>
      <c r="O202" s="145" t="str">
        <v/>
      </c>
      <c r="P202" s="145" t="str">
        <v/>
      </c>
    </row>
    <row r="203" spans="1:16" x14ac:dyDescent="0.2">
      <c r="A203" s="58" t="str">
        <v/>
      </c>
      <c r="B203" s="123" t="str">
        <f>IFERROR(TIMEVALUE(DaqBook_RAW_Data!Q91),IFERROR(TIMEVALUE(DaqBook_RAW_Data!#REF!),""))</f>
        <v/>
      </c>
      <c r="C203" s="145" t="str">
        <v/>
      </c>
      <c r="D203" s="145" t="str">
        <v/>
      </c>
      <c r="E203" s="145" t="str">
        <v/>
      </c>
      <c r="F203" s="145" t="str">
        <v/>
      </c>
      <c r="G203" s="145" t="str">
        <v/>
      </c>
      <c r="H203" s="145" t="str">
        <v/>
      </c>
      <c r="I203" s="145" t="str">
        <v/>
      </c>
      <c r="J203" s="145" t="str">
        <v/>
      </c>
      <c r="K203" s="145" t="str">
        <v/>
      </c>
      <c r="L203" s="145" t="str">
        <v/>
      </c>
      <c r="M203" s="145" t="str">
        <v/>
      </c>
      <c r="N203" s="145" t="str">
        <v/>
      </c>
      <c r="O203" s="145" t="str">
        <v/>
      </c>
      <c r="P203" s="145" t="str">
        <v/>
      </c>
    </row>
    <row r="204" spans="1:16" x14ac:dyDescent="0.2">
      <c r="A204" s="58" t="str">
        <v/>
      </c>
      <c r="B204" s="123" t="str">
        <f>IFERROR(TIMEVALUE(DaqBook_RAW_Data!Q92),IFERROR(TIMEVALUE(DaqBook_RAW_Data!#REF!),""))</f>
        <v/>
      </c>
      <c r="C204" s="145" t="str">
        <v/>
      </c>
      <c r="D204" s="145" t="str">
        <v/>
      </c>
      <c r="E204" s="145" t="str">
        <v/>
      </c>
      <c r="F204" s="145" t="str">
        <v/>
      </c>
      <c r="G204" s="145" t="str">
        <v/>
      </c>
      <c r="H204" s="145" t="str">
        <v/>
      </c>
      <c r="I204" s="145" t="str">
        <v/>
      </c>
      <c r="J204" s="145" t="str">
        <v/>
      </c>
      <c r="K204" s="145" t="str">
        <v/>
      </c>
      <c r="L204" s="145" t="str">
        <v/>
      </c>
      <c r="M204" s="145" t="str">
        <v/>
      </c>
      <c r="N204" s="145" t="str">
        <v/>
      </c>
      <c r="O204" s="145" t="str">
        <v/>
      </c>
      <c r="P204" s="145" t="str">
        <v/>
      </c>
    </row>
    <row r="205" spans="1:16" x14ac:dyDescent="0.2">
      <c r="A205" s="58" t="str">
        <v/>
      </c>
      <c r="B205" s="123" t="str">
        <f>IFERROR(TIMEVALUE(DaqBook_RAW_Data!Q93),IFERROR(TIMEVALUE(DaqBook_RAW_Data!#REF!),""))</f>
        <v/>
      </c>
      <c r="C205" s="145" t="str">
        <v/>
      </c>
      <c r="D205" s="145" t="str">
        <v/>
      </c>
      <c r="E205" s="145" t="str">
        <v/>
      </c>
      <c r="F205" s="145" t="str">
        <v/>
      </c>
      <c r="G205" s="145" t="str">
        <v/>
      </c>
      <c r="H205" s="145" t="str">
        <v/>
      </c>
      <c r="I205" s="145" t="str">
        <v/>
      </c>
      <c r="J205" s="145" t="str">
        <v/>
      </c>
      <c r="K205" s="145" t="str">
        <v/>
      </c>
      <c r="L205" s="145" t="str">
        <v/>
      </c>
      <c r="M205" s="145" t="str">
        <v/>
      </c>
      <c r="N205" s="145" t="str">
        <v/>
      </c>
      <c r="O205" s="145" t="str">
        <v/>
      </c>
      <c r="P205" s="145" t="str">
        <v/>
      </c>
    </row>
    <row r="206" spans="1:16" x14ac:dyDescent="0.2">
      <c r="A206" s="58" t="str">
        <v/>
      </c>
      <c r="B206" s="123" t="str">
        <f>IFERROR(TIMEVALUE(DaqBook_RAW_Data!Q94),IFERROR(TIMEVALUE(DaqBook_RAW_Data!#REF!),""))</f>
        <v/>
      </c>
      <c r="C206" s="145" t="str">
        <v/>
      </c>
      <c r="D206" s="145" t="str">
        <v/>
      </c>
      <c r="E206" s="145" t="str">
        <v/>
      </c>
      <c r="F206" s="145" t="str">
        <v/>
      </c>
      <c r="G206" s="145" t="str">
        <v/>
      </c>
      <c r="H206" s="145" t="str">
        <v/>
      </c>
      <c r="I206" s="145" t="str">
        <v/>
      </c>
      <c r="J206" s="145" t="str">
        <v/>
      </c>
      <c r="K206" s="145" t="str">
        <v/>
      </c>
      <c r="L206" s="145" t="str">
        <v/>
      </c>
      <c r="M206" s="145" t="str">
        <v/>
      </c>
      <c r="N206" s="145" t="str">
        <v/>
      </c>
      <c r="O206" s="145" t="str">
        <v/>
      </c>
      <c r="P206" s="145" t="str">
        <v/>
      </c>
    </row>
    <row r="207" spans="1:16" x14ac:dyDescent="0.2">
      <c r="A207" s="58" t="str">
        <v/>
      </c>
      <c r="B207" s="123" t="str">
        <f>IFERROR(TIMEVALUE(DaqBook_RAW_Data!Q95),IFERROR(TIMEVALUE(DaqBook_RAW_Data!#REF!),""))</f>
        <v/>
      </c>
      <c r="C207" s="145" t="str">
        <v/>
      </c>
      <c r="D207" s="145" t="str">
        <v/>
      </c>
      <c r="E207" s="145" t="str">
        <v/>
      </c>
      <c r="F207" s="145" t="str">
        <v/>
      </c>
      <c r="G207" s="145" t="str">
        <v/>
      </c>
      <c r="H207" s="145" t="str">
        <v/>
      </c>
      <c r="I207" s="145" t="str">
        <v/>
      </c>
      <c r="J207" s="145" t="str">
        <v/>
      </c>
      <c r="K207" s="145" t="str">
        <v/>
      </c>
      <c r="L207" s="145" t="str">
        <v/>
      </c>
      <c r="M207" s="145" t="str">
        <v/>
      </c>
      <c r="N207" s="145" t="str">
        <v/>
      </c>
      <c r="O207" s="145" t="str">
        <v/>
      </c>
      <c r="P207" s="145" t="str">
        <v/>
      </c>
    </row>
    <row r="208" spans="1:16" x14ac:dyDescent="0.2">
      <c r="A208" s="58" t="str">
        <v/>
      </c>
      <c r="B208" s="123" t="str">
        <f>IFERROR(TIMEVALUE(DaqBook_RAW_Data!Q96),IFERROR(TIMEVALUE(DaqBook_RAW_Data!#REF!),""))</f>
        <v/>
      </c>
      <c r="C208" s="145" t="str">
        <v/>
      </c>
      <c r="D208" s="145" t="str">
        <v/>
      </c>
      <c r="E208" s="145" t="str">
        <v/>
      </c>
      <c r="F208" s="145" t="str">
        <v/>
      </c>
      <c r="G208" s="145" t="str">
        <v/>
      </c>
      <c r="H208" s="145" t="str">
        <v/>
      </c>
      <c r="I208" s="145" t="str">
        <v/>
      </c>
      <c r="J208" s="145" t="str">
        <v/>
      </c>
      <c r="K208" s="145" t="str">
        <v/>
      </c>
      <c r="L208" s="145" t="str">
        <v/>
      </c>
      <c r="M208" s="145" t="str">
        <v/>
      </c>
      <c r="N208" s="145" t="str">
        <v/>
      </c>
      <c r="O208" s="145" t="str">
        <v/>
      </c>
      <c r="P208" s="145" t="str">
        <v/>
      </c>
    </row>
    <row r="209" spans="1:16" x14ac:dyDescent="0.2">
      <c r="A209" s="58" t="str">
        <v/>
      </c>
      <c r="B209" s="123" t="str">
        <f>IFERROR(TIMEVALUE(DaqBook_RAW_Data!Q97),IFERROR(TIMEVALUE(DaqBook_RAW_Data!#REF!),""))</f>
        <v/>
      </c>
      <c r="C209" s="145" t="str">
        <v/>
      </c>
      <c r="D209" s="145" t="str">
        <v/>
      </c>
      <c r="E209" s="145" t="str">
        <v/>
      </c>
      <c r="F209" s="145" t="str">
        <v/>
      </c>
      <c r="G209" s="145" t="str">
        <v/>
      </c>
      <c r="H209" s="145" t="str">
        <v/>
      </c>
      <c r="I209" s="145" t="str">
        <v/>
      </c>
      <c r="J209" s="145" t="str">
        <v/>
      </c>
      <c r="K209" s="145" t="str">
        <v/>
      </c>
      <c r="L209" s="145" t="str">
        <v/>
      </c>
      <c r="M209" s="145" t="str">
        <v/>
      </c>
      <c r="N209" s="145" t="str">
        <v/>
      </c>
      <c r="O209" s="145" t="str">
        <v/>
      </c>
      <c r="P209" s="145" t="str">
        <v/>
      </c>
    </row>
    <row r="210" spans="1:16" x14ac:dyDescent="0.2">
      <c r="A210" s="58" t="str">
        <v/>
      </c>
      <c r="B210" s="123" t="str">
        <f>IFERROR(TIMEVALUE(DaqBook_RAW_Data!Q98),IFERROR(TIMEVALUE(DaqBook_RAW_Data!#REF!),""))</f>
        <v/>
      </c>
      <c r="C210" s="145" t="str">
        <v/>
      </c>
      <c r="D210" s="145" t="str">
        <v/>
      </c>
      <c r="E210" s="145" t="str">
        <v/>
      </c>
      <c r="F210" s="145" t="str">
        <v/>
      </c>
      <c r="G210" s="145" t="str">
        <v/>
      </c>
      <c r="H210" s="145" t="str">
        <v/>
      </c>
      <c r="I210" s="145" t="str">
        <v/>
      </c>
      <c r="J210" s="145" t="str">
        <v/>
      </c>
      <c r="K210" s="145" t="str">
        <v/>
      </c>
      <c r="L210" s="145" t="str">
        <v/>
      </c>
      <c r="M210" s="145" t="str">
        <v/>
      </c>
      <c r="N210" s="145" t="str">
        <v/>
      </c>
      <c r="O210" s="145" t="str">
        <v/>
      </c>
      <c r="P210" s="145" t="str">
        <v/>
      </c>
    </row>
    <row r="211" spans="1:16" x14ac:dyDescent="0.2">
      <c r="A211" s="58" t="str">
        <v/>
      </c>
      <c r="B211" s="123" t="str">
        <f>IFERROR(TIMEVALUE(DaqBook_RAW_Data!Q99),IFERROR(TIMEVALUE(DaqBook_RAW_Data!#REF!),""))</f>
        <v/>
      </c>
      <c r="C211" s="145" t="str">
        <v/>
      </c>
      <c r="D211" s="145" t="str">
        <v/>
      </c>
      <c r="E211" s="145" t="str">
        <v/>
      </c>
      <c r="F211" s="145" t="str">
        <v/>
      </c>
      <c r="G211" s="145" t="str">
        <v/>
      </c>
      <c r="H211" s="145" t="str">
        <v/>
      </c>
      <c r="I211" s="145" t="str">
        <v/>
      </c>
      <c r="J211" s="145" t="str">
        <v/>
      </c>
      <c r="K211" s="145" t="str">
        <v/>
      </c>
      <c r="L211" s="145" t="str">
        <v/>
      </c>
      <c r="M211" s="145" t="str">
        <v/>
      </c>
      <c r="N211" s="145" t="str">
        <v/>
      </c>
      <c r="O211" s="145" t="str">
        <v/>
      </c>
      <c r="P211" s="145" t="str">
        <v/>
      </c>
    </row>
    <row r="212" spans="1:16" x14ac:dyDescent="0.2">
      <c r="A212" s="58" t="str">
        <v/>
      </c>
      <c r="B212" s="123" t="str">
        <f>IFERROR(TIMEVALUE(DaqBook_RAW_Data!Q100),IFERROR(TIMEVALUE(DaqBook_RAW_Data!#REF!),""))</f>
        <v/>
      </c>
      <c r="C212" s="145" t="str">
        <v/>
      </c>
      <c r="D212" s="145" t="str">
        <v/>
      </c>
      <c r="E212" s="145" t="str">
        <v/>
      </c>
      <c r="F212" s="145" t="str">
        <v/>
      </c>
      <c r="G212" s="145" t="str">
        <v/>
      </c>
      <c r="H212" s="145" t="str">
        <v/>
      </c>
      <c r="I212" s="145" t="str">
        <v/>
      </c>
      <c r="J212" s="145" t="str">
        <v/>
      </c>
      <c r="K212" s="145" t="str">
        <v/>
      </c>
      <c r="L212" s="145" t="str">
        <v/>
      </c>
      <c r="M212" s="145" t="str">
        <v/>
      </c>
      <c r="N212" s="145" t="str">
        <v/>
      </c>
      <c r="O212" s="145" t="str">
        <v/>
      </c>
      <c r="P212" s="145" t="str">
        <v/>
      </c>
    </row>
    <row r="213" spans="1:16" x14ac:dyDescent="0.2">
      <c r="A213" s="58" t="str">
        <v/>
      </c>
      <c r="B213" s="123" t="str">
        <f>IFERROR(TIMEVALUE(DaqBook_RAW_Data!Q101),IFERROR(TIMEVALUE(DaqBook_RAW_Data!#REF!),""))</f>
        <v/>
      </c>
      <c r="C213" s="145" t="str">
        <v/>
      </c>
      <c r="D213" s="145" t="str">
        <v/>
      </c>
      <c r="E213" s="145" t="str">
        <v/>
      </c>
      <c r="F213" s="145" t="str">
        <v/>
      </c>
      <c r="G213" s="145" t="str">
        <v/>
      </c>
      <c r="H213" s="145" t="str">
        <v/>
      </c>
      <c r="I213" s="145" t="str">
        <v/>
      </c>
      <c r="J213" s="145" t="str">
        <v/>
      </c>
      <c r="K213" s="145" t="str">
        <v/>
      </c>
      <c r="L213" s="145" t="str">
        <v/>
      </c>
      <c r="M213" s="145" t="str">
        <v/>
      </c>
      <c r="N213" s="145" t="str">
        <v/>
      </c>
      <c r="O213" s="145" t="str">
        <v/>
      </c>
      <c r="P213" s="145" t="str">
        <v/>
      </c>
    </row>
    <row r="214" spans="1:16" x14ac:dyDescent="0.2">
      <c r="A214" s="58" t="str">
        <v/>
      </c>
      <c r="B214" s="123" t="str">
        <f>IFERROR(TIMEVALUE(DaqBook_RAW_Data!Q102),IFERROR(TIMEVALUE(DaqBook_RAW_Data!#REF!),""))</f>
        <v/>
      </c>
      <c r="C214" s="145" t="str">
        <v/>
      </c>
      <c r="D214" s="145" t="str">
        <v/>
      </c>
      <c r="E214" s="145" t="str">
        <v/>
      </c>
      <c r="F214" s="145" t="str">
        <v/>
      </c>
      <c r="G214" s="145" t="str">
        <v/>
      </c>
      <c r="H214" s="145" t="str">
        <v/>
      </c>
      <c r="I214" s="145" t="str">
        <v/>
      </c>
      <c r="J214" s="145" t="str">
        <v/>
      </c>
      <c r="K214" s="145" t="str">
        <v/>
      </c>
      <c r="L214" s="145" t="str">
        <v/>
      </c>
      <c r="M214" s="145" t="str">
        <v/>
      </c>
      <c r="N214" s="145" t="str">
        <v/>
      </c>
      <c r="O214" s="145" t="str">
        <v/>
      </c>
      <c r="P214" s="145" t="str">
        <v/>
      </c>
    </row>
    <row r="215" spans="1:16" x14ac:dyDescent="0.2">
      <c r="A215" s="58" t="str">
        <v/>
      </c>
      <c r="B215" s="123" t="str">
        <f>IFERROR(TIMEVALUE(DaqBook_RAW_Data!Q103),IFERROR(TIMEVALUE(DaqBook_RAW_Data!#REF!),""))</f>
        <v/>
      </c>
      <c r="C215" s="145" t="str">
        <v/>
      </c>
      <c r="D215" s="145" t="str">
        <v/>
      </c>
      <c r="E215" s="145" t="str">
        <v/>
      </c>
      <c r="F215" s="145" t="str">
        <v/>
      </c>
      <c r="G215" s="145" t="str">
        <v/>
      </c>
      <c r="H215" s="145" t="str">
        <v/>
      </c>
      <c r="I215" s="145" t="str">
        <v/>
      </c>
      <c r="J215" s="145" t="str">
        <v/>
      </c>
      <c r="K215" s="145" t="str">
        <v/>
      </c>
      <c r="L215" s="145" t="str">
        <v/>
      </c>
      <c r="M215" s="145" t="str">
        <v/>
      </c>
      <c r="N215" s="145" t="str">
        <v/>
      </c>
      <c r="O215" s="145" t="str">
        <v/>
      </c>
      <c r="P215" s="145" t="str">
        <v/>
      </c>
    </row>
    <row r="216" spans="1:16" x14ac:dyDescent="0.2">
      <c r="A216" s="58" t="str">
        <v/>
      </c>
      <c r="B216" s="123" t="str">
        <f>IFERROR(TIMEVALUE(DaqBook_RAW_Data!Q104),IFERROR(TIMEVALUE(DaqBook_RAW_Data!#REF!),""))</f>
        <v/>
      </c>
      <c r="C216" s="145" t="str">
        <v/>
      </c>
      <c r="D216" s="145" t="str">
        <v/>
      </c>
      <c r="E216" s="145" t="str">
        <v/>
      </c>
      <c r="F216" s="145" t="str">
        <v/>
      </c>
      <c r="G216" s="145" t="str">
        <v/>
      </c>
      <c r="H216" s="145" t="str">
        <v/>
      </c>
      <c r="I216" s="145" t="str">
        <v/>
      </c>
      <c r="J216" s="145" t="str">
        <v/>
      </c>
      <c r="K216" s="145" t="str">
        <v/>
      </c>
      <c r="L216" s="145" t="str">
        <v/>
      </c>
      <c r="M216" s="145" t="str">
        <v/>
      </c>
      <c r="N216" s="145" t="str">
        <v/>
      </c>
      <c r="O216" s="145" t="str">
        <v/>
      </c>
      <c r="P216" s="145" t="str">
        <v/>
      </c>
    </row>
    <row r="217" spans="1:16" x14ac:dyDescent="0.2">
      <c r="A217" s="58" t="str">
        <v/>
      </c>
      <c r="B217" s="123" t="str">
        <f>IFERROR(TIMEVALUE(DaqBook_RAW_Data!Q105),IFERROR(TIMEVALUE(DaqBook_RAW_Data!#REF!),""))</f>
        <v/>
      </c>
      <c r="C217" s="145" t="str">
        <v/>
      </c>
      <c r="D217" s="145" t="str">
        <v/>
      </c>
      <c r="E217" s="145" t="str">
        <v/>
      </c>
      <c r="F217" s="145" t="str">
        <v/>
      </c>
      <c r="G217" s="145" t="str">
        <v/>
      </c>
      <c r="H217" s="145" t="str">
        <v/>
      </c>
      <c r="I217" s="145" t="str">
        <v/>
      </c>
      <c r="J217" s="145" t="str">
        <v/>
      </c>
      <c r="K217" s="145" t="str">
        <v/>
      </c>
      <c r="L217" s="145" t="str">
        <v/>
      </c>
      <c r="M217" s="145" t="str">
        <v/>
      </c>
      <c r="N217" s="145" t="str">
        <v/>
      </c>
      <c r="O217" s="145" t="str">
        <v/>
      </c>
      <c r="P217" s="145" t="str">
        <v/>
      </c>
    </row>
    <row r="218" spans="1:16" x14ac:dyDescent="0.2">
      <c r="A218" s="58" t="str">
        <v/>
      </c>
      <c r="B218" s="123" t="str">
        <f>IFERROR(TIMEVALUE(DaqBook_RAW_Data!Q106),IFERROR(TIMEVALUE(DaqBook_RAW_Data!#REF!),""))</f>
        <v/>
      </c>
      <c r="C218" s="145" t="str">
        <v/>
      </c>
      <c r="D218" s="145" t="str">
        <v/>
      </c>
      <c r="E218" s="145" t="str">
        <v/>
      </c>
      <c r="F218" s="145" t="str">
        <v/>
      </c>
      <c r="G218" s="145" t="str">
        <v/>
      </c>
      <c r="H218" s="145" t="str">
        <v/>
      </c>
      <c r="I218" s="145" t="str">
        <v/>
      </c>
      <c r="J218" s="145" t="str">
        <v/>
      </c>
      <c r="K218" s="145" t="str">
        <v/>
      </c>
      <c r="L218" s="145" t="str">
        <v/>
      </c>
      <c r="M218" s="145" t="str">
        <v/>
      </c>
      <c r="N218" s="145" t="str">
        <v/>
      </c>
      <c r="O218" s="145" t="str">
        <v/>
      </c>
      <c r="P218" s="145" t="str">
        <v/>
      </c>
    </row>
    <row r="219" spans="1:16" x14ac:dyDescent="0.2">
      <c r="A219" s="58" t="str">
        <v/>
      </c>
      <c r="B219" s="123" t="str">
        <f>IFERROR(TIMEVALUE(DaqBook_RAW_Data!Q107),IFERROR(TIMEVALUE(DaqBook_RAW_Data!#REF!),""))</f>
        <v/>
      </c>
      <c r="C219" s="145" t="str">
        <v/>
      </c>
      <c r="D219" s="145" t="str">
        <v/>
      </c>
      <c r="E219" s="145" t="str">
        <v/>
      </c>
      <c r="F219" s="145" t="str">
        <v/>
      </c>
      <c r="G219" s="145" t="str">
        <v/>
      </c>
      <c r="H219" s="145" t="str">
        <v/>
      </c>
      <c r="I219" s="145" t="str">
        <v/>
      </c>
      <c r="J219" s="145" t="str">
        <v/>
      </c>
      <c r="K219" s="145" t="str">
        <v/>
      </c>
      <c r="L219" s="145" t="str">
        <v/>
      </c>
      <c r="M219" s="145" t="str">
        <v/>
      </c>
      <c r="N219" s="145" t="str">
        <v/>
      </c>
      <c r="O219" s="145" t="str">
        <v/>
      </c>
      <c r="P219" s="145" t="str">
        <v/>
      </c>
    </row>
    <row r="220" spans="1:16" x14ac:dyDescent="0.2">
      <c r="A220" s="58" t="str">
        <v/>
      </c>
      <c r="B220" s="123" t="str">
        <f>IFERROR(TIMEVALUE(DaqBook_RAW_Data!Q108),IFERROR(TIMEVALUE(DaqBook_RAW_Data!#REF!),""))</f>
        <v/>
      </c>
      <c r="C220" s="145" t="str">
        <v/>
      </c>
      <c r="D220" s="145" t="str">
        <v/>
      </c>
      <c r="E220" s="145" t="str">
        <v/>
      </c>
      <c r="F220" s="145" t="str">
        <v/>
      </c>
      <c r="G220" s="145" t="str">
        <v/>
      </c>
      <c r="H220" s="145" t="str">
        <v/>
      </c>
      <c r="I220" s="145" t="str">
        <v/>
      </c>
      <c r="J220" s="145" t="str">
        <v/>
      </c>
      <c r="K220" s="145" t="str">
        <v/>
      </c>
      <c r="L220" s="145" t="str">
        <v/>
      </c>
      <c r="M220" s="145" t="str">
        <v/>
      </c>
      <c r="N220" s="145" t="str">
        <v/>
      </c>
      <c r="O220" s="145" t="str">
        <v/>
      </c>
      <c r="P220" s="145" t="str">
        <v/>
      </c>
    </row>
    <row r="221" spans="1:16" x14ac:dyDescent="0.2">
      <c r="A221" s="58" t="str">
        <v/>
      </c>
      <c r="B221" s="123" t="str">
        <f>IFERROR(TIMEVALUE(DaqBook_RAW_Data!Q109),IFERROR(TIMEVALUE(DaqBook_RAW_Data!#REF!),""))</f>
        <v/>
      </c>
      <c r="C221" s="145" t="str">
        <v/>
      </c>
      <c r="D221" s="145" t="str">
        <v/>
      </c>
      <c r="E221" s="145" t="str">
        <v/>
      </c>
      <c r="F221" s="145" t="str">
        <v/>
      </c>
      <c r="G221" s="145" t="str">
        <v/>
      </c>
      <c r="H221" s="145" t="str">
        <v/>
      </c>
      <c r="I221" s="145" t="str">
        <v/>
      </c>
      <c r="J221" s="145" t="str">
        <v/>
      </c>
      <c r="K221" s="145" t="str">
        <v/>
      </c>
      <c r="L221" s="145" t="str">
        <v/>
      </c>
      <c r="M221" s="145" t="str">
        <v/>
      </c>
      <c r="N221" s="145" t="str">
        <v/>
      </c>
      <c r="O221" s="145" t="str">
        <v/>
      </c>
      <c r="P221" s="145" t="str">
        <v/>
      </c>
    </row>
    <row r="222" spans="1:16" x14ac:dyDescent="0.2">
      <c r="A222" s="58" t="str">
        <v/>
      </c>
      <c r="B222" s="123" t="str">
        <f>IFERROR(TIMEVALUE(DaqBook_RAW_Data!Q110),IFERROR(TIMEVALUE(DaqBook_RAW_Data!#REF!),""))</f>
        <v/>
      </c>
      <c r="C222" s="145" t="str">
        <v/>
      </c>
      <c r="D222" s="145" t="str">
        <v/>
      </c>
      <c r="E222" s="145" t="str">
        <v/>
      </c>
      <c r="F222" s="145" t="str">
        <v/>
      </c>
      <c r="G222" s="145" t="str">
        <v/>
      </c>
      <c r="H222" s="145" t="str">
        <v/>
      </c>
      <c r="I222" s="145" t="str">
        <v/>
      </c>
      <c r="J222" s="145" t="str">
        <v/>
      </c>
      <c r="K222" s="145" t="str">
        <v/>
      </c>
      <c r="L222" s="145" t="str">
        <v/>
      </c>
      <c r="M222" s="145" t="str">
        <v/>
      </c>
      <c r="N222" s="145" t="str">
        <v/>
      </c>
      <c r="O222" s="145" t="str">
        <v/>
      </c>
      <c r="P222" s="145" t="str">
        <v/>
      </c>
    </row>
    <row r="223" spans="1:16" x14ac:dyDescent="0.2">
      <c r="A223" s="58" t="str">
        <v/>
      </c>
      <c r="B223" s="123" t="str">
        <f>IFERROR(TIMEVALUE(DaqBook_RAW_Data!Q111),IFERROR(TIMEVALUE(DaqBook_RAW_Data!#REF!),""))</f>
        <v/>
      </c>
      <c r="C223" s="145" t="str">
        <v/>
      </c>
      <c r="D223" s="145" t="str">
        <v/>
      </c>
      <c r="E223" s="145" t="str">
        <v/>
      </c>
      <c r="F223" s="145" t="str">
        <v/>
      </c>
      <c r="G223" s="145" t="str">
        <v/>
      </c>
      <c r="H223" s="145" t="str">
        <v/>
      </c>
      <c r="I223" s="145" t="str">
        <v/>
      </c>
      <c r="J223" s="145" t="str">
        <v/>
      </c>
      <c r="K223" s="145" t="str">
        <v/>
      </c>
      <c r="L223" s="145" t="str">
        <v/>
      </c>
      <c r="M223" s="145" t="str">
        <v/>
      </c>
      <c r="N223" s="145" t="str">
        <v/>
      </c>
      <c r="O223" s="145" t="str">
        <v/>
      </c>
      <c r="P223" s="145" t="str">
        <v/>
      </c>
    </row>
    <row r="224" spans="1:16" x14ac:dyDescent="0.2">
      <c r="A224" s="58" t="str">
        <v/>
      </c>
      <c r="B224" s="123" t="str">
        <f>IFERROR(TIMEVALUE(DaqBook_RAW_Data!Q112),IFERROR(TIMEVALUE(DaqBook_RAW_Data!#REF!),""))</f>
        <v/>
      </c>
      <c r="C224" s="145" t="str">
        <v/>
      </c>
      <c r="D224" s="145" t="str">
        <v/>
      </c>
      <c r="E224" s="145" t="str">
        <v/>
      </c>
      <c r="F224" s="145" t="str">
        <v/>
      </c>
      <c r="G224" s="145" t="str">
        <v/>
      </c>
      <c r="H224" s="145" t="str">
        <v/>
      </c>
      <c r="I224" s="145" t="str">
        <v/>
      </c>
      <c r="J224" s="145" t="str">
        <v/>
      </c>
      <c r="K224" s="145" t="str">
        <v/>
      </c>
      <c r="L224" s="145" t="str">
        <v/>
      </c>
      <c r="M224" s="145" t="str">
        <v/>
      </c>
      <c r="N224" s="145" t="str">
        <v/>
      </c>
      <c r="O224" s="145" t="str">
        <v/>
      </c>
      <c r="P224" s="145" t="str">
        <v/>
      </c>
    </row>
    <row r="225" spans="1:16" x14ac:dyDescent="0.2">
      <c r="A225" s="58" t="str">
        <v/>
      </c>
      <c r="B225" s="123" t="str">
        <f>IFERROR(TIMEVALUE(DaqBook_RAW_Data!Q113),IFERROR(TIMEVALUE(DaqBook_RAW_Data!#REF!),""))</f>
        <v/>
      </c>
      <c r="C225" s="145" t="str">
        <v/>
      </c>
      <c r="D225" s="145" t="str">
        <v/>
      </c>
      <c r="E225" s="145" t="str">
        <v/>
      </c>
      <c r="F225" s="145" t="str">
        <v/>
      </c>
      <c r="G225" s="145" t="str">
        <v/>
      </c>
      <c r="H225" s="145" t="str">
        <v/>
      </c>
      <c r="I225" s="145" t="str">
        <v/>
      </c>
      <c r="J225" s="145" t="str">
        <v/>
      </c>
      <c r="K225" s="145" t="str">
        <v/>
      </c>
      <c r="L225" s="145" t="str">
        <v/>
      </c>
      <c r="M225" s="145" t="str">
        <v/>
      </c>
      <c r="N225" s="145" t="str">
        <v/>
      </c>
      <c r="O225" s="145" t="str">
        <v/>
      </c>
      <c r="P225" s="145" t="str">
        <v/>
      </c>
    </row>
    <row r="226" spans="1:16" x14ac:dyDescent="0.2">
      <c r="A226" s="58" t="str">
        <v/>
      </c>
      <c r="B226" s="123" t="str">
        <f>IFERROR(TIMEVALUE(DaqBook_RAW_Data!Q114),IFERROR(TIMEVALUE(DaqBook_RAW_Data!#REF!),""))</f>
        <v/>
      </c>
      <c r="C226" s="145" t="str">
        <v/>
      </c>
      <c r="D226" s="145" t="str">
        <v/>
      </c>
      <c r="E226" s="145" t="str">
        <v/>
      </c>
      <c r="F226" s="145" t="str">
        <v/>
      </c>
      <c r="G226" s="145" t="str">
        <v/>
      </c>
      <c r="H226" s="145" t="str">
        <v/>
      </c>
      <c r="I226" s="145" t="str">
        <v/>
      </c>
      <c r="J226" s="145" t="str">
        <v/>
      </c>
      <c r="K226" s="145" t="str">
        <v/>
      </c>
      <c r="L226" s="145" t="str">
        <v/>
      </c>
      <c r="M226" s="145" t="str">
        <v/>
      </c>
      <c r="N226" s="145" t="str">
        <v/>
      </c>
      <c r="O226" s="145" t="str">
        <v/>
      </c>
      <c r="P226" s="145" t="str">
        <v/>
      </c>
    </row>
    <row r="227" spans="1:16" x14ac:dyDescent="0.2">
      <c r="A227" s="58" t="str">
        <v/>
      </c>
      <c r="B227" s="123" t="str">
        <f>IFERROR(TIMEVALUE(DaqBook_RAW_Data!Q115),IFERROR(TIMEVALUE(DaqBook_RAW_Data!#REF!),""))</f>
        <v/>
      </c>
      <c r="C227" s="145" t="str">
        <v/>
      </c>
      <c r="D227" s="145" t="str">
        <v/>
      </c>
      <c r="E227" s="145" t="str">
        <v/>
      </c>
      <c r="F227" s="145" t="str">
        <v/>
      </c>
      <c r="G227" s="145" t="str">
        <v/>
      </c>
      <c r="H227" s="145" t="str">
        <v/>
      </c>
      <c r="I227" s="145" t="str">
        <v/>
      </c>
      <c r="J227" s="145" t="str">
        <v/>
      </c>
      <c r="K227" s="145" t="str">
        <v/>
      </c>
      <c r="L227" s="145" t="str">
        <v/>
      </c>
      <c r="M227" s="145" t="str">
        <v/>
      </c>
      <c r="N227" s="145" t="str">
        <v/>
      </c>
      <c r="O227" s="145" t="str">
        <v/>
      </c>
      <c r="P227" s="145" t="str">
        <v/>
      </c>
    </row>
    <row r="228" spans="1:16" x14ac:dyDescent="0.2">
      <c r="A228" s="58" t="str">
        <v/>
      </c>
      <c r="B228" s="123" t="str">
        <f>IFERROR(TIMEVALUE(DaqBook_RAW_Data!Q116),IFERROR(TIMEVALUE(DaqBook_RAW_Data!#REF!),""))</f>
        <v/>
      </c>
      <c r="C228" s="145" t="str">
        <v/>
      </c>
      <c r="D228" s="145" t="str">
        <v/>
      </c>
      <c r="E228" s="145" t="str">
        <v/>
      </c>
      <c r="F228" s="145" t="str">
        <v/>
      </c>
      <c r="G228" s="145" t="str">
        <v/>
      </c>
      <c r="H228" s="145" t="str">
        <v/>
      </c>
      <c r="I228" s="145" t="str">
        <v/>
      </c>
      <c r="J228" s="145" t="str">
        <v/>
      </c>
      <c r="K228" s="145" t="str">
        <v/>
      </c>
      <c r="L228" s="145" t="str">
        <v/>
      </c>
      <c r="M228" s="145" t="str">
        <v/>
      </c>
      <c r="N228" s="145" t="str">
        <v/>
      </c>
      <c r="O228" s="145" t="str">
        <v/>
      </c>
      <c r="P228" s="145" t="str">
        <v/>
      </c>
    </row>
    <row r="229" spans="1:16" x14ac:dyDescent="0.2">
      <c r="A229" s="58" t="str">
        <v/>
      </c>
      <c r="B229" s="123" t="str">
        <f>IFERROR(TIMEVALUE(DaqBook_RAW_Data!Q117),IFERROR(TIMEVALUE(DaqBook_RAW_Data!#REF!),""))</f>
        <v/>
      </c>
      <c r="C229" s="145" t="str">
        <v/>
      </c>
      <c r="D229" s="145" t="str">
        <v/>
      </c>
      <c r="E229" s="145" t="str">
        <v/>
      </c>
      <c r="F229" s="145" t="str">
        <v/>
      </c>
      <c r="G229" s="145" t="str">
        <v/>
      </c>
      <c r="H229" s="145" t="str">
        <v/>
      </c>
      <c r="I229" s="145" t="str">
        <v/>
      </c>
      <c r="J229" s="145" t="str">
        <v/>
      </c>
      <c r="K229" s="145" t="str">
        <v/>
      </c>
      <c r="L229" s="145" t="str">
        <v/>
      </c>
      <c r="M229" s="145" t="str">
        <v/>
      </c>
      <c r="N229" s="145" t="str">
        <v/>
      </c>
      <c r="O229" s="145" t="str">
        <v/>
      </c>
      <c r="P229" s="145" t="str">
        <v/>
      </c>
    </row>
    <row r="230" spans="1:16" x14ac:dyDescent="0.2">
      <c r="A230" s="58" t="str">
        <v/>
      </c>
      <c r="B230" s="123" t="str">
        <f>IFERROR(TIMEVALUE(DaqBook_RAW_Data!Q118),IFERROR(TIMEVALUE(DaqBook_RAW_Data!#REF!),""))</f>
        <v/>
      </c>
      <c r="C230" s="145" t="str">
        <v/>
      </c>
      <c r="D230" s="145" t="str">
        <v/>
      </c>
      <c r="E230" s="145" t="str">
        <v/>
      </c>
      <c r="F230" s="145" t="str">
        <v/>
      </c>
      <c r="G230" s="145" t="str">
        <v/>
      </c>
      <c r="H230" s="145" t="str">
        <v/>
      </c>
      <c r="I230" s="145" t="str">
        <v/>
      </c>
      <c r="J230" s="145" t="str">
        <v/>
      </c>
      <c r="K230" s="145" t="str">
        <v/>
      </c>
      <c r="L230" s="145" t="str">
        <v/>
      </c>
      <c r="M230" s="145" t="str">
        <v/>
      </c>
      <c r="N230" s="145" t="str">
        <v/>
      </c>
      <c r="O230" s="145" t="str">
        <v/>
      </c>
      <c r="P230" s="145" t="str">
        <v/>
      </c>
    </row>
    <row r="231" spans="1:16" x14ac:dyDescent="0.2">
      <c r="A231" s="58" t="str">
        <v/>
      </c>
      <c r="B231" s="123" t="str">
        <f>IFERROR(TIMEVALUE(DaqBook_RAW_Data!Q119),IFERROR(TIMEVALUE(DaqBook_RAW_Data!#REF!),""))</f>
        <v/>
      </c>
      <c r="C231" s="145" t="str">
        <v/>
      </c>
      <c r="D231" s="145" t="str">
        <v/>
      </c>
      <c r="E231" s="145" t="str">
        <v/>
      </c>
      <c r="F231" s="145" t="str">
        <v/>
      </c>
      <c r="G231" s="145" t="str">
        <v/>
      </c>
      <c r="H231" s="145" t="str">
        <v/>
      </c>
      <c r="I231" s="145" t="str">
        <v/>
      </c>
      <c r="J231" s="145" t="str">
        <v/>
      </c>
      <c r="K231" s="145" t="str">
        <v/>
      </c>
      <c r="L231" s="145" t="str">
        <v/>
      </c>
      <c r="M231" s="145" t="str">
        <v/>
      </c>
      <c r="N231" s="145" t="str">
        <v/>
      </c>
      <c r="O231" s="145" t="str">
        <v/>
      </c>
      <c r="P231" s="145" t="str">
        <v/>
      </c>
    </row>
    <row r="232" spans="1:16" x14ac:dyDescent="0.2">
      <c r="A232" s="58" t="str">
        <v/>
      </c>
      <c r="B232" s="123" t="str">
        <f>IFERROR(TIMEVALUE(DaqBook_RAW_Data!Q120),IFERROR(TIMEVALUE(DaqBook_RAW_Data!#REF!),""))</f>
        <v/>
      </c>
      <c r="C232" s="145" t="str">
        <v/>
      </c>
      <c r="D232" s="145" t="str">
        <v/>
      </c>
      <c r="E232" s="145" t="str">
        <v/>
      </c>
      <c r="F232" s="145" t="str">
        <v/>
      </c>
      <c r="G232" s="145" t="str">
        <v/>
      </c>
      <c r="H232" s="145" t="str">
        <v/>
      </c>
      <c r="I232" s="145" t="str">
        <v/>
      </c>
      <c r="J232" s="145" t="str">
        <v/>
      </c>
      <c r="K232" s="145" t="str">
        <v/>
      </c>
      <c r="L232" s="145" t="str">
        <v/>
      </c>
      <c r="M232" s="145" t="str">
        <v/>
      </c>
      <c r="N232" s="145" t="str">
        <v/>
      </c>
      <c r="O232" s="145" t="str">
        <v/>
      </c>
      <c r="P232" s="145" t="str">
        <v/>
      </c>
    </row>
    <row r="233" spans="1:16" x14ac:dyDescent="0.2">
      <c r="A233" s="58" t="str">
        <v/>
      </c>
      <c r="B233" s="123" t="str">
        <f>IFERROR(TIMEVALUE(DaqBook_RAW_Data!Q121),IFERROR(TIMEVALUE(DaqBook_RAW_Data!#REF!),""))</f>
        <v/>
      </c>
      <c r="C233" s="145" t="str">
        <v/>
      </c>
      <c r="D233" s="145" t="str">
        <v/>
      </c>
      <c r="E233" s="145" t="str">
        <v/>
      </c>
      <c r="F233" s="145" t="str">
        <v/>
      </c>
      <c r="G233" s="145" t="str">
        <v/>
      </c>
      <c r="H233" s="145" t="str">
        <v/>
      </c>
      <c r="I233" s="145" t="str">
        <v/>
      </c>
      <c r="J233" s="145" t="str">
        <v/>
      </c>
      <c r="K233" s="145" t="str">
        <v/>
      </c>
      <c r="L233" s="145" t="str">
        <v/>
      </c>
      <c r="M233" s="145" t="str">
        <v/>
      </c>
      <c r="N233" s="145" t="str">
        <v/>
      </c>
      <c r="O233" s="145" t="str">
        <v/>
      </c>
      <c r="P233" s="145" t="str">
        <v/>
      </c>
    </row>
    <row r="234" spans="1:16" x14ac:dyDescent="0.2">
      <c r="A234" s="58" t="str">
        <v/>
      </c>
      <c r="B234" s="123" t="str">
        <f>IFERROR(TIMEVALUE(DaqBook_RAW_Data!Q122),IFERROR(TIMEVALUE(DaqBook_RAW_Data!#REF!),""))</f>
        <v/>
      </c>
      <c r="C234" s="145" t="str">
        <v/>
      </c>
      <c r="D234" s="145" t="str">
        <v/>
      </c>
      <c r="E234" s="145" t="str">
        <v/>
      </c>
      <c r="F234" s="145" t="str">
        <v/>
      </c>
      <c r="G234" s="145" t="str">
        <v/>
      </c>
      <c r="H234" s="145" t="str">
        <v/>
      </c>
      <c r="I234" s="145" t="str">
        <v/>
      </c>
      <c r="J234" s="145" t="str">
        <v/>
      </c>
      <c r="K234" s="145" t="str">
        <v/>
      </c>
      <c r="L234" s="145" t="str">
        <v/>
      </c>
      <c r="M234" s="145" t="str">
        <v/>
      </c>
      <c r="N234" s="145" t="str">
        <v/>
      </c>
      <c r="O234" s="145" t="str">
        <v/>
      </c>
      <c r="P234" s="145" t="str">
        <v/>
      </c>
    </row>
    <row r="235" spans="1:16" x14ac:dyDescent="0.2">
      <c r="A235" s="58" t="str">
        <v/>
      </c>
      <c r="B235" s="123" t="str">
        <f>IFERROR(TIMEVALUE(DaqBook_RAW_Data!Q123),IFERROR(TIMEVALUE(DaqBook_RAW_Data!#REF!),""))</f>
        <v/>
      </c>
      <c r="C235" s="145" t="str">
        <v/>
      </c>
      <c r="D235" s="145" t="str">
        <v/>
      </c>
      <c r="E235" s="145" t="str">
        <v/>
      </c>
      <c r="F235" s="145" t="str">
        <v/>
      </c>
      <c r="G235" s="145" t="str">
        <v/>
      </c>
      <c r="H235" s="145" t="str">
        <v/>
      </c>
      <c r="I235" s="145" t="str">
        <v/>
      </c>
      <c r="J235" s="145" t="str">
        <v/>
      </c>
      <c r="K235" s="145" t="str">
        <v/>
      </c>
      <c r="L235" s="145" t="str">
        <v/>
      </c>
      <c r="M235" s="145" t="str">
        <v/>
      </c>
      <c r="N235" s="145" t="str">
        <v/>
      </c>
      <c r="O235" s="145" t="str">
        <v/>
      </c>
      <c r="P235" s="145" t="str">
        <v/>
      </c>
    </row>
    <row r="236" spans="1:16" x14ac:dyDescent="0.2">
      <c r="A236" s="58" t="str">
        <v/>
      </c>
      <c r="B236" s="123" t="str">
        <f>IFERROR(TIMEVALUE(DaqBook_RAW_Data!Q124),IFERROR(TIMEVALUE(DaqBook_RAW_Data!#REF!),""))</f>
        <v/>
      </c>
      <c r="C236" s="145" t="str">
        <v/>
      </c>
      <c r="D236" s="145" t="str">
        <v/>
      </c>
      <c r="E236" s="145" t="str">
        <v/>
      </c>
      <c r="F236" s="145" t="str">
        <v/>
      </c>
      <c r="G236" s="145" t="str">
        <v/>
      </c>
      <c r="H236" s="145" t="str">
        <v/>
      </c>
      <c r="I236" s="145" t="str">
        <v/>
      </c>
      <c r="J236" s="145" t="str">
        <v/>
      </c>
      <c r="K236" s="145" t="str">
        <v/>
      </c>
      <c r="L236" s="145" t="str">
        <v/>
      </c>
      <c r="M236" s="145" t="str">
        <v/>
      </c>
      <c r="N236" s="145" t="str">
        <v/>
      </c>
      <c r="O236" s="145" t="str">
        <v/>
      </c>
      <c r="P236" s="145" t="str">
        <v/>
      </c>
    </row>
    <row r="237" spans="1:16" x14ac:dyDescent="0.2">
      <c r="A237" s="58" t="str">
        <v/>
      </c>
      <c r="B237" s="123" t="str">
        <f>IFERROR(TIMEVALUE(DaqBook_RAW_Data!Q125),IFERROR(TIMEVALUE(DaqBook_RAW_Data!#REF!),""))</f>
        <v/>
      </c>
      <c r="C237" s="145" t="str">
        <v/>
      </c>
      <c r="D237" s="145" t="str">
        <v/>
      </c>
      <c r="E237" s="145" t="str">
        <v/>
      </c>
      <c r="F237" s="145" t="str">
        <v/>
      </c>
      <c r="G237" s="145" t="str">
        <v/>
      </c>
      <c r="H237" s="145" t="str">
        <v/>
      </c>
      <c r="I237" s="145" t="str">
        <v/>
      </c>
      <c r="J237" s="145" t="str">
        <v/>
      </c>
      <c r="K237" s="145" t="str">
        <v/>
      </c>
      <c r="L237" s="145" t="str">
        <v/>
      </c>
      <c r="M237" s="145" t="str">
        <v/>
      </c>
      <c r="N237" s="145" t="str">
        <v/>
      </c>
      <c r="O237" s="145" t="str">
        <v/>
      </c>
      <c r="P237" s="145" t="str">
        <v/>
      </c>
    </row>
    <row r="238" spans="1:16" x14ac:dyDescent="0.2">
      <c r="A238" s="58" t="str">
        <v/>
      </c>
      <c r="B238" s="123" t="str">
        <f>IFERROR(TIMEVALUE(DaqBook_RAW_Data!Q126),IFERROR(TIMEVALUE(DaqBook_RAW_Data!#REF!),""))</f>
        <v/>
      </c>
      <c r="C238" s="145" t="str">
        <v/>
      </c>
      <c r="D238" s="145" t="str">
        <v/>
      </c>
      <c r="E238" s="145" t="str">
        <v/>
      </c>
      <c r="F238" s="145" t="str">
        <v/>
      </c>
      <c r="G238" s="145" t="str">
        <v/>
      </c>
      <c r="H238" s="145" t="str">
        <v/>
      </c>
      <c r="I238" s="145" t="str">
        <v/>
      </c>
      <c r="J238" s="145" t="str">
        <v/>
      </c>
      <c r="K238" s="145" t="str">
        <v/>
      </c>
      <c r="L238" s="145" t="str">
        <v/>
      </c>
      <c r="M238" s="145" t="str">
        <v/>
      </c>
      <c r="N238" s="145" t="str">
        <v/>
      </c>
      <c r="O238" s="145" t="str">
        <v/>
      </c>
      <c r="P238" s="145" t="str">
        <v/>
      </c>
    </row>
    <row r="239" spans="1:16" x14ac:dyDescent="0.2">
      <c r="A239" s="58" t="str">
        <v/>
      </c>
      <c r="B239" s="123" t="str">
        <f>IFERROR(TIMEVALUE(DaqBook_RAW_Data!Q127),IFERROR(TIMEVALUE(DaqBook_RAW_Data!#REF!),""))</f>
        <v/>
      </c>
      <c r="C239" s="145" t="str">
        <v/>
      </c>
      <c r="D239" s="145" t="str">
        <v/>
      </c>
      <c r="E239" s="145" t="str">
        <v/>
      </c>
      <c r="F239" s="145" t="str">
        <v/>
      </c>
      <c r="G239" s="145" t="str">
        <v/>
      </c>
      <c r="H239" s="145" t="str">
        <v/>
      </c>
      <c r="I239" s="145" t="str">
        <v/>
      </c>
      <c r="J239" s="145" t="str">
        <v/>
      </c>
      <c r="K239" s="145" t="str">
        <v/>
      </c>
      <c r="L239" s="145" t="str">
        <v/>
      </c>
      <c r="M239" s="145" t="str">
        <v/>
      </c>
      <c r="N239" s="145" t="str">
        <v/>
      </c>
      <c r="O239" s="145" t="str">
        <v/>
      </c>
      <c r="P239" s="145" t="str">
        <v/>
      </c>
    </row>
    <row r="240" spans="1:16" x14ac:dyDescent="0.2">
      <c r="A240" s="58" t="str">
        <v/>
      </c>
      <c r="B240" s="123" t="str">
        <f>IFERROR(TIMEVALUE(DaqBook_RAW_Data!Q128),IFERROR(TIMEVALUE(DaqBook_RAW_Data!#REF!),""))</f>
        <v/>
      </c>
      <c r="C240" s="145" t="str">
        <v/>
      </c>
      <c r="D240" s="145" t="str">
        <v/>
      </c>
      <c r="E240" s="145" t="str">
        <v/>
      </c>
      <c r="F240" s="145" t="str">
        <v/>
      </c>
      <c r="G240" s="145" t="str">
        <v/>
      </c>
      <c r="H240" s="145" t="str">
        <v/>
      </c>
      <c r="I240" s="145" t="str">
        <v/>
      </c>
      <c r="J240" s="145" t="str">
        <v/>
      </c>
      <c r="K240" s="145" t="str">
        <v/>
      </c>
      <c r="L240" s="145" t="str">
        <v/>
      </c>
      <c r="M240" s="145" t="str">
        <v/>
      </c>
      <c r="N240" s="145" t="str">
        <v/>
      </c>
      <c r="O240" s="145" t="str">
        <v/>
      </c>
      <c r="P240" s="145" t="str">
        <v/>
      </c>
    </row>
    <row r="241" spans="1:16" x14ac:dyDescent="0.2">
      <c r="A241" s="58" t="str">
        <v/>
      </c>
      <c r="B241" s="123" t="str">
        <f>IFERROR(TIMEVALUE(DaqBook_RAW_Data!Q129),IFERROR(TIMEVALUE(DaqBook_RAW_Data!#REF!),""))</f>
        <v/>
      </c>
      <c r="C241" s="145" t="str">
        <v/>
      </c>
      <c r="D241" s="145" t="str">
        <v/>
      </c>
      <c r="E241" s="145" t="str">
        <v/>
      </c>
      <c r="F241" s="145" t="str">
        <v/>
      </c>
      <c r="G241" s="145" t="str">
        <v/>
      </c>
      <c r="H241" s="145" t="str">
        <v/>
      </c>
      <c r="I241" s="145" t="str">
        <v/>
      </c>
      <c r="J241" s="145" t="str">
        <v/>
      </c>
      <c r="K241" s="145" t="str">
        <v/>
      </c>
      <c r="L241" s="145" t="str">
        <v/>
      </c>
      <c r="M241" s="145" t="str">
        <v/>
      </c>
      <c r="N241" s="145" t="str">
        <v/>
      </c>
      <c r="O241" s="145" t="str">
        <v/>
      </c>
      <c r="P241" s="145" t="str">
        <v/>
      </c>
    </row>
    <row r="242" spans="1:16" x14ac:dyDescent="0.2">
      <c r="A242" s="58" t="str">
        <v/>
      </c>
      <c r="B242" s="123" t="str">
        <f>IFERROR(TIMEVALUE(DaqBook_RAW_Data!Q130),IFERROR(TIMEVALUE(DaqBook_RAW_Data!#REF!),""))</f>
        <v/>
      </c>
      <c r="C242" s="145" t="str">
        <v/>
      </c>
      <c r="D242" s="145" t="str">
        <v/>
      </c>
      <c r="E242" s="145" t="str">
        <v/>
      </c>
      <c r="F242" s="145" t="str">
        <v/>
      </c>
      <c r="G242" s="145" t="str">
        <v/>
      </c>
      <c r="H242" s="145" t="str">
        <v/>
      </c>
      <c r="I242" s="145" t="str">
        <v/>
      </c>
      <c r="J242" s="145" t="str">
        <v/>
      </c>
      <c r="K242" s="145" t="str">
        <v/>
      </c>
      <c r="L242" s="145" t="str">
        <v/>
      </c>
      <c r="M242" s="145" t="str">
        <v/>
      </c>
      <c r="N242" s="145" t="str">
        <v/>
      </c>
      <c r="O242" s="145" t="str">
        <v/>
      </c>
      <c r="P242" s="145" t="str">
        <v/>
      </c>
    </row>
    <row r="243" spans="1:16" x14ac:dyDescent="0.2">
      <c r="A243" s="58" t="str">
        <v/>
      </c>
      <c r="B243" s="123" t="str">
        <f>IFERROR(TIMEVALUE(DaqBook_RAW_Data!Q131),IFERROR(TIMEVALUE(DaqBook_RAW_Data!#REF!),""))</f>
        <v/>
      </c>
      <c r="C243" s="145" t="str">
        <v/>
      </c>
      <c r="D243" s="145" t="str">
        <v/>
      </c>
      <c r="E243" s="145" t="str">
        <v/>
      </c>
      <c r="F243" s="145" t="str">
        <v/>
      </c>
      <c r="G243" s="145" t="str">
        <v/>
      </c>
      <c r="H243" s="145" t="str">
        <v/>
      </c>
      <c r="I243" s="145" t="str">
        <v/>
      </c>
      <c r="J243" s="145" t="str">
        <v/>
      </c>
      <c r="K243" s="145" t="str">
        <v/>
      </c>
      <c r="L243" s="145" t="str">
        <v/>
      </c>
      <c r="M243" s="145" t="str">
        <v/>
      </c>
      <c r="N243" s="145" t="str">
        <v/>
      </c>
      <c r="O243" s="145" t="str">
        <v/>
      </c>
      <c r="P243" s="145" t="str">
        <v/>
      </c>
    </row>
    <row r="244" spans="1:16" x14ac:dyDescent="0.2">
      <c r="A244" s="58" t="str">
        <v/>
      </c>
      <c r="B244" s="123" t="str">
        <f>IFERROR(TIMEVALUE(DaqBook_RAW_Data!Q132),IFERROR(TIMEVALUE(DaqBook_RAW_Data!#REF!),""))</f>
        <v/>
      </c>
      <c r="C244" s="145" t="str">
        <v/>
      </c>
      <c r="D244" s="145" t="str">
        <v/>
      </c>
      <c r="E244" s="145" t="str">
        <v/>
      </c>
      <c r="F244" s="145" t="str">
        <v/>
      </c>
      <c r="G244" s="145" t="str">
        <v/>
      </c>
      <c r="H244" s="145" t="str">
        <v/>
      </c>
      <c r="I244" s="145" t="str">
        <v/>
      </c>
      <c r="J244" s="145" t="str">
        <v/>
      </c>
      <c r="K244" s="145" t="str">
        <v/>
      </c>
      <c r="L244" s="145" t="str">
        <v/>
      </c>
      <c r="M244" s="145" t="str">
        <v/>
      </c>
      <c r="N244" s="145" t="str">
        <v/>
      </c>
      <c r="O244" s="145" t="str">
        <v/>
      </c>
      <c r="P244" s="145" t="str">
        <v/>
      </c>
    </row>
    <row r="245" spans="1:16" x14ac:dyDescent="0.2">
      <c r="A245" s="58" t="str">
        <v/>
      </c>
      <c r="B245" s="123" t="str">
        <f>IFERROR(TIMEVALUE(DaqBook_RAW_Data!Q133),IFERROR(TIMEVALUE(DaqBook_RAW_Data!#REF!),""))</f>
        <v/>
      </c>
      <c r="C245" s="145" t="str">
        <v/>
      </c>
      <c r="D245" s="145" t="str">
        <v/>
      </c>
      <c r="E245" s="145" t="str">
        <v/>
      </c>
      <c r="F245" s="145" t="str">
        <v/>
      </c>
      <c r="G245" s="145" t="str">
        <v/>
      </c>
      <c r="H245" s="145" t="str">
        <v/>
      </c>
      <c r="I245" s="145" t="str">
        <v/>
      </c>
      <c r="J245" s="145" t="str">
        <v/>
      </c>
      <c r="K245" s="145" t="str">
        <v/>
      </c>
      <c r="L245" s="145" t="str">
        <v/>
      </c>
      <c r="M245" s="145" t="str">
        <v/>
      </c>
      <c r="N245" s="145" t="str">
        <v/>
      </c>
      <c r="O245" s="145" t="str">
        <v/>
      </c>
      <c r="P245" s="145" t="str">
        <v/>
      </c>
    </row>
    <row r="246" spans="1:16" x14ac:dyDescent="0.2">
      <c r="A246" s="58" t="str">
        <v/>
      </c>
      <c r="B246" s="123" t="str">
        <f>IFERROR(TIMEVALUE(DaqBook_RAW_Data!Q134),IFERROR(TIMEVALUE(DaqBook_RAW_Data!#REF!),""))</f>
        <v/>
      </c>
      <c r="C246" s="145" t="str">
        <v/>
      </c>
      <c r="D246" s="145" t="str">
        <v/>
      </c>
      <c r="E246" s="145" t="str">
        <v/>
      </c>
      <c r="F246" s="145" t="str">
        <v/>
      </c>
      <c r="G246" s="145" t="str">
        <v/>
      </c>
      <c r="H246" s="145" t="str">
        <v/>
      </c>
      <c r="I246" s="145" t="str">
        <v/>
      </c>
      <c r="J246" s="145" t="str">
        <v/>
      </c>
      <c r="K246" s="145" t="str">
        <v/>
      </c>
      <c r="L246" s="145" t="str">
        <v/>
      </c>
      <c r="M246" s="145" t="str">
        <v/>
      </c>
      <c r="N246" s="145" t="str">
        <v/>
      </c>
      <c r="O246" s="145" t="str">
        <v/>
      </c>
      <c r="P246" s="145" t="str">
        <v/>
      </c>
    </row>
    <row r="247" spans="1:16" x14ac:dyDescent="0.2">
      <c r="A247" s="58" t="str">
        <v/>
      </c>
      <c r="B247" s="123" t="str">
        <f>IFERROR(TIMEVALUE(DaqBook_RAW_Data!Q135),IFERROR(TIMEVALUE(DaqBook_RAW_Data!#REF!),""))</f>
        <v/>
      </c>
      <c r="C247" s="145" t="str">
        <v/>
      </c>
      <c r="D247" s="145" t="str">
        <v/>
      </c>
      <c r="E247" s="145" t="str">
        <v/>
      </c>
      <c r="F247" s="145" t="str">
        <v/>
      </c>
      <c r="G247" s="145" t="str">
        <v/>
      </c>
      <c r="H247" s="145" t="str">
        <v/>
      </c>
      <c r="I247" s="145" t="str">
        <v/>
      </c>
      <c r="J247" s="145" t="str">
        <v/>
      </c>
      <c r="K247" s="145" t="str">
        <v/>
      </c>
      <c r="L247" s="145" t="str">
        <v/>
      </c>
      <c r="M247" s="145" t="str">
        <v/>
      </c>
      <c r="N247" s="145" t="str">
        <v/>
      </c>
      <c r="O247" s="145" t="str">
        <v/>
      </c>
      <c r="P247" s="145" t="str">
        <v/>
      </c>
    </row>
    <row r="248" spans="1:16" x14ac:dyDescent="0.2">
      <c r="A248" s="58" t="str">
        <v/>
      </c>
      <c r="B248" s="123" t="str">
        <f>IFERROR(TIMEVALUE(DaqBook_RAW_Data!Q136),IFERROR(TIMEVALUE(DaqBook_RAW_Data!#REF!),""))</f>
        <v/>
      </c>
      <c r="C248" s="145" t="str">
        <v/>
      </c>
      <c r="D248" s="145" t="str">
        <v/>
      </c>
      <c r="E248" s="145" t="str">
        <v/>
      </c>
      <c r="F248" s="145" t="str">
        <v/>
      </c>
      <c r="G248" s="145" t="str">
        <v/>
      </c>
      <c r="H248" s="145" t="str">
        <v/>
      </c>
      <c r="I248" s="145" t="str">
        <v/>
      </c>
      <c r="J248" s="145" t="str">
        <v/>
      </c>
      <c r="K248" s="145" t="str">
        <v/>
      </c>
      <c r="L248" s="145" t="str">
        <v/>
      </c>
      <c r="M248" s="145" t="str">
        <v/>
      </c>
      <c r="N248" s="145" t="str">
        <v/>
      </c>
      <c r="O248" s="145" t="str">
        <v/>
      </c>
      <c r="P248" s="145" t="str">
        <v/>
      </c>
    </row>
    <row r="249" spans="1:16" x14ac:dyDescent="0.2">
      <c r="A249" s="58" t="str">
        <v/>
      </c>
      <c r="B249" s="123" t="str">
        <f>IFERROR(TIMEVALUE(DaqBook_RAW_Data!Q137),IFERROR(TIMEVALUE(DaqBook_RAW_Data!#REF!),""))</f>
        <v/>
      </c>
      <c r="C249" s="145" t="str">
        <v/>
      </c>
      <c r="D249" s="145" t="str">
        <v/>
      </c>
      <c r="E249" s="145" t="str">
        <v/>
      </c>
      <c r="F249" s="145" t="str">
        <v/>
      </c>
      <c r="G249" s="145" t="str">
        <v/>
      </c>
      <c r="H249" s="145" t="str">
        <v/>
      </c>
      <c r="I249" s="145" t="str">
        <v/>
      </c>
      <c r="J249" s="145" t="str">
        <v/>
      </c>
      <c r="K249" s="145" t="str">
        <v/>
      </c>
      <c r="L249" s="145" t="str">
        <v/>
      </c>
      <c r="M249" s="145" t="str">
        <v/>
      </c>
      <c r="N249" s="145" t="str">
        <v/>
      </c>
      <c r="O249" s="145" t="str">
        <v/>
      </c>
      <c r="P249" s="145" t="str">
        <v/>
      </c>
    </row>
    <row r="250" spans="1:16" x14ac:dyDescent="0.2">
      <c r="A250" s="58" t="str">
        <v/>
      </c>
      <c r="B250" s="123" t="str">
        <f>IFERROR(TIMEVALUE(DaqBook_RAW_Data!Q138),IFERROR(TIMEVALUE(DaqBook_RAW_Data!#REF!),""))</f>
        <v/>
      </c>
      <c r="C250" s="145" t="str">
        <v/>
      </c>
      <c r="D250" s="145" t="str">
        <v/>
      </c>
      <c r="E250" s="145" t="str">
        <v/>
      </c>
      <c r="F250" s="145" t="str">
        <v/>
      </c>
      <c r="G250" s="145" t="str">
        <v/>
      </c>
      <c r="H250" s="145" t="str">
        <v/>
      </c>
      <c r="I250" s="145" t="str">
        <v/>
      </c>
      <c r="J250" s="145" t="str">
        <v/>
      </c>
      <c r="K250" s="145" t="str">
        <v/>
      </c>
      <c r="L250" s="145" t="str">
        <v/>
      </c>
      <c r="M250" s="145" t="str">
        <v/>
      </c>
      <c r="N250" s="145" t="str">
        <v/>
      </c>
      <c r="O250" s="145" t="str">
        <v/>
      </c>
      <c r="P250" s="145" t="str">
        <v/>
      </c>
    </row>
    <row r="251" spans="1:16" x14ac:dyDescent="0.2">
      <c r="A251" s="58" t="str">
        <v/>
      </c>
      <c r="B251" s="123" t="str">
        <f>IFERROR(TIMEVALUE(DaqBook_RAW_Data!Q139),IFERROR(TIMEVALUE(DaqBook_RAW_Data!#REF!),""))</f>
        <v/>
      </c>
      <c r="C251" s="145" t="str">
        <v/>
      </c>
      <c r="D251" s="145" t="str">
        <v/>
      </c>
      <c r="E251" s="145" t="str">
        <v/>
      </c>
      <c r="F251" s="145" t="str">
        <v/>
      </c>
      <c r="G251" s="145" t="str">
        <v/>
      </c>
      <c r="H251" s="145" t="str">
        <v/>
      </c>
      <c r="I251" s="145" t="str">
        <v/>
      </c>
      <c r="J251" s="145" t="str">
        <v/>
      </c>
      <c r="K251" s="145" t="str">
        <v/>
      </c>
      <c r="L251" s="145" t="str">
        <v/>
      </c>
      <c r="M251" s="145" t="str">
        <v/>
      </c>
      <c r="N251" s="145" t="str">
        <v/>
      </c>
      <c r="O251" s="145" t="str">
        <v/>
      </c>
      <c r="P251" s="145" t="str">
        <v/>
      </c>
    </row>
    <row r="252" spans="1:16" x14ac:dyDescent="0.2">
      <c r="A252" s="58" t="str">
        <v/>
      </c>
      <c r="B252" s="123" t="str">
        <f>IFERROR(TIMEVALUE(DaqBook_RAW_Data!Q140),IFERROR(TIMEVALUE(DaqBook_RAW_Data!#REF!),""))</f>
        <v/>
      </c>
      <c r="C252" s="145" t="str">
        <v/>
      </c>
      <c r="D252" s="145" t="str">
        <v/>
      </c>
      <c r="E252" s="145" t="str">
        <v/>
      </c>
      <c r="F252" s="145" t="str">
        <v/>
      </c>
      <c r="G252" s="145" t="str">
        <v/>
      </c>
      <c r="H252" s="145" t="str">
        <v/>
      </c>
      <c r="I252" s="145" t="str">
        <v/>
      </c>
      <c r="J252" s="145" t="str">
        <v/>
      </c>
      <c r="K252" s="145" t="str">
        <v/>
      </c>
      <c r="L252" s="145" t="str">
        <v/>
      </c>
      <c r="M252" s="145" t="str">
        <v/>
      </c>
      <c r="N252" s="145" t="str">
        <v/>
      </c>
      <c r="O252" s="145" t="str">
        <v/>
      </c>
      <c r="P252" s="145" t="str">
        <v/>
      </c>
    </row>
    <row r="253" spans="1:16" x14ac:dyDescent="0.2">
      <c r="A253" s="58" t="str">
        <v/>
      </c>
      <c r="B253" s="123" t="str">
        <f>IFERROR(TIMEVALUE(DaqBook_RAW_Data!Q141),IFERROR(TIMEVALUE(DaqBook_RAW_Data!#REF!),""))</f>
        <v/>
      </c>
      <c r="C253" s="145" t="str">
        <v/>
      </c>
      <c r="D253" s="145" t="str">
        <v/>
      </c>
      <c r="E253" s="145" t="str">
        <v/>
      </c>
      <c r="F253" s="145" t="str">
        <v/>
      </c>
      <c r="G253" s="145" t="str">
        <v/>
      </c>
      <c r="H253" s="145" t="str">
        <v/>
      </c>
      <c r="I253" s="145" t="str">
        <v/>
      </c>
      <c r="J253" s="145" t="str">
        <v/>
      </c>
      <c r="K253" s="145" t="str">
        <v/>
      </c>
      <c r="L253" s="145" t="str">
        <v/>
      </c>
      <c r="M253" s="145" t="str">
        <v/>
      </c>
      <c r="N253" s="145" t="str">
        <v/>
      </c>
      <c r="O253" s="145" t="str">
        <v/>
      </c>
      <c r="P253" s="145" t="str">
        <v/>
      </c>
    </row>
    <row r="254" spans="1:16" x14ac:dyDescent="0.2">
      <c r="A254" s="58" t="str">
        <v/>
      </c>
      <c r="B254" s="123" t="str">
        <f>IFERROR(TIMEVALUE(DaqBook_RAW_Data!Q142),IFERROR(TIMEVALUE(DaqBook_RAW_Data!#REF!),""))</f>
        <v/>
      </c>
      <c r="C254" s="145" t="str">
        <v/>
      </c>
      <c r="D254" s="145" t="str">
        <v/>
      </c>
      <c r="E254" s="145" t="str">
        <v/>
      </c>
      <c r="F254" s="145" t="str">
        <v/>
      </c>
      <c r="G254" s="145" t="str">
        <v/>
      </c>
      <c r="H254" s="145" t="str">
        <v/>
      </c>
      <c r="I254" s="145" t="str">
        <v/>
      </c>
      <c r="J254" s="145" t="str">
        <v/>
      </c>
      <c r="K254" s="145" t="str">
        <v/>
      </c>
      <c r="L254" s="145" t="str">
        <v/>
      </c>
      <c r="M254" s="145" t="str">
        <v/>
      </c>
      <c r="N254" s="145" t="str">
        <v/>
      </c>
      <c r="O254" s="145" t="str">
        <v/>
      </c>
      <c r="P254" s="145" t="str">
        <v/>
      </c>
    </row>
    <row r="255" spans="1:16" x14ac:dyDescent="0.2">
      <c r="A255" s="58" t="str">
        <v/>
      </c>
      <c r="B255" s="123" t="str">
        <f>IFERROR(TIMEVALUE(DaqBook_RAW_Data!Q143),IFERROR(TIMEVALUE(DaqBook_RAW_Data!#REF!),""))</f>
        <v/>
      </c>
      <c r="C255" s="145" t="str">
        <v/>
      </c>
      <c r="D255" s="145" t="str">
        <v/>
      </c>
      <c r="E255" s="145" t="str">
        <v/>
      </c>
      <c r="F255" s="145" t="str">
        <v/>
      </c>
      <c r="G255" s="145" t="str">
        <v/>
      </c>
      <c r="H255" s="145" t="str">
        <v/>
      </c>
      <c r="I255" s="145" t="str">
        <v/>
      </c>
      <c r="J255" s="145" t="str">
        <v/>
      </c>
      <c r="K255" s="145" t="str">
        <v/>
      </c>
      <c r="L255" s="145" t="str">
        <v/>
      </c>
      <c r="M255" s="145" t="str">
        <v/>
      </c>
      <c r="N255" s="145" t="str">
        <v/>
      </c>
      <c r="O255" s="145" t="str">
        <v/>
      </c>
      <c r="P255" s="145" t="str">
        <v/>
      </c>
    </row>
    <row r="256" spans="1:16" x14ac:dyDescent="0.2">
      <c r="A256" s="58" t="str">
        <v/>
      </c>
      <c r="B256" s="123" t="str">
        <f>IFERROR(TIMEVALUE(DaqBook_RAW_Data!Q144),IFERROR(TIMEVALUE(DaqBook_RAW_Data!#REF!),""))</f>
        <v/>
      </c>
      <c r="C256" s="145" t="str">
        <v/>
      </c>
      <c r="D256" s="145" t="str">
        <v/>
      </c>
      <c r="E256" s="145" t="str">
        <v/>
      </c>
      <c r="F256" s="145" t="str">
        <v/>
      </c>
      <c r="G256" s="145" t="str">
        <v/>
      </c>
      <c r="H256" s="145" t="str">
        <v/>
      </c>
      <c r="I256" s="145" t="str">
        <v/>
      </c>
      <c r="J256" s="145" t="str">
        <v/>
      </c>
      <c r="K256" s="145" t="str">
        <v/>
      </c>
      <c r="L256" s="145" t="str">
        <v/>
      </c>
      <c r="M256" s="145" t="str">
        <v/>
      </c>
      <c r="N256" s="145" t="str">
        <v/>
      </c>
      <c r="O256" s="145" t="str">
        <v/>
      </c>
      <c r="P256" s="145" t="str">
        <v/>
      </c>
    </row>
    <row r="257" spans="1:16" x14ac:dyDescent="0.2">
      <c r="A257" s="58" t="str">
        <v/>
      </c>
      <c r="B257" s="123" t="str">
        <f>IFERROR(TIMEVALUE(DaqBook_RAW_Data!Q145),IFERROR(TIMEVALUE(DaqBook_RAW_Data!#REF!),""))</f>
        <v/>
      </c>
      <c r="C257" s="145" t="str">
        <v/>
      </c>
      <c r="D257" s="145" t="str">
        <v/>
      </c>
      <c r="E257" s="145" t="str">
        <v/>
      </c>
      <c r="F257" s="145" t="str">
        <v/>
      </c>
      <c r="G257" s="145" t="str">
        <v/>
      </c>
      <c r="H257" s="145" t="str">
        <v/>
      </c>
      <c r="I257" s="145" t="str">
        <v/>
      </c>
      <c r="J257" s="145" t="str">
        <v/>
      </c>
      <c r="K257" s="145" t="str">
        <v/>
      </c>
      <c r="L257" s="145" t="str">
        <v/>
      </c>
      <c r="M257" s="145" t="str">
        <v/>
      </c>
      <c r="N257" s="145" t="str">
        <v/>
      </c>
      <c r="O257" s="145" t="str">
        <v/>
      </c>
      <c r="P257" s="145" t="str">
        <v/>
      </c>
    </row>
    <row r="258" spans="1:16" x14ac:dyDescent="0.2">
      <c r="A258" s="58" t="str">
        <v/>
      </c>
      <c r="B258" s="123" t="str">
        <f>IFERROR(TIMEVALUE(DaqBook_RAW_Data!Q146),IFERROR(TIMEVALUE(DaqBook_RAW_Data!#REF!),""))</f>
        <v/>
      </c>
      <c r="C258" s="145" t="str">
        <v/>
      </c>
      <c r="D258" s="145" t="str">
        <v/>
      </c>
      <c r="E258" s="145" t="str">
        <v/>
      </c>
      <c r="F258" s="145" t="str">
        <v/>
      </c>
      <c r="G258" s="145" t="str">
        <v/>
      </c>
      <c r="H258" s="145" t="str">
        <v/>
      </c>
      <c r="I258" s="145" t="str">
        <v/>
      </c>
      <c r="J258" s="145" t="str">
        <v/>
      </c>
      <c r="K258" s="145" t="str">
        <v/>
      </c>
      <c r="L258" s="145" t="str">
        <v/>
      </c>
      <c r="M258" s="145" t="str">
        <v/>
      </c>
      <c r="N258" s="145" t="str">
        <v/>
      </c>
      <c r="O258" s="145" t="str">
        <v/>
      </c>
      <c r="P258" s="145" t="str">
        <v/>
      </c>
    </row>
    <row r="259" spans="1:16" x14ac:dyDescent="0.2">
      <c r="A259" s="58" t="str">
        <v/>
      </c>
      <c r="B259" s="123" t="str">
        <f>IFERROR(TIMEVALUE(DaqBook_RAW_Data!Q147),IFERROR(TIMEVALUE(DaqBook_RAW_Data!#REF!),""))</f>
        <v/>
      </c>
      <c r="C259" s="145" t="str">
        <v/>
      </c>
      <c r="D259" s="145" t="str">
        <v/>
      </c>
      <c r="E259" s="145" t="str">
        <v/>
      </c>
      <c r="F259" s="145" t="str">
        <v/>
      </c>
      <c r="G259" s="145" t="str">
        <v/>
      </c>
      <c r="H259" s="145" t="str">
        <v/>
      </c>
      <c r="I259" s="145" t="str">
        <v/>
      </c>
      <c r="J259" s="145" t="str">
        <v/>
      </c>
      <c r="K259" s="145" t="str">
        <v/>
      </c>
      <c r="L259" s="145" t="str">
        <v/>
      </c>
      <c r="M259" s="145" t="str">
        <v/>
      </c>
      <c r="N259" s="145" t="str">
        <v/>
      </c>
      <c r="O259" s="145" t="str">
        <v/>
      </c>
      <c r="P259" s="145" t="str">
        <v/>
      </c>
    </row>
    <row r="260" spans="1:16" x14ac:dyDescent="0.2">
      <c r="A260" s="58" t="str">
        <v/>
      </c>
      <c r="B260" s="123" t="str">
        <f>IFERROR(TIMEVALUE(DaqBook_RAW_Data!Q148),IFERROR(TIMEVALUE(DaqBook_RAW_Data!#REF!),""))</f>
        <v/>
      </c>
      <c r="C260" s="145" t="str">
        <v/>
      </c>
      <c r="D260" s="145" t="str">
        <v/>
      </c>
      <c r="E260" s="145" t="str">
        <v/>
      </c>
      <c r="F260" s="145" t="str">
        <v/>
      </c>
      <c r="G260" s="145" t="str">
        <v/>
      </c>
      <c r="H260" s="145" t="str">
        <v/>
      </c>
      <c r="I260" s="145" t="str">
        <v/>
      </c>
      <c r="J260" s="145" t="str">
        <v/>
      </c>
      <c r="K260" s="145" t="str">
        <v/>
      </c>
      <c r="L260" s="145" t="str">
        <v/>
      </c>
      <c r="M260" s="145" t="str">
        <v/>
      </c>
      <c r="N260" s="145" t="str">
        <v/>
      </c>
      <c r="O260" s="145" t="str">
        <v/>
      </c>
      <c r="P260" s="145" t="str">
        <v/>
      </c>
    </row>
    <row r="261" spans="1:16" x14ac:dyDescent="0.2">
      <c r="A261" s="58" t="str">
        <v/>
      </c>
      <c r="B261" s="123" t="str">
        <f>IFERROR(TIMEVALUE(DaqBook_RAW_Data!Q149),IFERROR(TIMEVALUE(DaqBook_RAW_Data!#REF!),""))</f>
        <v/>
      </c>
      <c r="C261" s="145" t="str">
        <v/>
      </c>
      <c r="D261" s="145" t="str">
        <v/>
      </c>
      <c r="E261" s="145" t="str">
        <v/>
      </c>
      <c r="F261" s="145" t="str">
        <v/>
      </c>
      <c r="G261" s="145" t="str">
        <v/>
      </c>
      <c r="H261" s="145" t="str">
        <v/>
      </c>
      <c r="I261" s="145" t="str">
        <v/>
      </c>
      <c r="J261" s="145" t="str">
        <v/>
      </c>
      <c r="K261" s="145" t="str">
        <v/>
      </c>
      <c r="L261" s="145" t="str">
        <v/>
      </c>
      <c r="M261" s="145" t="str">
        <v/>
      </c>
      <c r="N261" s="145" t="str">
        <v/>
      </c>
      <c r="O261" s="145" t="str">
        <v/>
      </c>
      <c r="P261" s="145" t="str">
        <v/>
      </c>
    </row>
    <row r="262" spans="1:16" x14ac:dyDescent="0.2">
      <c r="A262" s="58" t="str">
        <v/>
      </c>
      <c r="B262" s="123" t="str">
        <f>IFERROR(TIMEVALUE(DaqBook_RAW_Data!Q150),IFERROR(TIMEVALUE(DaqBook_RAW_Data!#REF!),""))</f>
        <v/>
      </c>
      <c r="C262" s="145" t="str">
        <v/>
      </c>
      <c r="D262" s="145" t="str">
        <v/>
      </c>
      <c r="E262" s="145" t="str">
        <v/>
      </c>
      <c r="F262" s="145" t="str">
        <v/>
      </c>
      <c r="G262" s="145" t="str">
        <v/>
      </c>
      <c r="H262" s="145" t="str">
        <v/>
      </c>
      <c r="I262" s="145" t="str">
        <v/>
      </c>
      <c r="J262" s="145" t="str">
        <v/>
      </c>
      <c r="K262" s="145" t="str">
        <v/>
      </c>
      <c r="L262" s="145" t="str">
        <v/>
      </c>
      <c r="M262" s="145" t="str">
        <v/>
      </c>
      <c r="N262" s="145" t="str">
        <v/>
      </c>
      <c r="O262" s="145" t="str">
        <v/>
      </c>
      <c r="P262" s="145" t="str">
        <v/>
      </c>
    </row>
    <row r="263" spans="1:16" x14ac:dyDescent="0.2">
      <c r="A263" s="58" t="str">
        <v/>
      </c>
      <c r="B263" s="123" t="str">
        <f>IFERROR(TIMEVALUE(DaqBook_RAW_Data!Q151),IFERROR(TIMEVALUE(DaqBook_RAW_Data!#REF!),""))</f>
        <v/>
      </c>
      <c r="C263" s="145" t="str">
        <v/>
      </c>
      <c r="D263" s="145" t="str">
        <v/>
      </c>
      <c r="E263" s="145" t="str">
        <v/>
      </c>
      <c r="F263" s="145" t="str">
        <v/>
      </c>
      <c r="G263" s="145" t="str">
        <v/>
      </c>
      <c r="H263" s="145" t="str">
        <v/>
      </c>
      <c r="I263" s="145" t="str">
        <v/>
      </c>
      <c r="J263" s="145" t="str">
        <v/>
      </c>
      <c r="K263" s="145" t="str">
        <v/>
      </c>
      <c r="L263" s="145" t="str">
        <v/>
      </c>
      <c r="M263" s="145" t="str">
        <v/>
      </c>
      <c r="N263" s="145" t="str">
        <v/>
      </c>
      <c r="O263" s="145" t="str">
        <v/>
      </c>
      <c r="P263" s="145" t="str">
        <v/>
      </c>
    </row>
    <row r="264" spans="1:16" x14ac:dyDescent="0.2">
      <c r="A264" s="58" t="str">
        <v/>
      </c>
      <c r="B264" s="123" t="str">
        <f>IFERROR(TIMEVALUE(DaqBook_RAW_Data!Q152),IFERROR(TIMEVALUE(DaqBook_RAW_Data!#REF!),""))</f>
        <v/>
      </c>
      <c r="C264" s="145" t="str">
        <v/>
      </c>
      <c r="D264" s="145" t="str">
        <v/>
      </c>
      <c r="E264" s="145" t="str">
        <v/>
      </c>
      <c r="F264" s="145" t="str">
        <v/>
      </c>
      <c r="G264" s="145" t="str">
        <v/>
      </c>
      <c r="H264" s="145" t="str">
        <v/>
      </c>
      <c r="I264" s="145" t="str">
        <v/>
      </c>
      <c r="J264" s="145" t="str">
        <v/>
      </c>
      <c r="K264" s="145" t="str">
        <v/>
      </c>
      <c r="L264" s="145" t="str">
        <v/>
      </c>
      <c r="M264" s="145" t="str">
        <v/>
      </c>
      <c r="N264" s="145" t="str">
        <v/>
      </c>
      <c r="O264" s="145" t="str">
        <v/>
      </c>
      <c r="P264" s="145" t="str">
        <v/>
      </c>
    </row>
    <row r="265" spans="1:16" x14ac:dyDescent="0.2">
      <c r="A265" s="58" t="str">
        <v/>
      </c>
      <c r="B265" s="123" t="str">
        <f>IFERROR(TIMEVALUE(DaqBook_RAW_Data!Q153),IFERROR(TIMEVALUE(DaqBook_RAW_Data!#REF!),""))</f>
        <v/>
      </c>
      <c r="C265" s="145" t="str">
        <v/>
      </c>
      <c r="D265" s="145" t="str">
        <v/>
      </c>
      <c r="E265" s="145" t="str">
        <v/>
      </c>
      <c r="F265" s="145" t="str">
        <v/>
      </c>
      <c r="G265" s="145" t="str">
        <v/>
      </c>
      <c r="H265" s="145" t="str">
        <v/>
      </c>
      <c r="I265" s="145" t="str">
        <v/>
      </c>
      <c r="J265" s="145" t="str">
        <v/>
      </c>
      <c r="K265" s="145" t="str">
        <v/>
      </c>
      <c r="L265" s="145" t="str">
        <v/>
      </c>
      <c r="M265" s="145" t="str">
        <v/>
      </c>
      <c r="N265" s="145" t="str">
        <v/>
      </c>
      <c r="O265" s="145" t="str">
        <v/>
      </c>
      <c r="P265" s="145" t="str">
        <v/>
      </c>
    </row>
    <row r="266" spans="1:16" x14ac:dyDescent="0.2">
      <c r="A266" s="58" t="str">
        <v/>
      </c>
      <c r="B266" s="123" t="str">
        <f>IFERROR(TIMEVALUE(DaqBook_RAW_Data!Q154),IFERROR(TIMEVALUE(DaqBook_RAW_Data!#REF!),""))</f>
        <v/>
      </c>
      <c r="C266" s="145" t="str">
        <v/>
      </c>
      <c r="D266" s="145" t="str">
        <v/>
      </c>
      <c r="E266" s="145" t="str">
        <v/>
      </c>
      <c r="F266" s="145" t="str">
        <v/>
      </c>
      <c r="G266" s="145" t="str">
        <v/>
      </c>
      <c r="H266" s="145" t="str">
        <v/>
      </c>
      <c r="I266" s="145" t="str">
        <v/>
      </c>
      <c r="J266" s="145" t="str">
        <v/>
      </c>
      <c r="K266" s="145" t="str">
        <v/>
      </c>
      <c r="L266" s="145" t="str">
        <v/>
      </c>
      <c r="M266" s="145" t="str">
        <v/>
      </c>
      <c r="N266" s="145" t="str">
        <v/>
      </c>
      <c r="O266" s="145" t="str">
        <v/>
      </c>
      <c r="P266" s="145" t="str">
        <v/>
      </c>
    </row>
    <row r="267" spans="1:16" x14ac:dyDescent="0.2">
      <c r="A267" s="58" t="str">
        <v/>
      </c>
      <c r="B267" s="123" t="str">
        <f>IFERROR(TIMEVALUE(DaqBook_RAW_Data!Q155),IFERROR(TIMEVALUE(DaqBook_RAW_Data!#REF!),""))</f>
        <v/>
      </c>
      <c r="C267" s="145" t="str">
        <v/>
      </c>
      <c r="D267" s="145" t="str">
        <v/>
      </c>
      <c r="E267" s="145" t="str">
        <v/>
      </c>
      <c r="F267" s="145" t="str">
        <v/>
      </c>
      <c r="G267" s="145" t="str">
        <v/>
      </c>
      <c r="H267" s="145" t="str">
        <v/>
      </c>
      <c r="I267" s="145" t="str">
        <v/>
      </c>
      <c r="J267" s="145" t="str">
        <v/>
      </c>
      <c r="K267" s="145" t="str">
        <v/>
      </c>
      <c r="L267" s="145" t="str">
        <v/>
      </c>
      <c r="M267" s="145" t="str">
        <v/>
      </c>
      <c r="N267" s="145" t="str">
        <v/>
      </c>
      <c r="O267" s="145" t="str">
        <v/>
      </c>
      <c r="P267" s="145" t="str">
        <v/>
      </c>
    </row>
    <row r="268" spans="1:16" x14ac:dyDescent="0.2">
      <c r="A268" s="58" t="str">
        <v/>
      </c>
      <c r="B268" s="123" t="str">
        <f>IFERROR(TIMEVALUE(DaqBook_RAW_Data!Q156),IFERROR(TIMEVALUE(DaqBook_RAW_Data!#REF!),""))</f>
        <v/>
      </c>
      <c r="C268" s="145" t="str">
        <v/>
      </c>
      <c r="D268" s="145" t="str">
        <v/>
      </c>
      <c r="E268" s="145" t="str">
        <v/>
      </c>
      <c r="F268" s="145" t="str">
        <v/>
      </c>
      <c r="G268" s="145" t="str">
        <v/>
      </c>
      <c r="H268" s="145" t="str">
        <v/>
      </c>
      <c r="I268" s="145" t="str">
        <v/>
      </c>
      <c r="J268" s="145" t="str">
        <v/>
      </c>
      <c r="K268" s="145" t="str">
        <v/>
      </c>
      <c r="L268" s="145" t="str">
        <v/>
      </c>
      <c r="M268" s="145" t="str">
        <v/>
      </c>
      <c r="N268" s="145" t="str">
        <v/>
      </c>
      <c r="O268" s="145" t="str">
        <v/>
      </c>
      <c r="P268" s="145" t="str">
        <v/>
      </c>
    </row>
    <row r="269" spans="1:16" x14ac:dyDescent="0.2">
      <c r="A269" s="58" t="str">
        <v/>
      </c>
      <c r="B269" s="123" t="str">
        <f>IFERROR(TIMEVALUE(DaqBook_RAW_Data!Q157),IFERROR(TIMEVALUE(DaqBook_RAW_Data!#REF!),""))</f>
        <v/>
      </c>
      <c r="C269" s="145" t="str">
        <v/>
      </c>
      <c r="D269" s="145" t="str">
        <v/>
      </c>
      <c r="E269" s="145" t="str">
        <v/>
      </c>
      <c r="F269" s="145" t="str">
        <v/>
      </c>
      <c r="G269" s="145" t="str">
        <v/>
      </c>
      <c r="H269" s="145" t="str">
        <v/>
      </c>
      <c r="I269" s="145" t="str">
        <v/>
      </c>
      <c r="J269" s="145" t="str">
        <v/>
      </c>
      <c r="K269" s="145" t="str">
        <v/>
      </c>
      <c r="L269" s="145" t="str">
        <v/>
      </c>
      <c r="M269" s="145" t="str">
        <v/>
      </c>
      <c r="N269" s="145" t="str">
        <v/>
      </c>
      <c r="O269" s="145" t="str">
        <v/>
      </c>
      <c r="P269" s="145" t="str">
        <v/>
      </c>
    </row>
    <row r="270" spans="1:16" x14ac:dyDescent="0.2">
      <c r="A270" s="58" t="str">
        <v/>
      </c>
      <c r="B270" s="123" t="str">
        <f>IFERROR(TIMEVALUE(DaqBook_RAW_Data!Q158),IFERROR(TIMEVALUE(DaqBook_RAW_Data!#REF!),""))</f>
        <v/>
      </c>
      <c r="C270" s="145" t="str">
        <v/>
      </c>
      <c r="D270" s="145" t="str">
        <v/>
      </c>
      <c r="E270" s="145" t="str">
        <v/>
      </c>
      <c r="F270" s="145" t="str">
        <v/>
      </c>
      <c r="G270" s="145" t="str">
        <v/>
      </c>
      <c r="H270" s="145" t="str">
        <v/>
      </c>
      <c r="I270" s="145" t="str">
        <v/>
      </c>
      <c r="J270" s="145" t="str">
        <v/>
      </c>
      <c r="K270" s="145" t="str">
        <v/>
      </c>
      <c r="L270" s="145" t="str">
        <v/>
      </c>
      <c r="M270" s="145" t="str">
        <v/>
      </c>
      <c r="N270" s="145" t="str">
        <v/>
      </c>
      <c r="O270" s="145" t="str">
        <v/>
      </c>
      <c r="P270" s="145" t="str">
        <v/>
      </c>
    </row>
    <row r="271" spans="1:16" x14ac:dyDescent="0.2">
      <c r="A271" s="58" t="str">
        <v/>
      </c>
      <c r="B271" s="123" t="str">
        <f>IFERROR(TIMEVALUE(DaqBook_RAW_Data!Q159),IFERROR(TIMEVALUE(DaqBook_RAW_Data!#REF!),""))</f>
        <v/>
      </c>
      <c r="C271" s="145" t="str">
        <v/>
      </c>
      <c r="D271" s="145" t="str">
        <v/>
      </c>
      <c r="E271" s="145" t="str">
        <v/>
      </c>
      <c r="F271" s="145" t="str">
        <v/>
      </c>
      <c r="G271" s="145" t="str">
        <v/>
      </c>
      <c r="H271" s="145" t="str">
        <v/>
      </c>
      <c r="I271" s="145" t="str">
        <v/>
      </c>
      <c r="J271" s="145" t="str">
        <v/>
      </c>
      <c r="K271" s="145" t="str">
        <v/>
      </c>
      <c r="L271" s="145" t="str">
        <v/>
      </c>
      <c r="M271" s="145" t="str">
        <v/>
      </c>
      <c r="N271" s="145" t="str">
        <v/>
      </c>
      <c r="O271" s="145" t="str">
        <v/>
      </c>
      <c r="P271" s="145" t="str">
        <v/>
      </c>
    </row>
    <row r="272" spans="1:16" x14ac:dyDescent="0.2">
      <c r="A272" s="58" t="str">
        <v/>
      </c>
      <c r="B272" s="123" t="str">
        <f>IFERROR(TIMEVALUE(DaqBook_RAW_Data!Q160),IFERROR(TIMEVALUE(DaqBook_RAW_Data!#REF!),""))</f>
        <v/>
      </c>
      <c r="C272" s="145" t="str">
        <v/>
      </c>
      <c r="D272" s="145" t="str">
        <v/>
      </c>
      <c r="E272" s="145" t="str">
        <v/>
      </c>
      <c r="F272" s="145" t="str">
        <v/>
      </c>
      <c r="G272" s="145" t="str">
        <v/>
      </c>
      <c r="H272" s="145" t="str">
        <v/>
      </c>
      <c r="I272" s="145" t="str">
        <v/>
      </c>
      <c r="J272" s="145" t="str">
        <v/>
      </c>
      <c r="K272" s="145" t="str">
        <v/>
      </c>
      <c r="L272" s="145" t="str">
        <v/>
      </c>
      <c r="M272" s="145" t="str">
        <v/>
      </c>
      <c r="N272" s="145" t="str">
        <v/>
      </c>
      <c r="O272" s="145" t="str">
        <v/>
      </c>
      <c r="P272" s="145" t="str">
        <v/>
      </c>
    </row>
    <row r="273" spans="1:16" x14ac:dyDescent="0.2">
      <c r="A273" s="58" t="str">
        <v/>
      </c>
      <c r="B273" s="123" t="str">
        <f>IFERROR(TIMEVALUE(DaqBook_RAW_Data!Q161),IFERROR(TIMEVALUE(DaqBook_RAW_Data!#REF!),""))</f>
        <v/>
      </c>
      <c r="C273" s="145" t="str">
        <v/>
      </c>
      <c r="D273" s="145" t="str">
        <v/>
      </c>
      <c r="E273" s="145" t="str">
        <v/>
      </c>
      <c r="F273" s="145" t="str">
        <v/>
      </c>
      <c r="G273" s="145" t="str">
        <v/>
      </c>
      <c r="H273" s="145" t="str">
        <v/>
      </c>
      <c r="I273" s="145" t="str">
        <v/>
      </c>
      <c r="J273" s="145" t="str">
        <v/>
      </c>
      <c r="K273" s="145" t="str">
        <v/>
      </c>
      <c r="L273" s="145" t="str">
        <v/>
      </c>
      <c r="M273" s="145" t="str">
        <v/>
      </c>
      <c r="N273" s="145" t="str">
        <v/>
      </c>
      <c r="O273" s="145" t="str">
        <v/>
      </c>
      <c r="P273" s="145" t="str">
        <v/>
      </c>
    </row>
    <row r="274" spans="1:16" x14ac:dyDescent="0.2">
      <c r="A274" s="58" t="str">
        <v/>
      </c>
      <c r="B274" s="123" t="str">
        <f>IFERROR(TIMEVALUE(DaqBook_RAW_Data!Q162),IFERROR(TIMEVALUE(DaqBook_RAW_Data!#REF!),""))</f>
        <v/>
      </c>
      <c r="C274" s="145" t="str">
        <v/>
      </c>
      <c r="D274" s="145" t="str">
        <v/>
      </c>
      <c r="E274" s="145" t="str">
        <v/>
      </c>
      <c r="F274" s="145" t="str">
        <v/>
      </c>
      <c r="G274" s="145" t="str">
        <v/>
      </c>
      <c r="H274" s="145" t="str">
        <v/>
      </c>
      <c r="I274" s="145" t="str">
        <v/>
      </c>
      <c r="J274" s="145" t="str">
        <v/>
      </c>
      <c r="K274" s="145" t="str">
        <v/>
      </c>
      <c r="L274" s="145" t="str">
        <v/>
      </c>
      <c r="M274" s="145" t="str">
        <v/>
      </c>
      <c r="N274" s="145" t="str">
        <v/>
      </c>
      <c r="O274" s="145" t="str">
        <v/>
      </c>
      <c r="P274" s="145" t="str">
        <v/>
      </c>
    </row>
    <row r="275" spans="1:16" x14ac:dyDescent="0.2">
      <c r="A275" s="58" t="str">
        <v/>
      </c>
      <c r="B275" s="123" t="str">
        <f>IFERROR(TIMEVALUE(DaqBook_RAW_Data!Q163),IFERROR(TIMEVALUE(DaqBook_RAW_Data!#REF!),""))</f>
        <v/>
      </c>
      <c r="C275" s="145" t="str">
        <v/>
      </c>
      <c r="D275" s="145" t="str">
        <v/>
      </c>
      <c r="E275" s="145" t="str">
        <v/>
      </c>
      <c r="F275" s="145" t="str">
        <v/>
      </c>
      <c r="G275" s="145" t="str">
        <v/>
      </c>
      <c r="H275" s="145" t="str">
        <v/>
      </c>
      <c r="I275" s="145" t="str">
        <v/>
      </c>
      <c r="J275" s="145" t="str">
        <v/>
      </c>
      <c r="K275" s="145" t="str">
        <v/>
      </c>
      <c r="L275" s="145" t="str">
        <v/>
      </c>
      <c r="M275" s="145" t="str">
        <v/>
      </c>
      <c r="N275" s="145" t="str">
        <v/>
      </c>
      <c r="O275" s="145" t="str">
        <v/>
      </c>
      <c r="P275" s="145" t="str">
        <v/>
      </c>
    </row>
    <row r="276" spans="1:16" x14ac:dyDescent="0.2">
      <c r="A276" s="58" t="str">
        <v/>
      </c>
      <c r="B276" s="123" t="str">
        <f>IFERROR(TIMEVALUE(DaqBook_RAW_Data!Q164),IFERROR(TIMEVALUE(DaqBook_RAW_Data!#REF!),""))</f>
        <v/>
      </c>
      <c r="C276" s="145" t="str">
        <v/>
      </c>
      <c r="D276" s="145" t="str">
        <v/>
      </c>
      <c r="E276" s="145" t="str">
        <v/>
      </c>
      <c r="F276" s="145" t="str">
        <v/>
      </c>
      <c r="G276" s="145" t="str">
        <v/>
      </c>
      <c r="H276" s="145" t="str">
        <v/>
      </c>
      <c r="I276" s="145" t="str">
        <v/>
      </c>
      <c r="J276" s="145" t="str">
        <v/>
      </c>
      <c r="K276" s="145" t="str">
        <v/>
      </c>
      <c r="L276" s="145" t="str">
        <v/>
      </c>
      <c r="M276" s="145" t="str">
        <v/>
      </c>
      <c r="N276" s="145" t="str">
        <v/>
      </c>
      <c r="O276" s="145" t="str">
        <v/>
      </c>
      <c r="P276" s="145" t="str">
        <v/>
      </c>
    </row>
    <row r="277" spans="1:16" x14ac:dyDescent="0.2">
      <c r="A277" s="58" t="str">
        <v/>
      </c>
      <c r="B277" s="123" t="str">
        <f>IFERROR(TIMEVALUE(DaqBook_RAW_Data!Q165),IFERROR(TIMEVALUE(DaqBook_RAW_Data!#REF!),""))</f>
        <v/>
      </c>
      <c r="C277" s="145" t="str">
        <v/>
      </c>
      <c r="D277" s="145" t="str">
        <v/>
      </c>
      <c r="E277" s="145" t="str">
        <v/>
      </c>
      <c r="F277" s="145" t="str">
        <v/>
      </c>
      <c r="G277" s="145" t="str">
        <v/>
      </c>
      <c r="H277" s="145" t="str">
        <v/>
      </c>
      <c r="I277" s="145" t="str">
        <v/>
      </c>
      <c r="J277" s="145" t="str">
        <v/>
      </c>
      <c r="K277" s="145" t="str">
        <v/>
      </c>
      <c r="L277" s="145" t="str">
        <v/>
      </c>
      <c r="M277" s="145" t="str">
        <v/>
      </c>
      <c r="N277" s="145" t="str">
        <v/>
      </c>
      <c r="O277" s="145" t="str">
        <v/>
      </c>
      <c r="P277" s="145" t="str">
        <v/>
      </c>
    </row>
    <row r="278" spans="1:16" x14ac:dyDescent="0.2">
      <c r="A278" s="58" t="str">
        <v/>
      </c>
      <c r="B278" s="123" t="str">
        <f>IFERROR(TIMEVALUE(DaqBook_RAW_Data!Q166),IFERROR(TIMEVALUE(DaqBook_RAW_Data!#REF!),""))</f>
        <v/>
      </c>
      <c r="C278" s="145" t="str">
        <v/>
      </c>
      <c r="D278" s="145" t="str">
        <v/>
      </c>
      <c r="E278" s="145" t="str">
        <v/>
      </c>
      <c r="F278" s="145" t="str">
        <v/>
      </c>
      <c r="G278" s="145" t="str">
        <v/>
      </c>
      <c r="H278" s="145" t="str">
        <v/>
      </c>
      <c r="I278" s="145" t="str">
        <v/>
      </c>
      <c r="J278" s="145" t="str">
        <v/>
      </c>
      <c r="K278" s="145" t="str">
        <v/>
      </c>
      <c r="L278" s="145" t="str">
        <v/>
      </c>
      <c r="M278" s="145" t="str">
        <v/>
      </c>
      <c r="N278" s="145" t="str">
        <v/>
      </c>
      <c r="O278" s="145" t="str">
        <v/>
      </c>
      <c r="P278" s="145" t="str">
        <v/>
      </c>
    </row>
    <row r="279" spans="1:16" x14ac:dyDescent="0.2">
      <c r="A279" s="58" t="str">
        <v/>
      </c>
      <c r="B279" s="123" t="str">
        <f>IFERROR(TIMEVALUE(DaqBook_RAW_Data!Q167),IFERROR(TIMEVALUE(DaqBook_RAW_Data!#REF!),""))</f>
        <v/>
      </c>
      <c r="C279" s="145" t="str">
        <v/>
      </c>
      <c r="D279" s="145" t="str">
        <v/>
      </c>
      <c r="E279" s="145" t="str">
        <v/>
      </c>
      <c r="F279" s="145" t="str">
        <v/>
      </c>
      <c r="G279" s="145" t="str">
        <v/>
      </c>
      <c r="H279" s="145" t="str">
        <v/>
      </c>
      <c r="I279" s="145" t="str">
        <v/>
      </c>
      <c r="J279" s="145" t="str">
        <v/>
      </c>
      <c r="K279" s="145" t="str">
        <v/>
      </c>
      <c r="L279" s="145" t="str">
        <v/>
      </c>
      <c r="M279" s="145" t="str">
        <v/>
      </c>
      <c r="N279" s="145" t="str">
        <v/>
      </c>
      <c r="O279" s="145" t="str">
        <v/>
      </c>
      <c r="P279" s="145" t="str">
        <v/>
      </c>
    </row>
    <row r="280" spans="1:16" x14ac:dyDescent="0.2">
      <c r="A280" s="58" t="str">
        <v/>
      </c>
      <c r="B280" s="123" t="str">
        <f>IFERROR(TIMEVALUE(DaqBook_RAW_Data!Q168),IFERROR(TIMEVALUE(DaqBook_RAW_Data!#REF!),""))</f>
        <v/>
      </c>
      <c r="C280" s="145" t="str">
        <v/>
      </c>
      <c r="D280" s="145" t="str">
        <v/>
      </c>
      <c r="E280" s="145" t="str">
        <v/>
      </c>
      <c r="F280" s="145" t="str">
        <v/>
      </c>
      <c r="G280" s="145" t="str">
        <v/>
      </c>
      <c r="H280" s="145" t="str">
        <v/>
      </c>
      <c r="I280" s="145" t="str">
        <v/>
      </c>
      <c r="J280" s="145" t="str">
        <v/>
      </c>
      <c r="K280" s="145" t="str">
        <v/>
      </c>
      <c r="L280" s="145" t="str">
        <v/>
      </c>
      <c r="M280" s="145" t="str">
        <v/>
      </c>
      <c r="N280" s="145" t="str">
        <v/>
      </c>
      <c r="O280" s="145" t="str">
        <v/>
      </c>
      <c r="P280" s="145" t="str">
        <v/>
      </c>
    </row>
    <row r="281" spans="1:16" x14ac:dyDescent="0.2">
      <c r="A281" s="58" t="str">
        <v/>
      </c>
      <c r="B281" s="123" t="str">
        <f>IFERROR(TIMEVALUE(DaqBook_RAW_Data!Q169),IFERROR(TIMEVALUE(DaqBook_RAW_Data!#REF!),""))</f>
        <v/>
      </c>
      <c r="C281" s="145" t="str">
        <v/>
      </c>
      <c r="D281" s="145" t="str">
        <v/>
      </c>
      <c r="E281" s="145" t="str">
        <v/>
      </c>
      <c r="F281" s="145" t="str">
        <v/>
      </c>
      <c r="G281" s="145" t="str">
        <v/>
      </c>
      <c r="H281" s="145" t="str">
        <v/>
      </c>
      <c r="I281" s="145" t="str">
        <v/>
      </c>
      <c r="J281" s="145" t="str">
        <v/>
      </c>
      <c r="K281" s="145" t="str">
        <v/>
      </c>
      <c r="L281" s="145" t="str">
        <v/>
      </c>
      <c r="M281" s="145" t="str">
        <v/>
      </c>
      <c r="N281" s="145" t="str">
        <v/>
      </c>
      <c r="O281" s="145" t="str">
        <v/>
      </c>
      <c r="P281" s="145" t="str">
        <v/>
      </c>
    </row>
    <row r="282" spans="1:16" x14ac:dyDescent="0.2">
      <c r="A282" s="58" t="str">
        <v/>
      </c>
      <c r="B282" s="123" t="str">
        <f>IFERROR(TIMEVALUE(DaqBook_RAW_Data!Q170),IFERROR(TIMEVALUE(DaqBook_RAW_Data!#REF!),""))</f>
        <v/>
      </c>
      <c r="C282" s="145" t="str">
        <v/>
      </c>
      <c r="D282" s="145" t="str">
        <v/>
      </c>
      <c r="E282" s="145" t="str">
        <v/>
      </c>
      <c r="F282" s="145" t="str">
        <v/>
      </c>
      <c r="G282" s="145" t="str">
        <v/>
      </c>
      <c r="H282" s="145" t="str">
        <v/>
      </c>
      <c r="I282" s="145" t="str">
        <v/>
      </c>
      <c r="J282" s="145" t="str">
        <v/>
      </c>
      <c r="K282" s="145" t="str">
        <v/>
      </c>
      <c r="L282" s="145" t="str">
        <v/>
      </c>
      <c r="M282" s="145" t="str">
        <v/>
      </c>
      <c r="N282" s="145" t="str">
        <v/>
      </c>
      <c r="O282" s="145" t="str">
        <v/>
      </c>
      <c r="P282" s="145" t="str">
        <v/>
      </c>
    </row>
    <row r="283" spans="1:16" x14ac:dyDescent="0.2">
      <c r="A283" s="58" t="str">
        <v/>
      </c>
      <c r="B283" s="123" t="str">
        <f>IFERROR(TIMEVALUE(DaqBook_RAW_Data!Q171),IFERROR(TIMEVALUE(DaqBook_RAW_Data!#REF!),""))</f>
        <v/>
      </c>
      <c r="C283" s="145" t="str">
        <v/>
      </c>
      <c r="D283" s="145" t="str">
        <v/>
      </c>
      <c r="E283" s="145" t="str">
        <v/>
      </c>
      <c r="F283" s="145" t="str">
        <v/>
      </c>
      <c r="G283" s="145" t="str">
        <v/>
      </c>
      <c r="H283" s="145" t="str">
        <v/>
      </c>
      <c r="I283" s="145" t="str">
        <v/>
      </c>
      <c r="J283" s="145" t="str">
        <v/>
      </c>
      <c r="K283" s="145" t="str">
        <v/>
      </c>
      <c r="L283" s="145" t="str">
        <v/>
      </c>
      <c r="M283" s="145" t="str">
        <v/>
      </c>
      <c r="N283" s="145" t="str">
        <v/>
      </c>
      <c r="O283" s="145" t="str">
        <v/>
      </c>
      <c r="P283" s="145" t="str">
        <v/>
      </c>
    </row>
    <row r="284" spans="1:16" x14ac:dyDescent="0.2">
      <c r="A284" s="58" t="str">
        <v/>
      </c>
      <c r="B284" s="123" t="str">
        <f>IFERROR(TIMEVALUE(DaqBook_RAW_Data!Q172),IFERROR(TIMEVALUE(DaqBook_RAW_Data!#REF!),""))</f>
        <v/>
      </c>
      <c r="C284" s="145" t="str">
        <v/>
      </c>
      <c r="D284" s="145" t="str">
        <v/>
      </c>
      <c r="E284" s="145" t="str">
        <v/>
      </c>
      <c r="F284" s="145" t="str">
        <v/>
      </c>
      <c r="G284" s="145" t="str">
        <v/>
      </c>
      <c r="H284" s="145" t="str">
        <v/>
      </c>
      <c r="I284" s="145" t="str">
        <v/>
      </c>
      <c r="J284" s="145" t="str">
        <v/>
      </c>
      <c r="K284" s="145" t="str">
        <v/>
      </c>
      <c r="L284" s="145" t="str">
        <v/>
      </c>
      <c r="M284" s="145" t="str">
        <v/>
      </c>
      <c r="N284" s="145" t="str">
        <v/>
      </c>
      <c r="O284" s="145" t="str">
        <v/>
      </c>
      <c r="P284" s="145" t="str">
        <v/>
      </c>
    </row>
    <row r="285" spans="1:16" x14ac:dyDescent="0.2">
      <c r="A285" s="58" t="str">
        <v/>
      </c>
      <c r="B285" s="123" t="str">
        <f>IFERROR(TIMEVALUE(DaqBook_RAW_Data!Q173),IFERROR(TIMEVALUE(DaqBook_RAW_Data!#REF!),""))</f>
        <v/>
      </c>
      <c r="C285" s="145" t="str">
        <v/>
      </c>
      <c r="D285" s="145" t="str">
        <v/>
      </c>
      <c r="E285" s="145" t="str">
        <v/>
      </c>
      <c r="F285" s="145" t="str">
        <v/>
      </c>
      <c r="G285" s="145" t="str">
        <v/>
      </c>
      <c r="H285" s="145" t="str">
        <v/>
      </c>
      <c r="I285" s="145" t="str">
        <v/>
      </c>
      <c r="J285" s="145" t="str">
        <v/>
      </c>
      <c r="K285" s="145" t="str">
        <v/>
      </c>
      <c r="L285" s="145" t="str">
        <v/>
      </c>
      <c r="M285" s="145" t="str">
        <v/>
      </c>
      <c r="N285" s="145" t="str">
        <v/>
      </c>
      <c r="O285" s="145" t="str">
        <v/>
      </c>
      <c r="P285" s="145" t="str">
        <v/>
      </c>
    </row>
    <row r="286" spans="1:16" x14ac:dyDescent="0.2">
      <c r="A286" s="58" t="str">
        <v/>
      </c>
      <c r="B286" s="123" t="str">
        <f>IFERROR(TIMEVALUE(DaqBook_RAW_Data!Q174),IFERROR(TIMEVALUE(DaqBook_RAW_Data!#REF!),""))</f>
        <v/>
      </c>
      <c r="C286" s="145" t="str">
        <v/>
      </c>
      <c r="D286" s="145" t="str">
        <v/>
      </c>
      <c r="E286" s="145" t="str">
        <v/>
      </c>
      <c r="F286" s="145" t="str">
        <v/>
      </c>
      <c r="G286" s="145" t="str">
        <v/>
      </c>
      <c r="H286" s="145" t="str">
        <v/>
      </c>
      <c r="I286" s="145" t="str">
        <v/>
      </c>
      <c r="J286" s="145" t="str">
        <v/>
      </c>
      <c r="K286" s="145" t="str">
        <v/>
      </c>
      <c r="L286" s="145" t="str">
        <v/>
      </c>
      <c r="M286" s="145" t="str">
        <v/>
      </c>
      <c r="N286" s="145" t="str">
        <v/>
      </c>
      <c r="O286" s="145" t="str">
        <v/>
      </c>
      <c r="P286" s="145" t="str">
        <v/>
      </c>
    </row>
    <row r="287" spans="1:16" x14ac:dyDescent="0.2">
      <c r="A287" s="58" t="str">
        <v/>
      </c>
      <c r="B287" s="123" t="str">
        <f>IFERROR(TIMEVALUE(DaqBook_RAW_Data!Q175),IFERROR(TIMEVALUE(DaqBook_RAW_Data!#REF!),""))</f>
        <v/>
      </c>
      <c r="C287" s="145" t="str">
        <v/>
      </c>
      <c r="D287" s="145" t="str">
        <v/>
      </c>
      <c r="E287" s="145" t="str">
        <v/>
      </c>
      <c r="F287" s="145" t="str">
        <v/>
      </c>
      <c r="G287" s="145" t="str">
        <v/>
      </c>
      <c r="H287" s="145" t="str">
        <v/>
      </c>
      <c r="I287" s="145" t="str">
        <v/>
      </c>
      <c r="J287" s="145" t="str">
        <v/>
      </c>
      <c r="K287" s="145" t="str">
        <v/>
      </c>
      <c r="L287" s="145" t="str">
        <v/>
      </c>
      <c r="M287" s="145" t="str">
        <v/>
      </c>
      <c r="N287" s="145" t="str">
        <v/>
      </c>
      <c r="O287" s="145" t="str">
        <v/>
      </c>
      <c r="P287" s="145" t="str">
        <v/>
      </c>
    </row>
    <row r="288" spans="1:16" x14ac:dyDescent="0.2">
      <c r="A288" s="58" t="str">
        <v/>
      </c>
      <c r="B288" s="123" t="str">
        <f>IFERROR(TIMEVALUE(DaqBook_RAW_Data!Q176),IFERROR(TIMEVALUE(DaqBook_RAW_Data!#REF!),""))</f>
        <v/>
      </c>
      <c r="C288" s="145" t="str">
        <v/>
      </c>
      <c r="D288" s="145" t="str">
        <v/>
      </c>
      <c r="E288" s="145" t="str">
        <v/>
      </c>
      <c r="F288" s="145" t="str">
        <v/>
      </c>
      <c r="G288" s="145" t="str">
        <v/>
      </c>
      <c r="H288" s="145" t="str">
        <v/>
      </c>
      <c r="I288" s="145" t="str">
        <v/>
      </c>
      <c r="J288" s="145" t="str">
        <v/>
      </c>
      <c r="K288" s="145" t="str">
        <v/>
      </c>
      <c r="L288" s="145" t="str">
        <v/>
      </c>
      <c r="M288" s="145" t="str">
        <v/>
      </c>
      <c r="N288" s="145" t="str">
        <v/>
      </c>
      <c r="O288" s="145" t="str">
        <v/>
      </c>
      <c r="P288" s="145" t="str">
        <v/>
      </c>
    </row>
    <row r="289" spans="1:16" x14ac:dyDescent="0.2">
      <c r="A289" s="58" t="str">
        <v/>
      </c>
      <c r="B289" s="123" t="str">
        <f>IFERROR(TIMEVALUE(DaqBook_RAW_Data!Q177),IFERROR(TIMEVALUE(DaqBook_RAW_Data!#REF!),""))</f>
        <v/>
      </c>
      <c r="C289" s="145" t="str">
        <v/>
      </c>
      <c r="D289" s="145" t="str">
        <v/>
      </c>
      <c r="E289" s="145" t="str">
        <v/>
      </c>
      <c r="F289" s="145" t="str">
        <v/>
      </c>
      <c r="G289" s="145" t="str">
        <v/>
      </c>
      <c r="H289" s="145" t="str">
        <v/>
      </c>
      <c r="I289" s="145" t="str">
        <v/>
      </c>
      <c r="J289" s="145" t="str">
        <v/>
      </c>
      <c r="K289" s="145" t="str">
        <v/>
      </c>
      <c r="L289" s="145" t="str">
        <v/>
      </c>
      <c r="M289" s="145" t="str">
        <v/>
      </c>
      <c r="N289" s="145" t="str">
        <v/>
      </c>
      <c r="O289" s="145" t="str">
        <v/>
      </c>
      <c r="P289" s="145" t="str">
        <v/>
      </c>
    </row>
    <row r="290" spans="1:16" x14ac:dyDescent="0.2">
      <c r="A290" s="58" t="str">
        <v/>
      </c>
      <c r="B290" s="123" t="str">
        <f>IFERROR(TIMEVALUE(DaqBook_RAW_Data!Q178),IFERROR(TIMEVALUE(DaqBook_RAW_Data!#REF!),""))</f>
        <v/>
      </c>
      <c r="C290" s="145" t="str">
        <v/>
      </c>
      <c r="D290" s="145" t="str">
        <v/>
      </c>
      <c r="E290" s="145" t="str">
        <v/>
      </c>
      <c r="F290" s="145" t="str">
        <v/>
      </c>
      <c r="G290" s="145" t="str">
        <v/>
      </c>
      <c r="H290" s="145" t="str">
        <v/>
      </c>
      <c r="I290" s="145" t="str">
        <v/>
      </c>
      <c r="J290" s="145" t="str">
        <v/>
      </c>
      <c r="K290" s="145" t="str">
        <v/>
      </c>
      <c r="L290" s="145" t="str">
        <v/>
      </c>
      <c r="M290" s="145" t="str">
        <v/>
      </c>
      <c r="N290" s="145" t="str">
        <v/>
      </c>
      <c r="O290" s="145" t="str">
        <v/>
      </c>
      <c r="P290" s="145" t="str">
        <v/>
      </c>
    </row>
    <row r="291" spans="1:16" x14ac:dyDescent="0.2">
      <c r="A291" s="58" t="str">
        <v/>
      </c>
      <c r="B291" s="123" t="str">
        <f>IFERROR(TIMEVALUE(DaqBook_RAW_Data!Q179),IFERROR(TIMEVALUE(DaqBook_RAW_Data!#REF!),""))</f>
        <v/>
      </c>
      <c r="C291" s="145" t="str">
        <v/>
      </c>
      <c r="D291" s="145" t="str">
        <v/>
      </c>
      <c r="E291" s="145" t="str">
        <v/>
      </c>
      <c r="F291" s="145" t="str">
        <v/>
      </c>
      <c r="G291" s="145" t="str">
        <v/>
      </c>
      <c r="H291" s="145" t="str">
        <v/>
      </c>
      <c r="I291" s="145" t="str">
        <v/>
      </c>
      <c r="J291" s="145" t="str">
        <v/>
      </c>
      <c r="K291" s="145" t="str">
        <v/>
      </c>
      <c r="L291" s="145" t="str">
        <v/>
      </c>
      <c r="M291" s="145" t="str">
        <v/>
      </c>
      <c r="N291" s="145" t="str">
        <v/>
      </c>
      <c r="O291" s="145" t="str">
        <v/>
      </c>
      <c r="P291" s="145" t="str">
        <v/>
      </c>
    </row>
    <row r="292" spans="1:16" x14ac:dyDescent="0.2">
      <c r="A292" s="58" t="str">
        <v/>
      </c>
      <c r="B292" s="123" t="str">
        <f>IFERROR(TIMEVALUE(DaqBook_RAW_Data!Q180),IFERROR(TIMEVALUE(DaqBook_RAW_Data!#REF!),""))</f>
        <v/>
      </c>
      <c r="C292" s="145" t="str">
        <v/>
      </c>
      <c r="D292" s="145" t="str">
        <v/>
      </c>
      <c r="E292" s="145" t="str">
        <v/>
      </c>
      <c r="F292" s="145" t="str">
        <v/>
      </c>
      <c r="G292" s="145" t="str">
        <v/>
      </c>
      <c r="H292" s="145" t="str">
        <v/>
      </c>
      <c r="I292" s="145" t="str">
        <v/>
      </c>
      <c r="J292" s="145" t="str">
        <v/>
      </c>
      <c r="K292" s="145" t="str">
        <v/>
      </c>
      <c r="L292" s="145" t="str">
        <v/>
      </c>
      <c r="M292" s="145" t="str">
        <v/>
      </c>
      <c r="N292" s="145" t="str">
        <v/>
      </c>
      <c r="O292" s="145" t="str">
        <v/>
      </c>
      <c r="P292" s="145" t="str">
        <v/>
      </c>
    </row>
    <row r="293" spans="1:16" x14ac:dyDescent="0.2">
      <c r="A293" s="58" t="str">
        <v/>
      </c>
      <c r="B293" s="123" t="str">
        <f>IFERROR(TIMEVALUE(DaqBook_RAW_Data!Q181),IFERROR(TIMEVALUE(DaqBook_RAW_Data!#REF!),""))</f>
        <v/>
      </c>
      <c r="C293" s="145" t="str">
        <v/>
      </c>
      <c r="D293" s="145" t="str">
        <v/>
      </c>
      <c r="E293" s="145" t="str">
        <v/>
      </c>
      <c r="F293" s="145" t="str">
        <v/>
      </c>
      <c r="G293" s="145" t="str">
        <v/>
      </c>
      <c r="H293" s="145" t="str">
        <v/>
      </c>
      <c r="I293" s="145" t="str">
        <v/>
      </c>
      <c r="J293" s="145" t="str">
        <v/>
      </c>
      <c r="K293" s="145" t="str">
        <v/>
      </c>
      <c r="L293" s="145" t="str">
        <v/>
      </c>
      <c r="M293" s="145" t="str">
        <v/>
      </c>
      <c r="N293" s="145" t="str">
        <v/>
      </c>
      <c r="O293" s="145" t="str">
        <v/>
      </c>
      <c r="P293" s="145" t="str">
        <v/>
      </c>
    </row>
    <row r="294" spans="1:16" x14ac:dyDescent="0.2">
      <c r="A294" s="58" t="str">
        <v/>
      </c>
      <c r="B294" s="123" t="str">
        <f>IFERROR(TIMEVALUE(DaqBook_RAW_Data!Q182),IFERROR(TIMEVALUE(DaqBook_RAW_Data!#REF!),""))</f>
        <v/>
      </c>
      <c r="C294" s="145" t="str">
        <v/>
      </c>
      <c r="D294" s="145" t="str">
        <v/>
      </c>
      <c r="E294" s="145" t="str">
        <v/>
      </c>
      <c r="F294" s="145" t="str">
        <v/>
      </c>
      <c r="G294" s="145" t="str">
        <v/>
      </c>
      <c r="H294" s="145" t="str">
        <v/>
      </c>
      <c r="I294" s="145" t="str">
        <v/>
      </c>
      <c r="J294" s="145" t="str">
        <v/>
      </c>
      <c r="K294" s="145" t="str">
        <v/>
      </c>
      <c r="L294" s="145" t="str">
        <v/>
      </c>
      <c r="M294" s="145" t="str">
        <v/>
      </c>
      <c r="N294" s="145" t="str">
        <v/>
      </c>
      <c r="O294" s="145" t="str">
        <v/>
      </c>
      <c r="P294" s="145" t="str">
        <v/>
      </c>
    </row>
    <row r="295" spans="1:16" x14ac:dyDescent="0.2">
      <c r="A295" s="58" t="str">
        <v/>
      </c>
      <c r="B295" s="123" t="str">
        <f>IFERROR(TIMEVALUE(DaqBook_RAW_Data!Q183),IFERROR(TIMEVALUE(DaqBook_RAW_Data!#REF!),""))</f>
        <v/>
      </c>
      <c r="C295" s="145" t="str">
        <v/>
      </c>
      <c r="D295" s="145" t="str">
        <v/>
      </c>
      <c r="E295" s="145" t="str">
        <v/>
      </c>
      <c r="F295" s="145" t="str">
        <v/>
      </c>
      <c r="G295" s="145" t="str">
        <v/>
      </c>
      <c r="H295" s="145" t="str">
        <v/>
      </c>
      <c r="I295" s="145" t="str">
        <v/>
      </c>
      <c r="J295" s="145" t="str">
        <v/>
      </c>
      <c r="K295" s="145" t="str">
        <v/>
      </c>
      <c r="L295" s="145" t="str">
        <v/>
      </c>
      <c r="M295" s="145" t="str">
        <v/>
      </c>
      <c r="N295" s="145" t="str">
        <v/>
      </c>
      <c r="O295" s="145" t="str">
        <v/>
      </c>
      <c r="P295" s="145" t="str">
        <v/>
      </c>
    </row>
    <row r="296" spans="1:16" x14ac:dyDescent="0.2">
      <c r="A296" s="58" t="str">
        <v/>
      </c>
      <c r="B296" s="123" t="str">
        <f>IFERROR(TIMEVALUE(DaqBook_RAW_Data!Q184),IFERROR(TIMEVALUE(DaqBook_RAW_Data!#REF!),""))</f>
        <v/>
      </c>
      <c r="C296" s="145" t="str">
        <v/>
      </c>
      <c r="D296" s="145" t="str">
        <v/>
      </c>
      <c r="E296" s="145" t="str">
        <v/>
      </c>
      <c r="F296" s="145" t="str">
        <v/>
      </c>
      <c r="G296" s="145" t="str">
        <v/>
      </c>
      <c r="H296" s="145" t="str">
        <v/>
      </c>
      <c r="I296" s="145" t="str">
        <v/>
      </c>
      <c r="J296" s="145" t="str">
        <v/>
      </c>
      <c r="K296" s="145" t="str">
        <v/>
      </c>
      <c r="L296" s="145" t="str">
        <v/>
      </c>
      <c r="M296" s="145" t="str">
        <v/>
      </c>
      <c r="N296" s="145" t="str">
        <v/>
      </c>
      <c r="O296" s="145" t="str">
        <v/>
      </c>
      <c r="P296" s="145" t="str">
        <v/>
      </c>
    </row>
    <row r="297" spans="1:16" x14ac:dyDescent="0.2">
      <c r="A297" s="58" t="str">
        <v/>
      </c>
      <c r="B297" s="123" t="str">
        <f>IFERROR(TIMEVALUE(DaqBook_RAW_Data!Q185),IFERROR(TIMEVALUE(DaqBook_RAW_Data!#REF!),""))</f>
        <v/>
      </c>
      <c r="C297" s="145" t="str">
        <v/>
      </c>
      <c r="D297" s="145" t="str">
        <v/>
      </c>
      <c r="E297" s="145" t="str">
        <v/>
      </c>
      <c r="F297" s="145" t="str">
        <v/>
      </c>
      <c r="G297" s="145" t="str">
        <v/>
      </c>
      <c r="H297" s="145" t="str">
        <v/>
      </c>
      <c r="I297" s="145" t="str">
        <v/>
      </c>
      <c r="J297" s="145" t="str">
        <v/>
      </c>
      <c r="K297" s="145" t="str">
        <v/>
      </c>
      <c r="L297" s="145" t="str">
        <v/>
      </c>
      <c r="M297" s="145" t="str">
        <v/>
      </c>
      <c r="N297" s="145" t="str">
        <v/>
      </c>
      <c r="O297" s="145" t="str">
        <v/>
      </c>
      <c r="P297" s="145" t="str">
        <v/>
      </c>
    </row>
    <row r="298" spans="1:16" x14ac:dyDescent="0.2">
      <c r="A298" s="58" t="str">
        <v/>
      </c>
      <c r="B298" s="123" t="str">
        <f>IFERROR(TIMEVALUE(DaqBook_RAW_Data!Q186),IFERROR(TIMEVALUE(DaqBook_RAW_Data!#REF!),""))</f>
        <v/>
      </c>
      <c r="C298" s="145" t="str">
        <v/>
      </c>
      <c r="D298" s="145" t="str">
        <v/>
      </c>
      <c r="E298" s="145" t="str">
        <v/>
      </c>
      <c r="F298" s="145" t="str">
        <v/>
      </c>
      <c r="G298" s="145" t="str">
        <v/>
      </c>
      <c r="H298" s="145" t="str">
        <v/>
      </c>
      <c r="I298" s="145" t="str">
        <v/>
      </c>
      <c r="J298" s="145" t="str">
        <v/>
      </c>
      <c r="K298" s="145" t="str">
        <v/>
      </c>
      <c r="L298" s="145" t="str">
        <v/>
      </c>
      <c r="M298" s="145" t="str">
        <v/>
      </c>
      <c r="N298" s="145" t="str">
        <v/>
      </c>
      <c r="O298" s="145" t="str">
        <v/>
      </c>
      <c r="P298" s="145" t="str">
        <v/>
      </c>
    </row>
    <row r="299" spans="1:16" x14ac:dyDescent="0.2">
      <c r="A299" s="58" t="str">
        <v/>
      </c>
      <c r="B299" s="123" t="str">
        <f>IFERROR(TIMEVALUE(DaqBook_RAW_Data!Q187),IFERROR(TIMEVALUE(DaqBook_RAW_Data!#REF!),""))</f>
        <v/>
      </c>
      <c r="C299" s="145" t="str">
        <v/>
      </c>
      <c r="D299" s="145" t="str">
        <v/>
      </c>
      <c r="E299" s="145" t="str">
        <v/>
      </c>
      <c r="F299" s="145" t="str">
        <v/>
      </c>
      <c r="G299" s="145" t="str">
        <v/>
      </c>
      <c r="H299" s="145" t="str">
        <v/>
      </c>
      <c r="I299" s="145" t="str">
        <v/>
      </c>
      <c r="J299" s="145" t="str">
        <v/>
      </c>
      <c r="K299" s="145" t="str">
        <v/>
      </c>
      <c r="L299" s="145" t="str">
        <v/>
      </c>
      <c r="M299" s="145" t="str">
        <v/>
      </c>
      <c r="N299" s="145" t="str">
        <v/>
      </c>
      <c r="O299" s="145" t="str">
        <v/>
      </c>
      <c r="P299" s="145" t="str">
        <v/>
      </c>
    </row>
    <row r="300" spans="1:16" x14ac:dyDescent="0.2">
      <c r="A300" s="58" t="str">
        <v/>
      </c>
      <c r="B300" s="123" t="str">
        <f>IFERROR(TIMEVALUE(DaqBook_RAW_Data!Q188),IFERROR(TIMEVALUE(DaqBook_RAW_Data!#REF!),""))</f>
        <v/>
      </c>
      <c r="C300" s="145" t="str">
        <v/>
      </c>
      <c r="D300" s="145" t="str">
        <v/>
      </c>
      <c r="E300" s="145" t="str">
        <v/>
      </c>
      <c r="F300" s="145" t="str">
        <v/>
      </c>
      <c r="G300" s="145" t="str">
        <v/>
      </c>
      <c r="H300" s="145" t="str">
        <v/>
      </c>
      <c r="I300" s="145" t="str">
        <v/>
      </c>
      <c r="J300" s="145" t="str">
        <v/>
      </c>
      <c r="K300" s="145" t="str">
        <v/>
      </c>
      <c r="L300" s="145" t="str">
        <v/>
      </c>
      <c r="M300" s="145" t="str">
        <v/>
      </c>
      <c r="N300" s="145" t="str">
        <v/>
      </c>
      <c r="O300" s="145" t="str">
        <v/>
      </c>
      <c r="P300" s="145" t="str">
        <v/>
      </c>
    </row>
    <row r="301" spans="1:16" x14ac:dyDescent="0.2">
      <c r="A301" s="58" t="str">
        <v/>
      </c>
      <c r="B301" s="123" t="str">
        <f>IFERROR(TIMEVALUE(DaqBook_RAW_Data!Q189),IFERROR(TIMEVALUE(DaqBook_RAW_Data!#REF!),""))</f>
        <v/>
      </c>
      <c r="C301" s="145" t="str">
        <v/>
      </c>
      <c r="D301" s="145" t="str">
        <v/>
      </c>
      <c r="E301" s="145" t="str">
        <v/>
      </c>
      <c r="F301" s="145" t="str">
        <v/>
      </c>
      <c r="G301" s="145" t="str">
        <v/>
      </c>
      <c r="H301" s="145" t="str">
        <v/>
      </c>
      <c r="I301" s="145" t="str">
        <v/>
      </c>
      <c r="J301" s="145" t="str">
        <v/>
      </c>
      <c r="K301" s="145" t="str">
        <v/>
      </c>
      <c r="L301" s="145" t="str">
        <v/>
      </c>
      <c r="M301" s="145" t="str">
        <v/>
      </c>
      <c r="N301" s="145" t="str">
        <v/>
      </c>
      <c r="O301" s="145" t="str">
        <v/>
      </c>
      <c r="P301" s="145" t="str">
        <v/>
      </c>
    </row>
    <row r="302" spans="1:16" x14ac:dyDescent="0.2">
      <c r="A302" s="58" t="str">
        <v/>
      </c>
      <c r="B302" s="123" t="str">
        <f>IFERROR(TIMEVALUE(DaqBook_RAW_Data!Q190),IFERROR(TIMEVALUE(DaqBook_RAW_Data!#REF!),""))</f>
        <v/>
      </c>
      <c r="C302" s="145" t="str">
        <v/>
      </c>
      <c r="D302" s="145" t="str">
        <v/>
      </c>
      <c r="E302" s="145" t="str">
        <v/>
      </c>
      <c r="F302" s="145" t="str">
        <v/>
      </c>
      <c r="G302" s="145" t="str">
        <v/>
      </c>
      <c r="H302" s="145" t="str">
        <v/>
      </c>
      <c r="I302" s="145" t="str">
        <v/>
      </c>
      <c r="J302" s="145" t="str">
        <v/>
      </c>
      <c r="K302" s="145" t="str">
        <v/>
      </c>
      <c r="L302" s="145" t="str">
        <v/>
      </c>
      <c r="M302" s="145" t="str">
        <v/>
      </c>
      <c r="N302" s="145" t="str">
        <v/>
      </c>
      <c r="O302" s="145" t="str">
        <v/>
      </c>
      <c r="P302" s="145" t="str">
        <v/>
      </c>
    </row>
    <row r="303" spans="1:16" x14ac:dyDescent="0.2">
      <c r="A303" s="58" t="str">
        <v/>
      </c>
      <c r="B303" s="123" t="str">
        <f>IFERROR(TIMEVALUE(DaqBook_RAW_Data!Q191),IFERROR(TIMEVALUE(DaqBook_RAW_Data!#REF!),""))</f>
        <v/>
      </c>
      <c r="C303" s="145" t="str">
        <v/>
      </c>
      <c r="D303" s="145" t="str">
        <v/>
      </c>
      <c r="E303" s="145" t="str">
        <v/>
      </c>
      <c r="F303" s="145" t="str">
        <v/>
      </c>
      <c r="G303" s="145" t="str">
        <v/>
      </c>
      <c r="H303" s="145" t="str">
        <v/>
      </c>
      <c r="I303" s="145" t="str">
        <v/>
      </c>
      <c r="J303" s="145" t="str">
        <v/>
      </c>
      <c r="K303" s="145" t="str">
        <v/>
      </c>
      <c r="L303" s="145" t="str">
        <v/>
      </c>
      <c r="M303" s="145" t="str">
        <v/>
      </c>
      <c r="N303" s="145" t="str">
        <v/>
      </c>
      <c r="O303" s="145" t="str">
        <v/>
      </c>
      <c r="P303" s="145" t="str">
        <v/>
      </c>
    </row>
    <row r="304" spans="1:16" x14ac:dyDescent="0.2">
      <c r="A304" s="58" t="str">
        <v/>
      </c>
      <c r="B304" s="123" t="str">
        <f>IFERROR(TIMEVALUE(DaqBook_RAW_Data!Q192),IFERROR(TIMEVALUE(DaqBook_RAW_Data!#REF!),""))</f>
        <v/>
      </c>
      <c r="C304" s="145" t="str">
        <v/>
      </c>
      <c r="D304" s="145" t="str">
        <v/>
      </c>
      <c r="E304" s="145" t="str">
        <v/>
      </c>
      <c r="F304" s="145" t="str">
        <v/>
      </c>
      <c r="G304" s="145" t="str">
        <v/>
      </c>
      <c r="H304" s="145" t="str">
        <v/>
      </c>
      <c r="I304" s="145" t="str">
        <v/>
      </c>
      <c r="J304" s="145" t="str">
        <v/>
      </c>
      <c r="K304" s="145" t="str">
        <v/>
      </c>
      <c r="L304" s="145" t="str">
        <v/>
      </c>
      <c r="M304" s="145" t="str">
        <v/>
      </c>
      <c r="N304" s="145" t="str">
        <v/>
      </c>
      <c r="O304" s="145" t="str">
        <v/>
      </c>
      <c r="P304" s="145" t="str">
        <v/>
      </c>
    </row>
    <row r="305" spans="1:16" x14ac:dyDescent="0.2">
      <c r="A305" s="58" t="str">
        <v/>
      </c>
      <c r="B305" s="123" t="str">
        <f>IFERROR(TIMEVALUE(DaqBook_RAW_Data!Q193),IFERROR(TIMEVALUE(DaqBook_RAW_Data!#REF!),""))</f>
        <v/>
      </c>
      <c r="C305" s="145" t="str">
        <v/>
      </c>
      <c r="D305" s="145" t="str">
        <v/>
      </c>
      <c r="E305" s="145" t="str">
        <v/>
      </c>
      <c r="F305" s="145" t="str">
        <v/>
      </c>
      <c r="G305" s="145" t="str">
        <v/>
      </c>
      <c r="H305" s="145" t="str">
        <v/>
      </c>
      <c r="I305" s="145" t="str">
        <v/>
      </c>
      <c r="J305" s="145" t="str">
        <v/>
      </c>
      <c r="K305" s="145" t="str">
        <v/>
      </c>
      <c r="L305" s="145" t="str">
        <v/>
      </c>
      <c r="M305" s="145" t="str">
        <v/>
      </c>
      <c r="N305" s="145" t="str">
        <v/>
      </c>
      <c r="O305" s="145" t="str">
        <v/>
      </c>
      <c r="P305" s="145" t="str">
        <v/>
      </c>
    </row>
    <row r="306" spans="1:16" x14ac:dyDescent="0.2">
      <c r="A306" s="58" t="str">
        <v/>
      </c>
      <c r="B306" s="123" t="str">
        <f>IFERROR(TIMEVALUE(DaqBook_RAW_Data!Q194),IFERROR(TIMEVALUE(DaqBook_RAW_Data!#REF!),""))</f>
        <v/>
      </c>
      <c r="C306" s="145" t="str">
        <v/>
      </c>
      <c r="D306" s="145" t="str">
        <v/>
      </c>
      <c r="E306" s="145" t="str">
        <v/>
      </c>
      <c r="F306" s="145" t="str">
        <v/>
      </c>
      <c r="G306" s="145" t="str">
        <v/>
      </c>
      <c r="H306" s="145" t="str">
        <v/>
      </c>
      <c r="I306" s="145" t="str">
        <v/>
      </c>
      <c r="J306" s="145" t="str">
        <v/>
      </c>
      <c r="K306" s="145" t="str">
        <v/>
      </c>
      <c r="L306" s="145" t="str">
        <v/>
      </c>
      <c r="M306" s="145" t="str">
        <v/>
      </c>
      <c r="N306" s="145" t="str">
        <v/>
      </c>
      <c r="O306" s="145" t="str">
        <v/>
      </c>
      <c r="P306" s="145" t="str">
        <v/>
      </c>
    </row>
    <row r="307" spans="1:16" x14ac:dyDescent="0.2">
      <c r="A307" s="58" t="str">
        <v/>
      </c>
      <c r="B307" s="123" t="str">
        <f>IFERROR(TIMEVALUE(DaqBook_RAW_Data!Q195),IFERROR(TIMEVALUE(DaqBook_RAW_Data!#REF!),""))</f>
        <v/>
      </c>
      <c r="C307" s="145" t="str">
        <v/>
      </c>
      <c r="D307" s="145" t="str">
        <v/>
      </c>
      <c r="E307" s="145" t="str">
        <v/>
      </c>
      <c r="F307" s="145" t="str">
        <v/>
      </c>
      <c r="G307" s="145" t="str">
        <v/>
      </c>
      <c r="H307" s="145" t="str">
        <v/>
      </c>
      <c r="I307" s="145" t="str">
        <v/>
      </c>
      <c r="J307" s="145" t="str">
        <v/>
      </c>
      <c r="K307" s="145" t="str">
        <v/>
      </c>
      <c r="L307" s="145" t="str">
        <v/>
      </c>
      <c r="M307" s="145" t="str">
        <v/>
      </c>
      <c r="N307" s="145" t="str">
        <v/>
      </c>
      <c r="O307" s="145" t="str">
        <v/>
      </c>
      <c r="P307" s="145" t="str">
        <v/>
      </c>
    </row>
    <row r="308" spans="1:16" x14ac:dyDescent="0.2">
      <c r="A308" s="58" t="str">
        <v/>
      </c>
      <c r="B308" s="123" t="str">
        <f>IFERROR(TIMEVALUE(DaqBook_RAW_Data!Q196),IFERROR(TIMEVALUE(DaqBook_RAW_Data!#REF!),""))</f>
        <v/>
      </c>
      <c r="C308" s="145" t="str">
        <v/>
      </c>
      <c r="D308" s="145" t="str">
        <v/>
      </c>
      <c r="E308" s="145" t="str">
        <v/>
      </c>
      <c r="F308" s="145" t="str">
        <v/>
      </c>
      <c r="G308" s="145" t="str">
        <v/>
      </c>
      <c r="H308" s="145" t="str">
        <v/>
      </c>
      <c r="I308" s="145" t="str">
        <v/>
      </c>
      <c r="J308" s="145" t="str">
        <v/>
      </c>
      <c r="K308" s="145" t="str">
        <v/>
      </c>
      <c r="L308" s="145" t="str">
        <v/>
      </c>
      <c r="M308" s="145" t="str">
        <v/>
      </c>
      <c r="N308" s="145" t="str">
        <v/>
      </c>
      <c r="O308" s="145" t="str">
        <v/>
      </c>
      <c r="P308" s="145" t="str">
        <v/>
      </c>
    </row>
    <row r="309" spans="1:16" x14ac:dyDescent="0.2">
      <c r="A309" s="58" t="str">
        <v/>
      </c>
      <c r="B309" s="123" t="str">
        <f>IFERROR(TIMEVALUE(DaqBook_RAW_Data!Q197),IFERROR(TIMEVALUE(DaqBook_RAW_Data!#REF!),""))</f>
        <v/>
      </c>
      <c r="C309" s="145" t="str">
        <v/>
      </c>
      <c r="D309" s="145" t="str">
        <v/>
      </c>
      <c r="E309" s="145" t="str">
        <v/>
      </c>
      <c r="F309" s="145" t="str">
        <v/>
      </c>
      <c r="G309" s="145" t="str">
        <v/>
      </c>
      <c r="H309" s="145" t="str">
        <v/>
      </c>
      <c r="I309" s="145" t="str">
        <v/>
      </c>
      <c r="J309" s="145" t="str">
        <v/>
      </c>
      <c r="K309" s="145" t="str">
        <v/>
      </c>
      <c r="L309" s="145" t="str">
        <v/>
      </c>
      <c r="M309" s="145" t="str">
        <v/>
      </c>
      <c r="N309" s="145" t="str">
        <v/>
      </c>
      <c r="O309" s="145" t="str">
        <v/>
      </c>
      <c r="P309" s="145" t="str">
        <v/>
      </c>
    </row>
    <row r="310" spans="1:16" x14ac:dyDescent="0.2">
      <c r="A310" s="58" t="str">
        <v/>
      </c>
      <c r="B310" s="123" t="str">
        <f>IFERROR(TIMEVALUE(DaqBook_RAW_Data!Q198),IFERROR(TIMEVALUE(DaqBook_RAW_Data!#REF!),""))</f>
        <v/>
      </c>
      <c r="C310" s="145" t="str">
        <v/>
      </c>
      <c r="D310" s="145" t="str">
        <v/>
      </c>
      <c r="E310" s="145" t="str">
        <v/>
      </c>
      <c r="F310" s="145" t="str">
        <v/>
      </c>
      <c r="G310" s="145" t="str">
        <v/>
      </c>
      <c r="H310" s="145" t="str">
        <v/>
      </c>
      <c r="I310" s="145" t="str">
        <v/>
      </c>
      <c r="J310" s="145" t="str">
        <v/>
      </c>
      <c r="K310" s="145" t="str">
        <v/>
      </c>
      <c r="L310" s="145" t="str">
        <v/>
      </c>
      <c r="M310" s="145" t="str">
        <v/>
      </c>
      <c r="N310" s="145" t="str">
        <v/>
      </c>
      <c r="O310" s="145" t="str">
        <v/>
      </c>
      <c r="P310" s="145" t="str">
        <v/>
      </c>
    </row>
    <row r="311" spans="1:16" x14ac:dyDescent="0.2">
      <c r="A311" s="58" t="str">
        <v/>
      </c>
      <c r="B311" s="123" t="str">
        <f>IFERROR(TIMEVALUE(DaqBook_RAW_Data!Q199),IFERROR(TIMEVALUE(DaqBook_RAW_Data!#REF!),""))</f>
        <v/>
      </c>
      <c r="C311" s="145" t="str">
        <v/>
      </c>
      <c r="D311" s="145" t="str">
        <v/>
      </c>
      <c r="E311" s="145" t="str">
        <v/>
      </c>
      <c r="F311" s="145" t="str">
        <v/>
      </c>
      <c r="G311" s="145" t="str">
        <v/>
      </c>
      <c r="H311" s="145" t="str">
        <v/>
      </c>
      <c r="I311" s="145" t="str">
        <v/>
      </c>
      <c r="J311" s="145" t="str">
        <v/>
      </c>
      <c r="K311" s="145" t="str">
        <v/>
      </c>
      <c r="L311" s="145" t="str">
        <v/>
      </c>
      <c r="M311" s="145" t="str">
        <v/>
      </c>
      <c r="N311" s="145" t="str">
        <v/>
      </c>
      <c r="O311" s="145" t="str">
        <v/>
      </c>
      <c r="P311" s="145" t="str">
        <v/>
      </c>
    </row>
    <row r="312" spans="1:16" x14ac:dyDescent="0.2">
      <c r="A312" s="58" t="str">
        <v/>
      </c>
      <c r="B312" s="123" t="str">
        <f>IFERROR(TIMEVALUE(DaqBook_RAW_Data!Q200),IFERROR(TIMEVALUE(DaqBook_RAW_Data!#REF!),""))</f>
        <v/>
      </c>
      <c r="C312" s="145" t="str">
        <v/>
      </c>
      <c r="D312" s="145" t="str">
        <v/>
      </c>
      <c r="E312" s="145" t="str">
        <v/>
      </c>
      <c r="F312" s="145" t="str">
        <v/>
      </c>
      <c r="G312" s="145" t="str">
        <v/>
      </c>
      <c r="H312" s="145" t="str">
        <v/>
      </c>
      <c r="I312" s="145" t="str">
        <v/>
      </c>
      <c r="J312" s="145" t="str">
        <v/>
      </c>
      <c r="K312" s="145" t="str">
        <v/>
      </c>
      <c r="L312" s="145" t="str">
        <v/>
      </c>
      <c r="M312" s="145" t="str">
        <v/>
      </c>
      <c r="N312" s="145" t="str">
        <v/>
      </c>
      <c r="O312" s="145" t="str">
        <v/>
      </c>
      <c r="P312" s="145" t="str">
        <v/>
      </c>
    </row>
    <row r="313" spans="1:16" x14ac:dyDescent="0.2">
      <c r="A313" s="58" t="str">
        <v/>
      </c>
      <c r="B313" s="123" t="str">
        <f>IFERROR(TIMEVALUE(DaqBook_RAW_Data!Q201),IFERROR(TIMEVALUE(DaqBook_RAW_Data!#REF!),""))</f>
        <v/>
      </c>
      <c r="C313" s="145" t="str">
        <v/>
      </c>
      <c r="D313" s="145" t="str">
        <v/>
      </c>
      <c r="E313" s="145" t="str">
        <v/>
      </c>
      <c r="F313" s="145" t="str">
        <v/>
      </c>
      <c r="G313" s="145" t="str">
        <v/>
      </c>
      <c r="H313" s="145" t="str">
        <v/>
      </c>
      <c r="I313" s="145" t="str">
        <v/>
      </c>
      <c r="J313" s="145" t="str">
        <v/>
      </c>
      <c r="K313" s="145" t="str">
        <v/>
      </c>
      <c r="L313" s="145" t="str">
        <v/>
      </c>
      <c r="M313" s="145" t="str">
        <v/>
      </c>
      <c r="N313" s="145" t="str">
        <v/>
      </c>
      <c r="O313" s="145" t="str">
        <v/>
      </c>
      <c r="P313" s="145" t="str">
        <v/>
      </c>
    </row>
    <row r="314" spans="1:16" x14ac:dyDescent="0.2">
      <c r="A314" s="58" t="str">
        <v/>
      </c>
      <c r="B314" s="123" t="str">
        <f>IFERROR(TIMEVALUE(DaqBook_RAW_Data!Q202),IFERROR(TIMEVALUE(DaqBook_RAW_Data!#REF!),""))</f>
        <v/>
      </c>
      <c r="C314" s="145" t="str">
        <v/>
      </c>
      <c r="D314" s="145" t="str">
        <v/>
      </c>
      <c r="E314" s="145" t="str">
        <v/>
      </c>
      <c r="F314" s="145" t="str">
        <v/>
      </c>
      <c r="G314" s="145" t="str">
        <v/>
      </c>
      <c r="H314" s="145" t="str">
        <v/>
      </c>
      <c r="I314" s="145" t="str">
        <v/>
      </c>
      <c r="J314" s="145" t="str">
        <v/>
      </c>
      <c r="K314" s="145" t="str">
        <v/>
      </c>
      <c r="L314" s="145" t="str">
        <v/>
      </c>
      <c r="M314" s="145" t="str">
        <v/>
      </c>
      <c r="N314" s="145" t="str">
        <v/>
      </c>
      <c r="O314" s="145" t="str">
        <v/>
      </c>
      <c r="P314" s="145" t="str">
        <v/>
      </c>
    </row>
    <row r="315" spans="1:16" x14ac:dyDescent="0.2">
      <c r="A315" s="58" t="str">
        <v/>
      </c>
      <c r="B315" s="123" t="str">
        <f>IFERROR(TIMEVALUE(DaqBook_RAW_Data!Q203),IFERROR(TIMEVALUE(DaqBook_RAW_Data!#REF!),""))</f>
        <v/>
      </c>
      <c r="C315" s="145" t="str">
        <v/>
      </c>
      <c r="D315" s="145" t="str">
        <v/>
      </c>
      <c r="E315" s="145" t="str">
        <v/>
      </c>
      <c r="F315" s="145" t="str">
        <v/>
      </c>
      <c r="G315" s="145" t="str">
        <v/>
      </c>
      <c r="H315" s="145" t="str">
        <v/>
      </c>
      <c r="I315" s="145" t="str">
        <v/>
      </c>
      <c r="J315" s="145" t="str">
        <v/>
      </c>
      <c r="K315" s="145" t="str">
        <v/>
      </c>
      <c r="L315" s="145" t="str">
        <v/>
      </c>
      <c r="M315" s="145" t="str">
        <v/>
      </c>
      <c r="N315" s="145" t="str">
        <v/>
      </c>
      <c r="O315" s="145" t="str">
        <v/>
      </c>
      <c r="P315" s="145" t="str">
        <v/>
      </c>
    </row>
    <row r="316" spans="1:16" x14ac:dyDescent="0.2">
      <c r="A316" s="58" t="str">
        <v/>
      </c>
      <c r="B316" s="123" t="str">
        <f>IFERROR(TIMEVALUE(DaqBook_RAW_Data!Q204),IFERROR(TIMEVALUE(DaqBook_RAW_Data!#REF!),""))</f>
        <v/>
      </c>
      <c r="C316" s="145" t="str">
        <v/>
      </c>
      <c r="D316" s="145" t="str">
        <v/>
      </c>
      <c r="E316" s="145" t="str">
        <v/>
      </c>
      <c r="F316" s="145" t="str">
        <v/>
      </c>
      <c r="G316" s="145" t="str">
        <v/>
      </c>
      <c r="H316" s="145" t="str">
        <v/>
      </c>
      <c r="I316" s="145" t="str">
        <v/>
      </c>
      <c r="J316" s="145" t="str">
        <v/>
      </c>
      <c r="K316" s="145" t="str">
        <v/>
      </c>
      <c r="L316" s="145" t="str">
        <v/>
      </c>
      <c r="M316" s="145" t="str">
        <v/>
      </c>
      <c r="N316" s="145" t="str">
        <v/>
      </c>
      <c r="O316" s="145" t="str">
        <v/>
      </c>
      <c r="P316" s="145" t="str">
        <v/>
      </c>
    </row>
    <row r="317" spans="1:16" x14ac:dyDescent="0.2">
      <c r="A317" s="58" t="str">
        <v/>
      </c>
      <c r="B317" s="123" t="str">
        <f>IFERROR(TIMEVALUE(DaqBook_RAW_Data!Q205),IFERROR(TIMEVALUE(DaqBook_RAW_Data!#REF!),""))</f>
        <v/>
      </c>
      <c r="C317" s="145" t="str">
        <v/>
      </c>
      <c r="D317" s="145" t="str">
        <v/>
      </c>
      <c r="E317" s="145" t="str">
        <v/>
      </c>
      <c r="F317" s="145" t="str">
        <v/>
      </c>
      <c r="G317" s="145" t="str">
        <v/>
      </c>
      <c r="H317" s="145" t="str">
        <v/>
      </c>
      <c r="I317" s="145" t="str">
        <v/>
      </c>
      <c r="J317" s="145" t="str">
        <v/>
      </c>
      <c r="K317" s="145" t="str">
        <v/>
      </c>
      <c r="L317" s="145" t="str">
        <v/>
      </c>
      <c r="M317" s="145" t="str">
        <v/>
      </c>
      <c r="N317" s="145" t="str">
        <v/>
      </c>
      <c r="O317" s="145" t="str">
        <v/>
      </c>
      <c r="P317" s="145" t="str">
        <v/>
      </c>
    </row>
    <row r="318" spans="1:16" x14ac:dyDescent="0.2">
      <c r="A318" s="58" t="str">
        <v/>
      </c>
      <c r="B318" s="123" t="str">
        <f>IFERROR(TIMEVALUE(DaqBook_RAW_Data!Q206),IFERROR(TIMEVALUE(DaqBook_RAW_Data!#REF!),""))</f>
        <v/>
      </c>
      <c r="C318" s="145" t="str">
        <v/>
      </c>
      <c r="D318" s="145" t="str">
        <v/>
      </c>
      <c r="E318" s="145" t="str">
        <v/>
      </c>
      <c r="F318" s="145" t="str">
        <v/>
      </c>
      <c r="G318" s="145" t="str">
        <v/>
      </c>
      <c r="H318" s="145" t="str">
        <v/>
      </c>
      <c r="I318" s="145" t="str">
        <v/>
      </c>
      <c r="J318" s="145" t="str">
        <v/>
      </c>
      <c r="K318" s="145" t="str">
        <v/>
      </c>
      <c r="L318" s="145" t="str">
        <v/>
      </c>
      <c r="M318" s="145" t="str">
        <v/>
      </c>
      <c r="N318" s="145" t="str">
        <v/>
      </c>
      <c r="O318" s="145" t="str">
        <v/>
      </c>
      <c r="P318" s="145" t="str">
        <v/>
      </c>
    </row>
    <row r="319" spans="1:16" x14ac:dyDescent="0.2">
      <c r="A319" s="58" t="str">
        <v/>
      </c>
      <c r="B319" s="123" t="str">
        <f>IFERROR(TIMEVALUE(DaqBook_RAW_Data!Q207),IFERROR(TIMEVALUE(DaqBook_RAW_Data!#REF!),""))</f>
        <v/>
      </c>
      <c r="C319" s="145" t="str">
        <v/>
      </c>
      <c r="D319" s="145" t="str">
        <v/>
      </c>
      <c r="E319" s="145" t="str">
        <v/>
      </c>
      <c r="F319" s="145" t="str">
        <v/>
      </c>
      <c r="G319" s="145" t="str">
        <v/>
      </c>
      <c r="H319" s="145" t="str">
        <v/>
      </c>
      <c r="I319" s="145" t="str">
        <v/>
      </c>
      <c r="J319" s="145" t="str">
        <v/>
      </c>
      <c r="K319" s="145" t="str">
        <v/>
      </c>
      <c r="L319" s="145" t="str">
        <v/>
      </c>
      <c r="M319" s="145" t="str">
        <v/>
      </c>
      <c r="N319" s="145" t="str">
        <v/>
      </c>
      <c r="O319" s="145" t="str">
        <v/>
      </c>
      <c r="P319" s="145" t="str">
        <v/>
      </c>
    </row>
    <row r="320" spans="1:16" x14ac:dyDescent="0.2">
      <c r="A320" s="58" t="str">
        <v/>
      </c>
      <c r="B320" s="123" t="str">
        <f>IFERROR(TIMEVALUE(DaqBook_RAW_Data!Q208),IFERROR(TIMEVALUE(DaqBook_RAW_Data!#REF!),""))</f>
        <v/>
      </c>
      <c r="C320" s="145" t="str">
        <v/>
      </c>
      <c r="D320" s="145" t="str">
        <v/>
      </c>
      <c r="E320" s="145" t="str">
        <v/>
      </c>
      <c r="F320" s="145" t="str">
        <v/>
      </c>
      <c r="G320" s="145" t="str">
        <v/>
      </c>
      <c r="H320" s="145" t="str">
        <v/>
      </c>
      <c r="I320" s="145" t="str">
        <v/>
      </c>
      <c r="J320" s="145" t="str">
        <v/>
      </c>
      <c r="K320" s="145" t="str">
        <v/>
      </c>
      <c r="L320" s="145" t="str">
        <v/>
      </c>
      <c r="M320" s="145" t="str">
        <v/>
      </c>
      <c r="N320" s="145" t="str">
        <v/>
      </c>
      <c r="O320" s="145" t="str">
        <v/>
      </c>
      <c r="P320" s="145" t="str">
        <v/>
      </c>
    </row>
    <row r="321" spans="1:16" x14ac:dyDescent="0.2">
      <c r="A321" s="58" t="str">
        <v/>
      </c>
      <c r="B321" s="123" t="str">
        <f>IFERROR(TIMEVALUE(DaqBook_RAW_Data!Q209),IFERROR(TIMEVALUE(DaqBook_RAW_Data!#REF!),""))</f>
        <v/>
      </c>
      <c r="C321" s="145" t="str">
        <v/>
      </c>
      <c r="D321" s="145" t="str">
        <v/>
      </c>
      <c r="E321" s="145" t="str">
        <v/>
      </c>
      <c r="F321" s="145" t="str">
        <v/>
      </c>
      <c r="G321" s="145" t="str">
        <v/>
      </c>
      <c r="H321" s="145" t="str">
        <v/>
      </c>
      <c r="I321" s="145" t="str">
        <v/>
      </c>
      <c r="J321" s="145" t="str">
        <v/>
      </c>
      <c r="K321" s="145" t="str">
        <v/>
      </c>
      <c r="L321" s="145" t="str">
        <v/>
      </c>
      <c r="M321" s="145" t="str">
        <v/>
      </c>
      <c r="N321" s="145" t="str">
        <v/>
      </c>
      <c r="O321" s="145" t="str">
        <v/>
      </c>
      <c r="P321" s="145" t="str">
        <v/>
      </c>
    </row>
    <row r="322" spans="1:16" x14ac:dyDescent="0.2">
      <c r="A322" s="58" t="str">
        <v/>
      </c>
      <c r="B322" s="123" t="str">
        <f>IFERROR(TIMEVALUE(DaqBook_RAW_Data!Q210),IFERROR(TIMEVALUE(DaqBook_RAW_Data!#REF!),""))</f>
        <v/>
      </c>
      <c r="C322" s="145" t="str">
        <v/>
      </c>
      <c r="D322" s="145" t="str">
        <v/>
      </c>
      <c r="E322" s="145" t="str">
        <v/>
      </c>
      <c r="F322" s="145" t="str">
        <v/>
      </c>
      <c r="G322" s="145" t="str">
        <v/>
      </c>
      <c r="H322" s="145" t="str">
        <v/>
      </c>
      <c r="I322" s="145" t="str">
        <v/>
      </c>
      <c r="J322" s="145" t="str">
        <v/>
      </c>
      <c r="K322" s="145" t="str">
        <v/>
      </c>
      <c r="L322" s="145" t="str">
        <v/>
      </c>
      <c r="M322" s="145" t="str">
        <v/>
      </c>
      <c r="N322" s="145" t="str">
        <v/>
      </c>
      <c r="O322" s="145" t="str">
        <v/>
      </c>
      <c r="P322" s="145" t="str">
        <v/>
      </c>
    </row>
    <row r="323" spans="1:16" x14ac:dyDescent="0.2">
      <c r="A323" s="58" t="str">
        <v/>
      </c>
      <c r="B323" s="123" t="str">
        <f>IFERROR(TIMEVALUE(DaqBook_RAW_Data!Q211),IFERROR(TIMEVALUE(DaqBook_RAW_Data!#REF!),""))</f>
        <v/>
      </c>
      <c r="C323" s="145" t="str">
        <v/>
      </c>
      <c r="D323" s="145" t="str">
        <v/>
      </c>
      <c r="E323" s="145" t="str">
        <v/>
      </c>
      <c r="F323" s="145" t="str">
        <v/>
      </c>
      <c r="G323" s="145" t="str">
        <v/>
      </c>
      <c r="H323" s="145" t="str">
        <v/>
      </c>
      <c r="I323" s="145" t="str">
        <v/>
      </c>
      <c r="J323" s="145" t="str">
        <v/>
      </c>
      <c r="K323" s="145" t="str">
        <v/>
      </c>
      <c r="L323" s="145" t="str">
        <v/>
      </c>
      <c r="M323" s="145" t="str">
        <v/>
      </c>
      <c r="N323" s="145" t="str">
        <v/>
      </c>
      <c r="O323" s="145" t="str">
        <v/>
      </c>
      <c r="P323" s="145" t="str">
        <v/>
      </c>
    </row>
    <row r="324" spans="1:16" x14ac:dyDescent="0.2">
      <c r="A324" s="58" t="str">
        <v/>
      </c>
      <c r="B324" s="123" t="str">
        <f>IFERROR(TIMEVALUE(DaqBook_RAW_Data!Q212),IFERROR(TIMEVALUE(DaqBook_RAW_Data!#REF!),""))</f>
        <v/>
      </c>
      <c r="C324" s="145" t="str">
        <v/>
      </c>
      <c r="D324" s="145" t="str">
        <v/>
      </c>
      <c r="E324" s="145" t="str">
        <v/>
      </c>
      <c r="F324" s="145" t="str">
        <v/>
      </c>
      <c r="G324" s="145" t="str">
        <v/>
      </c>
      <c r="H324" s="145" t="str">
        <v/>
      </c>
      <c r="I324" s="145" t="str">
        <v/>
      </c>
      <c r="J324" s="145" t="str">
        <v/>
      </c>
      <c r="K324" s="145" t="str">
        <v/>
      </c>
      <c r="L324" s="145" t="str">
        <v/>
      </c>
      <c r="M324" s="145" t="str">
        <v/>
      </c>
      <c r="N324" s="145" t="str">
        <v/>
      </c>
      <c r="O324" s="145" t="str">
        <v/>
      </c>
      <c r="P324" s="145" t="str">
        <v/>
      </c>
    </row>
    <row r="325" spans="1:16" x14ac:dyDescent="0.2">
      <c r="A325" s="58" t="str">
        <v/>
      </c>
      <c r="B325" s="123" t="str">
        <f>IFERROR(TIMEVALUE(DaqBook_RAW_Data!Q213),IFERROR(TIMEVALUE(DaqBook_RAW_Data!#REF!),""))</f>
        <v/>
      </c>
      <c r="C325" s="145" t="str">
        <v/>
      </c>
      <c r="D325" s="145" t="str">
        <v/>
      </c>
      <c r="E325" s="145" t="str">
        <v/>
      </c>
      <c r="F325" s="145" t="str">
        <v/>
      </c>
      <c r="G325" s="145" t="str">
        <v/>
      </c>
      <c r="H325" s="145" t="str">
        <v/>
      </c>
      <c r="I325" s="145" t="str">
        <v/>
      </c>
      <c r="J325" s="145" t="str">
        <v/>
      </c>
      <c r="K325" s="145" t="str">
        <v/>
      </c>
      <c r="L325" s="145" t="str">
        <v/>
      </c>
      <c r="M325" s="145" t="str">
        <v/>
      </c>
      <c r="N325" s="145" t="str">
        <v/>
      </c>
      <c r="O325" s="145" t="str">
        <v/>
      </c>
      <c r="P325" s="145" t="str">
        <v/>
      </c>
    </row>
    <row r="326" spans="1:16" x14ac:dyDescent="0.2">
      <c r="A326" s="58" t="str">
        <v/>
      </c>
      <c r="B326" s="123" t="str">
        <f>IFERROR(TIMEVALUE(DaqBook_RAW_Data!Q214),IFERROR(TIMEVALUE(DaqBook_RAW_Data!#REF!),""))</f>
        <v/>
      </c>
      <c r="C326" s="145" t="str">
        <v/>
      </c>
      <c r="D326" s="145" t="str">
        <v/>
      </c>
      <c r="E326" s="145" t="str">
        <v/>
      </c>
      <c r="F326" s="145" t="str">
        <v/>
      </c>
      <c r="G326" s="145" t="str">
        <v/>
      </c>
      <c r="H326" s="145" t="str">
        <v/>
      </c>
      <c r="I326" s="145" t="str">
        <v/>
      </c>
      <c r="J326" s="145" t="str">
        <v/>
      </c>
      <c r="K326" s="145" t="str">
        <v/>
      </c>
      <c r="L326" s="145" t="str">
        <v/>
      </c>
      <c r="M326" s="145" t="str">
        <v/>
      </c>
      <c r="N326" s="145" t="str">
        <v/>
      </c>
      <c r="O326" s="145" t="str">
        <v/>
      </c>
      <c r="P326" s="145" t="str">
        <v/>
      </c>
    </row>
    <row r="327" spans="1:16" x14ac:dyDescent="0.2">
      <c r="A327" s="58" t="str">
        <v/>
      </c>
      <c r="B327" s="123" t="str">
        <f>IFERROR(TIMEVALUE(DaqBook_RAW_Data!Q215),IFERROR(TIMEVALUE(DaqBook_RAW_Data!#REF!),""))</f>
        <v/>
      </c>
      <c r="C327" s="145" t="str">
        <v/>
      </c>
      <c r="D327" s="145" t="str">
        <v/>
      </c>
      <c r="E327" s="145" t="str">
        <v/>
      </c>
      <c r="F327" s="145" t="str">
        <v/>
      </c>
      <c r="G327" s="145" t="str">
        <v/>
      </c>
      <c r="H327" s="145" t="str">
        <v/>
      </c>
      <c r="I327" s="145" t="str">
        <v/>
      </c>
      <c r="J327" s="145" t="str">
        <v/>
      </c>
      <c r="K327" s="145" t="str">
        <v/>
      </c>
      <c r="L327" s="145" t="str">
        <v/>
      </c>
      <c r="M327" s="145" t="str">
        <v/>
      </c>
      <c r="N327" s="145" t="str">
        <v/>
      </c>
      <c r="O327" s="145" t="str">
        <v/>
      </c>
      <c r="P327" s="145" t="str">
        <v/>
      </c>
    </row>
    <row r="328" spans="1:16" x14ac:dyDescent="0.2">
      <c r="A328" s="58" t="str">
        <v/>
      </c>
      <c r="B328" s="123" t="str">
        <f>IFERROR(TIMEVALUE(DaqBook_RAW_Data!Q216),IFERROR(TIMEVALUE(DaqBook_RAW_Data!#REF!),""))</f>
        <v/>
      </c>
      <c r="C328" s="145" t="str">
        <v/>
      </c>
      <c r="D328" s="145" t="str">
        <v/>
      </c>
      <c r="E328" s="145" t="str">
        <v/>
      </c>
      <c r="F328" s="145" t="str">
        <v/>
      </c>
      <c r="G328" s="145" t="str">
        <v/>
      </c>
      <c r="H328" s="145" t="str">
        <v/>
      </c>
      <c r="I328" s="145" t="str">
        <v/>
      </c>
      <c r="J328" s="145" t="str">
        <v/>
      </c>
      <c r="K328" s="145" t="str">
        <v/>
      </c>
      <c r="L328" s="145" t="str">
        <v/>
      </c>
      <c r="M328" s="145" t="str">
        <v/>
      </c>
      <c r="N328" s="145" t="str">
        <v/>
      </c>
      <c r="O328" s="145" t="str">
        <v/>
      </c>
      <c r="P328" s="145" t="str">
        <v/>
      </c>
    </row>
    <row r="329" spans="1:16" x14ac:dyDescent="0.2">
      <c r="A329" s="58" t="str">
        <v/>
      </c>
      <c r="B329" s="123" t="str">
        <f>IFERROR(TIMEVALUE(DaqBook_RAW_Data!Q217),IFERROR(TIMEVALUE(DaqBook_RAW_Data!#REF!),""))</f>
        <v/>
      </c>
      <c r="C329" s="145" t="str">
        <v/>
      </c>
      <c r="D329" s="145" t="str">
        <v/>
      </c>
      <c r="E329" s="145" t="str">
        <v/>
      </c>
      <c r="F329" s="145" t="str">
        <v/>
      </c>
      <c r="G329" s="145" t="str">
        <v/>
      </c>
      <c r="H329" s="145" t="str">
        <v/>
      </c>
      <c r="I329" s="145" t="str">
        <v/>
      </c>
      <c r="J329" s="145" t="str">
        <v/>
      </c>
      <c r="K329" s="145" t="str">
        <v/>
      </c>
      <c r="L329" s="145" t="str">
        <v/>
      </c>
      <c r="M329" s="145" t="str">
        <v/>
      </c>
      <c r="N329" s="145" t="str">
        <v/>
      </c>
      <c r="O329" s="145" t="str">
        <v/>
      </c>
      <c r="P329" s="145" t="str">
        <v/>
      </c>
    </row>
    <row r="330" spans="1:16" x14ac:dyDescent="0.2">
      <c r="A330" s="58" t="str">
        <v/>
      </c>
      <c r="B330" s="123" t="str">
        <f>IFERROR(TIMEVALUE(DaqBook_RAW_Data!Q218),IFERROR(TIMEVALUE(DaqBook_RAW_Data!#REF!),""))</f>
        <v/>
      </c>
      <c r="C330" s="145" t="str">
        <v/>
      </c>
      <c r="D330" s="145" t="str">
        <v/>
      </c>
      <c r="E330" s="145" t="str">
        <v/>
      </c>
      <c r="F330" s="145" t="str">
        <v/>
      </c>
      <c r="G330" s="145" t="str">
        <v/>
      </c>
      <c r="H330" s="145" t="str">
        <v/>
      </c>
      <c r="I330" s="145" t="str">
        <v/>
      </c>
      <c r="J330" s="145" t="str">
        <v/>
      </c>
      <c r="K330" s="145" t="str">
        <v/>
      </c>
      <c r="L330" s="145" t="str">
        <v/>
      </c>
      <c r="M330" s="145" t="str">
        <v/>
      </c>
      <c r="N330" s="145" t="str">
        <v/>
      </c>
      <c r="O330" s="145" t="str">
        <v/>
      </c>
      <c r="P330" s="145" t="str">
        <v/>
      </c>
    </row>
    <row r="331" spans="1:16" x14ac:dyDescent="0.2">
      <c r="A331" s="58" t="str">
        <v/>
      </c>
      <c r="B331" s="123" t="str">
        <f>IFERROR(TIMEVALUE(DaqBook_RAW_Data!Q219),IFERROR(TIMEVALUE(DaqBook_RAW_Data!#REF!),""))</f>
        <v/>
      </c>
      <c r="C331" s="145" t="str">
        <v/>
      </c>
      <c r="D331" s="145" t="str">
        <v/>
      </c>
      <c r="E331" s="145" t="str">
        <v/>
      </c>
      <c r="F331" s="145" t="str">
        <v/>
      </c>
      <c r="G331" s="145" t="str">
        <v/>
      </c>
      <c r="H331" s="145" t="str">
        <v/>
      </c>
      <c r="I331" s="145" t="str">
        <v/>
      </c>
      <c r="J331" s="145" t="str">
        <v/>
      </c>
      <c r="K331" s="145" t="str">
        <v/>
      </c>
      <c r="L331" s="145" t="str">
        <v/>
      </c>
      <c r="M331" s="145" t="str">
        <v/>
      </c>
      <c r="N331" s="145" t="str">
        <v/>
      </c>
      <c r="O331" s="145" t="str">
        <v/>
      </c>
      <c r="P331" s="145" t="str">
        <v/>
      </c>
    </row>
    <row r="332" spans="1:16" x14ac:dyDescent="0.2">
      <c r="A332" s="58" t="str">
        <v/>
      </c>
      <c r="B332" s="123" t="str">
        <f>IFERROR(TIMEVALUE(DaqBook_RAW_Data!Q220),IFERROR(TIMEVALUE(DaqBook_RAW_Data!#REF!),""))</f>
        <v/>
      </c>
      <c r="C332" s="145" t="str">
        <v/>
      </c>
      <c r="D332" s="145" t="str">
        <v/>
      </c>
      <c r="E332" s="145" t="str">
        <v/>
      </c>
      <c r="F332" s="145" t="str">
        <v/>
      </c>
      <c r="G332" s="145" t="str">
        <v/>
      </c>
      <c r="H332" s="145" t="str">
        <v/>
      </c>
      <c r="I332" s="145" t="str">
        <v/>
      </c>
      <c r="J332" s="145" t="str">
        <v/>
      </c>
      <c r="K332" s="145" t="str">
        <v/>
      </c>
      <c r="L332" s="145" t="str">
        <v/>
      </c>
      <c r="M332" s="145" t="str">
        <v/>
      </c>
      <c r="N332" s="145" t="str">
        <v/>
      </c>
      <c r="O332" s="145" t="str">
        <v/>
      </c>
      <c r="P332" s="145" t="str">
        <v/>
      </c>
    </row>
    <row r="333" spans="1:16" x14ac:dyDescent="0.2">
      <c r="A333" s="58" t="str">
        <v/>
      </c>
      <c r="B333" s="123" t="str">
        <f>IFERROR(TIMEVALUE(DaqBook_RAW_Data!Q221),IFERROR(TIMEVALUE(DaqBook_RAW_Data!#REF!),""))</f>
        <v/>
      </c>
      <c r="C333" s="145" t="str">
        <v/>
      </c>
      <c r="D333" s="145" t="str">
        <v/>
      </c>
      <c r="E333" s="145" t="str">
        <v/>
      </c>
      <c r="F333" s="145" t="str">
        <v/>
      </c>
      <c r="G333" s="145" t="str">
        <v/>
      </c>
      <c r="H333" s="145" t="str">
        <v/>
      </c>
      <c r="I333" s="145" t="str">
        <v/>
      </c>
      <c r="J333" s="145" t="str">
        <v/>
      </c>
      <c r="K333" s="145" t="str">
        <v/>
      </c>
      <c r="L333" s="145" t="str">
        <v/>
      </c>
      <c r="M333" s="145" t="str">
        <v/>
      </c>
      <c r="N333" s="145" t="str">
        <v/>
      </c>
      <c r="O333" s="145" t="str">
        <v/>
      </c>
      <c r="P333" s="145" t="str">
        <v/>
      </c>
    </row>
    <row r="334" spans="1:16" x14ac:dyDescent="0.2">
      <c r="A334" s="58" t="str">
        <v/>
      </c>
      <c r="B334" s="123" t="str">
        <f>IFERROR(TIMEVALUE(DaqBook_RAW_Data!Q222),IFERROR(TIMEVALUE(DaqBook_RAW_Data!#REF!),""))</f>
        <v/>
      </c>
      <c r="C334" s="145" t="str">
        <v/>
      </c>
      <c r="D334" s="145" t="str">
        <v/>
      </c>
      <c r="E334" s="145" t="str">
        <v/>
      </c>
      <c r="F334" s="145" t="str">
        <v/>
      </c>
      <c r="G334" s="145" t="str">
        <v/>
      </c>
      <c r="H334" s="145" t="str">
        <v/>
      </c>
      <c r="I334" s="145" t="str">
        <v/>
      </c>
      <c r="J334" s="145" t="str">
        <v/>
      </c>
      <c r="K334" s="145" t="str">
        <v/>
      </c>
      <c r="L334" s="145" t="str">
        <v/>
      </c>
      <c r="M334" s="145" t="str">
        <v/>
      </c>
      <c r="N334" s="145" t="str">
        <v/>
      </c>
      <c r="O334" s="145" t="str">
        <v/>
      </c>
      <c r="P334" s="145" t="str">
        <v/>
      </c>
    </row>
    <row r="335" spans="1:16" x14ac:dyDescent="0.2">
      <c r="A335" s="58" t="str">
        <v/>
      </c>
      <c r="B335" s="123" t="str">
        <f>IFERROR(TIMEVALUE(DaqBook_RAW_Data!Q223),IFERROR(TIMEVALUE(DaqBook_RAW_Data!#REF!),""))</f>
        <v/>
      </c>
      <c r="C335" s="145" t="str">
        <v/>
      </c>
      <c r="D335" s="145" t="str">
        <v/>
      </c>
      <c r="E335" s="145" t="str">
        <v/>
      </c>
      <c r="F335" s="145" t="str">
        <v/>
      </c>
      <c r="G335" s="145" t="str">
        <v/>
      </c>
      <c r="H335" s="145" t="str">
        <v/>
      </c>
      <c r="I335" s="145" t="str">
        <v/>
      </c>
      <c r="J335" s="145" t="str">
        <v/>
      </c>
      <c r="K335" s="145" t="str">
        <v/>
      </c>
      <c r="L335" s="145" t="str">
        <v/>
      </c>
      <c r="M335" s="145" t="str">
        <v/>
      </c>
      <c r="N335" s="145" t="str">
        <v/>
      </c>
      <c r="O335" s="145" t="str">
        <v/>
      </c>
      <c r="P335" s="145" t="str">
        <v/>
      </c>
    </row>
    <row r="336" spans="1:16" x14ac:dyDescent="0.2">
      <c r="A336" s="58" t="str">
        <v/>
      </c>
      <c r="B336" s="123" t="str">
        <f>IFERROR(TIMEVALUE(DaqBook_RAW_Data!Q224),IFERROR(TIMEVALUE(DaqBook_RAW_Data!#REF!),""))</f>
        <v/>
      </c>
      <c r="C336" s="145" t="str">
        <v/>
      </c>
      <c r="D336" s="145" t="str">
        <v/>
      </c>
      <c r="E336" s="145" t="str">
        <v/>
      </c>
      <c r="F336" s="145" t="str">
        <v/>
      </c>
      <c r="G336" s="145" t="str">
        <v/>
      </c>
      <c r="H336" s="145" t="str">
        <v/>
      </c>
      <c r="I336" s="145" t="str">
        <v/>
      </c>
      <c r="J336" s="145" t="str">
        <v/>
      </c>
      <c r="K336" s="145" t="str">
        <v/>
      </c>
      <c r="L336" s="145" t="str">
        <v/>
      </c>
      <c r="M336" s="145" t="str">
        <v/>
      </c>
      <c r="N336" s="145" t="str">
        <v/>
      </c>
      <c r="O336" s="145" t="str">
        <v/>
      </c>
      <c r="P336" s="145" t="str">
        <v/>
      </c>
    </row>
    <row r="337" spans="1:16" x14ac:dyDescent="0.2">
      <c r="A337" s="58" t="str">
        <v/>
      </c>
      <c r="B337" s="123" t="str">
        <f>IFERROR(TIMEVALUE(DaqBook_RAW_Data!Q225),IFERROR(TIMEVALUE(DaqBook_RAW_Data!#REF!),""))</f>
        <v/>
      </c>
      <c r="C337" s="145" t="str">
        <v/>
      </c>
      <c r="D337" s="145" t="str">
        <v/>
      </c>
      <c r="E337" s="145" t="str">
        <v/>
      </c>
      <c r="F337" s="145" t="str">
        <v/>
      </c>
      <c r="G337" s="145" t="str">
        <v/>
      </c>
      <c r="H337" s="145" t="str">
        <v/>
      </c>
      <c r="I337" s="145" t="str">
        <v/>
      </c>
      <c r="J337" s="145" t="str">
        <v/>
      </c>
      <c r="K337" s="145" t="str">
        <v/>
      </c>
      <c r="L337" s="145" t="str">
        <v/>
      </c>
      <c r="M337" s="145" t="str">
        <v/>
      </c>
      <c r="N337" s="145" t="str">
        <v/>
      </c>
      <c r="O337" s="145" t="str">
        <v/>
      </c>
      <c r="P337" s="145" t="str">
        <v/>
      </c>
    </row>
    <row r="338" spans="1:16" x14ac:dyDescent="0.2">
      <c r="A338" s="58" t="str">
        <v/>
      </c>
      <c r="B338" s="123" t="str">
        <f>IFERROR(TIMEVALUE(DaqBook_RAW_Data!Q226),IFERROR(TIMEVALUE(DaqBook_RAW_Data!#REF!),""))</f>
        <v/>
      </c>
      <c r="C338" s="145" t="str">
        <v/>
      </c>
      <c r="D338" s="145" t="str">
        <v/>
      </c>
      <c r="E338" s="145" t="str">
        <v/>
      </c>
      <c r="F338" s="145" t="str">
        <v/>
      </c>
      <c r="G338" s="145" t="str">
        <v/>
      </c>
      <c r="H338" s="145" t="str">
        <v/>
      </c>
      <c r="I338" s="145" t="str">
        <v/>
      </c>
      <c r="J338" s="145" t="str">
        <v/>
      </c>
      <c r="K338" s="145" t="str">
        <v/>
      </c>
      <c r="L338" s="145" t="str">
        <v/>
      </c>
      <c r="M338" s="145" t="str">
        <v/>
      </c>
      <c r="N338" s="145" t="str">
        <v/>
      </c>
      <c r="O338" s="145" t="str">
        <v/>
      </c>
      <c r="P338" s="145" t="str">
        <v/>
      </c>
    </row>
    <row r="339" spans="1:16" x14ac:dyDescent="0.2">
      <c r="A339" s="58" t="str">
        <v/>
      </c>
      <c r="B339" s="123" t="str">
        <f>IFERROR(TIMEVALUE(DaqBook_RAW_Data!Q227),IFERROR(TIMEVALUE(DaqBook_RAW_Data!#REF!),""))</f>
        <v/>
      </c>
      <c r="C339" s="145" t="str">
        <v/>
      </c>
      <c r="D339" s="145" t="str">
        <v/>
      </c>
      <c r="E339" s="145" t="str">
        <v/>
      </c>
      <c r="F339" s="145" t="str">
        <v/>
      </c>
      <c r="G339" s="145" t="str">
        <v/>
      </c>
      <c r="H339" s="145" t="str">
        <v/>
      </c>
      <c r="I339" s="145" t="str">
        <v/>
      </c>
      <c r="J339" s="145" t="str">
        <v/>
      </c>
      <c r="K339" s="145" t="str">
        <v/>
      </c>
      <c r="L339" s="145" t="str">
        <v/>
      </c>
      <c r="M339" s="145" t="str">
        <v/>
      </c>
      <c r="N339" s="145" t="str">
        <v/>
      </c>
      <c r="O339" s="145" t="str">
        <v/>
      </c>
      <c r="P339" s="145" t="str">
        <v/>
      </c>
    </row>
    <row r="340" spans="1:16" x14ac:dyDescent="0.2">
      <c r="A340" s="58" t="str">
        <v/>
      </c>
      <c r="B340" s="123" t="str">
        <f>IFERROR(TIMEVALUE(DaqBook_RAW_Data!Q228),IFERROR(TIMEVALUE(DaqBook_RAW_Data!#REF!),""))</f>
        <v/>
      </c>
      <c r="C340" s="145" t="str">
        <v/>
      </c>
      <c r="D340" s="145" t="str">
        <v/>
      </c>
      <c r="E340" s="145" t="str">
        <v/>
      </c>
      <c r="F340" s="145" t="str">
        <v/>
      </c>
      <c r="G340" s="145" t="str">
        <v/>
      </c>
      <c r="H340" s="145" t="str">
        <v/>
      </c>
      <c r="I340" s="145" t="str">
        <v/>
      </c>
      <c r="J340" s="145" t="str">
        <v/>
      </c>
      <c r="K340" s="145" t="str">
        <v/>
      </c>
      <c r="L340" s="145" t="str">
        <v/>
      </c>
      <c r="M340" s="145" t="str">
        <v/>
      </c>
      <c r="N340" s="145" t="str">
        <v/>
      </c>
      <c r="O340" s="145" t="str">
        <v/>
      </c>
      <c r="P340" s="145" t="str">
        <v/>
      </c>
    </row>
    <row r="341" spans="1:16" x14ac:dyDescent="0.2">
      <c r="A341" s="58" t="str">
        <v/>
      </c>
      <c r="B341" s="123" t="str">
        <f>IFERROR(TIMEVALUE(DaqBook_RAW_Data!Q229),IFERROR(TIMEVALUE(DaqBook_RAW_Data!#REF!),""))</f>
        <v/>
      </c>
      <c r="C341" s="145" t="str">
        <v/>
      </c>
      <c r="D341" s="145" t="str">
        <v/>
      </c>
      <c r="E341" s="145" t="str">
        <v/>
      </c>
      <c r="F341" s="145" t="str">
        <v/>
      </c>
      <c r="G341" s="145" t="str">
        <v/>
      </c>
      <c r="H341" s="145" t="str">
        <v/>
      </c>
      <c r="I341" s="145" t="str">
        <v/>
      </c>
      <c r="J341" s="145" t="str">
        <v/>
      </c>
      <c r="K341" s="145" t="str">
        <v/>
      </c>
      <c r="L341" s="145" t="str">
        <v/>
      </c>
      <c r="M341" s="145" t="str">
        <v/>
      </c>
      <c r="N341" s="145" t="str">
        <v/>
      </c>
      <c r="O341" s="145" t="str">
        <v/>
      </c>
      <c r="P341" s="145" t="str">
        <v/>
      </c>
    </row>
    <row r="342" spans="1:16" x14ac:dyDescent="0.2">
      <c r="A342" s="58" t="str">
        <v/>
      </c>
      <c r="B342" s="123" t="str">
        <f>IFERROR(TIMEVALUE(DaqBook_RAW_Data!Q230),IFERROR(TIMEVALUE(DaqBook_RAW_Data!#REF!),""))</f>
        <v/>
      </c>
      <c r="C342" s="145" t="str">
        <v/>
      </c>
      <c r="D342" s="145" t="str">
        <v/>
      </c>
      <c r="E342" s="145" t="str">
        <v/>
      </c>
      <c r="F342" s="145" t="str">
        <v/>
      </c>
      <c r="G342" s="145" t="str">
        <v/>
      </c>
      <c r="H342" s="145" t="str">
        <v/>
      </c>
      <c r="I342" s="145" t="str">
        <v/>
      </c>
      <c r="J342" s="145" t="str">
        <v/>
      </c>
      <c r="K342" s="145" t="str">
        <v/>
      </c>
      <c r="L342" s="145" t="str">
        <v/>
      </c>
      <c r="M342" s="145" t="str">
        <v/>
      </c>
      <c r="N342" s="145" t="str">
        <v/>
      </c>
      <c r="O342" s="145" t="str">
        <v/>
      </c>
      <c r="P342" s="145" t="str">
        <v/>
      </c>
    </row>
    <row r="343" spans="1:16" x14ac:dyDescent="0.2">
      <c r="A343" s="58" t="str">
        <v/>
      </c>
      <c r="B343" s="123" t="str">
        <f>IFERROR(TIMEVALUE(DaqBook_RAW_Data!Q231),IFERROR(TIMEVALUE(DaqBook_RAW_Data!#REF!),""))</f>
        <v/>
      </c>
      <c r="C343" s="145" t="str">
        <v/>
      </c>
      <c r="D343" s="145" t="str">
        <v/>
      </c>
      <c r="E343" s="145" t="str">
        <v/>
      </c>
      <c r="F343" s="145" t="str">
        <v/>
      </c>
      <c r="G343" s="145" t="str">
        <v/>
      </c>
      <c r="H343" s="145" t="str">
        <v/>
      </c>
      <c r="I343" s="145" t="str">
        <v/>
      </c>
      <c r="J343" s="145" t="str">
        <v/>
      </c>
      <c r="K343" s="145" t="str">
        <v/>
      </c>
      <c r="L343" s="145" t="str">
        <v/>
      </c>
      <c r="M343" s="145" t="str">
        <v/>
      </c>
      <c r="N343" s="145" t="str">
        <v/>
      </c>
      <c r="O343" s="145" t="str">
        <v/>
      </c>
      <c r="P343" s="145" t="str">
        <v/>
      </c>
    </row>
    <row r="344" spans="1:16" x14ac:dyDescent="0.2">
      <c r="A344" s="58" t="str">
        <v/>
      </c>
      <c r="B344" s="123" t="str">
        <f>IFERROR(TIMEVALUE(DaqBook_RAW_Data!Q232),IFERROR(TIMEVALUE(DaqBook_RAW_Data!#REF!),""))</f>
        <v/>
      </c>
      <c r="C344" s="145" t="str">
        <v/>
      </c>
      <c r="D344" s="145" t="str">
        <v/>
      </c>
      <c r="E344" s="145" t="str">
        <v/>
      </c>
      <c r="F344" s="145" t="str">
        <v/>
      </c>
      <c r="G344" s="145" t="str">
        <v/>
      </c>
      <c r="H344" s="145" t="str">
        <v/>
      </c>
      <c r="I344" s="145" t="str">
        <v/>
      </c>
      <c r="J344" s="145" t="str">
        <v/>
      </c>
      <c r="K344" s="145" t="str">
        <v/>
      </c>
      <c r="L344" s="145" t="str">
        <v/>
      </c>
      <c r="M344" s="145" t="str">
        <v/>
      </c>
      <c r="N344" s="145" t="str">
        <v/>
      </c>
      <c r="O344" s="145" t="str">
        <v/>
      </c>
      <c r="P344" s="145" t="str">
        <v/>
      </c>
    </row>
    <row r="345" spans="1:16" x14ac:dyDescent="0.2">
      <c r="A345" s="58" t="str">
        <v/>
      </c>
      <c r="B345" s="123" t="str">
        <f>IFERROR(TIMEVALUE(DaqBook_RAW_Data!Q233),IFERROR(TIMEVALUE(DaqBook_RAW_Data!#REF!),""))</f>
        <v/>
      </c>
      <c r="C345" s="145" t="str">
        <v/>
      </c>
      <c r="D345" s="145" t="str">
        <v/>
      </c>
      <c r="E345" s="145" t="str">
        <v/>
      </c>
      <c r="F345" s="145" t="str">
        <v/>
      </c>
      <c r="G345" s="145" t="str">
        <v/>
      </c>
      <c r="H345" s="145" t="str">
        <v/>
      </c>
      <c r="I345" s="145" t="str">
        <v/>
      </c>
      <c r="J345" s="145" t="str">
        <v/>
      </c>
      <c r="K345" s="145" t="str">
        <v/>
      </c>
      <c r="L345" s="145" t="str">
        <v/>
      </c>
      <c r="M345" s="145" t="str">
        <v/>
      </c>
      <c r="N345" s="145" t="str">
        <v/>
      </c>
      <c r="O345" s="145" t="str">
        <v/>
      </c>
      <c r="P345" s="145" t="str">
        <v/>
      </c>
    </row>
    <row r="346" spans="1:16" x14ac:dyDescent="0.2">
      <c r="A346" s="58" t="str">
        <v/>
      </c>
      <c r="B346" s="123" t="str">
        <f>IFERROR(TIMEVALUE(DaqBook_RAW_Data!Q234),IFERROR(TIMEVALUE(DaqBook_RAW_Data!#REF!),""))</f>
        <v/>
      </c>
      <c r="C346" s="145" t="str">
        <v/>
      </c>
      <c r="D346" s="145" t="str">
        <v/>
      </c>
      <c r="E346" s="145" t="str">
        <v/>
      </c>
      <c r="F346" s="145" t="str">
        <v/>
      </c>
      <c r="G346" s="145" t="str">
        <v/>
      </c>
      <c r="H346" s="145" t="str">
        <v/>
      </c>
      <c r="I346" s="145" t="str">
        <v/>
      </c>
      <c r="J346" s="145" t="str">
        <v/>
      </c>
      <c r="K346" s="145" t="str">
        <v/>
      </c>
      <c r="L346" s="145" t="str">
        <v/>
      </c>
      <c r="M346" s="145" t="str">
        <v/>
      </c>
      <c r="N346" s="145" t="str">
        <v/>
      </c>
      <c r="O346" s="145" t="str">
        <v/>
      </c>
      <c r="P346" s="145" t="str">
        <v/>
      </c>
    </row>
    <row r="347" spans="1:16" x14ac:dyDescent="0.2">
      <c r="A347" s="58" t="str">
        <v/>
      </c>
      <c r="B347" s="123" t="str">
        <f>IFERROR(TIMEVALUE(DaqBook_RAW_Data!Q235),IFERROR(TIMEVALUE(DaqBook_RAW_Data!#REF!),""))</f>
        <v/>
      </c>
      <c r="C347" s="145" t="str">
        <v/>
      </c>
      <c r="D347" s="145" t="str">
        <v/>
      </c>
      <c r="E347" s="145" t="str">
        <v/>
      </c>
      <c r="F347" s="145" t="str">
        <v/>
      </c>
      <c r="G347" s="145" t="str">
        <v/>
      </c>
      <c r="H347" s="145" t="str">
        <v/>
      </c>
      <c r="I347" s="145" t="str">
        <v/>
      </c>
      <c r="J347" s="145" t="str">
        <v/>
      </c>
      <c r="K347" s="145" t="str">
        <v/>
      </c>
      <c r="L347" s="145" t="str">
        <v/>
      </c>
      <c r="M347" s="145" t="str">
        <v/>
      </c>
      <c r="N347" s="145" t="str">
        <v/>
      </c>
      <c r="O347" s="145" t="str">
        <v/>
      </c>
      <c r="P347" s="145" t="str">
        <v/>
      </c>
    </row>
    <row r="348" spans="1:16" x14ac:dyDescent="0.2">
      <c r="A348" s="58" t="str">
        <v/>
      </c>
      <c r="B348" s="123" t="str">
        <f>IFERROR(TIMEVALUE(DaqBook_RAW_Data!Q236),IFERROR(TIMEVALUE(DaqBook_RAW_Data!#REF!),""))</f>
        <v/>
      </c>
      <c r="C348" s="145" t="str">
        <v/>
      </c>
      <c r="D348" s="145" t="str">
        <v/>
      </c>
      <c r="E348" s="145" t="str">
        <v/>
      </c>
      <c r="F348" s="145" t="str">
        <v/>
      </c>
      <c r="G348" s="145" t="str">
        <v/>
      </c>
      <c r="H348" s="145" t="str">
        <v/>
      </c>
      <c r="I348" s="145" t="str">
        <v/>
      </c>
      <c r="J348" s="145" t="str">
        <v/>
      </c>
      <c r="K348" s="145" t="str">
        <v/>
      </c>
      <c r="L348" s="145" t="str">
        <v/>
      </c>
      <c r="M348" s="145" t="str">
        <v/>
      </c>
      <c r="N348" s="145" t="str">
        <v/>
      </c>
      <c r="O348" s="145" t="str">
        <v/>
      </c>
      <c r="P348" s="145" t="str">
        <v/>
      </c>
    </row>
    <row r="349" spans="1:16" x14ac:dyDescent="0.2">
      <c r="A349" s="58" t="str">
        <v/>
      </c>
      <c r="B349" s="123" t="str">
        <f>IFERROR(TIMEVALUE(DaqBook_RAW_Data!Q237),IFERROR(TIMEVALUE(DaqBook_RAW_Data!#REF!),""))</f>
        <v/>
      </c>
      <c r="C349" s="145" t="str">
        <v/>
      </c>
      <c r="D349" s="145" t="str">
        <v/>
      </c>
      <c r="E349" s="145" t="str">
        <v/>
      </c>
      <c r="F349" s="145" t="str">
        <v/>
      </c>
      <c r="G349" s="145" t="str">
        <v/>
      </c>
      <c r="H349" s="145" t="str">
        <v/>
      </c>
      <c r="I349" s="145" t="str">
        <v/>
      </c>
      <c r="J349" s="145" t="str">
        <v/>
      </c>
      <c r="K349" s="145" t="str">
        <v/>
      </c>
      <c r="L349" s="145" t="str">
        <v/>
      </c>
      <c r="M349" s="145" t="str">
        <v/>
      </c>
      <c r="N349" s="145" t="str">
        <v/>
      </c>
      <c r="O349" s="145" t="str">
        <v/>
      </c>
      <c r="P349" s="145" t="str">
        <v/>
      </c>
    </row>
    <row r="350" spans="1:16" x14ac:dyDescent="0.2">
      <c r="A350" s="58" t="str">
        <v/>
      </c>
      <c r="B350" s="123" t="str">
        <f>IFERROR(TIMEVALUE(DaqBook_RAW_Data!Q238),IFERROR(TIMEVALUE(DaqBook_RAW_Data!#REF!),""))</f>
        <v/>
      </c>
      <c r="C350" s="145" t="str">
        <v/>
      </c>
      <c r="D350" s="145" t="str">
        <v/>
      </c>
      <c r="E350" s="145" t="str">
        <v/>
      </c>
      <c r="F350" s="145" t="str">
        <v/>
      </c>
      <c r="G350" s="145" t="str">
        <v/>
      </c>
      <c r="H350" s="145" t="str">
        <v/>
      </c>
      <c r="I350" s="145" t="str">
        <v/>
      </c>
      <c r="J350" s="145" t="str">
        <v/>
      </c>
      <c r="K350" s="145" t="str">
        <v/>
      </c>
      <c r="L350" s="145" t="str">
        <v/>
      </c>
      <c r="M350" s="145" t="str">
        <v/>
      </c>
      <c r="N350" s="145" t="str">
        <v/>
      </c>
      <c r="O350" s="145" t="str">
        <v/>
      </c>
      <c r="P350" s="145" t="str">
        <v/>
      </c>
    </row>
    <row r="351" spans="1:16" x14ac:dyDescent="0.2">
      <c r="A351" s="58" t="str">
        <v/>
      </c>
      <c r="B351" s="123" t="str">
        <f>IFERROR(TIMEVALUE(DaqBook_RAW_Data!Q239),IFERROR(TIMEVALUE(DaqBook_RAW_Data!#REF!),""))</f>
        <v/>
      </c>
      <c r="C351" s="145" t="str">
        <v/>
      </c>
      <c r="D351" s="145" t="str">
        <v/>
      </c>
      <c r="E351" s="145" t="str">
        <v/>
      </c>
      <c r="F351" s="145" t="str">
        <v/>
      </c>
      <c r="G351" s="145" t="str">
        <v/>
      </c>
      <c r="H351" s="145" t="str">
        <v/>
      </c>
      <c r="I351" s="145" t="str">
        <v/>
      </c>
      <c r="J351" s="145" t="str">
        <v/>
      </c>
      <c r="K351" s="145" t="str">
        <v/>
      </c>
      <c r="L351" s="145" t="str">
        <v/>
      </c>
      <c r="M351" s="145" t="str">
        <v/>
      </c>
      <c r="N351" s="145" t="str">
        <v/>
      </c>
      <c r="O351" s="145" t="str">
        <v/>
      </c>
      <c r="P351" s="145" t="str">
        <v/>
      </c>
    </row>
    <row r="352" spans="1:16" x14ac:dyDescent="0.2">
      <c r="A352" s="58" t="str">
        <v/>
      </c>
      <c r="B352" s="123" t="str">
        <f>IFERROR(TIMEVALUE(DaqBook_RAW_Data!Q240),IFERROR(TIMEVALUE(DaqBook_RAW_Data!#REF!),""))</f>
        <v/>
      </c>
      <c r="C352" s="145" t="str">
        <v/>
      </c>
      <c r="D352" s="145" t="str">
        <v/>
      </c>
      <c r="E352" s="145" t="str">
        <v/>
      </c>
      <c r="F352" s="145" t="str">
        <v/>
      </c>
      <c r="G352" s="145" t="str">
        <v/>
      </c>
      <c r="H352" s="145" t="str">
        <v/>
      </c>
      <c r="I352" s="145" t="str">
        <v/>
      </c>
      <c r="J352" s="145" t="str">
        <v/>
      </c>
      <c r="K352" s="145" t="str">
        <v/>
      </c>
      <c r="L352" s="145" t="str">
        <v/>
      </c>
      <c r="M352" s="145" t="str">
        <v/>
      </c>
      <c r="N352" s="145" t="str">
        <v/>
      </c>
      <c r="O352" s="145" t="str">
        <v/>
      </c>
      <c r="P352" s="145" t="str">
        <v/>
      </c>
    </row>
    <row r="353" spans="1:16" x14ac:dyDescent="0.2">
      <c r="A353" s="58" t="str">
        <v/>
      </c>
      <c r="B353" s="123" t="str">
        <f>IFERROR(TIMEVALUE(DaqBook_RAW_Data!Q241),IFERROR(TIMEVALUE(DaqBook_RAW_Data!#REF!),""))</f>
        <v/>
      </c>
      <c r="C353" s="145" t="str">
        <v/>
      </c>
      <c r="D353" s="145" t="str">
        <v/>
      </c>
      <c r="E353" s="145" t="str">
        <v/>
      </c>
      <c r="F353" s="145" t="str">
        <v/>
      </c>
      <c r="G353" s="145" t="str">
        <v/>
      </c>
      <c r="H353" s="145" t="str">
        <v/>
      </c>
      <c r="I353" s="145" t="str">
        <v/>
      </c>
      <c r="J353" s="145" t="str">
        <v/>
      </c>
      <c r="K353" s="145" t="str">
        <v/>
      </c>
      <c r="L353" s="145" t="str">
        <v/>
      </c>
      <c r="M353" s="145" t="str">
        <v/>
      </c>
      <c r="N353" s="145" t="str">
        <v/>
      </c>
      <c r="O353" s="145" t="str">
        <v/>
      </c>
      <c r="P353" s="145" t="str">
        <v/>
      </c>
    </row>
    <row r="354" spans="1:16" x14ac:dyDescent="0.2">
      <c r="A354" s="58" t="str">
        <v/>
      </c>
      <c r="B354" s="123" t="str">
        <f>IFERROR(TIMEVALUE(DaqBook_RAW_Data!Q242),IFERROR(TIMEVALUE(DaqBook_RAW_Data!#REF!),""))</f>
        <v/>
      </c>
      <c r="C354" s="145" t="str">
        <v/>
      </c>
      <c r="D354" s="145" t="str">
        <v/>
      </c>
      <c r="E354" s="145" t="str">
        <v/>
      </c>
      <c r="F354" s="145" t="str">
        <v/>
      </c>
      <c r="G354" s="145" t="str">
        <v/>
      </c>
      <c r="H354" s="145" t="str">
        <v/>
      </c>
      <c r="I354" s="145" t="str">
        <v/>
      </c>
      <c r="J354" s="145" t="str">
        <v/>
      </c>
      <c r="K354" s="145" t="str">
        <v/>
      </c>
      <c r="L354" s="145" t="str">
        <v/>
      </c>
      <c r="M354" s="145" t="str">
        <v/>
      </c>
      <c r="N354" s="145" t="str">
        <v/>
      </c>
      <c r="O354" s="145" t="str">
        <v/>
      </c>
      <c r="P354" s="145" t="str">
        <v/>
      </c>
    </row>
    <row r="355" spans="1:16" x14ac:dyDescent="0.2">
      <c r="A355" s="58" t="str">
        <v/>
      </c>
      <c r="B355" s="123" t="str">
        <f>IFERROR(TIMEVALUE(DaqBook_RAW_Data!Q243),IFERROR(TIMEVALUE(DaqBook_RAW_Data!#REF!),""))</f>
        <v/>
      </c>
      <c r="C355" s="145" t="str">
        <v/>
      </c>
      <c r="D355" s="145" t="str">
        <v/>
      </c>
      <c r="E355" s="145" t="str">
        <v/>
      </c>
      <c r="F355" s="145" t="str">
        <v/>
      </c>
      <c r="G355" s="145" t="str">
        <v/>
      </c>
      <c r="H355" s="145" t="str">
        <v/>
      </c>
      <c r="I355" s="145" t="str">
        <v/>
      </c>
      <c r="J355" s="145" t="str">
        <v/>
      </c>
      <c r="K355" s="145" t="str">
        <v/>
      </c>
      <c r="L355" s="145" t="str">
        <v/>
      </c>
      <c r="M355" s="145" t="str">
        <v/>
      </c>
      <c r="N355" s="145" t="str">
        <v/>
      </c>
      <c r="O355" s="145" t="str">
        <v/>
      </c>
      <c r="P355" s="145" t="str">
        <v/>
      </c>
    </row>
    <row r="356" spans="1:16" x14ac:dyDescent="0.2">
      <c r="A356" s="58" t="str">
        <v/>
      </c>
      <c r="B356" s="123" t="str">
        <f>IFERROR(TIMEVALUE(DaqBook_RAW_Data!Q244),IFERROR(TIMEVALUE(DaqBook_RAW_Data!#REF!),""))</f>
        <v/>
      </c>
      <c r="C356" s="145" t="str">
        <v/>
      </c>
      <c r="D356" s="145" t="str">
        <v/>
      </c>
      <c r="E356" s="145" t="str">
        <v/>
      </c>
      <c r="F356" s="145" t="str">
        <v/>
      </c>
      <c r="G356" s="145" t="str">
        <v/>
      </c>
      <c r="H356" s="145" t="str">
        <v/>
      </c>
      <c r="I356" s="145" t="str">
        <v/>
      </c>
      <c r="J356" s="145" t="str">
        <v/>
      </c>
      <c r="K356" s="145" t="str">
        <v/>
      </c>
      <c r="L356" s="145" t="str">
        <v/>
      </c>
      <c r="M356" s="145" t="str">
        <v/>
      </c>
      <c r="N356" s="145" t="str">
        <v/>
      </c>
      <c r="O356" s="145" t="str">
        <v/>
      </c>
      <c r="P356" s="145" t="str">
        <v/>
      </c>
    </row>
    <row r="357" spans="1:16" x14ac:dyDescent="0.2">
      <c r="A357" s="58" t="str">
        <v/>
      </c>
      <c r="B357" s="123" t="str">
        <f>IFERROR(TIMEVALUE(DaqBook_RAW_Data!Q245),IFERROR(TIMEVALUE(DaqBook_RAW_Data!#REF!),""))</f>
        <v/>
      </c>
      <c r="C357" s="145" t="str">
        <v/>
      </c>
      <c r="D357" s="145" t="str">
        <v/>
      </c>
      <c r="E357" s="145" t="str">
        <v/>
      </c>
      <c r="F357" s="145" t="str">
        <v/>
      </c>
      <c r="G357" s="145" t="str">
        <v/>
      </c>
      <c r="H357" s="145" t="str">
        <v/>
      </c>
      <c r="I357" s="145" t="str">
        <v/>
      </c>
      <c r="J357" s="145" t="str">
        <v/>
      </c>
      <c r="K357" s="145" t="str">
        <v/>
      </c>
      <c r="L357" s="145" t="str">
        <v/>
      </c>
      <c r="M357" s="145" t="str">
        <v/>
      </c>
      <c r="N357" s="145" t="str">
        <v/>
      </c>
      <c r="O357" s="145" t="str">
        <v/>
      </c>
      <c r="P357" s="145" t="str">
        <v/>
      </c>
    </row>
    <row r="358" spans="1:16" x14ac:dyDescent="0.2">
      <c r="A358" s="58" t="str">
        <v/>
      </c>
      <c r="B358" s="123" t="str">
        <f>IFERROR(TIMEVALUE(DaqBook_RAW_Data!Q246),IFERROR(TIMEVALUE(DaqBook_RAW_Data!#REF!),""))</f>
        <v/>
      </c>
      <c r="C358" s="145" t="str">
        <v/>
      </c>
      <c r="D358" s="145" t="str">
        <v/>
      </c>
      <c r="E358" s="145" t="str">
        <v/>
      </c>
      <c r="F358" s="145" t="str">
        <v/>
      </c>
      <c r="G358" s="145" t="str">
        <v/>
      </c>
      <c r="H358" s="145" t="str">
        <v/>
      </c>
      <c r="I358" s="145" t="str">
        <v/>
      </c>
      <c r="J358" s="145" t="str">
        <v/>
      </c>
      <c r="K358" s="145" t="str">
        <v/>
      </c>
      <c r="L358" s="145" t="str">
        <v/>
      </c>
      <c r="M358" s="145" t="str">
        <v/>
      </c>
      <c r="N358" s="145" t="str">
        <v/>
      </c>
      <c r="O358" s="145" t="str">
        <v/>
      </c>
      <c r="P358" s="145" t="str">
        <v/>
      </c>
    </row>
    <row r="359" spans="1:16" x14ac:dyDescent="0.2">
      <c r="A359" s="58" t="str">
        <v/>
      </c>
      <c r="B359" s="123" t="str">
        <f>IFERROR(TIMEVALUE(DaqBook_RAW_Data!Q247),IFERROR(TIMEVALUE(DaqBook_RAW_Data!#REF!),""))</f>
        <v/>
      </c>
      <c r="C359" s="145" t="str">
        <v/>
      </c>
      <c r="D359" s="145" t="str">
        <v/>
      </c>
      <c r="E359" s="145" t="str">
        <v/>
      </c>
      <c r="F359" s="145" t="str">
        <v/>
      </c>
      <c r="G359" s="145" t="str">
        <v/>
      </c>
      <c r="H359" s="145" t="str">
        <v/>
      </c>
      <c r="I359" s="145" t="str">
        <v/>
      </c>
      <c r="J359" s="145" t="str">
        <v/>
      </c>
      <c r="K359" s="145" t="str">
        <v/>
      </c>
      <c r="L359" s="145" t="str">
        <v/>
      </c>
      <c r="M359" s="145" t="str">
        <v/>
      </c>
      <c r="N359" s="145" t="str">
        <v/>
      </c>
      <c r="O359" s="145" t="str">
        <v/>
      </c>
      <c r="P359" s="145" t="str">
        <v/>
      </c>
    </row>
    <row r="360" spans="1:16" x14ac:dyDescent="0.2">
      <c r="A360" s="58" t="str">
        <v/>
      </c>
      <c r="B360" s="123" t="str">
        <f>IFERROR(TIMEVALUE(DaqBook_RAW_Data!Q248),IFERROR(TIMEVALUE(DaqBook_RAW_Data!#REF!),""))</f>
        <v/>
      </c>
      <c r="C360" s="145" t="str">
        <v/>
      </c>
      <c r="D360" s="145" t="str">
        <v/>
      </c>
      <c r="E360" s="145" t="str">
        <v/>
      </c>
      <c r="F360" s="145" t="str">
        <v/>
      </c>
      <c r="G360" s="145" t="str">
        <v/>
      </c>
      <c r="H360" s="145" t="str">
        <v/>
      </c>
      <c r="I360" s="145" t="str">
        <v/>
      </c>
      <c r="J360" s="145" t="str">
        <v/>
      </c>
      <c r="K360" s="145" t="str">
        <v/>
      </c>
      <c r="L360" s="145" t="str">
        <v/>
      </c>
      <c r="M360" s="145" t="str">
        <v/>
      </c>
      <c r="N360" s="145" t="str">
        <v/>
      </c>
      <c r="O360" s="145" t="str">
        <v/>
      </c>
      <c r="P360" s="145" t="str">
        <v/>
      </c>
    </row>
    <row r="361" spans="1:16" x14ac:dyDescent="0.2">
      <c r="A361" s="58" t="str">
        <v/>
      </c>
      <c r="B361" s="123" t="str">
        <f>IFERROR(TIMEVALUE(DaqBook_RAW_Data!Q249),IFERROR(TIMEVALUE(DaqBook_RAW_Data!#REF!),""))</f>
        <v/>
      </c>
      <c r="C361" s="145" t="str">
        <v/>
      </c>
      <c r="D361" s="145" t="str">
        <v/>
      </c>
      <c r="E361" s="145" t="str">
        <v/>
      </c>
      <c r="F361" s="145" t="str">
        <v/>
      </c>
      <c r="G361" s="145" t="str">
        <v/>
      </c>
      <c r="H361" s="145" t="str">
        <v/>
      </c>
      <c r="I361" s="145" t="str">
        <v/>
      </c>
      <c r="J361" s="145" t="str">
        <v/>
      </c>
      <c r="K361" s="145" t="str">
        <v/>
      </c>
      <c r="L361" s="145" t="str">
        <v/>
      </c>
      <c r="M361" s="145" t="str">
        <v/>
      </c>
      <c r="N361" s="145" t="str">
        <v/>
      </c>
      <c r="O361" s="145" t="str">
        <v/>
      </c>
      <c r="P361" s="145" t="str">
        <v/>
      </c>
    </row>
    <row r="362" spans="1:16" x14ac:dyDescent="0.2">
      <c r="A362" s="58" t="str">
        <v/>
      </c>
      <c r="B362" s="123" t="str">
        <f>IFERROR(TIMEVALUE(DaqBook_RAW_Data!Q250),IFERROR(TIMEVALUE(DaqBook_RAW_Data!#REF!),""))</f>
        <v/>
      </c>
      <c r="C362" s="145" t="str">
        <v/>
      </c>
      <c r="D362" s="145" t="str">
        <v/>
      </c>
      <c r="E362" s="145" t="str">
        <v/>
      </c>
      <c r="F362" s="145" t="str">
        <v/>
      </c>
      <c r="G362" s="145" t="str">
        <v/>
      </c>
      <c r="H362" s="145" t="str">
        <v/>
      </c>
      <c r="I362" s="145" t="str">
        <v/>
      </c>
      <c r="J362" s="145" t="str">
        <v/>
      </c>
      <c r="K362" s="145" t="str">
        <v/>
      </c>
      <c r="L362" s="145" t="str">
        <v/>
      </c>
      <c r="M362" s="145" t="str">
        <v/>
      </c>
      <c r="N362" s="145" t="str">
        <v/>
      </c>
      <c r="O362" s="145" t="str">
        <v/>
      </c>
      <c r="P362" s="145" t="str">
        <v/>
      </c>
    </row>
    <row r="363" spans="1:16" x14ac:dyDescent="0.2">
      <c r="A363" s="58" t="str">
        <v/>
      </c>
      <c r="B363" s="123" t="str">
        <f>IFERROR(TIMEVALUE(DaqBook_RAW_Data!Q251),IFERROR(TIMEVALUE(DaqBook_RAW_Data!#REF!),""))</f>
        <v/>
      </c>
      <c r="C363" s="145" t="str">
        <v/>
      </c>
      <c r="D363" s="145" t="str">
        <v/>
      </c>
      <c r="E363" s="145" t="str">
        <v/>
      </c>
      <c r="F363" s="145" t="str">
        <v/>
      </c>
      <c r="G363" s="145" t="str">
        <v/>
      </c>
      <c r="H363" s="145" t="str">
        <v/>
      </c>
      <c r="I363" s="145" t="str">
        <v/>
      </c>
      <c r="J363" s="145" t="str">
        <v/>
      </c>
      <c r="K363" s="145" t="str">
        <v/>
      </c>
      <c r="L363" s="145" t="str">
        <v/>
      </c>
      <c r="M363" s="145" t="str">
        <v/>
      </c>
      <c r="N363" s="145" t="str">
        <v/>
      </c>
      <c r="O363" s="145" t="str">
        <v/>
      </c>
      <c r="P363" s="145" t="str">
        <v/>
      </c>
    </row>
    <row r="364" spans="1:16" x14ac:dyDescent="0.2">
      <c r="A364" s="58" t="str">
        <v/>
      </c>
      <c r="B364" s="123" t="str">
        <f>IFERROR(TIMEVALUE(DaqBook_RAW_Data!Q252),IFERROR(TIMEVALUE(DaqBook_RAW_Data!#REF!),""))</f>
        <v/>
      </c>
      <c r="C364" s="145" t="str">
        <v/>
      </c>
      <c r="D364" s="145" t="str">
        <v/>
      </c>
      <c r="E364" s="145" t="str">
        <v/>
      </c>
      <c r="F364" s="145" t="str">
        <v/>
      </c>
      <c r="G364" s="145" t="str">
        <v/>
      </c>
      <c r="H364" s="145" t="str">
        <v/>
      </c>
      <c r="I364" s="145" t="str">
        <v/>
      </c>
      <c r="J364" s="145" t="str">
        <v/>
      </c>
      <c r="K364" s="145" t="str">
        <v/>
      </c>
      <c r="L364" s="145" t="str">
        <v/>
      </c>
      <c r="M364" s="145" t="str">
        <v/>
      </c>
      <c r="N364" s="145" t="str">
        <v/>
      </c>
      <c r="O364" s="145" t="str">
        <v/>
      </c>
      <c r="P364" s="145" t="str">
        <v/>
      </c>
    </row>
    <row r="365" spans="1:16" x14ac:dyDescent="0.2">
      <c r="A365" s="58" t="str">
        <v/>
      </c>
      <c r="B365" s="123" t="str">
        <f>IFERROR(TIMEVALUE(DaqBook_RAW_Data!Q253),IFERROR(TIMEVALUE(DaqBook_RAW_Data!#REF!),""))</f>
        <v/>
      </c>
      <c r="C365" s="145" t="str">
        <v/>
      </c>
      <c r="D365" s="145" t="str">
        <v/>
      </c>
      <c r="E365" s="145" t="str">
        <v/>
      </c>
      <c r="F365" s="145" t="str">
        <v/>
      </c>
      <c r="G365" s="145" t="str">
        <v/>
      </c>
      <c r="H365" s="145" t="str">
        <v/>
      </c>
      <c r="I365" s="145" t="str">
        <v/>
      </c>
      <c r="J365" s="145" t="str">
        <v/>
      </c>
      <c r="K365" s="145" t="str">
        <v/>
      </c>
      <c r="L365" s="145" t="str">
        <v/>
      </c>
      <c r="M365" s="145" t="str">
        <v/>
      </c>
      <c r="N365" s="145" t="str">
        <v/>
      </c>
      <c r="O365" s="145" t="str">
        <v/>
      </c>
      <c r="P365" s="145" t="str">
        <v/>
      </c>
    </row>
    <row r="366" spans="1:16" x14ac:dyDescent="0.2">
      <c r="A366" s="58" t="str">
        <v/>
      </c>
      <c r="B366" s="123" t="str">
        <f>IFERROR(TIMEVALUE(DaqBook_RAW_Data!Q254),IFERROR(TIMEVALUE(DaqBook_RAW_Data!#REF!),""))</f>
        <v/>
      </c>
      <c r="C366" s="145" t="str">
        <v/>
      </c>
      <c r="D366" s="145" t="str">
        <v/>
      </c>
      <c r="E366" s="145" t="str">
        <v/>
      </c>
      <c r="F366" s="145" t="str">
        <v/>
      </c>
      <c r="G366" s="145" t="str">
        <v/>
      </c>
      <c r="H366" s="145" t="str">
        <v/>
      </c>
      <c r="I366" s="145" t="str">
        <v/>
      </c>
      <c r="J366" s="145" t="str">
        <v/>
      </c>
      <c r="K366" s="145" t="str">
        <v/>
      </c>
      <c r="L366" s="145" t="str">
        <v/>
      </c>
      <c r="M366" s="145" t="str">
        <v/>
      </c>
      <c r="N366" s="145" t="str">
        <v/>
      </c>
      <c r="O366" s="145" t="str">
        <v/>
      </c>
      <c r="P366" s="145" t="str">
        <v/>
      </c>
    </row>
    <row r="367" spans="1:16" x14ac:dyDescent="0.2">
      <c r="A367" s="58" t="str">
        <v/>
      </c>
      <c r="B367" s="123" t="str">
        <f>IFERROR(TIMEVALUE(DaqBook_RAW_Data!Q255),IFERROR(TIMEVALUE(DaqBook_RAW_Data!#REF!),""))</f>
        <v/>
      </c>
      <c r="C367" s="145" t="str">
        <v/>
      </c>
      <c r="D367" s="145" t="str">
        <v/>
      </c>
      <c r="E367" s="145" t="str">
        <v/>
      </c>
      <c r="F367" s="145" t="str">
        <v/>
      </c>
      <c r="G367" s="145" t="str">
        <v/>
      </c>
      <c r="H367" s="145" t="str">
        <v/>
      </c>
      <c r="I367" s="145" t="str">
        <v/>
      </c>
      <c r="J367" s="145" t="str">
        <v/>
      </c>
      <c r="K367" s="145" t="str">
        <v/>
      </c>
      <c r="L367" s="145" t="str">
        <v/>
      </c>
      <c r="M367" s="145" t="str">
        <v/>
      </c>
      <c r="N367" s="145" t="str">
        <v/>
      </c>
      <c r="O367" s="145" t="str">
        <v/>
      </c>
      <c r="P367" s="145" t="str">
        <v/>
      </c>
    </row>
    <row r="368" spans="1:16" x14ac:dyDescent="0.2">
      <c r="A368" s="58" t="str">
        <v/>
      </c>
      <c r="B368" s="123" t="str">
        <f>IFERROR(TIMEVALUE(DaqBook_RAW_Data!Q256),IFERROR(TIMEVALUE(DaqBook_RAW_Data!#REF!),""))</f>
        <v/>
      </c>
      <c r="C368" s="145" t="str">
        <v/>
      </c>
      <c r="D368" s="145" t="str">
        <v/>
      </c>
      <c r="E368" s="145" t="str">
        <v/>
      </c>
      <c r="F368" s="145" t="str">
        <v/>
      </c>
      <c r="G368" s="145" t="str">
        <v/>
      </c>
      <c r="H368" s="145" t="str">
        <v/>
      </c>
      <c r="I368" s="145" t="str">
        <v/>
      </c>
      <c r="J368" s="145" t="str">
        <v/>
      </c>
      <c r="K368" s="145" t="str">
        <v/>
      </c>
      <c r="L368" s="145" t="str">
        <v/>
      </c>
      <c r="M368" s="145" t="str">
        <v/>
      </c>
      <c r="N368" s="145" t="str">
        <v/>
      </c>
      <c r="O368" s="145" t="str">
        <v/>
      </c>
      <c r="P368" s="145" t="str">
        <v/>
      </c>
    </row>
    <row r="369" spans="1:16" x14ac:dyDescent="0.2">
      <c r="A369" s="58" t="str">
        <v/>
      </c>
      <c r="B369" s="123" t="str">
        <f>IFERROR(TIMEVALUE(DaqBook_RAW_Data!Q257),IFERROR(TIMEVALUE(DaqBook_RAW_Data!#REF!),""))</f>
        <v/>
      </c>
      <c r="C369" s="145" t="str">
        <v/>
      </c>
      <c r="D369" s="145" t="str">
        <v/>
      </c>
      <c r="E369" s="145" t="str">
        <v/>
      </c>
      <c r="F369" s="145" t="str">
        <v/>
      </c>
      <c r="G369" s="145" t="str">
        <v/>
      </c>
      <c r="H369" s="145" t="str">
        <v/>
      </c>
      <c r="I369" s="145" t="str">
        <v/>
      </c>
      <c r="J369" s="145" t="str">
        <v/>
      </c>
      <c r="K369" s="145" t="str">
        <v/>
      </c>
      <c r="L369" s="145" t="str">
        <v/>
      </c>
      <c r="M369" s="145" t="str">
        <v/>
      </c>
      <c r="N369" s="145" t="str">
        <v/>
      </c>
      <c r="O369" s="145" t="str">
        <v/>
      </c>
      <c r="P369" s="145" t="str">
        <v/>
      </c>
    </row>
    <row r="370" spans="1:16" x14ac:dyDescent="0.2">
      <c r="A370" s="58" t="str">
        <v/>
      </c>
      <c r="B370" s="123" t="str">
        <f>IFERROR(TIMEVALUE(DaqBook_RAW_Data!Q258),IFERROR(TIMEVALUE(DaqBook_RAW_Data!#REF!),""))</f>
        <v/>
      </c>
      <c r="C370" s="145" t="str">
        <v/>
      </c>
      <c r="D370" s="145" t="str">
        <v/>
      </c>
      <c r="E370" s="145" t="str">
        <v/>
      </c>
      <c r="F370" s="145" t="str">
        <v/>
      </c>
      <c r="G370" s="145" t="str">
        <v/>
      </c>
      <c r="H370" s="145" t="str">
        <v/>
      </c>
      <c r="I370" s="145" t="str">
        <v/>
      </c>
      <c r="J370" s="145" t="str">
        <v/>
      </c>
      <c r="K370" s="145" t="str">
        <v/>
      </c>
      <c r="L370" s="145" t="str">
        <v/>
      </c>
      <c r="M370" s="145" t="str">
        <v/>
      </c>
      <c r="N370" s="145" t="str">
        <v/>
      </c>
      <c r="O370" s="145" t="str">
        <v/>
      </c>
      <c r="P370" s="145" t="str">
        <v/>
      </c>
    </row>
    <row r="371" spans="1:16" x14ac:dyDescent="0.2">
      <c r="A371" s="58" t="str">
        <v/>
      </c>
      <c r="B371" s="123" t="str">
        <f>IFERROR(TIMEVALUE(DaqBook_RAW_Data!Q259),IFERROR(TIMEVALUE(DaqBook_RAW_Data!#REF!),""))</f>
        <v/>
      </c>
      <c r="C371" s="145" t="str">
        <v/>
      </c>
      <c r="D371" s="145" t="str">
        <v/>
      </c>
      <c r="E371" s="145" t="str">
        <v/>
      </c>
      <c r="F371" s="145" t="str">
        <v/>
      </c>
      <c r="G371" s="145" t="str">
        <v/>
      </c>
      <c r="H371" s="145" t="str">
        <v/>
      </c>
      <c r="I371" s="145" t="str">
        <v/>
      </c>
      <c r="J371" s="145" t="str">
        <v/>
      </c>
      <c r="K371" s="145" t="str">
        <v/>
      </c>
      <c r="L371" s="145" t="str">
        <v/>
      </c>
      <c r="M371" s="145" t="str">
        <v/>
      </c>
      <c r="N371" s="145" t="str">
        <v/>
      </c>
      <c r="O371" s="145" t="str">
        <v/>
      </c>
      <c r="P371" s="145" t="str">
        <v/>
      </c>
    </row>
    <row r="372" spans="1:16" x14ac:dyDescent="0.2">
      <c r="A372" s="58" t="str">
        <v/>
      </c>
      <c r="B372" s="123" t="str">
        <f>IFERROR(TIMEVALUE(DaqBook_RAW_Data!Q260),IFERROR(TIMEVALUE(DaqBook_RAW_Data!#REF!),""))</f>
        <v/>
      </c>
      <c r="C372" s="145" t="str">
        <v/>
      </c>
      <c r="D372" s="145" t="str">
        <v/>
      </c>
      <c r="E372" s="145" t="str">
        <v/>
      </c>
      <c r="F372" s="145" t="str">
        <v/>
      </c>
      <c r="G372" s="145" t="str">
        <v/>
      </c>
      <c r="H372" s="145" t="str">
        <v/>
      </c>
      <c r="I372" s="145" t="str">
        <v/>
      </c>
      <c r="J372" s="145" t="str">
        <v/>
      </c>
      <c r="K372" s="145" t="str">
        <v/>
      </c>
      <c r="L372" s="145" t="str">
        <v/>
      </c>
      <c r="M372" s="145" t="str">
        <v/>
      </c>
      <c r="N372" s="145" t="str">
        <v/>
      </c>
      <c r="O372" s="145" t="str">
        <v/>
      </c>
      <c r="P372" s="145" t="str">
        <v/>
      </c>
    </row>
    <row r="373" spans="1:16" x14ac:dyDescent="0.2">
      <c r="A373" s="58" t="str">
        <v/>
      </c>
      <c r="B373" s="123" t="str">
        <f>IFERROR(TIMEVALUE(DaqBook_RAW_Data!Q261),IFERROR(TIMEVALUE(DaqBook_RAW_Data!#REF!),""))</f>
        <v/>
      </c>
      <c r="C373" s="145" t="str">
        <v/>
      </c>
      <c r="D373" s="145" t="str">
        <v/>
      </c>
      <c r="E373" s="145" t="str">
        <v/>
      </c>
      <c r="F373" s="145" t="str">
        <v/>
      </c>
      <c r="G373" s="145" t="str">
        <v/>
      </c>
      <c r="H373" s="145" t="str">
        <v/>
      </c>
      <c r="I373" s="145" t="str">
        <v/>
      </c>
      <c r="J373" s="145" t="str">
        <v/>
      </c>
      <c r="K373" s="145" t="str">
        <v/>
      </c>
      <c r="L373" s="145" t="str">
        <v/>
      </c>
      <c r="M373" s="145" t="str">
        <v/>
      </c>
      <c r="N373" s="145" t="str">
        <v/>
      </c>
      <c r="O373" s="145" t="str">
        <v/>
      </c>
      <c r="P373" s="145" t="str">
        <v/>
      </c>
    </row>
    <row r="374" spans="1:16" x14ac:dyDescent="0.2">
      <c r="A374" s="58" t="str">
        <v/>
      </c>
      <c r="B374" s="123" t="str">
        <f>IFERROR(TIMEVALUE(DaqBook_RAW_Data!Q262),IFERROR(TIMEVALUE(DaqBook_RAW_Data!#REF!),""))</f>
        <v/>
      </c>
      <c r="C374" s="145" t="str">
        <v/>
      </c>
      <c r="D374" s="145" t="str">
        <v/>
      </c>
      <c r="E374" s="145" t="str">
        <v/>
      </c>
      <c r="F374" s="145" t="str">
        <v/>
      </c>
      <c r="G374" s="145" t="str">
        <v/>
      </c>
      <c r="H374" s="145" t="str">
        <v/>
      </c>
      <c r="I374" s="145" t="str">
        <v/>
      </c>
      <c r="J374" s="145" t="str">
        <v/>
      </c>
      <c r="K374" s="145" t="str">
        <v/>
      </c>
      <c r="L374" s="145" t="str">
        <v/>
      </c>
      <c r="M374" s="145" t="str">
        <v/>
      </c>
      <c r="N374" s="145" t="str">
        <v/>
      </c>
      <c r="O374" s="145" t="str">
        <v/>
      </c>
      <c r="P374" s="145" t="str">
        <v/>
      </c>
    </row>
    <row r="375" spans="1:16" x14ac:dyDescent="0.2">
      <c r="A375" s="58" t="str">
        <v/>
      </c>
      <c r="B375" s="123" t="str">
        <f>IFERROR(TIMEVALUE(DaqBook_RAW_Data!Q263),IFERROR(TIMEVALUE(DaqBook_RAW_Data!#REF!),""))</f>
        <v/>
      </c>
      <c r="C375" s="145" t="str">
        <v/>
      </c>
      <c r="D375" s="145" t="str">
        <v/>
      </c>
      <c r="E375" s="145" t="str">
        <v/>
      </c>
      <c r="F375" s="145" t="str">
        <v/>
      </c>
      <c r="G375" s="145" t="str">
        <v/>
      </c>
      <c r="H375" s="145" t="str">
        <v/>
      </c>
      <c r="I375" s="145" t="str">
        <v/>
      </c>
      <c r="J375" s="145" t="str">
        <v/>
      </c>
      <c r="K375" s="145" t="str">
        <v/>
      </c>
      <c r="L375" s="145" t="str">
        <v/>
      </c>
      <c r="M375" s="145" t="str">
        <v/>
      </c>
      <c r="N375" s="145" t="str">
        <v/>
      </c>
      <c r="O375" s="145" t="str">
        <v/>
      </c>
      <c r="P375" s="145" t="str">
        <v/>
      </c>
    </row>
    <row r="376" spans="1:16" x14ac:dyDescent="0.2">
      <c r="A376" s="58" t="str">
        <v/>
      </c>
      <c r="B376" s="123" t="str">
        <f>IFERROR(TIMEVALUE(DaqBook_RAW_Data!Q264),IFERROR(TIMEVALUE(DaqBook_RAW_Data!#REF!),""))</f>
        <v/>
      </c>
      <c r="C376" s="145" t="str">
        <v/>
      </c>
      <c r="D376" s="145" t="str">
        <v/>
      </c>
      <c r="E376" s="145" t="str">
        <v/>
      </c>
      <c r="F376" s="145" t="str">
        <v/>
      </c>
      <c r="G376" s="145" t="str">
        <v/>
      </c>
      <c r="H376" s="145" t="str">
        <v/>
      </c>
      <c r="I376" s="145" t="str">
        <v/>
      </c>
      <c r="J376" s="145" t="str">
        <v/>
      </c>
      <c r="K376" s="145" t="str">
        <v/>
      </c>
      <c r="L376" s="145" t="str">
        <v/>
      </c>
      <c r="M376" s="145" t="str">
        <v/>
      </c>
      <c r="N376" s="145" t="str">
        <v/>
      </c>
      <c r="O376" s="145" t="str">
        <v/>
      </c>
      <c r="P376" s="145" t="str">
        <v/>
      </c>
    </row>
    <row r="377" spans="1:16" x14ac:dyDescent="0.2">
      <c r="A377" s="58" t="str">
        <v/>
      </c>
      <c r="B377" s="123" t="str">
        <f>IFERROR(TIMEVALUE(DaqBook_RAW_Data!Q265),IFERROR(TIMEVALUE(DaqBook_RAW_Data!#REF!),""))</f>
        <v/>
      </c>
      <c r="C377" s="145" t="str">
        <v/>
      </c>
      <c r="D377" s="145" t="str">
        <v/>
      </c>
      <c r="E377" s="145" t="str">
        <v/>
      </c>
      <c r="F377" s="145" t="str">
        <v/>
      </c>
      <c r="G377" s="145" t="str">
        <v/>
      </c>
      <c r="H377" s="145" t="str">
        <v/>
      </c>
      <c r="I377" s="145" t="str">
        <v/>
      </c>
      <c r="J377" s="145" t="str">
        <v/>
      </c>
      <c r="K377" s="145" t="str">
        <v/>
      </c>
      <c r="L377" s="145" t="str">
        <v/>
      </c>
      <c r="M377" s="145" t="str">
        <v/>
      </c>
      <c r="N377" s="145" t="str">
        <v/>
      </c>
      <c r="O377" s="145" t="str">
        <v/>
      </c>
      <c r="P377" s="145" t="str">
        <v/>
      </c>
    </row>
    <row r="378" spans="1:16" x14ac:dyDescent="0.2">
      <c r="A378" s="58" t="str">
        <v/>
      </c>
      <c r="B378" s="123" t="str">
        <f>IFERROR(TIMEVALUE(DaqBook_RAW_Data!Q266),IFERROR(TIMEVALUE(DaqBook_RAW_Data!#REF!),""))</f>
        <v/>
      </c>
      <c r="C378" s="145" t="str">
        <v/>
      </c>
      <c r="D378" s="145" t="str">
        <v/>
      </c>
      <c r="E378" s="145" t="str">
        <v/>
      </c>
      <c r="F378" s="145" t="str">
        <v/>
      </c>
      <c r="G378" s="145" t="str">
        <v/>
      </c>
      <c r="H378" s="145" t="str">
        <v/>
      </c>
      <c r="I378" s="145" t="str">
        <v/>
      </c>
      <c r="J378" s="145" t="str">
        <v/>
      </c>
      <c r="K378" s="145" t="str">
        <v/>
      </c>
      <c r="L378" s="145" t="str">
        <v/>
      </c>
      <c r="M378" s="145" t="str">
        <v/>
      </c>
      <c r="N378" s="145" t="str">
        <v/>
      </c>
      <c r="O378" s="145" t="str">
        <v/>
      </c>
      <c r="P378" s="145" t="str">
        <v/>
      </c>
    </row>
    <row r="379" spans="1:16" x14ac:dyDescent="0.2">
      <c r="A379" s="58" t="str">
        <v/>
      </c>
      <c r="B379" s="123" t="str">
        <f>IFERROR(TIMEVALUE(DaqBook_RAW_Data!Q267),IFERROR(TIMEVALUE(DaqBook_RAW_Data!#REF!),""))</f>
        <v/>
      </c>
      <c r="C379" s="145" t="str">
        <v/>
      </c>
      <c r="D379" s="145" t="str">
        <v/>
      </c>
      <c r="E379" s="145" t="str">
        <v/>
      </c>
      <c r="F379" s="145" t="str">
        <v/>
      </c>
      <c r="G379" s="145" t="str">
        <v/>
      </c>
      <c r="H379" s="145" t="str">
        <v/>
      </c>
      <c r="I379" s="145" t="str">
        <v/>
      </c>
      <c r="J379" s="145" t="str">
        <v/>
      </c>
      <c r="K379" s="145" t="str">
        <v/>
      </c>
      <c r="L379" s="145" t="str">
        <v/>
      </c>
      <c r="M379" s="145" t="str">
        <v/>
      </c>
      <c r="N379" s="145" t="str">
        <v/>
      </c>
      <c r="O379" s="145" t="str">
        <v/>
      </c>
      <c r="P379" s="145" t="str">
        <v/>
      </c>
    </row>
    <row r="380" spans="1:16" x14ac:dyDescent="0.2">
      <c r="A380" s="58" t="str">
        <v/>
      </c>
      <c r="B380" s="123" t="str">
        <f>IFERROR(TIMEVALUE(DaqBook_RAW_Data!Q268),IFERROR(TIMEVALUE(DaqBook_RAW_Data!#REF!),""))</f>
        <v/>
      </c>
      <c r="C380" s="145" t="str">
        <v/>
      </c>
      <c r="D380" s="145" t="str">
        <v/>
      </c>
      <c r="E380" s="145" t="str">
        <v/>
      </c>
      <c r="F380" s="145" t="str">
        <v/>
      </c>
      <c r="G380" s="145" t="str">
        <v/>
      </c>
      <c r="H380" s="145" t="str">
        <v/>
      </c>
      <c r="I380" s="145" t="str">
        <v/>
      </c>
      <c r="J380" s="145" t="str">
        <v/>
      </c>
      <c r="K380" s="145" t="str">
        <v/>
      </c>
      <c r="L380" s="145" t="str">
        <v/>
      </c>
      <c r="M380" s="145" t="str">
        <v/>
      </c>
      <c r="N380" s="145" t="str">
        <v/>
      </c>
      <c r="O380" s="145" t="str">
        <v/>
      </c>
      <c r="P380" s="145" t="str">
        <v/>
      </c>
    </row>
    <row r="381" spans="1:16" x14ac:dyDescent="0.2">
      <c r="A381" s="58" t="str">
        <v/>
      </c>
      <c r="B381" s="123" t="str">
        <f>IFERROR(TIMEVALUE(DaqBook_RAW_Data!Q269),IFERROR(TIMEVALUE(DaqBook_RAW_Data!#REF!),""))</f>
        <v/>
      </c>
      <c r="C381" s="145" t="str">
        <v/>
      </c>
      <c r="D381" s="145" t="str">
        <v/>
      </c>
      <c r="E381" s="145" t="str">
        <v/>
      </c>
      <c r="F381" s="145" t="str">
        <v/>
      </c>
      <c r="G381" s="145" t="str">
        <v/>
      </c>
      <c r="H381" s="145" t="str">
        <v/>
      </c>
      <c r="I381" s="145" t="str">
        <v/>
      </c>
      <c r="J381" s="145" t="str">
        <v/>
      </c>
      <c r="K381" s="145" t="str">
        <v/>
      </c>
      <c r="L381" s="145" t="str">
        <v/>
      </c>
      <c r="M381" s="145" t="str">
        <v/>
      </c>
      <c r="N381" s="145" t="str">
        <v/>
      </c>
      <c r="O381" s="145" t="str">
        <v/>
      </c>
      <c r="P381" s="145" t="str">
        <v/>
      </c>
    </row>
    <row r="382" spans="1:16" x14ac:dyDescent="0.2">
      <c r="A382" s="58" t="str">
        <v/>
      </c>
      <c r="B382" s="123" t="str">
        <f>IFERROR(TIMEVALUE(DaqBook_RAW_Data!Q270),IFERROR(TIMEVALUE(DaqBook_RAW_Data!#REF!),""))</f>
        <v/>
      </c>
      <c r="C382" s="145" t="str">
        <v/>
      </c>
      <c r="D382" s="145" t="str">
        <v/>
      </c>
      <c r="E382" s="145" t="str">
        <v/>
      </c>
      <c r="F382" s="145" t="str">
        <v/>
      </c>
      <c r="G382" s="145" t="str">
        <v/>
      </c>
      <c r="H382" s="145" t="str">
        <v/>
      </c>
      <c r="I382" s="145" t="str">
        <v/>
      </c>
      <c r="J382" s="145" t="str">
        <v/>
      </c>
      <c r="K382" s="145" t="str">
        <v/>
      </c>
      <c r="L382" s="145" t="str">
        <v/>
      </c>
      <c r="M382" s="145" t="str">
        <v/>
      </c>
      <c r="N382" s="145" t="str">
        <v/>
      </c>
      <c r="O382" s="145" t="str">
        <v/>
      </c>
      <c r="P382" s="145" t="str">
        <v/>
      </c>
    </row>
    <row r="383" spans="1:16" x14ac:dyDescent="0.2">
      <c r="A383" s="58" t="str">
        <v/>
      </c>
      <c r="B383" s="123" t="str">
        <f>IFERROR(TIMEVALUE(DaqBook_RAW_Data!Q271),IFERROR(TIMEVALUE(DaqBook_RAW_Data!#REF!),""))</f>
        <v/>
      </c>
      <c r="C383" s="145" t="str">
        <v/>
      </c>
      <c r="D383" s="145" t="str">
        <v/>
      </c>
      <c r="E383" s="145" t="str">
        <v/>
      </c>
      <c r="F383" s="145" t="str">
        <v/>
      </c>
      <c r="G383" s="145" t="str">
        <v/>
      </c>
      <c r="H383" s="145" t="str">
        <v/>
      </c>
      <c r="I383" s="145" t="str">
        <v/>
      </c>
      <c r="J383" s="145" t="str">
        <v/>
      </c>
      <c r="K383" s="145" t="str">
        <v/>
      </c>
      <c r="L383" s="145" t="str">
        <v/>
      </c>
      <c r="M383" s="145" t="str">
        <v/>
      </c>
      <c r="N383" s="145" t="str">
        <v/>
      </c>
      <c r="O383" s="145" t="str">
        <v/>
      </c>
      <c r="P383" s="145" t="str">
        <v/>
      </c>
    </row>
    <row r="384" spans="1:16" x14ac:dyDescent="0.2">
      <c r="A384" s="58" t="str">
        <v/>
      </c>
      <c r="B384" s="123" t="str">
        <f>IFERROR(TIMEVALUE(DaqBook_RAW_Data!Q272),IFERROR(TIMEVALUE(DaqBook_RAW_Data!#REF!),""))</f>
        <v/>
      </c>
      <c r="C384" s="145" t="str">
        <v/>
      </c>
      <c r="D384" s="145" t="str">
        <v/>
      </c>
      <c r="E384" s="145" t="str">
        <v/>
      </c>
      <c r="F384" s="145" t="str">
        <v/>
      </c>
      <c r="G384" s="145" t="str">
        <v/>
      </c>
      <c r="H384" s="145" t="str">
        <v/>
      </c>
      <c r="I384" s="145" t="str">
        <v/>
      </c>
      <c r="J384" s="145" t="str">
        <v/>
      </c>
      <c r="K384" s="145" t="str">
        <v/>
      </c>
      <c r="L384" s="145" t="str">
        <v/>
      </c>
      <c r="M384" s="145" t="str">
        <v/>
      </c>
      <c r="N384" s="145" t="str">
        <v/>
      </c>
      <c r="O384" s="145" t="str">
        <v/>
      </c>
      <c r="P384" s="145" t="str">
        <v/>
      </c>
    </row>
    <row r="385" spans="1:16" x14ac:dyDescent="0.2">
      <c r="A385" s="58" t="str">
        <v/>
      </c>
      <c r="B385" s="123" t="str">
        <f>IFERROR(TIMEVALUE(DaqBook_RAW_Data!Q273),IFERROR(TIMEVALUE(DaqBook_RAW_Data!#REF!),""))</f>
        <v/>
      </c>
      <c r="C385" s="145" t="str">
        <v/>
      </c>
      <c r="D385" s="145" t="str">
        <v/>
      </c>
      <c r="E385" s="145" t="str">
        <v/>
      </c>
      <c r="F385" s="145" t="str">
        <v/>
      </c>
      <c r="G385" s="145" t="str">
        <v/>
      </c>
      <c r="H385" s="145" t="str">
        <v/>
      </c>
      <c r="I385" s="145" t="str">
        <v/>
      </c>
      <c r="J385" s="145" t="str">
        <v/>
      </c>
      <c r="K385" s="145" t="str">
        <v/>
      </c>
      <c r="L385" s="145" t="str">
        <v/>
      </c>
      <c r="M385" s="145" t="str">
        <v/>
      </c>
      <c r="N385" s="145" t="str">
        <v/>
      </c>
      <c r="O385" s="145" t="str">
        <v/>
      </c>
      <c r="P385" s="145" t="str">
        <v/>
      </c>
    </row>
    <row r="386" spans="1:16" x14ac:dyDescent="0.2">
      <c r="A386" s="58" t="str">
        <v/>
      </c>
      <c r="B386" s="123" t="str">
        <f>IFERROR(TIMEVALUE(DaqBook_RAW_Data!Q274),IFERROR(TIMEVALUE(DaqBook_RAW_Data!#REF!),""))</f>
        <v/>
      </c>
      <c r="C386" s="145" t="str">
        <v/>
      </c>
      <c r="D386" s="145" t="str">
        <v/>
      </c>
      <c r="E386" s="145" t="str">
        <v/>
      </c>
      <c r="F386" s="145" t="str">
        <v/>
      </c>
      <c r="G386" s="145" t="str">
        <v/>
      </c>
      <c r="H386" s="145" t="str">
        <v/>
      </c>
      <c r="I386" s="145" t="str">
        <v/>
      </c>
      <c r="J386" s="145" t="str">
        <v/>
      </c>
      <c r="K386" s="145" t="str">
        <v/>
      </c>
      <c r="L386" s="145" t="str">
        <v/>
      </c>
      <c r="M386" s="145" t="str">
        <v/>
      </c>
      <c r="N386" s="145" t="str">
        <v/>
      </c>
      <c r="O386" s="145" t="str">
        <v/>
      </c>
      <c r="P386" s="145" t="str">
        <v/>
      </c>
    </row>
    <row r="387" spans="1:16" x14ac:dyDescent="0.2">
      <c r="A387" s="58" t="str">
        <v/>
      </c>
      <c r="B387" s="123" t="str">
        <f>IFERROR(TIMEVALUE(DaqBook_RAW_Data!Q275),IFERROR(TIMEVALUE(DaqBook_RAW_Data!#REF!),""))</f>
        <v/>
      </c>
      <c r="C387" s="145" t="str">
        <v/>
      </c>
      <c r="D387" s="145" t="str">
        <v/>
      </c>
      <c r="E387" s="145" t="str">
        <v/>
      </c>
      <c r="F387" s="145" t="str">
        <v/>
      </c>
      <c r="G387" s="145" t="str">
        <v/>
      </c>
      <c r="H387" s="145" t="str">
        <v/>
      </c>
      <c r="I387" s="145" t="str">
        <v/>
      </c>
      <c r="J387" s="145" t="str">
        <v/>
      </c>
      <c r="K387" s="145" t="str">
        <v/>
      </c>
      <c r="L387" s="145" t="str">
        <v/>
      </c>
      <c r="M387" s="145" t="str">
        <v/>
      </c>
      <c r="N387" s="145" t="str">
        <v/>
      </c>
      <c r="O387" s="145" t="str">
        <v/>
      </c>
      <c r="P387" s="145" t="str">
        <v/>
      </c>
    </row>
    <row r="388" spans="1:16" x14ac:dyDescent="0.2">
      <c r="A388" s="58" t="str">
        <v/>
      </c>
      <c r="B388" s="123" t="str">
        <f>IFERROR(TIMEVALUE(DaqBook_RAW_Data!Q276),IFERROR(TIMEVALUE(DaqBook_RAW_Data!#REF!),""))</f>
        <v/>
      </c>
      <c r="C388" s="145" t="str">
        <v/>
      </c>
      <c r="D388" s="145" t="str">
        <v/>
      </c>
      <c r="E388" s="145" t="str">
        <v/>
      </c>
      <c r="F388" s="145" t="str">
        <v/>
      </c>
      <c r="G388" s="145" t="str">
        <v/>
      </c>
      <c r="H388" s="145" t="str">
        <v/>
      </c>
      <c r="I388" s="145" t="str">
        <v/>
      </c>
      <c r="J388" s="145" t="str">
        <v/>
      </c>
      <c r="K388" s="145" t="str">
        <v/>
      </c>
      <c r="L388" s="145" t="str">
        <v/>
      </c>
      <c r="M388" s="145" t="str">
        <v/>
      </c>
      <c r="N388" s="145" t="str">
        <v/>
      </c>
      <c r="O388" s="145" t="str">
        <v/>
      </c>
      <c r="P388" s="145" t="str">
        <v/>
      </c>
    </row>
    <row r="389" spans="1:16" x14ac:dyDescent="0.2">
      <c r="A389" s="58" t="str">
        <v/>
      </c>
      <c r="B389" s="123" t="str">
        <f>IFERROR(TIMEVALUE(DaqBook_RAW_Data!Q277),IFERROR(TIMEVALUE(DaqBook_RAW_Data!#REF!),""))</f>
        <v/>
      </c>
      <c r="C389" s="145" t="str">
        <v/>
      </c>
      <c r="D389" s="145" t="str">
        <v/>
      </c>
      <c r="E389" s="145" t="str">
        <v/>
      </c>
      <c r="F389" s="145" t="str">
        <v/>
      </c>
      <c r="G389" s="145" t="str">
        <v/>
      </c>
      <c r="H389" s="145" t="str">
        <v/>
      </c>
      <c r="I389" s="145" t="str">
        <v/>
      </c>
      <c r="J389" s="145" t="str">
        <v/>
      </c>
      <c r="K389" s="145" t="str">
        <v/>
      </c>
      <c r="L389" s="145" t="str">
        <v/>
      </c>
      <c r="M389" s="145" t="str">
        <v/>
      </c>
      <c r="N389" s="145" t="str">
        <v/>
      </c>
      <c r="O389" s="145" t="str">
        <v/>
      </c>
      <c r="P389" s="145" t="str">
        <v/>
      </c>
    </row>
    <row r="390" spans="1:16" x14ac:dyDescent="0.2">
      <c r="A390" s="58" t="str">
        <v/>
      </c>
      <c r="B390" s="123" t="str">
        <f>IFERROR(TIMEVALUE(DaqBook_RAW_Data!Q278),IFERROR(TIMEVALUE(DaqBook_RAW_Data!#REF!),""))</f>
        <v/>
      </c>
      <c r="C390" s="145" t="str">
        <v/>
      </c>
      <c r="D390" s="145" t="str">
        <v/>
      </c>
      <c r="E390" s="145" t="str">
        <v/>
      </c>
      <c r="F390" s="145" t="str">
        <v/>
      </c>
      <c r="G390" s="145" t="str">
        <v/>
      </c>
      <c r="H390" s="145" t="str">
        <v/>
      </c>
      <c r="I390" s="145" t="str">
        <v/>
      </c>
      <c r="J390" s="145" t="str">
        <v/>
      </c>
      <c r="K390" s="145" t="str">
        <v/>
      </c>
      <c r="L390" s="145" t="str">
        <v/>
      </c>
      <c r="M390" s="145" t="str">
        <v/>
      </c>
      <c r="N390" s="145" t="str">
        <v/>
      </c>
      <c r="O390" s="145" t="str">
        <v/>
      </c>
      <c r="P390" s="145" t="str">
        <v/>
      </c>
    </row>
    <row r="391" spans="1:16" x14ac:dyDescent="0.2">
      <c r="A391" s="58" t="str">
        <v/>
      </c>
      <c r="B391" s="123" t="str">
        <f>IFERROR(TIMEVALUE(DaqBook_RAW_Data!Q279),IFERROR(TIMEVALUE(DaqBook_RAW_Data!#REF!),""))</f>
        <v/>
      </c>
      <c r="C391" s="145" t="str">
        <v/>
      </c>
      <c r="D391" s="145" t="str">
        <v/>
      </c>
      <c r="E391" s="145" t="str">
        <v/>
      </c>
      <c r="F391" s="145" t="str">
        <v/>
      </c>
      <c r="G391" s="145" t="str">
        <v/>
      </c>
      <c r="H391" s="145" t="str">
        <v/>
      </c>
      <c r="I391" s="145" t="str">
        <v/>
      </c>
      <c r="J391" s="145" t="str">
        <v/>
      </c>
      <c r="K391" s="145" t="str">
        <v/>
      </c>
      <c r="L391" s="145" t="str">
        <v/>
      </c>
      <c r="M391" s="145" t="str">
        <v/>
      </c>
      <c r="N391" s="145" t="str">
        <v/>
      </c>
      <c r="O391" s="145" t="str">
        <v/>
      </c>
      <c r="P391" s="145" t="str">
        <v/>
      </c>
    </row>
    <row r="392" spans="1:16" x14ac:dyDescent="0.2">
      <c r="A392" s="58" t="str">
        <v/>
      </c>
      <c r="B392" s="123" t="str">
        <f>IFERROR(TIMEVALUE(DaqBook_RAW_Data!Q280),IFERROR(TIMEVALUE(DaqBook_RAW_Data!#REF!),""))</f>
        <v/>
      </c>
      <c r="C392" s="145" t="str">
        <v/>
      </c>
      <c r="D392" s="145" t="str">
        <v/>
      </c>
      <c r="E392" s="145" t="str">
        <v/>
      </c>
      <c r="F392" s="145" t="str">
        <v/>
      </c>
      <c r="G392" s="145" t="str">
        <v/>
      </c>
      <c r="H392" s="145" t="str">
        <v/>
      </c>
      <c r="I392" s="145" t="str">
        <v/>
      </c>
      <c r="J392" s="145" t="str">
        <v/>
      </c>
      <c r="K392" s="145" t="str">
        <v/>
      </c>
      <c r="L392" s="145" t="str">
        <v/>
      </c>
      <c r="M392" s="145" t="str">
        <v/>
      </c>
      <c r="N392" s="145" t="str">
        <v/>
      </c>
      <c r="O392" s="145" t="str">
        <v/>
      </c>
      <c r="P392" s="145" t="str">
        <v/>
      </c>
    </row>
    <row r="393" spans="1:16" x14ac:dyDescent="0.2">
      <c r="A393" s="58" t="str">
        <v/>
      </c>
      <c r="B393" s="123" t="str">
        <f>IFERROR(TIMEVALUE(DaqBook_RAW_Data!Q281),IFERROR(TIMEVALUE(DaqBook_RAW_Data!#REF!),""))</f>
        <v/>
      </c>
      <c r="C393" s="145" t="str">
        <v/>
      </c>
      <c r="D393" s="145" t="str">
        <v/>
      </c>
      <c r="E393" s="145" t="str">
        <v/>
      </c>
      <c r="F393" s="145" t="str">
        <v/>
      </c>
      <c r="G393" s="145" t="str">
        <v/>
      </c>
      <c r="H393" s="145" t="str">
        <v/>
      </c>
      <c r="I393" s="145" t="str">
        <v/>
      </c>
      <c r="J393" s="145" t="str">
        <v/>
      </c>
      <c r="K393" s="145" t="str">
        <v/>
      </c>
      <c r="L393" s="145" t="str">
        <v/>
      </c>
      <c r="M393" s="145" t="str">
        <v/>
      </c>
      <c r="N393" s="145" t="str">
        <v/>
      </c>
      <c r="O393" s="145" t="str">
        <v/>
      </c>
      <c r="P393" s="145" t="str">
        <v/>
      </c>
    </row>
    <row r="394" spans="1:16" x14ac:dyDescent="0.2">
      <c r="A394" s="58" t="str">
        <v/>
      </c>
      <c r="B394" s="123" t="str">
        <f>IFERROR(TIMEVALUE(DaqBook_RAW_Data!Q282),IFERROR(TIMEVALUE(DaqBook_RAW_Data!#REF!),""))</f>
        <v/>
      </c>
      <c r="C394" s="145" t="str">
        <v/>
      </c>
      <c r="D394" s="145" t="str">
        <v/>
      </c>
      <c r="E394" s="145" t="str">
        <v/>
      </c>
      <c r="F394" s="145" t="str">
        <v/>
      </c>
      <c r="G394" s="145" t="str">
        <v/>
      </c>
      <c r="H394" s="145" t="str">
        <v/>
      </c>
      <c r="I394" s="145" t="str">
        <v/>
      </c>
      <c r="J394" s="145" t="str">
        <v/>
      </c>
      <c r="K394" s="145" t="str">
        <v/>
      </c>
      <c r="L394" s="145" t="str">
        <v/>
      </c>
      <c r="M394" s="145" t="str">
        <v/>
      </c>
      <c r="N394" s="145" t="str">
        <v/>
      </c>
      <c r="O394" s="145" t="str">
        <v/>
      </c>
      <c r="P394" s="145" t="str">
        <v/>
      </c>
    </row>
    <row r="395" spans="1:16" x14ac:dyDescent="0.2">
      <c r="A395" s="58" t="str">
        <v/>
      </c>
      <c r="B395" s="123" t="str">
        <f>IFERROR(TIMEVALUE(DaqBook_RAW_Data!Q283),IFERROR(TIMEVALUE(DaqBook_RAW_Data!#REF!),""))</f>
        <v/>
      </c>
      <c r="C395" s="145" t="str">
        <v/>
      </c>
      <c r="D395" s="145" t="str">
        <v/>
      </c>
      <c r="E395" s="145" t="str">
        <v/>
      </c>
      <c r="F395" s="145" t="str">
        <v/>
      </c>
      <c r="G395" s="145" t="str">
        <v/>
      </c>
      <c r="H395" s="145" t="str">
        <v/>
      </c>
      <c r="I395" s="145" t="str">
        <v/>
      </c>
      <c r="J395" s="145" t="str">
        <v/>
      </c>
      <c r="K395" s="145" t="str">
        <v/>
      </c>
      <c r="L395" s="145" t="str">
        <v/>
      </c>
      <c r="M395" s="145" t="str">
        <v/>
      </c>
      <c r="N395" s="145" t="str">
        <v/>
      </c>
      <c r="O395" s="145" t="str">
        <v/>
      </c>
      <c r="P395" s="145" t="str">
        <v/>
      </c>
    </row>
    <row r="396" spans="1:16" x14ac:dyDescent="0.2">
      <c r="A396" s="58" t="str">
        <v/>
      </c>
      <c r="B396" s="123" t="str">
        <f>IFERROR(TIMEVALUE(DaqBook_RAW_Data!Q284),IFERROR(TIMEVALUE(DaqBook_RAW_Data!#REF!),""))</f>
        <v/>
      </c>
      <c r="C396" s="145" t="str">
        <v/>
      </c>
      <c r="D396" s="145" t="str">
        <v/>
      </c>
      <c r="E396" s="145" t="str">
        <v/>
      </c>
      <c r="F396" s="145" t="str">
        <v/>
      </c>
      <c r="G396" s="145" t="str">
        <v/>
      </c>
      <c r="H396" s="145" t="str">
        <v/>
      </c>
      <c r="I396" s="145" t="str">
        <v/>
      </c>
      <c r="J396" s="145" t="str">
        <v/>
      </c>
      <c r="K396" s="145" t="str">
        <v/>
      </c>
      <c r="L396" s="145" t="str">
        <v/>
      </c>
      <c r="M396" s="145" t="str">
        <v/>
      </c>
      <c r="N396" s="145" t="str">
        <v/>
      </c>
      <c r="O396" s="145" t="str">
        <v/>
      </c>
      <c r="P396" s="145" t="str">
        <v/>
      </c>
    </row>
    <row r="397" spans="1:16" x14ac:dyDescent="0.2">
      <c r="A397" s="58" t="str">
        <v/>
      </c>
      <c r="B397" s="123" t="str">
        <f>IFERROR(TIMEVALUE(DaqBook_RAW_Data!Q285),IFERROR(TIMEVALUE(DaqBook_RAW_Data!#REF!),""))</f>
        <v/>
      </c>
      <c r="C397" s="145" t="str">
        <v/>
      </c>
      <c r="D397" s="145" t="str">
        <v/>
      </c>
      <c r="E397" s="145" t="str">
        <v/>
      </c>
      <c r="F397" s="145" t="str">
        <v/>
      </c>
      <c r="G397" s="145" t="str">
        <v/>
      </c>
      <c r="H397" s="145" t="str">
        <v/>
      </c>
      <c r="I397" s="145" t="str">
        <v/>
      </c>
      <c r="J397" s="145" t="str">
        <v/>
      </c>
      <c r="K397" s="145" t="str">
        <v/>
      </c>
      <c r="L397" s="145" t="str">
        <v/>
      </c>
      <c r="M397" s="145" t="str">
        <v/>
      </c>
      <c r="N397" s="145" t="str">
        <v/>
      </c>
      <c r="O397" s="145" t="str">
        <v/>
      </c>
      <c r="P397" s="145" t="str">
        <v/>
      </c>
    </row>
    <row r="398" spans="1:16" x14ac:dyDescent="0.2">
      <c r="A398" s="58" t="str">
        <v/>
      </c>
      <c r="B398" s="123" t="str">
        <f>IFERROR(TIMEVALUE(DaqBook_RAW_Data!Q286),IFERROR(TIMEVALUE(DaqBook_RAW_Data!#REF!),""))</f>
        <v/>
      </c>
      <c r="C398" s="145" t="str">
        <v/>
      </c>
      <c r="D398" s="145" t="str">
        <v/>
      </c>
      <c r="E398" s="145" t="str">
        <v/>
      </c>
      <c r="F398" s="145" t="str">
        <v/>
      </c>
      <c r="G398" s="145" t="str">
        <v/>
      </c>
      <c r="H398" s="145" t="str">
        <v/>
      </c>
      <c r="I398" s="145" t="str">
        <v/>
      </c>
      <c r="J398" s="145" t="str">
        <v/>
      </c>
      <c r="K398" s="145" t="str">
        <v/>
      </c>
      <c r="L398" s="145" t="str">
        <v/>
      </c>
      <c r="M398" s="145" t="str">
        <v/>
      </c>
      <c r="N398" s="145" t="str">
        <v/>
      </c>
      <c r="O398" s="145" t="str">
        <v/>
      </c>
      <c r="P398" s="145" t="str">
        <v/>
      </c>
    </row>
    <row r="399" spans="1:16" x14ac:dyDescent="0.2">
      <c r="A399" s="58" t="str">
        <v/>
      </c>
      <c r="B399" s="123" t="str">
        <f>IFERROR(TIMEVALUE(DaqBook_RAW_Data!Q287),IFERROR(TIMEVALUE(DaqBook_RAW_Data!#REF!),""))</f>
        <v/>
      </c>
      <c r="C399" s="145" t="str">
        <v/>
      </c>
      <c r="D399" s="145" t="str">
        <v/>
      </c>
      <c r="E399" s="145" t="str">
        <v/>
      </c>
      <c r="F399" s="145" t="str">
        <v/>
      </c>
      <c r="G399" s="145" t="str">
        <v/>
      </c>
      <c r="H399" s="145" t="str">
        <v/>
      </c>
      <c r="I399" s="145" t="str">
        <v/>
      </c>
      <c r="J399" s="145" t="str">
        <v/>
      </c>
      <c r="K399" s="145" t="str">
        <v/>
      </c>
      <c r="L399" s="145" t="str">
        <v/>
      </c>
      <c r="M399" s="145" t="str">
        <v/>
      </c>
      <c r="N399" s="145" t="str">
        <v/>
      </c>
      <c r="O399" s="145" t="str">
        <v/>
      </c>
      <c r="P399" s="145" t="str">
        <v/>
      </c>
    </row>
    <row r="400" spans="1:16" x14ac:dyDescent="0.2">
      <c r="A400" s="58" t="str">
        <v/>
      </c>
      <c r="B400" s="123" t="str">
        <f>IFERROR(TIMEVALUE(DaqBook_RAW_Data!Q288),IFERROR(TIMEVALUE(DaqBook_RAW_Data!#REF!),""))</f>
        <v/>
      </c>
      <c r="C400" s="145" t="str">
        <v/>
      </c>
      <c r="D400" s="145" t="str">
        <v/>
      </c>
      <c r="E400" s="145" t="str">
        <v/>
      </c>
      <c r="F400" s="145" t="str">
        <v/>
      </c>
      <c r="G400" s="145" t="str">
        <v/>
      </c>
      <c r="H400" s="145" t="str">
        <v/>
      </c>
      <c r="I400" s="145" t="str">
        <v/>
      </c>
      <c r="J400" s="145" t="str">
        <v/>
      </c>
      <c r="K400" s="145" t="str">
        <v/>
      </c>
      <c r="L400" s="145" t="str">
        <v/>
      </c>
      <c r="M400" s="145" t="str">
        <v/>
      </c>
      <c r="N400" s="145" t="str">
        <v/>
      </c>
      <c r="O400" s="145" t="str">
        <v/>
      </c>
      <c r="P400" s="145" t="str">
        <v/>
      </c>
    </row>
    <row r="401" spans="1:16" x14ac:dyDescent="0.2">
      <c r="A401" s="58" t="str">
        <v/>
      </c>
      <c r="B401" s="123" t="str">
        <f>IFERROR(TIMEVALUE(DaqBook_RAW_Data!Q289),IFERROR(TIMEVALUE(DaqBook_RAW_Data!#REF!),""))</f>
        <v/>
      </c>
      <c r="C401" s="145" t="str">
        <v/>
      </c>
      <c r="D401" s="145" t="str">
        <v/>
      </c>
      <c r="E401" s="145" t="str">
        <v/>
      </c>
      <c r="F401" s="145" t="str">
        <v/>
      </c>
      <c r="G401" s="145" t="str">
        <v/>
      </c>
      <c r="H401" s="145" t="str">
        <v/>
      </c>
      <c r="I401" s="145" t="str">
        <v/>
      </c>
      <c r="J401" s="145" t="str">
        <v/>
      </c>
      <c r="K401" s="145" t="str">
        <v/>
      </c>
      <c r="L401" s="145" t="str">
        <v/>
      </c>
      <c r="M401" s="145" t="str">
        <v/>
      </c>
      <c r="N401" s="145" t="str">
        <v/>
      </c>
      <c r="O401" s="145" t="str">
        <v/>
      </c>
      <c r="P401" s="145" t="str">
        <v/>
      </c>
    </row>
    <row r="402" spans="1:16" x14ac:dyDescent="0.2">
      <c r="A402" s="58" t="str">
        <v/>
      </c>
      <c r="B402" s="123" t="str">
        <f>IFERROR(TIMEVALUE(DaqBook_RAW_Data!Q290),IFERROR(TIMEVALUE(DaqBook_RAW_Data!#REF!),""))</f>
        <v/>
      </c>
      <c r="C402" s="145" t="str">
        <v/>
      </c>
      <c r="D402" s="145" t="str">
        <v/>
      </c>
      <c r="E402" s="145" t="str">
        <v/>
      </c>
      <c r="F402" s="145" t="str">
        <v/>
      </c>
      <c r="G402" s="145" t="str">
        <v/>
      </c>
      <c r="H402" s="145" t="str">
        <v/>
      </c>
      <c r="I402" s="145" t="str">
        <v/>
      </c>
      <c r="J402" s="145" t="str">
        <v/>
      </c>
      <c r="K402" s="145" t="str">
        <v/>
      </c>
      <c r="L402" s="145" t="str">
        <v/>
      </c>
      <c r="M402" s="145" t="str">
        <v/>
      </c>
      <c r="N402" s="145" t="str">
        <v/>
      </c>
      <c r="O402" s="145" t="str">
        <v/>
      </c>
      <c r="P402" s="145" t="str">
        <v/>
      </c>
    </row>
    <row r="403" spans="1:16" x14ac:dyDescent="0.2">
      <c r="A403" s="58" t="str">
        <v/>
      </c>
      <c r="B403" s="123" t="str">
        <f>IFERROR(TIMEVALUE(DaqBook_RAW_Data!Q291),IFERROR(TIMEVALUE(DaqBook_RAW_Data!#REF!),""))</f>
        <v/>
      </c>
      <c r="C403" s="145" t="str">
        <v/>
      </c>
      <c r="D403" s="145" t="str">
        <v/>
      </c>
      <c r="E403" s="145" t="str">
        <v/>
      </c>
      <c r="F403" s="145" t="str">
        <v/>
      </c>
      <c r="G403" s="145" t="str">
        <v/>
      </c>
      <c r="H403" s="145" t="str">
        <v/>
      </c>
      <c r="I403" s="145" t="str">
        <v/>
      </c>
      <c r="J403" s="145" t="str">
        <v/>
      </c>
      <c r="K403" s="145" t="str">
        <v/>
      </c>
      <c r="L403" s="145" t="str">
        <v/>
      </c>
      <c r="M403" s="145" t="str">
        <v/>
      </c>
      <c r="N403" s="145" t="str">
        <v/>
      </c>
      <c r="O403" s="145" t="str">
        <v/>
      </c>
      <c r="P403" s="145" t="str">
        <v/>
      </c>
    </row>
    <row r="404" spans="1:16" x14ac:dyDescent="0.2">
      <c r="A404" s="58" t="str">
        <v/>
      </c>
      <c r="B404" s="123" t="str">
        <f>IFERROR(TIMEVALUE(DaqBook_RAW_Data!Q292),IFERROR(TIMEVALUE(DaqBook_RAW_Data!#REF!),""))</f>
        <v/>
      </c>
      <c r="C404" s="145" t="str">
        <v/>
      </c>
      <c r="D404" s="145" t="str">
        <v/>
      </c>
      <c r="E404" s="145" t="str">
        <v/>
      </c>
      <c r="F404" s="145" t="str">
        <v/>
      </c>
      <c r="G404" s="145" t="str">
        <v/>
      </c>
      <c r="H404" s="145" t="str">
        <v/>
      </c>
      <c r="I404" s="145" t="str">
        <v/>
      </c>
      <c r="J404" s="145" t="str">
        <v/>
      </c>
      <c r="K404" s="145" t="str">
        <v/>
      </c>
      <c r="L404" s="145" t="str">
        <v/>
      </c>
      <c r="M404" s="145" t="str">
        <v/>
      </c>
      <c r="N404" s="145" t="str">
        <v/>
      </c>
      <c r="O404" s="145" t="str">
        <v/>
      </c>
      <c r="P404" s="145" t="str">
        <v/>
      </c>
    </row>
    <row r="405" spans="1:16" x14ac:dyDescent="0.2">
      <c r="A405" s="58" t="str">
        <v/>
      </c>
      <c r="B405" s="123" t="str">
        <f>IFERROR(TIMEVALUE(DaqBook_RAW_Data!Q293),IFERROR(TIMEVALUE(DaqBook_RAW_Data!#REF!),""))</f>
        <v/>
      </c>
      <c r="C405" s="145" t="str">
        <v/>
      </c>
      <c r="D405" s="145" t="str">
        <v/>
      </c>
      <c r="E405" s="145" t="str">
        <v/>
      </c>
      <c r="F405" s="145" t="str">
        <v/>
      </c>
      <c r="G405" s="145" t="str">
        <v/>
      </c>
      <c r="H405" s="145" t="str">
        <v/>
      </c>
      <c r="I405" s="145" t="str">
        <v/>
      </c>
      <c r="J405" s="145" t="str">
        <v/>
      </c>
      <c r="K405" s="145" t="str">
        <v/>
      </c>
      <c r="L405" s="145" t="str">
        <v/>
      </c>
      <c r="M405" s="145" t="str">
        <v/>
      </c>
      <c r="N405" s="145" t="str">
        <v/>
      </c>
      <c r="O405" s="145" t="str">
        <v/>
      </c>
      <c r="P405" s="145" t="str">
        <v/>
      </c>
    </row>
    <row r="406" spans="1:16" x14ac:dyDescent="0.2">
      <c r="A406" s="58" t="str">
        <v/>
      </c>
      <c r="B406" s="123" t="str">
        <f>IFERROR(TIMEVALUE(DaqBook_RAW_Data!Q294),IFERROR(TIMEVALUE(DaqBook_RAW_Data!#REF!),""))</f>
        <v/>
      </c>
      <c r="C406" s="145" t="str">
        <v/>
      </c>
      <c r="D406" s="145" t="str">
        <v/>
      </c>
      <c r="E406" s="145" t="str">
        <v/>
      </c>
      <c r="F406" s="145" t="str">
        <v/>
      </c>
      <c r="G406" s="145" t="str">
        <v/>
      </c>
      <c r="H406" s="145" t="str">
        <v/>
      </c>
      <c r="I406" s="145" t="str">
        <v/>
      </c>
      <c r="J406" s="145" t="str">
        <v/>
      </c>
      <c r="K406" s="145" t="str">
        <v/>
      </c>
      <c r="L406" s="145" t="str">
        <v/>
      </c>
      <c r="M406" s="145" t="str">
        <v/>
      </c>
      <c r="N406" s="145" t="str">
        <v/>
      </c>
      <c r="O406" s="145" t="str">
        <v/>
      </c>
      <c r="P406" s="145" t="str">
        <v/>
      </c>
    </row>
    <row r="407" spans="1:16" x14ac:dyDescent="0.2">
      <c r="A407" s="58" t="str">
        <v/>
      </c>
      <c r="B407" s="123" t="str">
        <f>IFERROR(TIMEVALUE(DaqBook_RAW_Data!Q295),IFERROR(TIMEVALUE(DaqBook_RAW_Data!#REF!),""))</f>
        <v/>
      </c>
      <c r="C407" s="145" t="str">
        <v/>
      </c>
      <c r="D407" s="145" t="str">
        <v/>
      </c>
      <c r="E407" s="145" t="str">
        <v/>
      </c>
      <c r="F407" s="145" t="str">
        <v/>
      </c>
      <c r="G407" s="145" t="str">
        <v/>
      </c>
      <c r="H407" s="145" t="str">
        <v/>
      </c>
      <c r="I407" s="145" t="str">
        <v/>
      </c>
      <c r="J407" s="145" t="str">
        <v/>
      </c>
      <c r="K407" s="145" t="str">
        <v/>
      </c>
      <c r="L407" s="145" t="str">
        <v/>
      </c>
      <c r="M407" s="145" t="str">
        <v/>
      </c>
      <c r="N407" s="145" t="str">
        <v/>
      </c>
      <c r="O407" s="145" t="str">
        <v/>
      </c>
      <c r="P407" s="145" t="str">
        <v/>
      </c>
    </row>
    <row r="408" spans="1:16" x14ac:dyDescent="0.2">
      <c r="A408" s="58" t="str">
        <v/>
      </c>
      <c r="B408" s="123" t="str">
        <f>IFERROR(TIMEVALUE(DaqBook_RAW_Data!Q296),IFERROR(TIMEVALUE(DaqBook_RAW_Data!#REF!),""))</f>
        <v/>
      </c>
      <c r="C408" s="145" t="str">
        <v/>
      </c>
      <c r="D408" s="145" t="str">
        <v/>
      </c>
      <c r="E408" s="145" t="str">
        <v/>
      </c>
      <c r="F408" s="145" t="str">
        <v/>
      </c>
      <c r="G408" s="145" t="str">
        <v/>
      </c>
      <c r="H408" s="145" t="str">
        <v/>
      </c>
      <c r="I408" s="145" t="str">
        <v/>
      </c>
      <c r="J408" s="145" t="str">
        <v/>
      </c>
      <c r="K408" s="145" t="str">
        <v/>
      </c>
      <c r="L408" s="145" t="str">
        <v/>
      </c>
      <c r="M408" s="145" t="str">
        <v/>
      </c>
      <c r="N408" s="145" t="str">
        <v/>
      </c>
      <c r="O408" s="145" t="str">
        <v/>
      </c>
      <c r="P408" s="145" t="str">
        <v/>
      </c>
    </row>
    <row r="409" spans="1:16" x14ac:dyDescent="0.2">
      <c r="A409" s="58" t="str">
        <v/>
      </c>
      <c r="B409" s="123" t="str">
        <f>IFERROR(TIMEVALUE(DaqBook_RAW_Data!Q297),IFERROR(TIMEVALUE(DaqBook_RAW_Data!#REF!),""))</f>
        <v/>
      </c>
      <c r="C409" s="145" t="str">
        <v/>
      </c>
      <c r="D409" s="145" t="str">
        <v/>
      </c>
      <c r="E409" s="145" t="str">
        <v/>
      </c>
      <c r="F409" s="145" t="str">
        <v/>
      </c>
      <c r="G409" s="145" t="str">
        <v/>
      </c>
      <c r="H409" s="145" t="str">
        <v/>
      </c>
      <c r="I409" s="145" t="str">
        <v/>
      </c>
      <c r="J409" s="145" t="str">
        <v/>
      </c>
      <c r="K409" s="145" t="str">
        <v/>
      </c>
      <c r="L409" s="145" t="str">
        <v/>
      </c>
      <c r="M409" s="145" t="str">
        <v/>
      </c>
      <c r="N409" s="145" t="str">
        <v/>
      </c>
      <c r="O409" s="145" t="str">
        <v/>
      </c>
      <c r="P409" s="145" t="str">
        <v/>
      </c>
    </row>
    <row r="410" spans="1:16" x14ac:dyDescent="0.2">
      <c r="A410" s="58" t="str">
        <v/>
      </c>
      <c r="B410" s="123" t="str">
        <f>IFERROR(TIMEVALUE(DaqBook_RAW_Data!Q298),IFERROR(TIMEVALUE(DaqBook_RAW_Data!#REF!),""))</f>
        <v/>
      </c>
      <c r="C410" s="145" t="str">
        <v/>
      </c>
      <c r="D410" s="145" t="str">
        <v/>
      </c>
      <c r="E410" s="145" t="str">
        <v/>
      </c>
      <c r="F410" s="145" t="str">
        <v/>
      </c>
      <c r="G410" s="145" t="str">
        <v/>
      </c>
      <c r="H410" s="145" t="str">
        <v/>
      </c>
      <c r="I410" s="145" t="str">
        <v/>
      </c>
      <c r="J410" s="145" t="str">
        <v/>
      </c>
      <c r="K410" s="145" t="str">
        <v/>
      </c>
      <c r="L410" s="145" t="str">
        <v/>
      </c>
      <c r="M410" s="145" t="str">
        <v/>
      </c>
      <c r="N410" s="145" t="str">
        <v/>
      </c>
      <c r="O410" s="145" t="str">
        <v/>
      </c>
      <c r="P410" s="145" t="str">
        <v/>
      </c>
    </row>
    <row r="411" spans="1:16" x14ac:dyDescent="0.2">
      <c r="A411" s="58" t="str">
        <v/>
      </c>
      <c r="B411" s="123" t="str">
        <f>IFERROR(TIMEVALUE(DaqBook_RAW_Data!Q299),IFERROR(TIMEVALUE(DaqBook_RAW_Data!#REF!),""))</f>
        <v/>
      </c>
      <c r="C411" s="145" t="str">
        <v/>
      </c>
      <c r="D411" s="145" t="str">
        <v/>
      </c>
      <c r="E411" s="145" t="str">
        <v/>
      </c>
      <c r="F411" s="145" t="str">
        <v/>
      </c>
      <c r="G411" s="145" t="str">
        <v/>
      </c>
      <c r="H411" s="145" t="str">
        <v/>
      </c>
      <c r="I411" s="145" t="str">
        <v/>
      </c>
      <c r="J411" s="145" t="str">
        <v/>
      </c>
      <c r="K411" s="145" t="str">
        <v/>
      </c>
      <c r="L411" s="145" t="str">
        <v/>
      </c>
      <c r="M411" s="145" t="str">
        <v/>
      </c>
      <c r="N411" s="145" t="str">
        <v/>
      </c>
      <c r="O411" s="145" t="str">
        <v/>
      </c>
      <c r="P411" s="145" t="str">
        <v/>
      </c>
    </row>
    <row r="412" spans="1:16" x14ac:dyDescent="0.2">
      <c r="A412" s="58" t="str">
        <v/>
      </c>
      <c r="B412" s="123" t="str">
        <f>IFERROR(TIMEVALUE(DaqBook_RAW_Data!Q300),IFERROR(TIMEVALUE(DaqBook_RAW_Data!#REF!),""))</f>
        <v/>
      </c>
      <c r="C412" s="145" t="str">
        <v/>
      </c>
      <c r="D412" s="145" t="str">
        <v/>
      </c>
      <c r="E412" s="145" t="str">
        <v/>
      </c>
      <c r="F412" s="145" t="str">
        <v/>
      </c>
      <c r="G412" s="145" t="str">
        <v/>
      </c>
      <c r="H412" s="145" t="str">
        <v/>
      </c>
      <c r="I412" s="145" t="str">
        <v/>
      </c>
      <c r="J412" s="145" t="str">
        <v/>
      </c>
      <c r="K412" s="145" t="str">
        <v/>
      </c>
      <c r="L412" s="145" t="str">
        <v/>
      </c>
      <c r="M412" s="145" t="str">
        <v/>
      </c>
      <c r="N412" s="145" t="str">
        <v/>
      </c>
      <c r="O412" s="145" t="str">
        <v/>
      </c>
      <c r="P412" s="145" t="str">
        <v/>
      </c>
    </row>
    <row r="413" spans="1:16" x14ac:dyDescent="0.2">
      <c r="A413" s="58" t="str">
        <v/>
      </c>
      <c r="B413" s="123" t="str">
        <f>IFERROR(TIMEVALUE(DaqBook_RAW_Data!Q301),IFERROR(TIMEVALUE(DaqBook_RAW_Data!#REF!),""))</f>
        <v/>
      </c>
      <c r="C413" s="145" t="str">
        <v/>
      </c>
      <c r="D413" s="145" t="str">
        <v/>
      </c>
      <c r="E413" s="145" t="str">
        <v/>
      </c>
      <c r="F413" s="145" t="str">
        <v/>
      </c>
      <c r="G413" s="145" t="str">
        <v/>
      </c>
      <c r="H413" s="145" t="str">
        <v/>
      </c>
      <c r="I413" s="145" t="str">
        <v/>
      </c>
      <c r="J413" s="145" t="str">
        <v/>
      </c>
      <c r="K413" s="145" t="str">
        <v/>
      </c>
      <c r="L413" s="145" t="str">
        <v/>
      </c>
      <c r="M413" s="145" t="str">
        <v/>
      </c>
      <c r="N413" s="145" t="str">
        <v/>
      </c>
      <c r="O413" s="145" t="str">
        <v/>
      </c>
      <c r="P413" s="145" t="str">
        <v/>
      </c>
    </row>
    <row r="414" spans="1:16" x14ac:dyDescent="0.2">
      <c r="A414" s="58" t="str">
        <v/>
      </c>
      <c r="B414" s="123" t="str">
        <f>IFERROR(TIMEVALUE(DaqBook_RAW_Data!Q302),IFERROR(TIMEVALUE(DaqBook_RAW_Data!#REF!),""))</f>
        <v/>
      </c>
      <c r="C414" s="145" t="str">
        <v/>
      </c>
      <c r="D414" s="145" t="str">
        <v/>
      </c>
      <c r="E414" s="145" t="str">
        <v/>
      </c>
      <c r="F414" s="145" t="str">
        <v/>
      </c>
      <c r="G414" s="145" t="str">
        <v/>
      </c>
      <c r="H414" s="145" t="str">
        <v/>
      </c>
      <c r="I414" s="145" t="str">
        <v/>
      </c>
      <c r="J414" s="145" t="str">
        <v/>
      </c>
      <c r="K414" s="145" t="str">
        <v/>
      </c>
      <c r="L414" s="145" t="str">
        <v/>
      </c>
      <c r="M414" s="145" t="str">
        <v/>
      </c>
      <c r="N414" s="145" t="str">
        <v/>
      </c>
      <c r="O414" s="145" t="str">
        <v/>
      </c>
      <c r="P414" s="145" t="str">
        <v/>
      </c>
    </row>
    <row r="415" spans="1:16" x14ac:dyDescent="0.2">
      <c r="A415" s="58" t="str">
        <v/>
      </c>
      <c r="B415" s="123" t="str">
        <f>IFERROR(TIMEVALUE(DaqBook_RAW_Data!Q303),IFERROR(TIMEVALUE(DaqBook_RAW_Data!#REF!),""))</f>
        <v/>
      </c>
      <c r="C415" s="145" t="str">
        <v/>
      </c>
      <c r="D415" s="145" t="str">
        <v/>
      </c>
      <c r="E415" s="145" t="str">
        <v/>
      </c>
      <c r="F415" s="145" t="str">
        <v/>
      </c>
      <c r="G415" s="145" t="str">
        <v/>
      </c>
      <c r="H415" s="145" t="str">
        <v/>
      </c>
      <c r="I415" s="145" t="str">
        <v/>
      </c>
      <c r="J415" s="145" t="str">
        <v/>
      </c>
      <c r="K415" s="145" t="str">
        <v/>
      </c>
      <c r="L415" s="145" t="str">
        <v/>
      </c>
      <c r="M415" s="145" t="str">
        <v/>
      </c>
      <c r="N415" s="145" t="str">
        <v/>
      </c>
      <c r="O415" s="145" t="str">
        <v/>
      </c>
      <c r="P415" s="145" t="str">
        <v/>
      </c>
    </row>
    <row r="416" spans="1:16" x14ac:dyDescent="0.2">
      <c r="A416" s="58" t="str">
        <v/>
      </c>
      <c r="B416" s="123" t="str">
        <f>IFERROR(TIMEVALUE(DaqBook_RAW_Data!Q304),IFERROR(TIMEVALUE(DaqBook_RAW_Data!#REF!),""))</f>
        <v/>
      </c>
      <c r="C416" s="145" t="str">
        <v/>
      </c>
      <c r="D416" s="145" t="str">
        <v/>
      </c>
      <c r="E416" s="145" t="str">
        <v/>
      </c>
      <c r="F416" s="145" t="str">
        <v/>
      </c>
      <c r="G416" s="145" t="str">
        <v/>
      </c>
      <c r="H416" s="145" t="str">
        <v/>
      </c>
      <c r="I416" s="145" t="str">
        <v/>
      </c>
      <c r="J416" s="145" t="str">
        <v/>
      </c>
      <c r="K416" s="145" t="str">
        <v/>
      </c>
      <c r="L416" s="145" t="str">
        <v/>
      </c>
      <c r="M416" s="145" t="str">
        <v/>
      </c>
      <c r="N416" s="145" t="str">
        <v/>
      </c>
      <c r="O416" s="145" t="str">
        <v/>
      </c>
      <c r="P416" s="145" t="str">
        <v/>
      </c>
    </row>
    <row r="417" spans="1:16" x14ac:dyDescent="0.2">
      <c r="A417" s="58" t="str">
        <v/>
      </c>
      <c r="B417" s="123" t="str">
        <f>IFERROR(TIMEVALUE(DaqBook_RAW_Data!Q305),IFERROR(TIMEVALUE(DaqBook_RAW_Data!#REF!),""))</f>
        <v/>
      </c>
      <c r="C417" s="145" t="str">
        <v/>
      </c>
      <c r="D417" s="145" t="str">
        <v/>
      </c>
      <c r="E417" s="145" t="str">
        <v/>
      </c>
      <c r="F417" s="145" t="str">
        <v/>
      </c>
      <c r="G417" s="145" t="str">
        <v/>
      </c>
      <c r="H417" s="145" t="str">
        <v/>
      </c>
      <c r="I417" s="145" t="str">
        <v/>
      </c>
      <c r="J417" s="145" t="str">
        <v/>
      </c>
      <c r="K417" s="145" t="str">
        <v/>
      </c>
      <c r="L417" s="145" t="str">
        <v/>
      </c>
      <c r="M417" s="145" t="str">
        <v/>
      </c>
      <c r="N417" s="145" t="str">
        <v/>
      </c>
      <c r="O417" s="145" t="str">
        <v/>
      </c>
      <c r="P417" s="145" t="str">
        <v/>
      </c>
    </row>
    <row r="418" spans="1:16" x14ac:dyDescent="0.2">
      <c r="A418" s="58" t="str">
        <v/>
      </c>
      <c r="B418" s="123" t="str">
        <f>IFERROR(TIMEVALUE(DaqBook_RAW_Data!Q306),IFERROR(TIMEVALUE(DaqBook_RAW_Data!#REF!),""))</f>
        <v/>
      </c>
      <c r="C418" s="145" t="str">
        <v/>
      </c>
      <c r="D418" s="145" t="str">
        <v/>
      </c>
      <c r="E418" s="145" t="str">
        <v/>
      </c>
      <c r="F418" s="145" t="str">
        <v/>
      </c>
      <c r="G418" s="145" t="str">
        <v/>
      </c>
      <c r="H418" s="145" t="str">
        <v/>
      </c>
      <c r="I418" s="145" t="str">
        <v/>
      </c>
      <c r="J418" s="145" t="str">
        <v/>
      </c>
      <c r="K418" s="145" t="str">
        <v/>
      </c>
      <c r="L418" s="145" t="str">
        <v/>
      </c>
      <c r="M418" s="145" t="str">
        <v/>
      </c>
      <c r="N418" s="145" t="str">
        <v/>
      </c>
      <c r="O418" s="145" t="str">
        <v/>
      </c>
      <c r="P418" s="145" t="str">
        <v/>
      </c>
    </row>
    <row r="419" spans="1:16" x14ac:dyDescent="0.2">
      <c r="A419" s="58" t="str">
        <v/>
      </c>
      <c r="B419" s="123" t="str">
        <f>IFERROR(TIMEVALUE(DaqBook_RAW_Data!Q307),IFERROR(TIMEVALUE(DaqBook_RAW_Data!#REF!),""))</f>
        <v/>
      </c>
      <c r="C419" s="145" t="str">
        <v/>
      </c>
      <c r="D419" s="145" t="str">
        <v/>
      </c>
      <c r="E419" s="145" t="str">
        <v/>
      </c>
      <c r="F419" s="145" t="str">
        <v/>
      </c>
      <c r="G419" s="145" t="str">
        <v/>
      </c>
      <c r="H419" s="145" t="str">
        <v/>
      </c>
      <c r="I419" s="145" t="str">
        <v/>
      </c>
      <c r="J419" s="145" t="str">
        <v/>
      </c>
      <c r="K419" s="145" t="str">
        <v/>
      </c>
      <c r="L419" s="145" t="str">
        <v/>
      </c>
      <c r="M419" s="145" t="str">
        <v/>
      </c>
      <c r="N419" s="145" t="str">
        <v/>
      </c>
      <c r="O419" s="145" t="str">
        <v/>
      </c>
      <c r="P419" s="145" t="str">
        <v/>
      </c>
    </row>
    <row r="420" spans="1:16" x14ac:dyDescent="0.2">
      <c r="A420" s="58" t="str">
        <v/>
      </c>
      <c r="B420" s="123" t="str">
        <f>IFERROR(TIMEVALUE(DaqBook_RAW_Data!Q308),IFERROR(TIMEVALUE(DaqBook_RAW_Data!#REF!),""))</f>
        <v/>
      </c>
      <c r="C420" s="145" t="str">
        <v/>
      </c>
      <c r="D420" s="145" t="str">
        <v/>
      </c>
      <c r="E420" s="145" t="str">
        <v/>
      </c>
      <c r="F420" s="145" t="str">
        <v/>
      </c>
      <c r="G420" s="145" t="str">
        <v/>
      </c>
      <c r="H420" s="145" t="str">
        <v/>
      </c>
      <c r="I420" s="145" t="str">
        <v/>
      </c>
      <c r="J420" s="145" t="str">
        <v/>
      </c>
      <c r="K420" s="145" t="str">
        <v/>
      </c>
      <c r="L420" s="145" t="str">
        <v/>
      </c>
      <c r="M420" s="145" t="str">
        <v/>
      </c>
      <c r="N420" s="145" t="str">
        <v/>
      </c>
      <c r="O420" s="145" t="str">
        <v/>
      </c>
      <c r="P420" s="145" t="str">
        <v/>
      </c>
    </row>
    <row r="421" spans="1:16" x14ac:dyDescent="0.2">
      <c r="A421" s="58" t="str">
        <v/>
      </c>
      <c r="B421" s="123" t="str">
        <f>IFERROR(TIMEVALUE(DaqBook_RAW_Data!Q309),IFERROR(TIMEVALUE(DaqBook_RAW_Data!#REF!),""))</f>
        <v/>
      </c>
      <c r="C421" s="145" t="str">
        <v/>
      </c>
      <c r="D421" s="145" t="str">
        <v/>
      </c>
      <c r="E421" s="145" t="str">
        <v/>
      </c>
      <c r="F421" s="145" t="str">
        <v/>
      </c>
      <c r="G421" s="145" t="str">
        <v/>
      </c>
      <c r="H421" s="145" t="str">
        <v/>
      </c>
      <c r="I421" s="145" t="str">
        <v/>
      </c>
      <c r="J421" s="145" t="str">
        <v/>
      </c>
      <c r="K421" s="145" t="str">
        <v/>
      </c>
      <c r="L421" s="145" t="str">
        <v/>
      </c>
      <c r="M421" s="145" t="str">
        <v/>
      </c>
      <c r="N421" s="145" t="str">
        <v/>
      </c>
      <c r="O421" s="145" t="str">
        <v/>
      </c>
      <c r="P421" s="145" t="str">
        <v/>
      </c>
    </row>
    <row r="422" spans="1:16" x14ac:dyDescent="0.2">
      <c r="A422" s="58" t="str">
        <v/>
      </c>
      <c r="B422" s="123" t="str">
        <f>IFERROR(TIMEVALUE(DaqBook_RAW_Data!Q310),IFERROR(TIMEVALUE(DaqBook_RAW_Data!#REF!),""))</f>
        <v/>
      </c>
      <c r="C422" s="145" t="str">
        <v/>
      </c>
      <c r="D422" s="145" t="str">
        <v/>
      </c>
      <c r="E422" s="145" t="str">
        <v/>
      </c>
      <c r="F422" s="145" t="str">
        <v/>
      </c>
      <c r="G422" s="145" t="str">
        <v/>
      </c>
      <c r="H422" s="145" t="str">
        <v/>
      </c>
      <c r="I422" s="145" t="str">
        <v/>
      </c>
      <c r="J422" s="145" t="str">
        <v/>
      </c>
      <c r="K422" s="145" t="str">
        <v/>
      </c>
      <c r="L422" s="145" t="str">
        <v/>
      </c>
      <c r="M422" s="145" t="str">
        <v/>
      </c>
      <c r="N422" s="145" t="str">
        <v/>
      </c>
      <c r="O422" s="145" t="str">
        <v/>
      </c>
      <c r="P422" s="145" t="str">
        <v/>
      </c>
    </row>
    <row r="423" spans="1:16" x14ac:dyDescent="0.2">
      <c r="A423" s="58" t="str">
        <v/>
      </c>
      <c r="B423" s="123" t="str">
        <f>IFERROR(TIMEVALUE(DaqBook_RAW_Data!Q311),IFERROR(TIMEVALUE(DaqBook_RAW_Data!#REF!),""))</f>
        <v/>
      </c>
      <c r="C423" s="145" t="str">
        <v/>
      </c>
      <c r="D423" s="145" t="str">
        <v/>
      </c>
      <c r="E423" s="145" t="str">
        <v/>
      </c>
      <c r="F423" s="145" t="str">
        <v/>
      </c>
      <c r="G423" s="145" t="str">
        <v/>
      </c>
      <c r="H423" s="145" t="str">
        <v/>
      </c>
      <c r="I423" s="145" t="str">
        <v/>
      </c>
      <c r="J423" s="145" t="str">
        <v/>
      </c>
      <c r="K423" s="145" t="str">
        <v/>
      </c>
      <c r="L423" s="145" t="str">
        <v/>
      </c>
      <c r="M423" s="145" t="str">
        <v/>
      </c>
      <c r="N423" s="145" t="str">
        <v/>
      </c>
      <c r="O423" s="145" t="str">
        <v/>
      </c>
      <c r="P423" s="145" t="str">
        <v/>
      </c>
    </row>
    <row r="424" spans="1:16" x14ac:dyDescent="0.2">
      <c r="A424" s="58" t="str">
        <v/>
      </c>
      <c r="B424" s="123" t="str">
        <f>IFERROR(TIMEVALUE(DaqBook_RAW_Data!Q312),IFERROR(TIMEVALUE(DaqBook_RAW_Data!#REF!),""))</f>
        <v/>
      </c>
      <c r="C424" s="145" t="str">
        <v/>
      </c>
      <c r="D424" s="145" t="str">
        <v/>
      </c>
      <c r="E424" s="145" t="str">
        <v/>
      </c>
      <c r="F424" s="145" t="str">
        <v/>
      </c>
      <c r="G424" s="145" t="str">
        <v/>
      </c>
      <c r="H424" s="145" t="str">
        <v/>
      </c>
      <c r="I424" s="145" t="str">
        <v/>
      </c>
      <c r="J424" s="145" t="str">
        <v/>
      </c>
      <c r="K424" s="145" t="str">
        <v/>
      </c>
      <c r="L424" s="145" t="str">
        <v/>
      </c>
      <c r="M424" s="145" t="str">
        <v/>
      </c>
      <c r="N424" s="145" t="str">
        <v/>
      </c>
      <c r="O424" s="145" t="str">
        <v/>
      </c>
      <c r="P424" s="145" t="str">
        <v/>
      </c>
    </row>
    <row r="425" spans="1:16" x14ac:dyDescent="0.2">
      <c r="A425" s="58" t="str">
        <v/>
      </c>
      <c r="B425" s="123" t="str">
        <f>IFERROR(TIMEVALUE(DaqBook_RAW_Data!Q313),IFERROR(TIMEVALUE(DaqBook_RAW_Data!#REF!),""))</f>
        <v/>
      </c>
      <c r="C425" s="145" t="str">
        <v/>
      </c>
      <c r="D425" s="145" t="str">
        <v/>
      </c>
      <c r="E425" s="145" t="str">
        <v/>
      </c>
      <c r="F425" s="145" t="str">
        <v/>
      </c>
      <c r="G425" s="145" t="str">
        <v/>
      </c>
      <c r="H425" s="145" t="str">
        <v/>
      </c>
      <c r="I425" s="145" t="str">
        <v/>
      </c>
      <c r="J425" s="145" t="str">
        <v/>
      </c>
      <c r="K425" s="145" t="str">
        <v/>
      </c>
      <c r="L425" s="145" t="str">
        <v/>
      </c>
      <c r="M425" s="145" t="str">
        <v/>
      </c>
      <c r="N425" s="145" t="str">
        <v/>
      </c>
      <c r="O425" s="145" t="str">
        <v/>
      </c>
      <c r="P425" s="145" t="str">
        <v/>
      </c>
    </row>
    <row r="426" spans="1:16" x14ac:dyDescent="0.2">
      <c r="A426" s="58" t="str">
        <v/>
      </c>
      <c r="B426" s="123" t="str">
        <f>IFERROR(TIMEVALUE(DaqBook_RAW_Data!Q314),IFERROR(TIMEVALUE(DaqBook_RAW_Data!#REF!),""))</f>
        <v/>
      </c>
      <c r="C426" s="145" t="str">
        <v/>
      </c>
      <c r="D426" s="145" t="str">
        <v/>
      </c>
      <c r="E426" s="145" t="str">
        <v/>
      </c>
      <c r="F426" s="145" t="str">
        <v/>
      </c>
      <c r="G426" s="145" t="str">
        <v/>
      </c>
      <c r="H426" s="145" t="str">
        <v/>
      </c>
      <c r="I426" s="145" t="str">
        <v/>
      </c>
      <c r="J426" s="145" t="str">
        <v/>
      </c>
      <c r="K426" s="145" t="str">
        <v/>
      </c>
      <c r="L426" s="145" t="str">
        <v/>
      </c>
      <c r="M426" s="145" t="str">
        <v/>
      </c>
      <c r="N426" s="145" t="str">
        <v/>
      </c>
      <c r="O426" s="145" t="str">
        <v/>
      </c>
      <c r="P426" s="145" t="str">
        <v/>
      </c>
    </row>
    <row r="427" spans="1:16" x14ac:dyDescent="0.2">
      <c r="A427" s="58" t="str">
        <v/>
      </c>
      <c r="B427" s="123" t="str">
        <f>IFERROR(TIMEVALUE(DaqBook_RAW_Data!Q315),IFERROR(TIMEVALUE(DaqBook_RAW_Data!#REF!),""))</f>
        <v/>
      </c>
      <c r="C427" s="145" t="str">
        <v/>
      </c>
      <c r="D427" s="145" t="str">
        <v/>
      </c>
      <c r="E427" s="145" t="str">
        <v/>
      </c>
      <c r="F427" s="145" t="str">
        <v/>
      </c>
      <c r="G427" s="145" t="str">
        <v/>
      </c>
      <c r="H427" s="145" t="str">
        <v/>
      </c>
      <c r="I427" s="145" t="str">
        <v/>
      </c>
      <c r="J427" s="145" t="str">
        <v/>
      </c>
      <c r="K427" s="145" t="str">
        <v/>
      </c>
      <c r="L427" s="145" t="str">
        <v/>
      </c>
      <c r="M427" s="145" t="str">
        <v/>
      </c>
      <c r="N427" s="145" t="str">
        <v/>
      </c>
      <c r="O427" s="145" t="str">
        <v/>
      </c>
      <c r="P427" s="145" t="str">
        <v/>
      </c>
    </row>
    <row r="428" spans="1:16" x14ac:dyDescent="0.2">
      <c r="A428" s="58" t="str">
        <v/>
      </c>
      <c r="B428" s="123" t="str">
        <f>IFERROR(TIMEVALUE(DaqBook_RAW_Data!Q316),IFERROR(TIMEVALUE(DaqBook_RAW_Data!#REF!),""))</f>
        <v/>
      </c>
      <c r="C428" s="145" t="str">
        <v/>
      </c>
      <c r="D428" s="145" t="str">
        <v/>
      </c>
      <c r="E428" s="145" t="str">
        <v/>
      </c>
      <c r="F428" s="145" t="str">
        <v/>
      </c>
      <c r="G428" s="145" t="str">
        <v/>
      </c>
      <c r="H428" s="145" t="str">
        <v/>
      </c>
      <c r="I428" s="145" t="str">
        <v/>
      </c>
      <c r="J428" s="145" t="str">
        <v/>
      </c>
      <c r="K428" s="145" t="str">
        <v/>
      </c>
      <c r="L428" s="145" t="str">
        <v/>
      </c>
      <c r="M428" s="145" t="str">
        <v/>
      </c>
      <c r="N428" s="145" t="str">
        <v/>
      </c>
      <c r="O428" s="145" t="str">
        <v/>
      </c>
      <c r="P428" s="145" t="str">
        <v/>
      </c>
    </row>
    <row r="429" spans="1:16" x14ac:dyDescent="0.2">
      <c r="A429" s="58" t="str">
        <v/>
      </c>
      <c r="B429" s="123" t="str">
        <f>IFERROR(TIMEVALUE(DaqBook_RAW_Data!Q317),IFERROR(TIMEVALUE(DaqBook_RAW_Data!#REF!),""))</f>
        <v/>
      </c>
      <c r="C429" s="145" t="str">
        <v/>
      </c>
      <c r="D429" s="145" t="str">
        <v/>
      </c>
      <c r="E429" s="145" t="str">
        <v/>
      </c>
      <c r="F429" s="145" t="str">
        <v/>
      </c>
      <c r="G429" s="145" t="str">
        <v/>
      </c>
      <c r="H429" s="145" t="str">
        <v/>
      </c>
      <c r="I429" s="145" t="str">
        <v/>
      </c>
      <c r="J429" s="145" t="str">
        <v/>
      </c>
      <c r="K429" s="145" t="str">
        <v/>
      </c>
      <c r="L429" s="145" t="str">
        <v/>
      </c>
      <c r="M429" s="145" t="str">
        <v/>
      </c>
      <c r="N429" s="145" t="str">
        <v/>
      </c>
      <c r="O429" s="145" t="str">
        <v/>
      </c>
      <c r="P429" s="145" t="str">
        <v/>
      </c>
    </row>
    <row r="430" spans="1:16" x14ac:dyDescent="0.2">
      <c r="A430" s="58" t="str">
        <v/>
      </c>
      <c r="B430" s="123" t="str">
        <f>IFERROR(TIMEVALUE(DaqBook_RAW_Data!Q318),IFERROR(TIMEVALUE(DaqBook_RAW_Data!#REF!),""))</f>
        <v/>
      </c>
      <c r="C430" s="145" t="str">
        <v/>
      </c>
      <c r="D430" s="145" t="str">
        <v/>
      </c>
      <c r="E430" s="145" t="str">
        <v/>
      </c>
      <c r="F430" s="145" t="str">
        <v/>
      </c>
      <c r="G430" s="145" t="str">
        <v/>
      </c>
      <c r="H430" s="145" t="str">
        <v/>
      </c>
      <c r="I430" s="145" t="str">
        <v/>
      </c>
      <c r="J430" s="145" t="str">
        <v/>
      </c>
      <c r="K430" s="145" t="str">
        <v/>
      </c>
      <c r="L430" s="145" t="str">
        <v/>
      </c>
      <c r="M430" s="145" t="str">
        <v/>
      </c>
      <c r="N430" s="145" t="str">
        <v/>
      </c>
      <c r="O430" s="145" t="str">
        <v/>
      </c>
      <c r="P430" s="145" t="str">
        <v/>
      </c>
    </row>
    <row r="431" spans="1:16" x14ac:dyDescent="0.2">
      <c r="A431" s="58" t="str">
        <v/>
      </c>
      <c r="B431" s="123" t="str">
        <f>IFERROR(TIMEVALUE(DaqBook_RAW_Data!Q319),IFERROR(TIMEVALUE(DaqBook_RAW_Data!#REF!),""))</f>
        <v/>
      </c>
      <c r="C431" s="145" t="str">
        <v/>
      </c>
      <c r="D431" s="145" t="str">
        <v/>
      </c>
      <c r="E431" s="145" t="str">
        <v/>
      </c>
      <c r="F431" s="145" t="str">
        <v/>
      </c>
      <c r="G431" s="145" t="str">
        <v/>
      </c>
      <c r="H431" s="145" t="str">
        <v/>
      </c>
      <c r="I431" s="145" t="str">
        <v/>
      </c>
      <c r="J431" s="145" t="str">
        <v/>
      </c>
      <c r="K431" s="145" t="str">
        <v/>
      </c>
      <c r="L431" s="145" t="str">
        <v/>
      </c>
      <c r="M431" s="145" t="str">
        <v/>
      </c>
      <c r="N431" s="145" t="str">
        <v/>
      </c>
      <c r="O431" s="145" t="str">
        <v/>
      </c>
      <c r="P431" s="145" t="str">
        <v/>
      </c>
    </row>
    <row r="432" spans="1:16" x14ac:dyDescent="0.2">
      <c r="A432" s="58" t="str">
        <v/>
      </c>
      <c r="B432" s="123" t="str">
        <f>IFERROR(TIMEVALUE(DaqBook_RAW_Data!Q320),IFERROR(TIMEVALUE(DaqBook_RAW_Data!#REF!),""))</f>
        <v/>
      </c>
      <c r="C432" s="145" t="str">
        <v/>
      </c>
      <c r="D432" s="145" t="str">
        <v/>
      </c>
      <c r="E432" s="145" t="str">
        <v/>
      </c>
      <c r="F432" s="145" t="str">
        <v/>
      </c>
      <c r="G432" s="145" t="str">
        <v/>
      </c>
      <c r="H432" s="145" t="str">
        <v/>
      </c>
      <c r="I432" s="145" t="str">
        <v/>
      </c>
      <c r="J432" s="145" t="str">
        <v/>
      </c>
      <c r="K432" s="145" t="str">
        <v/>
      </c>
      <c r="L432" s="145" t="str">
        <v/>
      </c>
      <c r="M432" s="145" t="str">
        <v/>
      </c>
      <c r="N432" s="145" t="str">
        <v/>
      </c>
      <c r="O432" s="145" t="str">
        <v/>
      </c>
      <c r="P432" s="145" t="str">
        <v/>
      </c>
    </row>
    <row r="433" spans="1:16" x14ac:dyDescent="0.2">
      <c r="A433" s="58" t="str">
        <v/>
      </c>
      <c r="B433" s="123" t="str">
        <f>IFERROR(TIMEVALUE(DaqBook_RAW_Data!Q321),IFERROR(TIMEVALUE(DaqBook_RAW_Data!#REF!),""))</f>
        <v/>
      </c>
      <c r="C433" s="145" t="str">
        <v/>
      </c>
      <c r="D433" s="145" t="str">
        <v/>
      </c>
      <c r="E433" s="145" t="str">
        <v/>
      </c>
      <c r="F433" s="145" t="str">
        <v/>
      </c>
      <c r="G433" s="145" t="str">
        <v/>
      </c>
      <c r="H433" s="145" t="str">
        <v/>
      </c>
      <c r="I433" s="145" t="str">
        <v/>
      </c>
      <c r="J433" s="145" t="str">
        <v/>
      </c>
      <c r="K433" s="145" t="str">
        <v/>
      </c>
      <c r="L433" s="145" t="str">
        <v/>
      </c>
      <c r="M433" s="145" t="str">
        <v/>
      </c>
      <c r="N433" s="145" t="str">
        <v/>
      </c>
      <c r="O433" s="145" t="str">
        <v/>
      </c>
      <c r="P433" s="145" t="str">
        <v/>
      </c>
    </row>
    <row r="434" spans="1:16" x14ac:dyDescent="0.2">
      <c r="A434" s="58" t="str">
        <v/>
      </c>
      <c r="B434" s="123" t="str">
        <f>IFERROR(TIMEVALUE(DaqBook_RAW_Data!Q322),IFERROR(TIMEVALUE(DaqBook_RAW_Data!#REF!),""))</f>
        <v/>
      </c>
      <c r="C434" s="145" t="str">
        <v/>
      </c>
      <c r="D434" s="145" t="str">
        <v/>
      </c>
      <c r="E434" s="145" t="str">
        <v/>
      </c>
      <c r="F434" s="145" t="str">
        <v/>
      </c>
      <c r="G434" s="145" t="str">
        <v/>
      </c>
      <c r="H434" s="145" t="str">
        <v/>
      </c>
      <c r="I434" s="145" t="str">
        <v/>
      </c>
      <c r="J434" s="145" t="str">
        <v/>
      </c>
      <c r="K434" s="145" t="str">
        <v/>
      </c>
      <c r="L434" s="145" t="str">
        <v/>
      </c>
      <c r="M434" s="145" t="str">
        <v/>
      </c>
      <c r="N434" s="145" t="str">
        <v/>
      </c>
      <c r="O434" s="145" t="str">
        <v/>
      </c>
      <c r="P434" s="145" t="str">
        <v/>
      </c>
    </row>
    <row r="435" spans="1:16" x14ac:dyDescent="0.2">
      <c r="A435" s="58" t="str">
        <v/>
      </c>
      <c r="B435" s="123" t="str">
        <f>IFERROR(TIMEVALUE(DaqBook_RAW_Data!Q323),IFERROR(TIMEVALUE(DaqBook_RAW_Data!#REF!),""))</f>
        <v/>
      </c>
      <c r="C435" s="145" t="str">
        <v/>
      </c>
      <c r="D435" s="145" t="str">
        <v/>
      </c>
      <c r="E435" s="145" t="str">
        <v/>
      </c>
      <c r="F435" s="145" t="str">
        <v/>
      </c>
      <c r="G435" s="145" t="str">
        <v/>
      </c>
      <c r="H435" s="145" t="str">
        <v/>
      </c>
      <c r="I435" s="145" t="str">
        <v/>
      </c>
      <c r="J435" s="145" t="str">
        <v/>
      </c>
      <c r="K435" s="145" t="str">
        <v/>
      </c>
      <c r="L435" s="145" t="str">
        <v/>
      </c>
      <c r="M435" s="145" t="str">
        <v/>
      </c>
      <c r="N435" s="145" t="str">
        <v/>
      </c>
      <c r="O435" s="145" t="str">
        <v/>
      </c>
      <c r="P435" s="145" t="str">
        <v/>
      </c>
    </row>
    <row r="436" spans="1:16" x14ac:dyDescent="0.2">
      <c r="A436" s="58" t="str">
        <v/>
      </c>
      <c r="B436" s="123" t="str">
        <f>IFERROR(TIMEVALUE(DaqBook_RAW_Data!Q324),IFERROR(TIMEVALUE(DaqBook_RAW_Data!#REF!),""))</f>
        <v/>
      </c>
      <c r="C436" s="145" t="str">
        <v/>
      </c>
      <c r="D436" s="145" t="str">
        <v/>
      </c>
      <c r="E436" s="145" t="str">
        <v/>
      </c>
      <c r="F436" s="145" t="str">
        <v/>
      </c>
      <c r="G436" s="145" t="str">
        <v/>
      </c>
      <c r="H436" s="145" t="str">
        <v/>
      </c>
      <c r="I436" s="145" t="str">
        <v/>
      </c>
      <c r="J436" s="145" t="str">
        <v/>
      </c>
      <c r="K436" s="145" t="str">
        <v/>
      </c>
      <c r="L436" s="145" t="str">
        <v/>
      </c>
      <c r="M436" s="145" t="str">
        <v/>
      </c>
      <c r="N436" s="145" t="str">
        <v/>
      </c>
      <c r="O436" s="145" t="str">
        <v/>
      </c>
      <c r="P436" s="145" t="str">
        <v/>
      </c>
    </row>
    <row r="437" spans="1:16" x14ac:dyDescent="0.2">
      <c r="A437" s="58" t="str">
        <v/>
      </c>
      <c r="B437" s="123" t="str">
        <f>IFERROR(TIMEVALUE(DaqBook_RAW_Data!Q325),IFERROR(TIMEVALUE(DaqBook_RAW_Data!#REF!),""))</f>
        <v/>
      </c>
      <c r="C437" s="145" t="str">
        <v/>
      </c>
      <c r="D437" s="145" t="str">
        <v/>
      </c>
      <c r="E437" s="145" t="str">
        <v/>
      </c>
      <c r="F437" s="145" t="str">
        <v/>
      </c>
      <c r="G437" s="145" t="str">
        <v/>
      </c>
      <c r="H437" s="145" t="str">
        <v/>
      </c>
      <c r="I437" s="145" t="str">
        <v/>
      </c>
      <c r="J437" s="145" t="str">
        <v/>
      </c>
      <c r="K437" s="145" t="str">
        <v/>
      </c>
      <c r="L437" s="145" t="str">
        <v/>
      </c>
      <c r="M437" s="145" t="str">
        <v/>
      </c>
      <c r="N437" s="145" t="str">
        <v/>
      </c>
      <c r="O437" s="145" t="str">
        <v/>
      </c>
      <c r="P437" s="145" t="str">
        <v/>
      </c>
    </row>
    <row r="438" spans="1:16" x14ac:dyDescent="0.2">
      <c r="A438" s="58" t="str">
        <v/>
      </c>
      <c r="B438" s="123" t="str">
        <f>IFERROR(TIMEVALUE(DaqBook_RAW_Data!Q326),IFERROR(TIMEVALUE(DaqBook_RAW_Data!#REF!),""))</f>
        <v/>
      </c>
      <c r="C438" s="145" t="str">
        <v/>
      </c>
      <c r="D438" s="145" t="str">
        <v/>
      </c>
      <c r="E438" s="145" t="str">
        <v/>
      </c>
      <c r="F438" s="145" t="str">
        <v/>
      </c>
      <c r="G438" s="145" t="str">
        <v/>
      </c>
      <c r="H438" s="145" t="str">
        <v/>
      </c>
      <c r="I438" s="145" t="str">
        <v/>
      </c>
      <c r="J438" s="145" t="str">
        <v/>
      </c>
      <c r="K438" s="145" t="str">
        <v/>
      </c>
      <c r="L438" s="145" t="str">
        <v/>
      </c>
      <c r="M438" s="145" t="str">
        <v/>
      </c>
      <c r="N438" s="145" t="str">
        <v/>
      </c>
      <c r="O438" s="145" t="str">
        <v/>
      </c>
      <c r="P438" s="145" t="str">
        <v/>
      </c>
    </row>
    <row r="439" spans="1:16" x14ac:dyDescent="0.2">
      <c r="A439" s="58" t="str">
        <v/>
      </c>
      <c r="B439" s="123" t="str">
        <f>IFERROR(TIMEVALUE(DaqBook_RAW_Data!Q327),IFERROR(TIMEVALUE(DaqBook_RAW_Data!#REF!),""))</f>
        <v/>
      </c>
      <c r="C439" s="145" t="str">
        <v/>
      </c>
      <c r="D439" s="145" t="str">
        <v/>
      </c>
      <c r="E439" s="145" t="str">
        <v/>
      </c>
      <c r="F439" s="145" t="str">
        <v/>
      </c>
      <c r="G439" s="145" t="str">
        <v/>
      </c>
      <c r="H439" s="145" t="str">
        <v/>
      </c>
      <c r="I439" s="145" t="str">
        <v/>
      </c>
      <c r="J439" s="145" t="str">
        <v/>
      </c>
      <c r="K439" s="145" t="str">
        <v/>
      </c>
      <c r="L439" s="145" t="str">
        <v/>
      </c>
      <c r="M439" s="145" t="str">
        <v/>
      </c>
      <c r="N439" s="145" t="str">
        <v/>
      </c>
      <c r="O439" s="145" t="str">
        <v/>
      </c>
      <c r="P439" s="145" t="str">
        <v/>
      </c>
    </row>
    <row r="440" spans="1:16" x14ac:dyDescent="0.2">
      <c r="A440" s="58" t="str">
        <v/>
      </c>
      <c r="B440" s="123" t="str">
        <f>IFERROR(TIMEVALUE(DaqBook_RAW_Data!Q328),IFERROR(TIMEVALUE(DaqBook_RAW_Data!#REF!),""))</f>
        <v/>
      </c>
      <c r="C440" s="145" t="str">
        <v/>
      </c>
      <c r="D440" s="145" t="str">
        <v/>
      </c>
      <c r="E440" s="145" t="str">
        <v/>
      </c>
      <c r="F440" s="145" t="str">
        <v/>
      </c>
      <c r="G440" s="145" t="str">
        <v/>
      </c>
      <c r="H440" s="145" t="str">
        <v/>
      </c>
      <c r="I440" s="145" t="str">
        <v/>
      </c>
      <c r="J440" s="145" t="str">
        <v/>
      </c>
      <c r="K440" s="145" t="str">
        <v/>
      </c>
      <c r="L440" s="145" t="str">
        <v/>
      </c>
      <c r="M440" s="145" t="str">
        <v/>
      </c>
      <c r="N440" s="145" t="str">
        <v/>
      </c>
      <c r="O440" s="145" t="str">
        <v/>
      </c>
      <c r="P440" s="145" t="str">
        <v/>
      </c>
    </row>
    <row r="441" spans="1:16" x14ac:dyDescent="0.2">
      <c r="A441" s="58" t="str">
        <v/>
      </c>
      <c r="B441" s="123" t="str">
        <f>IFERROR(TIMEVALUE(DaqBook_RAW_Data!Q329),IFERROR(TIMEVALUE(DaqBook_RAW_Data!#REF!),""))</f>
        <v/>
      </c>
      <c r="C441" s="145" t="str">
        <v/>
      </c>
      <c r="D441" s="145" t="str">
        <v/>
      </c>
      <c r="E441" s="145" t="str">
        <v/>
      </c>
      <c r="F441" s="145" t="str">
        <v/>
      </c>
      <c r="G441" s="145" t="str">
        <v/>
      </c>
      <c r="H441" s="145" t="str">
        <v/>
      </c>
      <c r="I441" s="145" t="str">
        <v/>
      </c>
      <c r="J441" s="145" t="str">
        <v/>
      </c>
      <c r="K441" s="145" t="str">
        <v/>
      </c>
      <c r="L441" s="145" t="str">
        <v/>
      </c>
      <c r="M441" s="145" t="str">
        <v/>
      </c>
      <c r="N441" s="145" t="str">
        <v/>
      </c>
      <c r="O441" s="145" t="str">
        <v/>
      </c>
      <c r="P441" s="145" t="str">
        <v/>
      </c>
    </row>
    <row r="442" spans="1:16" x14ac:dyDescent="0.2">
      <c r="A442" s="58" t="str">
        <v/>
      </c>
      <c r="B442" s="123" t="str">
        <f>IFERROR(TIMEVALUE(DaqBook_RAW_Data!Q330),IFERROR(TIMEVALUE(DaqBook_RAW_Data!#REF!),""))</f>
        <v/>
      </c>
      <c r="C442" s="145" t="str">
        <v/>
      </c>
      <c r="D442" s="145" t="str">
        <v/>
      </c>
      <c r="E442" s="145" t="str">
        <v/>
      </c>
      <c r="F442" s="145" t="str">
        <v/>
      </c>
      <c r="G442" s="145" t="str">
        <v/>
      </c>
      <c r="H442" s="145" t="str">
        <v/>
      </c>
      <c r="I442" s="145" t="str">
        <v/>
      </c>
      <c r="J442" s="145" t="str">
        <v/>
      </c>
      <c r="K442" s="145" t="str">
        <v/>
      </c>
      <c r="L442" s="145" t="str">
        <v/>
      </c>
      <c r="M442" s="145" t="str">
        <v/>
      </c>
      <c r="N442" s="145" t="str">
        <v/>
      </c>
      <c r="O442" s="145" t="str">
        <v/>
      </c>
      <c r="P442" s="145" t="str">
        <v/>
      </c>
    </row>
    <row r="443" spans="1:16" x14ac:dyDescent="0.2">
      <c r="A443" s="58" t="str">
        <v/>
      </c>
      <c r="B443" s="123" t="str">
        <f>IFERROR(TIMEVALUE(DaqBook_RAW_Data!Q331),IFERROR(TIMEVALUE(DaqBook_RAW_Data!#REF!),""))</f>
        <v/>
      </c>
      <c r="C443" s="145" t="str">
        <v/>
      </c>
      <c r="D443" s="145" t="str">
        <v/>
      </c>
      <c r="E443" s="145" t="str">
        <v/>
      </c>
      <c r="F443" s="145" t="str">
        <v/>
      </c>
      <c r="G443" s="145" t="str">
        <v/>
      </c>
      <c r="H443" s="145" t="str">
        <v/>
      </c>
      <c r="I443" s="145" t="str">
        <v/>
      </c>
      <c r="J443" s="145" t="str">
        <v/>
      </c>
      <c r="K443" s="145" t="str">
        <v/>
      </c>
      <c r="L443" s="145" t="str">
        <v/>
      </c>
      <c r="M443" s="145" t="str">
        <v/>
      </c>
      <c r="N443" s="145" t="str">
        <v/>
      </c>
      <c r="O443" s="145" t="str">
        <v/>
      </c>
      <c r="P443" s="145" t="str">
        <v/>
      </c>
    </row>
    <row r="444" spans="1:16" x14ac:dyDescent="0.2">
      <c r="A444" s="58" t="str">
        <v/>
      </c>
      <c r="B444" s="123" t="str">
        <f>IFERROR(TIMEVALUE(DaqBook_RAW_Data!Q332),IFERROR(TIMEVALUE(DaqBook_RAW_Data!#REF!),""))</f>
        <v/>
      </c>
      <c r="C444" s="145" t="str">
        <v/>
      </c>
      <c r="D444" s="145" t="str">
        <v/>
      </c>
      <c r="E444" s="145" t="str">
        <v/>
      </c>
      <c r="F444" s="145" t="str">
        <v/>
      </c>
      <c r="G444" s="145" t="str">
        <v/>
      </c>
      <c r="H444" s="145" t="str">
        <v/>
      </c>
      <c r="I444" s="145" t="str">
        <v/>
      </c>
      <c r="J444" s="145" t="str">
        <v/>
      </c>
      <c r="K444" s="145" t="str">
        <v/>
      </c>
      <c r="L444" s="145" t="str">
        <v/>
      </c>
      <c r="M444" s="145" t="str">
        <v/>
      </c>
      <c r="N444" s="145" t="str">
        <v/>
      </c>
      <c r="O444" s="145" t="str">
        <v/>
      </c>
      <c r="P444" s="145" t="str">
        <v/>
      </c>
    </row>
    <row r="445" spans="1:16" x14ac:dyDescent="0.2">
      <c r="A445" s="58" t="str">
        <v/>
      </c>
      <c r="B445" s="123" t="str">
        <f>IFERROR(TIMEVALUE(DaqBook_RAW_Data!Q333),IFERROR(TIMEVALUE(DaqBook_RAW_Data!#REF!),""))</f>
        <v/>
      </c>
      <c r="C445" s="145" t="str">
        <v/>
      </c>
      <c r="D445" s="145" t="str">
        <v/>
      </c>
      <c r="E445" s="145" t="str">
        <v/>
      </c>
      <c r="F445" s="145" t="str">
        <v/>
      </c>
      <c r="G445" s="145" t="str">
        <v/>
      </c>
      <c r="H445" s="145" t="str">
        <v/>
      </c>
      <c r="I445" s="145" t="str">
        <v/>
      </c>
      <c r="J445" s="145" t="str">
        <v/>
      </c>
      <c r="K445" s="145" t="str">
        <v/>
      </c>
      <c r="L445" s="145" t="str">
        <v/>
      </c>
      <c r="M445" s="145" t="str">
        <v/>
      </c>
      <c r="N445" s="145" t="str">
        <v/>
      </c>
      <c r="O445" s="145" t="str">
        <v/>
      </c>
      <c r="P445" s="145" t="str">
        <v/>
      </c>
    </row>
    <row r="446" spans="1:16" x14ac:dyDescent="0.2">
      <c r="A446" s="58" t="str">
        <v/>
      </c>
      <c r="B446" s="123" t="str">
        <f>IFERROR(TIMEVALUE(DaqBook_RAW_Data!Q334),IFERROR(TIMEVALUE(DaqBook_RAW_Data!#REF!),""))</f>
        <v/>
      </c>
      <c r="C446" s="145" t="str">
        <v/>
      </c>
      <c r="D446" s="145" t="str">
        <v/>
      </c>
      <c r="E446" s="145" t="str">
        <v/>
      </c>
      <c r="F446" s="145" t="str">
        <v/>
      </c>
      <c r="G446" s="145" t="str">
        <v/>
      </c>
      <c r="H446" s="145" t="str">
        <v/>
      </c>
      <c r="I446" s="145" t="str">
        <v/>
      </c>
      <c r="J446" s="145" t="str">
        <v/>
      </c>
      <c r="K446" s="145" t="str">
        <v/>
      </c>
      <c r="L446" s="145" t="str">
        <v/>
      </c>
      <c r="M446" s="145" t="str">
        <v/>
      </c>
      <c r="N446" s="145" t="str">
        <v/>
      </c>
      <c r="O446" s="145" t="str">
        <v/>
      </c>
      <c r="P446" s="145" t="str">
        <v/>
      </c>
    </row>
    <row r="447" spans="1:16" x14ac:dyDescent="0.2">
      <c r="A447" s="58" t="str">
        <v/>
      </c>
      <c r="B447" s="123" t="str">
        <f>IFERROR(TIMEVALUE(DaqBook_RAW_Data!Q335),IFERROR(TIMEVALUE(DaqBook_RAW_Data!#REF!),""))</f>
        <v/>
      </c>
      <c r="C447" s="145" t="str">
        <v/>
      </c>
      <c r="D447" s="145" t="str">
        <v/>
      </c>
      <c r="E447" s="145" t="str">
        <v/>
      </c>
      <c r="F447" s="145" t="str">
        <v/>
      </c>
      <c r="G447" s="145" t="str">
        <v/>
      </c>
      <c r="H447" s="145" t="str">
        <v/>
      </c>
      <c r="I447" s="145" t="str">
        <v/>
      </c>
      <c r="J447" s="145" t="str">
        <v/>
      </c>
      <c r="K447" s="145" t="str">
        <v/>
      </c>
      <c r="L447" s="145" t="str">
        <v/>
      </c>
      <c r="M447" s="145" t="str">
        <v/>
      </c>
      <c r="N447" s="145" t="str">
        <v/>
      </c>
      <c r="O447" s="145" t="str">
        <v/>
      </c>
      <c r="P447" s="145" t="str">
        <v/>
      </c>
    </row>
    <row r="448" spans="1:16" x14ac:dyDescent="0.2">
      <c r="A448" s="58" t="str">
        <v/>
      </c>
      <c r="B448" s="123" t="str">
        <f>IFERROR(TIMEVALUE(DaqBook_RAW_Data!Q336),IFERROR(TIMEVALUE(DaqBook_RAW_Data!#REF!),""))</f>
        <v/>
      </c>
      <c r="C448" s="145" t="str">
        <v/>
      </c>
      <c r="D448" s="145" t="str">
        <v/>
      </c>
      <c r="E448" s="145" t="str">
        <v/>
      </c>
      <c r="F448" s="145" t="str">
        <v/>
      </c>
      <c r="G448" s="145" t="str">
        <v/>
      </c>
      <c r="H448" s="145" t="str">
        <v/>
      </c>
      <c r="I448" s="145" t="str">
        <v/>
      </c>
      <c r="J448" s="145" t="str">
        <v/>
      </c>
      <c r="K448" s="145" t="str">
        <v/>
      </c>
      <c r="L448" s="145" t="str">
        <v/>
      </c>
      <c r="M448" s="145" t="str">
        <v/>
      </c>
      <c r="N448" s="145" t="str">
        <v/>
      </c>
      <c r="O448" s="145" t="str">
        <v/>
      </c>
      <c r="P448" s="145" t="str">
        <v/>
      </c>
    </row>
    <row r="449" spans="1:16" x14ac:dyDescent="0.2">
      <c r="A449" s="58" t="str">
        <v/>
      </c>
      <c r="B449" s="123" t="str">
        <f>IFERROR(TIMEVALUE(DaqBook_RAW_Data!Q337),IFERROR(TIMEVALUE(DaqBook_RAW_Data!#REF!),""))</f>
        <v/>
      </c>
      <c r="C449" s="145" t="str">
        <v/>
      </c>
      <c r="D449" s="145" t="str">
        <v/>
      </c>
      <c r="E449" s="145" t="str">
        <v/>
      </c>
      <c r="F449" s="145" t="str">
        <v/>
      </c>
      <c r="G449" s="145" t="str">
        <v/>
      </c>
      <c r="H449" s="145" t="str">
        <v/>
      </c>
      <c r="I449" s="145" t="str">
        <v/>
      </c>
      <c r="J449" s="145" t="str">
        <v/>
      </c>
      <c r="K449" s="145" t="str">
        <v/>
      </c>
      <c r="L449" s="145" t="str">
        <v/>
      </c>
      <c r="M449" s="145" t="str">
        <v/>
      </c>
      <c r="N449" s="145" t="str">
        <v/>
      </c>
      <c r="O449" s="145" t="str">
        <v/>
      </c>
      <c r="P449" s="145" t="str">
        <v/>
      </c>
    </row>
    <row r="450" spans="1:16" x14ac:dyDescent="0.2">
      <c r="A450" s="58" t="str">
        <v/>
      </c>
      <c r="B450" s="123" t="str">
        <f>IFERROR(TIMEVALUE(DaqBook_RAW_Data!Q338),IFERROR(TIMEVALUE(DaqBook_RAW_Data!#REF!),""))</f>
        <v/>
      </c>
      <c r="C450" s="145" t="str">
        <v/>
      </c>
      <c r="D450" s="145" t="str">
        <v/>
      </c>
      <c r="E450" s="145" t="str">
        <v/>
      </c>
      <c r="F450" s="145" t="str">
        <v/>
      </c>
      <c r="G450" s="145" t="str">
        <v/>
      </c>
      <c r="H450" s="145" t="str">
        <v/>
      </c>
      <c r="I450" s="145" t="str">
        <v/>
      </c>
      <c r="J450" s="145" t="str">
        <v/>
      </c>
      <c r="K450" s="145" t="str">
        <v/>
      </c>
      <c r="L450" s="145" t="str">
        <v/>
      </c>
      <c r="M450" s="145" t="str">
        <v/>
      </c>
      <c r="N450" s="145" t="str">
        <v/>
      </c>
      <c r="O450" s="145" t="str">
        <v/>
      </c>
      <c r="P450" s="145" t="str">
        <v/>
      </c>
    </row>
    <row r="451" spans="1:16" x14ac:dyDescent="0.2">
      <c r="A451" s="58" t="str">
        <v/>
      </c>
      <c r="B451" s="123" t="str">
        <f>IFERROR(TIMEVALUE(DaqBook_RAW_Data!Q339),IFERROR(TIMEVALUE(DaqBook_RAW_Data!#REF!),""))</f>
        <v/>
      </c>
      <c r="C451" s="145" t="str">
        <v/>
      </c>
      <c r="D451" s="145" t="str">
        <v/>
      </c>
      <c r="E451" s="145" t="str">
        <v/>
      </c>
      <c r="F451" s="145" t="str">
        <v/>
      </c>
      <c r="G451" s="145" t="str">
        <v/>
      </c>
      <c r="H451" s="145" t="str">
        <v/>
      </c>
      <c r="I451" s="145" t="str">
        <v/>
      </c>
      <c r="J451" s="145" t="str">
        <v/>
      </c>
      <c r="K451" s="145" t="str">
        <v/>
      </c>
      <c r="L451" s="145" t="str">
        <v/>
      </c>
      <c r="M451" s="145" t="str">
        <v/>
      </c>
      <c r="N451" s="145" t="str">
        <v/>
      </c>
      <c r="O451" s="145" t="str">
        <v/>
      </c>
      <c r="P451" s="145" t="str">
        <v/>
      </c>
    </row>
    <row r="452" spans="1:16" x14ac:dyDescent="0.2">
      <c r="A452" s="58" t="str">
        <v/>
      </c>
      <c r="B452" s="123" t="str">
        <f>IFERROR(TIMEVALUE(DaqBook_RAW_Data!Q340),IFERROR(TIMEVALUE(DaqBook_RAW_Data!#REF!),""))</f>
        <v/>
      </c>
      <c r="C452" s="145" t="str">
        <v/>
      </c>
      <c r="D452" s="145" t="str">
        <v/>
      </c>
      <c r="E452" s="145" t="str">
        <v/>
      </c>
      <c r="F452" s="145" t="str">
        <v/>
      </c>
      <c r="G452" s="145" t="str">
        <v/>
      </c>
      <c r="H452" s="145" t="str">
        <v/>
      </c>
      <c r="I452" s="145" t="str">
        <v/>
      </c>
      <c r="J452" s="145" t="str">
        <v/>
      </c>
      <c r="K452" s="145" t="str">
        <v/>
      </c>
      <c r="L452" s="145" t="str">
        <v/>
      </c>
      <c r="M452" s="145" t="str">
        <v/>
      </c>
      <c r="N452" s="145" t="str">
        <v/>
      </c>
      <c r="O452" s="145" t="str">
        <v/>
      </c>
      <c r="P452" s="145" t="str">
        <v/>
      </c>
    </row>
    <row r="453" spans="1:16" x14ac:dyDescent="0.2">
      <c r="A453" s="58" t="str">
        <v/>
      </c>
      <c r="B453" s="123" t="str">
        <f>IFERROR(TIMEVALUE(DaqBook_RAW_Data!Q341),IFERROR(TIMEVALUE(DaqBook_RAW_Data!#REF!),""))</f>
        <v/>
      </c>
      <c r="C453" s="145" t="str">
        <v/>
      </c>
      <c r="D453" s="145" t="str">
        <v/>
      </c>
      <c r="E453" s="145" t="str">
        <v/>
      </c>
      <c r="F453" s="145" t="str">
        <v/>
      </c>
      <c r="G453" s="145" t="str">
        <v/>
      </c>
      <c r="H453" s="145" t="str">
        <v/>
      </c>
      <c r="I453" s="145" t="str">
        <v/>
      </c>
      <c r="J453" s="145" t="str">
        <v/>
      </c>
      <c r="K453" s="145" t="str">
        <v/>
      </c>
      <c r="L453" s="145" t="str">
        <v/>
      </c>
      <c r="M453" s="145" t="str">
        <v/>
      </c>
      <c r="N453" s="145" t="str">
        <v/>
      </c>
      <c r="O453" s="145" t="str">
        <v/>
      </c>
      <c r="P453" s="145" t="str">
        <v/>
      </c>
    </row>
    <row r="454" spans="1:16" x14ac:dyDescent="0.2">
      <c r="A454" s="58" t="str">
        <v/>
      </c>
      <c r="B454" s="123" t="str">
        <f>IFERROR(TIMEVALUE(DaqBook_RAW_Data!Q342),IFERROR(TIMEVALUE(DaqBook_RAW_Data!#REF!),""))</f>
        <v/>
      </c>
      <c r="C454" s="145" t="str">
        <v/>
      </c>
      <c r="D454" s="145" t="str">
        <v/>
      </c>
      <c r="E454" s="145" t="str">
        <v/>
      </c>
      <c r="F454" s="145" t="str">
        <v/>
      </c>
      <c r="G454" s="145" t="str">
        <v/>
      </c>
      <c r="H454" s="145" t="str">
        <v/>
      </c>
      <c r="I454" s="145" t="str">
        <v/>
      </c>
      <c r="J454" s="145" t="str">
        <v/>
      </c>
      <c r="K454" s="145" t="str">
        <v/>
      </c>
      <c r="L454" s="145" t="str">
        <v/>
      </c>
      <c r="M454" s="145" t="str">
        <v/>
      </c>
      <c r="N454" s="145" t="str">
        <v/>
      </c>
      <c r="O454" s="145" t="str">
        <v/>
      </c>
      <c r="P454" s="145" t="str">
        <v/>
      </c>
    </row>
    <row r="455" spans="1:16" x14ac:dyDescent="0.2">
      <c r="A455" s="58" t="str">
        <v/>
      </c>
      <c r="B455" s="123" t="str">
        <f>IFERROR(TIMEVALUE(DaqBook_RAW_Data!Q343),IFERROR(TIMEVALUE(DaqBook_RAW_Data!#REF!),""))</f>
        <v/>
      </c>
      <c r="C455" s="145" t="str">
        <v/>
      </c>
      <c r="D455" s="145" t="str">
        <v/>
      </c>
      <c r="E455" s="145" t="str">
        <v/>
      </c>
      <c r="F455" s="145" t="str">
        <v/>
      </c>
      <c r="G455" s="145" t="str">
        <v/>
      </c>
      <c r="H455" s="145" t="str">
        <v/>
      </c>
      <c r="I455" s="145" t="str">
        <v/>
      </c>
      <c r="J455" s="145" t="str">
        <v/>
      </c>
      <c r="K455" s="145" t="str">
        <v/>
      </c>
      <c r="L455" s="145" t="str">
        <v/>
      </c>
      <c r="M455" s="145" t="str">
        <v/>
      </c>
      <c r="N455" s="145" t="str">
        <v/>
      </c>
      <c r="O455" s="145" t="str">
        <v/>
      </c>
      <c r="P455" s="145" t="str">
        <v/>
      </c>
    </row>
    <row r="456" spans="1:16" x14ac:dyDescent="0.2">
      <c r="A456" s="58" t="str">
        <v/>
      </c>
      <c r="B456" s="123" t="str">
        <f>IFERROR(TIMEVALUE(DaqBook_RAW_Data!Q344),IFERROR(TIMEVALUE(DaqBook_RAW_Data!#REF!),""))</f>
        <v/>
      </c>
      <c r="C456" s="145" t="str">
        <v/>
      </c>
      <c r="D456" s="145" t="str">
        <v/>
      </c>
      <c r="E456" s="145" t="str">
        <v/>
      </c>
      <c r="F456" s="145" t="str">
        <v/>
      </c>
      <c r="G456" s="145" t="str">
        <v/>
      </c>
      <c r="H456" s="145" t="str">
        <v/>
      </c>
      <c r="I456" s="145" t="str">
        <v/>
      </c>
      <c r="J456" s="145" t="str">
        <v/>
      </c>
      <c r="K456" s="145" t="str">
        <v/>
      </c>
      <c r="L456" s="145" t="str">
        <v/>
      </c>
      <c r="M456" s="145" t="str">
        <v/>
      </c>
      <c r="N456" s="145" t="str">
        <v/>
      </c>
      <c r="O456" s="145" t="str">
        <v/>
      </c>
      <c r="P456" s="145" t="str">
        <v/>
      </c>
    </row>
    <row r="457" spans="1:16" x14ac:dyDescent="0.2">
      <c r="A457" s="58" t="str">
        <v/>
      </c>
      <c r="B457" s="123" t="str">
        <f>IFERROR(TIMEVALUE(DaqBook_RAW_Data!Q345),IFERROR(TIMEVALUE(DaqBook_RAW_Data!#REF!),""))</f>
        <v/>
      </c>
      <c r="C457" s="145" t="str">
        <v/>
      </c>
      <c r="D457" s="145" t="str">
        <v/>
      </c>
      <c r="E457" s="145" t="str">
        <v/>
      </c>
      <c r="F457" s="145" t="str">
        <v/>
      </c>
      <c r="G457" s="145" t="str">
        <v/>
      </c>
      <c r="H457" s="145" t="str">
        <v/>
      </c>
      <c r="I457" s="145" t="str">
        <v/>
      </c>
      <c r="J457" s="145" t="str">
        <v/>
      </c>
      <c r="K457" s="145" t="str">
        <v/>
      </c>
      <c r="L457" s="145" t="str">
        <v/>
      </c>
      <c r="M457" s="145" t="str">
        <v/>
      </c>
      <c r="N457" s="145" t="str">
        <v/>
      </c>
      <c r="O457" s="145" t="str">
        <v/>
      </c>
      <c r="P457" s="145" t="str">
        <v/>
      </c>
    </row>
    <row r="458" spans="1:16" x14ac:dyDescent="0.2">
      <c r="A458" s="58" t="str">
        <v/>
      </c>
      <c r="B458" s="123" t="str">
        <f>IFERROR(TIMEVALUE(DaqBook_RAW_Data!Q346),IFERROR(TIMEVALUE(DaqBook_RAW_Data!#REF!),""))</f>
        <v/>
      </c>
      <c r="C458" s="145" t="str">
        <v/>
      </c>
      <c r="D458" s="145" t="str">
        <v/>
      </c>
      <c r="E458" s="145" t="str">
        <v/>
      </c>
      <c r="F458" s="145" t="str">
        <v/>
      </c>
      <c r="G458" s="145" t="str">
        <v/>
      </c>
      <c r="H458" s="145" t="str">
        <v/>
      </c>
      <c r="I458" s="145" t="str">
        <v/>
      </c>
      <c r="J458" s="145" t="str">
        <v/>
      </c>
      <c r="K458" s="145" t="str">
        <v/>
      </c>
      <c r="L458" s="145" t="str">
        <v/>
      </c>
      <c r="M458" s="145" t="str">
        <v/>
      </c>
      <c r="N458" s="145" t="str">
        <v/>
      </c>
      <c r="O458" s="145" t="str">
        <v/>
      </c>
      <c r="P458" s="145" t="str">
        <v/>
      </c>
    </row>
    <row r="459" spans="1:16" x14ac:dyDescent="0.2">
      <c r="A459" s="58" t="str">
        <v/>
      </c>
      <c r="B459" s="123" t="str">
        <f>IFERROR(TIMEVALUE(DaqBook_RAW_Data!Q347),IFERROR(TIMEVALUE(DaqBook_RAW_Data!#REF!),""))</f>
        <v/>
      </c>
      <c r="C459" s="145" t="str">
        <v/>
      </c>
      <c r="D459" s="145" t="str">
        <v/>
      </c>
      <c r="E459" s="145" t="str">
        <v/>
      </c>
      <c r="F459" s="145" t="str">
        <v/>
      </c>
      <c r="G459" s="145" t="str">
        <v/>
      </c>
      <c r="H459" s="145" t="str">
        <v/>
      </c>
      <c r="I459" s="145" t="str">
        <v/>
      </c>
      <c r="J459" s="145" t="str">
        <v/>
      </c>
      <c r="K459" s="145" t="str">
        <v/>
      </c>
      <c r="L459" s="145" t="str">
        <v/>
      </c>
      <c r="M459" s="145" t="str">
        <v/>
      </c>
      <c r="N459" s="145" t="str">
        <v/>
      </c>
      <c r="O459" s="145" t="str">
        <v/>
      </c>
      <c r="P459" s="145" t="str">
        <v/>
      </c>
    </row>
    <row r="460" spans="1:16" x14ac:dyDescent="0.2">
      <c r="A460" s="58" t="str">
        <v/>
      </c>
      <c r="B460" s="123" t="str">
        <f>IFERROR(TIMEVALUE(DaqBook_RAW_Data!Q348),IFERROR(TIMEVALUE(DaqBook_RAW_Data!#REF!),""))</f>
        <v/>
      </c>
      <c r="C460" s="145" t="str">
        <v/>
      </c>
      <c r="D460" s="145" t="str">
        <v/>
      </c>
      <c r="E460" s="145" t="str">
        <v/>
      </c>
      <c r="F460" s="145" t="str">
        <v/>
      </c>
      <c r="G460" s="145" t="str">
        <v/>
      </c>
      <c r="H460" s="145" t="str">
        <v/>
      </c>
      <c r="I460" s="145" t="str">
        <v/>
      </c>
      <c r="J460" s="145" t="str">
        <v/>
      </c>
      <c r="K460" s="145" t="str">
        <v/>
      </c>
      <c r="L460" s="145" t="str">
        <v/>
      </c>
      <c r="M460" s="145" t="str">
        <v/>
      </c>
      <c r="N460" s="145" t="str">
        <v/>
      </c>
      <c r="O460" s="145" t="str">
        <v/>
      </c>
      <c r="P460" s="145" t="str">
        <v/>
      </c>
    </row>
    <row r="461" spans="1:16" x14ac:dyDescent="0.2">
      <c r="A461" s="58" t="str">
        <v/>
      </c>
      <c r="B461" s="123" t="str">
        <f>IFERROR(TIMEVALUE(DaqBook_RAW_Data!Q349),IFERROR(TIMEVALUE(DaqBook_RAW_Data!#REF!),""))</f>
        <v/>
      </c>
      <c r="C461" s="145" t="str">
        <v/>
      </c>
      <c r="D461" s="145" t="str">
        <v/>
      </c>
      <c r="E461" s="145" t="str">
        <v/>
      </c>
      <c r="F461" s="145" t="str">
        <v/>
      </c>
      <c r="G461" s="145" t="str">
        <v/>
      </c>
      <c r="H461" s="145" t="str">
        <v/>
      </c>
      <c r="I461" s="145" t="str">
        <v/>
      </c>
      <c r="J461" s="145" t="str">
        <v/>
      </c>
      <c r="K461" s="145" t="str">
        <v/>
      </c>
      <c r="L461" s="145" t="str">
        <v/>
      </c>
      <c r="M461" s="145" t="str">
        <v/>
      </c>
      <c r="N461" s="145" t="str">
        <v/>
      </c>
      <c r="O461" s="145" t="str">
        <v/>
      </c>
      <c r="P461" s="145" t="str">
        <v/>
      </c>
    </row>
    <row r="462" spans="1:16" x14ac:dyDescent="0.2">
      <c r="A462" s="58" t="str">
        <v/>
      </c>
      <c r="B462" s="123" t="str">
        <f>IFERROR(TIMEVALUE(DaqBook_RAW_Data!Q350),IFERROR(TIMEVALUE(DaqBook_RAW_Data!#REF!),""))</f>
        <v/>
      </c>
      <c r="C462" s="145" t="str">
        <v/>
      </c>
      <c r="D462" s="145" t="str">
        <v/>
      </c>
      <c r="E462" s="145" t="str">
        <v/>
      </c>
      <c r="F462" s="145" t="str">
        <v/>
      </c>
      <c r="G462" s="145" t="str">
        <v/>
      </c>
      <c r="H462" s="145" t="str">
        <v/>
      </c>
      <c r="I462" s="145" t="str">
        <v/>
      </c>
      <c r="J462" s="145" t="str">
        <v/>
      </c>
      <c r="K462" s="145" t="str">
        <v/>
      </c>
      <c r="L462" s="145" t="str">
        <v/>
      </c>
      <c r="M462" s="145" t="str">
        <v/>
      </c>
      <c r="N462" s="145" t="str">
        <v/>
      </c>
      <c r="O462" s="145" t="str">
        <v/>
      </c>
      <c r="P462" s="145" t="str">
        <v/>
      </c>
    </row>
    <row r="463" spans="1:16" x14ac:dyDescent="0.2">
      <c r="A463" s="58" t="str">
        <v/>
      </c>
      <c r="B463" s="123" t="str">
        <f>IFERROR(TIMEVALUE(DaqBook_RAW_Data!Q351),IFERROR(TIMEVALUE(DaqBook_RAW_Data!#REF!),""))</f>
        <v/>
      </c>
      <c r="C463" s="145" t="str">
        <v/>
      </c>
      <c r="D463" s="145" t="str">
        <v/>
      </c>
      <c r="E463" s="145" t="str">
        <v/>
      </c>
      <c r="F463" s="145" t="str">
        <v/>
      </c>
      <c r="G463" s="145" t="str">
        <v/>
      </c>
      <c r="H463" s="145" t="str">
        <v/>
      </c>
      <c r="I463" s="145" t="str">
        <v/>
      </c>
      <c r="J463" s="145" t="str">
        <v/>
      </c>
      <c r="K463" s="145" t="str">
        <v/>
      </c>
      <c r="L463" s="145" t="str">
        <v/>
      </c>
      <c r="M463" s="145" t="str">
        <v/>
      </c>
      <c r="N463" s="145" t="str">
        <v/>
      </c>
      <c r="O463" s="145" t="str">
        <v/>
      </c>
      <c r="P463" s="145" t="str">
        <v/>
      </c>
    </row>
    <row r="464" spans="1:16" x14ac:dyDescent="0.2">
      <c r="A464" s="58" t="str">
        <v/>
      </c>
      <c r="B464" s="123" t="str">
        <f>IFERROR(TIMEVALUE(DaqBook_RAW_Data!Q352),IFERROR(TIMEVALUE(DaqBook_RAW_Data!#REF!),""))</f>
        <v/>
      </c>
      <c r="C464" s="145" t="str">
        <v/>
      </c>
      <c r="D464" s="145" t="str">
        <v/>
      </c>
      <c r="E464" s="145" t="str">
        <v/>
      </c>
      <c r="F464" s="145" t="str">
        <v/>
      </c>
      <c r="G464" s="145" t="str">
        <v/>
      </c>
      <c r="H464" s="145" t="str">
        <v/>
      </c>
      <c r="I464" s="145" t="str">
        <v/>
      </c>
      <c r="J464" s="145" t="str">
        <v/>
      </c>
      <c r="K464" s="145" t="str">
        <v/>
      </c>
      <c r="L464" s="145" t="str">
        <v/>
      </c>
      <c r="M464" s="145" t="str">
        <v/>
      </c>
      <c r="N464" s="145" t="str">
        <v/>
      </c>
      <c r="O464" s="145" t="str">
        <v/>
      </c>
      <c r="P464" s="145" t="str">
        <v/>
      </c>
    </row>
    <row r="465" spans="1:16" x14ac:dyDescent="0.2">
      <c r="A465" s="58" t="str">
        <v/>
      </c>
      <c r="B465" s="123" t="str">
        <f>IFERROR(TIMEVALUE(DaqBook_RAW_Data!Q353),IFERROR(TIMEVALUE(DaqBook_RAW_Data!#REF!),""))</f>
        <v/>
      </c>
      <c r="C465" s="145" t="str">
        <v/>
      </c>
      <c r="D465" s="145" t="str">
        <v/>
      </c>
      <c r="E465" s="145" t="str">
        <v/>
      </c>
      <c r="F465" s="145" t="str">
        <v/>
      </c>
      <c r="G465" s="145" t="str">
        <v/>
      </c>
      <c r="H465" s="145" t="str">
        <v/>
      </c>
      <c r="I465" s="145" t="str">
        <v/>
      </c>
      <c r="J465" s="145" t="str">
        <v/>
      </c>
      <c r="K465" s="145" t="str">
        <v/>
      </c>
      <c r="L465" s="145" t="str">
        <v/>
      </c>
      <c r="M465" s="145" t="str">
        <v/>
      </c>
      <c r="N465" s="145" t="str">
        <v/>
      </c>
      <c r="O465" s="145" t="str">
        <v/>
      </c>
      <c r="P465" s="145" t="str">
        <v/>
      </c>
    </row>
    <row r="466" spans="1:16" x14ac:dyDescent="0.2">
      <c r="A466" s="58" t="str">
        <v/>
      </c>
      <c r="B466" s="123" t="str">
        <f>IFERROR(TIMEVALUE(DaqBook_RAW_Data!Q354),IFERROR(TIMEVALUE(DaqBook_RAW_Data!#REF!),""))</f>
        <v/>
      </c>
      <c r="C466" s="145" t="str">
        <v/>
      </c>
      <c r="D466" s="145" t="str">
        <v/>
      </c>
      <c r="E466" s="145" t="str">
        <v/>
      </c>
      <c r="F466" s="145" t="str">
        <v/>
      </c>
      <c r="G466" s="145" t="str">
        <v/>
      </c>
      <c r="H466" s="145" t="str">
        <v/>
      </c>
      <c r="I466" s="145" t="str">
        <v/>
      </c>
      <c r="J466" s="145" t="str">
        <v/>
      </c>
      <c r="K466" s="145" t="str">
        <v/>
      </c>
      <c r="L466" s="145" t="str">
        <v/>
      </c>
      <c r="M466" s="145" t="str">
        <v/>
      </c>
      <c r="N466" s="145" t="str">
        <v/>
      </c>
      <c r="O466" s="145" t="str">
        <v/>
      </c>
      <c r="P466" s="145" t="str">
        <v/>
      </c>
    </row>
    <row r="467" spans="1:16" x14ac:dyDescent="0.2">
      <c r="A467" s="58" t="str">
        <v/>
      </c>
      <c r="B467" s="123" t="str">
        <f>IFERROR(TIMEVALUE(DaqBook_RAW_Data!Q355),IFERROR(TIMEVALUE(DaqBook_RAW_Data!#REF!),""))</f>
        <v/>
      </c>
      <c r="C467" s="145" t="str">
        <v/>
      </c>
      <c r="D467" s="145" t="str">
        <v/>
      </c>
      <c r="E467" s="145" t="str">
        <v/>
      </c>
      <c r="F467" s="145" t="str">
        <v/>
      </c>
      <c r="G467" s="145" t="str">
        <v/>
      </c>
      <c r="H467" s="145" t="str">
        <v/>
      </c>
      <c r="I467" s="145" t="str">
        <v/>
      </c>
      <c r="J467" s="145" t="str">
        <v/>
      </c>
      <c r="K467" s="145" t="str">
        <v/>
      </c>
      <c r="L467" s="145" t="str">
        <v/>
      </c>
      <c r="M467" s="145" t="str">
        <v/>
      </c>
      <c r="N467" s="145" t="str">
        <v/>
      </c>
      <c r="O467" s="145" t="str">
        <v/>
      </c>
      <c r="P467" s="145" t="str">
        <v/>
      </c>
    </row>
    <row r="468" spans="1:16" x14ac:dyDescent="0.2">
      <c r="A468" s="58" t="str">
        <v/>
      </c>
      <c r="B468" s="123" t="str">
        <f>IFERROR(TIMEVALUE(DaqBook_RAW_Data!Q356),IFERROR(TIMEVALUE(DaqBook_RAW_Data!#REF!),""))</f>
        <v/>
      </c>
      <c r="C468" s="145" t="str">
        <v/>
      </c>
      <c r="D468" s="145" t="str">
        <v/>
      </c>
      <c r="E468" s="145" t="str">
        <v/>
      </c>
      <c r="F468" s="145" t="str">
        <v/>
      </c>
      <c r="G468" s="145" t="str">
        <v/>
      </c>
      <c r="H468" s="145" t="str">
        <v/>
      </c>
      <c r="I468" s="145" t="str">
        <v/>
      </c>
      <c r="J468" s="145" t="str">
        <v/>
      </c>
      <c r="K468" s="145" t="str">
        <v/>
      </c>
      <c r="L468" s="145" t="str">
        <v/>
      </c>
      <c r="M468" s="145" t="str">
        <v/>
      </c>
      <c r="N468" s="145" t="str">
        <v/>
      </c>
      <c r="O468" s="145" t="str">
        <v/>
      </c>
      <c r="P468" s="145" t="str">
        <v/>
      </c>
    </row>
    <row r="469" spans="1:16" x14ac:dyDescent="0.2">
      <c r="A469" s="58" t="str">
        <v/>
      </c>
      <c r="B469" s="123" t="str">
        <f>IFERROR(TIMEVALUE(DaqBook_RAW_Data!Q357),IFERROR(TIMEVALUE(DaqBook_RAW_Data!#REF!),""))</f>
        <v/>
      </c>
      <c r="C469" s="145" t="str">
        <v/>
      </c>
      <c r="D469" s="145" t="str">
        <v/>
      </c>
      <c r="E469" s="145" t="str">
        <v/>
      </c>
      <c r="F469" s="145" t="str">
        <v/>
      </c>
      <c r="G469" s="145" t="str">
        <v/>
      </c>
      <c r="H469" s="145" t="str">
        <v/>
      </c>
      <c r="I469" s="145" t="str">
        <v/>
      </c>
      <c r="J469" s="145" t="str">
        <v/>
      </c>
      <c r="K469" s="145" t="str">
        <v/>
      </c>
      <c r="L469" s="145" t="str">
        <v/>
      </c>
      <c r="M469" s="145" t="str">
        <v/>
      </c>
      <c r="N469" s="145" t="str">
        <v/>
      </c>
      <c r="O469" s="145" t="str">
        <v/>
      </c>
      <c r="P469" s="145" t="str">
        <v/>
      </c>
    </row>
    <row r="470" spans="1:16" x14ac:dyDescent="0.2">
      <c r="A470" s="58" t="str">
        <v/>
      </c>
      <c r="B470" s="123" t="str">
        <f>IFERROR(TIMEVALUE(DaqBook_RAW_Data!Q358),IFERROR(TIMEVALUE(DaqBook_RAW_Data!#REF!),""))</f>
        <v/>
      </c>
      <c r="C470" s="145" t="str">
        <v/>
      </c>
      <c r="D470" s="145" t="str">
        <v/>
      </c>
      <c r="E470" s="145" t="str">
        <v/>
      </c>
      <c r="F470" s="145" t="str">
        <v/>
      </c>
      <c r="G470" s="145" t="str">
        <v/>
      </c>
      <c r="H470" s="145" t="str">
        <v/>
      </c>
      <c r="I470" s="145" t="str">
        <v/>
      </c>
      <c r="J470" s="145" t="str">
        <v/>
      </c>
      <c r="K470" s="145" t="str">
        <v/>
      </c>
      <c r="L470" s="145" t="str">
        <v/>
      </c>
      <c r="M470" s="145" t="str">
        <v/>
      </c>
      <c r="N470" s="145" t="str">
        <v/>
      </c>
      <c r="O470" s="145" t="str">
        <v/>
      </c>
      <c r="P470" s="145" t="str">
        <v/>
      </c>
    </row>
    <row r="471" spans="1:16" x14ac:dyDescent="0.2">
      <c r="A471" s="58" t="str">
        <v/>
      </c>
      <c r="B471" s="123" t="str">
        <f>IFERROR(TIMEVALUE(DaqBook_RAW_Data!Q359),IFERROR(TIMEVALUE(DaqBook_RAW_Data!#REF!),""))</f>
        <v/>
      </c>
      <c r="C471" s="145" t="str">
        <v/>
      </c>
      <c r="D471" s="145" t="str">
        <v/>
      </c>
      <c r="E471" s="145" t="str">
        <v/>
      </c>
      <c r="F471" s="145" t="str">
        <v/>
      </c>
      <c r="G471" s="145" t="str">
        <v/>
      </c>
      <c r="H471" s="145" t="str">
        <v/>
      </c>
      <c r="I471" s="145" t="str">
        <v/>
      </c>
      <c r="J471" s="145" t="str">
        <v/>
      </c>
      <c r="K471" s="145" t="str">
        <v/>
      </c>
      <c r="L471" s="145" t="str">
        <v/>
      </c>
      <c r="M471" s="145" t="str">
        <v/>
      </c>
      <c r="N471" s="145" t="str">
        <v/>
      </c>
      <c r="O471" s="145" t="str">
        <v/>
      </c>
      <c r="P471" s="145" t="str">
        <v/>
      </c>
    </row>
    <row r="472" spans="1:16" x14ac:dyDescent="0.2">
      <c r="A472" s="58" t="str">
        <v/>
      </c>
      <c r="B472" s="123" t="str">
        <f>IFERROR(TIMEVALUE(DaqBook_RAW_Data!Q360),IFERROR(TIMEVALUE(DaqBook_RAW_Data!#REF!),""))</f>
        <v/>
      </c>
      <c r="C472" s="145" t="str">
        <v/>
      </c>
      <c r="D472" s="145" t="str">
        <v/>
      </c>
      <c r="E472" s="145" t="str">
        <v/>
      </c>
      <c r="F472" s="145" t="str">
        <v/>
      </c>
      <c r="G472" s="145" t="str">
        <v/>
      </c>
      <c r="H472" s="145" t="str">
        <v/>
      </c>
      <c r="I472" s="145" t="str">
        <v/>
      </c>
      <c r="J472" s="145" t="str">
        <v/>
      </c>
      <c r="K472" s="145" t="str">
        <v/>
      </c>
      <c r="L472" s="145" t="str">
        <v/>
      </c>
      <c r="M472" s="145" t="str">
        <v/>
      </c>
      <c r="N472" s="145" t="str">
        <v/>
      </c>
      <c r="O472" s="145" t="str">
        <v/>
      </c>
      <c r="P472" s="145" t="str">
        <v/>
      </c>
    </row>
    <row r="473" spans="1:16" x14ac:dyDescent="0.2">
      <c r="A473" s="58" t="str">
        <v/>
      </c>
      <c r="B473" s="123" t="str">
        <f>IFERROR(TIMEVALUE(DaqBook_RAW_Data!Q361),IFERROR(TIMEVALUE(DaqBook_RAW_Data!#REF!),""))</f>
        <v/>
      </c>
      <c r="C473" s="145" t="str">
        <v/>
      </c>
      <c r="D473" s="145" t="str">
        <v/>
      </c>
      <c r="E473" s="145" t="str">
        <v/>
      </c>
      <c r="F473" s="145" t="str">
        <v/>
      </c>
      <c r="G473" s="145" t="str">
        <v/>
      </c>
      <c r="H473" s="145" t="str">
        <v/>
      </c>
      <c r="I473" s="145" t="str">
        <v/>
      </c>
      <c r="J473" s="145" t="str">
        <v/>
      </c>
      <c r="K473" s="145" t="str">
        <v/>
      </c>
      <c r="L473" s="145" t="str">
        <v/>
      </c>
      <c r="M473" s="145" t="str">
        <v/>
      </c>
      <c r="N473" s="145" t="str">
        <v/>
      </c>
      <c r="O473" s="145" t="str">
        <v/>
      </c>
      <c r="P473" s="145" t="str">
        <v/>
      </c>
    </row>
    <row r="474" spans="1:16" x14ac:dyDescent="0.2">
      <c r="A474" s="58" t="str">
        <v/>
      </c>
      <c r="B474" s="123" t="str">
        <f>IFERROR(TIMEVALUE(DaqBook_RAW_Data!Q362),IFERROR(TIMEVALUE(DaqBook_RAW_Data!#REF!),""))</f>
        <v/>
      </c>
      <c r="C474" s="145" t="str">
        <v/>
      </c>
      <c r="D474" s="145" t="str">
        <v/>
      </c>
      <c r="E474" s="145" t="str">
        <v/>
      </c>
      <c r="F474" s="145" t="str">
        <v/>
      </c>
      <c r="G474" s="145" t="str">
        <v/>
      </c>
      <c r="H474" s="145" t="str">
        <v/>
      </c>
      <c r="I474" s="145" t="str">
        <v/>
      </c>
      <c r="J474" s="145" t="str">
        <v/>
      </c>
      <c r="K474" s="145" t="str">
        <v/>
      </c>
      <c r="L474" s="145" t="str">
        <v/>
      </c>
      <c r="M474" s="145" t="str">
        <v/>
      </c>
      <c r="N474" s="145" t="str">
        <v/>
      </c>
      <c r="O474" s="145" t="str">
        <v/>
      </c>
      <c r="P474" s="145" t="str">
        <v/>
      </c>
    </row>
    <row r="475" spans="1:16" x14ac:dyDescent="0.2">
      <c r="A475" s="58" t="str">
        <v/>
      </c>
      <c r="B475" s="123" t="str">
        <f>IFERROR(TIMEVALUE(DaqBook_RAW_Data!Q363),IFERROR(TIMEVALUE(DaqBook_RAW_Data!#REF!),""))</f>
        <v/>
      </c>
      <c r="C475" s="145" t="str">
        <v/>
      </c>
      <c r="D475" s="145" t="str">
        <v/>
      </c>
      <c r="E475" s="145" t="str">
        <v/>
      </c>
      <c r="F475" s="145" t="str">
        <v/>
      </c>
      <c r="G475" s="145" t="str">
        <v/>
      </c>
      <c r="H475" s="145" t="str">
        <v/>
      </c>
      <c r="I475" s="145" t="str">
        <v/>
      </c>
      <c r="J475" s="145" t="str">
        <v/>
      </c>
      <c r="K475" s="145" t="str">
        <v/>
      </c>
      <c r="L475" s="145" t="str">
        <v/>
      </c>
      <c r="M475" s="145" t="str">
        <v/>
      </c>
      <c r="N475" s="145" t="str">
        <v/>
      </c>
      <c r="O475" s="145" t="str">
        <v/>
      </c>
      <c r="P475" s="145" t="str">
        <v/>
      </c>
    </row>
    <row r="476" spans="1:16" x14ac:dyDescent="0.2">
      <c r="A476" s="58" t="str">
        <v/>
      </c>
      <c r="B476" s="123" t="str">
        <f>IFERROR(TIMEVALUE(DaqBook_RAW_Data!Q364),IFERROR(TIMEVALUE(DaqBook_RAW_Data!#REF!),""))</f>
        <v/>
      </c>
      <c r="C476" s="145" t="str">
        <v/>
      </c>
      <c r="D476" s="145" t="str">
        <v/>
      </c>
      <c r="E476" s="145" t="str">
        <v/>
      </c>
      <c r="F476" s="145" t="str">
        <v/>
      </c>
      <c r="G476" s="145" t="str">
        <v/>
      </c>
      <c r="H476" s="145" t="str">
        <v/>
      </c>
      <c r="I476" s="145" t="str">
        <v/>
      </c>
      <c r="J476" s="145" t="str">
        <v/>
      </c>
      <c r="K476" s="145" t="str">
        <v/>
      </c>
      <c r="L476" s="145" t="str">
        <v/>
      </c>
      <c r="M476" s="145" t="str">
        <v/>
      </c>
      <c r="N476" s="145" t="str">
        <v/>
      </c>
      <c r="O476" s="145" t="str">
        <v/>
      </c>
      <c r="P476" s="145" t="str">
        <v/>
      </c>
    </row>
    <row r="477" spans="1:16" x14ac:dyDescent="0.2">
      <c r="A477" s="58" t="str">
        <v/>
      </c>
      <c r="B477" s="123" t="str">
        <f>IFERROR(TIMEVALUE(DaqBook_RAW_Data!Q365),IFERROR(TIMEVALUE(DaqBook_RAW_Data!#REF!),""))</f>
        <v/>
      </c>
      <c r="C477" s="145" t="str">
        <v/>
      </c>
      <c r="D477" s="145" t="str">
        <v/>
      </c>
      <c r="E477" s="145" t="str">
        <v/>
      </c>
      <c r="F477" s="145" t="str">
        <v/>
      </c>
      <c r="G477" s="145" t="str">
        <v/>
      </c>
      <c r="H477" s="145" t="str">
        <v/>
      </c>
      <c r="I477" s="145" t="str">
        <v/>
      </c>
      <c r="J477" s="145" t="str">
        <v/>
      </c>
      <c r="K477" s="145" t="str">
        <v/>
      </c>
      <c r="L477" s="145" t="str">
        <v/>
      </c>
      <c r="M477" s="145" t="str">
        <v/>
      </c>
      <c r="N477" s="145" t="str">
        <v/>
      </c>
      <c r="O477" s="145" t="str">
        <v/>
      </c>
      <c r="P477" s="145" t="str">
        <v/>
      </c>
    </row>
    <row r="478" spans="1:16" x14ac:dyDescent="0.2">
      <c r="A478" s="58" t="str">
        <v/>
      </c>
      <c r="B478" s="123" t="str">
        <f>IFERROR(TIMEVALUE(DaqBook_RAW_Data!Q366),IFERROR(TIMEVALUE(DaqBook_RAW_Data!#REF!),""))</f>
        <v/>
      </c>
      <c r="C478" s="145" t="str">
        <v/>
      </c>
      <c r="D478" s="145" t="str">
        <v/>
      </c>
      <c r="E478" s="145" t="str">
        <v/>
      </c>
      <c r="F478" s="145" t="str">
        <v/>
      </c>
      <c r="G478" s="145" t="str">
        <v/>
      </c>
      <c r="H478" s="145" t="str">
        <v/>
      </c>
      <c r="I478" s="145" t="str">
        <v/>
      </c>
      <c r="J478" s="145" t="str">
        <v/>
      </c>
      <c r="K478" s="145" t="str">
        <v/>
      </c>
      <c r="L478" s="145" t="str">
        <v/>
      </c>
      <c r="M478" s="145" t="str">
        <v/>
      </c>
      <c r="N478" s="145" t="str">
        <v/>
      </c>
      <c r="O478" s="145" t="str">
        <v/>
      </c>
      <c r="P478" s="145" t="str">
        <v/>
      </c>
    </row>
    <row r="479" spans="1:16" x14ac:dyDescent="0.2">
      <c r="A479" s="58" t="str">
        <v/>
      </c>
      <c r="B479" s="123" t="str">
        <f>IFERROR(TIMEVALUE(DaqBook_RAW_Data!Q367),IFERROR(TIMEVALUE(DaqBook_RAW_Data!#REF!),""))</f>
        <v/>
      </c>
      <c r="C479" s="145" t="str">
        <v/>
      </c>
      <c r="D479" s="145" t="str">
        <v/>
      </c>
      <c r="E479" s="145" t="str">
        <v/>
      </c>
      <c r="F479" s="145" t="str">
        <v/>
      </c>
      <c r="G479" s="145" t="str">
        <v/>
      </c>
      <c r="H479" s="145" t="str">
        <v/>
      </c>
      <c r="I479" s="145" t="str">
        <v/>
      </c>
      <c r="J479" s="145" t="str">
        <v/>
      </c>
      <c r="K479" s="145" t="str">
        <v/>
      </c>
      <c r="L479" s="145" t="str">
        <v/>
      </c>
      <c r="M479" s="145" t="str">
        <v/>
      </c>
      <c r="N479" s="145" t="str">
        <v/>
      </c>
      <c r="O479" s="145" t="str">
        <v/>
      </c>
      <c r="P479" s="145" t="str">
        <v/>
      </c>
    </row>
    <row r="480" spans="1:16" x14ac:dyDescent="0.2">
      <c r="A480" s="58" t="str">
        <v/>
      </c>
      <c r="B480" s="123" t="str">
        <f>IFERROR(TIMEVALUE(DaqBook_RAW_Data!Q368),IFERROR(TIMEVALUE(DaqBook_RAW_Data!#REF!),""))</f>
        <v/>
      </c>
      <c r="C480" s="145" t="str">
        <v/>
      </c>
      <c r="D480" s="145" t="str">
        <v/>
      </c>
      <c r="E480" s="145" t="str">
        <v/>
      </c>
      <c r="F480" s="145" t="str">
        <v/>
      </c>
      <c r="G480" s="145" t="str">
        <v/>
      </c>
      <c r="H480" s="145" t="str">
        <v/>
      </c>
      <c r="I480" s="145" t="str">
        <v/>
      </c>
      <c r="J480" s="145" t="str">
        <v/>
      </c>
      <c r="K480" s="145" t="str">
        <v/>
      </c>
      <c r="L480" s="145" t="str">
        <v/>
      </c>
      <c r="M480" s="145" t="str">
        <v/>
      </c>
      <c r="N480" s="145" t="str">
        <v/>
      </c>
      <c r="O480" s="145" t="str">
        <v/>
      </c>
      <c r="P480" s="145" t="str">
        <v/>
      </c>
    </row>
    <row r="481" spans="1:16" x14ac:dyDescent="0.2">
      <c r="A481" s="58" t="str">
        <v/>
      </c>
      <c r="B481" s="123" t="str">
        <f>IFERROR(TIMEVALUE(DaqBook_RAW_Data!Q369),IFERROR(TIMEVALUE(DaqBook_RAW_Data!#REF!),""))</f>
        <v/>
      </c>
      <c r="C481" s="145" t="str">
        <v/>
      </c>
      <c r="D481" s="145" t="str">
        <v/>
      </c>
      <c r="E481" s="145" t="str">
        <v/>
      </c>
      <c r="F481" s="145" t="str">
        <v/>
      </c>
      <c r="G481" s="145" t="str">
        <v/>
      </c>
      <c r="H481" s="145" t="str">
        <v/>
      </c>
      <c r="I481" s="145" t="str">
        <v/>
      </c>
      <c r="J481" s="145" t="str">
        <v/>
      </c>
      <c r="K481" s="145" t="str">
        <v/>
      </c>
      <c r="L481" s="145" t="str">
        <v/>
      </c>
      <c r="M481" s="145" t="str">
        <v/>
      </c>
      <c r="N481" s="145" t="str">
        <v/>
      </c>
      <c r="O481" s="145" t="str">
        <v/>
      </c>
      <c r="P481" s="145" t="str">
        <v/>
      </c>
    </row>
    <row r="482" spans="1:16" x14ac:dyDescent="0.2">
      <c r="A482" s="58" t="str">
        <v/>
      </c>
      <c r="B482" s="123" t="str">
        <f>IFERROR(TIMEVALUE(DaqBook_RAW_Data!Q370),IFERROR(TIMEVALUE(DaqBook_RAW_Data!#REF!),""))</f>
        <v/>
      </c>
      <c r="C482" s="145" t="str">
        <v/>
      </c>
      <c r="D482" s="145" t="str">
        <v/>
      </c>
      <c r="E482" s="145" t="str">
        <v/>
      </c>
      <c r="F482" s="145" t="str">
        <v/>
      </c>
      <c r="G482" s="145" t="str">
        <v/>
      </c>
      <c r="H482" s="145" t="str">
        <v/>
      </c>
      <c r="I482" s="145" t="str">
        <v/>
      </c>
      <c r="J482" s="145" t="str">
        <v/>
      </c>
      <c r="K482" s="145" t="str">
        <v/>
      </c>
      <c r="L482" s="145" t="str">
        <v/>
      </c>
      <c r="M482" s="145" t="str">
        <v/>
      </c>
      <c r="N482" s="145" t="str">
        <v/>
      </c>
      <c r="O482" s="145" t="str">
        <v/>
      </c>
      <c r="P482" s="145" t="str">
        <v/>
      </c>
    </row>
    <row r="483" spans="1:16" x14ac:dyDescent="0.2">
      <c r="A483" s="58" t="str">
        <v/>
      </c>
      <c r="B483" s="123" t="str">
        <f>IFERROR(TIMEVALUE(DaqBook_RAW_Data!Q371),IFERROR(TIMEVALUE(DaqBook_RAW_Data!#REF!),""))</f>
        <v/>
      </c>
      <c r="C483" s="145" t="str">
        <v/>
      </c>
      <c r="D483" s="145" t="str">
        <v/>
      </c>
      <c r="E483" s="145" t="str">
        <v/>
      </c>
      <c r="F483" s="145" t="str">
        <v/>
      </c>
      <c r="G483" s="145" t="str">
        <v/>
      </c>
      <c r="H483" s="145" t="str">
        <v/>
      </c>
      <c r="I483" s="145" t="str">
        <v/>
      </c>
      <c r="J483" s="145" t="str">
        <v/>
      </c>
      <c r="K483" s="145" t="str">
        <v/>
      </c>
      <c r="L483" s="145" t="str">
        <v/>
      </c>
      <c r="M483" s="145" t="str">
        <v/>
      </c>
      <c r="N483" s="145" t="str">
        <v/>
      </c>
      <c r="O483" s="145" t="str">
        <v/>
      </c>
      <c r="P483" s="145" t="str">
        <v/>
      </c>
    </row>
    <row r="484" spans="1:16" x14ac:dyDescent="0.2">
      <c r="A484" s="58" t="str">
        <v/>
      </c>
      <c r="B484" s="123" t="str">
        <f>IFERROR(TIMEVALUE(DaqBook_RAW_Data!Q372),IFERROR(TIMEVALUE(DaqBook_RAW_Data!#REF!),""))</f>
        <v/>
      </c>
      <c r="C484" s="145" t="str">
        <v/>
      </c>
      <c r="D484" s="145" t="str">
        <v/>
      </c>
      <c r="E484" s="145" t="str">
        <v/>
      </c>
      <c r="F484" s="145" t="str">
        <v/>
      </c>
      <c r="G484" s="145" t="str">
        <v/>
      </c>
      <c r="H484" s="145" t="str">
        <v/>
      </c>
      <c r="I484" s="145" t="str">
        <v/>
      </c>
      <c r="J484" s="145" t="str">
        <v/>
      </c>
      <c r="K484" s="145" t="str">
        <v/>
      </c>
      <c r="L484" s="145" t="str">
        <v/>
      </c>
      <c r="M484" s="145" t="str">
        <v/>
      </c>
      <c r="N484" s="145" t="str">
        <v/>
      </c>
      <c r="O484" s="145" t="str">
        <v/>
      </c>
      <c r="P484" s="145" t="str">
        <v/>
      </c>
    </row>
    <row r="485" spans="1:16" x14ac:dyDescent="0.2">
      <c r="A485" s="58" t="str">
        <v/>
      </c>
      <c r="B485" s="123" t="str">
        <f>IFERROR(TIMEVALUE(DaqBook_RAW_Data!Q373),IFERROR(TIMEVALUE(DaqBook_RAW_Data!#REF!),""))</f>
        <v/>
      </c>
      <c r="C485" s="145" t="str">
        <v/>
      </c>
      <c r="D485" s="145" t="str">
        <v/>
      </c>
      <c r="E485" s="145" t="str">
        <v/>
      </c>
      <c r="F485" s="145" t="str">
        <v/>
      </c>
      <c r="G485" s="145" t="str">
        <v/>
      </c>
      <c r="H485" s="145" t="str">
        <v/>
      </c>
      <c r="I485" s="145" t="str">
        <v/>
      </c>
      <c r="J485" s="145" t="str">
        <v/>
      </c>
      <c r="K485" s="145" t="str">
        <v/>
      </c>
      <c r="L485" s="145" t="str">
        <v/>
      </c>
      <c r="M485" s="145" t="str">
        <v/>
      </c>
      <c r="N485" s="145" t="str">
        <v/>
      </c>
      <c r="O485" s="145" t="str">
        <v/>
      </c>
      <c r="P485" s="145" t="str">
        <v/>
      </c>
    </row>
    <row r="486" spans="1:16" x14ac:dyDescent="0.2">
      <c r="A486" s="58" t="str">
        <v/>
      </c>
      <c r="B486" s="123" t="str">
        <f>IFERROR(TIMEVALUE(DaqBook_RAW_Data!Q374),IFERROR(TIMEVALUE(DaqBook_RAW_Data!#REF!),""))</f>
        <v/>
      </c>
      <c r="C486" s="145" t="str">
        <v/>
      </c>
      <c r="D486" s="145" t="str">
        <v/>
      </c>
      <c r="E486" s="145" t="str">
        <v/>
      </c>
      <c r="F486" s="145" t="str">
        <v/>
      </c>
      <c r="G486" s="145" t="str">
        <v/>
      </c>
      <c r="H486" s="145" t="str">
        <v/>
      </c>
      <c r="I486" s="145" t="str">
        <v/>
      </c>
      <c r="J486" s="145" t="str">
        <v/>
      </c>
      <c r="K486" s="145" t="str">
        <v/>
      </c>
      <c r="L486" s="145" t="str">
        <v/>
      </c>
      <c r="M486" s="145" t="str">
        <v/>
      </c>
      <c r="N486" s="145" t="str">
        <v/>
      </c>
      <c r="O486" s="145" t="str">
        <v/>
      </c>
      <c r="P486" s="145" t="str">
        <v/>
      </c>
    </row>
    <row r="487" spans="1:16" x14ac:dyDescent="0.2">
      <c r="A487" s="58" t="str">
        <v/>
      </c>
      <c r="B487" s="123" t="str">
        <f>IFERROR(TIMEVALUE(DaqBook_RAW_Data!Q375),IFERROR(TIMEVALUE(DaqBook_RAW_Data!#REF!),""))</f>
        <v/>
      </c>
      <c r="C487" s="145" t="str">
        <v/>
      </c>
      <c r="D487" s="145" t="str">
        <v/>
      </c>
      <c r="E487" s="145" t="str">
        <v/>
      </c>
      <c r="F487" s="145" t="str">
        <v/>
      </c>
      <c r="G487" s="145" t="str">
        <v/>
      </c>
      <c r="H487" s="145" t="str">
        <v/>
      </c>
      <c r="I487" s="145" t="str">
        <v/>
      </c>
      <c r="J487" s="145" t="str">
        <v/>
      </c>
      <c r="K487" s="145" t="str">
        <v/>
      </c>
      <c r="L487" s="145" t="str">
        <v/>
      </c>
      <c r="M487" s="145" t="str">
        <v/>
      </c>
      <c r="N487" s="145" t="str">
        <v/>
      </c>
      <c r="O487" s="145" t="str">
        <v/>
      </c>
      <c r="P487" s="145" t="str">
        <v/>
      </c>
    </row>
    <row r="488" spans="1:16" x14ac:dyDescent="0.2">
      <c r="A488" s="58" t="str">
        <v/>
      </c>
      <c r="B488" s="123" t="str">
        <f>IFERROR(TIMEVALUE(DaqBook_RAW_Data!Q376),IFERROR(TIMEVALUE(DaqBook_RAW_Data!#REF!),""))</f>
        <v/>
      </c>
      <c r="C488" s="145" t="str">
        <v/>
      </c>
      <c r="D488" s="145" t="str">
        <v/>
      </c>
      <c r="E488" s="145" t="str">
        <v/>
      </c>
      <c r="F488" s="145" t="str">
        <v/>
      </c>
      <c r="G488" s="145" t="str">
        <v/>
      </c>
      <c r="H488" s="145" t="str">
        <v/>
      </c>
      <c r="I488" s="145" t="str">
        <v/>
      </c>
      <c r="J488" s="145" t="str">
        <v/>
      </c>
      <c r="K488" s="145" t="str">
        <v/>
      </c>
      <c r="L488" s="145" t="str">
        <v/>
      </c>
      <c r="M488" s="145" t="str">
        <v/>
      </c>
      <c r="N488" s="145" t="str">
        <v/>
      </c>
      <c r="O488" s="145" t="str">
        <v/>
      </c>
      <c r="P488" s="145" t="str">
        <v/>
      </c>
    </row>
    <row r="489" spans="1:16" x14ac:dyDescent="0.2">
      <c r="A489" s="58" t="str">
        <v/>
      </c>
      <c r="B489" s="123" t="str">
        <f>IFERROR(TIMEVALUE(DaqBook_RAW_Data!Q377),IFERROR(TIMEVALUE(DaqBook_RAW_Data!#REF!),""))</f>
        <v/>
      </c>
      <c r="C489" s="145" t="str">
        <v/>
      </c>
      <c r="D489" s="145" t="str">
        <v/>
      </c>
      <c r="E489" s="145" t="str">
        <v/>
      </c>
      <c r="F489" s="145" t="str">
        <v/>
      </c>
      <c r="G489" s="145" t="str">
        <v/>
      </c>
      <c r="H489" s="145" t="str">
        <v/>
      </c>
      <c r="I489" s="145" t="str">
        <v/>
      </c>
      <c r="J489" s="145" t="str">
        <v/>
      </c>
      <c r="K489" s="145" t="str">
        <v/>
      </c>
      <c r="L489" s="145" t="str">
        <v/>
      </c>
      <c r="M489" s="145" t="str">
        <v/>
      </c>
      <c r="N489" s="145" t="str">
        <v/>
      </c>
      <c r="O489" s="145" t="str">
        <v/>
      </c>
      <c r="P489" s="145" t="str">
        <v/>
      </c>
    </row>
    <row r="490" spans="1:16" x14ac:dyDescent="0.2">
      <c r="A490" s="58" t="str">
        <v/>
      </c>
      <c r="B490" s="123" t="str">
        <f>IFERROR(TIMEVALUE(DaqBook_RAW_Data!Q378),IFERROR(TIMEVALUE(DaqBook_RAW_Data!#REF!),""))</f>
        <v/>
      </c>
      <c r="C490" s="145" t="str">
        <v/>
      </c>
      <c r="D490" s="145" t="str">
        <v/>
      </c>
      <c r="E490" s="145" t="str">
        <v/>
      </c>
      <c r="F490" s="145" t="str">
        <v/>
      </c>
      <c r="G490" s="145" t="str">
        <v/>
      </c>
      <c r="H490" s="145" t="str">
        <v/>
      </c>
      <c r="I490" s="145" t="str">
        <v/>
      </c>
      <c r="J490" s="145" t="str">
        <v/>
      </c>
      <c r="K490" s="145" t="str">
        <v/>
      </c>
      <c r="L490" s="145" t="str">
        <v/>
      </c>
      <c r="M490" s="145" t="str">
        <v/>
      </c>
      <c r="N490" s="145" t="str">
        <v/>
      </c>
      <c r="O490" s="145" t="str">
        <v/>
      </c>
      <c r="P490" s="145" t="str">
        <v/>
      </c>
    </row>
    <row r="491" spans="1:16" x14ac:dyDescent="0.2">
      <c r="A491" s="58" t="str">
        <v/>
      </c>
      <c r="B491" s="123" t="str">
        <f>IFERROR(TIMEVALUE(DaqBook_RAW_Data!Q379),IFERROR(TIMEVALUE(DaqBook_RAW_Data!#REF!),""))</f>
        <v/>
      </c>
      <c r="C491" s="145" t="str">
        <v/>
      </c>
      <c r="D491" s="145" t="str">
        <v/>
      </c>
      <c r="E491" s="145" t="str">
        <v/>
      </c>
      <c r="F491" s="145" t="str">
        <v/>
      </c>
      <c r="G491" s="145" t="str">
        <v/>
      </c>
      <c r="H491" s="145" t="str">
        <v/>
      </c>
      <c r="I491" s="145" t="str">
        <v/>
      </c>
      <c r="J491" s="145" t="str">
        <v/>
      </c>
      <c r="K491" s="145" t="str">
        <v/>
      </c>
      <c r="L491" s="145" t="str">
        <v/>
      </c>
      <c r="M491" s="145" t="str">
        <v/>
      </c>
      <c r="N491" s="145" t="str">
        <v/>
      </c>
      <c r="O491" s="145" t="str">
        <v/>
      </c>
      <c r="P491" s="145" t="str">
        <v/>
      </c>
    </row>
    <row r="492" spans="1:16" x14ac:dyDescent="0.2">
      <c r="A492" s="58" t="str">
        <v/>
      </c>
      <c r="B492" s="123" t="str">
        <f>IFERROR(TIMEVALUE(DaqBook_RAW_Data!Q380),IFERROR(TIMEVALUE(DaqBook_RAW_Data!#REF!),""))</f>
        <v/>
      </c>
      <c r="C492" s="145" t="str">
        <v/>
      </c>
      <c r="D492" s="145" t="str">
        <v/>
      </c>
      <c r="E492" s="145" t="str">
        <v/>
      </c>
      <c r="F492" s="145" t="str">
        <v/>
      </c>
      <c r="G492" s="145" t="str">
        <v/>
      </c>
      <c r="H492" s="145" t="str">
        <v/>
      </c>
      <c r="I492" s="145" t="str">
        <v/>
      </c>
      <c r="J492" s="145" t="str">
        <v/>
      </c>
      <c r="K492" s="145" t="str">
        <v/>
      </c>
      <c r="L492" s="145" t="str">
        <v/>
      </c>
      <c r="M492" s="145" t="str">
        <v/>
      </c>
      <c r="N492" s="145" t="str">
        <v/>
      </c>
      <c r="O492" s="145" t="str">
        <v/>
      </c>
      <c r="P492" s="145" t="str">
        <v/>
      </c>
    </row>
    <row r="493" spans="1:16" x14ac:dyDescent="0.2">
      <c r="A493" s="58" t="str">
        <v/>
      </c>
      <c r="B493" s="123" t="str">
        <f>IFERROR(TIMEVALUE(DaqBook_RAW_Data!Q381),IFERROR(TIMEVALUE(DaqBook_RAW_Data!#REF!),""))</f>
        <v/>
      </c>
      <c r="C493" s="145" t="str">
        <v/>
      </c>
      <c r="D493" s="145" t="str">
        <v/>
      </c>
      <c r="E493" s="145" t="str">
        <v/>
      </c>
      <c r="F493" s="145" t="str">
        <v/>
      </c>
      <c r="G493" s="145" t="str">
        <v/>
      </c>
      <c r="H493" s="145" t="str">
        <v/>
      </c>
      <c r="I493" s="145" t="str">
        <v/>
      </c>
      <c r="J493" s="145" t="str">
        <v/>
      </c>
      <c r="K493" s="145" t="str">
        <v/>
      </c>
      <c r="L493" s="145" t="str">
        <v/>
      </c>
      <c r="M493" s="145" t="str">
        <v/>
      </c>
      <c r="N493" s="145" t="str">
        <v/>
      </c>
      <c r="O493" s="145" t="str">
        <v/>
      </c>
      <c r="P493" s="145" t="str">
        <v/>
      </c>
    </row>
    <row r="494" spans="1:16" x14ac:dyDescent="0.2">
      <c r="A494" s="58" t="str">
        <v/>
      </c>
      <c r="B494" s="123" t="str">
        <f>IFERROR(TIMEVALUE(DaqBook_RAW_Data!Q382),IFERROR(TIMEVALUE(DaqBook_RAW_Data!#REF!),""))</f>
        <v/>
      </c>
      <c r="C494" s="145" t="str">
        <v/>
      </c>
      <c r="D494" s="145" t="str">
        <v/>
      </c>
      <c r="E494" s="145" t="str">
        <v/>
      </c>
      <c r="F494" s="145" t="str">
        <v/>
      </c>
      <c r="G494" s="145" t="str">
        <v/>
      </c>
      <c r="H494" s="145" t="str">
        <v/>
      </c>
      <c r="I494" s="145" t="str">
        <v/>
      </c>
      <c r="J494" s="145" t="str">
        <v/>
      </c>
      <c r="K494" s="145" t="str">
        <v/>
      </c>
      <c r="L494" s="145" t="str">
        <v/>
      </c>
      <c r="M494" s="145" t="str">
        <v/>
      </c>
      <c r="N494" s="145" t="str">
        <v/>
      </c>
      <c r="O494" s="145" t="str">
        <v/>
      </c>
      <c r="P494" s="145" t="str">
        <v/>
      </c>
    </row>
    <row r="495" spans="1:16" x14ac:dyDescent="0.2">
      <c r="A495" s="58" t="str">
        <v/>
      </c>
      <c r="B495" s="123" t="str">
        <f>IFERROR(TIMEVALUE(DaqBook_RAW_Data!Q383),IFERROR(TIMEVALUE(DaqBook_RAW_Data!#REF!),""))</f>
        <v/>
      </c>
      <c r="C495" s="145" t="str">
        <v/>
      </c>
      <c r="D495" s="145" t="str">
        <v/>
      </c>
      <c r="E495" s="145" t="str">
        <v/>
      </c>
      <c r="F495" s="145" t="str">
        <v/>
      </c>
      <c r="G495" s="145" t="str">
        <v/>
      </c>
      <c r="H495" s="145" t="str">
        <v/>
      </c>
      <c r="I495" s="145" t="str">
        <v/>
      </c>
      <c r="J495" s="145" t="str">
        <v/>
      </c>
      <c r="K495" s="145" t="str">
        <v/>
      </c>
      <c r="L495" s="145" t="str">
        <v/>
      </c>
      <c r="M495" s="145" t="str">
        <v/>
      </c>
      <c r="N495" s="145" t="str">
        <v/>
      </c>
      <c r="O495" s="145" t="str">
        <v/>
      </c>
      <c r="P495" s="145" t="str">
        <v/>
      </c>
    </row>
    <row r="496" spans="1:16" x14ac:dyDescent="0.2">
      <c r="A496" s="58" t="str">
        <v/>
      </c>
      <c r="B496" s="123" t="str">
        <f>IFERROR(TIMEVALUE(DaqBook_RAW_Data!Q384),IFERROR(TIMEVALUE(DaqBook_RAW_Data!#REF!),""))</f>
        <v/>
      </c>
      <c r="C496" s="145" t="str">
        <v/>
      </c>
      <c r="D496" s="145" t="str">
        <v/>
      </c>
      <c r="E496" s="145" t="str">
        <v/>
      </c>
      <c r="F496" s="145" t="str">
        <v/>
      </c>
      <c r="G496" s="145" t="str">
        <v/>
      </c>
      <c r="H496" s="145" t="str">
        <v/>
      </c>
      <c r="I496" s="145" t="str">
        <v/>
      </c>
      <c r="J496" s="145" t="str">
        <v/>
      </c>
      <c r="K496" s="145" t="str">
        <v/>
      </c>
      <c r="L496" s="145" t="str">
        <v/>
      </c>
      <c r="M496" s="145" t="str">
        <v/>
      </c>
      <c r="N496" s="145" t="str">
        <v/>
      </c>
      <c r="O496" s="145" t="str">
        <v/>
      </c>
      <c r="P496" s="145" t="str">
        <v/>
      </c>
    </row>
    <row r="497" spans="1:16" x14ac:dyDescent="0.2">
      <c r="A497" s="58" t="str">
        <v/>
      </c>
      <c r="B497" s="123" t="str">
        <f>IFERROR(TIMEVALUE(DaqBook_RAW_Data!Q385),IFERROR(TIMEVALUE(DaqBook_RAW_Data!#REF!),""))</f>
        <v/>
      </c>
      <c r="C497" s="145" t="str">
        <v/>
      </c>
      <c r="D497" s="145" t="str">
        <v/>
      </c>
      <c r="E497" s="145" t="str">
        <v/>
      </c>
      <c r="F497" s="145" t="str">
        <v/>
      </c>
      <c r="G497" s="145" t="str">
        <v/>
      </c>
      <c r="H497" s="145" t="str">
        <v/>
      </c>
      <c r="I497" s="145" t="str">
        <v/>
      </c>
      <c r="J497" s="145" t="str">
        <v/>
      </c>
      <c r="K497" s="145" t="str">
        <v/>
      </c>
      <c r="L497" s="145" t="str">
        <v/>
      </c>
      <c r="M497" s="145" t="str">
        <v/>
      </c>
      <c r="N497" s="145" t="str">
        <v/>
      </c>
      <c r="O497" s="145" t="str">
        <v/>
      </c>
      <c r="P497" s="145" t="str">
        <v/>
      </c>
    </row>
    <row r="498" spans="1:16" x14ac:dyDescent="0.2">
      <c r="A498" s="58" t="str">
        <v/>
      </c>
      <c r="B498" s="123" t="str">
        <f>IFERROR(TIMEVALUE(DaqBook_RAW_Data!Q386),IFERROR(TIMEVALUE(DaqBook_RAW_Data!#REF!),""))</f>
        <v/>
      </c>
      <c r="C498" s="145" t="str">
        <v/>
      </c>
      <c r="D498" s="145" t="str">
        <v/>
      </c>
      <c r="E498" s="145" t="str">
        <v/>
      </c>
      <c r="F498" s="145" t="str">
        <v/>
      </c>
      <c r="G498" s="145" t="str">
        <v/>
      </c>
      <c r="H498" s="145" t="str">
        <v/>
      </c>
      <c r="I498" s="145" t="str">
        <v/>
      </c>
      <c r="J498" s="145" t="str">
        <v/>
      </c>
      <c r="K498" s="145" t="str">
        <v/>
      </c>
      <c r="L498" s="145" t="str">
        <v/>
      </c>
      <c r="M498" s="145" t="str">
        <v/>
      </c>
      <c r="N498" s="145" t="str">
        <v/>
      </c>
      <c r="O498" s="145" t="str">
        <v/>
      </c>
      <c r="P498" s="145" t="str">
        <v/>
      </c>
    </row>
    <row r="499" spans="1:16" x14ac:dyDescent="0.2">
      <c r="A499" s="58" t="str">
        <v/>
      </c>
      <c r="B499" s="123" t="str">
        <f>IFERROR(TIMEVALUE(DaqBook_RAW_Data!Q387),IFERROR(TIMEVALUE(DaqBook_RAW_Data!#REF!),""))</f>
        <v/>
      </c>
      <c r="C499" s="145" t="str">
        <v/>
      </c>
      <c r="D499" s="145" t="str">
        <v/>
      </c>
      <c r="E499" s="145" t="str">
        <v/>
      </c>
      <c r="F499" s="145" t="str">
        <v/>
      </c>
      <c r="G499" s="145" t="str">
        <v/>
      </c>
      <c r="H499" s="145" t="str">
        <v/>
      </c>
      <c r="I499" s="145" t="str">
        <v/>
      </c>
      <c r="J499" s="145" t="str">
        <v/>
      </c>
      <c r="K499" s="145" t="str">
        <v/>
      </c>
      <c r="L499" s="145" t="str">
        <v/>
      </c>
      <c r="M499" s="145" t="str">
        <v/>
      </c>
      <c r="N499" s="145" t="str">
        <v/>
      </c>
      <c r="O499" s="145" t="str">
        <v/>
      </c>
      <c r="P499" s="145" t="str">
        <v/>
      </c>
    </row>
    <row r="500" spans="1:16" x14ac:dyDescent="0.2">
      <c r="A500" s="58" t="str">
        <v/>
      </c>
      <c r="B500" s="123" t="str">
        <f>IFERROR(TIMEVALUE(DaqBook_RAW_Data!Q388),IFERROR(TIMEVALUE(DaqBook_RAW_Data!#REF!),""))</f>
        <v/>
      </c>
      <c r="C500" s="145" t="str">
        <v/>
      </c>
      <c r="D500" s="145" t="str">
        <v/>
      </c>
      <c r="E500" s="145" t="str">
        <v/>
      </c>
      <c r="F500" s="145" t="str">
        <v/>
      </c>
      <c r="G500" s="145" t="str">
        <v/>
      </c>
      <c r="H500" s="145" t="str">
        <v/>
      </c>
      <c r="I500" s="145" t="str">
        <v/>
      </c>
      <c r="J500" s="145" t="str">
        <v/>
      </c>
      <c r="K500" s="145" t="str">
        <v/>
      </c>
      <c r="L500" s="145" t="str">
        <v/>
      </c>
      <c r="M500" s="145" t="str">
        <v/>
      </c>
      <c r="N500" s="145" t="str">
        <v/>
      </c>
      <c r="O500" s="145" t="str">
        <v/>
      </c>
      <c r="P500" s="145" t="str">
        <v/>
      </c>
    </row>
    <row r="501" spans="1:16" x14ac:dyDescent="0.2">
      <c r="A501" s="58" t="str">
        <v/>
      </c>
      <c r="B501" s="123" t="str">
        <f>IFERROR(TIMEVALUE(DaqBook_RAW_Data!Q389),IFERROR(TIMEVALUE(DaqBook_RAW_Data!#REF!),""))</f>
        <v/>
      </c>
      <c r="C501" s="145" t="str">
        <v/>
      </c>
      <c r="D501" s="145" t="str">
        <v/>
      </c>
      <c r="E501" s="145" t="str">
        <v/>
      </c>
      <c r="F501" s="145" t="str">
        <v/>
      </c>
      <c r="G501" s="145" t="str">
        <v/>
      </c>
      <c r="H501" s="145" t="str">
        <v/>
      </c>
      <c r="I501" s="145" t="str">
        <v/>
      </c>
      <c r="J501" s="145" t="str">
        <v/>
      </c>
      <c r="K501" s="145" t="str">
        <v/>
      </c>
      <c r="L501" s="145" t="str">
        <v/>
      </c>
      <c r="M501" s="145" t="str">
        <v/>
      </c>
      <c r="N501" s="145" t="str">
        <v/>
      </c>
      <c r="O501" s="145" t="str">
        <v/>
      </c>
      <c r="P501" s="145" t="str">
        <v/>
      </c>
    </row>
    <row r="502" spans="1:16" x14ac:dyDescent="0.2">
      <c r="A502" s="58" t="str">
        <v/>
      </c>
      <c r="B502" s="123" t="str">
        <f>IFERROR(TIMEVALUE(DaqBook_RAW_Data!Q390),IFERROR(TIMEVALUE(DaqBook_RAW_Data!#REF!),""))</f>
        <v/>
      </c>
      <c r="C502" s="145" t="str">
        <v/>
      </c>
      <c r="D502" s="145" t="str">
        <v/>
      </c>
      <c r="E502" s="145" t="str">
        <v/>
      </c>
      <c r="F502" s="145" t="str">
        <v/>
      </c>
      <c r="G502" s="145" t="str">
        <v/>
      </c>
      <c r="H502" s="145" t="str">
        <v/>
      </c>
      <c r="I502" s="145" t="str">
        <v/>
      </c>
      <c r="J502" s="145" t="str">
        <v/>
      </c>
      <c r="K502" s="145" t="str">
        <v/>
      </c>
      <c r="L502" s="145" t="str">
        <v/>
      </c>
      <c r="M502" s="145" t="str">
        <v/>
      </c>
      <c r="N502" s="145" t="str">
        <v/>
      </c>
      <c r="O502" s="145" t="str">
        <v/>
      </c>
      <c r="P502" s="145" t="str">
        <v/>
      </c>
    </row>
    <row r="503" spans="1:16" x14ac:dyDescent="0.2">
      <c r="A503" s="58" t="str">
        <v/>
      </c>
      <c r="B503" s="123" t="str">
        <f>IFERROR(TIMEVALUE(DaqBook_RAW_Data!Q391),IFERROR(TIMEVALUE(DaqBook_RAW_Data!#REF!),""))</f>
        <v/>
      </c>
      <c r="C503" s="145" t="str">
        <v/>
      </c>
      <c r="D503" s="145" t="str">
        <v/>
      </c>
      <c r="E503" s="145" t="str">
        <v/>
      </c>
      <c r="F503" s="145" t="str">
        <v/>
      </c>
      <c r="G503" s="145" t="str">
        <v/>
      </c>
      <c r="H503" s="145" t="str">
        <v/>
      </c>
      <c r="I503" s="145" t="str">
        <v/>
      </c>
      <c r="J503" s="145" t="str">
        <v/>
      </c>
      <c r="K503" s="145" t="str">
        <v/>
      </c>
      <c r="L503" s="145" t="str">
        <v/>
      </c>
      <c r="M503" s="145" t="str">
        <v/>
      </c>
      <c r="N503" s="145" t="str">
        <v/>
      </c>
      <c r="O503" s="145" t="str">
        <v/>
      </c>
      <c r="P503" s="145" t="str">
        <v/>
      </c>
    </row>
    <row r="504" spans="1:16" x14ac:dyDescent="0.2">
      <c r="A504" s="58" t="str">
        <v/>
      </c>
      <c r="B504" s="123" t="str">
        <f>IFERROR(TIMEVALUE(DaqBook_RAW_Data!Q392),IFERROR(TIMEVALUE(DaqBook_RAW_Data!#REF!),""))</f>
        <v/>
      </c>
      <c r="C504" s="145" t="str">
        <v/>
      </c>
      <c r="D504" s="145" t="str">
        <v/>
      </c>
      <c r="E504" s="145" t="str">
        <v/>
      </c>
      <c r="F504" s="145" t="str">
        <v/>
      </c>
      <c r="G504" s="145" t="str">
        <v/>
      </c>
      <c r="H504" s="145" t="str">
        <v/>
      </c>
      <c r="I504" s="145" t="str">
        <v/>
      </c>
      <c r="J504" s="145" t="str">
        <v/>
      </c>
      <c r="K504" s="145" t="str">
        <v/>
      </c>
      <c r="L504" s="145" t="str">
        <v/>
      </c>
      <c r="M504" s="145" t="str">
        <v/>
      </c>
      <c r="N504" s="145" t="str">
        <v/>
      </c>
      <c r="O504" s="145" t="str">
        <v/>
      </c>
      <c r="P504" s="145" t="str">
        <v/>
      </c>
    </row>
    <row r="505" spans="1:16" x14ac:dyDescent="0.2">
      <c r="A505" s="58" t="str">
        <v/>
      </c>
      <c r="B505" s="123" t="str">
        <f>IFERROR(TIMEVALUE(DaqBook_RAW_Data!Q393),IFERROR(TIMEVALUE(DaqBook_RAW_Data!#REF!),""))</f>
        <v/>
      </c>
      <c r="C505" s="145" t="str">
        <v/>
      </c>
      <c r="D505" s="145" t="str">
        <v/>
      </c>
      <c r="E505" s="145" t="str">
        <v/>
      </c>
      <c r="F505" s="145" t="str">
        <v/>
      </c>
      <c r="G505" s="145" t="str">
        <v/>
      </c>
      <c r="H505" s="145" t="str">
        <v/>
      </c>
      <c r="I505" s="145" t="str">
        <v/>
      </c>
      <c r="J505" s="145" t="str">
        <v/>
      </c>
      <c r="K505" s="145" t="str">
        <v/>
      </c>
      <c r="L505" s="145" t="str">
        <v/>
      </c>
      <c r="M505" s="145" t="str">
        <v/>
      </c>
      <c r="N505" s="145" t="str">
        <v/>
      </c>
      <c r="O505" s="145" t="str">
        <v/>
      </c>
      <c r="P505" s="145" t="str">
        <v/>
      </c>
    </row>
    <row r="506" spans="1:16" x14ac:dyDescent="0.2">
      <c r="A506" s="58" t="str">
        <v/>
      </c>
      <c r="B506" s="123" t="str">
        <f>IFERROR(TIMEVALUE(DaqBook_RAW_Data!Q394),IFERROR(TIMEVALUE(DaqBook_RAW_Data!#REF!),""))</f>
        <v/>
      </c>
      <c r="C506" s="145" t="str">
        <v/>
      </c>
      <c r="D506" s="145" t="str">
        <v/>
      </c>
      <c r="E506" s="145" t="str">
        <v/>
      </c>
      <c r="F506" s="145" t="str">
        <v/>
      </c>
      <c r="G506" s="145" t="str">
        <v/>
      </c>
      <c r="H506" s="145" t="str">
        <v/>
      </c>
      <c r="I506" s="145" t="str">
        <v/>
      </c>
      <c r="J506" s="145" t="str">
        <v/>
      </c>
      <c r="K506" s="145" t="str">
        <v/>
      </c>
      <c r="L506" s="145" t="str">
        <v/>
      </c>
      <c r="M506" s="145" t="str">
        <v/>
      </c>
      <c r="N506" s="145" t="str">
        <v/>
      </c>
      <c r="O506" s="145" t="str">
        <v/>
      </c>
      <c r="P506" s="145" t="str">
        <v/>
      </c>
    </row>
    <row r="507" spans="1:16" x14ac:dyDescent="0.2">
      <c r="A507" s="58" t="str">
        <v/>
      </c>
      <c r="B507" s="123" t="str">
        <f>IFERROR(TIMEVALUE(DaqBook_RAW_Data!Q395),IFERROR(TIMEVALUE(DaqBook_RAW_Data!#REF!),""))</f>
        <v/>
      </c>
      <c r="C507" s="145" t="str">
        <v/>
      </c>
      <c r="D507" s="145" t="str">
        <v/>
      </c>
      <c r="E507" s="145" t="str">
        <v/>
      </c>
      <c r="F507" s="145" t="str">
        <v/>
      </c>
      <c r="G507" s="145" t="str">
        <v/>
      </c>
      <c r="H507" s="145" t="str">
        <v/>
      </c>
      <c r="I507" s="145" t="str">
        <v/>
      </c>
      <c r="J507" s="145" t="str">
        <v/>
      </c>
      <c r="K507" s="145" t="str">
        <v/>
      </c>
      <c r="L507" s="145" t="str">
        <v/>
      </c>
      <c r="M507" s="145" t="str">
        <v/>
      </c>
      <c r="N507" s="145" t="str">
        <v/>
      </c>
      <c r="O507" s="145" t="str">
        <v/>
      </c>
      <c r="P507" s="145" t="str">
        <v/>
      </c>
    </row>
    <row r="508" spans="1:16" x14ac:dyDescent="0.2">
      <c r="A508" s="58" t="str">
        <v/>
      </c>
      <c r="B508" s="123" t="str">
        <f>IFERROR(TIMEVALUE(DaqBook_RAW_Data!Q396),IFERROR(TIMEVALUE(DaqBook_RAW_Data!#REF!),""))</f>
        <v/>
      </c>
      <c r="C508" s="145" t="str">
        <v/>
      </c>
      <c r="D508" s="145" t="str">
        <v/>
      </c>
      <c r="E508" s="145" t="str">
        <v/>
      </c>
      <c r="F508" s="145" t="str">
        <v/>
      </c>
      <c r="G508" s="145" t="str">
        <v/>
      </c>
      <c r="H508" s="145" t="str">
        <v/>
      </c>
      <c r="I508" s="145" t="str">
        <v/>
      </c>
      <c r="J508" s="145" t="str">
        <v/>
      </c>
      <c r="K508" s="145" t="str">
        <v/>
      </c>
      <c r="L508" s="145" t="str">
        <v/>
      </c>
      <c r="M508" s="145" t="str">
        <v/>
      </c>
      <c r="N508" s="145" t="str">
        <v/>
      </c>
      <c r="O508" s="145" t="str">
        <v/>
      </c>
      <c r="P508" s="145" t="str">
        <v/>
      </c>
    </row>
    <row r="509" spans="1:16" x14ac:dyDescent="0.2">
      <c r="A509" s="58" t="str">
        <v/>
      </c>
      <c r="B509" s="123" t="str">
        <f>IFERROR(TIMEVALUE(DaqBook_RAW_Data!Q397),IFERROR(TIMEVALUE(DaqBook_RAW_Data!#REF!),""))</f>
        <v/>
      </c>
      <c r="C509" s="145" t="str">
        <v/>
      </c>
      <c r="D509" s="145" t="str">
        <v/>
      </c>
      <c r="E509" s="145" t="str">
        <v/>
      </c>
      <c r="F509" s="145" t="str">
        <v/>
      </c>
      <c r="G509" s="145" t="str">
        <v/>
      </c>
      <c r="H509" s="145" t="str">
        <v/>
      </c>
      <c r="I509" s="145" t="str">
        <v/>
      </c>
      <c r="J509" s="145" t="str">
        <v/>
      </c>
      <c r="K509" s="145" t="str">
        <v/>
      </c>
      <c r="L509" s="145" t="str">
        <v/>
      </c>
      <c r="M509" s="145" t="str">
        <v/>
      </c>
      <c r="N509" s="145" t="str">
        <v/>
      </c>
      <c r="O509" s="145" t="str">
        <v/>
      </c>
      <c r="P509" s="145" t="str">
        <v/>
      </c>
    </row>
    <row r="510" spans="1:16" x14ac:dyDescent="0.2">
      <c r="A510" s="58" t="str">
        <v/>
      </c>
      <c r="B510" s="123" t="str">
        <f>IFERROR(TIMEVALUE(DaqBook_RAW_Data!Q398),IFERROR(TIMEVALUE(DaqBook_RAW_Data!#REF!),""))</f>
        <v/>
      </c>
      <c r="C510" s="145" t="str">
        <v/>
      </c>
      <c r="D510" s="145" t="str">
        <v/>
      </c>
      <c r="E510" s="145" t="str">
        <v/>
      </c>
      <c r="F510" s="145" t="str">
        <v/>
      </c>
      <c r="G510" s="145" t="str">
        <v/>
      </c>
      <c r="H510" s="145" t="str">
        <v/>
      </c>
      <c r="I510" s="145" t="str">
        <v/>
      </c>
      <c r="J510" s="145" t="str">
        <v/>
      </c>
      <c r="K510" s="145" t="str">
        <v/>
      </c>
      <c r="L510" s="145" t="str">
        <v/>
      </c>
      <c r="M510" s="145" t="str">
        <v/>
      </c>
      <c r="N510" s="145" t="str">
        <v/>
      </c>
      <c r="O510" s="145" t="str">
        <v/>
      </c>
      <c r="P510" s="145" t="str">
        <v/>
      </c>
    </row>
    <row r="511" spans="1:16" x14ac:dyDescent="0.2">
      <c r="A511" s="58" t="str">
        <v/>
      </c>
      <c r="B511" s="123" t="str">
        <f>IFERROR(TIMEVALUE(DaqBook_RAW_Data!Q399),IFERROR(TIMEVALUE(DaqBook_RAW_Data!#REF!),""))</f>
        <v/>
      </c>
      <c r="C511" s="145" t="str">
        <v/>
      </c>
      <c r="D511" s="145" t="str">
        <v/>
      </c>
      <c r="E511" s="145" t="str">
        <v/>
      </c>
      <c r="F511" s="145" t="str">
        <v/>
      </c>
      <c r="G511" s="145" t="str">
        <v/>
      </c>
      <c r="H511" s="145" t="str">
        <v/>
      </c>
      <c r="I511" s="145" t="str">
        <v/>
      </c>
      <c r="J511" s="145" t="str">
        <v/>
      </c>
      <c r="K511" s="145" t="str">
        <v/>
      </c>
      <c r="L511" s="145" t="str">
        <v/>
      </c>
      <c r="M511" s="145" t="str">
        <v/>
      </c>
      <c r="N511" s="145" t="str">
        <v/>
      </c>
      <c r="O511" s="145" t="str">
        <v/>
      </c>
      <c r="P511" s="145" t="str">
        <v/>
      </c>
    </row>
    <row r="512" spans="1:16" x14ac:dyDescent="0.2">
      <c r="A512" s="58" t="str">
        <v/>
      </c>
      <c r="B512" s="123" t="str">
        <f>IFERROR(TIMEVALUE(DaqBook_RAW_Data!Q400),IFERROR(TIMEVALUE(DaqBook_RAW_Data!#REF!),""))</f>
        <v/>
      </c>
      <c r="C512" s="145" t="str">
        <v/>
      </c>
      <c r="D512" s="145" t="str">
        <v/>
      </c>
      <c r="E512" s="145" t="str">
        <v/>
      </c>
      <c r="F512" s="145" t="str">
        <v/>
      </c>
      <c r="G512" s="145" t="str">
        <v/>
      </c>
      <c r="H512" s="145" t="str">
        <v/>
      </c>
      <c r="I512" s="145" t="str">
        <v/>
      </c>
      <c r="J512" s="145" t="str">
        <v/>
      </c>
      <c r="K512" s="145" t="str">
        <v/>
      </c>
      <c r="L512" s="145" t="str">
        <v/>
      </c>
      <c r="M512" s="145" t="str">
        <v/>
      </c>
      <c r="N512" s="145" t="str">
        <v/>
      </c>
      <c r="O512" s="145" t="str">
        <v/>
      </c>
      <c r="P512" s="145" t="str">
        <v/>
      </c>
    </row>
    <row r="513" spans="1:16" x14ac:dyDescent="0.2">
      <c r="A513" s="58" t="str">
        <v/>
      </c>
      <c r="B513" s="123" t="str">
        <f>IFERROR(TIMEVALUE(DaqBook_RAW_Data!Q401),IFERROR(TIMEVALUE(DaqBook_RAW_Data!#REF!),""))</f>
        <v/>
      </c>
      <c r="C513" s="145" t="str">
        <v/>
      </c>
      <c r="D513" s="145" t="str">
        <v/>
      </c>
      <c r="E513" s="145" t="str">
        <v/>
      </c>
      <c r="F513" s="145" t="str">
        <v/>
      </c>
      <c r="G513" s="145" t="str">
        <v/>
      </c>
      <c r="H513" s="145" t="str">
        <v/>
      </c>
      <c r="I513" s="145" t="str">
        <v/>
      </c>
      <c r="J513" s="145" t="str">
        <v/>
      </c>
      <c r="K513" s="145" t="str">
        <v/>
      </c>
      <c r="L513" s="145" t="str">
        <v/>
      </c>
      <c r="M513" s="145" t="str">
        <v/>
      </c>
      <c r="N513" s="145" t="str">
        <v/>
      </c>
      <c r="O513" s="145" t="str">
        <v/>
      </c>
      <c r="P513" s="145" t="str">
        <v/>
      </c>
    </row>
    <row r="514" spans="1:16" x14ac:dyDescent="0.2">
      <c r="A514" s="58" t="str">
        <v/>
      </c>
      <c r="B514" s="123" t="str">
        <f>IFERROR(TIMEVALUE(DaqBook_RAW_Data!Q402),IFERROR(TIMEVALUE(DaqBook_RAW_Data!#REF!),""))</f>
        <v/>
      </c>
      <c r="C514" s="145" t="str">
        <v/>
      </c>
      <c r="D514" s="145" t="str">
        <v/>
      </c>
      <c r="E514" s="145" t="str">
        <v/>
      </c>
      <c r="F514" s="145" t="str">
        <v/>
      </c>
      <c r="G514" s="145" t="str">
        <v/>
      </c>
      <c r="H514" s="145" t="str">
        <v/>
      </c>
      <c r="I514" s="145" t="str">
        <v/>
      </c>
      <c r="J514" s="145" t="str">
        <v/>
      </c>
      <c r="K514" s="145" t="str">
        <v/>
      </c>
      <c r="L514" s="145" t="str">
        <v/>
      </c>
      <c r="M514" s="145" t="str">
        <v/>
      </c>
      <c r="N514" s="145" t="str">
        <v/>
      </c>
      <c r="O514" s="145" t="str">
        <v/>
      </c>
      <c r="P514" s="145" t="str">
        <v/>
      </c>
    </row>
    <row r="515" spans="1:16" x14ac:dyDescent="0.2">
      <c r="A515" s="58" t="str">
        <v/>
      </c>
      <c r="B515" s="123" t="str">
        <f>IFERROR(TIMEVALUE(DaqBook_RAW_Data!Q403),IFERROR(TIMEVALUE(DaqBook_RAW_Data!#REF!),""))</f>
        <v/>
      </c>
      <c r="C515" s="145" t="str">
        <v/>
      </c>
      <c r="D515" s="145" t="str">
        <v/>
      </c>
      <c r="E515" s="145" t="str">
        <v/>
      </c>
      <c r="F515" s="145" t="str">
        <v/>
      </c>
      <c r="G515" s="145" t="str">
        <v/>
      </c>
      <c r="H515" s="145" t="str">
        <v/>
      </c>
      <c r="I515" s="145" t="str">
        <v/>
      </c>
      <c r="J515" s="145" t="str">
        <v/>
      </c>
      <c r="K515" s="145" t="str">
        <v/>
      </c>
      <c r="L515" s="145" t="str">
        <v/>
      </c>
      <c r="M515" s="145" t="str">
        <v/>
      </c>
      <c r="N515" s="145" t="str">
        <v/>
      </c>
      <c r="O515" s="145" t="str">
        <v/>
      </c>
      <c r="P515" s="145" t="str">
        <v/>
      </c>
    </row>
    <row r="516" spans="1:16" x14ac:dyDescent="0.2">
      <c r="A516" s="58" t="str">
        <v/>
      </c>
      <c r="B516" s="123" t="str">
        <f>IFERROR(TIMEVALUE(DaqBook_RAW_Data!Q404),IFERROR(TIMEVALUE(DaqBook_RAW_Data!#REF!),""))</f>
        <v/>
      </c>
      <c r="C516" s="145" t="str">
        <v/>
      </c>
      <c r="D516" s="145" t="str">
        <v/>
      </c>
      <c r="E516" s="145" t="str">
        <v/>
      </c>
      <c r="F516" s="145" t="str">
        <v/>
      </c>
      <c r="G516" s="145" t="str">
        <v/>
      </c>
      <c r="H516" s="145" t="str">
        <v/>
      </c>
      <c r="I516" s="145" t="str">
        <v/>
      </c>
      <c r="J516" s="145" t="str">
        <v/>
      </c>
      <c r="K516" s="145" t="str">
        <v/>
      </c>
      <c r="L516" s="145" t="str">
        <v/>
      </c>
      <c r="M516" s="145" t="str">
        <v/>
      </c>
      <c r="N516" s="145" t="str">
        <v/>
      </c>
      <c r="O516" s="145" t="str">
        <v/>
      </c>
      <c r="P516" s="145" t="str">
        <v/>
      </c>
    </row>
    <row r="517" spans="1:16" x14ac:dyDescent="0.2">
      <c r="A517" s="58" t="str">
        <v/>
      </c>
      <c r="B517" s="123" t="str">
        <f>IFERROR(TIMEVALUE(DaqBook_RAW_Data!Q405),IFERROR(TIMEVALUE(DaqBook_RAW_Data!#REF!),""))</f>
        <v/>
      </c>
      <c r="C517" s="145" t="str">
        <v/>
      </c>
      <c r="D517" s="145" t="str">
        <v/>
      </c>
      <c r="E517" s="145" t="str">
        <v/>
      </c>
      <c r="F517" s="145" t="str">
        <v/>
      </c>
      <c r="G517" s="145" t="str">
        <v/>
      </c>
      <c r="H517" s="145" t="str">
        <v/>
      </c>
      <c r="I517" s="145" t="str">
        <v/>
      </c>
      <c r="J517" s="145" t="str">
        <v/>
      </c>
      <c r="K517" s="145" t="str">
        <v/>
      </c>
      <c r="L517" s="145" t="str">
        <v/>
      </c>
      <c r="M517" s="145" t="str">
        <v/>
      </c>
      <c r="N517" s="145" t="str">
        <v/>
      </c>
      <c r="O517" s="145" t="str">
        <v/>
      </c>
      <c r="P517" s="145" t="str">
        <v/>
      </c>
    </row>
    <row r="518" spans="1:16" x14ac:dyDescent="0.2">
      <c r="A518" s="58" t="str">
        <v/>
      </c>
      <c r="B518" s="123" t="str">
        <f>IFERROR(TIMEVALUE(DaqBook_RAW_Data!Q406),IFERROR(TIMEVALUE(DaqBook_RAW_Data!#REF!),""))</f>
        <v/>
      </c>
      <c r="C518" s="145" t="str">
        <v/>
      </c>
      <c r="D518" s="145" t="str">
        <v/>
      </c>
      <c r="E518" s="145" t="str">
        <v/>
      </c>
      <c r="F518" s="145" t="str">
        <v/>
      </c>
      <c r="G518" s="145" t="str">
        <v/>
      </c>
      <c r="H518" s="145" t="str">
        <v/>
      </c>
      <c r="I518" s="145" t="str">
        <v/>
      </c>
      <c r="J518" s="145" t="str">
        <v/>
      </c>
      <c r="K518" s="145" t="str">
        <v/>
      </c>
      <c r="L518" s="145" t="str">
        <v/>
      </c>
      <c r="M518" s="145" t="str">
        <v/>
      </c>
      <c r="N518" s="145" t="str">
        <v/>
      </c>
      <c r="O518" s="145" t="str">
        <v/>
      </c>
      <c r="P518" s="145" t="str">
        <v/>
      </c>
    </row>
    <row r="519" spans="1:16" x14ac:dyDescent="0.2">
      <c r="A519" s="58" t="str">
        <v/>
      </c>
      <c r="B519" s="123" t="str">
        <f>IFERROR(TIMEVALUE(DaqBook_RAW_Data!Q407),IFERROR(TIMEVALUE(DaqBook_RAW_Data!#REF!),""))</f>
        <v/>
      </c>
      <c r="C519" s="145" t="str">
        <v/>
      </c>
      <c r="D519" s="145" t="str">
        <v/>
      </c>
      <c r="E519" s="145" t="str">
        <v/>
      </c>
      <c r="F519" s="145" t="str">
        <v/>
      </c>
      <c r="G519" s="145" t="str">
        <v/>
      </c>
      <c r="H519" s="145" t="str">
        <v/>
      </c>
      <c r="I519" s="145" t="str">
        <v/>
      </c>
      <c r="J519" s="145" t="str">
        <v/>
      </c>
      <c r="K519" s="145" t="str">
        <v/>
      </c>
      <c r="L519" s="145" t="str">
        <v/>
      </c>
      <c r="M519" s="145" t="str">
        <v/>
      </c>
      <c r="N519" s="145" t="str">
        <v/>
      </c>
      <c r="O519" s="145" t="str">
        <v/>
      </c>
      <c r="P519" s="145" t="str">
        <v/>
      </c>
    </row>
    <row r="520" spans="1:16" x14ac:dyDescent="0.2">
      <c r="A520" s="58" t="str">
        <v/>
      </c>
      <c r="B520" s="123" t="str">
        <f>IFERROR(TIMEVALUE(DaqBook_RAW_Data!Q408),IFERROR(TIMEVALUE(DaqBook_RAW_Data!#REF!),""))</f>
        <v/>
      </c>
      <c r="C520" s="145" t="str">
        <v/>
      </c>
      <c r="D520" s="145" t="str">
        <v/>
      </c>
      <c r="E520" s="145" t="str">
        <v/>
      </c>
      <c r="F520" s="145" t="str">
        <v/>
      </c>
      <c r="G520" s="145" t="str">
        <v/>
      </c>
      <c r="H520" s="145" t="str">
        <v/>
      </c>
      <c r="I520" s="145" t="str">
        <v/>
      </c>
      <c r="J520" s="145" t="str">
        <v/>
      </c>
      <c r="K520" s="145" t="str">
        <v/>
      </c>
      <c r="L520" s="145" t="str">
        <v/>
      </c>
      <c r="M520" s="145" t="str">
        <v/>
      </c>
      <c r="N520" s="145" t="str">
        <v/>
      </c>
      <c r="O520" s="145" t="str">
        <v/>
      </c>
      <c r="P520" s="145" t="str">
        <v/>
      </c>
    </row>
    <row r="521" spans="1:16" x14ac:dyDescent="0.2">
      <c r="A521" s="58" t="str">
        <v/>
      </c>
      <c r="B521" s="123" t="str">
        <f>IFERROR(TIMEVALUE(DaqBook_RAW_Data!Q409),IFERROR(TIMEVALUE(DaqBook_RAW_Data!#REF!),""))</f>
        <v/>
      </c>
      <c r="C521" s="145" t="str">
        <v/>
      </c>
      <c r="D521" s="145" t="str">
        <v/>
      </c>
      <c r="E521" s="145" t="str">
        <v/>
      </c>
      <c r="F521" s="145" t="str">
        <v/>
      </c>
      <c r="G521" s="145" t="str">
        <v/>
      </c>
      <c r="H521" s="145" t="str">
        <v/>
      </c>
      <c r="I521" s="145" t="str">
        <v/>
      </c>
      <c r="J521" s="145" t="str">
        <v/>
      </c>
      <c r="K521" s="145" t="str">
        <v/>
      </c>
      <c r="L521" s="145" t="str">
        <v/>
      </c>
      <c r="M521" s="145" t="str">
        <v/>
      </c>
      <c r="N521" s="145" t="str">
        <v/>
      </c>
      <c r="O521" s="145" t="str">
        <v/>
      </c>
      <c r="P521" s="145" t="str">
        <v/>
      </c>
    </row>
    <row r="522" spans="1:16" x14ac:dyDescent="0.2">
      <c r="A522" s="58" t="str">
        <v/>
      </c>
      <c r="B522" s="123" t="str">
        <f>IFERROR(TIMEVALUE(DaqBook_RAW_Data!Q410),IFERROR(TIMEVALUE(DaqBook_RAW_Data!#REF!),""))</f>
        <v/>
      </c>
      <c r="C522" s="145" t="str">
        <v/>
      </c>
      <c r="D522" s="145" t="str">
        <v/>
      </c>
      <c r="E522" s="145" t="str">
        <v/>
      </c>
      <c r="F522" s="145" t="str">
        <v/>
      </c>
      <c r="G522" s="145" t="str">
        <v/>
      </c>
      <c r="H522" s="145" t="str">
        <v/>
      </c>
      <c r="I522" s="145" t="str">
        <v/>
      </c>
      <c r="J522" s="145" t="str">
        <v/>
      </c>
      <c r="K522" s="145" t="str">
        <v/>
      </c>
      <c r="L522" s="145" t="str">
        <v/>
      </c>
      <c r="M522" s="145" t="str">
        <v/>
      </c>
      <c r="N522" s="145" t="str">
        <v/>
      </c>
      <c r="O522" s="145" t="str">
        <v/>
      </c>
      <c r="P522" s="145" t="str">
        <v/>
      </c>
    </row>
    <row r="523" spans="1:16" x14ac:dyDescent="0.2">
      <c r="A523" s="58" t="str">
        <v/>
      </c>
      <c r="B523" s="123" t="str">
        <f>IFERROR(TIMEVALUE(DaqBook_RAW_Data!Q411),IFERROR(TIMEVALUE(DaqBook_RAW_Data!#REF!),""))</f>
        <v/>
      </c>
      <c r="C523" s="145" t="str">
        <v/>
      </c>
      <c r="D523" s="145" t="str">
        <v/>
      </c>
      <c r="E523" s="145" t="str">
        <v/>
      </c>
      <c r="F523" s="145" t="str">
        <v/>
      </c>
      <c r="G523" s="145" t="str">
        <v/>
      </c>
      <c r="H523" s="145" t="str">
        <v/>
      </c>
      <c r="I523" s="145" t="str">
        <v/>
      </c>
      <c r="J523" s="145" t="str">
        <v/>
      </c>
      <c r="K523" s="145" t="str">
        <v/>
      </c>
      <c r="L523" s="145" t="str">
        <v/>
      </c>
      <c r="M523" s="145" t="str">
        <v/>
      </c>
      <c r="N523" s="145" t="str">
        <v/>
      </c>
      <c r="O523" s="145" t="str">
        <v/>
      </c>
      <c r="P523" s="145" t="str">
        <v/>
      </c>
    </row>
    <row r="524" spans="1:16" x14ac:dyDescent="0.2">
      <c r="A524" s="58" t="str">
        <v/>
      </c>
      <c r="B524" s="123" t="str">
        <f>IFERROR(TIMEVALUE(DaqBook_RAW_Data!Q412),IFERROR(TIMEVALUE(DaqBook_RAW_Data!#REF!),""))</f>
        <v/>
      </c>
      <c r="C524" s="145" t="str">
        <v/>
      </c>
      <c r="D524" s="145" t="str">
        <v/>
      </c>
      <c r="E524" s="145" t="str">
        <v/>
      </c>
      <c r="F524" s="145" t="str">
        <v/>
      </c>
      <c r="G524" s="145" t="str">
        <v/>
      </c>
      <c r="H524" s="145" t="str">
        <v/>
      </c>
      <c r="I524" s="145" t="str">
        <v/>
      </c>
      <c r="J524" s="145" t="str">
        <v/>
      </c>
      <c r="K524" s="145" t="str">
        <v/>
      </c>
      <c r="L524" s="145" t="str">
        <v/>
      </c>
      <c r="M524" s="145" t="str">
        <v/>
      </c>
      <c r="N524" s="145" t="str">
        <v/>
      </c>
      <c r="O524" s="145" t="str">
        <v/>
      </c>
      <c r="P524" s="145" t="str">
        <v/>
      </c>
    </row>
    <row r="525" spans="1:16" x14ac:dyDescent="0.2">
      <c r="A525" s="58" t="str">
        <v/>
      </c>
      <c r="B525" s="123" t="str">
        <f>IFERROR(TIMEVALUE(DaqBook_RAW_Data!Q413),IFERROR(TIMEVALUE(DaqBook_RAW_Data!#REF!),""))</f>
        <v/>
      </c>
      <c r="C525" s="145" t="str">
        <v/>
      </c>
      <c r="D525" s="145" t="str">
        <v/>
      </c>
      <c r="E525" s="145" t="str">
        <v/>
      </c>
      <c r="F525" s="145" t="str">
        <v/>
      </c>
      <c r="G525" s="145" t="str">
        <v/>
      </c>
      <c r="H525" s="145" t="str">
        <v/>
      </c>
      <c r="I525" s="145" t="str">
        <v/>
      </c>
      <c r="J525" s="145" t="str">
        <v/>
      </c>
      <c r="K525" s="145" t="str">
        <v/>
      </c>
      <c r="L525" s="145" t="str">
        <v/>
      </c>
      <c r="M525" s="145" t="str">
        <v/>
      </c>
      <c r="N525" s="145" t="str">
        <v/>
      </c>
      <c r="O525" s="145" t="str">
        <v/>
      </c>
      <c r="P525" s="145" t="str">
        <v/>
      </c>
    </row>
    <row r="526" spans="1:16" x14ac:dyDescent="0.2">
      <c r="A526" s="58" t="str">
        <v/>
      </c>
      <c r="B526" s="123" t="str">
        <f>IFERROR(TIMEVALUE(DaqBook_RAW_Data!Q414),IFERROR(TIMEVALUE(DaqBook_RAW_Data!#REF!),""))</f>
        <v/>
      </c>
      <c r="C526" s="145" t="str">
        <v/>
      </c>
      <c r="D526" s="145" t="str">
        <v/>
      </c>
      <c r="E526" s="145" t="str">
        <v/>
      </c>
      <c r="F526" s="145" t="str">
        <v/>
      </c>
      <c r="G526" s="145" t="str">
        <v/>
      </c>
      <c r="H526" s="145" t="str">
        <v/>
      </c>
      <c r="I526" s="145" t="str">
        <v/>
      </c>
      <c r="J526" s="145" t="str">
        <v/>
      </c>
      <c r="K526" s="145" t="str">
        <v/>
      </c>
      <c r="L526" s="145" t="str">
        <v/>
      </c>
      <c r="M526" s="145" t="str">
        <v/>
      </c>
      <c r="N526" s="145" t="str">
        <v/>
      </c>
      <c r="O526" s="145" t="str">
        <v/>
      </c>
      <c r="P526" s="145" t="str">
        <v/>
      </c>
    </row>
    <row r="527" spans="1:16" x14ac:dyDescent="0.2">
      <c r="A527" s="58" t="str">
        <v/>
      </c>
      <c r="B527" s="123" t="str">
        <f>IFERROR(TIMEVALUE(DaqBook_RAW_Data!Q415),IFERROR(TIMEVALUE(DaqBook_RAW_Data!#REF!),""))</f>
        <v/>
      </c>
      <c r="C527" s="145" t="str">
        <v/>
      </c>
      <c r="D527" s="145" t="str">
        <v/>
      </c>
      <c r="E527" s="145" t="str">
        <v/>
      </c>
      <c r="F527" s="145" t="str">
        <v/>
      </c>
      <c r="G527" s="145" t="str">
        <v/>
      </c>
      <c r="H527" s="145" t="str">
        <v/>
      </c>
      <c r="I527" s="145" t="str">
        <v/>
      </c>
      <c r="J527" s="145" t="str">
        <v/>
      </c>
      <c r="K527" s="145" t="str">
        <v/>
      </c>
      <c r="L527" s="145" t="str">
        <v/>
      </c>
      <c r="M527" s="145" t="str">
        <v/>
      </c>
      <c r="N527" s="145" t="str">
        <v/>
      </c>
      <c r="O527" s="145" t="str">
        <v/>
      </c>
      <c r="P527" s="145" t="str">
        <v/>
      </c>
    </row>
    <row r="528" spans="1:16" x14ac:dyDescent="0.2">
      <c r="A528" s="58" t="str">
        <v/>
      </c>
      <c r="B528" s="123" t="str">
        <f>IFERROR(TIMEVALUE(DaqBook_RAW_Data!Q416),IFERROR(TIMEVALUE(DaqBook_RAW_Data!#REF!),""))</f>
        <v/>
      </c>
      <c r="C528" s="145" t="str">
        <v/>
      </c>
      <c r="D528" s="145" t="str">
        <v/>
      </c>
      <c r="E528" s="145" t="str">
        <v/>
      </c>
      <c r="F528" s="145" t="str">
        <v/>
      </c>
      <c r="G528" s="145" t="str">
        <v/>
      </c>
      <c r="H528" s="145" t="str">
        <v/>
      </c>
      <c r="I528" s="145" t="str">
        <v/>
      </c>
      <c r="J528" s="145" t="str">
        <v/>
      </c>
      <c r="K528" s="145" t="str">
        <v/>
      </c>
      <c r="L528" s="145" t="str">
        <v/>
      </c>
      <c r="M528" s="145" t="str">
        <v/>
      </c>
      <c r="N528" s="145" t="str">
        <v/>
      </c>
      <c r="O528" s="145" t="str">
        <v/>
      </c>
      <c r="P528" s="145" t="str">
        <v/>
      </c>
    </row>
    <row r="529" spans="1:16" x14ac:dyDescent="0.2">
      <c r="A529" s="58" t="str">
        <v/>
      </c>
      <c r="B529" s="123" t="str">
        <f>IFERROR(TIMEVALUE(DaqBook_RAW_Data!Q417),IFERROR(TIMEVALUE(DaqBook_RAW_Data!#REF!),""))</f>
        <v/>
      </c>
      <c r="C529" s="145" t="str">
        <v/>
      </c>
      <c r="D529" s="145" t="str">
        <v/>
      </c>
      <c r="E529" s="145" t="str">
        <v/>
      </c>
      <c r="F529" s="145" t="str">
        <v/>
      </c>
      <c r="G529" s="145" t="str">
        <v/>
      </c>
      <c r="H529" s="145" t="str">
        <v/>
      </c>
      <c r="I529" s="145" t="str">
        <v/>
      </c>
      <c r="J529" s="145" t="str">
        <v/>
      </c>
      <c r="K529" s="145" t="str">
        <v/>
      </c>
      <c r="L529" s="145" t="str">
        <v/>
      </c>
      <c r="M529" s="145" t="str">
        <v/>
      </c>
      <c r="N529" s="145" t="str">
        <v/>
      </c>
      <c r="O529" s="145" t="str">
        <v/>
      </c>
      <c r="P529" s="145" t="str">
        <v/>
      </c>
    </row>
    <row r="530" spans="1:16" x14ac:dyDescent="0.2">
      <c r="A530" s="58" t="str">
        <v/>
      </c>
      <c r="B530" s="123" t="str">
        <f>IFERROR(TIMEVALUE(DaqBook_RAW_Data!Q418),IFERROR(TIMEVALUE(DaqBook_RAW_Data!#REF!),""))</f>
        <v/>
      </c>
      <c r="C530" s="145" t="str">
        <v/>
      </c>
      <c r="D530" s="145" t="str">
        <v/>
      </c>
      <c r="E530" s="145" t="str">
        <v/>
      </c>
      <c r="F530" s="145" t="str">
        <v/>
      </c>
      <c r="G530" s="145" t="str">
        <v/>
      </c>
      <c r="H530" s="145" t="str">
        <v/>
      </c>
      <c r="I530" s="145" t="str">
        <v/>
      </c>
      <c r="J530" s="145" t="str">
        <v/>
      </c>
      <c r="K530" s="145" t="str">
        <v/>
      </c>
      <c r="L530" s="145" t="str">
        <v/>
      </c>
      <c r="M530" s="145" t="str">
        <v/>
      </c>
      <c r="N530" s="145" t="str">
        <v/>
      </c>
      <c r="O530" s="145" t="str">
        <v/>
      </c>
      <c r="P530" s="145" t="str">
        <v/>
      </c>
    </row>
    <row r="531" spans="1:16" x14ac:dyDescent="0.2">
      <c r="A531" s="58" t="str">
        <v/>
      </c>
      <c r="B531" s="123" t="str">
        <f>IFERROR(TIMEVALUE(DaqBook_RAW_Data!Q419),IFERROR(TIMEVALUE(DaqBook_RAW_Data!#REF!),""))</f>
        <v/>
      </c>
      <c r="C531" s="145" t="str">
        <v/>
      </c>
      <c r="D531" s="145" t="str">
        <v/>
      </c>
      <c r="E531" s="145" t="str">
        <v/>
      </c>
      <c r="F531" s="145" t="str">
        <v/>
      </c>
      <c r="G531" s="145" t="str">
        <v/>
      </c>
      <c r="H531" s="145" t="str">
        <v/>
      </c>
      <c r="I531" s="145" t="str">
        <v/>
      </c>
      <c r="J531" s="145" t="str">
        <v/>
      </c>
      <c r="K531" s="145" t="str">
        <v/>
      </c>
      <c r="L531" s="145" t="str">
        <v/>
      </c>
      <c r="M531" s="145" t="str">
        <v/>
      </c>
      <c r="N531" s="145" t="str">
        <v/>
      </c>
      <c r="O531" s="145" t="str">
        <v/>
      </c>
      <c r="P531" s="145" t="str">
        <v/>
      </c>
    </row>
    <row r="532" spans="1:16" x14ac:dyDescent="0.2">
      <c r="A532" s="58" t="str">
        <v/>
      </c>
      <c r="B532" s="123" t="str">
        <f>IFERROR(TIMEVALUE(DaqBook_RAW_Data!Q420),IFERROR(TIMEVALUE(DaqBook_RAW_Data!#REF!),""))</f>
        <v/>
      </c>
      <c r="C532" s="145" t="str">
        <v/>
      </c>
      <c r="D532" s="145" t="str">
        <v/>
      </c>
      <c r="E532" s="145" t="str">
        <v/>
      </c>
      <c r="F532" s="145" t="str">
        <v/>
      </c>
      <c r="G532" s="145" t="str">
        <v/>
      </c>
      <c r="H532" s="145" t="str">
        <v/>
      </c>
      <c r="I532" s="145" t="str">
        <v/>
      </c>
      <c r="J532" s="145" t="str">
        <v/>
      </c>
      <c r="K532" s="145" t="str">
        <v/>
      </c>
      <c r="L532" s="145" t="str">
        <v/>
      </c>
      <c r="M532" s="145" t="str">
        <v/>
      </c>
      <c r="N532" s="145" t="str">
        <v/>
      </c>
      <c r="O532" s="145" t="str">
        <v/>
      </c>
      <c r="P532" s="145" t="str">
        <v/>
      </c>
    </row>
    <row r="533" spans="1:16" x14ac:dyDescent="0.2">
      <c r="A533" s="58" t="str">
        <v/>
      </c>
      <c r="B533" s="123" t="str">
        <f>IFERROR(TIMEVALUE(DaqBook_RAW_Data!Q421),IFERROR(TIMEVALUE(DaqBook_RAW_Data!#REF!),""))</f>
        <v/>
      </c>
      <c r="C533" s="145" t="str">
        <v/>
      </c>
      <c r="D533" s="145" t="str">
        <v/>
      </c>
      <c r="E533" s="145" t="str">
        <v/>
      </c>
      <c r="F533" s="145" t="str">
        <v/>
      </c>
      <c r="G533" s="145" t="str">
        <v/>
      </c>
      <c r="H533" s="145" t="str">
        <v/>
      </c>
      <c r="I533" s="145" t="str">
        <v/>
      </c>
      <c r="J533" s="145" t="str">
        <v/>
      </c>
      <c r="K533" s="145" t="str">
        <v/>
      </c>
      <c r="L533" s="145" t="str">
        <v/>
      </c>
      <c r="M533" s="145" t="str">
        <v/>
      </c>
      <c r="N533" s="145" t="str">
        <v/>
      </c>
      <c r="O533" s="145" t="str">
        <v/>
      </c>
      <c r="P533" s="145" t="str">
        <v/>
      </c>
    </row>
    <row r="534" spans="1:16" x14ac:dyDescent="0.2">
      <c r="A534" s="58" t="str">
        <v/>
      </c>
      <c r="B534" s="123" t="str">
        <f>IFERROR(TIMEVALUE(DaqBook_RAW_Data!Q422),IFERROR(TIMEVALUE(DaqBook_RAW_Data!#REF!),""))</f>
        <v/>
      </c>
      <c r="C534" s="145" t="str">
        <v/>
      </c>
      <c r="D534" s="145" t="str">
        <v/>
      </c>
      <c r="E534" s="145" t="str">
        <v/>
      </c>
      <c r="F534" s="145" t="str">
        <v/>
      </c>
      <c r="G534" s="145" t="str">
        <v/>
      </c>
      <c r="H534" s="145" t="str">
        <v/>
      </c>
      <c r="I534" s="145" t="str">
        <v/>
      </c>
      <c r="J534" s="145" t="str">
        <v/>
      </c>
      <c r="K534" s="145" t="str">
        <v/>
      </c>
      <c r="L534" s="145" t="str">
        <v/>
      </c>
      <c r="M534" s="145" t="str">
        <v/>
      </c>
      <c r="N534" s="145" t="str">
        <v/>
      </c>
      <c r="O534" s="145" t="str">
        <v/>
      </c>
      <c r="P534" s="145" t="str">
        <v/>
      </c>
    </row>
    <row r="535" spans="1:16" x14ac:dyDescent="0.2">
      <c r="A535" s="58" t="str">
        <v/>
      </c>
      <c r="B535" s="123" t="str">
        <f>IFERROR(TIMEVALUE(DaqBook_RAW_Data!Q423),IFERROR(TIMEVALUE(DaqBook_RAW_Data!#REF!),""))</f>
        <v/>
      </c>
      <c r="C535" s="145" t="str">
        <v/>
      </c>
      <c r="D535" s="145" t="str">
        <v/>
      </c>
      <c r="E535" s="145" t="str">
        <v/>
      </c>
      <c r="F535" s="145" t="str">
        <v/>
      </c>
      <c r="G535" s="145" t="str">
        <v/>
      </c>
      <c r="H535" s="145" t="str">
        <v/>
      </c>
      <c r="I535" s="145" t="str">
        <v/>
      </c>
      <c r="J535" s="145" t="str">
        <v/>
      </c>
      <c r="K535" s="145" t="str">
        <v/>
      </c>
      <c r="L535" s="145" t="str">
        <v/>
      </c>
      <c r="M535" s="145" t="str">
        <v/>
      </c>
      <c r="N535" s="145" t="str">
        <v/>
      </c>
      <c r="O535" s="145" t="str">
        <v/>
      </c>
      <c r="P535" s="145" t="str">
        <v/>
      </c>
    </row>
    <row r="536" spans="1:16" x14ac:dyDescent="0.2">
      <c r="A536" s="58" t="str">
        <v/>
      </c>
      <c r="B536" s="123" t="str">
        <f>IFERROR(TIMEVALUE(DaqBook_RAW_Data!Q424),IFERROR(TIMEVALUE(DaqBook_RAW_Data!#REF!),""))</f>
        <v/>
      </c>
      <c r="C536" s="145" t="str">
        <v/>
      </c>
      <c r="D536" s="145" t="str">
        <v/>
      </c>
      <c r="E536" s="145" t="str">
        <v/>
      </c>
      <c r="F536" s="145" t="str">
        <v/>
      </c>
      <c r="G536" s="145" t="str">
        <v/>
      </c>
      <c r="H536" s="145" t="str">
        <v/>
      </c>
      <c r="I536" s="145" t="str">
        <v/>
      </c>
      <c r="J536" s="145" t="str">
        <v/>
      </c>
      <c r="K536" s="145" t="str">
        <v/>
      </c>
      <c r="L536" s="145" t="str">
        <v/>
      </c>
      <c r="M536" s="145" t="str">
        <v/>
      </c>
      <c r="N536" s="145" t="str">
        <v/>
      </c>
      <c r="O536" s="145" t="str">
        <v/>
      </c>
      <c r="P536" s="145" t="str">
        <v/>
      </c>
    </row>
    <row r="537" spans="1:16" x14ac:dyDescent="0.2">
      <c r="A537" s="58" t="str">
        <v/>
      </c>
      <c r="B537" s="123" t="str">
        <f>IFERROR(TIMEVALUE(DaqBook_RAW_Data!Q425),IFERROR(TIMEVALUE(DaqBook_RAW_Data!#REF!),""))</f>
        <v/>
      </c>
      <c r="C537" s="145" t="str">
        <v/>
      </c>
      <c r="D537" s="145" t="str">
        <v/>
      </c>
      <c r="E537" s="145" t="str">
        <v/>
      </c>
      <c r="F537" s="145" t="str">
        <v/>
      </c>
      <c r="G537" s="145" t="str">
        <v/>
      </c>
      <c r="H537" s="145" t="str">
        <v/>
      </c>
      <c r="I537" s="145" t="str">
        <v/>
      </c>
      <c r="J537" s="145" t="str">
        <v/>
      </c>
      <c r="K537" s="145" t="str">
        <v/>
      </c>
      <c r="L537" s="145" t="str">
        <v/>
      </c>
      <c r="M537" s="145" t="str">
        <v/>
      </c>
      <c r="N537" s="145" t="str">
        <v/>
      </c>
      <c r="O537" s="145" t="str">
        <v/>
      </c>
      <c r="P537" s="145" t="str">
        <v/>
      </c>
    </row>
    <row r="538" spans="1:16" x14ac:dyDescent="0.2">
      <c r="A538" s="58" t="str">
        <v/>
      </c>
      <c r="B538" s="123" t="str">
        <f>IFERROR(TIMEVALUE(DaqBook_RAW_Data!Q426),IFERROR(TIMEVALUE(DaqBook_RAW_Data!#REF!),""))</f>
        <v/>
      </c>
      <c r="C538" s="145" t="str">
        <v/>
      </c>
      <c r="D538" s="145" t="str">
        <v/>
      </c>
      <c r="E538" s="145" t="str">
        <v/>
      </c>
      <c r="F538" s="145" t="str">
        <v/>
      </c>
      <c r="G538" s="145" t="str">
        <v/>
      </c>
      <c r="H538" s="145" t="str">
        <v/>
      </c>
      <c r="I538" s="145" t="str">
        <v/>
      </c>
      <c r="J538" s="145" t="str">
        <v/>
      </c>
      <c r="K538" s="145" t="str">
        <v/>
      </c>
      <c r="L538" s="145" t="str">
        <v/>
      </c>
      <c r="M538" s="145" t="str">
        <v/>
      </c>
      <c r="N538" s="145" t="str">
        <v/>
      </c>
      <c r="O538" s="145" t="str">
        <v/>
      </c>
      <c r="P538" s="145" t="str">
        <v/>
      </c>
    </row>
    <row r="539" spans="1:16" x14ac:dyDescent="0.2">
      <c r="A539" s="58" t="str">
        <v/>
      </c>
      <c r="B539" s="123" t="str">
        <f>IFERROR(TIMEVALUE(DaqBook_RAW_Data!Q427),IFERROR(TIMEVALUE(DaqBook_RAW_Data!#REF!),""))</f>
        <v/>
      </c>
      <c r="C539" s="145" t="str">
        <v/>
      </c>
      <c r="D539" s="145" t="str">
        <v/>
      </c>
      <c r="E539" s="145" t="str">
        <v/>
      </c>
      <c r="F539" s="145" t="str">
        <v/>
      </c>
      <c r="G539" s="145" t="str">
        <v/>
      </c>
      <c r="H539" s="145" t="str">
        <v/>
      </c>
      <c r="I539" s="145" t="str">
        <v/>
      </c>
      <c r="J539" s="145" t="str">
        <v/>
      </c>
      <c r="K539" s="145" t="str">
        <v/>
      </c>
      <c r="L539" s="145" t="str">
        <v/>
      </c>
      <c r="M539" s="145" t="str">
        <v/>
      </c>
      <c r="N539" s="145" t="str">
        <v/>
      </c>
      <c r="O539" s="145" t="str">
        <v/>
      </c>
      <c r="P539" s="145" t="str">
        <v/>
      </c>
    </row>
    <row r="540" spans="1:16" x14ac:dyDescent="0.2">
      <c r="A540" s="58" t="str">
        <v/>
      </c>
      <c r="B540" s="123" t="str">
        <f>IFERROR(TIMEVALUE(DaqBook_RAW_Data!Q428),IFERROR(TIMEVALUE(DaqBook_RAW_Data!#REF!),""))</f>
        <v/>
      </c>
      <c r="C540" s="145" t="str">
        <v/>
      </c>
      <c r="D540" s="145" t="str">
        <v/>
      </c>
      <c r="E540" s="145" t="str">
        <v/>
      </c>
      <c r="F540" s="145" t="str">
        <v/>
      </c>
      <c r="G540" s="145" t="str">
        <v/>
      </c>
      <c r="H540" s="145" t="str">
        <v/>
      </c>
      <c r="I540" s="145" t="str">
        <v/>
      </c>
      <c r="J540" s="145" t="str">
        <v/>
      </c>
      <c r="K540" s="145" t="str">
        <v/>
      </c>
      <c r="L540" s="145" t="str">
        <v/>
      </c>
      <c r="M540" s="145" t="str">
        <v/>
      </c>
      <c r="N540" s="145" t="str">
        <v/>
      </c>
      <c r="O540" s="145" t="str">
        <v/>
      </c>
      <c r="P540" s="145" t="str">
        <v/>
      </c>
    </row>
    <row r="541" spans="1:16" x14ac:dyDescent="0.2">
      <c r="A541" s="58" t="str">
        <v/>
      </c>
      <c r="B541" s="123" t="str">
        <f>IFERROR(TIMEVALUE(DaqBook_RAW_Data!Q429),IFERROR(TIMEVALUE(DaqBook_RAW_Data!#REF!),""))</f>
        <v/>
      </c>
      <c r="C541" s="145" t="str">
        <v/>
      </c>
      <c r="D541" s="145" t="str">
        <v/>
      </c>
      <c r="E541" s="145" t="str">
        <v/>
      </c>
      <c r="F541" s="145" t="str">
        <v/>
      </c>
      <c r="G541" s="145" t="str">
        <v/>
      </c>
      <c r="H541" s="145" t="str">
        <v/>
      </c>
      <c r="I541" s="145" t="str">
        <v/>
      </c>
      <c r="J541" s="145" t="str">
        <v/>
      </c>
      <c r="K541" s="145" t="str">
        <v/>
      </c>
      <c r="L541" s="145" t="str">
        <v/>
      </c>
      <c r="M541" s="145" t="str">
        <v/>
      </c>
      <c r="N541" s="145" t="str">
        <v/>
      </c>
      <c r="O541" s="145" t="str">
        <v/>
      </c>
      <c r="P541" s="145" t="str">
        <v/>
      </c>
    </row>
    <row r="542" spans="1:16" x14ac:dyDescent="0.2">
      <c r="A542" s="58" t="str">
        <v/>
      </c>
      <c r="B542" s="123" t="str">
        <f>IFERROR(TIMEVALUE(DaqBook_RAW_Data!Q430),IFERROR(TIMEVALUE(DaqBook_RAW_Data!#REF!),""))</f>
        <v/>
      </c>
      <c r="C542" s="145" t="str">
        <v/>
      </c>
      <c r="D542" s="145" t="str">
        <v/>
      </c>
      <c r="E542" s="145" t="str">
        <v/>
      </c>
      <c r="F542" s="145" t="str">
        <v/>
      </c>
      <c r="G542" s="145" t="str">
        <v/>
      </c>
      <c r="H542" s="145" t="str">
        <v/>
      </c>
      <c r="I542" s="145" t="str">
        <v/>
      </c>
      <c r="J542" s="145" t="str">
        <v/>
      </c>
      <c r="K542" s="145" t="str">
        <v/>
      </c>
      <c r="L542" s="145" t="str">
        <v/>
      </c>
      <c r="M542" s="145" t="str">
        <v/>
      </c>
      <c r="N542" s="145" t="str">
        <v/>
      </c>
      <c r="O542" s="145" t="str">
        <v/>
      </c>
      <c r="P542" s="145" t="str">
        <v/>
      </c>
    </row>
    <row r="543" spans="1:16" x14ac:dyDescent="0.2">
      <c r="A543" s="58" t="str">
        <v/>
      </c>
      <c r="B543" s="123" t="str">
        <f>IFERROR(TIMEVALUE(DaqBook_RAW_Data!Q431),IFERROR(TIMEVALUE(DaqBook_RAW_Data!#REF!),""))</f>
        <v/>
      </c>
      <c r="C543" s="145" t="str">
        <v/>
      </c>
      <c r="D543" s="145" t="str">
        <v/>
      </c>
      <c r="E543" s="145" t="str">
        <v/>
      </c>
      <c r="F543" s="145" t="str">
        <v/>
      </c>
      <c r="G543" s="145" t="str">
        <v/>
      </c>
      <c r="H543" s="145" t="str">
        <v/>
      </c>
      <c r="I543" s="145" t="str">
        <v/>
      </c>
      <c r="J543" s="145" t="str">
        <v/>
      </c>
      <c r="K543" s="145" t="str">
        <v/>
      </c>
      <c r="L543" s="145" t="str">
        <v/>
      </c>
      <c r="M543" s="145" t="str">
        <v/>
      </c>
      <c r="N543" s="145" t="str">
        <v/>
      </c>
      <c r="O543" s="145" t="str">
        <v/>
      </c>
      <c r="P543" s="145" t="str">
        <v/>
      </c>
    </row>
    <row r="544" spans="1:16" x14ac:dyDescent="0.2">
      <c r="A544" s="58" t="str">
        <v/>
      </c>
      <c r="B544" s="123" t="str">
        <f>IFERROR(TIMEVALUE(DaqBook_RAW_Data!Q432),IFERROR(TIMEVALUE(DaqBook_RAW_Data!#REF!),""))</f>
        <v/>
      </c>
      <c r="C544" s="145" t="str">
        <v/>
      </c>
      <c r="D544" s="145" t="str">
        <v/>
      </c>
      <c r="E544" s="145" t="str">
        <v/>
      </c>
      <c r="F544" s="145" t="str">
        <v/>
      </c>
      <c r="G544" s="145" t="str">
        <v/>
      </c>
      <c r="H544" s="145" t="str">
        <v/>
      </c>
      <c r="I544" s="145" t="str">
        <v/>
      </c>
      <c r="J544" s="145" t="str">
        <v/>
      </c>
      <c r="K544" s="145" t="str">
        <v/>
      </c>
      <c r="L544" s="145" t="str">
        <v/>
      </c>
      <c r="M544" s="145" t="str">
        <v/>
      </c>
      <c r="N544" s="145" t="str">
        <v/>
      </c>
      <c r="O544" s="145" t="str">
        <v/>
      </c>
      <c r="P544" s="145" t="str">
        <v/>
      </c>
    </row>
    <row r="545" spans="1:16" x14ac:dyDescent="0.2">
      <c r="A545" s="58" t="str">
        <v/>
      </c>
      <c r="B545" s="123" t="str">
        <f>IFERROR(TIMEVALUE(DaqBook_RAW_Data!Q433),IFERROR(TIMEVALUE(DaqBook_RAW_Data!#REF!),""))</f>
        <v/>
      </c>
      <c r="C545" s="145" t="str">
        <v/>
      </c>
      <c r="D545" s="145" t="str">
        <v/>
      </c>
      <c r="E545" s="145" t="str">
        <v/>
      </c>
      <c r="F545" s="145" t="str">
        <v/>
      </c>
      <c r="G545" s="145" t="str">
        <v/>
      </c>
      <c r="H545" s="145" t="str">
        <v/>
      </c>
      <c r="I545" s="145" t="str">
        <v/>
      </c>
      <c r="J545" s="145" t="str">
        <v/>
      </c>
      <c r="K545" s="145" t="str">
        <v/>
      </c>
      <c r="L545" s="145" t="str">
        <v/>
      </c>
      <c r="M545" s="145" t="str">
        <v/>
      </c>
      <c r="N545" s="145" t="str">
        <v/>
      </c>
      <c r="O545" s="145" t="str">
        <v/>
      </c>
      <c r="P545" s="145" t="str">
        <v/>
      </c>
    </row>
    <row r="546" spans="1:16" x14ac:dyDescent="0.2">
      <c r="A546" s="58" t="str">
        <v/>
      </c>
      <c r="B546" s="123" t="str">
        <f>IFERROR(TIMEVALUE(DaqBook_RAW_Data!Q434),IFERROR(TIMEVALUE(DaqBook_RAW_Data!#REF!),""))</f>
        <v/>
      </c>
      <c r="C546" s="145" t="str">
        <v/>
      </c>
      <c r="D546" s="145" t="str">
        <v/>
      </c>
      <c r="E546" s="145" t="str">
        <v/>
      </c>
      <c r="F546" s="145" t="str">
        <v/>
      </c>
      <c r="G546" s="145" t="str">
        <v/>
      </c>
      <c r="H546" s="145" t="str">
        <v/>
      </c>
      <c r="I546" s="145" t="str">
        <v/>
      </c>
      <c r="J546" s="145" t="str">
        <v/>
      </c>
      <c r="K546" s="145" t="str">
        <v/>
      </c>
      <c r="L546" s="145" t="str">
        <v/>
      </c>
      <c r="M546" s="145" t="str">
        <v/>
      </c>
      <c r="N546" s="145" t="str">
        <v/>
      </c>
      <c r="O546" s="145" t="str">
        <v/>
      </c>
      <c r="P546" s="145" t="str">
        <v/>
      </c>
    </row>
    <row r="547" spans="1:16" x14ac:dyDescent="0.2">
      <c r="A547" s="58" t="str">
        <v/>
      </c>
      <c r="B547" s="123" t="str">
        <f>IFERROR(TIMEVALUE(DaqBook_RAW_Data!Q435),IFERROR(TIMEVALUE(DaqBook_RAW_Data!#REF!),""))</f>
        <v/>
      </c>
      <c r="C547" s="145" t="str">
        <v/>
      </c>
      <c r="D547" s="145" t="str">
        <v/>
      </c>
      <c r="E547" s="145" t="str">
        <v/>
      </c>
      <c r="F547" s="145" t="str">
        <v/>
      </c>
      <c r="G547" s="145" t="str">
        <v/>
      </c>
      <c r="H547" s="145" t="str">
        <v/>
      </c>
      <c r="I547" s="145" t="str">
        <v/>
      </c>
      <c r="J547" s="145" t="str">
        <v/>
      </c>
      <c r="K547" s="145" t="str">
        <v/>
      </c>
      <c r="L547" s="145" t="str">
        <v/>
      </c>
      <c r="M547" s="145" t="str">
        <v/>
      </c>
      <c r="N547" s="145" t="str">
        <v/>
      </c>
      <c r="O547" s="145" t="str">
        <v/>
      </c>
      <c r="P547" s="145" t="str">
        <v/>
      </c>
    </row>
    <row r="548" spans="1:16" x14ac:dyDescent="0.2">
      <c r="A548" s="58" t="str">
        <v/>
      </c>
      <c r="B548" s="123" t="str">
        <f>IFERROR(TIMEVALUE(DaqBook_RAW_Data!Q436),IFERROR(TIMEVALUE(DaqBook_RAW_Data!#REF!),""))</f>
        <v/>
      </c>
      <c r="C548" s="145" t="str">
        <v/>
      </c>
      <c r="D548" s="145" t="str">
        <v/>
      </c>
      <c r="E548" s="145" t="str">
        <v/>
      </c>
      <c r="F548" s="145" t="str">
        <v/>
      </c>
      <c r="G548" s="145" t="str">
        <v/>
      </c>
      <c r="H548" s="145" t="str">
        <v/>
      </c>
      <c r="I548" s="145" t="str">
        <v/>
      </c>
      <c r="J548" s="145" t="str">
        <v/>
      </c>
      <c r="K548" s="145" t="str">
        <v/>
      </c>
      <c r="L548" s="145" t="str">
        <v/>
      </c>
      <c r="M548" s="145" t="str">
        <v/>
      </c>
      <c r="N548" s="145" t="str">
        <v/>
      </c>
      <c r="O548" s="145" t="str">
        <v/>
      </c>
      <c r="P548" s="145" t="str">
        <v/>
      </c>
    </row>
    <row r="549" spans="1:16" x14ac:dyDescent="0.2">
      <c r="A549" s="58" t="str">
        <v/>
      </c>
      <c r="B549" s="123" t="str">
        <f>IFERROR(TIMEVALUE(DaqBook_RAW_Data!Q437),IFERROR(TIMEVALUE(DaqBook_RAW_Data!#REF!),""))</f>
        <v/>
      </c>
      <c r="C549" s="145" t="str">
        <v/>
      </c>
      <c r="D549" s="145" t="str">
        <v/>
      </c>
      <c r="E549" s="145" t="str">
        <v/>
      </c>
      <c r="F549" s="145" t="str">
        <v/>
      </c>
      <c r="G549" s="145" t="str">
        <v/>
      </c>
      <c r="H549" s="145" t="str">
        <v/>
      </c>
      <c r="I549" s="145" t="str">
        <v/>
      </c>
      <c r="J549" s="145" t="str">
        <v/>
      </c>
      <c r="K549" s="145" t="str">
        <v/>
      </c>
      <c r="L549" s="145" t="str">
        <v/>
      </c>
      <c r="M549" s="145" t="str">
        <v/>
      </c>
      <c r="N549" s="145" t="str">
        <v/>
      </c>
      <c r="O549" s="145" t="str">
        <v/>
      </c>
      <c r="P549" s="145" t="str">
        <v/>
      </c>
    </row>
    <row r="550" spans="1:16" x14ac:dyDescent="0.2">
      <c r="A550" s="58" t="str">
        <v/>
      </c>
      <c r="B550" s="123" t="str">
        <f>IFERROR(TIMEVALUE(DaqBook_RAW_Data!Q438),IFERROR(TIMEVALUE(DaqBook_RAW_Data!#REF!),""))</f>
        <v/>
      </c>
      <c r="C550" s="145" t="str">
        <v/>
      </c>
      <c r="D550" s="145" t="str">
        <v/>
      </c>
      <c r="E550" s="145" t="str">
        <v/>
      </c>
      <c r="F550" s="145" t="str">
        <v/>
      </c>
      <c r="G550" s="145" t="str">
        <v/>
      </c>
      <c r="H550" s="145" t="str">
        <v/>
      </c>
      <c r="I550" s="145" t="str">
        <v/>
      </c>
      <c r="J550" s="145" t="str">
        <v/>
      </c>
      <c r="K550" s="145" t="str">
        <v/>
      </c>
      <c r="L550" s="145" t="str">
        <v/>
      </c>
      <c r="M550" s="145" t="str">
        <v/>
      </c>
      <c r="N550" s="145" t="str">
        <v/>
      </c>
      <c r="O550" s="145" t="str">
        <v/>
      </c>
      <c r="P550" s="145" t="str">
        <v/>
      </c>
    </row>
    <row r="551" spans="1:16" x14ac:dyDescent="0.2">
      <c r="A551" s="58" t="str">
        <v/>
      </c>
      <c r="B551" s="123" t="str">
        <f>IFERROR(TIMEVALUE(DaqBook_RAW_Data!Q439),IFERROR(TIMEVALUE(DaqBook_RAW_Data!#REF!),""))</f>
        <v/>
      </c>
      <c r="C551" s="145" t="str">
        <v/>
      </c>
      <c r="D551" s="145" t="str">
        <v/>
      </c>
      <c r="E551" s="145" t="str">
        <v/>
      </c>
      <c r="F551" s="145" t="str">
        <v/>
      </c>
      <c r="G551" s="145" t="str">
        <v/>
      </c>
      <c r="H551" s="145" t="str">
        <v/>
      </c>
      <c r="I551" s="145" t="str">
        <v/>
      </c>
      <c r="J551" s="145" t="str">
        <v/>
      </c>
      <c r="K551" s="145" t="str">
        <v/>
      </c>
      <c r="L551" s="145" t="str">
        <v/>
      </c>
      <c r="M551" s="145" t="str">
        <v/>
      </c>
      <c r="N551" s="145" t="str">
        <v/>
      </c>
      <c r="O551" s="145" t="str">
        <v/>
      </c>
      <c r="P551" s="145" t="str">
        <v/>
      </c>
    </row>
    <row r="552" spans="1:16" x14ac:dyDescent="0.2">
      <c r="A552" s="58" t="str">
        <v/>
      </c>
      <c r="B552" s="123" t="str">
        <f>IFERROR(TIMEVALUE(DaqBook_RAW_Data!Q440),IFERROR(TIMEVALUE(DaqBook_RAW_Data!#REF!),""))</f>
        <v/>
      </c>
      <c r="C552" s="145" t="str">
        <v/>
      </c>
      <c r="D552" s="145" t="str">
        <v/>
      </c>
      <c r="E552" s="145" t="str">
        <v/>
      </c>
      <c r="F552" s="145" t="str">
        <v/>
      </c>
      <c r="G552" s="145" t="str">
        <v/>
      </c>
      <c r="H552" s="145" t="str">
        <v/>
      </c>
      <c r="I552" s="145" t="str">
        <v/>
      </c>
      <c r="J552" s="145" t="str">
        <v/>
      </c>
      <c r="K552" s="145" t="str">
        <v/>
      </c>
      <c r="L552" s="145" t="str">
        <v/>
      </c>
      <c r="M552" s="145" t="str">
        <v/>
      </c>
      <c r="N552" s="145" t="str">
        <v/>
      </c>
      <c r="O552" s="145" t="str">
        <v/>
      </c>
      <c r="P552" s="145" t="str">
        <v/>
      </c>
    </row>
    <row r="553" spans="1:16" x14ac:dyDescent="0.2">
      <c r="A553" s="58" t="str">
        <v/>
      </c>
      <c r="B553" s="123" t="str">
        <f>IFERROR(TIMEVALUE(DaqBook_RAW_Data!Q441),IFERROR(TIMEVALUE(DaqBook_RAW_Data!#REF!),""))</f>
        <v/>
      </c>
      <c r="C553" s="145" t="str">
        <v/>
      </c>
      <c r="D553" s="145" t="str">
        <v/>
      </c>
      <c r="E553" s="145" t="str">
        <v/>
      </c>
      <c r="F553" s="145" t="str">
        <v/>
      </c>
      <c r="G553" s="145" t="str">
        <v/>
      </c>
      <c r="H553" s="145" t="str">
        <v/>
      </c>
      <c r="I553" s="145" t="str">
        <v/>
      </c>
      <c r="J553" s="145" t="str">
        <v/>
      </c>
      <c r="K553" s="145" t="str">
        <v/>
      </c>
      <c r="L553" s="145" t="str">
        <v/>
      </c>
      <c r="M553" s="145" t="str">
        <v/>
      </c>
      <c r="N553" s="145" t="str">
        <v/>
      </c>
      <c r="O553" s="145" t="str">
        <v/>
      </c>
      <c r="P553" s="145" t="str">
        <v/>
      </c>
    </row>
    <row r="554" spans="1:16" x14ac:dyDescent="0.2">
      <c r="A554" s="58" t="str">
        <v/>
      </c>
      <c r="B554" s="123" t="str">
        <f>IFERROR(TIMEVALUE(DaqBook_RAW_Data!Q442),IFERROR(TIMEVALUE(DaqBook_RAW_Data!#REF!),""))</f>
        <v/>
      </c>
      <c r="C554" s="145" t="str">
        <v/>
      </c>
      <c r="D554" s="145" t="str">
        <v/>
      </c>
      <c r="E554" s="145" t="str">
        <v/>
      </c>
      <c r="F554" s="145" t="str">
        <v/>
      </c>
      <c r="G554" s="145" t="str">
        <v/>
      </c>
      <c r="H554" s="145" t="str">
        <v/>
      </c>
      <c r="I554" s="145" t="str">
        <v/>
      </c>
      <c r="J554" s="145" t="str">
        <v/>
      </c>
      <c r="K554" s="145" t="str">
        <v/>
      </c>
      <c r="L554" s="145" t="str">
        <v/>
      </c>
      <c r="M554" s="145" t="str">
        <v/>
      </c>
      <c r="N554" s="145" t="str">
        <v/>
      </c>
      <c r="O554" s="145" t="str">
        <v/>
      </c>
      <c r="P554" s="145" t="str">
        <v/>
      </c>
    </row>
    <row r="555" spans="1:16" x14ac:dyDescent="0.2">
      <c r="A555" s="58" t="str">
        <v/>
      </c>
      <c r="B555" s="123" t="str">
        <f>IFERROR(TIMEVALUE(DaqBook_RAW_Data!Q443),IFERROR(TIMEVALUE(DaqBook_RAW_Data!#REF!),""))</f>
        <v/>
      </c>
      <c r="C555" s="145" t="str">
        <v/>
      </c>
      <c r="D555" s="145" t="str">
        <v/>
      </c>
      <c r="E555" s="145" t="str">
        <v/>
      </c>
      <c r="F555" s="145" t="str">
        <v/>
      </c>
      <c r="G555" s="145" t="str">
        <v/>
      </c>
      <c r="H555" s="145" t="str">
        <v/>
      </c>
      <c r="I555" s="145" t="str">
        <v/>
      </c>
      <c r="J555" s="145" t="str">
        <v/>
      </c>
      <c r="K555" s="145" t="str">
        <v/>
      </c>
      <c r="L555" s="145" t="str">
        <v/>
      </c>
      <c r="M555" s="145" t="str">
        <v/>
      </c>
      <c r="N555" s="145" t="str">
        <v/>
      </c>
      <c r="O555" s="145" t="str">
        <v/>
      </c>
      <c r="P555" s="145" t="str">
        <v/>
      </c>
    </row>
    <row r="556" spans="1:16" x14ac:dyDescent="0.2">
      <c r="A556" s="58" t="str">
        <v/>
      </c>
      <c r="B556" s="123" t="str">
        <f>IFERROR(TIMEVALUE(DaqBook_RAW_Data!Q444),IFERROR(TIMEVALUE(DaqBook_RAW_Data!#REF!),""))</f>
        <v/>
      </c>
      <c r="C556" s="145" t="str">
        <v/>
      </c>
      <c r="D556" s="145" t="str">
        <v/>
      </c>
      <c r="E556" s="145" t="str">
        <v/>
      </c>
      <c r="F556" s="145" t="str">
        <v/>
      </c>
      <c r="G556" s="145" t="str">
        <v/>
      </c>
      <c r="H556" s="145" t="str">
        <v/>
      </c>
      <c r="I556" s="145" t="str">
        <v/>
      </c>
      <c r="J556" s="145" t="str">
        <v/>
      </c>
      <c r="K556" s="145" t="str">
        <v/>
      </c>
      <c r="L556" s="145" t="str">
        <v/>
      </c>
      <c r="M556" s="145" t="str">
        <v/>
      </c>
      <c r="N556" s="145" t="str">
        <v/>
      </c>
      <c r="O556" s="145" t="str">
        <v/>
      </c>
      <c r="P556" s="145" t="str">
        <v/>
      </c>
    </row>
    <row r="557" spans="1:16" x14ac:dyDescent="0.2">
      <c r="A557" s="58" t="str">
        <v/>
      </c>
      <c r="B557" s="123" t="str">
        <f>IFERROR(TIMEVALUE(DaqBook_RAW_Data!Q445),IFERROR(TIMEVALUE(DaqBook_RAW_Data!#REF!),""))</f>
        <v/>
      </c>
      <c r="C557" s="145" t="str">
        <v/>
      </c>
      <c r="D557" s="145" t="str">
        <v/>
      </c>
      <c r="E557" s="145" t="str">
        <v/>
      </c>
      <c r="F557" s="145" t="str">
        <v/>
      </c>
      <c r="G557" s="145" t="str">
        <v/>
      </c>
      <c r="H557" s="145" t="str">
        <v/>
      </c>
      <c r="I557" s="145" t="str">
        <v/>
      </c>
      <c r="J557" s="145" t="str">
        <v/>
      </c>
      <c r="K557" s="145" t="str">
        <v/>
      </c>
      <c r="L557" s="145" t="str">
        <v/>
      </c>
      <c r="M557" s="145" t="str">
        <v/>
      </c>
      <c r="N557" s="145" t="str">
        <v/>
      </c>
      <c r="O557" s="145" t="str">
        <v/>
      </c>
      <c r="P557" s="145" t="str">
        <v/>
      </c>
    </row>
    <row r="558" spans="1:16" x14ac:dyDescent="0.2">
      <c r="A558" s="58" t="str">
        <v/>
      </c>
      <c r="B558" s="123" t="str">
        <f>IFERROR(TIMEVALUE(DaqBook_RAW_Data!Q446),IFERROR(TIMEVALUE(DaqBook_RAW_Data!#REF!),""))</f>
        <v/>
      </c>
      <c r="C558" s="145" t="str">
        <v/>
      </c>
      <c r="D558" s="145" t="str">
        <v/>
      </c>
      <c r="E558" s="145" t="str">
        <v/>
      </c>
      <c r="F558" s="145" t="str">
        <v/>
      </c>
      <c r="G558" s="145" t="str">
        <v/>
      </c>
      <c r="H558" s="145" t="str">
        <v/>
      </c>
      <c r="I558" s="145" t="str">
        <v/>
      </c>
      <c r="J558" s="145" t="str">
        <v/>
      </c>
      <c r="K558" s="145" t="str">
        <v/>
      </c>
      <c r="L558" s="145" t="str">
        <v/>
      </c>
      <c r="M558" s="145" t="str">
        <v/>
      </c>
      <c r="N558" s="145" t="str">
        <v/>
      </c>
      <c r="O558" s="145" t="str">
        <v/>
      </c>
      <c r="P558" s="145" t="str">
        <v/>
      </c>
    </row>
    <row r="559" spans="1:16" x14ac:dyDescent="0.2">
      <c r="A559" s="58" t="str">
        <v/>
      </c>
      <c r="B559" s="123" t="str">
        <f>IFERROR(TIMEVALUE(DaqBook_RAW_Data!Q447),IFERROR(TIMEVALUE(DaqBook_RAW_Data!#REF!),""))</f>
        <v/>
      </c>
      <c r="C559" s="145" t="str">
        <v/>
      </c>
      <c r="D559" s="145" t="str">
        <v/>
      </c>
      <c r="E559" s="145" t="str">
        <v/>
      </c>
      <c r="F559" s="145" t="str">
        <v/>
      </c>
      <c r="G559" s="145" t="str">
        <v/>
      </c>
      <c r="H559" s="145" t="str">
        <v/>
      </c>
      <c r="I559" s="145" t="str">
        <v/>
      </c>
      <c r="J559" s="145" t="str">
        <v/>
      </c>
      <c r="K559" s="145" t="str">
        <v/>
      </c>
      <c r="L559" s="145" t="str">
        <v/>
      </c>
      <c r="M559" s="145" t="str">
        <v/>
      </c>
      <c r="N559" s="145" t="str">
        <v/>
      </c>
      <c r="O559" s="145" t="str">
        <v/>
      </c>
      <c r="P559" s="145" t="str">
        <v/>
      </c>
    </row>
    <row r="560" spans="1:16" x14ac:dyDescent="0.2">
      <c r="A560" s="58" t="str">
        <v/>
      </c>
      <c r="B560" s="123" t="str">
        <f>IFERROR(TIMEVALUE(DaqBook_RAW_Data!Q448),IFERROR(TIMEVALUE(DaqBook_RAW_Data!#REF!),""))</f>
        <v/>
      </c>
      <c r="C560" s="145" t="str">
        <v/>
      </c>
      <c r="D560" s="145" t="str">
        <v/>
      </c>
      <c r="E560" s="145" t="str">
        <v/>
      </c>
      <c r="F560" s="145" t="str">
        <v/>
      </c>
      <c r="G560" s="145" t="str">
        <v/>
      </c>
      <c r="H560" s="145" t="str">
        <v/>
      </c>
      <c r="I560" s="145" t="str">
        <v/>
      </c>
      <c r="J560" s="145" t="str">
        <v/>
      </c>
      <c r="K560" s="145" t="str">
        <v/>
      </c>
      <c r="L560" s="145" t="str">
        <v/>
      </c>
      <c r="M560" s="145" t="str">
        <v/>
      </c>
      <c r="N560" s="145" t="str">
        <v/>
      </c>
      <c r="O560" s="145" t="str">
        <v/>
      </c>
      <c r="P560" s="145" t="str">
        <v/>
      </c>
    </row>
    <row r="561" spans="1:16" x14ac:dyDescent="0.2">
      <c r="A561" s="58" t="str">
        <v/>
      </c>
      <c r="B561" s="123" t="str">
        <f>IFERROR(TIMEVALUE(DaqBook_RAW_Data!Q449),IFERROR(TIMEVALUE(DaqBook_RAW_Data!#REF!),""))</f>
        <v/>
      </c>
      <c r="C561" s="145" t="str">
        <v/>
      </c>
      <c r="D561" s="145" t="str">
        <v/>
      </c>
      <c r="E561" s="145" t="str">
        <v/>
      </c>
      <c r="F561" s="145" t="str">
        <v/>
      </c>
      <c r="G561" s="145" t="str">
        <v/>
      </c>
      <c r="H561" s="145" t="str">
        <v/>
      </c>
      <c r="I561" s="145" t="str">
        <v/>
      </c>
      <c r="J561" s="145" t="str">
        <v/>
      </c>
      <c r="K561" s="145" t="str">
        <v/>
      </c>
      <c r="L561" s="145" t="str">
        <v/>
      </c>
      <c r="M561" s="145" t="str">
        <v/>
      </c>
      <c r="N561" s="145" t="str">
        <v/>
      </c>
      <c r="O561" s="145" t="str">
        <v/>
      </c>
      <c r="P561" s="145" t="str">
        <v/>
      </c>
    </row>
    <row r="562" spans="1:16" x14ac:dyDescent="0.2">
      <c r="A562" s="58" t="str">
        <v/>
      </c>
      <c r="B562" s="123" t="str">
        <f>IFERROR(TIMEVALUE(DaqBook_RAW_Data!Q450),IFERROR(TIMEVALUE(DaqBook_RAW_Data!#REF!),""))</f>
        <v/>
      </c>
      <c r="C562" s="145" t="str">
        <v/>
      </c>
      <c r="D562" s="145" t="str">
        <v/>
      </c>
      <c r="E562" s="145" t="str">
        <v/>
      </c>
      <c r="F562" s="145" t="str">
        <v/>
      </c>
      <c r="G562" s="145" t="str">
        <v/>
      </c>
      <c r="H562" s="145" t="str">
        <v/>
      </c>
      <c r="I562" s="145" t="str">
        <v/>
      </c>
      <c r="J562" s="145" t="str">
        <v/>
      </c>
      <c r="K562" s="145" t="str">
        <v/>
      </c>
      <c r="L562" s="145" t="str">
        <v/>
      </c>
      <c r="M562" s="145" t="str">
        <v/>
      </c>
      <c r="N562" s="145" t="str">
        <v/>
      </c>
      <c r="O562" s="145" t="str">
        <v/>
      </c>
      <c r="P562" s="145" t="str">
        <v/>
      </c>
    </row>
    <row r="563" spans="1:16" x14ac:dyDescent="0.2">
      <c r="A563" s="58" t="str">
        <v/>
      </c>
      <c r="B563" s="123" t="str">
        <f>IFERROR(TIMEVALUE(DaqBook_RAW_Data!Q451),IFERROR(TIMEVALUE(DaqBook_RAW_Data!#REF!),""))</f>
        <v/>
      </c>
      <c r="C563" s="145" t="str">
        <v/>
      </c>
      <c r="D563" s="145" t="str">
        <v/>
      </c>
      <c r="E563" s="145" t="str">
        <v/>
      </c>
      <c r="F563" s="145" t="str">
        <v/>
      </c>
      <c r="G563" s="145" t="str">
        <v/>
      </c>
      <c r="H563" s="145" t="str">
        <v/>
      </c>
      <c r="I563" s="145" t="str">
        <v/>
      </c>
      <c r="J563" s="145" t="str">
        <v/>
      </c>
      <c r="K563" s="145" t="str">
        <v/>
      </c>
      <c r="L563" s="145" t="str">
        <v/>
      </c>
      <c r="M563" s="145" t="str">
        <v/>
      </c>
      <c r="N563" s="145" t="str">
        <v/>
      </c>
      <c r="O563" s="145" t="str">
        <v/>
      </c>
      <c r="P563" s="145" t="str">
        <v/>
      </c>
    </row>
    <row r="564" spans="1:16" x14ac:dyDescent="0.2">
      <c r="A564" s="58" t="str">
        <v/>
      </c>
      <c r="B564" s="123" t="str">
        <f>IFERROR(TIMEVALUE(DaqBook_RAW_Data!Q452),IFERROR(TIMEVALUE(DaqBook_RAW_Data!#REF!),""))</f>
        <v/>
      </c>
      <c r="C564" s="145" t="str">
        <v/>
      </c>
      <c r="D564" s="145" t="str">
        <v/>
      </c>
      <c r="E564" s="145" t="str">
        <v/>
      </c>
      <c r="F564" s="145" t="str">
        <v/>
      </c>
      <c r="G564" s="145" t="str">
        <v/>
      </c>
      <c r="H564" s="145" t="str">
        <v/>
      </c>
      <c r="I564" s="145" t="str">
        <v/>
      </c>
      <c r="J564" s="145" t="str">
        <v/>
      </c>
      <c r="K564" s="145" t="str">
        <v/>
      </c>
      <c r="L564" s="145" t="str">
        <v/>
      </c>
      <c r="M564" s="145" t="str">
        <v/>
      </c>
      <c r="N564" s="145" t="str">
        <v/>
      </c>
      <c r="O564" s="145" t="str">
        <v/>
      </c>
      <c r="P564" s="145" t="str">
        <v/>
      </c>
    </row>
    <row r="565" spans="1:16" x14ac:dyDescent="0.2">
      <c r="A565" s="58" t="str">
        <v/>
      </c>
      <c r="B565" s="123" t="str">
        <f>IFERROR(TIMEVALUE(DaqBook_RAW_Data!Q453),IFERROR(TIMEVALUE(DaqBook_RAW_Data!#REF!),""))</f>
        <v/>
      </c>
      <c r="C565" s="145" t="str">
        <v/>
      </c>
      <c r="D565" s="145" t="str">
        <v/>
      </c>
      <c r="E565" s="145" t="str">
        <v/>
      </c>
      <c r="F565" s="145" t="str">
        <v/>
      </c>
      <c r="G565" s="145" t="str">
        <v/>
      </c>
      <c r="H565" s="145" t="str">
        <v/>
      </c>
      <c r="I565" s="145" t="str">
        <v/>
      </c>
      <c r="J565" s="145" t="str">
        <v/>
      </c>
      <c r="K565" s="145" t="str">
        <v/>
      </c>
      <c r="L565" s="145" t="str">
        <v/>
      </c>
      <c r="M565" s="145" t="str">
        <v/>
      </c>
      <c r="N565" s="145" t="str">
        <v/>
      </c>
      <c r="O565" s="145" t="str">
        <v/>
      </c>
      <c r="P565" s="145" t="str">
        <v/>
      </c>
    </row>
    <row r="566" spans="1:16" x14ac:dyDescent="0.2">
      <c r="A566" s="58" t="str">
        <v/>
      </c>
      <c r="B566" s="123" t="str">
        <f>IFERROR(TIMEVALUE(DaqBook_RAW_Data!Q454),IFERROR(TIMEVALUE(DaqBook_RAW_Data!#REF!),""))</f>
        <v/>
      </c>
      <c r="C566" s="145" t="str">
        <v/>
      </c>
      <c r="D566" s="145" t="str">
        <v/>
      </c>
      <c r="E566" s="145" t="str">
        <v/>
      </c>
      <c r="F566" s="145" t="str">
        <v/>
      </c>
      <c r="G566" s="145" t="str">
        <v/>
      </c>
      <c r="H566" s="145" t="str">
        <v/>
      </c>
      <c r="I566" s="145" t="str">
        <v/>
      </c>
      <c r="J566" s="145" t="str">
        <v/>
      </c>
      <c r="K566" s="145" t="str">
        <v/>
      </c>
      <c r="L566" s="145" t="str">
        <v/>
      </c>
      <c r="M566" s="145" t="str">
        <v/>
      </c>
      <c r="N566" s="145" t="str">
        <v/>
      </c>
      <c r="O566" s="145" t="str">
        <v/>
      </c>
      <c r="P566" s="145" t="str">
        <v/>
      </c>
    </row>
    <row r="567" spans="1:16" x14ac:dyDescent="0.2">
      <c r="A567" s="58" t="str">
        <v/>
      </c>
      <c r="B567" s="123" t="str">
        <f>IFERROR(TIMEVALUE(DaqBook_RAW_Data!Q455),IFERROR(TIMEVALUE(DaqBook_RAW_Data!#REF!),""))</f>
        <v/>
      </c>
      <c r="C567" s="145" t="str">
        <v/>
      </c>
      <c r="D567" s="145" t="str">
        <v/>
      </c>
      <c r="E567" s="145" t="str">
        <v/>
      </c>
      <c r="F567" s="145" t="str">
        <v/>
      </c>
      <c r="G567" s="145" t="str">
        <v/>
      </c>
      <c r="H567" s="145" t="str">
        <v/>
      </c>
      <c r="I567" s="145" t="str">
        <v/>
      </c>
      <c r="J567" s="145" t="str">
        <v/>
      </c>
      <c r="K567" s="145" t="str">
        <v/>
      </c>
      <c r="L567" s="145" t="str">
        <v/>
      </c>
      <c r="M567" s="145" t="str">
        <v/>
      </c>
      <c r="N567" s="145" t="str">
        <v/>
      </c>
      <c r="O567" s="145" t="str">
        <v/>
      </c>
      <c r="P567" s="145" t="str">
        <v/>
      </c>
    </row>
    <row r="568" spans="1:16" x14ac:dyDescent="0.2">
      <c r="A568" s="58" t="str">
        <v/>
      </c>
      <c r="B568" s="123" t="str">
        <f>IFERROR(TIMEVALUE(DaqBook_RAW_Data!Q456),IFERROR(TIMEVALUE(DaqBook_RAW_Data!#REF!),""))</f>
        <v/>
      </c>
      <c r="C568" s="145" t="str">
        <v/>
      </c>
      <c r="D568" s="145" t="str">
        <v/>
      </c>
      <c r="E568" s="145" t="str">
        <v/>
      </c>
      <c r="F568" s="145" t="str">
        <v/>
      </c>
      <c r="G568" s="145" t="str">
        <v/>
      </c>
      <c r="H568" s="145" t="str">
        <v/>
      </c>
      <c r="I568" s="145" t="str">
        <v/>
      </c>
      <c r="J568" s="145" t="str">
        <v/>
      </c>
      <c r="K568" s="145" t="str">
        <v/>
      </c>
      <c r="L568" s="145" t="str">
        <v/>
      </c>
      <c r="M568" s="145" t="str">
        <v/>
      </c>
      <c r="N568" s="145" t="str">
        <v/>
      </c>
      <c r="O568" s="145" t="str">
        <v/>
      </c>
      <c r="P568" s="145" t="str">
        <v/>
      </c>
    </row>
    <row r="569" spans="1:16" x14ac:dyDescent="0.2">
      <c r="A569" s="58" t="str">
        <v/>
      </c>
      <c r="B569" s="123" t="str">
        <f>IFERROR(TIMEVALUE(DaqBook_RAW_Data!Q457),IFERROR(TIMEVALUE(DaqBook_RAW_Data!#REF!),""))</f>
        <v/>
      </c>
      <c r="C569" s="145" t="str">
        <v/>
      </c>
      <c r="D569" s="145" t="str">
        <v/>
      </c>
      <c r="E569" s="145" t="str">
        <v/>
      </c>
      <c r="F569" s="145" t="str">
        <v/>
      </c>
      <c r="G569" s="145" t="str">
        <v/>
      </c>
      <c r="H569" s="145" t="str">
        <v/>
      </c>
      <c r="I569" s="145" t="str">
        <v/>
      </c>
      <c r="J569" s="145" t="str">
        <v/>
      </c>
      <c r="K569" s="145" t="str">
        <v/>
      </c>
      <c r="L569" s="145" t="str">
        <v/>
      </c>
      <c r="M569" s="145" t="str">
        <v/>
      </c>
      <c r="N569" s="145" t="str">
        <v/>
      </c>
      <c r="O569" s="145" t="str">
        <v/>
      </c>
      <c r="P569" s="145" t="str">
        <v/>
      </c>
    </row>
    <row r="570" spans="1:16" x14ac:dyDescent="0.2">
      <c r="A570" s="58" t="str">
        <v/>
      </c>
      <c r="B570" s="123" t="str">
        <f>IFERROR(TIMEVALUE(DaqBook_RAW_Data!Q458),IFERROR(TIMEVALUE(DaqBook_RAW_Data!#REF!),""))</f>
        <v/>
      </c>
      <c r="C570" s="145" t="str">
        <v/>
      </c>
      <c r="D570" s="145" t="str">
        <v/>
      </c>
      <c r="E570" s="145" t="str">
        <v/>
      </c>
      <c r="F570" s="145" t="str">
        <v/>
      </c>
      <c r="G570" s="145" t="str">
        <v/>
      </c>
      <c r="H570" s="145" t="str">
        <v/>
      </c>
      <c r="I570" s="145" t="str">
        <v/>
      </c>
      <c r="J570" s="145" t="str">
        <v/>
      </c>
      <c r="K570" s="145" t="str">
        <v/>
      </c>
      <c r="L570" s="145" t="str">
        <v/>
      </c>
      <c r="M570" s="145" t="str">
        <v/>
      </c>
      <c r="N570" s="145" t="str">
        <v/>
      </c>
      <c r="O570" s="145" t="str">
        <v/>
      </c>
      <c r="P570" s="145" t="str">
        <v/>
      </c>
    </row>
    <row r="571" spans="1:16" x14ac:dyDescent="0.2">
      <c r="A571" s="58" t="str">
        <v/>
      </c>
      <c r="B571" s="123" t="str">
        <f>IFERROR(TIMEVALUE(DaqBook_RAW_Data!Q459),IFERROR(TIMEVALUE(DaqBook_RAW_Data!#REF!),""))</f>
        <v/>
      </c>
      <c r="C571" s="145" t="str">
        <v/>
      </c>
      <c r="D571" s="145" t="str">
        <v/>
      </c>
      <c r="E571" s="145" t="str">
        <v/>
      </c>
      <c r="F571" s="145" t="str">
        <v/>
      </c>
      <c r="G571" s="145" t="str">
        <v/>
      </c>
      <c r="H571" s="145" t="str">
        <v/>
      </c>
      <c r="I571" s="145" t="str">
        <v/>
      </c>
      <c r="J571" s="145" t="str">
        <v/>
      </c>
      <c r="K571" s="145" t="str">
        <v/>
      </c>
      <c r="L571" s="145" t="str">
        <v/>
      </c>
      <c r="M571" s="145" t="str">
        <v/>
      </c>
      <c r="N571" s="145" t="str">
        <v/>
      </c>
      <c r="O571" s="145" t="str">
        <v/>
      </c>
      <c r="P571" s="145" t="str">
        <v/>
      </c>
    </row>
    <row r="572" spans="1:16" x14ac:dyDescent="0.2">
      <c r="A572" s="58" t="str">
        <v/>
      </c>
      <c r="B572" s="123" t="str">
        <f>IFERROR(TIMEVALUE(DaqBook_RAW_Data!Q460),IFERROR(TIMEVALUE(DaqBook_RAW_Data!#REF!),""))</f>
        <v/>
      </c>
      <c r="C572" s="145" t="str">
        <v/>
      </c>
      <c r="D572" s="145" t="str">
        <v/>
      </c>
      <c r="E572" s="145" t="str">
        <v/>
      </c>
      <c r="F572" s="145" t="str">
        <v/>
      </c>
      <c r="G572" s="145" t="str">
        <v/>
      </c>
      <c r="H572" s="145" t="str">
        <v/>
      </c>
      <c r="I572" s="145" t="str">
        <v/>
      </c>
      <c r="J572" s="145" t="str">
        <v/>
      </c>
      <c r="K572" s="145" t="str">
        <v/>
      </c>
      <c r="L572" s="145" t="str">
        <v/>
      </c>
      <c r="M572" s="145" t="str">
        <v/>
      </c>
      <c r="N572" s="145" t="str">
        <v/>
      </c>
      <c r="O572" s="145" t="str">
        <v/>
      </c>
      <c r="P572" s="145" t="str">
        <v/>
      </c>
    </row>
    <row r="573" spans="1:16" x14ac:dyDescent="0.2">
      <c r="A573" s="58" t="str">
        <v/>
      </c>
      <c r="B573" s="123" t="str">
        <f>IFERROR(TIMEVALUE(DaqBook_RAW_Data!Q461),IFERROR(TIMEVALUE(DaqBook_RAW_Data!#REF!),""))</f>
        <v/>
      </c>
      <c r="C573" s="145" t="str">
        <v/>
      </c>
      <c r="D573" s="145" t="str">
        <v/>
      </c>
      <c r="E573" s="145" t="str">
        <v/>
      </c>
      <c r="F573" s="145" t="str">
        <v/>
      </c>
      <c r="G573" s="145" t="str">
        <v/>
      </c>
      <c r="H573" s="145" t="str">
        <v/>
      </c>
      <c r="I573" s="145" t="str">
        <v/>
      </c>
      <c r="J573" s="145" t="str">
        <v/>
      </c>
      <c r="K573" s="145" t="str">
        <v/>
      </c>
      <c r="L573" s="145" t="str">
        <v/>
      </c>
      <c r="M573" s="145" t="str">
        <v/>
      </c>
      <c r="N573" s="145" t="str">
        <v/>
      </c>
      <c r="O573" s="145" t="str">
        <v/>
      </c>
      <c r="P573" s="145" t="str">
        <v/>
      </c>
    </row>
    <row r="574" spans="1:16" x14ac:dyDescent="0.2">
      <c r="A574" s="58" t="str">
        <v/>
      </c>
      <c r="B574" s="123" t="str">
        <f>IFERROR(TIMEVALUE(DaqBook_RAW_Data!Q462),IFERROR(TIMEVALUE(DaqBook_RAW_Data!#REF!),""))</f>
        <v/>
      </c>
      <c r="C574" s="145" t="str">
        <v/>
      </c>
      <c r="D574" s="145" t="str">
        <v/>
      </c>
      <c r="E574" s="145" t="str">
        <v/>
      </c>
      <c r="F574" s="145" t="str">
        <v/>
      </c>
      <c r="G574" s="145" t="str">
        <v/>
      </c>
      <c r="H574" s="145" t="str">
        <v/>
      </c>
      <c r="I574" s="145" t="str">
        <v/>
      </c>
      <c r="J574" s="145" t="str">
        <v/>
      </c>
      <c r="K574" s="145" t="str">
        <v/>
      </c>
      <c r="L574" s="145" t="str">
        <v/>
      </c>
      <c r="M574" s="145" t="str">
        <v/>
      </c>
      <c r="N574" s="145" t="str">
        <v/>
      </c>
      <c r="O574" s="145" t="str">
        <v/>
      </c>
      <c r="P574" s="145" t="str">
        <v/>
      </c>
    </row>
    <row r="575" spans="1:16" x14ac:dyDescent="0.2">
      <c r="A575" s="58" t="str">
        <v/>
      </c>
      <c r="B575" s="123" t="str">
        <f>IFERROR(TIMEVALUE(DaqBook_RAW_Data!Q463),IFERROR(TIMEVALUE(DaqBook_RAW_Data!#REF!),""))</f>
        <v/>
      </c>
      <c r="C575" s="145" t="str">
        <v/>
      </c>
      <c r="D575" s="145" t="str">
        <v/>
      </c>
      <c r="E575" s="145" t="str">
        <v/>
      </c>
      <c r="F575" s="145" t="str">
        <v/>
      </c>
      <c r="G575" s="145" t="str">
        <v/>
      </c>
      <c r="H575" s="145" t="str">
        <v/>
      </c>
      <c r="I575" s="145" t="str">
        <v/>
      </c>
      <c r="J575" s="145" t="str">
        <v/>
      </c>
      <c r="K575" s="145" t="str">
        <v/>
      </c>
      <c r="L575" s="145" t="str">
        <v/>
      </c>
      <c r="M575" s="145" t="str">
        <v/>
      </c>
      <c r="N575" s="145" t="str">
        <v/>
      </c>
      <c r="O575" s="145" t="str">
        <v/>
      </c>
      <c r="P575" s="145" t="str">
        <v/>
      </c>
    </row>
    <row r="576" spans="1:16" x14ac:dyDescent="0.2">
      <c r="A576" s="58" t="str">
        <v/>
      </c>
      <c r="B576" s="123" t="str">
        <f>IFERROR(TIMEVALUE(DaqBook_RAW_Data!Q464),IFERROR(TIMEVALUE(DaqBook_RAW_Data!#REF!),""))</f>
        <v/>
      </c>
      <c r="C576" s="145" t="str">
        <v/>
      </c>
      <c r="D576" s="145" t="str">
        <v/>
      </c>
      <c r="E576" s="145" t="str">
        <v/>
      </c>
      <c r="F576" s="145" t="str">
        <v/>
      </c>
      <c r="G576" s="145" t="str">
        <v/>
      </c>
      <c r="H576" s="145" t="str">
        <v/>
      </c>
      <c r="I576" s="145" t="str">
        <v/>
      </c>
      <c r="J576" s="145" t="str">
        <v/>
      </c>
      <c r="K576" s="145" t="str">
        <v/>
      </c>
      <c r="L576" s="145" t="str">
        <v/>
      </c>
      <c r="M576" s="145" t="str">
        <v/>
      </c>
      <c r="N576" s="145" t="str">
        <v/>
      </c>
      <c r="O576" s="145" t="str">
        <v/>
      </c>
      <c r="P576" s="145" t="str">
        <v/>
      </c>
    </row>
    <row r="577" spans="1:16" x14ac:dyDescent="0.2">
      <c r="A577" s="58" t="str">
        <v/>
      </c>
      <c r="B577" s="123" t="str">
        <f>IFERROR(TIMEVALUE(DaqBook_RAW_Data!Q465),IFERROR(TIMEVALUE(DaqBook_RAW_Data!#REF!),""))</f>
        <v/>
      </c>
      <c r="C577" s="145" t="str">
        <v/>
      </c>
      <c r="D577" s="145" t="str">
        <v/>
      </c>
      <c r="E577" s="145" t="str">
        <v/>
      </c>
      <c r="F577" s="145" t="str">
        <v/>
      </c>
      <c r="G577" s="145" t="str">
        <v/>
      </c>
      <c r="H577" s="145" t="str">
        <v/>
      </c>
      <c r="I577" s="145" t="str">
        <v/>
      </c>
      <c r="J577" s="145" t="str">
        <v/>
      </c>
      <c r="K577" s="145" t="str">
        <v/>
      </c>
      <c r="L577" s="145" t="str">
        <v/>
      </c>
      <c r="M577" s="145" t="str">
        <v/>
      </c>
      <c r="N577" s="145" t="str">
        <v/>
      </c>
      <c r="O577" s="145" t="str">
        <v/>
      </c>
      <c r="P577" s="145" t="str">
        <v/>
      </c>
    </row>
    <row r="578" spans="1:16" x14ac:dyDescent="0.2">
      <c r="A578" s="58" t="str">
        <v/>
      </c>
      <c r="B578" s="123" t="str">
        <f>IFERROR(TIMEVALUE(DaqBook_RAW_Data!Q466),IFERROR(TIMEVALUE(DaqBook_RAW_Data!#REF!),""))</f>
        <v/>
      </c>
      <c r="C578" s="145" t="str">
        <v/>
      </c>
      <c r="D578" s="145" t="str">
        <v/>
      </c>
      <c r="E578" s="145" t="str">
        <v/>
      </c>
      <c r="F578" s="145" t="str">
        <v/>
      </c>
      <c r="G578" s="145" t="str">
        <v/>
      </c>
      <c r="H578" s="145" t="str">
        <v/>
      </c>
      <c r="I578" s="145" t="str">
        <v/>
      </c>
      <c r="J578" s="145" t="str">
        <v/>
      </c>
      <c r="K578" s="145" t="str">
        <v/>
      </c>
      <c r="L578" s="145" t="str">
        <v/>
      </c>
      <c r="M578" s="145" t="str">
        <v/>
      </c>
      <c r="N578" s="145" t="str">
        <v/>
      </c>
      <c r="O578" s="145" t="str">
        <v/>
      </c>
      <c r="P578" s="145" t="str">
        <v/>
      </c>
    </row>
    <row r="579" spans="1:16" x14ac:dyDescent="0.2">
      <c r="A579" s="58" t="str">
        <v/>
      </c>
      <c r="B579" s="123" t="str">
        <f>IFERROR(TIMEVALUE(DaqBook_RAW_Data!Q467),IFERROR(TIMEVALUE(DaqBook_RAW_Data!#REF!),""))</f>
        <v/>
      </c>
      <c r="C579" s="145" t="str">
        <v/>
      </c>
      <c r="D579" s="145" t="str">
        <v/>
      </c>
      <c r="E579" s="145" t="str">
        <v/>
      </c>
      <c r="F579" s="145" t="str">
        <v/>
      </c>
      <c r="G579" s="145" t="str">
        <v/>
      </c>
      <c r="H579" s="145" t="str">
        <v/>
      </c>
      <c r="I579" s="145" t="str">
        <v/>
      </c>
      <c r="J579" s="145" t="str">
        <v/>
      </c>
      <c r="K579" s="145" t="str">
        <v/>
      </c>
      <c r="L579" s="145" t="str">
        <v/>
      </c>
      <c r="M579" s="145" t="str">
        <v/>
      </c>
      <c r="N579" s="145" t="str">
        <v/>
      </c>
      <c r="O579" s="145" t="str">
        <v/>
      </c>
      <c r="P579" s="145" t="str">
        <v/>
      </c>
    </row>
    <row r="580" spans="1:16" x14ac:dyDescent="0.2">
      <c r="A580" s="58" t="str">
        <v/>
      </c>
      <c r="B580" s="123" t="str">
        <f>IFERROR(TIMEVALUE(DaqBook_RAW_Data!Q468),IFERROR(TIMEVALUE(DaqBook_RAW_Data!#REF!),""))</f>
        <v/>
      </c>
      <c r="C580" s="145" t="str">
        <v/>
      </c>
      <c r="D580" s="145" t="str">
        <v/>
      </c>
      <c r="E580" s="145" t="str">
        <v/>
      </c>
      <c r="F580" s="145" t="str">
        <v/>
      </c>
      <c r="G580" s="145" t="str">
        <v/>
      </c>
      <c r="H580" s="145" t="str">
        <v/>
      </c>
      <c r="I580" s="145" t="str">
        <v/>
      </c>
      <c r="J580" s="145" t="str">
        <v/>
      </c>
      <c r="K580" s="145" t="str">
        <v/>
      </c>
      <c r="L580" s="145" t="str">
        <v/>
      </c>
      <c r="M580" s="145" t="str">
        <v/>
      </c>
      <c r="N580" s="145" t="str">
        <v/>
      </c>
      <c r="O580" s="145" t="str">
        <v/>
      </c>
      <c r="P580" s="145" t="str">
        <v/>
      </c>
    </row>
    <row r="581" spans="1:16" x14ac:dyDescent="0.2">
      <c r="A581" s="58" t="str">
        <v/>
      </c>
      <c r="B581" s="123" t="str">
        <f>IFERROR(TIMEVALUE(DaqBook_RAW_Data!Q469),IFERROR(TIMEVALUE(DaqBook_RAW_Data!#REF!),""))</f>
        <v/>
      </c>
      <c r="C581" s="145" t="str">
        <v/>
      </c>
      <c r="D581" s="145" t="str">
        <v/>
      </c>
      <c r="E581" s="145" t="str">
        <v/>
      </c>
      <c r="F581" s="145" t="str">
        <v/>
      </c>
      <c r="G581" s="145" t="str">
        <v/>
      </c>
      <c r="H581" s="145" t="str">
        <v/>
      </c>
      <c r="I581" s="145" t="str">
        <v/>
      </c>
      <c r="J581" s="145" t="str">
        <v/>
      </c>
      <c r="K581" s="145" t="str">
        <v/>
      </c>
      <c r="L581" s="145" t="str">
        <v/>
      </c>
      <c r="M581" s="145" t="str">
        <v/>
      </c>
      <c r="N581" s="145" t="str">
        <v/>
      </c>
      <c r="O581" s="145" t="str">
        <v/>
      </c>
      <c r="P581" s="145" t="str">
        <v/>
      </c>
    </row>
    <row r="582" spans="1:16" x14ac:dyDescent="0.2">
      <c r="A582" s="58" t="str">
        <v/>
      </c>
      <c r="B582" s="123" t="str">
        <f>IFERROR(TIMEVALUE(DaqBook_RAW_Data!Q470),IFERROR(TIMEVALUE(DaqBook_RAW_Data!#REF!),""))</f>
        <v/>
      </c>
      <c r="C582" s="145" t="str">
        <v/>
      </c>
      <c r="D582" s="145" t="str">
        <v/>
      </c>
      <c r="E582" s="145" t="str">
        <v/>
      </c>
      <c r="F582" s="145" t="str">
        <v/>
      </c>
      <c r="G582" s="145" t="str">
        <v/>
      </c>
      <c r="H582" s="145" t="str">
        <v/>
      </c>
      <c r="I582" s="145" t="str">
        <v/>
      </c>
      <c r="J582" s="145" t="str">
        <v/>
      </c>
      <c r="K582" s="145" t="str">
        <v/>
      </c>
      <c r="L582" s="145" t="str">
        <v/>
      </c>
      <c r="M582" s="145" t="str">
        <v/>
      </c>
      <c r="N582" s="145" t="str">
        <v/>
      </c>
      <c r="O582" s="145" t="str">
        <v/>
      </c>
      <c r="P582" s="145" t="str">
        <v/>
      </c>
    </row>
    <row r="583" spans="1:16" x14ac:dyDescent="0.2">
      <c r="A583" s="58" t="str">
        <v/>
      </c>
      <c r="B583" s="123" t="str">
        <f>IFERROR(TIMEVALUE(DaqBook_RAW_Data!Q471),IFERROR(TIMEVALUE(DaqBook_RAW_Data!#REF!),""))</f>
        <v/>
      </c>
      <c r="C583" s="145" t="str">
        <v/>
      </c>
      <c r="D583" s="145" t="str">
        <v/>
      </c>
      <c r="E583" s="145" t="str">
        <v/>
      </c>
      <c r="F583" s="145" t="str">
        <v/>
      </c>
      <c r="G583" s="145" t="str">
        <v/>
      </c>
      <c r="H583" s="145" t="str">
        <v/>
      </c>
      <c r="I583" s="145" t="str">
        <v/>
      </c>
      <c r="J583" s="145" t="str">
        <v/>
      </c>
      <c r="K583" s="145" t="str">
        <v/>
      </c>
      <c r="L583" s="145" t="str">
        <v/>
      </c>
      <c r="M583" s="145" t="str">
        <v/>
      </c>
      <c r="N583" s="145" t="str">
        <v/>
      </c>
      <c r="O583" s="145" t="str">
        <v/>
      </c>
      <c r="P583" s="145" t="str">
        <v/>
      </c>
    </row>
    <row r="584" spans="1:16" x14ac:dyDescent="0.2">
      <c r="A584" s="58" t="str">
        <v/>
      </c>
      <c r="B584" s="123" t="str">
        <f>IFERROR(TIMEVALUE(DaqBook_RAW_Data!Q472),IFERROR(TIMEVALUE(DaqBook_RAW_Data!#REF!),""))</f>
        <v/>
      </c>
      <c r="C584" s="145" t="str">
        <v/>
      </c>
      <c r="D584" s="145" t="str">
        <v/>
      </c>
      <c r="E584" s="145" t="str">
        <v/>
      </c>
      <c r="F584" s="145" t="str">
        <v/>
      </c>
      <c r="G584" s="145" t="str">
        <v/>
      </c>
      <c r="H584" s="145" t="str">
        <v/>
      </c>
      <c r="I584" s="145" t="str">
        <v/>
      </c>
      <c r="J584" s="145" t="str">
        <v/>
      </c>
      <c r="K584" s="145" t="str">
        <v/>
      </c>
      <c r="L584" s="145" t="str">
        <v/>
      </c>
      <c r="M584" s="145" t="str">
        <v/>
      </c>
      <c r="N584" s="145" t="str">
        <v/>
      </c>
      <c r="O584" s="145" t="str">
        <v/>
      </c>
      <c r="P584" s="145" t="str">
        <v/>
      </c>
    </row>
    <row r="585" spans="1:16" x14ac:dyDescent="0.2">
      <c r="A585" s="58" t="str">
        <v/>
      </c>
      <c r="B585" s="123" t="str">
        <f>IFERROR(TIMEVALUE(DaqBook_RAW_Data!Q473),IFERROR(TIMEVALUE(DaqBook_RAW_Data!#REF!),""))</f>
        <v/>
      </c>
      <c r="C585" s="145" t="str">
        <v/>
      </c>
      <c r="D585" s="145" t="str">
        <v/>
      </c>
      <c r="E585" s="145" t="str">
        <v/>
      </c>
      <c r="F585" s="145" t="str">
        <v/>
      </c>
      <c r="G585" s="145" t="str">
        <v/>
      </c>
      <c r="H585" s="145" t="str">
        <v/>
      </c>
      <c r="I585" s="145" t="str">
        <v/>
      </c>
      <c r="J585" s="145" t="str">
        <v/>
      </c>
      <c r="K585" s="145" t="str">
        <v/>
      </c>
      <c r="L585" s="145" t="str">
        <v/>
      </c>
      <c r="M585" s="145" t="str">
        <v/>
      </c>
      <c r="N585" s="145" t="str">
        <v/>
      </c>
      <c r="O585" s="145" t="str">
        <v/>
      </c>
      <c r="P585" s="145" t="str">
        <v/>
      </c>
    </row>
    <row r="586" spans="1:16" x14ac:dyDescent="0.2">
      <c r="A586" s="58" t="str">
        <v/>
      </c>
      <c r="B586" s="123" t="str">
        <f>IFERROR(TIMEVALUE(DaqBook_RAW_Data!Q474),IFERROR(TIMEVALUE(DaqBook_RAW_Data!#REF!),""))</f>
        <v/>
      </c>
      <c r="C586" s="145" t="str">
        <v/>
      </c>
      <c r="D586" s="145" t="str">
        <v/>
      </c>
      <c r="E586" s="145" t="str">
        <v/>
      </c>
      <c r="F586" s="145" t="str">
        <v/>
      </c>
      <c r="G586" s="145" t="str">
        <v/>
      </c>
      <c r="H586" s="145" t="str">
        <v/>
      </c>
      <c r="I586" s="145" t="str">
        <v/>
      </c>
      <c r="J586" s="145" t="str">
        <v/>
      </c>
      <c r="K586" s="145" t="str">
        <v/>
      </c>
      <c r="L586" s="145" t="str">
        <v/>
      </c>
      <c r="M586" s="145" t="str">
        <v/>
      </c>
      <c r="N586" s="145" t="str">
        <v/>
      </c>
      <c r="O586" s="145" t="str">
        <v/>
      </c>
      <c r="P586" s="145" t="str">
        <v/>
      </c>
    </row>
    <row r="587" spans="1:16" x14ac:dyDescent="0.2">
      <c r="A587" s="58" t="str">
        <v/>
      </c>
      <c r="B587" s="123" t="str">
        <f>IFERROR(TIMEVALUE(DaqBook_RAW_Data!Q475),IFERROR(TIMEVALUE(DaqBook_RAW_Data!#REF!),""))</f>
        <v/>
      </c>
      <c r="C587" s="145" t="str">
        <v/>
      </c>
      <c r="D587" s="145" t="str">
        <v/>
      </c>
      <c r="E587" s="145" t="str">
        <v/>
      </c>
      <c r="F587" s="145" t="str">
        <v/>
      </c>
      <c r="G587" s="145" t="str">
        <v/>
      </c>
      <c r="H587" s="145" t="str">
        <v/>
      </c>
      <c r="I587" s="145" t="str">
        <v/>
      </c>
      <c r="J587" s="145" t="str">
        <v/>
      </c>
      <c r="K587" s="145" t="str">
        <v/>
      </c>
      <c r="L587" s="145" t="str">
        <v/>
      </c>
      <c r="M587" s="145" t="str">
        <v/>
      </c>
      <c r="N587" s="145" t="str">
        <v/>
      </c>
      <c r="O587" s="145" t="str">
        <v/>
      </c>
      <c r="P587" s="145" t="str">
        <v/>
      </c>
    </row>
    <row r="588" spans="1:16" x14ac:dyDescent="0.2">
      <c r="A588" s="58" t="str">
        <v/>
      </c>
      <c r="B588" s="123" t="str">
        <f>IFERROR(TIMEVALUE(DaqBook_RAW_Data!Q476),IFERROR(TIMEVALUE(DaqBook_RAW_Data!#REF!),""))</f>
        <v/>
      </c>
      <c r="C588" s="145" t="str">
        <v/>
      </c>
      <c r="D588" s="145" t="str">
        <v/>
      </c>
      <c r="E588" s="145" t="str">
        <v/>
      </c>
      <c r="F588" s="145" t="str">
        <v/>
      </c>
      <c r="G588" s="145" t="str">
        <v/>
      </c>
      <c r="H588" s="145" t="str">
        <v/>
      </c>
      <c r="I588" s="145" t="str">
        <v/>
      </c>
      <c r="J588" s="145" t="str">
        <v/>
      </c>
      <c r="K588" s="145" t="str">
        <v/>
      </c>
      <c r="L588" s="145" t="str">
        <v/>
      </c>
      <c r="M588" s="145" t="str">
        <v/>
      </c>
      <c r="N588" s="145" t="str">
        <v/>
      </c>
      <c r="O588" s="145" t="str">
        <v/>
      </c>
      <c r="P588" s="145" t="str">
        <v/>
      </c>
    </row>
    <row r="589" spans="1:16" x14ac:dyDescent="0.2">
      <c r="A589" s="58" t="str">
        <v/>
      </c>
      <c r="B589" s="123" t="str">
        <f>IFERROR(TIMEVALUE(DaqBook_RAW_Data!Q477),IFERROR(TIMEVALUE(DaqBook_RAW_Data!#REF!),""))</f>
        <v/>
      </c>
      <c r="C589" s="145" t="str">
        <v/>
      </c>
      <c r="D589" s="145" t="str">
        <v/>
      </c>
      <c r="E589" s="145" t="str">
        <v/>
      </c>
      <c r="F589" s="145" t="str">
        <v/>
      </c>
      <c r="G589" s="145" t="str">
        <v/>
      </c>
      <c r="H589" s="145" t="str">
        <v/>
      </c>
      <c r="I589" s="145" t="str">
        <v/>
      </c>
      <c r="J589" s="145" t="str">
        <v/>
      </c>
      <c r="K589" s="145" t="str">
        <v/>
      </c>
      <c r="L589" s="145" t="str">
        <v/>
      </c>
      <c r="M589" s="145" t="str">
        <v/>
      </c>
      <c r="N589" s="145" t="str">
        <v/>
      </c>
      <c r="O589" s="145" t="str">
        <v/>
      </c>
      <c r="P589" s="145" t="str">
        <v/>
      </c>
    </row>
    <row r="590" spans="1:16" x14ac:dyDescent="0.2">
      <c r="A590" s="58" t="str">
        <v/>
      </c>
      <c r="B590" s="123" t="str">
        <f>IFERROR(TIMEVALUE(DaqBook_RAW_Data!Q478),IFERROR(TIMEVALUE(DaqBook_RAW_Data!#REF!),""))</f>
        <v/>
      </c>
      <c r="C590" s="145" t="str">
        <v/>
      </c>
      <c r="D590" s="145" t="str">
        <v/>
      </c>
      <c r="E590" s="145" t="str">
        <v/>
      </c>
      <c r="F590" s="145" t="str">
        <v/>
      </c>
      <c r="G590" s="145" t="str">
        <v/>
      </c>
      <c r="H590" s="145" t="str">
        <v/>
      </c>
      <c r="I590" s="145" t="str">
        <v/>
      </c>
      <c r="J590" s="145" t="str">
        <v/>
      </c>
      <c r="K590" s="145" t="str">
        <v/>
      </c>
      <c r="L590" s="145" t="str">
        <v/>
      </c>
      <c r="M590" s="145" t="str">
        <v/>
      </c>
      <c r="N590" s="145" t="str">
        <v/>
      </c>
      <c r="O590" s="145" t="str">
        <v/>
      </c>
      <c r="P590" s="145" t="str">
        <v/>
      </c>
    </row>
    <row r="591" spans="1:16" x14ac:dyDescent="0.2">
      <c r="A591" s="58" t="str">
        <v/>
      </c>
      <c r="B591" s="123" t="str">
        <f>IFERROR(TIMEVALUE(DaqBook_RAW_Data!Q479),IFERROR(TIMEVALUE(DaqBook_RAW_Data!#REF!),""))</f>
        <v/>
      </c>
      <c r="C591" s="145" t="str">
        <v/>
      </c>
      <c r="D591" s="145" t="str">
        <v/>
      </c>
      <c r="E591" s="145" t="str">
        <v/>
      </c>
      <c r="F591" s="145" t="str">
        <v/>
      </c>
      <c r="G591" s="145" t="str">
        <v/>
      </c>
      <c r="H591" s="145" t="str">
        <v/>
      </c>
      <c r="I591" s="145" t="str">
        <v/>
      </c>
      <c r="J591" s="145" t="str">
        <v/>
      </c>
      <c r="K591" s="145" t="str">
        <v/>
      </c>
      <c r="L591" s="145" t="str">
        <v/>
      </c>
      <c r="M591" s="145" t="str">
        <v/>
      </c>
      <c r="N591" s="145" t="str">
        <v/>
      </c>
      <c r="O591" s="145" t="str">
        <v/>
      </c>
      <c r="P591" s="145" t="str">
        <v/>
      </c>
    </row>
    <row r="592" spans="1:16" x14ac:dyDescent="0.2">
      <c r="A592" s="58" t="str">
        <v/>
      </c>
      <c r="B592" s="123" t="str">
        <f>IFERROR(TIMEVALUE(DaqBook_RAW_Data!Q480),IFERROR(TIMEVALUE(DaqBook_RAW_Data!#REF!),""))</f>
        <v/>
      </c>
      <c r="C592" s="145" t="str">
        <v/>
      </c>
      <c r="D592" s="145" t="str">
        <v/>
      </c>
      <c r="E592" s="145" t="str">
        <v/>
      </c>
      <c r="F592" s="145" t="str">
        <v/>
      </c>
      <c r="G592" s="145" t="str">
        <v/>
      </c>
      <c r="H592" s="145" t="str">
        <v/>
      </c>
      <c r="I592" s="145" t="str">
        <v/>
      </c>
      <c r="J592" s="145" t="str">
        <v/>
      </c>
      <c r="K592" s="145" t="str">
        <v/>
      </c>
      <c r="L592" s="145" t="str">
        <v/>
      </c>
      <c r="M592" s="145" t="str">
        <v/>
      </c>
      <c r="N592" s="145" t="str">
        <v/>
      </c>
      <c r="O592" s="145" t="str">
        <v/>
      </c>
      <c r="P592" s="145" t="str">
        <v/>
      </c>
    </row>
    <row r="593" spans="1:16" x14ac:dyDescent="0.2">
      <c r="A593" s="58" t="str">
        <v/>
      </c>
      <c r="B593" s="123" t="str">
        <f>IFERROR(TIMEVALUE(DaqBook_RAW_Data!Q481),IFERROR(TIMEVALUE(DaqBook_RAW_Data!#REF!),""))</f>
        <v/>
      </c>
      <c r="C593" s="145" t="str">
        <v/>
      </c>
      <c r="D593" s="145" t="str">
        <v/>
      </c>
      <c r="E593" s="145" t="str">
        <v/>
      </c>
      <c r="F593" s="145" t="str">
        <v/>
      </c>
      <c r="G593" s="145" t="str">
        <v/>
      </c>
      <c r="H593" s="145" t="str">
        <v/>
      </c>
      <c r="I593" s="145" t="str">
        <v/>
      </c>
      <c r="J593" s="145" t="str">
        <v/>
      </c>
      <c r="K593" s="145" t="str">
        <v/>
      </c>
      <c r="L593" s="145" t="str">
        <v/>
      </c>
      <c r="M593" s="145" t="str">
        <v/>
      </c>
      <c r="N593" s="145" t="str">
        <v/>
      </c>
      <c r="O593" s="145" t="str">
        <v/>
      </c>
      <c r="P593" s="145" t="str">
        <v/>
      </c>
    </row>
    <row r="594" spans="1:16" x14ac:dyDescent="0.2">
      <c r="A594" s="58" t="str">
        <v/>
      </c>
      <c r="B594" s="123" t="str">
        <f>IFERROR(TIMEVALUE(DaqBook_RAW_Data!Q482),IFERROR(TIMEVALUE(DaqBook_RAW_Data!A4),""))</f>
        <v/>
      </c>
      <c r="C594" s="145" t="str">
        <v/>
      </c>
      <c r="D594" s="145" t="str">
        <v/>
      </c>
      <c r="E594" s="145" t="str">
        <v/>
      </c>
      <c r="F594" s="145" t="str">
        <v/>
      </c>
      <c r="G594" s="145" t="str">
        <v/>
      </c>
      <c r="H594" s="145" t="str">
        <v/>
      </c>
      <c r="I594" s="145" t="str">
        <v/>
      </c>
      <c r="J594" s="145" t="str">
        <v/>
      </c>
      <c r="K594" s="145" t="str">
        <v/>
      </c>
      <c r="L594" s="145" t="str">
        <v/>
      </c>
      <c r="M594" s="145" t="str">
        <v/>
      </c>
      <c r="N594" s="145" t="str">
        <v/>
      </c>
      <c r="O594" s="145" t="str">
        <v/>
      </c>
      <c r="P594" s="145" t="str">
        <v/>
      </c>
    </row>
    <row r="595" spans="1:16" x14ac:dyDescent="0.2">
      <c r="A595" s="58" t="str">
        <v/>
      </c>
      <c r="B595" s="123" t="str">
        <f>IFERROR(TIMEVALUE(DaqBook_RAW_Data!Q483),IFERROR(TIMEVALUE(DaqBook_RAW_Data!A5),""))</f>
        <v/>
      </c>
      <c r="C595" s="145" t="str">
        <v/>
      </c>
      <c r="D595" s="145" t="str">
        <v/>
      </c>
      <c r="E595" s="145" t="str">
        <v/>
      </c>
      <c r="F595" s="145" t="str">
        <v/>
      </c>
      <c r="G595" s="145" t="str">
        <v/>
      </c>
      <c r="H595" s="145" t="str">
        <v/>
      </c>
      <c r="I595" s="145" t="str">
        <v/>
      </c>
      <c r="J595" s="145" t="str">
        <v/>
      </c>
      <c r="K595" s="145" t="str">
        <v/>
      </c>
      <c r="L595" s="145" t="str">
        <v/>
      </c>
      <c r="M595" s="145" t="str">
        <v/>
      </c>
      <c r="N595" s="145" t="str">
        <v/>
      </c>
      <c r="O595" s="145" t="str">
        <v/>
      </c>
      <c r="P595" s="145" t="str">
        <v/>
      </c>
    </row>
    <row r="596" spans="1:16" x14ac:dyDescent="0.2">
      <c r="A596" s="58" t="str">
        <v/>
      </c>
      <c r="B596" s="123" t="str">
        <f>IFERROR(TIMEVALUE(DaqBook_RAW_Data!Q484),IFERROR(TIMEVALUE(DaqBook_RAW_Data!A6),""))</f>
        <v/>
      </c>
      <c r="C596" s="145" t="str">
        <v/>
      </c>
      <c r="D596" s="145" t="str">
        <v/>
      </c>
      <c r="E596" s="145" t="str">
        <v/>
      </c>
      <c r="F596" s="145" t="str">
        <v/>
      </c>
      <c r="G596" s="145" t="str">
        <v/>
      </c>
      <c r="H596" s="145" t="str">
        <v/>
      </c>
      <c r="I596" s="145" t="str">
        <v/>
      </c>
      <c r="J596" s="145" t="str">
        <v/>
      </c>
      <c r="K596" s="145" t="str">
        <v/>
      </c>
      <c r="L596" s="145" t="str">
        <v/>
      </c>
      <c r="M596" s="145" t="str">
        <v/>
      </c>
      <c r="N596" s="145" t="str">
        <v/>
      </c>
      <c r="O596" s="145" t="str">
        <v/>
      </c>
      <c r="P596" s="145" t="str">
        <v/>
      </c>
    </row>
    <row r="597" spans="1:16" x14ac:dyDescent="0.2">
      <c r="A597" s="58" t="str">
        <v/>
      </c>
      <c r="B597" s="123" t="str">
        <f>IFERROR(TIMEVALUE(DaqBook_RAW_Data!Q485),IFERROR(TIMEVALUE(DaqBook_RAW_Data!A7),""))</f>
        <v/>
      </c>
      <c r="C597" s="145" t="str">
        <v/>
      </c>
      <c r="D597" s="145" t="str">
        <v/>
      </c>
      <c r="E597" s="145" t="str">
        <v/>
      </c>
      <c r="F597" s="145" t="str">
        <v/>
      </c>
      <c r="G597" s="145" t="str">
        <v/>
      </c>
      <c r="H597" s="145" t="str">
        <v/>
      </c>
      <c r="I597" s="145" t="str">
        <v/>
      </c>
      <c r="J597" s="145" t="str">
        <v/>
      </c>
      <c r="K597" s="145" t="str">
        <v/>
      </c>
      <c r="L597" s="145" t="str">
        <v/>
      </c>
      <c r="M597" s="145" t="str">
        <v/>
      </c>
      <c r="N597" s="145" t="str">
        <v/>
      </c>
      <c r="O597" s="145" t="str">
        <v/>
      </c>
      <c r="P597" s="145" t="str">
        <v/>
      </c>
    </row>
    <row r="598" spans="1:16" x14ac:dyDescent="0.2">
      <c r="A598" s="58" t="str">
        <v/>
      </c>
      <c r="B598" s="123" t="str">
        <f>IFERROR(TIMEVALUE(DaqBook_RAW_Data!Q486),IFERROR(TIMEVALUE(DaqBook_RAW_Data!A8),""))</f>
        <v/>
      </c>
      <c r="C598" s="145" t="str">
        <v/>
      </c>
      <c r="D598" s="145" t="str">
        <v/>
      </c>
      <c r="E598" s="145" t="str">
        <v/>
      </c>
      <c r="F598" s="145" t="str">
        <v/>
      </c>
      <c r="G598" s="145" t="str">
        <v/>
      </c>
      <c r="H598" s="145" t="str">
        <v/>
      </c>
      <c r="I598" s="145" t="str">
        <v/>
      </c>
      <c r="J598" s="145" t="str">
        <v/>
      </c>
      <c r="K598" s="145" t="str">
        <v/>
      </c>
      <c r="L598" s="145" t="str">
        <v/>
      </c>
      <c r="M598" s="145" t="str">
        <v/>
      </c>
      <c r="N598" s="145" t="str">
        <v/>
      </c>
      <c r="O598" s="145" t="str">
        <v/>
      </c>
      <c r="P598" s="145" t="str">
        <v/>
      </c>
    </row>
    <row r="599" spans="1:16" x14ac:dyDescent="0.2">
      <c r="A599" s="58" t="str">
        <v/>
      </c>
      <c r="B599" s="123" t="str">
        <f>IFERROR(TIMEVALUE(DaqBook_RAW_Data!Q487),IFERROR(TIMEVALUE(DaqBook_RAW_Data!A9),""))</f>
        <v/>
      </c>
      <c r="C599" s="145" t="str">
        <v/>
      </c>
      <c r="D599" s="145" t="str">
        <v/>
      </c>
      <c r="E599" s="145" t="str">
        <v/>
      </c>
      <c r="F599" s="145" t="str">
        <v/>
      </c>
      <c r="G599" s="145" t="str">
        <v/>
      </c>
      <c r="H599" s="145" t="str">
        <v/>
      </c>
      <c r="I599" s="145" t="str">
        <v/>
      </c>
      <c r="J599" s="145" t="str">
        <v/>
      </c>
      <c r="K599" s="145" t="str">
        <v/>
      </c>
      <c r="L599" s="145" t="str">
        <v/>
      </c>
      <c r="M599" s="145" t="str">
        <v/>
      </c>
      <c r="N599" s="145" t="str">
        <v/>
      </c>
      <c r="O599" s="145" t="str">
        <v/>
      </c>
      <c r="P599" s="145" t="str">
        <v/>
      </c>
    </row>
    <row r="600" spans="1:16" x14ac:dyDescent="0.2">
      <c r="A600" s="58" t="str">
        <v/>
      </c>
      <c r="B600" s="123" t="str">
        <f>IFERROR(TIMEVALUE(DaqBook_RAW_Data!Q488),IFERROR(TIMEVALUE(DaqBook_RAW_Data!A10),""))</f>
        <v/>
      </c>
      <c r="C600" s="145" t="str">
        <v/>
      </c>
      <c r="D600" s="145" t="str">
        <v/>
      </c>
      <c r="E600" s="145" t="str">
        <v/>
      </c>
      <c r="F600" s="145" t="str">
        <v/>
      </c>
      <c r="G600" s="145" t="str">
        <v/>
      </c>
      <c r="H600" s="145" t="str">
        <v/>
      </c>
      <c r="I600" s="145" t="str">
        <v/>
      </c>
      <c r="J600" s="145" t="str">
        <v/>
      </c>
      <c r="K600" s="145" t="str">
        <v/>
      </c>
      <c r="L600" s="145" t="str">
        <v/>
      </c>
      <c r="M600" s="145" t="str">
        <v/>
      </c>
      <c r="N600" s="145" t="str">
        <v/>
      </c>
      <c r="O600" s="145" t="str">
        <v/>
      </c>
      <c r="P600" s="145" t="str">
        <v/>
      </c>
    </row>
    <row r="601" spans="1:16" x14ac:dyDescent="0.2">
      <c r="A601" s="58" t="str">
        <v/>
      </c>
      <c r="B601" s="123" t="str">
        <f>IFERROR(TIMEVALUE(DaqBook_RAW_Data!Q489),IFERROR(TIMEVALUE(DaqBook_RAW_Data!A11),""))</f>
        <v/>
      </c>
      <c r="C601" s="145" t="str">
        <v/>
      </c>
      <c r="D601" s="145" t="str">
        <v/>
      </c>
      <c r="E601" s="145" t="str">
        <v/>
      </c>
      <c r="F601" s="145" t="str">
        <v/>
      </c>
      <c r="G601" s="145" t="str">
        <v/>
      </c>
      <c r="H601" s="145" t="str">
        <v/>
      </c>
      <c r="I601" s="145" t="str">
        <v/>
      </c>
      <c r="J601" s="145" t="str">
        <v/>
      </c>
      <c r="K601" s="145" t="str">
        <v/>
      </c>
      <c r="L601" s="145" t="str">
        <v/>
      </c>
      <c r="M601" s="145" t="str">
        <v/>
      </c>
      <c r="N601" s="145" t="str">
        <v/>
      </c>
      <c r="O601" s="145" t="str">
        <v/>
      </c>
      <c r="P601" s="145" t="str">
        <v/>
      </c>
    </row>
    <row r="602" spans="1:16" x14ac:dyDescent="0.2">
      <c r="A602" s="58" t="str">
        <v/>
      </c>
      <c r="B602" s="123" t="str">
        <f>IFERROR(TIMEVALUE(DaqBook_RAW_Data!Q490),IFERROR(TIMEVALUE(DaqBook_RAW_Data!A12),""))</f>
        <v/>
      </c>
      <c r="C602" s="145" t="str">
        <v/>
      </c>
      <c r="D602" s="145" t="str">
        <v/>
      </c>
      <c r="E602" s="145" t="str">
        <v/>
      </c>
      <c r="F602" s="145" t="str">
        <v/>
      </c>
      <c r="G602" s="145" t="str">
        <v/>
      </c>
      <c r="H602" s="145" t="str">
        <v/>
      </c>
      <c r="I602" s="145" t="str">
        <v/>
      </c>
      <c r="J602" s="145" t="str">
        <v/>
      </c>
      <c r="K602" s="145" t="str">
        <v/>
      </c>
      <c r="L602" s="145" t="str">
        <v/>
      </c>
      <c r="M602" s="145" t="str">
        <v/>
      </c>
      <c r="N602" s="145" t="str">
        <v/>
      </c>
      <c r="O602" s="145" t="str">
        <v/>
      </c>
      <c r="P602" s="145" t="str">
        <v/>
      </c>
    </row>
    <row r="603" spans="1:16" x14ac:dyDescent="0.2">
      <c r="A603" s="58" t="str">
        <v/>
      </c>
      <c r="B603" s="123" t="str">
        <f>IFERROR(TIMEVALUE(DaqBook_RAW_Data!Q491),IFERROR(TIMEVALUE(DaqBook_RAW_Data!A13),""))</f>
        <v/>
      </c>
      <c r="C603" s="145" t="str">
        <v/>
      </c>
      <c r="D603" s="145" t="str">
        <v/>
      </c>
      <c r="E603" s="145" t="str">
        <v/>
      </c>
      <c r="F603" s="145" t="str">
        <v/>
      </c>
      <c r="G603" s="145" t="str">
        <v/>
      </c>
      <c r="H603" s="145" t="str">
        <v/>
      </c>
      <c r="I603" s="145" t="str">
        <v/>
      </c>
      <c r="J603" s="145" t="str">
        <v/>
      </c>
      <c r="K603" s="145" t="str">
        <v/>
      </c>
      <c r="L603" s="145" t="str">
        <v/>
      </c>
      <c r="M603" s="145" t="str">
        <v/>
      </c>
      <c r="N603" s="145" t="str">
        <v/>
      </c>
      <c r="O603" s="145" t="str">
        <v/>
      </c>
      <c r="P603" s="145" t="str">
        <v/>
      </c>
    </row>
    <row r="604" spans="1:16" x14ac:dyDescent="0.2">
      <c r="A604" s="58" t="str">
        <v/>
      </c>
      <c r="B604" s="123" t="str">
        <f>IFERROR(TIMEVALUE(DaqBook_RAW_Data!Q492),IFERROR(TIMEVALUE(DaqBook_RAW_Data!A14),""))</f>
        <v/>
      </c>
      <c r="C604" s="145" t="str">
        <v/>
      </c>
      <c r="D604" s="145" t="str">
        <v/>
      </c>
      <c r="E604" s="145" t="str">
        <v/>
      </c>
      <c r="F604" s="145" t="str">
        <v/>
      </c>
      <c r="G604" s="145" t="str">
        <v/>
      </c>
      <c r="H604" s="145" t="str">
        <v/>
      </c>
      <c r="I604" s="145" t="str">
        <v/>
      </c>
      <c r="J604" s="145" t="str">
        <v/>
      </c>
      <c r="K604" s="145" t="str">
        <v/>
      </c>
      <c r="L604" s="145" t="str">
        <v/>
      </c>
      <c r="M604" s="145" t="str">
        <v/>
      </c>
      <c r="N604" s="145" t="str">
        <v/>
      </c>
      <c r="O604" s="145" t="str">
        <v/>
      </c>
      <c r="P604" s="145" t="str">
        <v/>
      </c>
    </row>
    <row r="605" spans="1:16" x14ac:dyDescent="0.2">
      <c r="A605" s="58" t="str">
        <v/>
      </c>
      <c r="B605" s="123" t="str">
        <f>IFERROR(TIMEVALUE(DaqBook_RAW_Data!Q493),IFERROR(TIMEVALUE(DaqBook_RAW_Data!A15),""))</f>
        <v/>
      </c>
      <c r="C605" s="145" t="str">
        <v/>
      </c>
      <c r="D605" s="145" t="str">
        <v/>
      </c>
      <c r="E605" s="145" t="str">
        <v/>
      </c>
      <c r="F605" s="145" t="str">
        <v/>
      </c>
      <c r="G605" s="145" t="str">
        <v/>
      </c>
      <c r="H605" s="145" t="str">
        <v/>
      </c>
      <c r="I605" s="145" t="str">
        <v/>
      </c>
      <c r="J605" s="145" t="str">
        <v/>
      </c>
      <c r="K605" s="145" t="str">
        <v/>
      </c>
      <c r="L605" s="145" t="str">
        <v/>
      </c>
      <c r="M605" s="145" t="str">
        <v/>
      </c>
      <c r="N605" s="145" t="str">
        <v/>
      </c>
      <c r="O605" s="145" t="str">
        <v/>
      </c>
      <c r="P605" s="145" t="str">
        <v/>
      </c>
    </row>
    <row r="606" spans="1:16" x14ac:dyDescent="0.2">
      <c r="A606" s="58" t="str">
        <v/>
      </c>
      <c r="B606" s="123" t="str">
        <f>IFERROR(TIMEVALUE(DaqBook_RAW_Data!Q494),IFERROR(TIMEVALUE(DaqBook_RAW_Data!A16),""))</f>
        <v/>
      </c>
      <c r="C606" s="145" t="str">
        <v/>
      </c>
      <c r="D606" s="145" t="str">
        <v/>
      </c>
      <c r="E606" s="145" t="str">
        <v/>
      </c>
      <c r="F606" s="145" t="str">
        <v/>
      </c>
      <c r="G606" s="145" t="str">
        <v/>
      </c>
      <c r="H606" s="145" t="str">
        <v/>
      </c>
      <c r="I606" s="145" t="str">
        <v/>
      </c>
      <c r="J606" s="145" t="str">
        <v/>
      </c>
      <c r="K606" s="145" t="str">
        <v/>
      </c>
      <c r="L606" s="145" t="str">
        <v/>
      </c>
      <c r="M606" s="145" t="str">
        <v/>
      </c>
      <c r="N606" s="145" t="str">
        <v/>
      </c>
      <c r="O606" s="145" t="str">
        <v/>
      </c>
      <c r="P606" s="145" t="str">
        <v/>
      </c>
    </row>
    <row r="607" spans="1:16" x14ac:dyDescent="0.2">
      <c r="A607" s="58" t="str">
        <v/>
      </c>
      <c r="B607" s="123" t="str">
        <f>IFERROR(TIMEVALUE(DaqBook_RAW_Data!Q495),IFERROR(TIMEVALUE(DaqBook_RAW_Data!A17),""))</f>
        <v/>
      </c>
      <c r="C607" s="145" t="str">
        <v/>
      </c>
      <c r="D607" s="145" t="str">
        <v/>
      </c>
      <c r="E607" s="145" t="str">
        <v/>
      </c>
      <c r="F607" s="145" t="str">
        <v/>
      </c>
      <c r="G607" s="145" t="str">
        <v/>
      </c>
      <c r="H607" s="145" t="str">
        <v/>
      </c>
      <c r="I607" s="145" t="str">
        <v/>
      </c>
      <c r="J607" s="145" t="str">
        <v/>
      </c>
      <c r="K607" s="145" t="str">
        <v/>
      </c>
      <c r="L607" s="145" t="str">
        <v/>
      </c>
      <c r="M607" s="145" t="str">
        <v/>
      </c>
      <c r="N607" s="145" t="str">
        <v/>
      </c>
      <c r="O607" s="145" t="str">
        <v/>
      </c>
      <c r="P607" s="145" t="str">
        <v/>
      </c>
    </row>
    <row r="608" spans="1:16" x14ac:dyDescent="0.2">
      <c r="A608" s="58" t="str">
        <v/>
      </c>
      <c r="B608" s="123" t="str">
        <f>IFERROR(TIMEVALUE(DaqBook_RAW_Data!Q496),IFERROR(TIMEVALUE(DaqBook_RAW_Data!A18),""))</f>
        <v/>
      </c>
      <c r="C608" s="145" t="str">
        <v/>
      </c>
      <c r="D608" s="145" t="str">
        <v/>
      </c>
      <c r="E608" s="145" t="str">
        <v/>
      </c>
      <c r="F608" s="145" t="str">
        <v/>
      </c>
      <c r="G608" s="145" t="str">
        <v/>
      </c>
      <c r="H608" s="145" t="str">
        <v/>
      </c>
      <c r="I608" s="145" t="str">
        <v/>
      </c>
      <c r="J608" s="145" t="str">
        <v/>
      </c>
      <c r="K608" s="145" t="str">
        <v/>
      </c>
      <c r="L608" s="145" t="str">
        <v/>
      </c>
      <c r="M608" s="145" t="str">
        <v/>
      </c>
      <c r="N608" s="145" t="str">
        <v/>
      </c>
      <c r="O608" s="145" t="str">
        <v/>
      </c>
      <c r="P608" s="145" t="str">
        <v/>
      </c>
    </row>
    <row r="609" spans="1:16" x14ac:dyDescent="0.2">
      <c r="A609" s="58" t="str">
        <v/>
      </c>
      <c r="B609" s="123" t="str">
        <f>IFERROR(TIMEVALUE(DaqBook_RAW_Data!Q497),IFERROR(TIMEVALUE(DaqBook_RAW_Data!A19),""))</f>
        <v/>
      </c>
      <c r="C609" s="145" t="str">
        <v/>
      </c>
      <c r="D609" s="145" t="str">
        <v/>
      </c>
      <c r="E609" s="145" t="str">
        <v/>
      </c>
      <c r="F609" s="145" t="str">
        <v/>
      </c>
      <c r="G609" s="145" t="str">
        <v/>
      </c>
      <c r="H609" s="145" t="str">
        <v/>
      </c>
      <c r="I609" s="145" t="str">
        <v/>
      </c>
      <c r="J609" s="145" t="str">
        <v/>
      </c>
      <c r="K609" s="145" t="str">
        <v/>
      </c>
      <c r="L609" s="145" t="str">
        <v/>
      </c>
      <c r="M609" s="145" t="str">
        <v/>
      </c>
      <c r="N609" s="145" t="str">
        <v/>
      </c>
      <c r="O609" s="145" t="str">
        <v/>
      </c>
      <c r="P609" s="145" t="str">
        <v/>
      </c>
    </row>
    <row r="610" spans="1:16" x14ac:dyDescent="0.2">
      <c r="A610" s="58" t="str">
        <v/>
      </c>
      <c r="B610" s="123" t="str">
        <f>IFERROR(TIMEVALUE(DaqBook_RAW_Data!Q498),IFERROR(TIMEVALUE(DaqBook_RAW_Data!A20),""))</f>
        <v/>
      </c>
      <c r="C610" s="145" t="str">
        <v/>
      </c>
      <c r="D610" s="145" t="str">
        <v/>
      </c>
      <c r="E610" s="145" t="str">
        <v/>
      </c>
      <c r="F610" s="145" t="str">
        <v/>
      </c>
      <c r="G610" s="145" t="str">
        <v/>
      </c>
      <c r="H610" s="145" t="str">
        <v/>
      </c>
      <c r="I610" s="145" t="str">
        <v/>
      </c>
      <c r="J610" s="145" t="str">
        <v/>
      </c>
      <c r="K610" s="145" t="str">
        <v/>
      </c>
      <c r="L610" s="145" t="str">
        <v/>
      </c>
      <c r="M610" s="145" t="str">
        <v/>
      </c>
      <c r="N610" s="145" t="str">
        <v/>
      </c>
      <c r="O610" s="145" t="str">
        <v/>
      </c>
      <c r="P610" s="145" t="str">
        <v/>
      </c>
    </row>
    <row r="611" spans="1:16" x14ac:dyDescent="0.2">
      <c r="A611" s="58" t="str">
        <v/>
      </c>
      <c r="B611" s="123" t="str">
        <f>IFERROR(TIMEVALUE(DaqBook_RAW_Data!Q499),IFERROR(TIMEVALUE(DaqBook_RAW_Data!A21),""))</f>
        <v/>
      </c>
      <c r="C611" s="145" t="str">
        <v/>
      </c>
      <c r="D611" s="145" t="str">
        <v/>
      </c>
      <c r="E611" s="145" t="str">
        <v/>
      </c>
      <c r="F611" s="145" t="str">
        <v/>
      </c>
      <c r="G611" s="145" t="str">
        <v/>
      </c>
      <c r="H611" s="145" t="str">
        <v/>
      </c>
      <c r="I611" s="145" t="str">
        <v/>
      </c>
      <c r="J611" s="145" t="str">
        <v/>
      </c>
      <c r="K611" s="145" t="str">
        <v/>
      </c>
      <c r="L611" s="145" t="str">
        <v/>
      </c>
      <c r="M611" s="145" t="str">
        <v/>
      </c>
      <c r="N611" s="145" t="str">
        <v/>
      </c>
      <c r="O611" s="145" t="str">
        <v/>
      </c>
      <c r="P611" s="145" t="str">
        <v/>
      </c>
    </row>
    <row r="612" spans="1:16" x14ac:dyDescent="0.2">
      <c r="A612" s="58" t="str">
        <v/>
      </c>
      <c r="B612" s="123" t="str">
        <f>IFERROR(TIMEVALUE(DaqBook_RAW_Data!Q500),IFERROR(TIMEVALUE(DaqBook_RAW_Data!A22),""))</f>
        <v/>
      </c>
      <c r="C612" s="145" t="str">
        <v/>
      </c>
      <c r="D612" s="145" t="str">
        <v/>
      </c>
      <c r="E612" s="145" t="str">
        <v/>
      </c>
      <c r="F612" s="145" t="str">
        <v/>
      </c>
      <c r="G612" s="145" t="str">
        <v/>
      </c>
      <c r="H612" s="145" t="str">
        <v/>
      </c>
      <c r="I612" s="145" t="str">
        <v/>
      </c>
      <c r="J612" s="145" t="str">
        <v/>
      </c>
      <c r="K612" s="145" t="str">
        <v/>
      </c>
      <c r="L612" s="145" t="str">
        <v/>
      </c>
      <c r="M612" s="145" t="str">
        <v/>
      </c>
      <c r="N612" s="145" t="str">
        <v/>
      </c>
      <c r="O612" s="145" t="str">
        <v/>
      </c>
      <c r="P612" s="145" t="str">
        <v/>
      </c>
    </row>
    <row r="613" spans="1:16" x14ac:dyDescent="0.2">
      <c r="A613" s="58" t="str">
        <v/>
      </c>
      <c r="B613" s="123" t="str">
        <f>IFERROR(TIMEVALUE(DaqBook_RAW_Data!Q501),IFERROR(TIMEVALUE(DaqBook_RAW_Data!A23),""))</f>
        <v/>
      </c>
      <c r="C613" s="145" t="str">
        <v/>
      </c>
      <c r="D613" s="145" t="str">
        <v/>
      </c>
      <c r="E613" s="145" t="str">
        <v/>
      </c>
      <c r="F613" s="145" t="str">
        <v/>
      </c>
      <c r="G613" s="145" t="str">
        <v/>
      </c>
      <c r="H613" s="145" t="str">
        <v/>
      </c>
      <c r="I613" s="145" t="str">
        <v/>
      </c>
      <c r="J613" s="145" t="str">
        <v/>
      </c>
      <c r="K613" s="145" t="str">
        <v/>
      </c>
      <c r="L613" s="145" t="str">
        <v/>
      </c>
      <c r="M613" s="145" t="str">
        <v/>
      </c>
      <c r="N613" s="145" t="str">
        <v/>
      </c>
      <c r="O613" s="145" t="str">
        <v/>
      </c>
      <c r="P613" s="145" t="str">
        <v/>
      </c>
    </row>
    <row r="614" spans="1:16" x14ac:dyDescent="0.2">
      <c r="A614" s="58" t="str">
        <v/>
      </c>
      <c r="B614" s="123" t="str">
        <f>IFERROR(TIMEVALUE(DaqBook_RAW_Data!Q502),IFERROR(TIMEVALUE(DaqBook_RAW_Data!A24),""))</f>
        <v/>
      </c>
      <c r="C614" s="145" t="str">
        <v/>
      </c>
      <c r="D614" s="145" t="str">
        <v/>
      </c>
      <c r="E614" s="145" t="str">
        <v/>
      </c>
      <c r="F614" s="145" t="str">
        <v/>
      </c>
      <c r="G614" s="145" t="str">
        <v/>
      </c>
      <c r="H614" s="145" t="str">
        <v/>
      </c>
      <c r="I614" s="145" t="str">
        <v/>
      </c>
      <c r="J614" s="145" t="str">
        <v/>
      </c>
      <c r="K614" s="145" t="str">
        <v/>
      </c>
      <c r="L614" s="145" t="str">
        <v/>
      </c>
      <c r="M614" s="145" t="str">
        <v/>
      </c>
      <c r="N614" s="145" t="str">
        <v/>
      </c>
      <c r="O614" s="145" t="str">
        <v/>
      </c>
      <c r="P614" s="145" t="str">
        <v/>
      </c>
    </row>
    <row r="615" spans="1:16" x14ac:dyDescent="0.2">
      <c r="A615" s="58" t="str">
        <v/>
      </c>
      <c r="B615" s="123" t="str">
        <f>IFERROR(TIMEVALUE(DaqBook_RAW_Data!Q503),IFERROR(TIMEVALUE(DaqBook_RAW_Data!A25),""))</f>
        <v/>
      </c>
      <c r="C615" s="145" t="str">
        <v/>
      </c>
      <c r="D615" s="145" t="str">
        <v/>
      </c>
      <c r="E615" s="145" t="str">
        <v/>
      </c>
      <c r="F615" s="145" t="str">
        <v/>
      </c>
      <c r="G615" s="145" t="str">
        <v/>
      </c>
      <c r="H615" s="145" t="str">
        <v/>
      </c>
      <c r="I615" s="145" t="str">
        <v/>
      </c>
      <c r="J615" s="145" t="str">
        <v/>
      </c>
      <c r="K615" s="145" t="str">
        <v/>
      </c>
      <c r="L615" s="145" t="str">
        <v/>
      </c>
      <c r="M615" s="145" t="str">
        <v/>
      </c>
      <c r="N615" s="145" t="str">
        <v/>
      </c>
      <c r="O615" s="145" t="str">
        <v/>
      </c>
      <c r="P615" s="145" t="str">
        <v/>
      </c>
    </row>
    <row r="616" spans="1:16" x14ac:dyDescent="0.2">
      <c r="A616" s="58" t="str">
        <v/>
      </c>
      <c r="B616" s="123" t="str">
        <f>IFERROR(TIMEVALUE(DaqBook_RAW_Data!Q504),IFERROR(TIMEVALUE(DaqBook_RAW_Data!A26),""))</f>
        <v/>
      </c>
      <c r="C616" s="145" t="str">
        <v/>
      </c>
      <c r="D616" s="145" t="str">
        <v/>
      </c>
      <c r="E616" s="145" t="str">
        <v/>
      </c>
      <c r="F616" s="145" t="str">
        <v/>
      </c>
      <c r="G616" s="145" t="str">
        <v/>
      </c>
      <c r="H616" s="145" t="str">
        <v/>
      </c>
      <c r="I616" s="145" t="str">
        <v/>
      </c>
      <c r="J616" s="145" t="str">
        <v/>
      </c>
      <c r="K616" s="145" t="str">
        <v/>
      </c>
      <c r="L616" s="145" t="str">
        <v/>
      </c>
      <c r="M616" s="145" t="str">
        <v/>
      </c>
      <c r="N616" s="145" t="str">
        <v/>
      </c>
      <c r="O616" s="145" t="str">
        <v/>
      </c>
      <c r="P616" s="145" t="str">
        <v/>
      </c>
    </row>
    <row r="617" spans="1:16" x14ac:dyDescent="0.2">
      <c r="A617" s="58" t="str">
        <v/>
      </c>
      <c r="B617" s="123" t="str">
        <f>IFERROR(TIMEVALUE(DaqBook_RAW_Data!Q505),IFERROR(TIMEVALUE(DaqBook_RAW_Data!A27),""))</f>
        <v/>
      </c>
      <c r="C617" s="145" t="str">
        <v/>
      </c>
      <c r="D617" s="145" t="str">
        <v/>
      </c>
      <c r="E617" s="145" t="str">
        <v/>
      </c>
      <c r="F617" s="145" t="str">
        <v/>
      </c>
      <c r="G617" s="145" t="str">
        <v/>
      </c>
      <c r="H617" s="145" t="str">
        <v/>
      </c>
      <c r="I617" s="145" t="str">
        <v/>
      </c>
      <c r="J617" s="145" t="str">
        <v/>
      </c>
      <c r="K617" s="145" t="str">
        <v/>
      </c>
      <c r="L617" s="145" t="str">
        <v/>
      </c>
      <c r="M617" s="145" t="str">
        <v/>
      </c>
      <c r="N617" s="145" t="str">
        <v/>
      </c>
      <c r="O617" s="145" t="str">
        <v/>
      </c>
      <c r="P617" s="145" t="str">
        <v/>
      </c>
    </row>
    <row r="618" spans="1:16" x14ac:dyDescent="0.2">
      <c r="A618" s="58" t="str">
        <v/>
      </c>
      <c r="B618" s="123" t="str">
        <f>IFERROR(TIMEVALUE(DaqBook_RAW_Data!Q506),IFERROR(TIMEVALUE(DaqBook_RAW_Data!A28),""))</f>
        <v/>
      </c>
      <c r="C618" s="145" t="str">
        <v/>
      </c>
      <c r="D618" s="145" t="str">
        <v/>
      </c>
      <c r="E618" s="145" t="str">
        <v/>
      </c>
      <c r="F618" s="145" t="str">
        <v/>
      </c>
      <c r="G618" s="145" t="str">
        <v/>
      </c>
      <c r="H618" s="145" t="str">
        <v/>
      </c>
      <c r="I618" s="145" t="str">
        <v/>
      </c>
      <c r="J618" s="145" t="str">
        <v/>
      </c>
      <c r="K618" s="145" t="str">
        <v/>
      </c>
      <c r="L618" s="145" t="str">
        <v/>
      </c>
      <c r="M618" s="145" t="str">
        <v/>
      </c>
      <c r="N618" s="145" t="str">
        <v/>
      </c>
      <c r="O618" s="145" t="str">
        <v/>
      </c>
      <c r="P618" s="145" t="str">
        <v/>
      </c>
    </row>
    <row r="619" spans="1:16" x14ac:dyDescent="0.2">
      <c r="A619" s="58" t="str">
        <v/>
      </c>
      <c r="B619" s="123" t="str">
        <f>IFERROR(TIMEVALUE(DaqBook_RAW_Data!Q507),IFERROR(TIMEVALUE(DaqBook_RAW_Data!A29),""))</f>
        <v/>
      </c>
      <c r="C619" s="145" t="str">
        <v/>
      </c>
      <c r="D619" s="145" t="str">
        <v/>
      </c>
      <c r="E619" s="145" t="str">
        <v/>
      </c>
      <c r="F619" s="145" t="str">
        <v/>
      </c>
      <c r="G619" s="145" t="str">
        <v/>
      </c>
      <c r="H619" s="145" t="str">
        <v/>
      </c>
      <c r="I619" s="145" t="str">
        <v/>
      </c>
      <c r="J619" s="145" t="str">
        <v/>
      </c>
      <c r="K619" s="145" t="str">
        <v/>
      </c>
      <c r="L619" s="145" t="str">
        <v/>
      </c>
      <c r="M619" s="145" t="str">
        <v/>
      </c>
      <c r="N619" s="145" t="str">
        <v/>
      </c>
      <c r="O619" s="145" t="str">
        <v/>
      </c>
      <c r="P619" s="145" t="str">
        <v/>
      </c>
    </row>
    <row r="620" spans="1:16" x14ac:dyDescent="0.2">
      <c r="A620" s="58" t="str">
        <v/>
      </c>
      <c r="B620" s="123" t="str">
        <f>IFERROR(TIMEVALUE(DaqBook_RAW_Data!Q508),IFERROR(TIMEVALUE(DaqBook_RAW_Data!A30),""))</f>
        <v/>
      </c>
      <c r="C620" s="145" t="str">
        <v/>
      </c>
      <c r="D620" s="145" t="str">
        <v/>
      </c>
      <c r="E620" s="145" t="str">
        <v/>
      </c>
      <c r="F620" s="145" t="str">
        <v/>
      </c>
      <c r="G620" s="145" t="str">
        <v/>
      </c>
      <c r="H620" s="145" t="str">
        <v/>
      </c>
      <c r="I620" s="145" t="str">
        <v/>
      </c>
      <c r="J620" s="145" t="str">
        <v/>
      </c>
      <c r="K620" s="145" t="str">
        <v/>
      </c>
      <c r="L620" s="145" t="str">
        <v/>
      </c>
      <c r="M620" s="145" t="str">
        <v/>
      </c>
      <c r="N620" s="145" t="str">
        <v/>
      </c>
      <c r="O620" s="145" t="str">
        <v/>
      </c>
      <c r="P620" s="145" t="str">
        <v/>
      </c>
    </row>
    <row r="621" spans="1:16" x14ac:dyDescent="0.2">
      <c r="A621" s="58" t="str">
        <v/>
      </c>
      <c r="B621" s="123" t="str">
        <f>IFERROR(TIMEVALUE(DaqBook_RAW_Data!Q509),IFERROR(TIMEVALUE(DaqBook_RAW_Data!A31),""))</f>
        <v/>
      </c>
      <c r="C621" s="145" t="str">
        <v/>
      </c>
      <c r="D621" s="145" t="str">
        <v/>
      </c>
      <c r="E621" s="145" t="str">
        <v/>
      </c>
      <c r="F621" s="145" t="str">
        <v/>
      </c>
      <c r="G621" s="145" t="str">
        <v/>
      </c>
      <c r="H621" s="145" t="str">
        <v/>
      </c>
      <c r="I621" s="145" t="str">
        <v/>
      </c>
      <c r="J621" s="145" t="str">
        <v/>
      </c>
      <c r="K621" s="145" t="str">
        <v/>
      </c>
      <c r="L621" s="145" t="str">
        <v/>
      </c>
      <c r="M621" s="145" t="str">
        <v/>
      </c>
      <c r="N621" s="145" t="str">
        <v/>
      </c>
      <c r="O621" s="145" t="str">
        <v/>
      </c>
      <c r="P621" s="145" t="str">
        <v/>
      </c>
    </row>
    <row r="622" spans="1:16" x14ac:dyDescent="0.2">
      <c r="A622" s="58" t="str">
        <v/>
      </c>
      <c r="B622" s="123" t="str">
        <f>IFERROR(TIMEVALUE(DaqBook_RAW_Data!Q510),IFERROR(TIMEVALUE(DaqBook_RAW_Data!A32),""))</f>
        <v/>
      </c>
      <c r="C622" s="145" t="str">
        <v/>
      </c>
      <c r="D622" s="145" t="str">
        <v/>
      </c>
      <c r="E622" s="145" t="str">
        <v/>
      </c>
      <c r="F622" s="145" t="str">
        <v/>
      </c>
      <c r="G622" s="145" t="str">
        <v/>
      </c>
      <c r="H622" s="145" t="str">
        <v/>
      </c>
      <c r="I622" s="145" t="str">
        <v/>
      </c>
      <c r="J622" s="145" t="str">
        <v/>
      </c>
      <c r="K622" s="145" t="str">
        <v/>
      </c>
      <c r="L622" s="145" t="str">
        <v/>
      </c>
      <c r="M622" s="145" t="str">
        <v/>
      </c>
      <c r="N622" s="145" t="str">
        <v/>
      </c>
      <c r="O622" s="145" t="str">
        <v/>
      </c>
      <c r="P622" s="145" t="str">
        <v/>
      </c>
    </row>
    <row r="623" spans="1:16" x14ac:dyDescent="0.2">
      <c r="A623" s="58" t="str">
        <v/>
      </c>
      <c r="B623" s="123" t="str">
        <f>IFERROR(TIMEVALUE(DaqBook_RAW_Data!Q511),IFERROR(TIMEVALUE(DaqBook_RAW_Data!A33),""))</f>
        <v/>
      </c>
      <c r="C623" s="145" t="str">
        <v/>
      </c>
      <c r="D623" s="145" t="str">
        <v/>
      </c>
      <c r="E623" s="145" t="str">
        <v/>
      </c>
      <c r="F623" s="145" t="str">
        <v/>
      </c>
      <c r="G623" s="145" t="str">
        <v/>
      </c>
      <c r="H623" s="145" t="str">
        <v/>
      </c>
      <c r="I623" s="145" t="str">
        <v/>
      </c>
      <c r="J623" s="145" t="str">
        <v/>
      </c>
      <c r="K623" s="145" t="str">
        <v/>
      </c>
      <c r="L623" s="145" t="str">
        <v/>
      </c>
      <c r="M623" s="145" t="str">
        <v/>
      </c>
      <c r="N623" s="145" t="str">
        <v/>
      </c>
      <c r="O623" s="145" t="str">
        <v/>
      </c>
      <c r="P623" s="145" t="str">
        <v/>
      </c>
    </row>
    <row r="624" spans="1:16" x14ac:dyDescent="0.2">
      <c r="A624" s="58" t="str">
        <v/>
      </c>
      <c r="B624" s="123" t="str">
        <f>IFERROR(TIMEVALUE(DaqBook_RAW_Data!Q512),IFERROR(TIMEVALUE(DaqBook_RAW_Data!A34),""))</f>
        <v/>
      </c>
      <c r="C624" s="145" t="str">
        <v/>
      </c>
      <c r="D624" s="145" t="str">
        <v/>
      </c>
      <c r="E624" s="145" t="str">
        <v/>
      </c>
      <c r="F624" s="145" t="str">
        <v/>
      </c>
      <c r="G624" s="145" t="str">
        <v/>
      </c>
      <c r="H624" s="145" t="str">
        <v/>
      </c>
      <c r="I624" s="145" t="str">
        <v/>
      </c>
      <c r="J624" s="145" t="str">
        <v/>
      </c>
      <c r="K624" s="145" t="str">
        <v/>
      </c>
      <c r="L624" s="145" t="str">
        <v/>
      </c>
      <c r="M624" s="145" t="str">
        <v/>
      </c>
      <c r="N624" s="145" t="str">
        <v/>
      </c>
      <c r="O624" s="145" t="str">
        <v/>
      </c>
      <c r="P624" s="145" t="str">
        <v/>
      </c>
    </row>
    <row r="625" spans="1:16" x14ac:dyDescent="0.2">
      <c r="A625" s="58" t="str">
        <v/>
      </c>
      <c r="B625" s="123" t="str">
        <f>IFERROR(TIMEVALUE(DaqBook_RAW_Data!Q513),IFERROR(TIMEVALUE(DaqBook_RAW_Data!A35),""))</f>
        <v/>
      </c>
      <c r="C625" s="145" t="str">
        <v/>
      </c>
      <c r="D625" s="145" t="str">
        <v/>
      </c>
      <c r="E625" s="145" t="str">
        <v/>
      </c>
      <c r="F625" s="145" t="str">
        <v/>
      </c>
      <c r="G625" s="145" t="str">
        <v/>
      </c>
      <c r="H625" s="145" t="str">
        <v/>
      </c>
      <c r="I625" s="145" t="str">
        <v/>
      </c>
      <c r="J625" s="145" t="str">
        <v/>
      </c>
      <c r="K625" s="145" t="str">
        <v/>
      </c>
      <c r="L625" s="145" t="str">
        <v/>
      </c>
      <c r="M625" s="145" t="str">
        <v/>
      </c>
      <c r="N625" s="145" t="str">
        <v/>
      </c>
      <c r="O625" s="145" t="str">
        <v/>
      </c>
      <c r="P625" s="145" t="str">
        <v/>
      </c>
    </row>
    <row r="626" spans="1:16" x14ac:dyDescent="0.2">
      <c r="A626" s="58" t="str">
        <v/>
      </c>
      <c r="B626" s="123" t="str">
        <f>IFERROR(TIMEVALUE(DaqBook_RAW_Data!Q514),IFERROR(TIMEVALUE(DaqBook_RAW_Data!A36),""))</f>
        <v/>
      </c>
      <c r="C626" s="145" t="str">
        <v/>
      </c>
      <c r="D626" s="145" t="str">
        <v/>
      </c>
      <c r="E626" s="145" t="str">
        <v/>
      </c>
      <c r="F626" s="145" t="str">
        <v/>
      </c>
      <c r="G626" s="145" t="str">
        <v/>
      </c>
      <c r="H626" s="145" t="str">
        <v/>
      </c>
      <c r="I626" s="145" t="str">
        <v/>
      </c>
      <c r="J626" s="145" t="str">
        <v/>
      </c>
      <c r="K626" s="145" t="str">
        <v/>
      </c>
      <c r="L626" s="145" t="str">
        <v/>
      </c>
      <c r="M626" s="145" t="str">
        <v/>
      </c>
      <c r="N626" s="145" t="str">
        <v/>
      </c>
      <c r="O626" s="145" t="str">
        <v/>
      </c>
      <c r="P626" s="145" t="str">
        <v/>
      </c>
    </row>
    <row r="627" spans="1:16" x14ac:dyDescent="0.2">
      <c r="A627" s="58" t="str">
        <v/>
      </c>
      <c r="B627" s="123" t="str">
        <f>IFERROR(TIMEVALUE(DaqBook_RAW_Data!Q515),IFERROR(TIMEVALUE(DaqBook_RAW_Data!A37),""))</f>
        <v/>
      </c>
      <c r="C627" s="145" t="str">
        <v/>
      </c>
      <c r="D627" s="145" t="str">
        <v/>
      </c>
      <c r="E627" s="145" t="str">
        <v/>
      </c>
      <c r="F627" s="145" t="str">
        <v/>
      </c>
      <c r="G627" s="145" t="str">
        <v/>
      </c>
      <c r="H627" s="145" t="str">
        <v/>
      </c>
      <c r="I627" s="145" t="str">
        <v/>
      </c>
      <c r="J627" s="145" t="str">
        <v/>
      </c>
      <c r="K627" s="145" t="str">
        <v/>
      </c>
      <c r="L627" s="145" t="str">
        <v/>
      </c>
      <c r="M627" s="145" t="str">
        <v/>
      </c>
      <c r="N627" s="145" t="str">
        <v/>
      </c>
      <c r="O627" s="145" t="str">
        <v/>
      </c>
      <c r="P627" s="145" t="str">
        <v/>
      </c>
    </row>
    <row r="628" spans="1:16" x14ac:dyDescent="0.2">
      <c r="A628" s="58" t="str">
        <v/>
      </c>
      <c r="B628" s="123" t="str">
        <f>IFERROR(TIMEVALUE(DaqBook_RAW_Data!Q516),IFERROR(TIMEVALUE(DaqBook_RAW_Data!A38),""))</f>
        <v/>
      </c>
      <c r="C628" s="145" t="str">
        <v/>
      </c>
      <c r="D628" s="145" t="str">
        <v/>
      </c>
      <c r="E628" s="145" t="str">
        <v/>
      </c>
      <c r="F628" s="145" t="str">
        <v/>
      </c>
      <c r="G628" s="145" t="str">
        <v/>
      </c>
      <c r="H628" s="145" t="str">
        <v/>
      </c>
      <c r="I628" s="145" t="str">
        <v/>
      </c>
      <c r="J628" s="145" t="str">
        <v/>
      </c>
      <c r="K628" s="145" t="str">
        <v/>
      </c>
      <c r="L628" s="145" t="str">
        <v/>
      </c>
      <c r="M628" s="145" t="str">
        <v/>
      </c>
      <c r="N628" s="145" t="str">
        <v/>
      </c>
      <c r="O628" s="145" t="str">
        <v/>
      </c>
      <c r="P628" s="145" t="str">
        <v/>
      </c>
    </row>
    <row r="629" spans="1:16" x14ac:dyDescent="0.2">
      <c r="A629" s="58" t="str">
        <v/>
      </c>
      <c r="B629" s="123" t="str">
        <f>IFERROR(TIMEVALUE(DaqBook_RAW_Data!Q517),IFERROR(TIMEVALUE(DaqBook_RAW_Data!A39),""))</f>
        <v/>
      </c>
      <c r="C629" s="145" t="str">
        <v/>
      </c>
      <c r="D629" s="145" t="str">
        <v/>
      </c>
      <c r="E629" s="145" t="str">
        <v/>
      </c>
      <c r="F629" s="145" t="str">
        <v/>
      </c>
      <c r="G629" s="145" t="str">
        <v/>
      </c>
      <c r="H629" s="145" t="str">
        <v/>
      </c>
      <c r="I629" s="145" t="str">
        <v/>
      </c>
      <c r="J629" s="145" t="str">
        <v/>
      </c>
      <c r="K629" s="145" t="str">
        <v/>
      </c>
      <c r="L629" s="145" t="str">
        <v/>
      </c>
      <c r="M629" s="145" t="str">
        <v/>
      </c>
      <c r="N629" s="145" t="str">
        <v/>
      </c>
      <c r="O629" s="145" t="str">
        <v/>
      </c>
      <c r="P629" s="145" t="str">
        <v/>
      </c>
    </row>
    <row r="630" spans="1:16" x14ac:dyDescent="0.2">
      <c r="A630" s="58" t="str">
        <v/>
      </c>
      <c r="B630" s="123" t="str">
        <f>IFERROR(TIMEVALUE(DaqBook_RAW_Data!Q518),IFERROR(TIMEVALUE(DaqBook_RAW_Data!A40),""))</f>
        <v/>
      </c>
      <c r="C630" s="145" t="str">
        <v/>
      </c>
      <c r="D630" s="145" t="str">
        <v/>
      </c>
      <c r="E630" s="145" t="str">
        <v/>
      </c>
      <c r="F630" s="145" t="str">
        <v/>
      </c>
      <c r="G630" s="145" t="str">
        <v/>
      </c>
      <c r="H630" s="145" t="str">
        <v/>
      </c>
      <c r="I630" s="145" t="str">
        <v/>
      </c>
      <c r="J630" s="145" t="str">
        <v/>
      </c>
      <c r="K630" s="145" t="str">
        <v/>
      </c>
      <c r="L630" s="145" t="str">
        <v/>
      </c>
      <c r="M630" s="145" t="str">
        <v/>
      </c>
      <c r="N630" s="145" t="str">
        <v/>
      </c>
      <c r="O630" s="145" t="str">
        <v/>
      </c>
      <c r="P630" s="145" t="str">
        <v/>
      </c>
    </row>
    <row r="631" spans="1:16" x14ac:dyDescent="0.2">
      <c r="A631" s="58" t="str">
        <v/>
      </c>
      <c r="B631" s="123" t="str">
        <f>IFERROR(TIMEVALUE(DaqBook_RAW_Data!Q519),IFERROR(TIMEVALUE(DaqBook_RAW_Data!A41),""))</f>
        <v/>
      </c>
      <c r="C631" s="145" t="str">
        <v/>
      </c>
      <c r="D631" s="145" t="str">
        <v/>
      </c>
      <c r="E631" s="145" t="str">
        <v/>
      </c>
      <c r="F631" s="145" t="str">
        <v/>
      </c>
      <c r="G631" s="145" t="str">
        <v/>
      </c>
      <c r="H631" s="145" t="str">
        <v/>
      </c>
      <c r="I631" s="145" t="str">
        <v/>
      </c>
      <c r="J631" s="145" t="str">
        <v/>
      </c>
      <c r="K631" s="145" t="str">
        <v/>
      </c>
      <c r="L631" s="145" t="str">
        <v/>
      </c>
      <c r="M631" s="145" t="str">
        <v/>
      </c>
      <c r="N631" s="145" t="str">
        <v/>
      </c>
      <c r="O631" s="145" t="str">
        <v/>
      </c>
      <c r="P631" s="145" t="str">
        <v/>
      </c>
    </row>
    <row r="632" spans="1:16" x14ac:dyDescent="0.2">
      <c r="A632" s="58" t="str">
        <v/>
      </c>
      <c r="B632" s="123" t="str">
        <f>IFERROR(TIMEVALUE(DaqBook_RAW_Data!Q520),IFERROR(TIMEVALUE(DaqBook_RAW_Data!A42),""))</f>
        <v/>
      </c>
      <c r="C632" s="145" t="str">
        <v/>
      </c>
      <c r="D632" s="145" t="str">
        <v/>
      </c>
      <c r="E632" s="145" t="str">
        <v/>
      </c>
      <c r="F632" s="145" t="str">
        <v/>
      </c>
      <c r="G632" s="145" t="str">
        <v/>
      </c>
      <c r="H632" s="145" t="str">
        <v/>
      </c>
      <c r="I632" s="145" t="str">
        <v/>
      </c>
      <c r="J632" s="145" t="str">
        <v/>
      </c>
      <c r="K632" s="145" t="str">
        <v/>
      </c>
      <c r="L632" s="145" t="str">
        <v/>
      </c>
      <c r="M632" s="145" t="str">
        <v/>
      </c>
      <c r="N632" s="145" t="str">
        <v/>
      </c>
      <c r="O632" s="145" t="str">
        <v/>
      </c>
      <c r="P632" s="145" t="str">
        <v/>
      </c>
    </row>
    <row r="633" spans="1:16" x14ac:dyDescent="0.2">
      <c r="A633" s="58" t="str">
        <v/>
      </c>
      <c r="B633" s="123" t="str">
        <f>IFERROR(TIMEVALUE(DaqBook_RAW_Data!Q521),IFERROR(TIMEVALUE(DaqBook_RAW_Data!A43),""))</f>
        <v/>
      </c>
      <c r="C633" s="145" t="str">
        <v/>
      </c>
      <c r="D633" s="145" t="str">
        <v/>
      </c>
      <c r="E633" s="145" t="str">
        <v/>
      </c>
      <c r="F633" s="145" t="str">
        <v/>
      </c>
      <c r="G633" s="145" t="str">
        <v/>
      </c>
      <c r="H633" s="145" t="str">
        <v/>
      </c>
      <c r="I633" s="145" t="str">
        <v/>
      </c>
      <c r="J633" s="145" t="str">
        <v/>
      </c>
      <c r="K633" s="145" t="str">
        <v/>
      </c>
      <c r="L633" s="145" t="str">
        <v/>
      </c>
      <c r="M633" s="145" t="str">
        <v/>
      </c>
      <c r="N633" s="145" t="str">
        <v/>
      </c>
      <c r="O633" s="145" t="str">
        <v/>
      </c>
      <c r="P633" s="145" t="str">
        <v/>
      </c>
    </row>
    <row r="634" spans="1:16" x14ac:dyDescent="0.2">
      <c r="A634" s="58" t="str">
        <v/>
      </c>
      <c r="B634" s="123" t="str">
        <f>IFERROR(TIMEVALUE(DaqBook_RAW_Data!Q522),IFERROR(TIMEVALUE(DaqBook_RAW_Data!A44),""))</f>
        <v/>
      </c>
      <c r="C634" s="145" t="str">
        <v/>
      </c>
      <c r="D634" s="145" t="str">
        <v/>
      </c>
      <c r="E634" s="145" t="str">
        <v/>
      </c>
      <c r="F634" s="145" t="str">
        <v/>
      </c>
      <c r="G634" s="145" t="str">
        <v/>
      </c>
      <c r="H634" s="145" t="str">
        <v/>
      </c>
      <c r="I634" s="145" t="str">
        <v/>
      </c>
      <c r="J634" s="145" t="str">
        <v/>
      </c>
      <c r="K634" s="145" t="str">
        <v/>
      </c>
      <c r="L634" s="145" t="str">
        <v/>
      </c>
      <c r="M634" s="145" t="str">
        <v/>
      </c>
      <c r="N634" s="145" t="str">
        <v/>
      </c>
      <c r="O634" s="145" t="str">
        <v/>
      </c>
      <c r="P634" s="145" t="str">
        <v/>
      </c>
    </row>
    <row r="635" spans="1:16" x14ac:dyDescent="0.2">
      <c r="A635" s="58" t="str">
        <v/>
      </c>
      <c r="B635" s="123" t="str">
        <f>IFERROR(TIMEVALUE(DaqBook_RAW_Data!Q523),IFERROR(TIMEVALUE(DaqBook_RAW_Data!A45),""))</f>
        <v/>
      </c>
      <c r="C635" s="145" t="str">
        <v/>
      </c>
      <c r="D635" s="145" t="str">
        <v/>
      </c>
      <c r="E635" s="145" t="str">
        <v/>
      </c>
      <c r="F635" s="145" t="str">
        <v/>
      </c>
      <c r="G635" s="145" t="str">
        <v/>
      </c>
      <c r="H635" s="145" t="str">
        <v/>
      </c>
      <c r="I635" s="145" t="str">
        <v/>
      </c>
      <c r="J635" s="145" t="str">
        <v/>
      </c>
      <c r="K635" s="145" t="str">
        <v/>
      </c>
      <c r="L635" s="145" t="str">
        <v/>
      </c>
      <c r="M635" s="145" t="str">
        <v/>
      </c>
      <c r="N635" s="145" t="str">
        <v/>
      </c>
      <c r="O635" s="145" t="str">
        <v/>
      </c>
      <c r="P635" s="145" t="str">
        <v/>
      </c>
    </row>
    <row r="636" spans="1:16" x14ac:dyDescent="0.2">
      <c r="A636" s="58" t="str">
        <v/>
      </c>
      <c r="B636" s="123" t="str">
        <f>IFERROR(TIMEVALUE(DaqBook_RAW_Data!Q524),IFERROR(TIMEVALUE(DaqBook_RAW_Data!A46),""))</f>
        <v/>
      </c>
      <c r="C636" s="145" t="str">
        <v/>
      </c>
      <c r="D636" s="145" t="str">
        <v/>
      </c>
      <c r="E636" s="145" t="str">
        <v/>
      </c>
      <c r="F636" s="145" t="str">
        <v/>
      </c>
      <c r="G636" s="145" t="str">
        <v/>
      </c>
      <c r="H636" s="145" t="str">
        <v/>
      </c>
      <c r="I636" s="145" t="str">
        <v/>
      </c>
      <c r="J636" s="145" t="str">
        <v/>
      </c>
      <c r="K636" s="145" t="str">
        <v/>
      </c>
      <c r="L636" s="145" t="str">
        <v/>
      </c>
      <c r="M636" s="145" t="str">
        <v/>
      </c>
      <c r="N636" s="145" t="str">
        <v/>
      </c>
      <c r="O636" s="145" t="str">
        <v/>
      </c>
      <c r="P636" s="145" t="str">
        <v/>
      </c>
    </row>
    <row r="637" spans="1:16" x14ac:dyDescent="0.2">
      <c r="A637" s="58" t="str">
        <v/>
      </c>
      <c r="B637" s="123" t="str">
        <f>IFERROR(TIMEVALUE(DaqBook_RAW_Data!Q525),IFERROR(TIMEVALUE(DaqBook_RAW_Data!A47),""))</f>
        <v/>
      </c>
      <c r="C637" s="145" t="str">
        <v/>
      </c>
      <c r="D637" s="145" t="str">
        <v/>
      </c>
      <c r="E637" s="145" t="str">
        <v/>
      </c>
      <c r="F637" s="145" t="str">
        <v/>
      </c>
      <c r="G637" s="145" t="str">
        <v/>
      </c>
      <c r="H637" s="145" t="str">
        <v/>
      </c>
      <c r="I637" s="145" t="str">
        <v/>
      </c>
      <c r="J637" s="145" t="str">
        <v/>
      </c>
      <c r="K637" s="145" t="str">
        <v/>
      </c>
      <c r="L637" s="145" t="str">
        <v/>
      </c>
      <c r="M637" s="145" t="str">
        <v/>
      </c>
      <c r="N637" s="145" t="str">
        <v/>
      </c>
      <c r="O637" s="145" t="str">
        <v/>
      </c>
      <c r="P637" s="145" t="str">
        <v/>
      </c>
    </row>
    <row r="638" spans="1:16" x14ac:dyDescent="0.2">
      <c r="A638" s="58" t="str">
        <v/>
      </c>
      <c r="B638" s="123" t="str">
        <f>IFERROR(TIMEVALUE(DaqBook_RAW_Data!Q526),IFERROR(TIMEVALUE(DaqBook_RAW_Data!A48),""))</f>
        <v/>
      </c>
      <c r="C638" s="145" t="str">
        <v/>
      </c>
      <c r="D638" s="145" t="str">
        <v/>
      </c>
      <c r="E638" s="145" t="str">
        <v/>
      </c>
      <c r="F638" s="145" t="str">
        <v/>
      </c>
      <c r="G638" s="145" t="str">
        <v/>
      </c>
      <c r="H638" s="145" t="str">
        <v/>
      </c>
      <c r="I638" s="145" t="str">
        <v/>
      </c>
      <c r="J638" s="145" t="str">
        <v/>
      </c>
      <c r="K638" s="145" t="str">
        <v/>
      </c>
      <c r="L638" s="145" t="str">
        <v/>
      </c>
      <c r="M638" s="145" t="str">
        <v/>
      </c>
      <c r="N638" s="145" t="str">
        <v/>
      </c>
      <c r="O638" s="145" t="str">
        <v/>
      </c>
      <c r="P638" s="145" t="str">
        <v/>
      </c>
    </row>
    <row r="639" spans="1:16" x14ac:dyDescent="0.2">
      <c r="A639" s="58" t="str">
        <v/>
      </c>
      <c r="B639" s="123" t="str">
        <f>IFERROR(TIMEVALUE(DaqBook_RAW_Data!Q527),IFERROR(TIMEVALUE(DaqBook_RAW_Data!A49),""))</f>
        <v/>
      </c>
      <c r="C639" s="145" t="str">
        <v/>
      </c>
      <c r="D639" s="145" t="str">
        <v/>
      </c>
      <c r="E639" s="145" t="str">
        <v/>
      </c>
      <c r="F639" s="145" t="str">
        <v/>
      </c>
      <c r="G639" s="145" t="str">
        <v/>
      </c>
      <c r="H639" s="145" t="str">
        <v/>
      </c>
      <c r="I639" s="145" t="str">
        <v/>
      </c>
      <c r="J639" s="145" t="str">
        <v/>
      </c>
      <c r="K639" s="145" t="str">
        <v/>
      </c>
      <c r="L639" s="145" t="str">
        <v/>
      </c>
      <c r="M639" s="145" t="str">
        <v/>
      </c>
      <c r="N639" s="145" t="str">
        <v/>
      </c>
      <c r="O639" s="145" t="str">
        <v/>
      </c>
      <c r="P639" s="145" t="str">
        <v/>
      </c>
    </row>
    <row r="640" spans="1:16" x14ac:dyDescent="0.2">
      <c r="A640" s="58" t="str">
        <v/>
      </c>
      <c r="B640" s="123" t="str">
        <f>IFERROR(TIMEVALUE(DaqBook_RAW_Data!Q528),IFERROR(TIMEVALUE(DaqBook_RAW_Data!A50),""))</f>
        <v/>
      </c>
      <c r="C640" s="145" t="str">
        <v/>
      </c>
      <c r="D640" s="145" t="str">
        <v/>
      </c>
      <c r="E640" s="145" t="str">
        <v/>
      </c>
      <c r="F640" s="145" t="str">
        <v/>
      </c>
      <c r="G640" s="145" t="str">
        <v/>
      </c>
      <c r="H640" s="145" t="str">
        <v/>
      </c>
      <c r="I640" s="145" t="str">
        <v/>
      </c>
      <c r="J640" s="145" t="str">
        <v/>
      </c>
      <c r="K640" s="145" t="str">
        <v/>
      </c>
      <c r="L640" s="145" t="str">
        <v/>
      </c>
      <c r="M640" s="145" t="str">
        <v/>
      </c>
      <c r="N640" s="145" t="str">
        <v/>
      </c>
      <c r="O640" s="145" t="str">
        <v/>
      </c>
      <c r="P640" s="145" t="str">
        <v/>
      </c>
    </row>
    <row r="641" spans="1:16" x14ac:dyDescent="0.2">
      <c r="A641" s="58" t="str">
        <v/>
      </c>
      <c r="B641" s="123" t="str">
        <f>IFERROR(TIMEVALUE(DaqBook_RAW_Data!Q529),IFERROR(TIMEVALUE(DaqBook_RAW_Data!A51),""))</f>
        <v/>
      </c>
      <c r="C641" s="145" t="str">
        <v/>
      </c>
      <c r="D641" s="145" t="str">
        <v/>
      </c>
      <c r="E641" s="145" t="str">
        <v/>
      </c>
      <c r="F641" s="145" t="str">
        <v/>
      </c>
      <c r="G641" s="145" t="str">
        <v/>
      </c>
      <c r="H641" s="145" t="str">
        <v/>
      </c>
      <c r="I641" s="145" t="str">
        <v/>
      </c>
      <c r="J641" s="145" t="str">
        <v/>
      </c>
      <c r="K641" s="145" t="str">
        <v/>
      </c>
      <c r="L641" s="145" t="str">
        <v/>
      </c>
      <c r="M641" s="145" t="str">
        <v/>
      </c>
      <c r="N641" s="145" t="str">
        <v/>
      </c>
      <c r="O641" s="145" t="str">
        <v/>
      </c>
      <c r="P641" s="145" t="str">
        <v/>
      </c>
    </row>
    <row r="642" spans="1:16" x14ac:dyDescent="0.2">
      <c r="A642" s="58" t="str">
        <v/>
      </c>
      <c r="B642" s="123" t="str">
        <f>IFERROR(TIMEVALUE(DaqBook_RAW_Data!Q530),IFERROR(TIMEVALUE(DaqBook_RAW_Data!A52),""))</f>
        <v/>
      </c>
      <c r="C642" s="145" t="str">
        <v/>
      </c>
      <c r="D642" s="145" t="str">
        <v/>
      </c>
      <c r="E642" s="145" t="str">
        <v/>
      </c>
      <c r="F642" s="145" t="str">
        <v/>
      </c>
      <c r="G642" s="145" t="str">
        <v/>
      </c>
      <c r="H642" s="145" t="str">
        <v/>
      </c>
      <c r="I642" s="145" t="str">
        <v/>
      </c>
      <c r="J642" s="145" t="str">
        <v/>
      </c>
      <c r="K642" s="145" t="str">
        <v/>
      </c>
      <c r="L642" s="145" t="str">
        <v/>
      </c>
      <c r="M642" s="145" t="str">
        <v/>
      </c>
      <c r="N642" s="145" t="str">
        <v/>
      </c>
      <c r="O642" s="145" t="str">
        <v/>
      </c>
      <c r="P642" s="145" t="str">
        <v/>
      </c>
    </row>
    <row r="643" spans="1:16" x14ac:dyDescent="0.2">
      <c r="A643" s="58" t="str">
        <v/>
      </c>
      <c r="B643" s="123" t="str">
        <f>IFERROR(TIMEVALUE(DaqBook_RAW_Data!Q531),IFERROR(TIMEVALUE(DaqBook_RAW_Data!A53),""))</f>
        <v/>
      </c>
      <c r="C643" s="145" t="str">
        <v/>
      </c>
      <c r="D643" s="145" t="str">
        <v/>
      </c>
      <c r="E643" s="145" t="str">
        <v/>
      </c>
      <c r="F643" s="145" t="str">
        <v/>
      </c>
      <c r="G643" s="145" t="str">
        <v/>
      </c>
      <c r="H643" s="145" t="str">
        <v/>
      </c>
      <c r="I643" s="145" t="str">
        <v/>
      </c>
      <c r="J643" s="145" t="str">
        <v/>
      </c>
      <c r="K643" s="145" t="str">
        <v/>
      </c>
      <c r="L643" s="145" t="str">
        <v/>
      </c>
      <c r="M643" s="145" t="str">
        <v/>
      </c>
      <c r="N643" s="145" t="str">
        <v/>
      </c>
      <c r="O643" s="145" t="str">
        <v/>
      </c>
      <c r="P643" s="145" t="str">
        <v/>
      </c>
    </row>
    <row r="644" spans="1:16" x14ac:dyDescent="0.2">
      <c r="A644" s="58" t="str">
        <v/>
      </c>
      <c r="B644" s="123" t="str">
        <f>IFERROR(TIMEVALUE(DaqBook_RAW_Data!Q532),IFERROR(TIMEVALUE(DaqBook_RAW_Data!A54),""))</f>
        <v/>
      </c>
      <c r="C644" s="145" t="str">
        <v/>
      </c>
      <c r="D644" s="145" t="str">
        <v/>
      </c>
      <c r="E644" s="145" t="str">
        <v/>
      </c>
      <c r="F644" s="145" t="str">
        <v/>
      </c>
      <c r="G644" s="145" t="str">
        <v/>
      </c>
      <c r="H644" s="145" t="str">
        <v/>
      </c>
      <c r="I644" s="145" t="str">
        <v/>
      </c>
      <c r="J644" s="145" t="str">
        <v/>
      </c>
      <c r="K644" s="145" t="str">
        <v/>
      </c>
      <c r="L644" s="145" t="str">
        <v/>
      </c>
      <c r="M644" s="145" t="str">
        <v/>
      </c>
      <c r="N644" s="145" t="str">
        <v/>
      </c>
      <c r="O644" s="145" t="str">
        <v/>
      </c>
      <c r="P644" s="145" t="str">
        <v/>
      </c>
    </row>
    <row r="645" spans="1:16" x14ac:dyDescent="0.2">
      <c r="A645" s="58" t="str">
        <v/>
      </c>
      <c r="B645" s="123" t="str">
        <f>IFERROR(TIMEVALUE(DaqBook_RAW_Data!Q533),IFERROR(TIMEVALUE(DaqBook_RAW_Data!A55),""))</f>
        <v/>
      </c>
      <c r="C645" s="145" t="str">
        <v/>
      </c>
      <c r="D645" s="145" t="str">
        <v/>
      </c>
      <c r="E645" s="145" t="str">
        <v/>
      </c>
      <c r="F645" s="145" t="str">
        <v/>
      </c>
      <c r="G645" s="145" t="str">
        <v/>
      </c>
      <c r="H645" s="145" t="str">
        <v/>
      </c>
      <c r="I645" s="145" t="str">
        <v/>
      </c>
      <c r="J645" s="145" t="str">
        <v/>
      </c>
      <c r="K645" s="145" t="str">
        <v/>
      </c>
      <c r="L645" s="145" t="str">
        <v/>
      </c>
      <c r="M645" s="145" t="str">
        <v/>
      </c>
      <c r="N645" s="145" t="str">
        <v/>
      </c>
      <c r="O645" s="145" t="str">
        <v/>
      </c>
      <c r="P645" s="145" t="str">
        <v/>
      </c>
    </row>
    <row r="646" spans="1:16" x14ac:dyDescent="0.2">
      <c r="A646" s="58" t="str">
        <v/>
      </c>
      <c r="B646" s="123" t="str">
        <f>IFERROR(TIMEVALUE(DaqBook_RAW_Data!Q534),IFERROR(TIMEVALUE(DaqBook_RAW_Data!A56),""))</f>
        <v/>
      </c>
      <c r="C646" s="145" t="str">
        <v/>
      </c>
      <c r="D646" s="145" t="str">
        <v/>
      </c>
      <c r="E646" s="145" t="str">
        <v/>
      </c>
      <c r="F646" s="145" t="str">
        <v/>
      </c>
      <c r="G646" s="145" t="str">
        <v/>
      </c>
      <c r="H646" s="145" t="str">
        <v/>
      </c>
      <c r="I646" s="145" t="str">
        <v/>
      </c>
      <c r="J646" s="145" t="str">
        <v/>
      </c>
      <c r="K646" s="145" t="str">
        <v/>
      </c>
      <c r="L646" s="145" t="str">
        <v/>
      </c>
      <c r="M646" s="145" t="str">
        <v/>
      </c>
      <c r="N646" s="145" t="str">
        <v/>
      </c>
      <c r="O646" s="145" t="str">
        <v/>
      </c>
      <c r="P646" s="145" t="str">
        <v/>
      </c>
    </row>
    <row r="647" spans="1:16" x14ac:dyDescent="0.2">
      <c r="A647" s="58" t="str">
        <v/>
      </c>
      <c r="B647" s="123" t="str">
        <f>IFERROR(TIMEVALUE(DaqBook_RAW_Data!Q535),IFERROR(TIMEVALUE(DaqBook_RAW_Data!A57),""))</f>
        <v/>
      </c>
      <c r="C647" s="145" t="str">
        <v/>
      </c>
      <c r="D647" s="145" t="str">
        <v/>
      </c>
      <c r="E647" s="145" t="str">
        <v/>
      </c>
      <c r="F647" s="145" t="str">
        <v/>
      </c>
      <c r="G647" s="145" t="str">
        <v/>
      </c>
      <c r="H647" s="145" t="str">
        <v/>
      </c>
      <c r="I647" s="145" t="str">
        <v/>
      </c>
      <c r="J647" s="145" t="str">
        <v/>
      </c>
      <c r="K647" s="145" t="str">
        <v/>
      </c>
      <c r="L647" s="145" t="str">
        <v/>
      </c>
      <c r="M647" s="145" t="str">
        <v/>
      </c>
      <c r="N647" s="145" t="str">
        <v/>
      </c>
      <c r="O647" s="145" t="str">
        <v/>
      </c>
      <c r="P647" s="145" t="str">
        <v/>
      </c>
    </row>
    <row r="648" spans="1:16" x14ac:dyDescent="0.2">
      <c r="A648" s="58" t="str">
        <v/>
      </c>
      <c r="B648" s="123" t="str">
        <f>IFERROR(TIMEVALUE(DaqBook_RAW_Data!Q536),IFERROR(TIMEVALUE(DaqBook_RAW_Data!A58),""))</f>
        <v/>
      </c>
      <c r="C648" s="145" t="str">
        <v/>
      </c>
      <c r="D648" s="145" t="str">
        <v/>
      </c>
      <c r="E648" s="145" t="str">
        <v/>
      </c>
      <c r="F648" s="145" t="str">
        <v/>
      </c>
      <c r="G648" s="145" t="str">
        <v/>
      </c>
      <c r="H648" s="145" t="str">
        <v/>
      </c>
      <c r="I648" s="145" t="str">
        <v/>
      </c>
      <c r="J648" s="145" t="str">
        <v/>
      </c>
      <c r="K648" s="145" t="str">
        <v/>
      </c>
      <c r="L648" s="145" t="str">
        <v/>
      </c>
      <c r="M648" s="145" t="str">
        <v/>
      </c>
      <c r="N648" s="145" t="str">
        <v/>
      </c>
      <c r="O648" s="145" t="str">
        <v/>
      </c>
      <c r="P648" s="145" t="str">
        <v/>
      </c>
    </row>
    <row r="649" spans="1:16" x14ac:dyDescent="0.2">
      <c r="A649" s="58" t="str">
        <v/>
      </c>
      <c r="B649" s="123" t="str">
        <f>IFERROR(TIMEVALUE(DaqBook_RAW_Data!Q537),IFERROR(TIMEVALUE(DaqBook_RAW_Data!A59),""))</f>
        <v/>
      </c>
      <c r="C649" s="145" t="str">
        <v/>
      </c>
      <c r="D649" s="145" t="str">
        <v/>
      </c>
      <c r="E649" s="145" t="str">
        <v/>
      </c>
      <c r="F649" s="145" t="str">
        <v/>
      </c>
      <c r="G649" s="145" t="str">
        <v/>
      </c>
      <c r="H649" s="145" t="str">
        <v/>
      </c>
      <c r="I649" s="145" t="str">
        <v/>
      </c>
      <c r="J649" s="145" t="str">
        <v/>
      </c>
      <c r="K649" s="145" t="str">
        <v/>
      </c>
      <c r="L649" s="145" t="str">
        <v/>
      </c>
      <c r="M649" s="145" t="str">
        <v/>
      </c>
      <c r="N649" s="145" t="str">
        <v/>
      </c>
      <c r="O649" s="145" t="str">
        <v/>
      </c>
      <c r="P649" s="145" t="str">
        <v/>
      </c>
    </row>
    <row r="650" spans="1:16" x14ac:dyDescent="0.2">
      <c r="A650" s="58" t="str">
        <v/>
      </c>
      <c r="B650" s="123" t="str">
        <f>IFERROR(TIMEVALUE(DaqBook_RAW_Data!Q538),IFERROR(TIMEVALUE(DaqBook_RAW_Data!A60),""))</f>
        <v/>
      </c>
      <c r="C650" s="145" t="str">
        <v/>
      </c>
      <c r="D650" s="145" t="str">
        <v/>
      </c>
      <c r="E650" s="145" t="str">
        <v/>
      </c>
      <c r="F650" s="145" t="str">
        <v/>
      </c>
      <c r="G650" s="145" t="str">
        <v/>
      </c>
      <c r="H650" s="145" t="str">
        <v/>
      </c>
      <c r="I650" s="145" t="str">
        <v/>
      </c>
      <c r="J650" s="145" t="str">
        <v/>
      </c>
      <c r="K650" s="145" t="str">
        <v/>
      </c>
      <c r="L650" s="145" t="str">
        <v/>
      </c>
      <c r="M650" s="145" t="str">
        <v/>
      </c>
      <c r="N650" s="145" t="str">
        <v/>
      </c>
      <c r="O650" s="145" t="str">
        <v/>
      </c>
      <c r="P650" s="145" t="str">
        <v/>
      </c>
    </row>
    <row r="651" spans="1:16" x14ac:dyDescent="0.2">
      <c r="A651" s="58" t="str">
        <v/>
      </c>
      <c r="B651" s="123" t="str">
        <f>IFERROR(TIMEVALUE(DaqBook_RAW_Data!Q539),IFERROR(TIMEVALUE(DaqBook_RAW_Data!A61),""))</f>
        <v/>
      </c>
      <c r="C651" s="145" t="str">
        <v/>
      </c>
      <c r="D651" s="145" t="str">
        <v/>
      </c>
      <c r="E651" s="145" t="str">
        <v/>
      </c>
      <c r="F651" s="145" t="str">
        <v/>
      </c>
      <c r="G651" s="145" t="str">
        <v/>
      </c>
      <c r="H651" s="145" t="str">
        <v/>
      </c>
      <c r="I651" s="145" t="str">
        <v/>
      </c>
      <c r="J651" s="145" t="str">
        <v/>
      </c>
      <c r="K651" s="145" t="str">
        <v/>
      </c>
      <c r="L651" s="145" t="str">
        <v/>
      </c>
      <c r="M651" s="145" t="str">
        <v/>
      </c>
      <c r="N651" s="145" t="str">
        <v/>
      </c>
      <c r="O651" s="145" t="str">
        <v/>
      </c>
      <c r="P651" s="145" t="str">
        <v/>
      </c>
    </row>
    <row r="652" spans="1:16" x14ac:dyDescent="0.2">
      <c r="A652" s="58" t="str">
        <v/>
      </c>
      <c r="B652" s="123" t="str">
        <f>IFERROR(TIMEVALUE(DaqBook_RAW_Data!Q540),IFERROR(TIMEVALUE(DaqBook_RAW_Data!A62),""))</f>
        <v/>
      </c>
      <c r="C652" s="145" t="str">
        <v/>
      </c>
      <c r="D652" s="145" t="str">
        <v/>
      </c>
      <c r="E652" s="145" t="str">
        <v/>
      </c>
      <c r="F652" s="145" t="str">
        <v/>
      </c>
      <c r="G652" s="145" t="str">
        <v/>
      </c>
      <c r="H652" s="145" t="str">
        <v/>
      </c>
      <c r="I652" s="145" t="str">
        <v/>
      </c>
      <c r="J652" s="145" t="str">
        <v/>
      </c>
      <c r="K652" s="145" t="str">
        <v/>
      </c>
      <c r="L652" s="145" t="str">
        <v/>
      </c>
      <c r="M652" s="145" t="str">
        <v/>
      </c>
      <c r="N652" s="145" t="str">
        <v/>
      </c>
      <c r="O652" s="145" t="str">
        <v/>
      </c>
      <c r="P652" s="145" t="str">
        <v/>
      </c>
    </row>
    <row r="653" spans="1:16" x14ac:dyDescent="0.2">
      <c r="A653" s="58" t="str">
        <v/>
      </c>
      <c r="B653" s="123" t="str">
        <f>IFERROR(TIMEVALUE(DaqBook_RAW_Data!Q541),IFERROR(TIMEVALUE(DaqBook_RAW_Data!A63),""))</f>
        <v/>
      </c>
      <c r="C653" s="145" t="str">
        <v/>
      </c>
      <c r="D653" s="145" t="str">
        <v/>
      </c>
      <c r="E653" s="145" t="str">
        <v/>
      </c>
      <c r="F653" s="145" t="str">
        <v/>
      </c>
      <c r="G653" s="145" t="str">
        <v/>
      </c>
      <c r="H653" s="145" t="str">
        <v/>
      </c>
      <c r="I653" s="145" t="str">
        <v/>
      </c>
      <c r="J653" s="145" t="str">
        <v/>
      </c>
      <c r="K653" s="145" t="str">
        <v/>
      </c>
      <c r="L653" s="145" t="str">
        <v/>
      </c>
      <c r="M653" s="145" t="str">
        <v/>
      </c>
      <c r="N653" s="145" t="str">
        <v/>
      </c>
      <c r="O653" s="145" t="str">
        <v/>
      </c>
      <c r="P653" s="145" t="str">
        <v/>
      </c>
    </row>
    <row r="654" spans="1:16" x14ac:dyDescent="0.2">
      <c r="A654" s="58" t="str">
        <v/>
      </c>
      <c r="B654" s="123" t="str">
        <f>IFERROR(TIMEVALUE(DaqBook_RAW_Data!Q542),IFERROR(TIMEVALUE(DaqBook_RAW_Data!A64),""))</f>
        <v/>
      </c>
      <c r="C654" s="145" t="str">
        <v/>
      </c>
      <c r="D654" s="145" t="str">
        <v/>
      </c>
      <c r="E654" s="145" t="str">
        <v/>
      </c>
      <c r="F654" s="145" t="str">
        <v/>
      </c>
      <c r="G654" s="145" t="str">
        <v/>
      </c>
      <c r="H654" s="145" t="str">
        <v/>
      </c>
      <c r="I654" s="145" t="str">
        <v/>
      </c>
      <c r="J654" s="145" t="str">
        <v/>
      </c>
      <c r="K654" s="145" t="str">
        <v/>
      </c>
      <c r="L654" s="145" t="str">
        <v/>
      </c>
      <c r="M654" s="145" t="str">
        <v/>
      </c>
      <c r="N654" s="145" t="str">
        <v/>
      </c>
      <c r="O654" s="145" t="str">
        <v/>
      </c>
      <c r="P654" s="145" t="str">
        <v/>
      </c>
    </row>
    <row r="655" spans="1:16" x14ac:dyDescent="0.2">
      <c r="A655" s="58" t="str">
        <v/>
      </c>
      <c r="B655" s="123" t="str">
        <f>IFERROR(TIMEVALUE(DaqBook_RAW_Data!Q543),IFERROR(TIMEVALUE(DaqBook_RAW_Data!A65),""))</f>
        <v/>
      </c>
      <c r="C655" s="145" t="str">
        <v/>
      </c>
      <c r="D655" s="145" t="str">
        <v/>
      </c>
      <c r="E655" s="145" t="str">
        <v/>
      </c>
      <c r="F655" s="145" t="str">
        <v/>
      </c>
      <c r="G655" s="145" t="str">
        <v/>
      </c>
      <c r="H655" s="145" t="str">
        <v/>
      </c>
      <c r="I655" s="145" t="str">
        <v/>
      </c>
      <c r="J655" s="145" t="str">
        <v/>
      </c>
      <c r="K655" s="145" t="str">
        <v/>
      </c>
      <c r="L655" s="145" t="str">
        <v/>
      </c>
      <c r="M655" s="145" t="str">
        <v/>
      </c>
      <c r="N655" s="145" t="str">
        <v/>
      </c>
      <c r="O655" s="145" t="str">
        <v/>
      </c>
      <c r="P655" s="145" t="str">
        <v/>
      </c>
    </row>
    <row r="656" spans="1:16" x14ac:dyDescent="0.2">
      <c r="A656" s="58" t="str">
        <v/>
      </c>
      <c r="B656" s="123" t="str">
        <f>IFERROR(TIMEVALUE(DaqBook_RAW_Data!Q544),IFERROR(TIMEVALUE(DaqBook_RAW_Data!A66),""))</f>
        <v/>
      </c>
      <c r="C656" s="145" t="str">
        <v/>
      </c>
      <c r="D656" s="145" t="str">
        <v/>
      </c>
      <c r="E656" s="145" t="str">
        <v/>
      </c>
      <c r="F656" s="145" t="str">
        <v/>
      </c>
      <c r="G656" s="145" t="str">
        <v/>
      </c>
      <c r="H656" s="145" t="str">
        <v/>
      </c>
      <c r="I656" s="145" t="str">
        <v/>
      </c>
      <c r="J656" s="145" t="str">
        <v/>
      </c>
      <c r="K656" s="145" t="str">
        <v/>
      </c>
      <c r="L656" s="145" t="str">
        <v/>
      </c>
      <c r="M656" s="145" t="str">
        <v/>
      </c>
      <c r="N656" s="145" t="str">
        <v/>
      </c>
      <c r="O656" s="145" t="str">
        <v/>
      </c>
      <c r="P656" s="145" t="str">
        <v/>
      </c>
    </row>
    <row r="657" spans="1:16" x14ac:dyDescent="0.2">
      <c r="A657" s="58" t="str">
        <v/>
      </c>
      <c r="B657" s="123" t="str">
        <f>IFERROR(TIMEVALUE(DaqBook_RAW_Data!Q545),IFERROR(TIMEVALUE(DaqBook_RAW_Data!A67),""))</f>
        <v/>
      </c>
      <c r="C657" s="145" t="str">
        <v/>
      </c>
      <c r="D657" s="145" t="str">
        <v/>
      </c>
      <c r="E657" s="145" t="str">
        <v/>
      </c>
      <c r="F657" s="145" t="str">
        <v/>
      </c>
      <c r="G657" s="145" t="str">
        <v/>
      </c>
      <c r="H657" s="145" t="str">
        <v/>
      </c>
      <c r="I657" s="145" t="str">
        <v/>
      </c>
      <c r="J657" s="145" t="str">
        <v/>
      </c>
      <c r="K657" s="145" t="str">
        <v/>
      </c>
      <c r="L657" s="145" t="str">
        <v/>
      </c>
      <c r="M657" s="145" t="str">
        <v/>
      </c>
      <c r="N657" s="145" t="str">
        <v/>
      </c>
      <c r="O657" s="145" t="str">
        <v/>
      </c>
      <c r="P657" s="145" t="str">
        <v/>
      </c>
    </row>
    <row r="658" spans="1:16" x14ac:dyDescent="0.2">
      <c r="A658" s="58" t="str">
        <v/>
      </c>
      <c r="B658" s="123" t="str">
        <f>IFERROR(TIMEVALUE(DaqBook_RAW_Data!Q546),IFERROR(TIMEVALUE(DaqBook_RAW_Data!A68),""))</f>
        <v/>
      </c>
      <c r="C658" s="145" t="str">
        <v/>
      </c>
      <c r="D658" s="145" t="str">
        <v/>
      </c>
      <c r="E658" s="145" t="str">
        <v/>
      </c>
      <c r="F658" s="145" t="str">
        <v/>
      </c>
      <c r="G658" s="145" t="str">
        <v/>
      </c>
      <c r="H658" s="145" t="str">
        <v/>
      </c>
      <c r="I658" s="145" t="str">
        <v/>
      </c>
      <c r="J658" s="145" t="str">
        <v/>
      </c>
      <c r="K658" s="145" t="str">
        <v/>
      </c>
      <c r="L658" s="145" t="str">
        <v/>
      </c>
      <c r="M658" s="145" t="str">
        <v/>
      </c>
      <c r="N658" s="145" t="str">
        <v/>
      </c>
      <c r="O658" s="145" t="str">
        <v/>
      </c>
      <c r="P658" s="145" t="str">
        <v/>
      </c>
    </row>
    <row r="659" spans="1:16" x14ac:dyDescent="0.2">
      <c r="A659" s="58" t="str">
        <v/>
      </c>
      <c r="B659" s="123" t="str">
        <f>IFERROR(TIMEVALUE(DaqBook_RAW_Data!Q547),IFERROR(TIMEVALUE(DaqBook_RAW_Data!A69),""))</f>
        <v/>
      </c>
      <c r="C659" s="145" t="str">
        <v/>
      </c>
      <c r="D659" s="145" t="str">
        <v/>
      </c>
      <c r="E659" s="145" t="str">
        <v/>
      </c>
      <c r="F659" s="145" t="str">
        <v/>
      </c>
      <c r="G659" s="145" t="str">
        <v/>
      </c>
      <c r="H659" s="145" t="str">
        <v/>
      </c>
      <c r="I659" s="145" t="str">
        <v/>
      </c>
      <c r="J659" s="145" t="str">
        <v/>
      </c>
      <c r="K659" s="145" t="str">
        <v/>
      </c>
      <c r="L659" s="145" t="str">
        <v/>
      </c>
      <c r="M659" s="145" t="str">
        <v/>
      </c>
      <c r="N659" s="145" t="str">
        <v/>
      </c>
      <c r="O659" s="145" t="str">
        <v/>
      </c>
      <c r="P659" s="145" t="str">
        <v/>
      </c>
    </row>
    <row r="660" spans="1:16" x14ac:dyDescent="0.2">
      <c r="A660" s="58" t="str">
        <v/>
      </c>
      <c r="B660" s="123" t="str">
        <f>IFERROR(TIMEVALUE(DaqBook_RAW_Data!Q548),IFERROR(TIMEVALUE(DaqBook_RAW_Data!A70),""))</f>
        <v/>
      </c>
      <c r="C660" s="145" t="str">
        <v/>
      </c>
      <c r="D660" s="145" t="str">
        <v/>
      </c>
      <c r="E660" s="145" t="str">
        <v/>
      </c>
      <c r="F660" s="145" t="str">
        <v/>
      </c>
      <c r="G660" s="145" t="str">
        <v/>
      </c>
      <c r="H660" s="145" t="str">
        <v/>
      </c>
      <c r="I660" s="145" t="str">
        <v/>
      </c>
      <c r="J660" s="145" t="str">
        <v/>
      </c>
      <c r="K660" s="145" t="str">
        <v/>
      </c>
      <c r="L660" s="145" t="str">
        <v/>
      </c>
      <c r="M660" s="145" t="str">
        <v/>
      </c>
      <c r="N660" s="145" t="str">
        <v/>
      </c>
      <c r="O660" s="145" t="str">
        <v/>
      </c>
      <c r="P660" s="145" t="str">
        <v/>
      </c>
    </row>
    <row r="661" spans="1:16" x14ac:dyDescent="0.2">
      <c r="A661" s="58" t="str">
        <v/>
      </c>
      <c r="B661" s="123" t="str">
        <f>IFERROR(TIMEVALUE(DaqBook_RAW_Data!Q549),IFERROR(TIMEVALUE(DaqBook_RAW_Data!A71),""))</f>
        <v/>
      </c>
      <c r="C661" s="145" t="str">
        <v/>
      </c>
      <c r="D661" s="145" t="str">
        <v/>
      </c>
      <c r="E661" s="145" t="str">
        <v/>
      </c>
      <c r="F661" s="145" t="str">
        <v/>
      </c>
      <c r="G661" s="145" t="str">
        <v/>
      </c>
      <c r="H661" s="145" t="str">
        <v/>
      </c>
      <c r="I661" s="145" t="str">
        <v/>
      </c>
      <c r="J661" s="145" t="str">
        <v/>
      </c>
      <c r="K661" s="145" t="str">
        <v/>
      </c>
      <c r="L661" s="145" t="str">
        <v/>
      </c>
      <c r="M661" s="145" t="str">
        <v/>
      </c>
      <c r="N661" s="145" t="str">
        <v/>
      </c>
      <c r="O661" s="145" t="str">
        <v/>
      </c>
      <c r="P661" s="145" t="str">
        <v/>
      </c>
    </row>
    <row r="662" spans="1:16" x14ac:dyDescent="0.2">
      <c r="A662" s="58" t="str">
        <v/>
      </c>
      <c r="B662" s="123" t="str">
        <f>IFERROR(TIMEVALUE(DaqBook_RAW_Data!Q550),IFERROR(TIMEVALUE(DaqBook_RAW_Data!A72),""))</f>
        <v/>
      </c>
      <c r="C662" s="145" t="str">
        <v/>
      </c>
      <c r="D662" s="145" t="str">
        <v/>
      </c>
      <c r="E662" s="145" t="str">
        <v/>
      </c>
      <c r="F662" s="145" t="str">
        <v/>
      </c>
      <c r="G662" s="145" t="str">
        <v/>
      </c>
      <c r="H662" s="145" t="str">
        <v/>
      </c>
      <c r="I662" s="145" t="str">
        <v/>
      </c>
      <c r="J662" s="145" t="str">
        <v/>
      </c>
      <c r="K662" s="145" t="str">
        <v/>
      </c>
      <c r="L662" s="145" t="str">
        <v/>
      </c>
      <c r="M662" s="145" t="str">
        <v/>
      </c>
      <c r="N662" s="145" t="str">
        <v/>
      </c>
      <c r="O662" s="145" t="str">
        <v/>
      </c>
      <c r="P662" s="145" t="str">
        <v/>
      </c>
    </row>
    <row r="663" spans="1:16" x14ac:dyDescent="0.2">
      <c r="A663" s="58" t="str">
        <v/>
      </c>
      <c r="B663" s="123" t="str">
        <f>IFERROR(TIMEVALUE(DaqBook_RAW_Data!Q551),IFERROR(TIMEVALUE(DaqBook_RAW_Data!A73),""))</f>
        <v/>
      </c>
      <c r="C663" s="145" t="str">
        <v/>
      </c>
      <c r="D663" s="145" t="str">
        <v/>
      </c>
      <c r="E663" s="145" t="str">
        <v/>
      </c>
      <c r="F663" s="145" t="str">
        <v/>
      </c>
      <c r="G663" s="145" t="str">
        <v/>
      </c>
      <c r="H663" s="145" t="str">
        <v/>
      </c>
      <c r="I663" s="145" t="str">
        <v/>
      </c>
      <c r="J663" s="145" t="str">
        <v/>
      </c>
      <c r="K663" s="145" t="str">
        <v/>
      </c>
      <c r="L663" s="145" t="str">
        <v/>
      </c>
      <c r="M663" s="145" t="str">
        <v/>
      </c>
      <c r="N663" s="145" t="str">
        <v/>
      </c>
      <c r="O663" s="145" t="str">
        <v/>
      </c>
      <c r="P663" s="145" t="str">
        <v/>
      </c>
    </row>
    <row r="664" spans="1:16" x14ac:dyDescent="0.2">
      <c r="A664" s="58" t="str">
        <v/>
      </c>
      <c r="B664" s="123" t="str">
        <f>IFERROR(TIMEVALUE(DaqBook_RAW_Data!Q552),IFERROR(TIMEVALUE(DaqBook_RAW_Data!A74),""))</f>
        <v/>
      </c>
      <c r="C664" s="145" t="str">
        <v/>
      </c>
      <c r="D664" s="145" t="str">
        <v/>
      </c>
      <c r="E664" s="145" t="str">
        <v/>
      </c>
      <c r="F664" s="145" t="str">
        <v/>
      </c>
      <c r="G664" s="145" t="str">
        <v/>
      </c>
      <c r="H664" s="145" t="str">
        <v/>
      </c>
      <c r="I664" s="145" t="str">
        <v/>
      </c>
      <c r="J664" s="145" t="str">
        <v/>
      </c>
      <c r="K664" s="145" t="str">
        <v/>
      </c>
      <c r="L664" s="145" t="str">
        <v/>
      </c>
      <c r="M664" s="145" t="str">
        <v/>
      </c>
      <c r="N664" s="145" t="str">
        <v/>
      </c>
      <c r="O664" s="145" t="str">
        <v/>
      </c>
      <c r="P664" s="145" t="str">
        <v/>
      </c>
    </row>
    <row r="665" spans="1:16" x14ac:dyDescent="0.2">
      <c r="A665" s="58" t="str">
        <v/>
      </c>
      <c r="B665" s="123" t="str">
        <f>IFERROR(TIMEVALUE(DaqBook_RAW_Data!Q553),IFERROR(TIMEVALUE(DaqBook_RAW_Data!A75),""))</f>
        <v/>
      </c>
      <c r="C665" s="145" t="str">
        <v/>
      </c>
      <c r="D665" s="145" t="str">
        <v/>
      </c>
      <c r="E665" s="145" t="str">
        <v/>
      </c>
      <c r="F665" s="145" t="str">
        <v/>
      </c>
      <c r="G665" s="145" t="str">
        <v/>
      </c>
      <c r="H665" s="145" t="str">
        <v/>
      </c>
      <c r="I665" s="145" t="str">
        <v/>
      </c>
      <c r="J665" s="145" t="str">
        <v/>
      </c>
      <c r="K665" s="145" t="str">
        <v/>
      </c>
      <c r="L665" s="145" t="str">
        <v/>
      </c>
      <c r="M665" s="145" t="str">
        <v/>
      </c>
      <c r="N665" s="145" t="str">
        <v/>
      </c>
      <c r="O665" s="145" t="str">
        <v/>
      </c>
      <c r="P665" s="145" t="str">
        <v/>
      </c>
    </row>
    <row r="666" spans="1:16" x14ac:dyDescent="0.2">
      <c r="A666" s="58" t="str">
        <v/>
      </c>
      <c r="B666" s="123" t="str">
        <f>IFERROR(TIMEVALUE(DaqBook_RAW_Data!Q554),IFERROR(TIMEVALUE(DaqBook_RAW_Data!A76),""))</f>
        <v/>
      </c>
      <c r="C666" s="145" t="str">
        <v/>
      </c>
      <c r="D666" s="145" t="str">
        <v/>
      </c>
      <c r="E666" s="145" t="str">
        <v/>
      </c>
      <c r="F666" s="145" t="str">
        <v/>
      </c>
      <c r="G666" s="145" t="str">
        <v/>
      </c>
      <c r="H666" s="145" t="str">
        <v/>
      </c>
      <c r="I666" s="145" t="str">
        <v/>
      </c>
      <c r="J666" s="145" t="str">
        <v/>
      </c>
      <c r="K666" s="145" t="str">
        <v/>
      </c>
      <c r="L666" s="145" t="str">
        <v/>
      </c>
      <c r="M666" s="145" t="str">
        <v/>
      </c>
      <c r="N666" s="145" t="str">
        <v/>
      </c>
      <c r="O666" s="145" t="str">
        <v/>
      </c>
      <c r="P666" s="145" t="str">
        <v/>
      </c>
    </row>
    <row r="667" spans="1:16" x14ac:dyDescent="0.2">
      <c r="A667" s="58" t="str">
        <v/>
      </c>
      <c r="B667" s="123" t="str">
        <f>IFERROR(TIMEVALUE(DaqBook_RAW_Data!Q555),IFERROR(TIMEVALUE(DaqBook_RAW_Data!A77),""))</f>
        <v/>
      </c>
      <c r="C667" s="145" t="str">
        <v/>
      </c>
      <c r="D667" s="145" t="str">
        <v/>
      </c>
      <c r="E667" s="145" t="str">
        <v/>
      </c>
      <c r="F667" s="145" t="str">
        <v/>
      </c>
      <c r="G667" s="145" t="str">
        <v/>
      </c>
      <c r="H667" s="145" t="str">
        <v/>
      </c>
      <c r="I667" s="145" t="str">
        <v/>
      </c>
      <c r="J667" s="145" t="str">
        <v/>
      </c>
      <c r="K667" s="145" t="str">
        <v/>
      </c>
      <c r="L667" s="145" t="str">
        <v/>
      </c>
      <c r="M667" s="145" t="str">
        <v/>
      </c>
      <c r="N667" s="145" t="str">
        <v/>
      </c>
      <c r="O667" s="145" t="str">
        <v/>
      </c>
      <c r="P667" s="145" t="str">
        <v/>
      </c>
    </row>
    <row r="668" spans="1:16" x14ac:dyDescent="0.2">
      <c r="A668" s="58" t="str">
        <v/>
      </c>
      <c r="B668" s="123" t="str">
        <f>IFERROR(TIMEVALUE(DaqBook_RAW_Data!Q556),IFERROR(TIMEVALUE(DaqBook_RAW_Data!A78),""))</f>
        <v/>
      </c>
      <c r="C668" s="145" t="str">
        <v/>
      </c>
      <c r="D668" s="145" t="str">
        <v/>
      </c>
      <c r="E668" s="145" t="str">
        <v/>
      </c>
      <c r="F668" s="145" t="str">
        <v/>
      </c>
      <c r="G668" s="145" t="str">
        <v/>
      </c>
      <c r="H668" s="145" t="str">
        <v/>
      </c>
      <c r="I668" s="145" t="str">
        <v/>
      </c>
      <c r="J668" s="145" t="str">
        <v/>
      </c>
      <c r="K668" s="145" t="str">
        <v/>
      </c>
      <c r="L668" s="145" t="str">
        <v/>
      </c>
      <c r="M668" s="145" t="str">
        <v/>
      </c>
      <c r="N668" s="145" t="str">
        <v/>
      </c>
      <c r="O668" s="145" t="str">
        <v/>
      </c>
      <c r="P668" s="145" t="str">
        <v/>
      </c>
    </row>
    <row r="669" spans="1:16" x14ac:dyDescent="0.2">
      <c r="A669" s="58" t="str">
        <v/>
      </c>
      <c r="B669" s="123" t="str">
        <f>IFERROR(TIMEVALUE(DaqBook_RAW_Data!Q557),IFERROR(TIMEVALUE(DaqBook_RAW_Data!A79),""))</f>
        <v/>
      </c>
      <c r="C669" s="145" t="str">
        <v/>
      </c>
      <c r="D669" s="145" t="str">
        <v/>
      </c>
      <c r="E669" s="145" t="str">
        <v/>
      </c>
      <c r="F669" s="145" t="str">
        <v/>
      </c>
      <c r="G669" s="145" t="str">
        <v/>
      </c>
      <c r="H669" s="145" t="str">
        <v/>
      </c>
      <c r="I669" s="145" t="str">
        <v/>
      </c>
      <c r="J669" s="145" t="str">
        <v/>
      </c>
      <c r="K669" s="145" t="str">
        <v/>
      </c>
      <c r="L669" s="145" t="str">
        <v/>
      </c>
      <c r="M669" s="145" t="str">
        <v/>
      </c>
      <c r="N669" s="145" t="str">
        <v/>
      </c>
      <c r="O669" s="145" t="str">
        <v/>
      </c>
      <c r="P669" s="145" t="str">
        <v/>
      </c>
    </row>
    <row r="670" spans="1:16" x14ac:dyDescent="0.2">
      <c r="A670" s="58" t="str">
        <v/>
      </c>
      <c r="B670" s="123" t="str">
        <f>IFERROR(TIMEVALUE(DaqBook_RAW_Data!Q558),IFERROR(TIMEVALUE(DaqBook_RAW_Data!A80),""))</f>
        <v/>
      </c>
      <c r="C670" s="145" t="str">
        <v/>
      </c>
      <c r="D670" s="145" t="str">
        <v/>
      </c>
      <c r="E670" s="145" t="str">
        <v/>
      </c>
      <c r="F670" s="145" t="str">
        <v/>
      </c>
      <c r="G670" s="145" t="str">
        <v/>
      </c>
      <c r="H670" s="145" t="str">
        <v/>
      </c>
      <c r="I670" s="145" t="str">
        <v/>
      </c>
      <c r="J670" s="145" t="str">
        <v/>
      </c>
      <c r="K670" s="145" t="str">
        <v/>
      </c>
      <c r="L670" s="145" t="str">
        <v/>
      </c>
      <c r="M670" s="145" t="str">
        <v/>
      </c>
      <c r="N670" s="145" t="str">
        <v/>
      </c>
      <c r="O670" s="145" t="str">
        <v/>
      </c>
      <c r="P670" s="145" t="str">
        <v/>
      </c>
    </row>
    <row r="671" spans="1:16" x14ac:dyDescent="0.2">
      <c r="A671" s="58" t="str">
        <v/>
      </c>
      <c r="B671" s="123" t="str">
        <f>IFERROR(TIMEVALUE(DaqBook_RAW_Data!Q559),IFERROR(TIMEVALUE(DaqBook_RAW_Data!A81),""))</f>
        <v/>
      </c>
      <c r="C671" s="145" t="str">
        <v/>
      </c>
      <c r="D671" s="145" t="str">
        <v/>
      </c>
      <c r="E671" s="145" t="str">
        <v/>
      </c>
      <c r="F671" s="145" t="str">
        <v/>
      </c>
      <c r="G671" s="145" t="str">
        <v/>
      </c>
      <c r="H671" s="145" t="str">
        <v/>
      </c>
      <c r="I671" s="145" t="str">
        <v/>
      </c>
      <c r="J671" s="145" t="str">
        <v/>
      </c>
      <c r="K671" s="145" t="str">
        <v/>
      </c>
      <c r="L671" s="145" t="str">
        <v/>
      </c>
      <c r="M671" s="145" t="str">
        <v/>
      </c>
      <c r="N671" s="145" t="str">
        <v/>
      </c>
      <c r="O671" s="145" t="str">
        <v/>
      </c>
      <c r="P671" s="145" t="str">
        <v/>
      </c>
    </row>
    <row r="672" spans="1:16" x14ac:dyDescent="0.2">
      <c r="A672" s="58" t="str">
        <v/>
      </c>
      <c r="B672" s="123" t="str">
        <f>IFERROR(TIMEVALUE(DaqBook_RAW_Data!Q560),IFERROR(TIMEVALUE(DaqBook_RAW_Data!A82),""))</f>
        <v/>
      </c>
      <c r="C672" s="145" t="str">
        <v/>
      </c>
      <c r="D672" s="145" t="str">
        <v/>
      </c>
      <c r="E672" s="145" t="str">
        <v/>
      </c>
      <c r="F672" s="145" t="str">
        <v/>
      </c>
      <c r="G672" s="145" t="str">
        <v/>
      </c>
      <c r="H672" s="145" t="str">
        <v/>
      </c>
      <c r="I672" s="145" t="str">
        <v/>
      </c>
      <c r="J672" s="145" t="str">
        <v/>
      </c>
      <c r="K672" s="145" t="str">
        <v/>
      </c>
      <c r="L672" s="145" t="str">
        <v/>
      </c>
      <c r="M672" s="145" t="str">
        <v/>
      </c>
      <c r="N672" s="145" t="str">
        <v/>
      </c>
      <c r="O672" s="145" t="str">
        <v/>
      </c>
      <c r="P672" s="145" t="str">
        <v/>
      </c>
    </row>
    <row r="673" spans="1:16" x14ac:dyDescent="0.2">
      <c r="A673" s="58" t="str">
        <v/>
      </c>
      <c r="B673" s="123" t="str">
        <f>IFERROR(TIMEVALUE(DaqBook_RAW_Data!Q561),IFERROR(TIMEVALUE(DaqBook_RAW_Data!A83),""))</f>
        <v/>
      </c>
      <c r="C673" s="145" t="str">
        <v/>
      </c>
      <c r="D673" s="145" t="str">
        <v/>
      </c>
      <c r="E673" s="145" t="str">
        <v/>
      </c>
      <c r="F673" s="145" t="str">
        <v/>
      </c>
      <c r="G673" s="145" t="str">
        <v/>
      </c>
      <c r="H673" s="145" t="str">
        <v/>
      </c>
      <c r="I673" s="145" t="str">
        <v/>
      </c>
      <c r="J673" s="145" t="str">
        <v/>
      </c>
      <c r="K673" s="145" t="str">
        <v/>
      </c>
      <c r="L673" s="145" t="str">
        <v/>
      </c>
      <c r="M673" s="145" t="str">
        <v/>
      </c>
      <c r="N673" s="145" t="str">
        <v/>
      </c>
      <c r="O673" s="145" t="str">
        <v/>
      </c>
      <c r="P673" s="145" t="str">
        <v/>
      </c>
    </row>
    <row r="674" spans="1:16" x14ac:dyDescent="0.2">
      <c r="A674" s="58" t="str">
        <v/>
      </c>
      <c r="B674" s="123" t="str">
        <f>IFERROR(TIMEVALUE(DaqBook_RAW_Data!Q562),IFERROR(TIMEVALUE(DaqBook_RAW_Data!A84),""))</f>
        <v/>
      </c>
      <c r="C674" s="145" t="str">
        <v/>
      </c>
      <c r="D674" s="145" t="str">
        <v/>
      </c>
      <c r="E674" s="145" t="str">
        <v/>
      </c>
      <c r="F674" s="145" t="str">
        <v/>
      </c>
      <c r="G674" s="145" t="str">
        <v/>
      </c>
      <c r="H674" s="145" t="str">
        <v/>
      </c>
      <c r="I674" s="145" t="str">
        <v/>
      </c>
      <c r="J674" s="145" t="str">
        <v/>
      </c>
      <c r="K674" s="145" t="str">
        <v/>
      </c>
      <c r="L674" s="145" t="str">
        <v/>
      </c>
      <c r="M674" s="145" t="str">
        <v/>
      </c>
      <c r="N674" s="145" t="str">
        <v/>
      </c>
      <c r="O674" s="145" t="str">
        <v/>
      </c>
      <c r="P674" s="145" t="str">
        <v/>
      </c>
    </row>
    <row r="675" spans="1:16" x14ac:dyDescent="0.2">
      <c r="A675" s="58" t="str">
        <v/>
      </c>
      <c r="B675" s="123" t="str">
        <f>IFERROR(TIMEVALUE(DaqBook_RAW_Data!Q563),IFERROR(TIMEVALUE(DaqBook_RAW_Data!A85),""))</f>
        <v/>
      </c>
      <c r="C675" s="145" t="str">
        <v/>
      </c>
      <c r="D675" s="145" t="str">
        <v/>
      </c>
      <c r="E675" s="145" t="str">
        <v/>
      </c>
      <c r="F675" s="145" t="str">
        <v/>
      </c>
      <c r="G675" s="145" t="str">
        <v/>
      </c>
      <c r="H675" s="145" t="str">
        <v/>
      </c>
      <c r="I675" s="145" t="str">
        <v/>
      </c>
      <c r="J675" s="145" t="str">
        <v/>
      </c>
      <c r="K675" s="145" t="str">
        <v/>
      </c>
      <c r="L675" s="145" t="str">
        <v/>
      </c>
      <c r="M675" s="145" t="str">
        <v/>
      </c>
      <c r="N675" s="145" t="str">
        <v/>
      </c>
      <c r="O675" s="145" t="str">
        <v/>
      </c>
      <c r="P675" s="145" t="str">
        <v/>
      </c>
    </row>
    <row r="676" spans="1:16" x14ac:dyDescent="0.2">
      <c r="A676" s="58" t="str">
        <v/>
      </c>
      <c r="B676" s="123" t="str">
        <f>IFERROR(TIMEVALUE(DaqBook_RAW_Data!Q564),IFERROR(TIMEVALUE(DaqBook_RAW_Data!A86),""))</f>
        <v/>
      </c>
      <c r="C676" s="145" t="str">
        <v/>
      </c>
      <c r="D676" s="145" t="str">
        <v/>
      </c>
      <c r="E676" s="145" t="str">
        <v/>
      </c>
      <c r="F676" s="145" t="str">
        <v/>
      </c>
      <c r="G676" s="145" t="str">
        <v/>
      </c>
      <c r="H676" s="145" t="str">
        <v/>
      </c>
      <c r="I676" s="145" t="str">
        <v/>
      </c>
      <c r="J676" s="145" t="str">
        <v/>
      </c>
      <c r="K676" s="145" t="str">
        <v/>
      </c>
      <c r="L676" s="145" t="str">
        <v/>
      </c>
      <c r="M676" s="145" t="str">
        <v/>
      </c>
      <c r="N676" s="145" t="str">
        <v/>
      </c>
      <c r="O676" s="145" t="str">
        <v/>
      </c>
      <c r="P676" s="145" t="str">
        <v/>
      </c>
    </row>
    <row r="677" spans="1:16" x14ac:dyDescent="0.2">
      <c r="A677" s="58" t="str">
        <v/>
      </c>
      <c r="B677" s="123" t="str">
        <f>IFERROR(TIMEVALUE(DaqBook_RAW_Data!Q565),IFERROR(TIMEVALUE(DaqBook_RAW_Data!A87),""))</f>
        <v/>
      </c>
      <c r="C677" s="145" t="str">
        <v/>
      </c>
      <c r="D677" s="145" t="str">
        <v/>
      </c>
      <c r="E677" s="145" t="str">
        <v/>
      </c>
      <c r="F677" s="145" t="str">
        <v/>
      </c>
      <c r="G677" s="145" t="str">
        <v/>
      </c>
      <c r="H677" s="145" t="str">
        <v/>
      </c>
      <c r="I677" s="145" t="str">
        <v/>
      </c>
      <c r="J677" s="145" t="str">
        <v/>
      </c>
      <c r="K677" s="145" t="str">
        <v/>
      </c>
      <c r="L677" s="145" t="str">
        <v/>
      </c>
      <c r="M677" s="145" t="str">
        <v/>
      </c>
      <c r="N677" s="145" t="str">
        <v/>
      </c>
      <c r="O677" s="145" t="str">
        <v/>
      </c>
      <c r="P677" s="145" t="str">
        <v/>
      </c>
    </row>
    <row r="678" spans="1:16" x14ac:dyDescent="0.2">
      <c r="A678" s="58" t="str">
        <v/>
      </c>
      <c r="B678" s="123" t="str">
        <f>IFERROR(TIMEVALUE(DaqBook_RAW_Data!Q566),IFERROR(TIMEVALUE(DaqBook_RAW_Data!A88),""))</f>
        <v/>
      </c>
      <c r="C678" s="145" t="str">
        <v/>
      </c>
      <c r="D678" s="145" t="str">
        <v/>
      </c>
      <c r="E678" s="145" t="str">
        <v/>
      </c>
      <c r="F678" s="145" t="str">
        <v/>
      </c>
      <c r="G678" s="145" t="str">
        <v/>
      </c>
      <c r="H678" s="145" t="str">
        <v/>
      </c>
      <c r="I678" s="145" t="str">
        <v/>
      </c>
      <c r="J678" s="145" t="str">
        <v/>
      </c>
      <c r="K678" s="145" t="str">
        <v/>
      </c>
      <c r="L678" s="145" t="str">
        <v/>
      </c>
      <c r="M678" s="145" t="str">
        <v/>
      </c>
      <c r="N678" s="145" t="str">
        <v/>
      </c>
      <c r="O678" s="145" t="str">
        <v/>
      </c>
      <c r="P678" s="145" t="str">
        <v/>
      </c>
    </row>
    <row r="679" spans="1:16" x14ac:dyDescent="0.2">
      <c r="A679" s="58" t="str">
        <v/>
      </c>
      <c r="B679" s="123" t="str">
        <f>IFERROR(TIMEVALUE(DaqBook_RAW_Data!Q567),IFERROR(TIMEVALUE(DaqBook_RAW_Data!A89),""))</f>
        <v/>
      </c>
      <c r="C679" s="145" t="str">
        <v/>
      </c>
      <c r="D679" s="145" t="str">
        <v/>
      </c>
      <c r="E679" s="145" t="str">
        <v/>
      </c>
      <c r="F679" s="145" t="str">
        <v/>
      </c>
      <c r="G679" s="145" t="str">
        <v/>
      </c>
      <c r="H679" s="145" t="str">
        <v/>
      </c>
      <c r="I679" s="145" t="str">
        <v/>
      </c>
      <c r="J679" s="145" t="str">
        <v/>
      </c>
      <c r="K679" s="145" t="str">
        <v/>
      </c>
      <c r="L679" s="145" t="str">
        <v/>
      </c>
      <c r="M679" s="145" t="str">
        <v/>
      </c>
      <c r="N679" s="145" t="str">
        <v/>
      </c>
      <c r="O679" s="145" t="str">
        <v/>
      </c>
      <c r="P679" s="145" t="str">
        <v/>
      </c>
    </row>
    <row r="680" spans="1:16" x14ac:dyDescent="0.2">
      <c r="A680" s="58" t="str">
        <v/>
      </c>
      <c r="B680" s="123" t="str">
        <f>IFERROR(TIMEVALUE(DaqBook_RAW_Data!Q568),IFERROR(TIMEVALUE(DaqBook_RAW_Data!A90),""))</f>
        <v/>
      </c>
      <c r="C680" s="145" t="str">
        <v/>
      </c>
      <c r="D680" s="145" t="str">
        <v/>
      </c>
      <c r="E680" s="145" t="str">
        <v/>
      </c>
      <c r="F680" s="145" t="str">
        <v/>
      </c>
      <c r="G680" s="145" t="str">
        <v/>
      </c>
      <c r="H680" s="145" t="str">
        <v/>
      </c>
      <c r="I680" s="145" t="str">
        <v/>
      </c>
      <c r="J680" s="145" t="str">
        <v/>
      </c>
      <c r="K680" s="145" t="str">
        <v/>
      </c>
      <c r="L680" s="145" t="str">
        <v/>
      </c>
      <c r="M680" s="145" t="str">
        <v/>
      </c>
      <c r="N680" s="145" t="str">
        <v/>
      </c>
      <c r="O680" s="145" t="str">
        <v/>
      </c>
      <c r="P680" s="145" t="str">
        <v/>
      </c>
    </row>
    <row r="681" spans="1:16" x14ac:dyDescent="0.2">
      <c r="A681" s="58" t="str">
        <v/>
      </c>
      <c r="B681" s="123" t="str">
        <f>IFERROR(TIMEVALUE(DaqBook_RAW_Data!Q569),IFERROR(TIMEVALUE(DaqBook_RAW_Data!A91),""))</f>
        <v/>
      </c>
      <c r="C681" s="145" t="str">
        <v/>
      </c>
      <c r="D681" s="145" t="str">
        <v/>
      </c>
      <c r="E681" s="145" t="str">
        <v/>
      </c>
      <c r="F681" s="145" t="str">
        <v/>
      </c>
      <c r="G681" s="145" t="str">
        <v/>
      </c>
      <c r="H681" s="145" t="str">
        <v/>
      </c>
      <c r="I681" s="145" t="str">
        <v/>
      </c>
      <c r="J681" s="145" t="str">
        <v/>
      </c>
      <c r="K681" s="145" t="str">
        <v/>
      </c>
      <c r="L681" s="145" t="str">
        <v/>
      </c>
      <c r="M681" s="145" t="str">
        <v/>
      </c>
      <c r="N681" s="145" t="str">
        <v/>
      </c>
      <c r="O681" s="145" t="str">
        <v/>
      </c>
      <c r="P681" s="145" t="str">
        <v/>
      </c>
    </row>
    <row r="682" spans="1:16" x14ac:dyDescent="0.2">
      <c r="A682" s="58" t="str">
        <v/>
      </c>
      <c r="B682" s="123" t="str">
        <f>IFERROR(TIMEVALUE(DaqBook_RAW_Data!Q570),IFERROR(TIMEVALUE(DaqBook_RAW_Data!A92),""))</f>
        <v/>
      </c>
      <c r="C682" s="145" t="str">
        <v/>
      </c>
      <c r="D682" s="145" t="str">
        <v/>
      </c>
      <c r="E682" s="145" t="str">
        <v/>
      </c>
      <c r="F682" s="145" t="str">
        <v/>
      </c>
      <c r="G682" s="145" t="str">
        <v/>
      </c>
      <c r="H682" s="145" t="str">
        <v/>
      </c>
      <c r="I682" s="145" t="str">
        <v/>
      </c>
      <c r="J682" s="145" t="str">
        <v/>
      </c>
      <c r="K682" s="145" t="str">
        <v/>
      </c>
      <c r="L682" s="145" t="str">
        <v/>
      </c>
      <c r="M682" s="145" t="str">
        <v/>
      </c>
      <c r="N682" s="145" t="str">
        <v/>
      </c>
      <c r="O682" s="145" t="str">
        <v/>
      </c>
      <c r="P682" s="145" t="str">
        <v/>
      </c>
    </row>
    <row r="683" spans="1:16" x14ac:dyDescent="0.2">
      <c r="A683" s="58" t="str">
        <v/>
      </c>
      <c r="B683" s="123" t="str">
        <f>IFERROR(TIMEVALUE(DaqBook_RAW_Data!Q571),IFERROR(TIMEVALUE(DaqBook_RAW_Data!A93),""))</f>
        <v/>
      </c>
      <c r="C683" s="145" t="str">
        <v/>
      </c>
      <c r="D683" s="145" t="str">
        <v/>
      </c>
      <c r="E683" s="145" t="str">
        <v/>
      </c>
      <c r="F683" s="145" t="str">
        <v/>
      </c>
      <c r="G683" s="145" t="str">
        <v/>
      </c>
      <c r="H683" s="145" t="str">
        <v/>
      </c>
      <c r="I683" s="145" t="str">
        <v/>
      </c>
      <c r="J683" s="145" t="str">
        <v/>
      </c>
      <c r="K683" s="145" t="str">
        <v/>
      </c>
      <c r="L683" s="145" t="str">
        <v/>
      </c>
      <c r="M683" s="145" t="str">
        <v/>
      </c>
      <c r="N683" s="145" t="str">
        <v/>
      </c>
      <c r="O683" s="145" t="str">
        <v/>
      </c>
      <c r="P683" s="145" t="str">
        <v/>
      </c>
    </row>
    <row r="684" spans="1:16" x14ac:dyDescent="0.2">
      <c r="A684" s="58" t="str">
        <v/>
      </c>
      <c r="B684" s="123" t="str">
        <f>IFERROR(TIMEVALUE(DaqBook_RAW_Data!Q572),IFERROR(TIMEVALUE(DaqBook_RAW_Data!A94),""))</f>
        <v/>
      </c>
      <c r="C684" s="145" t="str">
        <v/>
      </c>
      <c r="D684" s="145" t="str">
        <v/>
      </c>
      <c r="E684" s="145" t="str">
        <v/>
      </c>
      <c r="F684" s="145" t="str">
        <v/>
      </c>
      <c r="G684" s="145" t="str">
        <v/>
      </c>
      <c r="H684" s="145" t="str">
        <v/>
      </c>
      <c r="I684" s="145" t="str">
        <v/>
      </c>
      <c r="J684" s="145" t="str">
        <v/>
      </c>
      <c r="K684" s="145" t="str">
        <v/>
      </c>
      <c r="L684" s="145" t="str">
        <v/>
      </c>
      <c r="M684" s="145" t="str">
        <v/>
      </c>
      <c r="N684" s="145" t="str">
        <v/>
      </c>
      <c r="O684" s="145" t="str">
        <v/>
      </c>
      <c r="P684" s="145" t="str">
        <v/>
      </c>
    </row>
    <row r="685" spans="1:16" x14ac:dyDescent="0.2">
      <c r="A685" s="58" t="str">
        <v/>
      </c>
      <c r="B685" s="123" t="str">
        <f>IFERROR(TIMEVALUE(DaqBook_RAW_Data!Q573),IFERROR(TIMEVALUE(DaqBook_RAW_Data!A95),""))</f>
        <v/>
      </c>
      <c r="C685" s="145" t="str">
        <v/>
      </c>
      <c r="D685" s="145" t="str">
        <v/>
      </c>
      <c r="E685" s="145" t="str">
        <v/>
      </c>
      <c r="F685" s="145" t="str">
        <v/>
      </c>
      <c r="G685" s="145" t="str">
        <v/>
      </c>
      <c r="H685" s="145" t="str">
        <v/>
      </c>
      <c r="I685" s="145" t="str">
        <v/>
      </c>
      <c r="J685" s="145" t="str">
        <v/>
      </c>
      <c r="K685" s="145" t="str">
        <v/>
      </c>
      <c r="L685" s="145" t="str">
        <v/>
      </c>
      <c r="M685" s="145" t="str">
        <v/>
      </c>
      <c r="N685" s="145" t="str">
        <v/>
      </c>
      <c r="O685" s="145" t="str">
        <v/>
      </c>
      <c r="P685" s="145" t="str">
        <v/>
      </c>
    </row>
    <row r="686" spans="1:16" x14ac:dyDescent="0.2">
      <c r="A686" s="58" t="str">
        <v/>
      </c>
      <c r="B686" s="123" t="str">
        <f>IFERROR(TIMEVALUE(DaqBook_RAW_Data!Q574),IFERROR(TIMEVALUE(DaqBook_RAW_Data!A96),""))</f>
        <v/>
      </c>
      <c r="C686" s="145" t="str">
        <v/>
      </c>
      <c r="D686" s="145" t="str">
        <v/>
      </c>
      <c r="E686" s="145" t="str">
        <v/>
      </c>
      <c r="F686" s="145" t="str">
        <v/>
      </c>
      <c r="G686" s="145" t="str">
        <v/>
      </c>
      <c r="H686" s="145" t="str">
        <v/>
      </c>
      <c r="I686" s="145" t="str">
        <v/>
      </c>
      <c r="J686" s="145" t="str">
        <v/>
      </c>
      <c r="K686" s="145" t="str">
        <v/>
      </c>
      <c r="L686" s="145" t="str">
        <v/>
      </c>
      <c r="M686" s="145" t="str">
        <v/>
      </c>
      <c r="N686" s="145" t="str">
        <v/>
      </c>
      <c r="O686" s="145" t="str">
        <v/>
      </c>
      <c r="P686" s="145" t="str">
        <v/>
      </c>
    </row>
    <row r="687" spans="1:16" x14ac:dyDescent="0.2">
      <c r="A687" s="58" t="str">
        <v/>
      </c>
      <c r="B687" s="123" t="str">
        <f>IFERROR(TIMEVALUE(DaqBook_RAW_Data!Q575),IFERROR(TIMEVALUE(DaqBook_RAW_Data!A97),""))</f>
        <v/>
      </c>
      <c r="C687" s="145" t="str">
        <v/>
      </c>
      <c r="D687" s="145" t="str">
        <v/>
      </c>
      <c r="E687" s="145" t="str">
        <v/>
      </c>
      <c r="F687" s="145" t="str">
        <v/>
      </c>
      <c r="G687" s="145" t="str">
        <v/>
      </c>
      <c r="H687" s="145" t="str">
        <v/>
      </c>
      <c r="I687" s="145" t="str">
        <v/>
      </c>
      <c r="J687" s="145" t="str">
        <v/>
      </c>
      <c r="K687" s="145" t="str">
        <v/>
      </c>
      <c r="L687" s="145" t="str">
        <v/>
      </c>
      <c r="M687" s="145" t="str">
        <v/>
      </c>
      <c r="N687" s="145" t="str">
        <v/>
      </c>
      <c r="O687" s="145" t="str">
        <v/>
      </c>
      <c r="P687" s="145" t="str">
        <v/>
      </c>
    </row>
    <row r="688" spans="1:16" x14ac:dyDescent="0.2">
      <c r="A688" s="58" t="str">
        <v/>
      </c>
      <c r="B688" s="123" t="str">
        <f>IFERROR(TIMEVALUE(DaqBook_RAW_Data!Q576),IFERROR(TIMEVALUE(DaqBook_RAW_Data!A98),""))</f>
        <v/>
      </c>
      <c r="C688" s="145" t="str">
        <v/>
      </c>
      <c r="D688" s="145" t="str">
        <v/>
      </c>
      <c r="E688" s="145" t="str">
        <v/>
      </c>
      <c r="F688" s="145" t="str">
        <v/>
      </c>
      <c r="G688" s="145" t="str">
        <v/>
      </c>
      <c r="H688" s="145" t="str">
        <v/>
      </c>
      <c r="I688" s="145" t="str">
        <v/>
      </c>
      <c r="J688" s="145" t="str">
        <v/>
      </c>
      <c r="K688" s="145" t="str">
        <v/>
      </c>
      <c r="L688" s="145" t="str">
        <v/>
      </c>
      <c r="M688" s="145" t="str">
        <v/>
      </c>
      <c r="N688" s="145" t="str">
        <v/>
      </c>
      <c r="O688" s="145" t="str">
        <v/>
      </c>
      <c r="P688" s="145" t="str">
        <v/>
      </c>
    </row>
    <row r="689" spans="1:16" x14ac:dyDescent="0.2">
      <c r="A689" s="58" t="str">
        <v/>
      </c>
      <c r="B689" s="123" t="str">
        <f>IFERROR(TIMEVALUE(DaqBook_RAW_Data!Q577),IFERROR(TIMEVALUE(DaqBook_RAW_Data!A99),""))</f>
        <v/>
      </c>
      <c r="C689" s="145" t="str">
        <v/>
      </c>
      <c r="D689" s="145" t="str">
        <v/>
      </c>
      <c r="E689" s="145" t="str">
        <v/>
      </c>
      <c r="F689" s="145" t="str">
        <v/>
      </c>
      <c r="G689" s="145" t="str">
        <v/>
      </c>
      <c r="H689" s="145" t="str">
        <v/>
      </c>
      <c r="I689" s="145" t="str">
        <v/>
      </c>
      <c r="J689" s="145" t="str">
        <v/>
      </c>
      <c r="K689" s="145" t="str">
        <v/>
      </c>
      <c r="L689" s="145" t="str">
        <v/>
      </c>
      <c r="M689" s="145" t="str">
        <v/>
      </c>
      <c r="N689" s="145" t="str">
        <v/>
      </c>
      <c r="O689" s="145" t="str">
        <v/>
      </c>
      <c r="P689" s="145" t="str">
        <v/>
      </c>
    </row>
    <row r="690" spans="1:16" x14ac:dyDescent="0.2">
      <c r="A690" s="58" t="str">
        <v/>
      </c>
      <c r="B690" s="123" t="str">
        <f>IFERROR(TIMEVALUE(DaqBook_RAW_Data!Q578),IFERROR(TIMEVALUE(DaqBook_RAW_Data!A100),""))</f>
        <v/>
      </c>
      <c r="C690" s="145" t="str">
        <v/>
      </c>
      <c r="D690" s="145" t="str">
        <v/>
      </c>
      <c r="E690" s="145" t="str">
        <v/>
      </c>
      <c r="F690" s="145" t="str">
        <v/>
      </c>
      <c r="G690" s="145" t="str">
        <v/>
      </c>
      <c r="H690" s="145" t="str">
        <v/>
      </c>
      <c r="I690" s="145" t="str">
        <v/>
      </c>
      <c r="J690" s="145" t="str">
        <v/>
      </c>
      <c r="K690" s="145" t="str">
        <v/>
      </c>
      <c r="L690" s="145" t="str">
        <v/>
      </c>
      <c r="M690" s="145" t="str">
        <v/>
      </c>
      <c r="N690" s="145" t="str">
        <v/>
      </c>
      <c r="O690" s="145" t="str">
        <v/>
      </c>
      <c r="P690" s="145" t="str">
        <v/>
      </c>
    </row>
    <row r="691" spans="1:16" x14ac:dyDescent="0.2">
      <c r="A691" s="58" t="str">
        <v/>
      </c>
      <c r="B691" s="123" t="str">
        <f>IFERROR(TIMEVALUE(DaqBook_RAW_Data!Q579),IFERROR(TIMEVALUE(DaqBook_RAW_Data!A101),""))</f>
        <v/>
      </c>
      <c r="C691" s="145" t="str">
        <v/>
      </c>
      <c r="D691" s="145" t="str">
        <v/>
      </c>
      <c r="E691" s="145" t="str">
        <v/>
      </c>
      <c r="F691" s="145" t="str">
        <v/>
      </c>
      <c r="G691" s="145" t="str">
        <v/>
      </c>
      <c r="H691" s="145" t="str">
        <v/>
      </c>
      <c r="I691" s="145" t="str">
        <v/>
      </c>
      <c r="J691" s="145" t="str">
        <v/>
      </c>
      <c r="K691" s="145" t="str">
        <v/>
      </c>
      <c r="L691" s="145" t="str">
        <v/>
      </c>
      <c r="M691" s="145" t="str">
        <v/>
      </c>
      <c r="N691" s="145" t="str">
        <v/>
      </c>
      <c r="O691" s="145" t="str">
        <v/>
      </c>
      <c r="P691" s="145" t="str">
        <v/>
      </c>
    </row>
    <row r="692" spans="1:16" x14ac:dyDescent="0.2">
      <c r="A692" s="58" t="str">
        <v/>
      </c>
      <c r="B692" s="123" t="str">
        <f>IFERROR(TIMEVALUE(DaqBook_RAW_Data!Q580),IFERROR(TIMEVALUE(DaqBook_RAW_Data!A102),""))</f>
        <v/>
      </c>
      <c r="C692" s="145" t="str">
        <v/>
      </c>
      <c r="D692" s="145" t="str">
        <v/>
      </c>
      <c r="E692" s="145" t="str">
        <v/>
      </c>
      <c r="F692" s="145" t="str">
        <v/>
      </c>
      <c r="G692" s="145" t="str">
        <v/>
      </c>
      <c r="H692" s="145" t="str">
        <v/>
      </c>
      <c r="I692" s="145" t="str">
        <v/>
      </c>
      <c r="J692" s="145" t="str">
        <v/>
      </c>
      <c r="K692" s="145" t="str">
        <v/>
      </c>
      <c r="L692" s="145" t="str">
        <v/>
      </c>
      <c r="M692" s="145" t="str">
        <v/>
      </c>
      <c r="N692" s="145" t="str">
        <v/>
      </c>
      <c r="O692" s="145" t="str">
        <v/>
      </c>
      <c r="P692" s="145" t="str">
        <v/>
      </c>
    </row>
    <row r="693" spans="1:16" x14ac:dyDescent="0.2">
      <c r="A693" s="58" t="str">
        <v/>
      </c>
      <c r="B693" s="123" t="str">
        <f>IFERROR(TIMEVALUE(DaqBook_RAW_Data!Q581),IFERROR(TIMEVALUE(DaqBook_RAW_Data!A103),""))</f>
        <v/>
      </c>
      <c r="C693" s="145" t="str">
        <v/>
      </c>
      <c r="D693" s="145" t="str">
        <v/>
      </c>
      <c r="E693" s="145" t="str">
        <v/>
      </c>
      <c r="F693" s="145" t="str">
        <v/>
      </c>
      <c r="G693" s="145" t="str">
        <v/>
      </c>
      <c r="H693" s="145" t="str">
        <v/>
      </c>
      <c r="I693" s="145" t="str">
        <v/>
      </c>
      <c r="J693" s="145" t="str">
        <v/>
      </c>
      <c r="K693" s="145" t="str">
        <v/>
      </c>
      <c r="L693" s="145" t="str">
        <v/>
      </c>
      <c r="M693" s="145" t="str">
        <v/>
      </c>
      <c r="N693" s="145" t="str">
        <v/>
      </c>
      <c r="O693" s="145" t="str">
        <v/>
      </c>
      <c r="P693" s="145" t="str">
        <v/>
      </c>
    </row>
    <row r="694" spans="1:16" x14ac:dyDescent="0.2">
      <c r="A694" s="58" t="str">
        <v/>
      </c>
      <c r="B694" s="123" t="str">
        <f>IFERROR(TIMEVALUE(DaqBook_RAW_Data!Q582),IFERROR(TIMEVALUE(DaqBook_RAW_Data!A104),""))</f>
        <v/>
      </c>
      <c r="C694" s="145" t="str">
        <v/>
      </c>
      <c r="D694" s="145" t="str">
        <v/>
      </c>
      <c r="E694" s="145" t="str">
        <v/>
      </c>
      <c r="F694" s="145" t="str">
        <v/>
      </c>
      <c r="G694" s="145" t="str">
        <v/>
      </c>
      <c r="H694" s="145" t="str">
        <v/>
      </c>
      <c r="I694" s="145" t="str">
        <v/>
      </c>
      <c r="J694" s="145" t="str">
        <v/>
      </c>
      <c r="K694" s="145" t="str">
        <v/>
      </c>
      <c r="L694" s="145" t="str">
        <v/>
      </c>
      <c r="M694" s="145" t="str">
        <v/>
      </c>
      <c r="N694" s="145" t="str">
        <v/>
      </c>
      <c r="O694" s="145" t="str">
        <v/>
      </c>
      <c r="P694" s="145" t="str">
        <v/>
      </c>
    </row>
    <row r="695" spans="1:16" x14ac:dyDescent="0.2">
      <c r="A695" s="58" t="str">
        <v/>
      </c>
      <c r="B695" s="123" t="str">
        <f>IFERROR(TIMEVALUE(DaqBook_RAW_Data!Q583),IFERROR(TIMEVALUE(DaqBook_RAW_Data!A105),""))</f>
        <v/>
      </c>
      <c r="C695" s="145" t="str">
        <v/>
      </c>
      <c r="D695" s="145" t="str">
        <v/>
      </c>
      <c r="E695" s="145" t="str">
        <v/>
      </c>
      <c r="F695" s="145" t="str">
        <v/>
      </c>
      <c r="G695" s="145" t="str">
        <v/>
      </c>
      <c r="H695" s="145" t="str">
        <v/>
      </c>
      <c r="I695" s="145" t="str">
        <v/>
      </c>
      <c r="J695" s="145" t="str">
        <v/>
      </c>
      <c r="K695" s="145" t="str">
        <v/>
      </c>
      <c r="L695" s="145" t="str">
        <v/>
      </c>
      <c r="M695" s="145" t="str">
        <v/>
      </c>
      <c r="N695" s="145" t="str">
        <v/>
      </c>
      <c r="O695" s="145" t="str">
        <v/>
      </c>
      <c r="P695" s="145" t="str">
        <v/>
      </c>
    </row>
    <row r="696" spans="1:16" x14ac:dyDescent="0.2">
      <c r="A696" s="58" t="str">
        <v/>
      </c>
      <c r="B696" s="123" t="str">
        <f>IFERROR(TIMEVALUE(DaqBook_RAW_Data!Q584),IFERROR(TIMEVALUE(DaqBook_RAW_Data!A106),""))</f>
        <v/>
      </c>
      <c r="C696" s="145" t="str">
        <v/>
      </c>
      <c r="D696" s="145" t="str">
        <v/>
      </c>
      <c r="E696" s="145" t="str">
        <v/>
      </c>
      <c r="F696" s="145" t="str">
        <v/>
      </c>
      <c r="G696" s="145" t="str">
        <v/>
      </c>
      <c r="H696" s="145" t="str">
        <v/>
      </c>
      <c r="I696" s="145" t="str">
        <v/>
      </c>
      <c r="J696" s="145" t="str">
        <v/>
      </c>
      <c r="K696" s="145" t="str">
        <v/>
      </c>
      <c r="L696" s="145" t="str">
        <v/>
      </c>
      <c r="M696" s="145" t="str">
        <v/>
      </c>
      <c r="N696" s="145" t="str">
        <v/>
      </c>
      <c r="O696" s="145" t="str">
        <v/>
      </c>
      <c r="P696" s="145" t="str">
        <v/>
      </c>
    </row>
    <row r="697" spans="1:16" x14ac:dyDescent="0.2">
      <c r="A697" s="58" t="str">
        <v/>
      </c>
      <c r="B697" s="123" t="str">
        <f>IFERROR(TIMEVALUE(DaqBook_RAW_Data!Q585),IFERROR(TIMEVALUE(DaqBook_RAW_Data!A107),""))</f>
        <v/>
      </c>
      <c r="C697" s="145" t="str">
        <v/>
      </c>
      <c r="D697" s="145" t="str">
        <v/>
      </c>
      <c r="E697" s="145" t="str">
        <v/>
      </c>
      <c r="F697" s="145" t="str">
        <v/>
      </c>
      <c r="G697" s="145" t="str">
        <v/>
      </c>
      <c r="H697" s="145" t="str">
        <v/>
      </c>
      <c r="I697" s="145" t="str">
        <v/>
      </c>
      <c r="J697" s="145" t="str">
        <v/>
      </c>
      <c r="K697" s="145" t="str">
        <v/>
      </c>
      <c r="L697" s="145" t="str">
        <v/>
      </c>
      <c r="M697" s="145" t="str">
        <v/>
      </c>
      <c r="N697" s="145" t="str">
        <v/>
      </c>
      <c r="O697" s="145" t="str">
        <v/>
      </c>
      <c r="P697" s="145" t="str">
        <v/>
      </c>
    </row>
    <row r="698" spans="1:16" x14ac:dyDescent="0.2">
      <c r="A698" s="58" t="str">
        <v/>
      </c>
      <c r="B698" s="123" t="str">
        <f>IFERROR(TIMEVALUE(DaqBook_RAW_Data!Q586),IFERROR(TIMEVALUE(DaqBook_RAW_Data!A108),""))</f>
        <v/>
      </c>
      <c r="C698" s="145" t="str">
        <v/>
      </c>
      <c r="D698" s="145" t="str">
        <v/>
      </c>
      <c r="E698" s="145" t="str">
        <v/>
      </c>
      <c r="F698" s="145" t="str">
        <v/>
      </c>
      <c r="G698" s="145" t="str">
        <v/>
      </c>
      <c r="H698" s="145" t="str">
        <v/>
      </c>
      <c r="I698" s="145" t="str">
        <v/>
      </c>
      <c r="J698" s="145" t="str">
        <v/>
      </c>
      <c r="K698" s="145" t="str">
        <v/>
      </c>
      <c r="L698" s="145" t="str">
        <v/>
      </c>
      <c r="M698" s="145" t="str">
        <v/>
      </c>
      <c r="N698" s="145" t="str">
        <v/>
      </c>
      <c r="O698" s="145" t="str">
        <v/>
      </c>
      <c r="P698" s="145" t="str">
        <v/>
      </c>
    </row>
    <row r="699" spans="1:16" x14ac:dyDescent="0.2">
      <c r="A699" s="58" t="str">
        <v/>
      </c>
      <c r="B699" s="123" t="str">
        <f>IFERROR(TIMEVALUE(DaqBook_RAW_Data!Q587),IFERROR(TIMEVALUE(DaqBook_RAW_Data!A109),""))</f>
        <v/>
      </c>
      <c r="C699" s="145" t="str">
        <v/>
      </c>
      <c r="D699" s="145" t="str">
        <v/>
      </c>
      <c r="E699" s="145" t="str">
        <v/>
      </c>
      <c r="F699" s="145" t="str">
        <v/>
      </c>
      <c r="G699" s="145" t="str">
        <v/>
      </c>
      <c r="H699" s="145" t="str">
        <v/>
      </c>
      <c r="I699" s="145" t="str">
        <v/>
      </c>
      <c r="J699" s="145" t="str">
        <v/>
      </c>
      <c r="K699" s="145" t="str">
        <v/>
      </c>
      <c r="L699" s="145" t="str">
        <v/>
      </c>
      <c r="M699" s="145" t="str">
        <v/>
      </c>
      <c r="N699" s="145" t="str">
        <v/>
      </c>
      <c r="O699" s="145" t="str">
        <v/>
      </c>
      <c r="P699" s="145" t="str">
        <v/>
      </c>
    </row>
    <row r="700" spans="1:16" x14ac:dyDescent="0.2">
      <c r="A700" s="58" t="str">
        <v/>
      </c>
      <c r="B700" s="123" t="str">
        <f>IFERROR(TIMEVALUE(DaqBook_RAW_Data!Q588),IFERROR(TIMEVALUE(DaqBook_RAW_Data!A110),""))</f>
        <v/>
      </c>
      <c r="C700" s="145" t="str">
        <v/>
      </c>
      <c r="D700" s="145" t="str">
        <v/>
      </c>
      <c r="E700" s="145" t="str">
        <v/>
      </c>
      <c r="F700" s="145" t="str">
        <v/>
      </c>
      <c r="G700" s="145" t="str">
        <v/>
      </c>
      <c r="H700" s="145" t="str">
        <v/>
      </c>
      <c r="I700" s="145" t="str">
        <v/>
      </c>
      <c r="J700" s="145" t="str">
        <v/>
      </c>
      <c r="K700" s="145" t="str">
        <v/>
      </c>
      <c r="L700" s="145" t="str">
        <v/>
      </c>
      <c r="M700" s="145" t="str">
        <v/>
      </c>
      <c r="N700" s="145" t="str">
        <v/>
      </c>
      <c r="O700" s="145" t="str">
        <v/>
      </c>
      <c r="P700" s="145" t="str">
        <v/>
      </c>
    </row>
    <row r="701" spans="1:16" x14ac:dyDescent="0.2">
      <c r="A701" s="58" t="str">
        <v/>
      </c>
      <c r="B701" s="123" t="str">
        <f>IFERROR(TIMEVALUE(DaqBook_RAW_Data!Q589),IFERROR(TIMEVALUE(DaqBook_RAW_Data!A111),""))</f>
        <v/>
      </c>
      <c r="C701" s="145" t="str">
        <v/>
      </c>
      <c r="D701" s="145" t="str">
        <v/>
      </c>
      <c r="E701" s="145" t="str">
        <v/>
      </c>
      <c r="F701" s="145" t="str">
        <v/>
      </c>
      <c r="G701" s="145" t="str">
        <v/>
      </c>
      <c r="H701" s="145" t="str">
        <v/>
      </c>
      <c r="I701" s="145" t="str">
        <v/>
      </c>
      <c r="J701" s="145" t="str">
        <v/>
      </c>
      <c r="K701" s="145" t="str">
        <v/>
      </c>
      <c r="L701" s="145" t="str">
        <v/>
      </c>
      <c r="M701" s="145" t="str">
        <v/>
      </c>
      <c r="N701" s="145" t="str">
        <v/>
      </c>
      <c r="O701" s="145" t="str">
        <v/>
      </c>
      <c r="P701" s="145" t="str">
        <v/>
      </c>
    </row>
    <row r="702" spans="1:16" x14ac:dyDescent="0.2">
      <c r="A702" s="58" t="str">
        <v/>
      </c>
      <c r="B702" s="123" t="str">
        <f>IFERROR(TIMEVALUE(DaqBook_RAW_Data!Q590),IFERROR(TIMEVALUE(DaqBook_RAW_Data!A112),""))</f>
        <v/>
      </c>
      <c r="C702" s="145" t="str">
        <v/>
      </c>
      <c r="D702" s="145" t="str">
        <v/>
      </c>
      <c r="E702" s="145" t="str">
        <v/>
      </c>
      <c r="F702" s="145" t="str">
        <v/>
      </c>
      <c r="G702" s="145" t="str">
        <v/>
      </c>
      <c r="H702" s="145" t="str">
        <v/>
      </c>
      <c r="I702" s="145" t="str">
        <v/>
      </c>
      <c r="J702" s="145" t="str">
        <v/>
      </c>
      <c r="K702" s="145" t="str">
        <v/>
      </c>
      <c r="L702" s="145" t="str">
        <v/>
      </c>
      <c r="M702" s="145" t="str">
        <v/>
      </c>
      <c r="N702" s="145" t="str">
        <v/>
      </c>
      <c r="O702" s="145" t="str">
        <v/>
      </c>
      <c r="P702" s="145" t="str">
        <v/>
      </c>
    </row>
    <row r="703" spans="1:16" x14ac:dyDescent="0.2">
      <c r="A703" s="58" t="str">
        <v/>
      </c>
      <c r="B703" s="123" t="str">
        <f>IFERROR(TIMEVALUE(DaqBook_RAW_Data!Q591),IFERROR(TIMEVALUE(DaqBook_RAW_Data!A113),""))</f>
        <v/>
      </c>
      <c r="C703" s="145" t="str">
        <v/>
      </c>
      <c r="D703" s="145" t="str">
        <v/>
      </c>
      <c r="E703" s="145" t="str">
        <v/>
      </c>
      <c r="F703" s="145" t="str">
        <v/>
      </c>
      <c r="G703" s="145" t="str">
        <v/>
      </c>
      <c r="H703" s="145" t="str">
        <v/>
      </c>
      <c r="I703" s="145" t="str">
        <v/>
      </c>
      <c r="J703" s="145" t="str">
        <v/>
      </c>
      <c r="K703" s="145" t="str">
        <v/>
      </c>
      <c r="L703" s="145" t="str">
        <v/>
      </c>
      <c r="M703" s="145" t="str">
        <v/>
      </c>
      <c r="N703" s="145" t="str">
        <v/>
      </c>
      <c r="O703" s="145" t="str">
        <v/>
      </c>
      <c r="P703" s="145" t="str">
        <v/>
      </c>
    </row>
    <row r="704" spans="1:16" x14ac:dyDescent="0.2">
      <c r="A704" s="58" t="str">
        <v/>
      </c>
      <c r="B704" s="123" t="str">
        <f>IFERROR(TIMEVALUE(DaqBook_RAW_Data!Q592),IFERROR(TIMEVALUE(DaqBook_RAW_Data!A114),""))</f>
        <v/>
      </c>
      <c r="C704" s="145" t="str">
        <v/>
      </c>
      <c r="D704" s="145" t="str">
        <v/>
      </c>
      <c r="E704" s="145" t="str">
        <v/>
      </c>
      <c r="F704" s="145" t="str">
        <v/>
      </c>
      <c r="G704" s="145" t="str">
        <v/>
      </c>
      <c r="H704" s="145" t="str">
        <v/>
      </c>
      <c r="I704" s="145" t="str">
        <v/>
      </c>
      <c r="J704" s="145" t="str">
        <v/>
      </c>
      <c r="K704" s="145" t="str">
        <v/>
      </c>
      <c r="L704" s="145" t="str">
        <v/>
      </c>
      <c r="M704" s="145" t="str">
        <v/>
      </c>
      <c r="N704" s="145" t="str">
        <v/>
      </c>
      <c r="O704" s="145" t="str">
        <v/>
      </c>
      <c r="P704" s="145" t="str">
        <v/>
      </c>
    </row>
    <row r="705" spans="1:16" x14ac:dyDescent="0.2">
      <c r="A705" s="58" t="str">
        <v/>
      </c>
      <c r="B705" s="123" t="str">
        <f>IFERROR(TIMEVALUE(DaqBook_RAW_Data!Q593),IFERROR(TIMEVALUE(DaqBook_RAW_Data!A115),""))</f>
        <v/>
      </c>
      <c r="C705" s="145" t="str">
        <v/>
      </c>
      <c r="D705" s="145" t="str">
        <v/>
      </c>
      <c r="E705" s="145" t="str">
        <v/>
      </c>
      <c r="F705" s="145" t="str">
        <v/>
      </c>
      <c r="G705" s="145" t="str">
        <v/>
      </c>
      <c r="H705" s="145" t="str">
        <v/>
      </c>
      <c r="I705" s="145" t="str">
        <v/>
      </c>
      <c r="J705" s="145" t="str">
        <v/>
      </c>
      <c r="K705" s="145" t="str">
        <v/>
      </c>
      <c r="L705" s="145" t="str">
        <v/>
      </c>
      <c r="M705" s="145" t="str">
        <v/>
      </c>
      <c r="N705" s="145" t="str">
        <v/>
      </c>
      <c r="O705" s="145" t="str">
        <v/>
      </c>
      <c r="P705" s="145" t="str">
        <v/>
      </c>
    </row>
    <row r="706" spans="1:16" x14ac:dyDescent="0.2">
      <c r="A706" s="58" t="str">
        <v/>
      </c>
      <c r="B706" s="123" t="str">
        <f>IFERROR(TIMEVALUE(DaqBook_RAW_Data!Q594),IFERROR(TIMEVALUE(DaqBook_RAW_Data!A116),""))</f>
        <v/>
      </c>
      <c r="C706" s="145" t="str">
        <v/>
      </c>
      <c r="D706" s="145" t="str">
        <v/>
      </c>
      <c r="E706" s="145" t="str">
        <v/>
      </c>
      <c r="F706" s="145" t="str">
        <v/>
      </c>
      <c r="G706" s="145" t="str">
        <v/>
      </c>
      <c r="H706" s="145" t="str">
        <v/>
      </c>
      <c r="I706" s="145" t="str">
        <v/>
      </c>
      <c r="J706" s="145" t="str">
        <v/>
      </c>
      <c r="K706" s="145" t="str">
        <v/>
      </c>
      <c r="L706" s="145" t="str">
        <v/>
      </c>
      <c r="M706" s="145" t="str">
        <v/>
      </c>
      <c r="N706" s="145" t="str">
        <v/>
      </c>
      <c r="O706" s="145" t="str">
        <v/>
      </c>
      <c r="P706" s="145" t="str">
        <v/>
      </c>
    </row>
    <row r="707" spans="1:16" x14ac:dyDescent="0.2">
      <c r="A707" s="58" t="str">
        <v/>
      </c>
      <c r="B707" s="123" t="str">
        <f>IFERROR(TIMEVALUE(DaqBook_RAW_Data!Q595),IFERROR(TIMEVALUE(DaqBook_RAW_Data!A117),""))</f>
        <v/>
      </c>
      <c r="C707" s="145" t="str">
        <v/>
      </c>
      <c r="D707" s="145" t="str">
        <v/>
      </c>
      <c r="E707" s="145" t="str">
        <v/>
      </c>
      <c r="F707" s="145" t="str">
        <v/>
      </c>
      <c r="G707" s="145" t="str">
        <v/>
      </c>
      <c r="H707" s="145" t="str">
        <v/>
      </c>
      <c r="I707" s="145" t="str">
        <v/>
      </c>
      <c r="J707" s="145" t="str">
        <v/>
      </c>
      <c r="K707" s="145" t="str">
        <v/>
      </c>
      <c r="L707" s="145" t="str">
        <v/>
      </c>
      <c r="M707" s="145" t="str">
        <v/>
      </c>
      <c r="N707" s="145" t="str">
        <v/>
      </c>
      <c r="O707" s="145" t="str">
        <v/>
      </c>
      <c r="P707" s="145" t="str">
        <v/>
      </c>
    </row>
    <row r="708" spans="1:16" x14ac:dyDescent="0.2">
      <c r="A708" s="58" t="str">
        <v/>
      </c>
      <c r="B708" s="123" t="str">
        <f>IFERROR(TIMEVALUE(DaqBook_RAW_Data!Q596),IFERROR(TIMEVALUE(DaqBook_RAW_Data!A118),""))</f>
        <v/>
      </c>
      <c r="C708" s="145" t="str">
        <v/>
      </c>
      <c r="D708" s="145" t="str">
        <v/>
      </c>
      <c r="E708" s="145" t="str">
        <v/>
      </c>
      <c r="F708" s="145" t="str">
        <v/>
      </c>
      <c r="G708" s="145" t="str">
        <v/>
      </c>
      <c r="H708" s="145" t="str">
        <v/>
      </c>
      <c r="I708" s="145" t="str">
        <v/>
      </c>
      <c r="J708" s="145" t="str">
        <v/>
      </c>
      <c r="K708" s="145" t="str">
        <v/>
      </c>
      <c r="L708" s="145" t="str">
        <v/>
      </c>
      <c r="M708" s="145" t="str">
        <v/>
      </c>
      <c r="N708" s="145" t="str">
        <v/>
      </c>
      <c r="O708" s="145" t="str">
        <v/>
      </c>
      <c r="P708" s="145" t="str">
        <v/>
      </c>
    </row>
    <row r="709" spans="1:16" x14ac:dyDescent="0.2">
      <c r="A709" s="58" t="str">
        <v/>
      </c>
      <c r="B709" s="123" t="str">
        <f>IFERROR(TIMEVALUE(DaqBook_RAW_Data!Q597),IFERROR(TIMEVALUE(DaqBook_RAW_Data!A119),""))</f>
        <v/>
      </c>
      <c r="C709" s="145" t="str">
        <v/>
      </c>
      <c r="D709" s="145" t="str">
        <v/>
      </c>
      <c r="E709" s="145" t="str">
        <v/>
      </c>
      <c r="F709" s="145" t="str">
        <v/>
      </c>
      <c r="G709" s="145" t="str">
        <v/>
      </c>
      <c r="H709" s="145" t="str">
        <v/>
      </c>
      <c r="I709" s="145" t="str">
        <v/>
      </c>
      <c r="J709" s="145" t="str">
        <v/>
      </c>
      <c r="K709" s="145" t="str">
        <v/>
      </c>
      <c r="L709" s="145" t="str">
        <v/>
      </c>
      <c r="M709" s="145" t="str">
        <v/>
      </c>
      <c r="N709" s="145" t="str">
        <v/>
      </c>
      <c r="O709" s="145" t="str">
        <v/>
      </c>
      <c r="P709" s="145" t="str">
        <v/>
      </c>
    </row>
    <row r="710" spans="1:16" x14ac:dyDescent="0.2">
      <c r="A710" s="58" t="str">
        <v/>
      </c>
      <c r="B710" s="123" t="str">
        <f>IFERROR(TIMEVALUE(DaqBook_RAW_Data!Q598),IFERROR(TIMEVALUE(DaqBook_RAW_Data!A120),""))</f>
        <v/>
      </c>
      <c r="C710" s="145" t="str">
        <v/>
      </c>
      <c r="D710" s="145" t="str">
        <v/>
      </c>
      <c r="E710" s="145" t="str">
        <v/>
      </c>
      <c r="F710" s="145" t="str">
        <v/>
      </c>
      <c r="G710" s="145" t="str">
        <v/>
      </c>
      <c r="H710" s="145" t="str">
        <v/>
      </c>
      <c r="I710" s="145" t="str">
        <v/>
      </c>
      <c r="J710" s="145" t="str">
        <v/>
      </c>
      <c r="K710" s="145" t="str">
        <v/>
      </c>
      <c r="L710" s="145" t="str">
        <v/>
      </c>
      <c r="M710" s="145" t="str">
        <v/>
      </c>
      <c r="N710" s="145" t="str">
        <v/>
      </c>
      <c r="O710" s="145" t="str">
        <v/>
      </c>
      <c r="P710" s="145" t="str">
        <v/>
      </c>
    </row>
    <row r="711" spans="1:16" x14ac:dyDescent="0.2">
      <c r="A711" s="58" t="str">
        <v/>
      </c>
      <c r="B711" s="123" t="str">
        <f>IFERROR(TIMEVALUE(DaqBook_RAW_Data!Q599),IFERROR(TIMEVALUE(DaqBook_RAW_Data!A121),""))</f>
        <v/>
      </c>
      <c r="C711" s="145" t="str">
        <v/>
      </c>
      <c r="D711" s="145" t="str">
        <v/>
      </c>
      <c r="E711" s="145" t="str">
        <v/>
      </c>
      <c r="F711" s="145" t="str">
        <v/>
      </c>
      <c r="G711" s="145" t="str">
        <v/>
      </c>
      <c r="H711" s="145" t="str">
        <v/>
      </c>
      <c r="I711" s="145" t="str">
        <v/>
      </c>
      <c r="J711" s="145" t="str">
        <v/>
      </c>
      <c r="K711" s="145" t="str">
        <v/>
      </c>
      <c r="L711" s="145" t="str">
        <v/>
      </c>
      <c r="M711" s="145" t="str">
        <v/>
      </c>
      <c r="N711" s="145" t="str">
        <v/>
      </c>
      <c r="O711" s="145" t="str">
        <v/>
      </c>
      <c r="P711" s="145" t="str">
        <v/>
      </c>
    </row>
    <row r="712" spans="1:16" x14ac:dyDescent="0.2">
      <c r="A712" s="58" t="str">
        <v/>
      </c>
      <c r="B712" s="123" t="str">
        <f>IFERROR(TIMEVALUE(DaqBook_RAW_Data!Q600),IFERROR(TIMEVALUE(DaqBook_RAW_Data!A122),""))</f>
        <v/>
      </c>
      <c r="C712" s="145" t="str">
        <v/>
      </c>
      <c r="D712" s="145" t="str">
        <v/>
      </c>
      <c r="E712" s="145" t="str">
        <v/>
      </c>
      <c r="F712" s="145" t="str">
        <v/>
      </c>
      <c r="G712" s="145" t="str">
        <v/>
      </c>
      <c r="H712" s="145" t="str">
        <v/>
      </c>
      <c r="I712" s="145" t="str">
        <v/>
      </c>
      <c r="J712" s="145" t="str">
        <v/>
      </c>
      <c r="K712" s="145" t="str">
        <v/>
      </c>
      <c r="L712" s="145" t="str">
        <v/>
      </c>
      <c r="M712" s="145" t="str">
        <v/>
      </c>
      <c r="N712" s="145" t="str">
        <v/>
      </c>
      <c r="O712" s="145" t="str">
        <v/>
      </c>
      <c r="P712" s="145" t="str">
        <v/>
      </c>
    </row>
    <row r="713" spans="1:16" x14ac:dyDescent="0.2">
      <c r="A713" s="58" t="str">
        <v/>
      </c>
      <c r="B713" s="123" t="str">
        <f>IFERROR(TIMEVALUE(DaqBook_RAW_Data!Q601),IFERROR(TIMEVALUE(DaqBook_RAW_Data!A123),""))</f>
        <v/>
      </c>
      <c r="C713" s="145" t="str">
        <v/>
      </c>
      <c r="D713" s="145" t="str">
        <v/>
      </c>
      <c r="E713" s="145" t="str">
        <v/>
      </c>
      <c r="F713" s="145" t="str">
        <v/>
      </c>
      <c r="G713" s="145" t="str">
        <v/>
      </c>
      <c r="H713" s="145" t="str">
        <v/>
      </c>
      <c r="I713" s="145" t="str">
        <v/>
      </c>
      <c r="J713" s="145" t="str">
        <v/>
      </c>
      <c r="K713" s="145" t="str">
        <v/>
      </c>
      <c r="L713" s="145" t="str">
        <v/>
      </c>
      <c r="M713" s="145" t="str">
        <v/>
      </c>
      <c r="N713" s="145" t="str">
        <v/>
      </c>
      <c r="O713" s="145" t="str">
        <v/>
      </c>
      <c r="P713" s="145" t="str">
        <v/>
      </c>
    </row>
    <row r="714" spans="1:16" x14ac:dyDescent="0.2">
      <c r="A714" s="58" t="str">
        <v/>
      </c>
      <c r="B714" s="123" t="str">
        <f>IFERROR(TIMEVALUE(DaqBook_RAW_Data!Q602),IFERROR(TIMEVALUE(DaqBook_RAW_Data!A124),""))</f>
        <v/>
      </c>
      <c r="C714" s="145" t="str">
        <v/>
      </c>
      <c r="D714" s="145" t="str">
        <v/>
      </c>
      <c r="E714" s="145" t="str">
        <v/>
      </c>
      <c r="F714" s="145" t="str">
        <v/>
      </c>
      <c r="G714" s="145" t="str">
        <v/>
      </c>
      <c r="H714" s="145" t="str">
        <v/>
      </c>
      <c r="I714" s="145" t="str">
        <v/>
      </c>
      <c r="J714" s="145" t="str">
        <v/>
      </c>
      <c r="K714" s="145" t="str">
        <v/>
      </c>
      <c r="L714" s="145" t="str">
        <v/>
      </c>
      <c r="M714" s="145" t="str">
        <v/>
      </c>
      <c r="N714" s="145" t="str">
        <v/>
      </c>
      <c r="O714" s="145" t="str">
        <v/>
      </c>
      <c r="P714" s="145" t="str">
        <v/>
      </c>
    </row>
    <row r="715" spans="1:16" x14ac:dyDescent="0.2">
      <c r="A715" s="58" t="str">
        <v/>
      </c>
      <c r="B715" s="123" t="str">
        <f>IFERROR(TIMEVALUE(DaqBook_RAW_Data!Q603),IFERROR(TIMEVALUE(DaqBook_RAW_Data!A125),""))</f>
        <v/>
      </c>
      <c r="C715" s="145" t="str">
        <v/>
      </c>
      <c r="D715" s="145" t="str">
        <v/>
      </c>
      <c r="E715" s="145" t="str">
        <v/>
      </c>
      <c r="F715" s="145" t="str">
        <v/>
      </c>
      <c r="G715" s="145" t="str">
        <v/>
      </c>
      <c r="H715" s="145" t="str">
        <v/>
      </c>
      <c r="I715" s="145" t="str">
        <v/>
      </c>
      <c r="J715" s="145" t="str">
        <v/>
      </c>
      <c r="K715" s="145" t="str">
        <v/>
      </c>
      <c r="L715" s="145" t="str">
        <v/>
      </c>
      <c r="M715" s="145" t="str">
        <v/>
      </c>
      <c r="N715" s="145" t="str">
        <v/>
      </c>
      <c r="O715" s="145" t="str">
        <v/>
      </c>
      <c r="P715" s="145" t="str">
        <v/>
      </c>
    </row>
    <row r="716" spans="1:16" x14ac:dyDescent="0.2">
      <c r="A716" s="58" t="str">
        <v/>
      </c>
      <c r="B716" s="123" t="str">
        <f>IFERROR(TIMEVALUE(DaqBook_RAW_Data!Q604),IFERROR(TIMEVALUE(DaqBook_RAW_Data!A126),""))</f>
        <v/>
      </c>
      <c r="C716" s="145" t="str">
        <v/>
      </c>
      <c r="D716" s="145" t="str">
        <v/>
      </c>
      <c r="E716" s="145" t="str">
        <v/>
      </c>
      <c r="F716" s="145" t="str">
        <v/>
      </c>
      <c r="G716" s="145" t="str">
        <v/>
      </c>
      <c r="H716" s="145" t="str">
        <v/>
      </c>
      <c r="I716" s="145" t="str">
        <v/>
      </c>
      <c r="J716" s="145" t="str">
        <v/>
      </c>
      <c r="K716" s="145" t="str">
        <v/>
      </c>
      <c r="L716" s="145" t="str">
        <v/>
      </c>
      <c r="M716" s="145" t="str">
        <v/>
      </c>
      <c r="N716" s="145" t="str">
        <v/>
      </c>
      <c r="O716" s="145" t="str">
        <v/>
      </c>
      <c r="P716" s="145" t="str">
        <v/>
      </c>
    </row>
    <row r="717" spans="1:16" x14ac:dyDescent="0.2">
      <c r="A717" s="58" t="str">
        <v/>
      </c>
      <c r="B717" s="123" t="str">
        <f>IFERROR(TIMEVALUE(DaqBook_RAW_Data!Q605),IFERROR(TIMEVALUE(DaqBook_RAW_Data!A127),""))</f>
        <v/>
      </c>
      <c r="C717" s="145" t="str">
        <v/>
      </c>
      <c r="D717" s="145" t="str">
        <v/>
      </c>
      <c r="E717" s="145" t="str">
        <v/>
      </c>
      <c r="F717" s="145" t="str">
        <v/>
      </c>
      <c r="G717" s="145" t="str">
        <v/>
      </c>
      <c r="H717" s="145" t="str">
        <v/>
      </c>
      <c r="I717" s="145" t="str">
        <v/>
      </c>
      <c r="J717" s="145" t="str">
        <v/>
      </c>
      <c r="K717" s="145" t="str">
        <v/>
      </c>
      <c r="L717" s="145" t="str">
        <v/>
      </c>
      <c r="M717" s="145" t="str">
        <v/>
      </c>
      <c r="N717" s="145" t="str">
        <v/>
      </c>
      <c r="O717" s="145" t="str">
        <v/>
      </c>
      <c r="P717" s="145" t="str">
        <v/>
      </c>
    </row>
    <row r="718" spans="1:16" x14ac:dyDescent="0.2">
      <c r="A718" s="58" t="str">
        <v/>
      </c>
      <c r="B718" s="123" t="str">
        <f>IFERROR(TIMEVALUE(DaqBook_RAW_Data!Q606),IFERROR(TIMEVALUE(DaqBook_RAW_Data!A128),""))</f>
        <v/>
      </c>
      <c r="C718" s="145" t="str">
        <v/>
      </c>
      <c r="D718" s="145" t="str">
        <v/>
      </c>
      <c r="E718" s="145" t="str">
        <v/>
      </c>
      <c r="F718" s="145" t="str">
        <v/>
      </c>
      <c r="G718" s="145" t="str">
        <v/>
      </c>
      <c r="H718" s="145" t="str">
        <v/>
      </c>
      <c r="I718" s="145" t="str">
        <v/>
      </c>
      <c r="J718" s="145" t="str">
        <v/>
      </c>
      <c r="K718" s="145" t="str">
        <v/>
      </c>
      <c r="L718" s="145" t="str">
        <v/>
      </c>
      <c r="M718" s="145" t="str">
        <v/>
      </c>
      <c r="N718" s="145" t="str">
        <v/>
      </c>
      <c r="O718" s="145" t="str">
        <v/>
      </c>
      <c r="P718" s="145" t="str">
        <v/>
      </c>
    </row>
    <row r="719" spans="1:16" x14ac:dyDescent="0.2">
      <c r="A719" s="58" t="str">
        <v/>
      </c>
      <c r="B719" s="123" t="str">
        <f>IFERROR(TIMEVALUE(DaqBook_RAW_Data!Q607),IFERROR(TIMEVALUE(DaqBook_RAW_Data!A129),""))</f>
        <v/>
      </c>
      <c r="C719" s="145" t="str">
        <v/>
      </c>
      <c r="D719" s="145" t="str">
        <v/>
      </c>
      <c r="E719" s="145" t="str">
        <v/>
      </c>
      <c r="F719" s="145" t="str">
        <v/>
      </c>
      <c r="G719" s="145" t="str">
        <v/>
      </c>
      <c r="H719" s="145" t="str">
        <v/>
      </c>
      <c r="I719" s="145" t="str">
        <v/>
      </c>
      <c r="J719" s="145" t="str">
        <v/>
      </c>
      <c r="K719" s="145" t="str">
        <v/>
      </c>
      <c r="L719" s="145" t="str">
        <v/>
      </c>
      <c r="M719" s="145" t="str">
        <v/>
      </c>
      <c r="N719" s="145" t="str">
        <v/>
      </c>
      <c r="O719" s="145" t="str">
        <v/>
      </c>
      <c r="P719" s="145" t="str">
        <v/>
      </c>
    </row>
    <row r="720" spans="1:16" x14ac:dyDescent="0.2">
      <c r="A720" s="58" t="str">
        <v/>
      </c>
      <c r="B720" s="123" t="str">
        <f>IFERROR(TIMEVALUE(DaqBook_RAW_Data!Q608),IFERROR(TIMEVALUE(DaqBook_RAW_Data!A130),""))</f>
        <v/>
      </c>
      <c r="C720" s="145" t="str">
        <v/>
      </c>
      <c r="D720" s="145" t="str">
        <v/>
      </c>
      <c r="E720" s="145" t="str">
        <v/>
      </c>
      <c r="F720" s="145" t="str">
        <v/>
      </c>
      <c r="G720" s="145" t="str">
        <v/>
      </c>
      <c r="H720" s="145" t="str">
        <v/>
      </c>
      <c r="I720" s="145" t="str">
        <v/>
      </c>
      <c r="J720" s="145" t="str">
        <v/>
      </c>
      <c r="K720" s="145" t="str">
        <v/>
      </c>
      <c r="L720" s="145" t="str">
        <v/>
      </c>
      <c r="M720" s="145" t="str">
        <v/>
      </c>
      <c r="N720" s="145" t="str">
        <v/>
      </c>
      <c r="O720" s="145" t="str">
        <v/>
      </c>
      <c r="P720" s="145" t="str">
        <v/>
      </c>
    </row>
    <row r="721" spans="1:16" x14ac:dyDescent="0.2">
      <c r="A721" s="58" t="str">
        <v/>
      </c>
      <c r="B721" s="123" t="str">
        <f>IFERROR(TIMEVALUE(DaqBook_RAW_Data!Q609),IFERROR(TIMEVALUE(DaqBook_RAW_Data!A131),""))</f>
        <v/>
      </c>
      <c r="C721" s="145" t="str">
        <v/>
      </c>
      <c r="D721" s="145" t="str">
        <v/>
      </c>
      <c r="E721" s="145" t="str">
        <v/>
      </c>
      <c r="F721" s="145" t="str">
        <v/>
      </c>
      <c r="G721" s="145" t="str">
        <v/>
      </c>
      <c r="H721" s="145" t="str">
        <v/>
      </c>
      <c r="I721" s="145" t="str">
        <v/>
      </c>
      <c r="J721" s="145" t="str">
        <v/>
      </c>
      <c r="K721" s="145" t="str">
        <v/>
      </c>
      <c r="L721" s="145" t="str">
        <v/>
      </c>
      <c r="M721" s="145" t="str">
        <v/>
      </c>
      <c r="N721" s="145" t="str">
        <v/>
      </c>
      <c r="O721" s="145" t="str">
        <v/>
      </c>
      <c r="P721" s="145" t="str">
        <v/>
      </c>
    </row>
    <row r="722" spans="1:16" x14ac:dyDescent="0.2">
      <c r="A722" s="58" t="str">
        <v/>
      </c>
      <c r="B722" s="123" t="str">
        <f>IFERROR(TIMEVALUE(DaqBook_RAW_Data!Q610),IFERROR(TIMEVALUE(DaqBook_RAW_Data!A132),""))</f>
        <v/>
      </c>
      <c r="C722" s="145" t="str">
        <v/>
      </c>
      <c r="D722" s="145" t="str">
        <v/>
      </c>
      <c r="E722" s="145" t="str">
        <v/>
      </c>
      <c r="F722" s="145" t="str">
        <v/>
      </c>
      <c r="G722" s="145" t="str">
        <v/>
      </c>
      <c r="H722" s="145" t="str">
        <v/>
      </c>
      <c r="I722" s="145" t="str">
        <v/>
      </c>
      <c r="J722" s="145" t="str">
        <v/>
      </c>
      <c r="K722" s="145" t="str">
        <v/>
      </c>
      <c r="L722" s="145" t="str">
        <v/>
      </c>
      <c r="M722" s="145" t="str">
        <v/>
      </c>
      <c r="N722" s="145" t="str">
        <v/>
      </c>
      <c r="O722" s="145" t="str">
        <v/>
      </c>
      <c r="P722" s="145" t="str">
        <v/>
      </c>
    </row>
    <row r="723" spans="1:16" x14ac:dyDescent="0.2">
      <c r="A723" s="58" t="str">
        <v/>
      </c>
      <c r="B723" s="123" t="str">
        <f>IFERROR(TIMEVALUE(DaqBook_RAW_Data!Q611),IFERROR(TIMEVALUE(DaqBook_RAW_Data!A133),""))</f>
        <v/>
      </c>
      <c r="C723" s="145" t="str">
        <v/>
      </c>
      <c r="D723" s="145" t="str">
        <v/>
      </c>
      <c r="E723" s="145" t="str">
        <v/>
      </c>
      <c r="F723" s="145" t="str">
        <v/>
      </c>
      <c r="G723" s="145" t="str">
        <v/>
      </c>
      <c r="H723" s="145" t="str">
        <v/>
      </c>
      <c r="I723" s="145" t="str">
        <v/>
      </c>
      <c r="J723" s="145" t="str">
        <v/>
      </c>
      <c r="K723" s="145" t="str">
        <v/>
      </c>
      <c r="L723" s="145" t="str">
        <v/>
      </c>
      <c r="M723" s="145" t="str">
        <v/>
      </c>
      <c r="N723" s="145" t="str">
        <v/>
      </c>
      <c r="O723" s="145" t="str">
        <v/>
      </c>
      <c r="P723" s="145" t="str">
        <v/>
      </c>
    </row>
    <row r="724" spans="1:16" x14ac:dyDescent="0.2">
      <c r="A724" s="58" t="str">
        <v/>
      </c>
      <c r="B724" s="123" t="str">
        <f>IFERROR(TIMEVALUE(DaqBook_RAW_Data!Q612),IFERROR(TIMEVALUE(DaqBook_RAW_Data!A134),""))</f>
        <v/>
      </c>
      <c r="C724" s="145" t="str">
        <v/>
      </c>
      <c r="D724" s="145" t="str">
        <v/>
      </c>
      <c r="E724" s="145" t="str">
        <v/>
      </c>
      <c r="F724" s="145" t="str">
        <v/>
      </c>
      <c r="G724" s="145" t="str">
        <v/>
      </c>
      <c r="H724" s="145" t="str">
        <v/>
      </c>
      <c r="I724" s="145" t="str">
        <v/>
      </c>
      <c r="J724" s="145" t="str">
        <v/>
      </c>
      <c r="K724" s="145" t="str">
        <v/>
      </c>
      <c r="L724" s="145" t="str">
        <v/>
      </c>
      <c r="M724" s="145" t="str">
        <v/>
      </c>
      <c r="N724" s="145" t="str">
        <v/>
      </c>
      <c r="O724" s="145" t="str">
        <v/>
      </c>
      <c r="P724" s="145" t="str">
        <v/>
      </c>
    </row>
    <row r="725" spans="1:16" x14ac:dyDescent="0.2">
      <c r="A725" s="58" t="str">
        <v/>
      </c>
      <c r="B725" s="123" t="str">
        <f>IFERROR(TIMEVALUE(DaqBook_RAW_Data!Q613),IFERROR(TIMEVALUE(DaqBook_RAW_Data!A135),""))</f>
        <v/>
      </c>
      <c r="C725" s="145" t="str">
        <v/>
      </c>
      <c r="D725" s="145" t="str">
        <v/>
      </c>
      <c r="E725" s="145" t="str">
        <v/>
      </c>
      <c r="F725" s="145" t="str">
        <v/>
      </c>
      <c r="G725" s="145" t="str">
        <v/>
      </c>
      <c r="H725" s="145" t="str">
        <v/>
      </c>
      <c r="I725" s="145" t="str">
        <v/>
      </c>
      <c r="J725" s="145" t="str">
        <v/>
      </c>
      <c r="K725" s="145" t="str">
        <v/>
      </c>
      <c r="L725" s="145" t="str">
        <v/>
      </c>
      <c r="M725" s="145" t="str">
        <v/>
      </c>
      <c r="N725" s="145" t="str">
        <v/>
      </c>
      <c r="O725" s="145" t="str">
        <v/>
      </c>
      <c r="P725" s="145" t="str">
        <v/>
      </c>
    </row>
    <row r="726" spans="1:16" x14ac:dyDescent="0.2">
      <c r="A726" s="58" t="str">
        <v/>
      </c>
      <c r="B726" s="123" t="str">
        <f>IFERROR(TIMEVALUE(DaqBook_RAW_Data!Q614),IFERROR(TIMEVALUE(DaqBook_RAW_Data!A136),""))</f>
        <v/>
      </c>
      <c r="C726" s="145" t="str">
        <v/>
      </c>
      <c r="D726" s="145" t="str">
        <v/>
      </c>
      <c r="E726" s="145" t="str">
        <v/>
      </c>
      <c r="F726" s="145" t="str">
        <v/>
      </c>
      <c r="G726" s="145" t="str">
        <v/>
      </c>
      <c r="H726" s="145" t="str">
        <v/>
      </c>
      <c r="I726" s="145" t="str">
        <v/>
      </c>
      <c r="J726" s="145" t="str">
        <v/>
      </c>
      <c r="K726" s="145" t="str">
        <v/>
      </c>
      <c r="L726" s="145" t="str">
        <v/>
      </c>
      <c r="M726" s="145" t="str">
        <v/>
      </c>
      <c r="N726" s="145" t="str">
        <v/>
      </c>
      <c r="O726" s="145" t="str">
        <v/>
      </c>
      <c r="P726" s="145" t="str">
        <v/>
      </c>
    </row>
    <row r="727" spans="1:16" x14ac:dyDescent="0.2">
      <c r="A727" s="58" t="str">
        <v/>
      </c>
      <c r="B727" s="123" t="str">
        <f>IFERROR(TIMEVALUE(DaqBook_RAW_Data!Q615),IFERROR(TIMEVALUE(DaqBook_RAW_Data!A137),""))</f>
        <v/>
      </c>
      <c r="C727" s="145" t="str">
        <v/>
      </c>
      <c r="D727" s="145" t="str">
        <v/>
      </c>
      <c r="E727" s="145" t="str">
        <v/>
      </c>
      <c r="F727" s="145" t="str">
        <v/>
      </c>
      <c r="G727" s="145" t="str">
        <v/>
      </c>
      <c r="H727" s="145" t="str">
        <v/>
      </c>
      <c r="I727" s="145" t="str">
        <v/>
      </c>
      <c r="J727" s="145" t="str">
        <v/>
      </c>
      <c r="K727" s="145" t="str">
        <v/>
      </c>
      <c r="L727" s="145" t="str">
        <v/>
      </c>
      <c r="M727" s="145" t="str">
        <v/>
      </c>
      <c r="N727" s="145" t="str">
        <v/>
      </c>
      <c r="O727" s="145" t="str">
        <v/>
      </c>
      <c r="P727" s="145" t="str">
        <v/>
      </c>
    </row>
    <row r="728" spans="1:16" x14ac:dyDescent="0.2">
      <c r="A728" s="58" t="str">
        <v/>
      </c>
      <c r="B728" s="123" t="str">
        <f>IFERROR(TIMEVALUE(DaqBook_RAW_Data!Q616),IFERROR(TIMEVALUE(DaqBook_RAW_Data!A138),""))</f>
        <v/>
      </c>
      <c r="C728" s="145" t="str">
        <v/>
      </c>
      <c r="D728" s="145" t="str">
        <v/>
      </c>
      <c r="E728" s="145" t="str">
        <v/>
      </c>
      <c r="F728" s="145" t="str">
        <v/>
      </c>
      <c r="G728" s="145" t="str">
        <v/>
      </c>
      <c r="H728" s="145" t="str">
        <v/>
      </c>
      <c r="I728" s="145" t="str">
        <v/>
      </c>
      <c r="J728" s="145" t="str">
        <v/>
      </c>
      <c r="K728" s="145" t="str">
        <v/>
      </c>
      <c r="L728" s="145" t="str">
        <v/>
      </c>
      <c r="M728" s="145" t="str">
        <v/>
      </c>
      <c r="N728" s="145" t="str">
        <v/>
      </c>
      <c r="O728" s="145" t="str">
        <v/>
      </c>
      <c r="P728" s="145" t="str">
        <v/>
      </c>
    </row>
    <row r="729" spans="1:16" x14ac:dyDescent="0.2">
      <c r="A729" s="58" t="str">
        <v/>
      </c>
      <c r="B729" s="123" t="str">
        <f>IFERROR(TIMEVALUE(DaqBook_RAW_Data!Q617),IFERROR(TIMEVALUE(DaqBook_RAW_Data!A139),""))</f>
        <v/>
      </c>
      <c r="C729" s="145" t="str">
        <v/>
      </c>
      <c r="D729" s="145" t="str">
        <v/>
      </c>
      <c r="E729" s="145" t="str">
        <v/>
      </c>
      <c r="F729" s="145" t="str">
        <v/>
      </c>
      <c r="G729" s="145" t="str">
        <v/>
      </c>
      <c r="H729" s="145" t="str">
        <v/>
      </c>
      <c r="I729" s="145" t="str">
        <v/>
      </c>
      <c r="J729" s="145" t="str">
        <v/>
      </c>
      <c r="K729" s="145" t="str">
        <v/>
      </c>
      <c r="L729" s="145" t="str">
        <v/>
      </c>
      <c r="M729" s="145" t="str">
        <v/>
      </c>
      <c r="N729" s="145" t="str">
        <v/>
      </c>
      <c r="O729" s="145" t="str">
        <v/>
      </c>
      <c r="P729" s="145" t="str">
        <v/>
      </c>
    </row>
    <row r="730" spans="1:16" x14ac:dyDescent="0.2">
      <c r="A730" s="58" t="str">
        <v/>
      </c>
      <c r="B730" s="123" t="str">
        <f>IFERROR(TIMEVALUE(DaqBook_RAW_Data!Q618),IFERROR(TIMEVALUE(DaqBook_RAW_Data!A140),""))</f>
        <v/>
      </c>
      <c r="C730" s="145" t="str">
        <v/>
      </c>
      <c r="D730" s="145" t="str">
        <v/>
      </c>
      <c r="E730" s="145" t="str">
        <v/>
      </c>
      <c r="F730" s="145" t="str">
        <v/>
      </c>
      <c r="G730" s="145" t="str">
        <v/>
      </c>
      <c r="H730" s="145" t="str">
        <v/>
      </c>
      <c r="I730" s="145" t="str">
        <v/>
      </c>
      <c r="J730" s="145" t="str">
        <v/>
      </c>
      <c r="K730" s="145" t="str">
        <v/>
      </c>
      <c r="L730" s="145" t="str">
        <v/>
      </c>
      <c r="M730" s="145" t="str">
        <v/>
      </c>
      <c r="N730" s="145" t="str">
        <v/>
      </c>
      <c r="O730" s="145" t="str">
        <v/>
      </c>
      <c r="P730" s="145" t="str">
        <v/>
      </c>
    </row>
    <row r="731" spans="1:16" x14ac:dyDescent="0.2">
      <c r="A731" s="58" t="str">
        <v/>
      </c>
      <c r="B731" s="123" t="str">
        <f>IFERROR(TIMEVALUE(DaqBook_RAW_Data!Q619),IFERROR(TIMEVALUE(DaqBook_RAW_Data!A141),""))</f>
        <v/>
      </c>
      <c r="C731" s="145" t="str">
        <v/>
      </c>
      <c r="D731" s="145" t="str">
        <v/>
      </c>
      <c r="E731" s="145" t="str">
        <v/>
      </c>
      <c r="F731" s="145" t="str">
        <v/>
      </c>
      <c r="G731" s="145" t="str">
        <v/>
      </c>
      <c r="H731" s="145" t="str">
        <v/>
      </c>
      <c r="I731" s="145" t="str">
        <v/>
      </c>
      <c r="J731" s="145" t="str">
        <v/>
      </c>
      <c r="K731" s="145" t="str">
        <v/>
      </c>
      <c r="L731" s="145" t="str">
        <v/>
      </c>
      <c r="M731" s="145" t="str">
        <v/>
      </c>
      <c r="N731" s="145" t="str">
        <v/>
      </c>
      <c r="O731" s="145" t="str">
        <v/>
      </c>
      <c r="P731" s="145" t="str">
        <v/>
      </c>
    </row>
    <row r="732" spans="1:16" x14ac:dyDescent="0.2">
      <c r="A732" s="58" t="str">
        <v/>
      </c>
      <c r="B732" s="123" t="str">
        <f>IFERROR(TIMEVALUE(DaqBook_RAW_Data!Q620),IFERROR(TIMEVALUE(DaqBook_RAW_Data!A142),""))</f>
        <v/>
      </c>
      <c r="C732" s="145" t="str">
        <v/>
      </c>
      <c r="D732" s="145" t="str">
        <v/>
      </c>
      <c r="E732" s="145" t="str">
        <v/>
      </c>
      <c r="F732" s="145" t="str">
        <v/>
      </c>
      <c r="G732" s="145" t="str">
        <v/>
      </c>
      <c r="H732" s="145" t="str">
        <v/>
      </c>
      <c r="I732" s="145" t="str">
        <v/>
      </c>
      <c r="J732" s="145" t="str">
        <v/>
      </c>
      <c r="K732" s="145" t="str">
        <v/>
      </c>
      <c r="L732" s="145" t="str">
        <v/>
      </c>
      <c r="M732" s="145" t="str">
        <v/>
      </c>
      <c r="N732" s="145" t="str">
        <v/>
      </c>
      <c r="O732" s="145" t="str">
        <v/>
      </c>
      <c r="P732" s="145" t="str">
        <v/>
      </c>
    </row>
    <row r="733" spans="1:16" x14ac:dyDescent="0.2">
      <c r="A733" s="58" t="str">
        <v/>
      </c>
      <c r="B733" s="123" t="str">
        <f>IFERROR(TIMEVALUE(DaqBook_RAW_Data!Q621),IFERROR(TIMEVALUE(DaqBook_RAW_Data!A143),""))</f>
        <v/>
      </c>
      <c r="C733" s="145" t="str">
        <v/>
      </c>
      <c r="D733" s="145" t="str">
        <v/>
      </c>
      <c r="E733" s="145" t="str">
        <v/>
      </c>
      <c r="F733" s="145" t="str">
        <v/>
      </c>
      <c r="G733" s="145" t="str">
        <v/>
      </c>
      <c r="H733" s="145" t="str">
        <v/>
      </c>
      <c r="I733" s="145" t="str">
        <v/>
      </c>
      <c r="J733" s="145" t="str">
        <v/>
      </c>
      <c r="K733" s="145" t="str">
        <v/>
      </c>
      <c r="L733" s="145" t="str">
        <v/>
      </c>
      <c r="M733" s="145" t="str">
        <v/>
      </c>
      <c r="N733" s="145" t="str">
        <v/>
      </c>
      <c r="O733" s="145" t="str">
        <v/>
      </c>
      <c r="P733" s="145" t="str">
        <v/>
      </c>
    </row>
    <row r="734" spans="1:16" x14ac:dyDescent="0.2">
      <c r="A734" s="58" t="str">
        <v/>
      </c>
      <c r="B734" s="123" t="str">
        <f>IFERROR(TIMEVALUE(DaqBook_RAW_Data!Q622),IFERROR(TIMEVALUE(DaqBook_RAW_Data!A144),""))</f>
        <v/>
      </c>
      <c r="C734" s="145" t="str">
        <v/>
      </c>
      <c r="D734" s="145" t="str">
        <v/>
      </c>
      <c r="E734" s="145" t="str">
        <v/>
      </c>
      <c r="F734" s="145" t="str">
        <v/>
      </c>
      <c r="G734" s="145" t="str">
        <v/>
      </c>
      <c r="H734" s="145" t="str">
        <v/>
      </c>
      <c r="I734" s="145" t="str">
        <v/>
      </c>
      <c r="J734" s="145" t="str">
        <v/>
      </c>
      <c r="K734" s="145" t="str">
        <v/>
      </c>
      <c r="L734" s="145" t="str">
        <v/>
      </c>
      <c r="M734" s="145" t="str">
        <v/>
      </c>
      <c r="N734" s="145" t="str">
        <v/>
      </c>
      <c r="O734" s="145" t="str">
        <v/>
      </c>
      <c r="P734" s="145" t="str">
        <v/>
      </c>
    </row>
    <row r="735" spans="1:16" x14ac:dyDescent="0.2">
      <c r="A735" s="58" t="str">
        <v/>
      </c>
      <c r="B735" s="123" t="str">
        <f>IFERROR(TIMEVALUE(DaqBook_RAW_Data!Q623),IFERROR(TIMEVALUE(DaqBook_RAW_Data!A145),""))</f>
        <v/>
      </c>
      <c r="C735" s="145" t="str">
        <v/>
      </c>
      <c r="D735" s="145" t="str">
        <v/>
      </c>
      <c r="E735" s="145" t="str">
        <v/>
      </c>
      <c r="F735" s="145" t="str">
        <v/>
      </c>
      <c r="G735" s="145" t="str">
        <v/>
      </c>
      <c r="H735" s="145" t="str">
        <v/>
      </c>
      <c r="I735" s="145" t="str">
        <v/>
      </c>
      <c r="J735" s="145" t="str">
        <v/>
      </c>
      <c r="K735" s="145" t="str">
        <v/>
      </c>
      <c r="L735" s="145" t="str">
        <v/>
      </c>
      <c r="M735" s="145" t="str">
        <v/>
      </c>
      <c r="N735" s="145" t="str">
        <v/>
      </c>
      <c r="O735" s="145" t="str">
        <v/>
      </c>
      <c r="P735" s="145" t="str">
        <v/>
      </c>
    </row>
    <row r="736" spans="1:16" x14ac:dyDescent="0.2">
      <c r="A736" s="58" t="str">
        <v/>
      </c>
      <c r="B736" s="123" t="str">
        <f>IFERROR(TIMEVALUE(DaqBook_RAW_Data!Q624),IFERROR(TIMEVALUE(DaqBook_RAW_Data!A146),""))</f>
        <v/>
      </c>
      <c r="C736" s="145" t="str">
        <v/>
      </c>
      <c r="D736" s="145" t="str">
        <v/>
      </c>
      <c r="E736" s="145" t="str">
        <v/>
      </c>
      <c r="F736" s="145" t="str">
        <v/>
      </c>
      <c r="G736" s="145" t="str">
        <v/>
      </c>
      <c r="H736" s="145" t="str">
        <v/>
      </c>
      <c r="I736" s="145" t="str">
        <v/>
      </c>
      <c r="J736" s="145" t="str">
        <v/>
      </c>
      <c r="K736" s="145" t="str">
        <v/>
      </c>
      <c r="L736" s="145" t="str">
        <v/>
      </c>
      <c r="M736" s="145" t="str">
        <v/>
      </c>
      <c r="N736" s="145" t="str">
        <v/>
      </c>
      <c r="O736" s="145" t="str">
        <v/>
      </c>
      <c r="P736" s="145" t="str">
        <v/>
      </c>
    </row>
    <row r="737" spans="1:16" x14ac:dyDescent="0.2">
      <c r="A737" s="58" t="str">
        <v/>
      </c>
      <c r="B737" s="123" t="str">
        <f>IFERROR(TIMEVALUE(DaqBook_RAW_Data!Q625),IFERROR(TIMEVALUE(DaqBook_RAW_Data!A147),""))</f>
        <v/>
      </c>
      <c r="C737" s="145" t="str">
        <v/>
      </c>
      <c r="D737" s="145" t="str">
        <v/>
      </c>
      <c r="E737" s="145" t="str">
        <v/>
      </c>
      <c r="F737" s="145" t="str">
        <v/>
      </c>
      <c r="G737" s="145" t="str">
        <v/>
      </c>
      <c r="H737" s="145" t="str">
        <v/>
      </c>
      <c r="I737" s="145" t="str">
        <v/>
      </c>
      <c r="J737" s="145" t="str">
        <v/>
      </c>
      <c r="K737" s="145" t="str">
        <v/>
      </c>
      <c r="L737" s="145" t="str">
        <v/>
      </c>
      <c r="M737" s="145" t="str">
        <v/>
      </c>
      <c r="N737" s="145" t="str">
        <v/>
      </c>
      <c r="O737" s="145" t="str">
        <v/>
      </c>
      <c r="P737" s="145" t="str">
        <v/>
      </c>
    </row>
    <row r="738" spans="1:16" x14ac:dyDescent="0.2">
      <c r="A738" s="58" t="str">
        <v/>
      </c>
      <c r="B738" s="123" t="str">
        <f>IFERROR(TIMEVALUE(DaqBook_RAW_Data!Q626),IFERROR(TIMEVALUE(DaqBook_RAW_Data!A148),""))</f>
        <v/>
      </c>
      <c r="C738" s="145" t="str">
        <v/>
      </c>
      <c r="D738" s="145" t="str">
        <v/>
      </c>
      <c r="E738" s="145" t="str">
        <v/>
      </c>
      <c r="F738" s="145" t="str">
        <v/>
      </c>
      <c r="G738" s="145" t="str">
        <v/>
      </c>
      <c r="H738" s="145" t="str">
        <v/>
      </c>
      <c r="I738" s="145" t="str">
        <v/>
      </c>
      <c r="J738" s="145" t="str">
        <v/>
      </c>
      <c r="K738" s="145" t="str">
        <v/>
      </c>
      <c r="L738" s="145" t="str">
        <v/>
      </c>
      <c r="M738" s="145" t="str">
        <v/>
      </c>
      <c r="N738" s="145" t="str">
        <v/>
      </c>
      <c r="O738" s="145" t="str">
        <v/>
      </c>
      <c r="P738" s="145" t="str">
        <v/>
      </c>
    </row>
    <row r="739" spans="1:16" x14ac:dyDescent="0.2">
      <c r="A739" s="58" t="str">
        <v/>
      </c>
      <c r="B739" s="123" t="str">
        <f>IFERROR(TIMEVALUE(DaqBook_RAW_Data!Q627),IFERROR(TIMEVALUE(DaqBook_RAW_Data!A149),""))</f>
        <v/>
      </c>
      <c r="C739" s="145" t="str">
        <v/>
      </c>
      <c r="D739" s="145" t="str">
        <v/>
      </c>
      <c r="E739" s="145" t="str">
        <v/>
      </c>
      <c r="F739" s="145" t="str">
        <v/>
      </c>
      <c r="G739" s="145" t="str">
        <v/>
      </c>
      <c r="H739" s="145" t="str">
        <v/>
      </c>
      <c r="I739" s="145" t="str">
        <v/>
      </c>
      <c r="J739" s="145" t="str">
        <v/>
      </c>
      <c r="K739" s="145" t="str">
        <v/>
      </c>
      <c r="L739" s="145" t="str">
        <v/>
      </c>
      <c r="M739" s="145" t="str">
        <v/>
      </c>
      <c r="N739" s="145" t="str">
        <v/>
      </c>
      <c r="O739" s="145" t="str">
        <v/>
      </c>
      <c r="P739" s="145" t="str">
        <v/>
      </c>
    </row>
    <row r="740" spans="1:16" x14ac:dyDescent="0.2">
      <c r="A740" s="58" t="str">
        <v/>
      </c>
      <c r="B740" s="123" t="str">
        <f>IFERROR(TIMEVALUE(DaqBook_RAW_Data!Q628),IFERROR(TIMEVALUE(DaqBook_RAW_Data!A150),""))</f>
        <v/>
      </c>
      <c r="C740" s="145" t="str">
        <v/>
      </c>
      <c r="D740" s="145" t="str">
        <v/>
      </c>
      <c r="E740" s="145" t="str">
        <v/>
      </c>
      <c r="F740" s="145" t="str">
        <v/>
      </c>
      <c r="G740" s="145" t="str">
        <v/>
      </c>
      <c r="H740" s="145" t="str">
        <v/>
      </c>
      <c r="I740" s="145" t="str">
        <v/>
      </c>
      <c r="J740" s="145" t="str">
        <v/>
      </c>
      <c r="K740" s="145" t="str">
        <v/>
      </c>
      <c r="L740" s="145" t="str">
        <v/>
      </c>
      <c r="M740" s="145" t="str">
        <v/>
      </c>
      <c r="N740" s="145" t="str">
        <v/>
      </c>
      <c r="O740" s="145" t="str">
        <v/>
      </c>
      <c r="P740" s="145" t="str">
        <v/>
      </c>
    </row>
    <row r="741" spans="1:16" x14ac:dyDescent="0.2">
      <c r="A741" s="58" t="str">
        <v/>
      </c>
      <c r="B741" s="123" t="str">
        <f>IFERROR(TIMEVALUE(DaqBook_RAW_Data!Q629),IFERROR(TIMEVALUE(DaqBook_RAW_Data!A151),""))</f>
        <v/>
      </c>
      <c r="C741" s="145" t="str">
        <v/>
      </c>
      <c r="D741" s="145" t="str">
        <v/>
      </c>
      <c r="E741" s="145" t="str">
        <v/>
      </c>
      <c r="F741" s="145" t="str">
        <v/>
      </c>
      <c r="G741" s="145" t="str">
        <v/>
      </c>
      <c r="H741" s="145" t="str">
        <v/>
      </c>
      <c r="I741" s="145" t="str">
        <v/>
      </c>
      <c r="J741" s="145" t="str">
        <v/>
      </c>
      <c r="K741" s="145" t="str">
        <v/>
      </c>
      <c r="L741" s="145" t="str">
        <v/>
      </c>
      <c r="M741" s="145" t="str">
        <v/>
      </c>
      <c r="N741" s="145" t="str">
        <v/>
      </c>
      <c r="O741" s="145" t="str">
        <v/>
      </c>
      <c r="P741" s="145" t="str">
        <v/>
      </c>
    </row>
    <row r="742" spans="1:16" x14ac:dyDescent="0.2">
      <c r="A742" s="58" t="str">
        <v/>
      </c>
      <c r="B742" s="123" t="str">
        <f>IFERROR(TIMEVALUE(DaqBook_RAW_Data!Q630),IFERROR(TIMEVALUE(DaqBook_RAW_Data!A152),""))</f>
        <v/>
      </c>
      <c r="C742" s="145" t="str">
        <v/>
      </c>
      <c r="D742" s="145" t="str">
        <v/>
      </c>
      <c r="E742" s="145" t="str">
        <v/>
      </c>
      <c r="F742" s="145" t="str">
        <v/>
      </c>
      <c r="G742" s="145" t="str">
        <v/>
      </c>
      <c r="H742" s="145" t="str">
        <v/>
      </c>
      <c r="I742" s="145" t="str">
        <v/>
      </c>
      <c r="J742" s="145" t="str">
        <v/>
      </c>
      <c r="K742" s="145" t="str">
        <v/>
      </c>
      <c r="L742" s="145" t="str">
        <v/>
      </c>
      <c r="M742" s="145" t="str">
        <v/>
      </c>
      <c r="N742" s="145" t="str">
        <v/>
      </c>
      <c r="O742" s="145" t="str">
        <v/>
      </c>
      <c r="P742" s="145" t="str">
        <v/>
      </c>
    </row>
    <row r="743" spans="1:16" x14ac:dyDescent="0.2">
      <c r="A743" s="58" t="str">
        <v/>
      </c>
      <c r="B743" s="123" t="str">
        <f>IFERROR(TIMEVALUE(DaqBook_RAW_Data!Q631),IFERROR(TIMEVALUE(DaqBook_RAW_Data!A153),""))</f>
        <v/>
      </c>
      <c r="C743" s="145" t="str">
        <v/>
      </c>
      <c r="D743" s="145" t="str">
        <v/>
      </c>
      <c r="E743" s="145" t="str">
        <v/>
      </c>
      <c r="F743" s="145" t="str">
        <v/>
      </c>
      <c r="G743" s="145" t="str">
        <v/>
      </c>
      <c r="H743" s="145" t="str">
        <v/>
      </c>
      <c r="I743" s="145" t="str">
        <v/>
      </c>
      <c r="J743" s="145" t="str">
        <v/>
      </c>
      <c r="K743" s="145" t="str">
        <v/>
      </c>
      <c r="L743" s="145" t="str">
        <v/>
      </c>
      <c r="M743" s="145" t="str">
        <v/>
      </c>
      <c r="N743" s="145" t="str">
        <v/>
      </c>
      <c r="O743" s="145" t="str">
        <v/>
      </c>
      <c r="P743" s="145" t="str">
        <v/>
      </c>
    </row>
    <row r="744" spans="1:16" x14ac:dyDescent="0.2">
      <c r="A744" s="58" t="str">
        <v/>
      </c>
      <c r="B744" s="123" t="str">
        <f>IFERROR(TIMEVALUE(DaqBook_RAW_Data!Q632),IFERROR(TIMEVALUE(DaqBook_RAW_Data!A154),""))</f>
        <v/>
      </c>
      <c r="C744" s="145" t="str">
        <v/>
      </c>
      <c r="D744" s="145" t="str">
        <v/>
      </c>
      <c r="E744" s="145" t="str">
        <v/>
      </c>
      <c r="F744" s="145" t="str">
        <v/>
      </c>
      <c r="G744" s="145" t="str">
        <v/>
      </c>
      <c r="H744" s="145" t="str">
        <v/>
      </c>
      <c r="I744" s="145" t="str">
        <v/>
      </c>
      <c r="J744" s="145" t="str">
        <v/>
      </c>
      <c r="K744" s="145" t="str">
        <v/>
      </c>
      <c r="L744" s="145" t="str">
        <v/>
      </c>
      <c r="M744" s="145" t="str">
        <v/>
      </c>
      <c r="N744" s="145" t="str">
        <v/>
      </c>
      <c r="O744" s="145" t="str">
        <v/>
      </c>
      <c r="P744" s="145" t="str">
        <v/>
      </c>
    </row>
    <row r="745" spans="1:16" x14ac:dyDescent="0.2">
      <c r="A745" s="58" t="str">
        <v/>
      </c>
      <c r="B745" s="123" t="str">
        <f>IFERROR(TIMEVALUE(DaqBook_RAW_Data!Q633),IFERROR(TIMEVALUE(DaqBook_RAW_Data!A155),""))</f>
        <v/>
      </c>
      <c r="C745" s="145" t="str">
        <v/>
      </c>
      <c r="D745" s="145" t="str">
        <v/>
      </c>
      <c r="E745" s="145" t="str">
        <v/>
      </c>
      <c r="F745" s="145" t="str">
        <v/>
      </c>
      <c r="G745" s="145" t="str">
        <v/>
      </c>
      <c r="H745" s="145" t="str">
        <v/>
      </c>
      <c r="I745" s="145" t="str">
        <v/>
      </c>
      <c r="J745" s="145" t="str">
        <v/>
      </c>
      <c r="K745" s="145" t="str">
        <v/>
      </c>
      <c r="L745" s="145" t="str">
        <v/>
      </c>
      <c r="M745" s="145" t="str">
        <v/>
      </c>
      <c r="N745" s="145" t="str">
        <v/>
      </c>
      <c r="O745" s="145" t="str">
        <v/>
      </c>
      <c r="P745" s="145" t="str">
        <v/>
      </c>
    </row>
    <row r="746" spans="1:16" x14ac:dyDescent="0.2">
      <c r="A746" s="58" t="str">
        <v/>
      </c>
      <c r="B746" s="123" t="str">
        <f>IFERROR(TIMEVALUE(DaqBook_RAW_Data!Q634),IFERROR(TIMEVALUE(DaqBook_RAW_Data!A156),""))</f>
        <v/>
      </c>
      <c r="C746" s="145" t="str">
        <v/>
      </c>
      <c r="D746" s="145" t="str">
        <v/>
      </c>
      <c r="E746" s="145" t="str">
        <v/>
      </c>
      <c r="F746" s="145" t="str">
        <v/>
      </c>
      <c r="G746" s="145" t="str">
        <v/>
      </c>
      <c r="H746" s="145" t="str">
        <v/>
      </c>
      <c r="I746" s="145" t="str">
        <v/>
      </c>
      <c r="J746" s="145" t="str">
        <v/>
      </c>
      <c r="K746" s="145" t="str">
        <v/>
      </c>
      <c r="L746" s="145" t="str">
        <v/>
      </c>
      <c r="M746" s="145" t="str">
        <v/>
      </c>
      <c r="N746" s="145" t="str">
        <v/>
      </c>
      <c r="O746" s="145" t="str">
        <v/>
      </c>
      <c r="P746" s="145" t="str">
        <v/>
      </c>
    </row>
    <row r="747" spans="1:16" x14ac:dyDescent="0.2">
      <c r="A747" s="58" t="str">
        <v/>
      </c>
      <c r="B747" s="123" t="str">
        <f>IFERROR(TIMEVALUE(DaqBook_RAW_Data!Q635),IFERROR(TIMEVALUE(DaqBook_RAW_Data!A157),""))</f>
        <v/>
      </c>
      <c r="C747" s="145" t="str">
        <v/>
      </c>
      <c r="D747" s="145" t="str">
        <v/>
      </c>
      <c r="E747" s="145" t="str">
        <v/>
      </c>
      <c r="F747" s="145" t="str">
        <v/>
      </c>
      <c r="G747" s="145" t="str">
        <v/>
      </c>
      <c r="H747" s="145" t="str">
        <v/>
      </c>
      <c r="I747" s="145" t="str">
        <v/>
      </c>
      <c r="J747" s="145" t="str">
        <v/>
      </c>
      <c r="K747" s="145" t="str">
        <v/>
      </c>
      <c r="L747" s="145" t="str">
        <v/>
      </c>
      <c r="M747" s="145" t="str">
        <v/>
      </c>
      <c r="N747" s="145" t="str">
        <v/>
      </c>
      <c r="O747" s="145" t="str">
        <v/>
      </c>
      <c r="P747" s="145" t="str">
        <v/>
      </c>
    </row>
    <row r="748" spans="1:16" x14ac:dyDescent="0.2">
      <c r="A748" s="58" t="str">
        <v/>
      </c>
      <c r="B748" s="123" t="str">
        <f>IFERROR(TIMEVALUE(DaqBook_RAW_Data!Q636),IFERROR(TIMEVALUE(DaqBook_RAW_Data!A158),""))</f>
        <v/>
      </c>
      <c r="C748" s="145" t="str">
        <v/>
      </c>
      <c r="D748" s="145" t="str">
        <v/>
      </c>
      <c r="E748" s="145" t="str">
        <v/>
      </c>
      <c r="F748" s="145" t="str">
        <v/>
      </c>
      <c r="G748" s="145" t="str">
        <v/>
      </c>
      <c r="H748" s="145" t="str">
        <v/>
      </c>
      <c r="I748" s="145" t="str">
        <v/>
      </c>
      <c r="J748" s="145" t="str">
        <v/>
      </c>
      <c r="K748" s="145" t="str">
        <v/>
      </c>
      <c r="L748" s="145" t="str">
        <v/>
      </c>
      <c r="M748" s="145" t="str">
        <v/>
      </c>
      <c r="N748" s="145" t="str">
        <v/>
      </c>
      <c r="O748" s="145" t="str">
        <v/>
      </c>
      <c r="P748" s="145" t="str">
        <v/>
      </c>
    </row>
    <row r="749" spans="1:16" x14ac:dyDescent="0.2">
      <c r="A749" s="58" t="str">
        <v/>
      </c>
      <c r="B749" s="123" t="str">
        <f>IFERROR(TIMEVALUE(DaqBook_RAW_Data!Q637),IFERROR(TIMEVALUE(DaqBook_RAW_Data!A159),""))</f>
        <v/>
      </c>
      <c r="C749" s="145" t="str">
        <v/>
      </c>
      <c r="D749" s="145" t="str">
        <v/>
      </c>
      <c r="E749" s="145" t="str">
        <v/>
      </c>
      <c r="F749" s="145" t="str">
        <v/>
      </c>
      <c r="G749" s="145" t="str">
        <v/>
      </c>
      <c r="H749" s="145" t="str">
        <v/>
      </c>
      <c r="I749" s="145" t="str">
        <v/>
      </c>
      <c r="J749" s="145" t="str">
        <v/>
      </c>
      <c r="K749" s="145" t="str">
        <v/>
      </c>
      <c r="L749" s="145" t="str">
        <v/>
      </c>
      <c r="M749" s="145" t="str">
        <v/>
      </c>
      <c r="N749" s="145" t="str">
        <v/>
      </c>
      <c r="O749" s="145" t="str">
        <v/>
      </c>
      <c r="P749" s="145" t="str">
        <v/>
      </c>
    </row>
    <row r="750" spans="1:16" x14ac:dyDescent="0.2">
      <c r="A750" s="58" t="str">
        <v/>
      </c>
      <c r="B750" s="123" t="str">
        <f>IFERROR(TIMEVALUE(DaqBook_RAW_Data!Q638),IFERROR(TIMEVALUE(DaqBook_RAW_Data!A160),""))</f>
        <v/>
      </c>
      <c r="C750" s="145" t="str">
        <v/>
      </c>
      <c r="D750" s="145" t="str">
        <v/>
      </c>
      <c r="E750" s="145" t="str">
        <v/>
      </c>
      <c r="F750" s="145" t="str">
        <v/>
      </c>
      <c r="G750" s="145" t="str">
        <v/>
      </c>
      <c r="H750" s="145" t="str">
        <v/>
      </c>
      <c r="I750" s="145" t="str">
        <v/>
      </c>
      <c r="J750" s="145" t="str">
        <v/>
      </c>
      <c r="K750" s="145" t="str">
        <v/>
      </c>
      <c r="L750" s="145" t="str">
        <v/>
      </c>
      <c r="M750" s="145" t="str">
        <v/>
      </c>
      <c r="N750" s="145" t="str">
        <v/>
      </c>
      <c r="O750" s="145" t="str">
        <v/>
      </c>
      <c r="P750" s="145" t="str">
        <v/>
      </c>
    </row>
    <row r="751" spans="1:16" x14ac:dyDescent="0.2">
      <c r="A751" s="58" t="str">
        <v/>
      </c>
      <c r="B751" s="123" t="str">
        <f>IFERROR(TIMEVALUE(DaqBook_RAW_Data!Q639),IFERROR(TIMEVALUE(DaqBook_RAW_Data!A161),""))</f>
        <v/>
      </c>
      <c r="C751" s="145" t="str">
        <v/>
      </c>
      <c r="D751" s="145" t="str">
        <v/>
      </c>
      <c r="E751" s="145" t="str">
        <v/>
      </c>
      <c r="F751" s="145" t="str">
        <v/>
      </c>
      <c r="G751" s="145" t="str">
        <v/>
      </c>
      <c r="H751" s="145" t="str">
        <v/>
      </c>
      <c r="I751" s="145" t="str">
        <v/>
      </c>
      <c r="J751" s="145" t="str">
        <v/>
      </c>
      <c r="K751" s="145" t="str">
        <v/>
      </c>
      <c r="L751" s="145" t="str">
        <v/>
      </c>
      <c r="M751" s="145" t="str">
        <v/>
      </c>
      <c r="N751" s="145" t="str">
        <v/>
      </c>
      <c r="O751" s="145" t="str">
        <v/>
      </c>
      <c r="P751" s="145" t="str">
        <v/>
      </c>
    </row>
    <row r="752" spans="1:16" x14ac:dyDescent="0.2">
      <c r="A752" s="58" t="str">
        <v/>
      </c>
      <c r="B752" s="123" t="str">
        <f>IFERROR(TIMEVALUE(DaqBook_RAW_Data!Q640),IFERROR(TIMEVALUE(DaqBook_RAW_Data!A162),""))</f>
        <v/>
      </c>
      <c r="C752" s="145" t="str">
        <v/>
      </c>
      <c r="D752" s="145" t="str">
        <v/>
      </c>
      <c r="E752" s="145" t="str">
        <v/>
      </c>
      <c r="F752" s="145" t="str">
        <v/>
      </c>
      <c r="G752" s="145" t="str">
        <v/>
      </c>
      <c r="H752" s="145" t="str">
        <v/>
      </c>
      <c r="I752" s="145" t="str">
        <v/>
      </c>
      <c r="J752" s="145" t="str">
        <v/>
      </c>
      <c r="K752" s="145" t="str">
        <v/>
      </c>
      <c r="L752" s="145" t="str">
        <v/>
      </c>
      <c r="M752" s="145" t="str">
        <v/>
      </c>
      <c r="N752" s="145" t="str">
        <v/>
      </c>
      <c r="O752" s="145" t="str">
        <v/>
      </c>
      <c r="P752" s="145" t="str">
        <v/>
      </c>
    </row>
    <row r="753" spans="1:16" x14ac:dyDescent="0.2">
      <c r="A753" s="58" t="str">
        <v/>
      </c>
      <c r="B753" s="123" t="str">
        <f>IFERROR(TIMEVALUE(DaqBook_RAW_Data!Q641),IFERROR(TIMEVALUE(DaqBook_RAW_Data!A163),""))</f>
        <v/>
      </c>
      <c r="C753" s="145" t="str">
        <v/>
      </c>
      <c r="D753" s="145" t="str">
        <v/>
      </c>
      <c r="E753" s="145" t="str">
        <v/>
      </c>
      <c r="F753" s="145" t="str">
        <v/>
      </c>
      <c r="G753" s="145" t="str">
        <v/>
      </c>
      <c r="H753" s="145" t="str">
        <v/>
      </c>
      <c r="I753" s="145" t="str">
        <v/>
      </c>
      <c r="J753" s="145" t="str">
        <v/>
      </c>
      <c r="K753" s="145" t="str">
        <v/>
      </c>
      <c r="L753" s="145" t="str">
        <v/>
      </c>
      <c r="M753" s="145" t="str">
        <v/>
      </c>
      <c r="N753" s="145" t="str">
        <v/>
      </c>
      <c r="O753" s="145" t="str">
        <v/>
      </c>
      <c r="P753" s="145" t="str">
        <v/>
      </c>
    </row>
    <row r="754" spans="1:16" x14ac:dyDescent="0.2">
      <c r="A754" s="58" t="str">
        <v/>
      </c>
      <c r="B754" s="123" t="str">
        <f>IFERROR(TIMEVALUE(DaqBook_RAW_Data!Q642),IFERROR(TIMEVALUE(DaqBook_RAW_Data!A164),""))</f>
        <v/>
      </c>
      <c r="C754" s="145" t="str">
        <v/>
      </c>
      <c r="D754" s="145" t="str">
        <v/>
      </c>
      <c r="E754" s="145" t="str">
        <v/>
      </c>
      <c r="F754" s="145" t="str">
        <v/>
      </c>
      <c r="G754" s="145" t="str">
        <v/>
      </c>
      <c r="H754" s="145" t="str">
        <v/>
      </c>
      <c r="I754" s="145" t="str">
        <v/>
      </c>
      <c r="J754" s="145" t="str">
        <v/>
      </c>
      <c r="K754" s="145" t="str">
        <v/>
      </c>
      <c r="L754" s="145" t="str">
        <v/>
      </c>
      <c r="M754" s="145" t="str">
        <v/>
      </c>
      <c r="N754" s="145" t="str">
        <v/>
      </c>
      <c r="O754" s="145" t="str">
        <v/>
      </c>
      <c r="P754" s="145" t="str">
        <v/>
      </c>
    </row>
    <row r="755" spans="1:16" x14ac:dyDescent="0.2">
      <c r="A755" s="58" t="str">
        <v/>
      </c>
      <c r="B755" s="123" t="str">
        <f>IFERROR(TIMEVALUE(DaqBook_RAW_Data!Q643),IFERROR(TIMEVALUE(DaqBook_RAW_Data!A165),""))</f>
        <v/>
      </c>
      <c r="C755" s="145" t="str">
        <v/>
      </c>
      <c r="D755" s="145" t="str">
        <v/>
      </c>
      <c r="E755" s="145" t="str">
        <v/>
      </c>
      <c r="F755" s="145" t="str">
        <v/>
      </c>
      <c r="G755" s="145" t="str">
        <v/>
      </c>
      <c r="H755" s="145" t="str">
        <v/>
      </c>
      <c r="I755" s="145" t="str">
        <v/>
      </c>
      <c r="J755" s="145" t="str">
        <v/>
      </c>
      <c r="K755" s="145" t="str">
        <v/>
      </c>
      <c r="L755" s="145" t="str">
        <v/>
      </c>
      <c r="M755" s="145" t="str">
        <v/>
      </c>
      <c r="N755" s="145" t="str">
        <v/>
      </c>
      <c r="O755" s="145" t="str">
        <v/>
      </c>
      <c r="P755" s="145" t="str">
        <v/>
      </c>
    </row>
    <row r="756" spans="1:16" x14ac:dyDescent="0.2">
      <c r="A756" s="58" t="str">
        <v/>
      </c>
      <c r="B756" s="123" t="str">
        <f>IFERROR(TIMEVALUE(DaqBook_RAW_Data!Q644),IFERROR(TIMEVALUE(DaqBook_RAW_Data!A166),""))</f>
        <v/>
      </c>
      <c r="C756" s="145" t="str">
        <v/>
      </c>
      <c r="D756" s="145" t="str">
        <v/>
      </c>
      <c r="E756" s="145" t="str">
        <v/>
      </c>
      <c r="F756" s="145" t="str">
        <v/>
      </c>
      <c r="G756" s="145" t="str">
        <v/>
      </c>
      <c r="H756" s="145" t="str">
        <v/>
      </c>
      <c r="I756" s="145" t="str">
        <v/>
      </c>
      <c r="J756" s="145" t="str">
        <v/>
      </c>
      <c r="K756" s="145" t="str">
        <v/>
      </c>
      <c r="L756" s="145" t="str">
        <v/>
      </c>
      <c r="M756" s="145" t="str">
        <v/>
      </c>
      <c r="N756" s="145" t="str">
        <v/>
      </c>
      <c r="O756" s="145" t="str">
        <v/>
      </c>
      <c r="P756" s="145" t="str">
        <v/>
      </c>
    </row>
    <row r="757" spans="1:16" x14ac:dyDescent="0.2">
      <c r="A757" s="58" t="str">
        <v/>
      </c>
      <c r="B757" s="123" t="str">
        <f>IFERROR(TIMEVALUE(DaqBook_RAW_Data!Q645),IFERROR(TIMEVALUE(DaqBook_RAW_Data!A167),""))</f>
        <v/>
      </c>
      <c r="C757" s="145" t="str">
        <v/>
      </c>
      <c r="D757" s="145" t="str">
        <v/>
      </c>
      <c r="E757" s="145" t="str">
        <v/>
      </c>
      <c r="F757" s="145" t="str">
        <v/>
      </c>
      <c r="G757" s="145" t="str">
        <v/>
      </c>
      <c r="H757" s="145" t="str">
        <v/>
      </c>
      <c r="I757" s="145" t="str">
        <v/>
      </c>
      <c r="J757" s="145" t="str">
        <v/>
      </c>
      <c r="K757" s="145" t="str">
        <v/>
      </c>
      <c r="L757" s="145" t="str">
        <v/>
      </c>
      <c r="M757" s="145" t="str">
        <v/>
      </c>
      <c r="N757" s="145" t="str">
        <v/>
      </c>
      <c r="O757" s="145" t="str">
        <v/>
      </c>
      <c r="P757" s="145" t="str">
        <v/>
      </c>
    </row>
    <row r="758" spans="1:16" x14ac:dyDescent="0.2">
      <c r="A758" s="58" t="str">
        <v/>
      </c>
      <c r="B758" s="123" t="str">
        <f>IFERROR(TIMEVALUE(DaqBook_RAW_Data!Q646),IFERROR(TIMEVALUE(DaqBook_RAW_Data!A168),""))</f>
        <v/>
      </c>
      <c r="C758" s="145" t="str">
        <v/>
      </c>
      <c r="D758" s="145" t="str">
        <v/>
      </c>
      <c r="E758" s="145" t="str">
        <v/>
      </c>
      <c r="F758" s="145" t="str">
        <v/>
      </c>
      <c r="G758" s="145" t="str">
        <v/>
      </c>
      <c r="H758" s="145" t="str">
        <v/>
      </c>
      <c r="I758" s="145" t="str">
        <v/>
      </c>
      <c r="J758" s="145" t="str">
        <v/>
      </c>
      <c r="K758" s="145" t="str">
        <v/>
      </c>
      <c r="L758" s="145" t="str">
        <v/>
      </c>
      <c r="M758" s="145" t="str">
        <v/>
      </c>
      <c r="N758" s="145" t="str">
        <v/>
      </c>
      <c r="O758" s="145" t="str">
        <v/>
      </c>
      <c r="P758" s="145" t="str">
        <v/>
      </c>
    </row>
    <row r="759" spans="1:16" x14ac:dyDescent="0.2">
      <c r="A759" s="58" t="str">
        <v/>
      </c>
      <c r="B759" s="123" t="str">
        <f>IFERROR(TIMEVALUE(DaqBook_RAW_Data!Q647),IFERROR(TIMEVALUE(DaqBook_RAW_Data!A169),""))</f>
        <v/>
      </c>
      <c r="C759" s="145" t="str">
        <v/>
      </c>
      <c r="D759" s="145" t="str">
        <v/>
      </c>
      <c r="E759" s="145" t="str">
        <v/>
      </c>
      <c r="F759" s="145" t="str">
        <v/>
      </c>
      <c r="G759" s="145" t="str">
        <v/>
      </c>
      <c r="H759" s="145" t="str">
        <v/>
      </c>
      <c r="I759" s="145" t="str">
        <v/>
      </c>
      <c r="J759" s="145" t="str">
        <v/>
      </c>
      <c r="K759" s="145" t="str">
        <v/>
      </c>
      <c r="L759" s="145" t="str">
        <v/>
      </c>
      <c r="M759" s="145" t="str">
        <v/>
      </c>
      <c r="N759" s="145" t="str">
        <v/>
      </c>
      <c r="O759" s="145" t="str">
        <v/>
      </c>
      <c r="P759" s="145" t="str">
        <v/>
      </c>
    </row>
    <row r="760" spans="1:16" x14ac:dyDescent="0.2">
      <c r="A760" s="58" t="str">
        <v/>
      </c>
      <c r="B760" s="123" t="str">
        <f>IFERROR(TIMEVALUE(DaqBook_RAW_Data!Q648),IFERROR(TIMEVALUE(DaqBook_RAW_Data!A170),""))</f>
        <v/>
      </c>
      <c r="C760" s="145" t="str">
        <v/>
      </c>
      <c r="D760" s="145" t="str">
        <v/>
      </c>
      <c r="E760" s="145" t="str">
        <v/>
      </c>
      <c r="F760" s="145" t="str">
        <v/>
      </c>
      <c r="G760" s="145" t="str">
        <v/>
      </c>
      <c r="H760" s="145" t="str">
        <v/>
      </c>
      <c r="I760" s="145" t="str">
        <v/>
      </c>
      <c r="J760" s="145" t="str">
        <v/>
      </c>
      <c r="K760" s="145" t="str">
        <v/>
      </c>
      <c r="L760" s="145" t="str">
        <v/>
      </c>
      <c r="M760" s="145" t="str">
        <v/>
      </c>
      <c r="N760" s="145" t="str">
        <v/>
      </c>
      <c r="O760" s="145" t="str">
        <v/>
      </c>
      <c r="P760" s="145" t="str">
        <v/>
      </c>
    </row>
    <row r="761" spans="1:16" x14ac:dyDescent="0.2">
      <c r="A761" s="58" t="str">
        <v/>
      </c>
      <c r="B761" s="123" t="str">
        <f>IFERROR(TIMEVALUE(DaqBook_RAW_Data!Q649),IFERROR(TIMEVALUE(DaqBook_RAW_Data!A171),""))</f>
        <v/>
      </c>
      <c r="C761" s="145" t="str">
        <v/>
      </c>
      <c r="D761" s="145" t="str">
        <v/>
      </c>
      <c r="E761" s="145" t="str">
        <v/>
      </c>
      <c r="F761" s="145" t="str">
        <v/>
      </c>
      <c r="G761" s="145" t="str">
        <v/>
      </c>
      <c r="H761" s="145" t="str">
        <v/>
      </c>
      <c r="I761" s="145" t="str">
        <v/>
      </c>
      <c r="J761" s="145" t="str">
        <v/>
      </c>
      <c r="K761" s="145" t="str">
        <v/>
      </c>
      <c r="L761" s="145" t="str">
        <v/>
      </c>
      <c r="M761" s="145" t="str">
        <v/>
      </c>
      <c r="N761" s="145" t="str">
        <v/>
      </c>
      <c r="O761" s="145" t="str">
        <v/>
      </c>
      <c r="P761" s="145" t="str">
        <v/>
      </c>
    </row>
    <row r="762" spans="1:16" x14ac:dyDescent="0.2">
      <c r="A762" s="58" t="str">
        <v/>
      </c>
      <c r="B762" s="123" t="str">
        <f>IFERROR(TIMEVALUE(DaqBook_RAW_Data!Q650),IFERROR(TIMEVALUE(DaqBook_RAW_Data!A172),""))</f>
        <v/>
      </c>
      <c r="C762" s="145" t="str">
        <v/>
      </c>
      <c r="D762" s="145" t="str">
        <v/>
      </c>
      <c r="E762" s="145" t="str">
        <v/>
      </c>
      <c r="F762" s="145" t="str">
        <v/>
      </c>
      <c r="G762" s="145" t="str">
        <v/>
      </c>
      <c r="H762" s="145" t="str">
        <v/>
      </c>
      <c r="I762" s="145" t="str">
        <v/>
      </c>
      <c r="J762" s="145" t="str">
        <v/>
      </c>
      <c r="K762" s="145" t="str">
        <v/>
      </c>
      <c r="L762" s="145" t="str">
        <v/>
      </c>
      <c r="M762" s="145" t="str">
        <v/>
      </c>
      <c r="N762" s="145" t="str">
        <v/>
      </c>
      <c r="O762" s="145" t="str">
        <v/>
      </c>
      <c r="P762" s="145" t="str">
        <v/>
      </c>
    </row>
    <row r="763" spans="1:16" x14ac:dyDescent="0.2">
      <c r="A763" s="58" t="str">
        <v/>
      </c>
      <c r="B763" s="123" t="str">
        <f>IFERROR(TIMEVALUE(DaqBook_RAW_Data!Q651),IFERROR(TIMEVALUE(DaqBook_RAW_Data!A173),""))</f>
        <v/>
      </c>
      <c r="C763" s="145" t="str">
        <v/>
      </c>
      <c r="D763" s="145" t="str">
        <v/>
      </c>
      <c r="E763" s="145" t="str">
        <v/>
      </c>
      <c r="F763" s="145" t="str">
        <v/>
      </c>
      <c r="G763" s="145" t="str">
        <v/>
      </c>
      <c r="H763" s="145" t="str">
        <v/>
      </c>
      <c r="I763" s="145" t="str">
        <v/>
      </c>
      <c r="J763" s="145" t="str">
        <v/>
      </c>
      <c r="K763" s="145" t="str">
        <v/>
      </c>
      <c r="L763" s="145" t="str">
        <v/>
      </c>
      <c r="M763" s="145" t="str">
        <v/>
      </c>
      <c r="N763" s="145" t="str">
        <v/>
      </c>
      <c r="O763" s="145" t="str">
        <v/>
      </c>
      <c r="P763" s="145" t="str">
        <v/>
      </c>
    </row>
    <row r="764" spans="1:16" x14ac:dyDescent="0.2">
      <c r="A764" s="58" t="str">
        <v/>
      </c>
      <c r="B764" s="123" t="str">
        <f>IFERROR(TIMEVALUE(DaqBook_RAW_Data!Q652),IFERROR(TIMEVALUE(DaqBook_RAW_Data!A174),""))</f>
        <v/>
      </c>
      <c r="C764" s="145" t="str">
        <v/>
      </c>
      <c r="D764" s="145" t="str">
        <v/>
      </c>
      <c r="E764" s="145" t="str">
        <v/>
      </c>
      <c r="F764" s="145" t="str">
        <v/>
      </c>
      <c r="G764" s="145" t="str">
        <v/>
      </c>
      <c r="H764" s="145" t="str">
        <v/>
      </c>
      <c r="I764" s="145" t="str">
        <v/>
      </c>
      <c r="J764" s="145" t="str">
        <v/>
      </c>
      <c r="K764" s="145" t="str">
        <v/>
      </c>
      <c r="L764" s="145" t="str">
        <v/>
      </c>
      <c r="M764" s="145" t="str">
        <v/>
      </c>
      <c r="N764" s="145" t="str">
        <v/>
      </c>
      <c r="O764" s="145" t="str">
        <v/>
      </c>
      <c r="P764" s="145" t="str">
        <v/>
      </c>
    </row>
    <row r="765" spans="1:16" x14ac:dyDescent="0.2">
      <c r="A765" s="58" t="str">
        <v/>
      </c>
      <c r="B765" s="123" t="str">
        <f>IFERROR(TIMEVALUE(DaqBook_RAW_Data!Q653),IFERROR(TIMEVALUE(DaqBook_RAW_Data!A175),""))</f>
        <v/>
      </c>
      <c r="C765" s="145" t="str">
        <v/>
      </c>
      <c r="D765" s="145" t="str">
        <v/>
      </c>
      <c r="E765" s="145" t="str">
        <v/>
      </c>
      <c r="F765" s="145" t="str">
        <v/>
      </c>
      <c r="G765" s="145" t="str">
        <v/>
      </c>
      <c r="H765" s="145" t="str">
        <v/>
      </c>
      <c r="I765" s="145" t="str">
        <v/>
      </c>
      <c r="J765" s="145" t="str">
        <v/>
      </c>
      <c r="K765" s="145" t="str">
        <v/>
      </c>
      <c r="L765" s="145" t="str">
        <v/>
      </c>
      <c r="M765" s="145" t="str">
        <v/>
      </c>
      <c r="N765" s="145" t="str">
        <v/>
      </c>
      <c r="O765" s="145" t="str">
        <v/>
      </c>
      <c r="P765" s="145" t="str">
        <v/>
      </c>
    </row>
    <row r="766" spans="1:16" x14ac:dyDescent="0.2">
      <c r="A766" s="58" t="str">
        <v/>
      </c>
      <c r="B766" s="123" t="str">
        <f>IFERROR(TIMEVALUE(DaqBook_RAW_Data!Q654),IFERROR(TIMEVALUE(DaqBook_RAW_Data!A176),""))</f>
        <v/>
      </c>
      <c r="C766" s="145" t="str">
        <v/>
      </c>
      <c r="D766" s="145" t="str">
        <v/>
      </c>
      <c r="E766" s="145" t="str">
        <v/>
      </c>
      <c r="F766" s="145" t="str">
        <v/>
      </c>
      <c r="G766" s="145" t="str">
        <v/>
      </c>
      <c r="H766" s="145" t="str">
        <v/>
      </c>
      <c r="I766" s="145" t="str">
        <v/>
      </c>
      <c r="J766" s="145" t="str">
        <v/>
      </c>
      <c r="K766" s="145" t="str">
        <v/>
      </c>
      <c r="L766" s="145" t="str">
        <v/>
      </c>
      <c r="M766" s="145" t="str">
        <v/>
      </c>
      <c r="N766" s="145" t="str">
        <v/>
      </c>
      <c r="O766" s="145" t="str">
        <v/>
      </c>
      <c r="P766" s="145" t="str">
        <v/>
      </c>
    </row>
    <row r="767" spans="1:16" x14ac:dyDescent="0.2">
      <c r="A767" s="58" t="str">
        <v/>
      </c>
      <c r="B767" s="123" t="str">
        <f>IFERROR(TIMEVALUE(DaqBook_RAW_Data!Q655),IFERROR(TIMEVALUE(DaqBook_RAW_Data!A177),""))</f>
        <v/>
      </c>
      <c r="C767" s="145" t="str">
        <v/>
      </c>
      <c r="D767" s="145" t="str">
        <v/>
      </c>
      <c r="E767" s="145" t="str">
        <v/>
      </c>
      <c r="F767" s="145" t="str">
        <v/>
      </c>
      <c r="G767" s="145" t="str">
        <v/>
      </c>
      <c r="H767" s="145" t="str">
        <v/>
      </c>
      <c r="I767" s="145" t="str">
        <v/>
      </c>
      <c r="J767" s="145" t="str">
        <v/>
      </c>
      <c r="K767" s="145" t="str">
        <v/>
      </c>
      <c r="L767" s="145" t="str">
        <v/>
      </c>
      <c r="M767" s="145" t="str">
        <v/>
      </c>
      <c r="N767" s="145" t="str">
        <v/>
      </c>
      <c r="O767" s="145" t="str">
        <v/>
      </c>
      <c r="P767" s="145" t="str">
        <v/>
      </c>
    </row>
    <row r="768" spans="1:16" x14ac:dyDescent="0.2">
      <c r="A768" s="58" t="str">
        <v/>
      </c>
      <c r="B768" s="123" t="str">
        <f>IFERROR(TIMEVALUE(DaqBook_RAW_Data!Q656),IFERROR(TIMEVALUE(DaqBook_RAW_Data!A178),""))</f>
        <v/>
      </c>
      <c r="C768" s="145" t="str">
        <v/>
      </c>
      <c r="D768" s="145" t="str">
        <v/>
      </c>
      <c r="E768" s="145" t="str">
        <v/>
      </c>
      <c r="F768" s="145" t="str">
        <v/>
      </c>
      <c r="G768" s="145" t="str">
        <v/>
      </c>
      <c r="H768" s="145" t="str">
        <v/>
      </c>
      <c r="I768" s="145" t="str">
        <v/>
      </c>
      <c r="J768" s="145" t="str">
        <v/>
      </c>
      <c r="K768" s="145" t="str">
        <v/>
      </c>
      <c r="L768" s="145" t="str">
        <v/>
      </c>
      <c r="M768" s="145" t="str">
        <v/>
      </c>
      <c r="N768" s="145" t="str">
        <v/>
      </c>
      <c r="O768" s="145" t="str">
        <v/>
      </c>
      <c r="P768" s="145" t="str">
        <v/>
      </c>
    </row>
    <row r="769" spans="1:16" x14ac:dyDescent="0.2">
      <c r="A769" s="58" t="str">
        <v/>
      </c>
      <c r="B769" s="123" t="str">
        <f>IFERROR(TIMEVALUE(DaqBook_RAW_Data!Q657),IFERROR(TIMEVALUE(DaqBook_RAW_Data!A179),""))</f>
        <v/>
      </c>
      <c r="C769" s="145" t="str">
        <v/>
      </c>
      <c r="D769" s="145" t="str">
        <v/>
      </c>
      <c r="E769" s="145" t="str">
        <v/>
      </c>
      <c r="F769" s="145" t="str">
        <v/>
      </c>
      <c r="G769" s="145" t="str">
        <v/>
      </c>
      <c r="H769" s="145" t="str">
        <v/>
      </c>
      <c r="I769" s="145" t="str">
        <v/>
      </c>
      <c r="J769" s="145" t="str">
        <v/>
      </c>
      <c r="K769" s="145" t="str">
        <v/>
      </c>
      <c r="L769" s="145" t="str">
        <v/>
      </c>
      <c r="M769" s="145" t="str">
        <v/>
      </c>
      <c r="N769" s="145" t="str">
        <v/>
      </c>
      <c r="O769" s="145" t="str">
        <v/>
      </c>
      <c r="P769" s="145" t="str">
        <v/>
      </c>
    </row>
    <row r="770" spans="1:16" x14ac:dyDescent="0.2">
      <c r="A770" s="58" t="str">
        <v/>
      </c>
      <c r="B770" s="123" t="str">
        <f>IFERROR(TIMEVALUE(DaqBook_RAW_Data!Q658),IFERROR(TIMEVALUE(DaqBook_RAW_Data!A180),""))</f>
        <v/>
      </c>
      <c r="C770" s="145" t="str">
        <v/>
      </c>
      <c r="D770" s="145" t="str">
        <v/>
      </c>
      <c r="E770" s="145" t="str">
        <v/>
      </c>
      <c r="F770" s="145" t="str">
        <v/>
      </c>
      <c r="G770" s="145" t="str">
        <v/>
      </c>
      <c r="H770" s="145" t="str">
        <v/>
      </c>
      <c r="I770" s="145" t="str">
        <v/>
      </c>
      <c r="J770" s="145" t="str">
        <v/>
      </c>
      <c r="K770" s="145" t="str">
        <v/>
      </c>
      <c r="L770" s="145" t="str">
        <v/>
      </c>
      <c r="M770" s="145" t="str">
        <v/>
      </c>
      <c r="N770" s="145" t="str">
        <v/>
      </c>
      <c r="O770" s="145" t="str">
        <v/>
      </c>
      <c r="P770" s="145" t="str">
        <v/>
      </c>
    </row>
    <row r="771" spans="1:16" x14ac:dyDescent="0.2">
      <c r="A771" s="58" t="str">
        <v/>
      </c>
      <c r="B771" s="123" t="str">
        <f>IFERROR(TIMEVALUE(DaqBook_RAW_Data!Q659),IFERROR(TIMEVALUE(DaqBook_RAW_Data!A181),""))</f>
        <v/>
      </c>
      <c r="C771" s="145" t="str">
        <v/>
      </c>
      <c r="D771" s="145" t="str">
        <v/>
      </c>
      <c r="E771" s="145" t="str">
        <v/>
      </c>
      <c r="F771" s="145" t="str">
        <v/>
      </c>
      <c r="G771" s="145" t="str">
        <v/>
      </c>
      <c r="H771" s="145" t="str">
        <v/>
      </c>
      <c r="I771" s="145" t="str">
        <v/>
      </c>
      <c r="J771" s="145" t="str">
        <v/>
      </c>
      <c r="K771" s="145" t="str">
        <v/>
      </c>
      <c r="L771" s="145" t="str">
        <v/>
      </c>
      <c r="M771" s="145" t="str">
        <v/>
      </c>
      <c r="N771" s="145" t="str">
        <v/>
      </c>
      <c r="O771" s="145" t="str">
        <v/>
      </c>
      <c r="P771" s="145" t="str">
        <v/>
      </c>
    </row>
    <row r="772" spans="1:16" x14ac:dyDescent="0.2">
      <c r="A772" s="58" t="str">
        <v/>
      </c>
      <c r="B772" s="123" t="str">
        <f>IFERROR(TIMEVALUE(DaqBook_RAW_Data!Q660),IFERROR(TIMEVALUE(DaqBook_RAW_Data!A182),""))</f>
        <v/>
      </c>
      <c r="C772" s="145" t="str">
        <v/>
      </c>
      <c r="D772" s="145" t="str">
        <v/>
      </c>
      <c r="E772" s="145" t="str">
        <v/>
      </c>
      <c r="F772" s="145" t="str">
        <v/>
      </c>
      <c r="G772" s="145" t="str">
        <v/>
      </c>
      <c r="H772" s="145" t="str">
        <v/>
      </c>
      <c r="I772" s="145" t="str">
        <v/>
      </c>
      <c r="J772" s="145" t="str">
        <v/>
      </c>
      <c r="K772" s="145" t="str">
        <v/>
      </c>
      <c r="L772" s="145" t="str">
        <v/>
      </c>
      <c r="M772" s="145" t="str">
        <v/>
      </c>
      <c r="N772" s="145" t="str">
        <v/>
      </c>
      <c r="O772" s="145" t="str">
        <v/>
      </c>
      <c r="P772" s="145" t="str">
        <v/>
      </c>
    </row>
    <row r="773" spans="1:16" x14ac:dyDescent="0.2">
      <c r="A773" s="58" t="str">
        <v/>
      </c>
      <c r="B773" s="123" t="str">
        <f>IFERROR(TIMEVALUE(DaqBook_RAW_Data!Q661),IFERROR(TIMEVALUE(DaqBook_RAW_Data!A183),""))</f>
        <v/>
      </c>
      <c r="C773" s="145" t="str">
        <v/>
      </c>
      <c r="D773" s="145" t="str">
        <v/>
      </c>
      <c r="E773" s="145" t="str">
        <v/>
      </c>
      <c r="F773" s="145" t="str">
        <v/>
      </c>
      <c r="G773" s="145" t="str">
        <v/>
      </c>
      <c r="H773" s="145" t="str">
        <v/>
      </c>
      <c r="I773" s="145" t="str">
        <v/>
      </c>
      <c r="J773" s="145" t="str">
        <v/>
      </c>
      <c r="K773" s="145" t="str">
        <v/>
      </c>
      <c r="L773" s="145" t="str">
        <v/>
      </c>
      <c r="M773" s="145" t="str">
        <v/>
      </c>
      <c r="N773" s="145" t="str">
        <v/>
      </c>
      <c r="O773" s="145" t="str">
        <v/>
      </c>
      <c r="P773" s="145" t="str">
        <v/>
      </c>
    </row>
    <row r="774" spans="1:16" x14ac:dyDescent="0.2">
      <c r="A774" s="58" t="str">
        <v/>
      </c>
      <c r="B774" s="123" t="str">
        <f>IFERROR(TIMEVALUE(DaqBook_RAW_Data!Q662),IFERROR(TIMEVALUE(DaqBook_RAW_Data!A184),""))</f>
        <v/>
      </c>
      <c r="C774" s="145" t="str">
        <v/>
      </c>
      <c r="D774" s="145" t="str">
        <v/>
      </c>
      <c r="E774" s="145" t="str">
        <v/>
      </c>
      <c r="F774" s="145" t="str">
        <v/>
      </c>
      <c r="G774" s="145" t="str">
        <v/>
      </c>
      <c r="H774" s="145" t="str">
        <v/>
      </c>
      <c r="I774" s="145" t="str">
        <v/>
      </c>
      <c r="J774" s="145" t="str">
        <v/>
      </c>
      <c r="K774" s="145" t="str">
        <v/>
      </c>
      <c r="L774" s="145" t="str">
        <v/>
      </c>
      <c r="M774" s="145" t="str">
        <v/>
      </c>
      <c r="N774" s="145" t="str">
        <v/>
      </c>
      <c r="O774" s="145" t="str">
        <v/>
      </c>
      <c r="P774" s="145" t="str">
        <v/>
      </c>
    </row>
    <row r="775" spans="1:16" x14ac:dyDescent="0.2">
      <c r="A775" s="58" t="str">
        <v/>
      </c>
      <c r="B775" s="123" t="str">
        <f>IFERROR(TIMEVALUE(DaqBook_RAW_Data!Q663),IFERROR(TIMEVALUE(DaqBook_RAW_Data!A185),""))</f>
        <v/>
      </c>
      <c r="C775" s="145" t="str">
        <v/>
      </c>
      <c r="D775" s="145" t="str">
        <v/>
      </c>
      <c r="E775" s="145" t="str">
        <v/>
      </c>
      <c r="F775" s="145" t="str">
        <v/>
      </c>
      <c r="G775" s="145" t="str">
        <v/>
      </c>
      <c r="H775" s="145" t="str">
        <v/>
      </c>
      <c r="I775" s="145" t="str">
        <v/>
      </c>
      <c r="J775" s="145" t="str">
        <v/>
      </c>
      <c r="K775" s="145" t="str">
        <v/>
      </c>
      <c r="L775" s="145" t="str">
        <v/>
      </c>
      <c r="M775" s="145" t="str">
        <v/>
      </c>
      <c r="N775" s="145" t="str">
        <v/>
      </c>
      <c r="O775" s="145" t="str">
        <v/>
      </c>
      <c r="P775" s="145" t="str">
        <v/>
      </c>
    </row>
    <row r="776" spans="1:16" x14ac:dyDescent="0.2">
      <c r="A776" s="58" t="str">
        <v/>
      </c>
      <c r="B776" s="123" t="str">
        <f>IFERROR(TIMEVALUE(DaqBook_RAW_Data!Q664),IFERROR(TIMEVALUE(DaqBook_RAW_Data!A186),""))</f>
        <v/>
      </c>
      <c r="C776" s="145" t="str">
        <v/>
      </c>
      <c r="D776" s="145" t="str">
        <v/>
      </c>
      <c r="E776" s="145" t="str">
        <v/>
      </c>
      <c r="F776" s="145" t="str">
        <v/>
      </c>
      <c r="G776" s="145" t="str">
        <v/>
      </c>
      <c r="H776" s="145" t="str">
        <v/>
      </c>
      <c r="I776" s="145" t="str">
        <v/>
      </c>
      <c r="J776" s="145" t="str">
        <v/>
      </c>
      <c r="K776" s="145" t="str">
        <v/>
      </c>
      <c r="L776" s="145" t="str">
        <v/>
      </c>
      <c r="M776" s="145" t="str">
        <v/>
      </c>
      <c r="N776" s="145" t="str">
        <v/>
      </c>
      <c r="O776" s="145" t="str">
        <v/>
      </c>
      <c r="P776" s="145" t="str">
        <v/>
      </c>
    </row>
    <row r="777" spans="1:16" x14ac:dyDescent="0.2">
      <c r="A777" s="58" t="str">
        <v/>
      </c>
      <c r="B777" s="123" t="str">
        <f>IFERROR(TIMEVALUE(DaqBook_RAW_Data!Q665),IFERROR(TIMEVALUE(DaqBook_RAW_Data!A187),""))</f>
        <v/>
      </c>
      <c r="C777" s="145" t="str">
        <v/>
      </c>
      <c r="D777" s="145" t="str">
        <v/>
      </c>
      <c r="E777" s="145" t="str">
        <v/>
      </c>
      <c r="F777" s="145" t="str">
        <v/>
      </c>
      <c r="G777" s="145" t="str">
        <v/>
      </c>
      <c r="H777" s="145" t="str">
        <v/>
      </c>
      <c r="I777" s="145" t="str">
        <v/>
      </c>
      <c r="J777" s="145" t="str">
        <v/>
      </c>
      <c r="K777" s="145" t="str">
        <v/>
      </c>
      <c r="L777" s="145" t="str">
        <v/>
      </c>
      <c r="M777" s="145" t="str">
        <v/>
      </c>
      <c r="N777" s="145" t="str">
        <v/>
      </c>
      <c r="O777" s="145" t="str">
        <v/>
      </c>
      <c r="P777" s="145" t="str">
        <v/>
      </c>
    </row>
    <row r="778" spans="1:16" x14ac:dyDescent="0.2">
      <c r="A778" s="58" t="str">
        <v/>
      </c>
      <c r="B778" s="123" t="str">
        <f>IFERROR(TIMEVALUE(DaqBook_RAW_Data!Q666),IFERROR(TIMEVALUE(DaqBook_RAW_Data!A188),""))</f>
        <v/>
      </c>
      <c r="C778" s="145" t="str">
        <v/>
      </c>
      <c r="D778" s="145" t="str">
        <v/>
      </c>
      <c r="E778" s="145" t="str">
        <v/>
      </c>
      <c r="F778" s="145" t="str">
        <v/>
      </c>
      <c r="G778" s="145" t="str">
        <v/>
      </c>
      <c r="H778" s="145" t="str">
        <v/>
      </c>
      <c r="I778" s="145" t="str">
        <v/>
      </c>
      <c r="J778" s="145" t="str">
        <v/>
      </c>
      <c r="K778" s="145" t="str">
        <v/>
      </c>
      <c r="L778" s="145" t="str">
        <v/>
      </c>
      <c r="M778" s="145" t="str">
        <v/>
      </c>
      <c r="N778" s="145" t="str">
        <v/>
      </c>
      <c r="O778" s="145" t="str">
        <v/>
      </c>
      <c r="P778" s="145" t="str">
        <v/>
      </c>
    </row>
    <row r="779" spans="1:16" x14ac:dyDescent="0.2">
      <c r="A779" s="58" t="str">
        <v/>
      </c>
      <c r="B779" s="123" t="str">
        <f>IFERROR(TIMEVALUE(DaqBook_RAW_Data!Q667),IFERROR(TIMEVALUE(DaqBook_RAW_Data!A189),""))</f>
        <v/>
      </c>
      <c r="C779" s="145" t="str">
        <v/>
      </c>
      <c r="D779" s="145" t="str">
        <v/>
      </c>
      <c r="E779" s="145" t="str">
        <v/>
      </c>
      <c r="F779" s="145" t="str">
        <v/>
      </c>
      <c r="G779" s="145" t="str">
        <v/>
      </c>
      <c r="H779" s="145" t="str">
        <v/>
      </c>
      <c r="I779" s="145" t="str">
        <v/>
      </c>
      <c r="J779" s="145" t="str">
        <v/>
      </c>
      <c r="K779" s="145" t="str">
        <v/>
      </c>
      <c r="L779" s="145" t="str">
        <v/>
      </c>
      <c r="M779" s="145" t="str">
        <v/>
      </c>
      <c r="N779" s="145" t="str">
        <v/>
      </c>
      <c r="O779" s="145" t="str">
        <v/>
      </c>
      <c r="P779" s="145" t="str">
        <v/>
      </c>
    </row>
    <row r="780" spans="1:16" x14ac:dyDescent="0.2">
      <c r="A780" s="58" t="str">
        <v/>
      </c>
      <c r="B780" s="123" t="str">
        <f>IFERROR(TIMEVALUE(DaqBook_RAW_Data!Q668),IFERROR(TIMEVALUE(DaqBook_RAW_Data!A190),""))</f>
        <v/>
      </c>
      <c r="C780" s="145" t="str">
        <v/>
      </c>
      <c r="D780" s="145" t="str">
        <v/>
      </c>
      <c r="E780" s="145" t="str">
        <v/>
      </c>
      <c r="F780" s="145" t="str">
        <v/>
      </c>
      <c r="G780" s="145" t="str">
        <v/>
      </c>
      <c r="H780" s="145" t="str">
        <v/>
      </c>
      <c r="I780" s="145" t="str">
        <v/>
      </c>
      <c r="J780" s="145" t="str">
        <v/>
      </c>
      <c r="K780" s="145" t="str">
        <v/>
      </c>
      <c r="L780" s="145" t="str">
        <v/>
      </c>
      <c r="M780" s="145" t="str">
        <v/>
      </c>
      <c r="N780" s="145" t="str">
        <v/>
      </c>
      <c r="O780" s="145" t="str">
        <v/>
      </c>
      <c r="P780" s="145" t="str">
        <v/>
      </c>
    </row>
    <row r="781" spans="1:16" x14ac:dyDescent="0.2">
      <c r="A781" s="58" t="str">
        <v/>
      </c>
      <c r="B781" s="123" t="str">
        <f>IFERROR(TIMEVALUE(DaqBook_RAW_Data!Q669),IFERROR(TIMEVALUE(DaqBook_RAW_Data!A191),""))</f>
        <v/>
      </c>
      <c r="C781" s="145" t="str">
        <v/>
      </c>
      <c r="D781" s="145" t="str">
        <v/>
      </c>
      <c r="E781" s="145" t="str">
        <v/>
      </c>
      <c r="F781" s="145" t="str">
        <v/>
      </c>
      <c r="G781" s="145" t="str">
        <v/>
      </c>
      <c r="H781" s="145" t="str">
        <v/>
      </c>
      <c r="I781" s="145" t="str">
        <v/>
      </c>
      <c r="J781" s="145" t="str">
        <v/>
      </c>
      <c r="K781" s="145" t="str">
        <v/>
      </c>
      <c r="L781" s="145" t="str">
        <v/>
      </c>
      <c r="M781" s="145" t="str">
        <v/>
      </c>
      <c r="N781" s="145" t="str">
        <v/>
      </c>
      <c r="O781" s="145" t="str">
        <v/>
      </c>
      <c r="P781" s="145" t="str">
        <v/>
      </c>
    </row>
    <row r="782" spans="1:16" x14ac:dyDescent="0.2">
      <c r="A782" s="58" t="str">
        <v/>
      </c>
      <c r="B782" s="123" t="str">
        <f>IFERROR(TIMEVALUE(DaqBook_RAW_Data!Q670),IFERROR(TIMEVALUE(DaqBook_RAW_Data!A192),""))</f>
        <v/>
      </c>
      <c r="C782" s="145" t="str">
        <v/>
      </c>
      <c r="D782" s="145" t="str">
        <v/>
      </c>
      <c r="E782" s="145" t="str">
        <v/>
      </c>
      <c r="F782" s="145" t="str">
        <v/>
      </c>
      <c r="G782" s="145" t="str">
        <v/>
      </c>
      <c r="H782" s="145" t="str">
        <v/>
      </c>
      <c r="I782" s="145" t="str">
        <v/>
      </c>
      <c r="J782" s="145" t="str">
        <v/>
      </c>
      <c r="K782" s="145" t="str">
        <v/>
      </c>
      <c r="L782" s="145" t="str">
        <v/>
      </c>
      <c r="M782" s="145" t="str">
        <v/>
      </c>
      <c r="N782" s="145" t="str">
        <v/>
      </c>
      <c r="O782" s="145" t="str">
        <v/>
      </c>
      <c r="P782" s="145" t="str">
        <v/>
      </c>
    </row>
    <row r="783" spans="1:16" x14ac:dyDescent="0.2">
      <c r="A783" s="58" t="str">
        <v/>
      </c>
      <c r="B783" s="123" t="str">
        <f>IFERROR(TIMEVALUE(DaqBook_RAW_Data!Q671),IFERROR(TIMEVALUE(DaqBook_RAW_Data!A193),""))</f>
        <v/>
      </c>
      <c r="C783" s="145" t="str">
        <v/>
      </c>
      <c r="D783" s="145" t="str">
        <v/>
      </c>
      <c r="E783" s="145" t="str">
        <v/>
      </c>
      <c r="F783" s="145" t="str">
        <v/>
      </c>
      <c r="G783" s="145" t="str">
        <v/>
      </c>
      <c r="H783" s="145" t="str">
        <v/>
      </c>
      <c r="I783" s="145" t="str">
        <v/>
      </c>
      <c r="J783" s="145" t="str">
        <v/>
      </c>
      <c r="K783" s="145" t="str">
        <v/>
      </c>
      <c r="L783" s="145" t="str">
        <v/>
      </c>
      <c r="M783" s="145" t="str">
        <v/>
      </c>
      <c r="N783" s="145" t="str">
        <v/>
      </c>
      <c r="O783" s="145" t="str">
        <v/>
      </c>
      <c r="P783" s="145" t="str">
        <v/>
      </c>
    </row>
    <row r="784" spans="1:16" x14ac:dyDescent="0.2">
      <c r="A784" s="58" t="str">
        <v/>
      </c>
      <c r="B784" s="123" t="str">
        <f>IFERROR(TIMEVALUE(DaqBook_RAW_Data!Q672),IFERROR(TIMEVALUE(DaqBook_RAW_Data!A194),""))</f>
        <v/>
      </c>
      <c r="C784" s="145" t="str">
        <v/>
      </c>
      <c r="D784" s="145" t="str">
        <v/>
      </c>
      <c r="E784" s="145" t="str">
        <v/>
      </c>
      <c r="F784" s="145" t="str">
        <v/>
      </c>
      <c r="G784" s="145" t="str">
        <v/>
      </c>
      <c r="H784" s="145" t="str">
        <v/>
      </c>
      <c r="I784" s="145" t="str">
        <v/>
      </c>
      <c r="J784" s="145" t="str">
        <v/>
      </c>
      <c r="K784" s="145" t="str">
        <v/>
      </c>
      <c r="L784" s="145" t="str">
        <v/>
      </c>
      <c r="M784" s="145" t="str">
        <v/>
      </c>
      <c r="N784" s="145" t="str">
        <v/>
      </c>
      <c r="O784" s="145" t="str">
        <v/>
      </c>
      <c r="P784" s="145" t="str">
        <v/>
      </c>
    </row>
    <row r="785" spans="1:16" x14ac:dyDescent="0.2">
      <c r="A785" s="58" t="str">
        <v/>
      </c>
      <c r="B785" s="123" t="str">
        <f>IFERROR(TIMEVALUE(DaqBook_RAW_Data!Q673),IFERROR(TIMEVALUE(DaqBook_RAW_Data!A195),""))</f>
        <v/>
      </c>
      <c r="C785" s="145" t="str">
        <v/>
      </c>
      <c r="D785" s="145" t="str">
        <v/>
      </c>
      <c r="E785" s="145" t="str">
        <v/>
      </c>
      <c r="F785" s="145" t="str">
        <v/>
      </c>
      <c r="G785" s="145" t="str">
        <v/>
      </c>
      <c r="H785" s="145" t="str">
        <v/>
      </c>
      <c r="I785" s="145" t="str">
        <v/>
      </c>
      <c r="J785" s="145" t="str">
        <v/>
      </c>
      <c r="K785" s="145" t="str">
        <v/>
      </c>
      <c r="L785" s="145" t="str">
        <v/>
      </c>
      <c r="M785" s="145" t="str">
        <v/>
      </c>
      <c r="N785" s="145" t="str">
        <v/>
      </c>
      <c r="O785" s="145" t="str">
        <v/>
      </c>
      <c r="P785" s="145" t="str">
        <v/>
      </c>
    </row>
    <row r="786" spans="1:16" x14ac:dyDescent="0.2">
      <c r="A786" s="58" t="str">
        <v/>
      </c>
      <c r="B786" s="123" t="str">
        <f>IFERROR(TIMEVALUE(DaqBook_RAW_Data!Q674),IFERROR(TIMEVALUE(DaqBook_RAW_Data!A196),""))</f>
        <v/>
      </c>
      <c r="C786" s="145" t="str">
        <v/>
      </c>
      <c r="D786" s="145" t="str">
        <v/>
      </c>
      <c r="E786" s="145" t="str">
        <v/>
      </c>
      <c r="F786" s="145" t="str">
        <v/>
      </c>
      <c r="G786" s="145" t="str">
        <v/>
      </c>
      <c r="H786" s="145" t="str">
        <v/>
      </c>
      <c r="I786" s="145" t="str">
        <v/>
      </c>
      <c r="J786" s="145" t="str">
        <v/>
      </c>
      <c r="K786" s="145" t="str">
        <v/>
      </c>
      <c r="L786" s="145" t="str">
        <v/>
      </c>
      <c r="M786" s="145" t="str">
        <v/>
      </c>
      <c r="N786" s="145" t="str">
        <v/>
      </c>
      <c r="O786" s="145" t="str">
        <v/>
      </c>
      <c r="P786" s="145" t="str">
        <v/>
      </c>
    </row>
    <row r="787" spans="1:16" x14ac:dyDescent="0.2">
      <c r="A787" s="58" t="str">
        <v/>
      </c>
      <c r="B787" s="123" t="str">
        <f>IFERROR(TIMEVALUE(DaqBook_RAW_Data!Q675),IFERROR(TIMEVALUE(DaqBook_RAW_Data!A197),""))</f>
        <v/>
      </c>
      <c r="C787" s="145" t="str">
        <v/>
      </c>
      <c r="D787" s="145" t="str">
        <v/>
      </c>
      <c r="E787" s="145" t="str">
        <v/>
      </c>
      <c r="F787" s="145" t="str">
        <v/>
      </c>
      <c r="G787" s="145" t="str">
        <v/>
      </c>
      <c r="H787" s="145" t="str">
        <v/>
      </c>
      <c r="I787" s="145" t="str">
        <v/>
      </c>
      <c r="J787" s="145" t="str">
        <v/>
      </c>
      <c r="K787" s="145" t="str">
        <v/>
      </c>
      <c r="L787" s="145" t="str">
        <v/>
      </c>
      <c r="M787" s="145" t="str">
        <v/>
      </c>
      <c r="N787" s="145" t="str">
        <v/>
      </c>
      <c r="O787" s="145" t="str">
        <v/>
      </c>
      <c r="P787" s="145" t="str">
        <v/>
      </c>
    </row>
    <row r="788" spans="1:16" x14ac:dyDescent="0.2">
      <c r="A788" s="58" t="str">
        <v/>
      </c>
      <c r="B788" s="123" t="str">
        <f>IFERROR(TIMEVALUE(DaqBook_RAW_Data!Q676),IFERROR(TIMEVALUE(DaqBook_RAW_Data!A198),""))</f>
        <v/>
      </c>
      <c r="C788" s="145" t="str">
        <v/>
      </c>
      <c r="D788" s="145" t="str">
        <v/>
      </c>
      <c r="E788" s="145" t="str">
        <v/>
      </c>
      <c r="F788" s="145" t="str">
        <v/>
      </c>
      <c r="G788" s="145" t="str">
        <v/>
      </c>
      <c r="H788" s="145" t="str">
        <v/>
      </c>
      <c r="I788" s="145" t="str">
        <v/>
      </c>
      <c r="J788" s="145" t="str">
        <v/>
      </c>
      <c r="K788" s="145" t="str">
        <v/>
      </c>
      <c r="L788" s="145" t="str">
        <v/>
      </c>
      <c r="M788" s="145" t="str">
        <v/>
      </c>
      <c r="N788" s="145" t="str">
        <v/>
      </c>
      <c r="O788" s="145" t="str">
        <v/>
      </c>
      <c r="P788" s="145" t="str">
        <v/>
      </c>
    </row>
    <row r="789" spans="1:16" x14ac:dyDescent="0.2">
      <c r="A789" s="58" t="str">
        <v/>
      </c>
      <c r="B789" s="123" t="str">
        <f>IFERROR(TIMEVALUE(DaqBook_RAW_Data!Q677),IFERROR(TIMEVALUE(DaqBook_RAW_Data!A199),""))</f>
        <v/>
      </c>
      <c r="C789" s="145" t="str">
        <v/>
      </c>
      <c r="D789" s="145" t="str">
        <v/>
      </c>
      <c r="E789" s="145" t="str">
        <v/>
      </c>
      <c r="F789" s="145" t="str">
        <v/>
      </c>
      <c r="G789" s="145" t="str">
        <v/>
      </c>
      <c r="H789" s="145" t="str">
        <v/>
      </c>
      <c r="I789" s="145" t="str">
        <v/>
      </c>
      <c r="J789" s="145" t="str">
        <v/>
      </c>
      <c r="K789" s="145" t="str">
        <v/>
      </c>
      <c r="L789" s="145" t="str">
        <v/>
      </c>
      <c r="M789" s="145" t="str">
        <v/>
      </c>
      <c r="N789" s="145" t="str">
        <v/>
      </c>
      <c r="O789" s="145" t="str">
        <v/>
      </c>
      <c r="P789" s="145" t="str">
        <v/>
      </c>
    </row>
    <row r="790" spans="1:16" x14ac:dyDescent="0.2">
      <c r="A790" s="58" t="str">
        <v/>
      </c>
      <c r="B790" s="123" t="str">
        <f>IFERROR(TIMEVALUE(DaqBook_RAW_Data!Q678),IFERROR(TIMEVALUE(DaqBook_RAW_Data!A200),""))</f>
        <v/>
      </c>
      <c r="C790" s="145" t="str">
        <v/>
      </c>
      <c r="D790" s="145" t="str">
        <v/>
      </c>
      <c r="E790" s="145" t="str">
        <v/>
      </c>
      <c r="F790" s="145" t="str">
        <v/>
      </c>
      <c r="G790" s="145" t="str">
        <v/>
      </c>
      <c r="H790" s="145" t="str">
        <v/>
      </c>
      <c r="I790" s="145" t="str">
        <v/>
      </c>
      <c r="J790" s="145" t="str">
        <v/>
      </c>
      <c r="K790" s="145" t="str">
        <v/>
      </c>
      <c r="L790" s="145" t="str">
        <v/>
      </c>
      <c r="M790" s="145" t="str">
        <v/>
      </c>
      <c r="N790" s="145" t="str">
        <v/>
      </c>
      <c r="O790" s="145" t="str">
        <v/>
      </c>
      <c r="P790" s="145" t="str">
        <v/>
      </c>
    </row>
    <row r="791" spans="1:16" x14ac:dyDescent="0.2">
      <c r="A791" s="58" t="str">
        <v/>
      </c>
      <c r="B791" s="123" t="str">
        <f>IFERROR(TIMEVALUE(DaqBook_RAW_Data!Q679),IFERROR(TIMEVALUE(DaqBook_RAW_Data!A201),""))</f>
        <v/>
      </c>
      <c r="C791" s="145" t="str">
        <v/>
      </c>
      <c r="D791" s="145" t="str">
        <v/>
      </c>
      <c r="E791" s="145" t="str">
        <v/>
      </c>
      <c r="F791" s="145" t="str">
        <v/>
      </c>
      <c r="G791" s="145" t="str">
        <v/>
      </c>
      <c r="H791" s="145" t="str">
        <v/>
      </c>
      <c r="I791" s="145" t="str">
        <v/>
      </c>
      <c r="J791" s="145" t="str">
        <v/>
      </c>
      <c r="K791" s="145" t="str">
        <v/>
      </c>
      <c r="L791" s="145" t="str">
        <v/>
      </c>
      <c r="M791" s="145" t="str">
        <v/>
      </c>
      <c r="N791" s="145" t="str">
        <v/>
      </c>
      <c r="O791" s="145" t="str">
        <v/>
      </c>
      <c r="P791" s="145" t="str">
        <v/>
      </c>
    </row>
    <row r="792" spans="1:16" x14ac:dyDescent="0.2">
      <c r="A792" s="58" t="str">
        <v/>
      </c>
      <c r="B792" s="123" t="str">
        <f>IFERROR(TIMEVALUE(DaqBook_RAW_Data!Q680),IFERROR(TIMEVALUE(DaqBook_RAW_Data!A202),""))</f>
        <v/>
      </c>
      <c r="C792" s="145" t="str">
        <v/>
      </c>
      <c r="D792" s="145" t="str">
        <v/>
      </c>
      <c r="E792" s="145" t="str">
        <v/>
      </c>
      <c r="F792" s="145" t="str">
        <v/>
      </c>
      <c r="G792" s="145" t="str">
        <v/>
      </c>
      <c r="H792" s="145" t="str">
        <v/>
      </c>
      <c r="I792" s="145" t="str">
        <v/>
      </c>
      <c r="J792" s="145" t="str">
        <v/>
      </c>
      <c r="K792" s="145" t="str">
        <v/>
      </c>
      <c r="L792" s="145" t="str">
        <v/>
      </c>
      <c r="M792" s="145" t="str">
        <v/>
      </c>
      <c r="N792" s="145" t="str">
        <v/>
      </c>
      <c r="O792" s="145" t="str">
        <v/>
      </c>
      <c r="P792" s="145" t="str">
        <v/>
      </c>
    </row>
    <row r="793" spans="1:16" x14ac:dyDescent="0.2">
      <c r="A793" s="58" t="str">
        <v/>
      </c>
      <c r="B793" s="123" t="str">
        <f>IFERROR(TIMEVALUE(DaqBook_RAW_Data!Q681),IFERROR(TIMEVALUE(DaqBook_RAW_Data!A203),""))</f>
        <v/>
      </c>
      <c r="C793" s="145" t="str">
        <v/>
      </c>
      <c r="D793" s="145" t="str">
        <v/>
      </c>
      <c r="E793" s="145" t="str">
        <v/>
      </c>
      <c r="F793" s="145" t="str">
        <v/>
      </c>
      <c r="G793" s="145" t="str">
        <v/>
      </c>
      <c r="H793" s="145" t="str">
        <v/>
      </c>
      <c r="I793" s="145" t="str">
        <v/>
      </c>
      <c r="J793" s="145" t="str">
        <v/>
      </c>
      <c r="K793" s="145" t="str">
        <v/>
      </c>
      <c r="L793" s="145" t="str">
        <v/>
      </c>
      <c r="M793" s="145" t="str">
        <v/>
      </c>
      <c r="N793" s="145" t="str">
        <v/>
      </c>
      <c r="O793" s="145" t="str">
        <v/>
      </c>
      <c r="P793" s="145" t="str">
        <v/>
      </c>
    </row>
    <row r="794" spans="1:16" x14ac:dyDescent="0.2">
      <c r="A794" s="58" t="str">
        <v/>
      </c>
      <c r="B794" s="123" t="str">
        <f>IFERROR(TIMEVALUE(DaqBook_RAW_Data!Q682),IFERROR(TIMEVALUE(DaqBook_RAW_Data!A204),""))</f>
        <v/>
      </c>
      <c r="C794" s="145" t="str">
        <v/>
      </c>
      <c r="D794" s="145" t="str">
        <v/>
      </c>
      <c r="E794" s="145" t="str">
        <v/>
      </c>
      <c r="F794" s="145" t="str">
        <v/>
      </c>
      <c r="G794" s="145" t="str">
        <v/>
      </c>
      <c r="H794" s="145" t="str">
        <v/>
      </c>
      <c r="I794" s="145" t="str">
        <v/>
      </c>
      <c r="J794" s="145" t="str">
        <v/>
      </c>
      <c r="K794" s="145" t="str">
        <v/>
      </c>
      <c r="L794" s="145" t="str">
        <v/>
      </c>
      <c r="M794" s="145" t="str">
        <v/>
      </c>
      <c r="N794" s="145" t="str">
        <v/>
      </c>
      <c r="O794" s="145" t="str">
        <v/>
      </c>
      <c r="P794" s="145" t="str">
        <v/>
      </c>
    </row>
    <row r="795" spans="1:16" x14ac:dyDescent="0.2">
      <c r="A795" s="58" t="str">
        <v/>
      </c>
      <c r="B795" s="123" t="str">
        <f>IFERROR(TIMEVALUE(DaqBook_RAW_Data!Q683),IFERROR(TIMEVALUE(DaqBook_RAW_Data!A205),""))</f>
        <v/>
      </c>
      <c r="C795" s="145" t="str">
        <v/>
      </c>
      <c r="D795" s="145" t="str">
        <v/>
      </c>
      <c r="E795" s="145" t="str">
        <v/>
      </c>
      <c r="F795" s="145" t="str">
        <v/>
      </c>
      <c r="G795" s="145" t="str">
        <v/>
      </c>
      <c r="H795" s="145" t="str">
        <v/>
      </c>
      <c r="I795" s="145" t="str">
        <v/>
      </c>
      <c r="J795" s="145" t="str">
        <v/>
      </c>
      <c r="K795" s="145" t="str">
        <v/>
      </c>
      <c r="L795" s="145" t="str">
        <v/>
      </c>
      <c r="M795" s="145" t="str">
        <v/>
      </c>
      <c r="N795" s="145" t="str">
        <v/>
      </c>
      <c r="O795" s="145" t="str">
        <v/>
      </c>
      <c r="P795" s="145" t="str">
        <v/>
      </c>
    </row>
    <row r="796" spans="1:16" x14ac:dyDescent="0.2">
      <c r="A796" s="58" t="str">
        <v/>
      </c>
      <c r="B796" s="123" t="str">
        <f>IFERROR(TIMEVALUE(DaqBook_RAW_Data!Q684),IFERROR(TIMEVALUE(DaqBook_RAW_Data!A206),""))</f>
        <v/>
      </c>
      <c r="C796" s="145" t="str">
        <v/>
      </c>
      <c r="D796" s="145" t="str">
        <v/>
      </c>
      <c r="E796" s="145" t="str">
        <v/>
      </c>
      <c r="F796" s="145" t="str">
        <v/>
      </c>
      <c r="G796" s="145" t="str">
        <v/>
      </c>
      <c r="H796" s="145" t="str">
        <v/>
      </c>
      <c r="I796" s="145" t="str">
        <v/>
      </c>
      <c r="J796" s="145" t="str">
        <v/>
      </c>
      <c r="K796" s="145" t="str">
        <v/>
      </c>
      <c r="L796" s="145" t="str">
        <v/>
      </c>
      <c r="M796" s="145" t="str">
        <v/>
      </c>
      <c r="N796" s="145" t="str">
        <v/>
      </c>
      <c r="O796" s="145" t="str">
        <v/>
      </c>
      <c r="P796" s="145" t="str">
        <v/>
      </c>
    </row>
    <row r="797" spans="1:16" x14ac:dyDescent="0.2">
      <c r="A797" s="58" t="str">
        <v/>
      </c>
      <c r="B797" s="123" t="str">
        <f>IFERROR(TIMEVALUE(DaqBook_RAW_Data!Q685),IFERROR(TIMEVALUE(DaqBook_RAW_Data!A207),""))</f>
        <v/>
      </c>
      <c r="C797" s="145" t="str">
        <v/>
      </c>
      <c r="D797" s="145" t="str">
        <v/>
      </c>
      <c r="E797" s="145" t="str">
        <v/>
      </c>
      <c r="F797" s="145" t="str">
        <v/>
      </c>
      <c r="G797" s="145" t="str">
        <v/>
      </c>
      <c r="H797" s="145" t="str">
        <v/>
      </c>
      <c r="I797" s="145" t="str">
        <v/>
      </c>
      <c r="J797" s="145" t="str">
        <v/>
      </c>
      <c r="K797" s="145" t="str">
        <v/>
      </c>
      <c r="L797" s="145" t="str">
        <v/>
      </c>
      <c r="M797" s="145" t="str">
        <v/>
      </c>
      <c r="N797" s="145" t="str">
        <v/>
      </c>
      <c r="O797" s="145" t="str">
        <v/>
      </c>
      <c r="P797" s="145" t="str">
        <v/>
      </c>
    </row>
    <row r="798" spans="1:16" x14ac:dyDescent="0.2">
      <c r="A798" s="58" t="str">
        <v/>
      </c>
      <c r="B798" s="123" t="str">
        <f>IFERROR(TIMEVALUE(DaqBook_RAW_Data!Q686),IFERROR(TIMEVALUE(DaqBook_RAW_Data!A208),""))</f>
        <v/>
      </c>
      <c r="C798" s="145" t="str">
        <v/>
      </c>
      <c r="D798" s="145" t="str">
        <v/>
      </c>
      <c r="E798" s="145" t="str">
        <v/>
      </c>
      <c r="F798" s="145" t="str">
        <v/>
      </c>
      <c r="G798" s="145" t="str">
        <v/>
      </c>
      <c r="H798" s="145" t="str">
        <v/>
      </c>
      <c r="I798" s="145" t="str">
        <v/>
      </c>
      <c r="J798" s="145" t="str">
        <v/>
      </c>
      <c r="K798" s="145" t="str">
        <v/>
      </c>
      <c r="L798" s="145" t="str">
        <v/>
      </c>
      <c r="M798" s="145" t="str">
        <v/>
      </c>
      <c r="N798" s="145" t="str">
        <v/>
      </c>
      <c r="O798" s="145" t="str">
        <v/>
      </c>
      <c r="P798" s="145" t="str">
        <v/>
      </c>
    </row>
    <row r="799" spans="1:16" x14ac:dyDescent="0.2">
      <c r="A799" s="58" t="str">
        <v/>
      </c>
      <c r="B799" s="123" t="str">
        <f>IFERROR(TIMEVALUE(DaqBook_RAW_Data!Q687),IFERROR(TIMEVALUE(DaqBook_RAW_Data!A209),""))</f>
        <v/>
      </c>
      <c r="C799" s="145" t="str">
        <v/>
      </c>
      <c r="D799" s="145" t="str">
        <v/>
      </c>
      <c r="E799" s="145" t="str">
        <v/>
      </c>
      <c r="F799" s="145" t="str">
        <v/>
      </c>
      <c r="G799" s="145" t="str">
        <v/>
      </c>
      <c r="H799" s="145" t="str">
        <v/>
      </c>
      <c r="I799" s="145" t="str">
        <v/>
      </c>
      <c r="J799" s="145" t="str">
        <v/>
      </c>
      <c r="K799" s="145" t="str">
        <v/>
      </c>
      <c r="L799" s="145" t="str">
        <v/>
      </c>
      <c r="M799" s="145" t="str">
        <v/>
      </c>
      <c r="N799" s="145" t="str">
        <v/>
      </c>
      <c r="O799" s="145" t="str">
        <v/>
      </c>
      <c r="P799" s="145" t="str">
        <v/>
      </c>
    </row>
    <row r="800" spans="1:16" x14ac:dyDescent="0.2">
      <c r="A800" s="58" t="str">
        <v/>
      </c>
      <c r="B800" s="123" t="str">
        <f>IFERROR(TIMEVALUE(DaqBook_RAW_Data!Q688),IFERROR(TIMEVALUE(DaqBook_RAW_Data!A210),""))</f>
        <v/>
      </c>
      <c r="C800" s="145" t="str">
        <v/>
      </c>
      <c r="D800" s="145" t="str">
        <v/>
      </c>
      <c r="E800" s="145" t="str">
        <v/>
      </c>
      <c r="F800" s="145" t="str">
        <v/>
      </c>
      <c r="G800" s="145" t="str">
        <v/>
      </c>
      <c r="H800" s="145" t="str">
        <v/>
      </c>
      <c r="I800" s="145" t="str">
        <v/>
      </c>
      <c r="J800" s="145" t="str">
        <v/>
      </c>
      <c r="K800" s="145" t="str">
        <v/>
      </c>
      <c r="L800" s="145" t="str">
        <v/>
      </c>
      <c r="M800" s="145" t="str">
        <v/>
      </c>
      <c r="N800" s="145" t="str">
        <v/>
      </c>
      <c r="O800" s="145" t="str">
        <v/>
      </c>
      <c r="P800" s="145" t="str">
        <v/>
      </c>
    </row>
    <row r="801" spans="1:16" x14ac:dyDescent="0.2">
      <c r="A801" s="58" t="str">
        <v/>
      </c>
      <c r="B801" s="123" t="str">
        <f>IFERROR(TIMEVALUE(DaqBook_RAW_Data!Q689),IFERROR(TIMEVALUE(DaqBook_RAW_Data!A211),""))</f>
        <v/>
      </c>
      <c r="C801" s="145" t="str">
        <v/>
      </c>
      <c r="D801" s="145" t="str">
        <v/>
      </c>
      <c r="E801" s="145" t="str">
        <v/>
      </c>
      <c r="F801" s="145" t="str">
        <v/>
      </c>
      <c r="G801" s="145" t="str">
        <v/>
      </c>
      <c r="H801" s="145" t="str">
        <v/>
      </c>
      <c r="I801" s="145" t="str">
        <v/>
      </c>
      <c r="J801" s="145" t="str">
        <v/>
      </c>
      <c r="K801" s="145" t="str">
        <v/>
      </c>
      <c r="L801" s="145" t="str">
        <v/>
      </c>
      <c r="M801" s="145" t="str">
        <v/>
      </c>
      <c r="N801" s="145" t="str">
        <v/>
      </c>
      <c r="O801" s="145" t="str">
        <v/>
      </c>
      <c r="P801" s="145" t="str">
        <v/>
      </c>
    </row>
    <row r="802" spans="1:16" x14ac:dyDescent="0.2">
      <c r="A802" s="58" t="str">
        <v/>
      </c>
      <c r="B802" s="123" t="str">
        <f>IFERROR(TIMEVALUE(DaqBook_RAW_Data!Q690),IFERROR(TIMEVALUE(DaqBook_RAW_Data!A212),""))</f>
        <v/>
      </c>
      <c r="C802" s="145"/>
      <c r="D802" s="145"/>
      <c r="E802" s="145"/>
      <c r="F802" s="145"/>
      <c r="G802" s="145"/>
      <c r="H802" s="145"/>
      <c r="I802" s="145"/>
      <c r="J802" s="145"/>
      <c r="K802" s="145"/>
      <c r="L802" s="145"/>
      <c r="M802" s="145"/>
      <c r="N802" s="145"/>
      <c r="O802" s="145"/>
      <c r="P802" s="145"/>
    </row>
    <row r="803" spans="1:16" x14ac:dyDescent="0.2">
      <c r="A803" s="58" t="str">
        <v/>
      </c>
      <c r="B803" s="123" t="str">
        <f>IFERROR(TIMEVALUE(DaqBook_RAW_Data!Q691),IFERROR(TIMEVALUE(DaqBook_RAW_Data!A213),""))</f>
        <v/>
      </c>
      <c r="C803" s="145"/>
      <c r="D803" s="145"/>
      <c r="E803" s="145"/>
      <c r="F803" s="145"/>
      <c r="G803" s="145"/>
      <c r="H803" s="145"/>
      <c r="I803" s="145"/>
      <c r="J803" s="145"/>
      <c r="K803" s="145"/>
      <c r="L803" s="145"/>
      <c r="M803" s="145"/>
      <c r="N803" s="145"/>
      <c r="O803" s="145"/>
      <c r="P803" s="145"/>
    </row>
    <row r="804" spans="1:16" x14ac:dyDescent="0.2">
      <c r="A804" s="58" t="str">
        <v/>
      </c>
      <c r="B804" s="123" t="str">
        <f>IFERROR(TIMEVALUE(DaqBook_RAW_Data!Q692),IFERROR(TIMEVALUE(DaqBook_RAW_Data!A214),""))</f>
        <v/>
      </c>
      <c r="C804" s="145"/>
      <c r="D804" s="145"/>
      <c r="E804" s="145"/>
      <c r="F804" s="145"/>
      <c r="G804" s="145"/>
      <c r="H804" s="145"/>
      <c r="I804" s="145"/>
      <c r="J804" s="145"/>
      <c r="K804" s="145"/>
      <c r="L804" s="145"/>
      <c r="M804" s="145"/>
      <c r="N804" s="145"/>
      <c r="O804" s="145"/>
      <c r="P804" s="145"/>
    </row>
    <row r="805" spans="1:16" x14ac:dyDescent="0.2">
      <c r="A805" s="58" t="str">
        <v/>
      </c>
      <c r="B805" s="123" t="str">
        <f>IFERROR(TIMEVALUE(DaqBook_RAW_Data!Q693),IFERROR(TIMEVALUE(DaqBook_RAW_Data!A215),""))</f>
        <v/>
      </c>
      <c r="C805" s="145"/>
      <c r="D805" s="145"/>
      <c r="E805" s="145"/>
      <c r="F805" s="145"/>
      <c r="G805" s="145"/>
      <c r="H805" s="145"/>
      <c r="I805" s="145"/>
      <c r="J805" s="145"/>
      <c r="K805" s="145"/>
      <c r="L805" s="145"/>
      <c r="M805" s="145"/>
      <c r="N805" s="145"/>
      <c r="O805" s="145"/>
      <c r="P805" s="145"/>
    </row>
    <row r="806" spans="1:16" x14ac:dyDescent="0.2">
      <c r="A806" s="58" t="str">
        <v/>
      </c>
      <c r="B806" s="123" t="str">
        <f>IFERROR(TIMEVALUE(DaqBook_RAW_Data!Q694),IFERROR(TIMEVALUE(DaqBook_RAW_Data!A216),""))</f>
        <v/>
      </c>
      <c r="C806" s="145"/>
      <c r="D806" s="145"/>
      <c r="E806" s="145"/>
      <c r="F806" s="145"/>
      <c r="G806" s="145"/>
      <c r="H806" s="145"/>
      <c r="I806" s="145"/>
      <c r="J806" s="145"/>
      <c r="K806" s="145"/>
      <c r="L806" s="145"/>
      <c r="M806" s="145"/>
      <c r="N806" s="145"/>
      <c r="O806" s="145"/>
      <c r="P806" s="145"/>
    </row>
    <row r="807" spans="1:16" x14ac:dyDescent="0.2">
      <c r="A807" s="58" t="str">
        <v/>
      </c>
      <c r="B807" s="123" t="str">
        <f>IFERROR(TIMEVALUE(DaqBook_RAW_Data!Q695),IFERROR(TIMEVALUE(DaqBook_RAW_Data!A217),""))</f>
        <v/>
      </c>
      <c r="C807" s="145"/>
      <c r="D807" s="145"/>
      <c r="E807" s="145"/>
      <c r="F807" s="145"/>
      <c r="G807" s="145"/>
      <c r="H807" s="145"/>
      <c r="I807" s="145"/>
      <c r="J807" s="145"/>
      <c r="K807" s="145"/>
      <c r="L807" s="145"/>
      <c r="M807" s="145"/>
      <c r="N807" s="145"/>
      <c r="O807" s="145"/>
      <c r="P807" s="145"/>
    </row>
    <row r="808" spans="1:16" x14ac:dyDescent="0.2">
      <c r="A808" s="58" t="str">
        <v/>
      </c>
      <c r="B808" s="123" t="str">
        <f>IFERROR(TIMEVALUE(DaqBook_RAW_Data!Q696),IFERROR(TIMEVALUE(DaqBook_RAW_Data!A218),""))</f>
        <v/>
      </c>
      <c r="C808" s="145"/>
      <c r="D808" s="145"/>
      <c r="E808" s="145"/>
      <c r="F808" s="145"/>
      <c r="G808" s="145"/>
      <c r="H808" s="145"/>
      <c r="I808" s="145"/>
      <c r="J808" s="145"/>
      <c r="K808" s="145"/>
      <c r="L808" s="145"/>
      <c r="M808" s="145"/>
      <c r="N808" s="145"/>
      <c r="O808" s="145"/>
      <c r="P808" s="145"/>
    </row>
    <row r="809" spans="1:16" x14ac:dyDescent="0.2">
      <c r="A809" s="58" t="str">
        <v/>
      </c>
      <c r="B809" s="123" t="str">
        <f>IFERROR(TIMEVALUE(DaqBook_RAW_Data!Q697),IFERROR(TIMEVALUE(DaqBook_RAW_Data!A219),""))</f>
        <v/>
      </c>
      <c r="C809" s="145"/>
      <c r="D809" s="145"/>
      <c r="E809" s="145"/>
      <c r="F809" s="145"/>
      <c r="G809" s="145"/>
      <c r="H809" s="145"/>
      <c r="I809" s="145"/>
      <c r="J809" s="145"/>
      <c r="K809" s="145"/>
      <c r="L809" s="145"/>
      <c r="M809" s="145"/>
      <c r="N809" s="145"/>
      <c r="O809" s="145"/>
      <c r="P809" s="145"/>
    </row>
    <row r="810" spans="1:16" x14ac:dyDescent="0.2">
      <c r="A810" s="58" t="str">
        <v/>
      </c>
      <c r="B810" s="123" t="str">
        <f>IFERROR(TIMEVALUE(DaqBook_RAW_Data!Q698),IFERROR(TIMEVALUE(DaqBook_RAW_Data!A220),""))</f>
        <v/>
      </c>
      <c r="C810" s="145"/>
      <c r="D810" s="145"/>
      <c r="E810" s="145"/>
      <c r="F810" s="145"/>
      <c r="G810" s="145"/>
      <c r="H810" s="145"/>
      <c r="I810" s="145"/>
      <c r="J810" s="145"/>
      <c r="K810" s="145"/>
      <c r="L810" s="145"/>
      <c r="M810" s="145"/>
      <c r="N810" s="145"/>
      <c r="O810" s="145"/>
      <c r="P810" s="145"/>
    </row>
    <row r="811" spans="1:16" x14ac:dyDescent="0.2">
      <c r="A811" s="58" t="str">
        <v/>
      </c>
      <c r="B811" s="123" t="str">
        <f>IFERROR(TIMEVALUE(DaqBook_RAW_Data!Q699),IFERROR(TIMEVALUE(DaqBook_RAW_Data!A221),""))</f>
        <v/>
      </c>
      <c r="C811" s="145"/>
      <c r="D811" s="145"/>
      <c r="E811" s="145"/>
      <c r="F811" s="145"/>
      <c r="G811" s="145"/>
      <c r="H811" s="145"/>
      <c r="I811" s="145"/>
      <c r="J811" s="145"/>
      <c r="K811" s="145"/>
      <c r="L811" s="145"/>
      <c r="M811" s="145"/>
      <c r="N811" s="145"/>
      <c r="O811" s="145"/>
      <c r="P811" s="145"/>
    </row>
    <row r="812" spans="1:16" x14ac:dyDescent="0.2">
      <c r="A812" s="58" t="str">
        <v/>
      </c>
      <c r="B812" s="123" t="str">
        <f>IFERROR(TIMEVALUE(DaqBook_RAW_Data!Q700),IFERROR(TIMEVALUE(DaqBook_RAW_Data!A222),""))</f>
        <v/>
      </c>
      <c r="C812" s="145"/>
      <c r="D812" s="145"/>
      <c r="E812" s="145"/>
      <c r="F812" s="145"/>
      <c r="G812" s="145"/>
      <c r="H812" s="145"/>
      <c r="I812" s="145"/>
      <c r="J812" s="145"/>
      <c r="K812" s="145"/>
      <c r="L812" s="145"/>
      <c r="M812" s="145"/>
      <c r="N812" s="145"/>
      <c r="O812" s="145"/>
      <c r="P812" s="145"/>
    </row>
    <row r="813" spans="1:16" x14ac:dyDescent="0.2">
      <c r="A813" s="58" t="str">
        <v/>
      </c>
      <c r="B813" s="123" t="str">
        <f>IFERROR(TIMEVALUE(DaqBook_RAW_Data!Q701),IFERROR(TIMEVALUE(DaqBook_RAW_Data!A223),""))</f>
        <v/>
      </c>
      <c r="C813" s="145"/>
      <c r="D813" s="145"/>
      <c r="E813" s="145"/>
      <c r="F813" s="145"/>
      <c r="G813" s="145"/>
      <c r="H813" s="145"/>
      <c r="I813" s="145"/>
      <c r="J813" s="145"/>
      <c r="K813" s="145"/>
      <c r="L813" s="145"/>
      <c r="M813" s="145"/>
      <c r="N813" s="145"/>
      <c r="O813" s="145"/>
      <c r="P813" s="145"/>
    </row>
    <row r="814" spans="1:16" x14ac:dyDescent="0.2">
      <c r="A814" s="58" t="str">
        <v/>
      </c>
      <c r="B814" s="123" t="str">
        <f>IFERROR(TIMEVALUE(DaqBook_RAW_Data!Q702),IFERROR(TIMEVALUE(DaqBook_RAW_Data!A224),""))</f>
        <v/>
      </c>
      <c r="C814" s="145"/>
      <c r="D814" s="145"/>
      <c r="E814" s="145"/>
      <c r="F814" s="145"/>
      <c r="G814" s="145"/>
      <c r="H814" s="145"/>
      <c r="I814" s="145"/>
      <c r="J814" s="145"/>
      <c r="K814" s="145"/>
      <c r="L814" s="145"/>
      <c r="M814" s="145"/>
      <c r="N814" s="145"/>
      <c r="O814" s="145"/>
      <c r="P814" s="145"/>
    </row>
    <row r="815" spans="1:16" x14ac:dyDescent="0.2">
      <c r="A815" s="58" t="str">
        <v/>
      </c>
      <c r="B815" s="123" t="str">
        <f>IFERROR(TIMEVALUE(DaqBook_RAW_Data!Q703),IFERROR(TIMEVALUE(DaqBook_RAW_Data!A225),""))</f>
        <v/>
      </c>
      <c r="C815" s="145"/>
      <c r="D815" s="145"/>
      <c r="E815" s="145"/>
      <c r="F815" s="145"/>
      <c r="G815" s="145"/>
      <c r="H815" s="145"/>
      <c r="I815" s="145"/>
      <c r="J815" s="145"/>
      <c r="K815" s="145"/>
      <c r="L815" s="145"/>
      <c r="M815" s="145"/>
      <c r="N815" s="145"/>
      <c r="O815" s="145"/>
      <c r="P815" s="145"/>
    </row>
    <row r="816" spans="1:16" x14ac:dyDescent="0.2">
      <c r="A816" s="58" t="str">
        <v/>
      </c>
      <c r="B816" s="123" t="str">
        <f>IFERROR(TIMEVALUE(DaqBook_RAW_Data!Q704),IFERROR(TIMEVALUE(DaqBook_RAW_Data!A226),""))</f>
        <v/>
      </c>
      <c r="C816" s="145"/>
      <c r="D816" s="145"/>
      <c r="E816" s="145"/>
      <c r="F816" s="145"/>
      <c r="G816" s="145"/>
      <c r="H816" s="145"/>
      <c r="I816" s="145"/>
      <c r="J816" s="145"/>
      <c r="K816" s="145"/>
      <c r="L816" s="145"/>
      <c r="M816" s="145"/>
      <c r="N816" s="145"/>
      <c r="O816" s="145"/>
      <c r="P816" s="145"/>
    </row>
    <row r="817" spans="1:16" x14ac:dyDescent="0.2">
      <c r="A817" s="58" t="str">
        <v/>
      </c>
      <c r="B817" s="123" t="str">
        <f>IFERROR(TIMEVALUE(DaqBook_RAW_Data!Q705),IFERROR(TIMEVALUE(DaqBook_RAW_Data!A227),""))</f>
        <v/>
      </c>
      <c r="C817" s="145"/>
      <c r="D817" s="145"/>
      <c r="E817" s="145"/>
      <c r="F817" s="145"/>
      <c r="G817" s="145"/>
      <c r="H817" s="145"/>
      <c r="I817" s="145"/>
      <c r="J817" s="145"/>
      <c r="K817" s="145"/>
      <c r="L817" s="145"/>
      <c r="M817" s="145"/>
      <c r="N817" s="145"/>
      <c r="O817" s="145"/>
      <c r="P817" s="145"/>
    </row>
    <row r="818" spans="1:16" x14ac:dyDescent="0.2">
      <c r="A818" s="58" t="str">
        <v/>
      </c>
      <c r="B818" s="123" t="str">
        <f>IFERROR(TIMEVALUE(DaqBook_RAW_Data!Q706),IFERROR(TIMEVALUE(DaqBook_RAW_Data!A228),""))</f>
        <v/>
      </c>
      <c r="C818" s="145"/>
      <c r="D818" s="145"/>
      <c r="E818" s="145"/>
      <c r="F818" s="145"/>
      <c r="G818" s="145"/>
      <c r="H818" s="145"/>
      <c r="I818" s="145"/>
      <c r="J818" s="145"/>
      <c r="K818" s="145"/>
      <c r="L818" s="145"/>
      <c r="M818" s="145"/>
      <c r="N818" s="145"/>
      <c r="O818" s="145"/>
      <c r="P818" s="145"/>
    </row>
    <row r="819" spans="1:16" x14ac:dyDescent="0.2">
      <c r="A819" s="58" t="str">
        <v/>
      </c>
      <c r="B819" s="123" t="str">
        <f>IFERROR(TIMEVALUE(DaqBook_RAW_Data!Q707),IFERROR(TIMEVALUE(DaqBook_RAW_Data!A229),""))</f>
        <v/>
      </c>
      <c r="C819" s="145"/>
      <c r="D819" s="145"/>
      <c r="E819" s="145"/>
      <c r="F819" s="145"/>
      <c r="G819" s="145"/>
      <c r="H819" s="145"/>
      <c r="I819" s="145"/>
      <c r="J819" s="145"/>
      <c r="K819" s="145"/>
      <c r="L819" s="145"/>
      <c r="M819" s="145"/>
      <c r="N819" s="145"/>
      <c r="O819" s="145"/>
      <c r="P819" s="145"/>
    </row>
    <row r="820" spans="1:16" x14ac:dyDescent="0.2">
      <c r="A820" s="58" t="str">
        <v/>
      </c>
      <c r="B820" s="123" t="str">
        <f>IFERROR(TIMEVALUE(DaqBook_RAW_Data!Q708),IFERROR(TIMEVALUE(DaqBook_RAW_Data!A230),""))</f>
        <v/>
      </c>
      <c r="C820" s="145"/>
      <c r="D820" s="145"/>
      <c r="E820" s="145"/>
      <c r="F820" s="145"/>
      <c r="G820" s="145"/>
      <c r="H820" s="145"/>
      <c r="I820" s="145"/>
      <c r="J820" s="145"/>
      <c r="K820" s="145"/>
      <c r="L820" s="145"/>
      <c r="M820" s="145"/>
      <c r="N820" s="145"/>
      <c r="O820" s="145"/>
      <c r="P820" s="145"/>
    </row>
    <row r="821" spans="1:16" x14ac:dyDescent="0.2">
      <c r="A821" s="58" t="str">
        <v/>
      </c>
      <c r="B821" s="123" t="str">
        <f>IFERROR(TIMEVALUE(DaqBook_RAW_Data!Q709),IFERROR(TIMEVALUE(DaqBook_RAW_Data!A231),""))</f>
        <v/>
      </c>
      <c r="C821" s="145"/>
      <c r="D821" s="145"/>
      <c r="E821" s="145"/>
      <c r="F821" s="145"/>
      <c r="G821" s="145"/>
      <c r="H821" s="145"/>
      <c r="I821" s="145"/>
      <c r="J821" s="145"/>
      <c r="K821" s="145"/>
      <c r="L821" s="145"/>
      <c r="M821" s="145"/>
      <c r="N821" s="145"/>
      <c r="O821" s="145"/>
      <c r="P821" s="145"/>
    </row>
    <row r="822" spans="1:16" x14ac:dyDescent="0.2">
      <c r="A822" s="58" t="str">
        <v/>
      </c>
      <c r="B822" s="123" t="str">
        <f>IFERROR(TIMEVALUE(DaqBook_RAW_Data!Q710),IFERROR(TIMEVALUE(DaqBook_RAW_Data!A232),""))</f>
        <v/>
      </c>
      <c r="C822" s="145"/>
      <c r="D822" s="145"/>
      <c r="E822" s="145"/>
      <c r="F822" s="145"/>
      <c r="G822" s="145"/>
      <c r="H822" s="145"/>
      <c r="I822" s="145"/>
      <c r="J822" s="145"/>
      <c r="K822" s="145"/>
      <c r="L822" s="145"/>
      <c r="M822" s="145"/>
      <c r="N822" s="145"/>
      <c r="O822" s="145"/>
      <c r="P822" s="145"/>
    </row>
    <row r="823" spans="1:16" x14ac:dyDescent="0.2">
      <c r="A823" s="58" t="str">
        <v/>
      </c>
      <c r="B823" s="123" t="str">
        <f>IFERROR(TIMEVALUE(DaqBook_RAW_Data!Q711),IFERROR(TIMEVALUE(DaqBook_RAW_Data!A233),""))</f>
        <v/>
      </c>
      <c r="C823" s="145"/>
      <c r="D823" s="145"/>
      <c r="E823" s="145"/>
      <c r="F823" s="145"/>
      <c r="G823" s="145"/>
      <c r="H823" s="145"/>
      <c r="I823" s="145"/>
      <c r="J823" s="145"/>
      <c r="K823" s="145"/>
      <c r="L823" s="145"/>
      <c r="M823" s="145"/>
      <c r="N823" s="145"/>
      <c r="O823" s="145"/>
      <c r="P823" s="145"/>
    </row>
    <row r="824" spans="1:16" x14ac:dyDescent="0.2">
      <c r="A824" s="58" t="str">
        <v/>
      </c>
      <c r="B824" s="123" t="str">
        <f>IFERROR(TIMEVALUE(DaqBook_RAW_Data!Q712),IFERROR(TIMEVALUE(DaqBook_RAW_Data!A234),""))</f>
        <v/>
      </c>
      <c r="C824" s="145"/>
      <c r="D824" s="145"/>
      <c r="E824" s="145"/>
      <c r="F824" s="145"/>
      <c r="G824" s="145"/>
      <c r="H824" s="145"/>
      <c r="I824" s="145"/>
      <c r="J824" s="145"/>
      <c r="K824" s="145"/>
      <c r="L824" s="145"/>
      <c r="M824" s="145"/>
      <c r="N824" s="145"/>
      <c r="O824" s="145"/>
      <c r="P824" s="145"/>
    </row>
    <row r="825" spans="1:16" x14ac:dyDescent="0.2">
      <c r="A825" s="58" t="str">
        <v/>
      </c>
      <c r="B825" s="123" t="str">
        <f>IFERROR(TIMEVALUE(DaqBook_RAW_Data!Q713),IFERROR(TIMEVALUE(DaqBook_RAW_Data!A235),""))</f>
        <v/>
      </c>
      <c r="C825" s="145"/>
      <c r="D825" s="145"/>
      <c r="E825" s="145"/>
      <c r="F825" s="145"/>
      <c r="G825" s="145"/>
      <c r="H825" s="145"/>
      <c r="I825" s="145"/>
      <c r="J825" s="145"/>
      <c r="K825" s="145"/>
      <c r="L825" s="145"/>
      <c r="M825" s="145"/>
      <c r="N825" s="145"/>
      <c r="O825" s="145"/>
      <c r="P825" s="145"/>
    </row>
    <row r="826" spans="1:16" x14ac:dyDescent="0.2">
      <c r="A826" s="58" t="str">
        <v/>
      </c>
      <c r="B826" s="123" t="str">
        <f>IFERROR(TIMEVALUE(DaqBook_RAW_Data!Q714),IFERROR(TIMEVALUE(DaqBook_RAW_Data!A236),""))</f>
        <v/>
      </c>
      <c r="C826" s="145"/>
      <c r="D826" s="145"/>
      <c r="E826" s="145"/>
      <c r="F826" s="145"/>
      <c r="G826" s="145"/>
      <c r="H826" s="145"/>
      <c r="I826" s="145"/>
      <c r="J826" s="145"/>
      <c r="K826" s="145"/>
      <c r="L826" s="145"/>
      <c r="M826" s="145"/>
      <c r="N826" s="145"/>
      <c r="O826" s="145"/>
      <c r="P826" s="145"/>
    </row>
    <row r="827" spans="1:16" x14ac:dyDescent="0.2">
      <c r="A827" s="58" t="str">
        <v/>
      </c>
      <c r="B827" s="123" t="str">
        <f>IFERROR(TIMEVALUE(DaqBook_RAW_Data!Q715),IFERROR(TIMEVALUE(DaqBook_RAW_Data!A237),""))</f>
        <v/>
      </c>
      <c r="C827" s="145"/>
      <c r="D827" s="145"/>
      <c r="E827" s="145"/>
      <c r="F827" s="145"/>
      <c r="G827" s="145"/>
      <c r="H827" s="145"/>
      <c r="I827" s="145"/>
      <c r="J827" s="145"/>
      <c r="K827" s="145"/>
      <c r="L827" s="145"/>
      <c r="M827" s="145"/>
      <c r="N827" s="145"/>
      <c r="O827" s="145"/>
      <c r="P827" s="145"/>
    </row>
    <row r="828" spans="1:16" x14ac:dyDescent="0.2">
      <c r="A828" s="58" t="str">
        <v/>
      </c>
      <c r="B828" s="123" t="str">
        <f>IFERROR(TIMEVALUE(DaqBook_RAW_Data!Q716),IFERROR(TIMEVALUE(DaqBook_RAW_Data!A238),""))</f>
        <v/>
      </c>
      <c r="C828" s="145"/>
      <c r="D828" s="145"/>
      <c r="E828" s="145"/>
      <c r="F828" s="145"/>
      <c r="G828" s="145"/>
      <c r="H828" s="145"/>
      <c r="I828" s="145"/>
      <c r="J828" s="145"/>
      <c r="K828" s="145"/>
      <c r="L828" s="145"/>
      <c r="M828" s="145"/>
      <c r="N828" s="145"/>
      <c r="O828" s="145"/>
      <c r="P828" s="145"/>
    </row>
    <row r="829" spans="1:16" x14ac:dyDescent="0.2">
      <c r="A829" s="58" t="str">
        <v/>
      </c>
      <c r="B829" s="123" t="str">
        <f>IFERROR(TIMEVALUE(DaqBook_RAW_Data!Q717),IFERROR(TIMEVALUE(DaqBook_RAW_Data!A239),""))</f>
        <v/>
      </c>
      <c r="C829" s="145"/>
      <c r="D829" s="145"/>
      <c r="E829" s="145"/>
      <c r="F829" s="145"/>
      <c r="G829" s="145"/>
      <c r="H829" s="145"/>
      <c r="I829" s="145"/>
      <c r="J829" s="145"/>
      <c r="K829" s="145"/>
      <c r="L829" s="145"/>
      <c r="M829" s="145"/>
      <c r="N829" s="145"/>
      <c r="O829" s="145"/>
      <c r="P829" s="145"/>
    </row>
    <row r="830" spans="1:16" x14ac:dyDescent="0.2">
      <c r="A830" s="58" t="str">
        <v/>
      </c>
      <c r="B830" s="123" t="str">
        <f>IFERROR(TIMEVALUE(DaqBook_RAW_Data!Q718),IFERROR(TIMEVALUE(DaqBook_RAW_Data!A240),""))</f>
        <v/>
      </c>
      <c r="C830" s="145"/>
      <c r="D830" s="145"/>
      <c r="E830" s="145"/>
      <c r="F830" s="145"/>
      <c r="G830" s="145"/>
      <c r="H830" s="145"/>
      <c r="I830" s="145"/>
      <c r="J830" s="145"/>
      <c r="K830" s="145"/>
      <c r="L830" s="145"/>
      <c r="M830" s="145"/>
      <c r="N830" s="145"/>
      <c r="O830" s="145"/>
      <c r="P830" s="145"/>
    </row>
    <row r="831" spans="1:16" x14ac:dyDescent="0.2">
      <c r="A831" s="58" t="str">
        <v/>
      </c>
      <c r="B831" s="123" t="str">
        <f>IFERROR(TIMEVALUE(DaqBook_RAW_Data!Q719),IFERROR(TIMEVALUE(DaqBook_RAW_Data!A241),""))</f>
        <v/>
      </c>
      <c r="C831" s="145"/>
      <c r="D831" s="145"/>
      <c r="E831" s="145"/>
      <c r="F831" s="145"/>
      <c r="G831" s="145"/>
      <c r="H831" s="145"/>
      <c r="I831" s="145"/>
      <c r="J831" s="145"/>
      <c r="K831" s="145"/>
      <c r="L831" s="145"/>
      <c r="M831" s="145"/>
      <c r="N831" s="145"/>
      <c r="O831" s="145"/>
      <c r="P831" s="145"/>
    </row>
    <row r="832" spans="1:16" x14ac:dyDescent="0.2">
      <c r="A832" s="58" t="str">
        <v/>
      </c>
      <c r="B832" s="123" t="str">
        <f>IFERROR(TIMEVALUE(DaqBook_RAW_Data!Q720),IFERROR(TIMEVALUE(DaqBook_RAW_Data!A242),""))</f>
        <v/>
      </c>
      <c r="C832" s="145"/>
      <c r="D832" s="145"/>
      <c r="E832" s="145"/>
      <c r="F832" s="145"/>
      <c r="G832" s="145"/>
      <c r="H832" s="145"/>
      <c r="I832" s="145"/>
      <c r="J832" s="145"/>
      <c r="K832" s="145"/>
      <c r="L832" s="145"/>
      <c r="M832" s="145"/>
      <c r="N832" s="145"/>
      <c r="O832" s="145"/>
      <c r="P832" s="145"/>
    </row>
    <row r="833" spans="1:16" x14ac:dyDescent="0.2">
      <c r="A833" s="58" t="str">
        <v/>
      </c>
      <c r="B833" s="123" t="str">
        <f>IFERROR(TIMEVALUE(DaqBook_RAW_Data!Q721),IFERROR(TIMEVALUE(DaqBook_RAW_Data!A243),""))</f>
        <v/>
      </c>
      <c r="C833" s="145"/>
      <c r="D833" s="145"/>
      <c r="E833" s="145"/>
      <c r="F833" s="145"/>
      <c r="G833" s="145"/>
      <c r="H833" s="145"/>
      <c r="I833" s="145"/>
      <c r="J833" s="145"/>
      <c r="K833" s="145"/>
      <c r="L833" s="145"/>
      <c r="M833" s="145"/>
      <c r="N833" s="145"/>
      <c r="O833" s="145"/>
      <c r="P833" s="145"/>
    </row>
    <row r="834" spans="1:16" x14ac:dyDescent="0.2">
      <c r="A834" s="58" t="str">
        <v/>
      </c>
      <c r="B834" s="123" t="str">
        <f>IFERROR(TIMEVALUE(DaqBook_RAW_Data!Q722),IFERROR(TIMEVALUE(DaqBook_RAW_Data!A244),""))</f>
        <v/>
      </c>
      <c r="C834" s="145"/>
      <c r="D834" s="145"/>
      <c r="E834" s="145"/>
      <c r="F834" s="145"/>
      <c r="G834" s="145"/>
      <c r="H834" s="145"/>
      <c r="I834" s="145"/>
      <c r="J834" s="145"/>
      <c r="K834" s="145"/>
      <c r="L834" s="145"/>
      <c r="M834" s="145"/>
      <c r="N834" s="145"/>
      <c r="O834" s="145"/>
      <c r="P834" s="145"/>
    </row>
    <row r="835" spans="1:16" x14ac:dyDescent="0.2">
      <c r="A835" s="58" t="str">
        <v/>
      </c>
      <c r="B835" s="123" t="str">
        <f>IFERROR(TIMEVALUE(DaqBook_RAW_Data!Q723),IFERROR(TIMEVALUE(DaqBook_RAW_Data!A245),""))</f>
        <v/>
      </c>
      <c r="C835" s="145"/>
      <c r="D835" s="145"/>
      <c r="E835" s="145"/>
      <c r="F835" s="145"/>
      <c r="G835" s="145"/>
      <c r="H835" s="145"/>
      <c r="I835" s="145"/>
      <c r="J835" s="145"/>
      <c r="K835" s="145"/>
      <c r="L835" s="145"/>
      <c r="M835" s="145"/>
      <c r="N835" s="145"/>
      <c r="O835" s="145"/>
      <c r="P835" s="145"/>
    </row>
    <row r="836" spans="1:16" x14ac:dyDescent="0.2">
      <c r="A836" s="58" t="str">
        <v/>
      </c>
      <c r="B836" s="123" t="str">
        <f>IFERROR(TIMEVALUE(DaqBook_RAW_Data!Q724),IFERROR(TIMEVALUE(DaqBook_RAW_Data!A246),""))</f>
        <v/>
      </c>
      <c r="C836" s="145"/>
      <c r="D836" s="145"/>
      <c r="E836" s="145"/>
      <c r="F836" s="145"/>
      <c r="G836" s="145"/>
      <c r="H836" s="145"/>
      <c r="I836" s="145"/>
      <c r="J836" s="145"/>
      <c r="K836" s="145"/>
      <c r="L836" s="145"/>
      <c r="M836" s="145"/>
      <c r="N836" s="145"/>
      <c r="O836" s="145"/>
      <c r="P836" s="145"/>
    </row>
    <row r="837" spans="1:16" x14ac:dyDescent="0.2">
      <c r="A837" s="58" t="str">
        <v/>
      </c>
      <c r="B837" s="123" t="str">
        <f>IFERROR(TIMEVALUE(DaqBook_RAW_Data!Q725),IFERROR(TIMEVALUE(DaqBook_RAW_Data!A247),""))</f>
        <v/>
      </c>
      <c r="C837" s="145"/>
      <c r="D837" s="145"/>
      <c r="E837" s="145"/>
      <c r="F837" s="145"/>
      <c r="G837" s="145"/>
      <c r="H837" s="145"/>
      <c r="I837" s="145"/>
      <c r="J837" s="145"/>
      <c r="K837" s="145"/>
      <c r="L837" s="145"/>
      <c r="M837" s="145"/>
      <c r="N837" s="145"/>
      <c r="O837" s="145"/>
      <c r="P837" s="145"/>
    </row>
    <row r="838" spans="1:16" x14ac:dyDescent="0.2">
      <c r="A838" s="58" t="str">
        <v/>
      </c>
      <c r="B838" s="123" t="str">
        <f>IFERROR(TIMEVALUE(DaqBook_RAW_Data!Q726),IFERROR(TIMEVALUE(DaqBook_RAW_Data!A248),""))</f>
        <v/>
      </c>
      <c r="C838" s="145"/>
      <c r="D838" s="145"/>
      <c r="E838" s="145"/>
      <c r="F838" s="145"/>
      <c r="G838" s="145"/>
      <c r="H838" s="145"/>
      <c r="I838" s="145"/>
      <c r="J838" s="145"/>
      <c r="K838" s="145"/>
      <c r="L838" s="145"/>
      <c r="M838" s="145"/>
      <c r="N838" s="145"/>
      <c r="O838" s="145"/>
      <c r="P838" s="145"/>
    </row>
    <row r="839" spans="1:16" x14ac:dyDescent="0.2">
      <c r="A839" s="58" t="str">
        <v/>
      </c>
      <c r="B839" s="123" t="str">
        <f>IFERROR(TIMEVALUE(DaqBook_RAW_Data!Q727),IFERROR(TIMEVALUE(DaqBook_RAW_Data!A249),""))</f>
        <v/>
      </c>
      <c r="C839" s="145"/>
      <c r="D839" s="145"/>
      <c r="E839" s="145"/>
      <c r="F839" s="145"/>
      <c r="G839" s="145"/>
      <c r="H839" s="145"/>
      <c r="I839" s="145"/>
      <c r="J839" s="145"/>
      <c r="K839" s="145"/>
      <c r="L839" s="145"/>
      <c r="M839" s="145"/>
      <c r="N839" s="145"/>
      <c r="O839" s="145"/>
      <c r="P839" s="145"/>
    </row>
    <row r="840" spans="1:16" x14ac:dyDescent="0.2">
      <c r="A840" s="58" t="str">
        <v/>
      </c>
      <c r="B840" s="123" t="str">
        <f>IFERROR(TIMEVALUE(DaqBook_RAW_Data!Q728),IFERROR(TIMEVALUE(DaqBook_RAW_Data!A250),""))</f>
        <v/>
      </c>
      <c r="C840" s="145"/>
      <c r="D840" s="145"/>
      <c r="E840" s="145"/>
      <c r="F840" s="145"/>
      <c r="G840" s="145"/>
      <c r="H840" s="145"/>
      <c r="I840" s="145"/>
      <c r="J840" s="145"/>
      <c r="K840" s="145"/>
      <c r="L840" s="145"/>
      <c r="M840" s="145"/>
      <c r="N840" s="145"/>
      <c r="O840" s="145"/>
      <c r="P840" s="145"/>
    </row>
    <row r="841" spans="1:16" x14ac:dyDescent="0.2">
      <c r="A841" s="58" t="str">
        <v/>
      </c>
      <c r="B841" s="123" t="str">
        <f>IFERROR(TIMEVALUE(DaqBook_RAW_Data!Q729),IFERROR(TIMEVALUE(DaqBook_RAW_Data!A251),""))</f>
        <v/>
      </c>
      <c r="C841" s="145"/>
      <c r="D841" s="145"/>
      <c r="E841" s="145"/>
      <c r="F841" s="145"/>
      <c r="G841" s="145"/>
      <c r="H841" s="145"/>
      <c r="I841" s="145"/>
      <c r="J841" s="145"/>
      <c r="K841" s="145"/>
      <c r="L841" s="145"/>
      <c r="M841" s="145"/>
      <c r="N841" s="145"/>
      <c r="O841" s="145"/>
      <c r="P841" s="145"/>
    </row>
    <row r="842" spans="1:16" x14ac:dyDescent="0.2">
      <c r="A842" s="58" t="str">
        <v/>
      </c>
      <c r="B842" s="123" t="str">
        <f>IFERROR(TIMEVALUE(DaqBook_RAW_Data!Q730),IFERROR(TIMEVALUE(DaqBook_RAW_Data!A252),""))</f>
        <v/>
      </c>
      <c r="C842" s="145"/>
      <c r="D842" s="145"/>
      <c r="E842" s="145"/>
      <c r="F842" s="145"/>
      <c r="G842" s="145"/>
      <c r="H842" s="145"/>
      <c r="I842" s="145"/>
      <c r="J842" s="145"/>
      <c r="K842" s="145"/>
      <c r="L842" s="145"/>
      <c r="M842" s="145"/>
      <c r="N842" s="145"/>
      <c r="O842" s="145"/>
      <c r="P842" s="145"/>
    </row>
    <row r="843" spans="1:16" x14ac:dyDescent="0.2">
      <c r="A843" s="58" t="str">
        <v/>
      </c>
      <c r="B843" s="123" t="str">
        <f>IFERROR(TIMEVALUE(DaqBook_RAW_Data!Q731),IFERROR(TIMEVALUE(DaqBook_RAW_Data!A253),""))</f>
        <v/>
      </c>
      <c r="C843" s="145"/>
      <c r="D843" s="145"/>
      <c r="E843" s="145"/>
      <c r="F843" s="145"/>
      <c r="G843" s="145"/>
      <c r="H843" s="145"/>
      <c r="I843" s="145"/>
      <c r="J843" s="145"/>
      <c r="K843" s="145"/>
      <c r="L843" s="145"/>
      <c r="M843" s="145"/>
      <c r="N843" s="145"/>
      <c r="O843" s="145"/>
      <c r="P843" s="145"/>
    </row>
    <row r="844" spans="1:16" x14ac:dyDescent="0.2">
      <c r="A844" s="58" t="str">
        <v/>
      </c>
      <c r="B844" s="123" t="str">
        <f>IFERROR(TIMEVALUE(DaqBook_RAW_Data!Q732),IFERROR(TIMEVALUE(DaqBook_RAW_Data!A254),""))</f>
        <v/>
      </c>
      <c r="C844" s="145"/>
      <c r="D844" s="145"/>
      <c r="E844" s="145"/>
      <c r="F844" s="145"/>
      <c r="G844" s="145"/>
      <c r="H844" s="145"/>
      <c r="I844" s="145"/>
      <c r="J844" s="145"/>
      <c r="K844" s="145"/>
      <c r="L844" s="145"/>
      <c r="M844" s="145"/>
      <c r="N844" s="145"/>
      <c r="O844" s="145"/>
      <c r="P844" s="145"/>
    </row>
    <row r="845" spans="1:16" x14ac:dyDescent="0.2">
      <c r="A845" s="58" t="str">
        <v/>
      </c>
      <c r="B845" s="123" t="str">
        <f>IFERROR(TIMEVALUE(DaqBook_RAW_Data!Q733),IFERROR(TIMEVALUE(DaqBook_RAW_Data!A255),""))</f>
        <v/>
      </c>
      <c r="C845" s="145"/>
      <c r="D845" s="145"/>
      <c r="E845" s="145"/>
      <c r="F845" s="145"/>
      <c r="G845" s="145"/>
      <c r="H845" s="145"/>
      <c r="I845" s="145"/>
      <c r="J845" s="145"/>
      <c r="K845" s="145"/>
      <c r="L845" s="145"/>
      <c r="M845" s="145"/>
      <c r="N845" s="145"/>
      <c r="O845" s="145"/>
      <c r="P845" s="145"/>
    </row>
    <row r="846" spans="1:16" x14ac:dyDescent="0.2">
      <c r="A846" s="58" t="str">
        <v/>
      </c>
      <c r="B846" s="123" t="str">
        <f>IFERROR(TIMEVALUE(DaqBook_RAW_Data!Q734),IFERROR(TIMEVALUE(DaqBook_RAW_Data!A256),""))</f>
        <v/>
      </c>
      <c r="C846" s="145"/>
      <c r="D846" s="145"/>
      <c r="E846" s="145"/>
      <c r="F846" s="145"/>
      <c r="G846" s="145"/>
      <c r="H846" s="145"/>
      <c r="I846" s="145"/>
      <c r="J846" s="145"/>
      <c r="K846" s="145"/>
      <c r="L846" s="145"/>
      <c r="M846" s="145"/>
      <c r="N846" s="145"/>
      <c r="O846" s="145"/>
      <c r="P846" s="145"/>
    </row>
    <row r="847" spans="1:16" x14ac:dyDescent="0.2">
      <c r="A847" s="58" t="str">
        <v/>
      </c>
      <c r="B847" s="123" t="str">
        <f>IFERROR(TIMEVALUE(DaqBook_RAW_Data!Q735),IFERROR(TIMEVALUE(DaqBook_RAW_Data!A257),""))</f>
        <v/>
      </c>
      <c r="C847" s="145"/>
      <c r="D847" s="145"/>
      <c r="E847" s="145"/>
      <c r="F847" s="145"/>
      <c r="G847" s="145"/>
      <c r="H847" s="145"/>
      <c r="I847" s="145"/>
      <c r="J847" s="145"/>
      <c r="K847" s="145"/>
      <c r="L847" s="145"/>
      <c r="M847" s="145"/>
      <c r="N847" s="145"/>
      <c r="O847" s="145"/>
      <c r="P847" s="145"/>
    </row>
    <row r="848" spans="1:16" x14ac:dyDescent="0.2">
      <c r="A848" s="58" t="str">
        <v/>
      </c>
      <c r="B848" s="123" t="str">
        <f>IFERROR(TIMEVALUE(DaqBook_RAW_Data!Q736),IFERROR(TIMEVALUE(DaqBook_RAW_Data!A258),""))</f>
        <v/>
      </c>
      <c r="C848" s="145"/>
      <c r="D848" s="145"/>
      <c r="E848" s="145"/>
      <c r="F848" s="145"/>
      <c r="G848" s="145"/>
      <c r="H848" s="145"/>
      <c r="I848" s="145"/>
      <c r="J848" s="145"/>
      <c r="K848" s="145"/>
      <c r="L848" s="145"/>
      <c r="M848" s="145"/>
      <c r="N848" s="145"/>
      <c r="O848" s="145"/>
      <c r="P848" s="145"/>
    </row>
    <row r="849" spans="1:16" x14ac:dyDescent="0.2">
      <c r="A849" s="58" t="str">
        <v/>
      </c>
      <c r="B849" s="123" t="str">
        <f>IFERROR(TIMEVALUE(DaqBook_RAW_Data!Q737),IFERROR(TIMEVALUE(DaqBook_RAW_Data!A259),""))</f>
        <v/>
      </c>
      <c r="C849" s="145"/>
      <c r="D849" s="145"/>
      <c r="E849" s="145"/>
      <c r="F849" s="145"/>
      <c r="G849" s="145"/>
      <c r="H849" s="145"/>
      <c r="I849" s="145"/>
      <c r="J849" s="145"/>
      <c r="K849" s="145"/>
      <c r="L849" s="145"/>
      <c r="M849" s="145"/>
      <c r="N849" s="145"/>
      <c r="O849" s="145"/>
      <c r="P849" s="145"/>
    </row>
    <row r="850" spans="1:16" x14ac:dyDescent="0.2">
      <c r="A850" s="58" t="str">
        <v/>
      </c>
      <c r="B850" s="123" t="str">
        <f>IFERROR(TIMEVALUE(DaqBook_RAW_Data!Q738),IFERROR(TIMEVALUE(DaqBook_RAW_Data!A260),""))</f>
        <v/>
      </c>
      <c r="C850" s="145"/>
      <c r="D850" s="145"/>
      <c r="E850" s="145"/>
      <c r="F850" s="145"/>
      <c r="G850" s="145"/>
      <c r="H850" s="145"/>
      <c r="I850" s="145"/>
      <c r="J850" s="145"/>
      <c r="K850" s="145"/>
      <c r="L850" s="145"/>
      <c r="M850" s="145"/>
      <c r="N850" s="145"/>
      <c r="O850" s="145"/>
      <c r="P850" s="145"/>
    </row>
    <row r="851" spans="1:16" x14ac:dyDescent="0.2">
      <c r="A851" s="58" t="str">
        <v/>
      </c>
      <c r="B851" s="123" t="str">
        <f>IFERROR(TIMEVALUE(DaqBook_RAW_Data!Q739),IFERROR(TIMEVALUE(DaqBook_RAW_Data!A261),""))</f>
        <v/>
      </c>
      <c r="C851" s="145"/>
      <c r="D851" s="145"/>
      <c r="E851" s="145"/>
      <c r="F851" s="145"/>
      <c r="G851" s="145"/>
      <c r="H851" s="145"/>
      <c r="I851" s="145"/>
      <c r="J851" s="145"/>
      <c r="K851" s="145"/>
      <c r="L851" s="145"/>
      <c r="M851" s="145"/>
      <c r="N851" s="145"/>
      <c r="O851" s="145"/>
      <c r="P851" s="145"/>
    </row>
    <row r="852" spans="1:16" x14ac:dyDescent="0.2">
      <c r="A852" s="58" t="str">
        <v/>
      </c>
      <c r="B852" s="123" t="str">
        <f>IFERROR(TIMEVALUE(DaqBook_RAW_Data!Q740),IFERROR(TIMEVALUE(DaqBook_RAW_Data!A262),""))</f>
        <v/>
      </c>
      <c r="C852" s="145"/>
      <c r="D852" s="145"/>
      <c r="E852" s="145"/>
      <c r="F852" s="145"/>
      <c r="G852" s="145"/>
      <c r="H852" s="145"/>
      <c r="I852" s="145"/>
      <c r="J852" s="145"/>
      <c r="K852" s="145"/>
      <c r="L852" s="145"/>
      <c r="M852" s="145"/>
      <c r="N852" s="145"/>
      <c r="O852" s="145"/>
      <c r="P852" s="145"/>
    </row>
    <row r="853" spans="1:16" x14ac:dyDescent="0.2">
      <c r="A853" s="58" t="str">
        <v/>
      </c>
      <c r="B853" s="123" t="str">
        <f>IFERROR(TIMEVALUE(DaqBook_RAW_Data!Q741),IFERROR(TIMEVALUE(DaqBook_RAW_Data!A263),""))</f>
        <v/>
      </c>
      <c r="C853" s="145"/>
      <c r="D853" s="145"/>
      <c r="E853" s="145"/>
      <c r="F853" s="145"/>
      <c r="G853" s="145"/>
      <c r="H853" s="145"/>
      <c r="I853" s="145"/>
      <c r="J853" s="145"/>
      <c r="K853" s="145"/>
      <c r="L853" s="145"/>
      <c r="M853" s="145"/>
      <c r="N853" s="145"/>
      <c r="O853" s="145"/>
      <c r="P853" s="145"/>
    </row>
    <row r="854" spans="1:16" x14ac:dyDescent="0.2">
      <c r="A854" s="58" t="str">
        <v/>
      </c>
      <c r="B854" s="123" t="str">
        <f>IFERROR(TIMEVALUE(DaqBook_RAW_Data!Q742),IFERROR(TIMEVALUE(DaqBook_RAW_Data!A264),""))</f>
        <v/>
      </c>
      <c r="C854" s="145"/>
      <c r="D854" s="145"/>
      <c r="E854" s="145"/>
      <c r="F854" s="145"/>
      <c r="G854" s="145"/>
      <c r="H854" s="145"/>
      <c r="I854" s="145"/>
      <c r="J854" s="145"/>
      <c r="K854" s="145"/>
      <c r="L854" s="145"/>
      <c r="M854" s="145"/>
      <c r="N854" s="145"/>
      <c r="O854" s="145"/>
      <c r="P854" s="145"/>
    </row>
    <row r="855" spans="1:16" x14ac:dyDescent="0.2">
      <c r="A855" s="58" t="str">
        <v/>
      </c>
      <c r="B855" s="123" t="str">
        <f>IFERROR(TIMEVALUE(DaqBook_RAW_Data!Q743),IFERROR(TIMEVALUE(DaqBook_RAW_Data!A265),""))</f>
        <v/>
      </c>
      <c r="C855" s="145"/>
      <c r="D855" s="145"/>
      <c r="E855" s="145"/>
      <c r="F855" s="145"/>
      <c r="G855" s="145"/>
      <c r="H855" s="145"/>
      <c r="I855" s="145"/>
      <c r="J855" s="145"/>
      <c r="K855" s="145"/>
      <c r="L855" s="145"/>
      <c r="M855" s="145"/>
      <c r="N855" s="145"/>
      <c r="O855" s="145"/>
      <c r="P855" s="145"/>
    </row>
    <row r="856" spans="1:16" x14ac:dyDescent="0.2">
      <c r="A856" s="58" t="str">
        <v/>
      </c>
      <c r="B856" s="123" t="str">
        <f>IFERROR(TIMEVALUE(DaqBook_RAW_Data!Q744),IFERROR(TIMEVALUE(DaqBook_RAW_Data!A266),""))</f>
        <v/>
      </c>
      <c r="C856" s="145"/>
      <c r="D856" s="145"/>
      <c r="E856" s="145"/>
      <c r="F856" s="145"/>
      <c r="G856" s="145"/>
      <c r="H856" s="145"/>
      <c r="I856" s="145"/>
      <c r="J856" s="145"/>
      <c r="K856" s="145"/>
      <c r="L856" s="145"/>
      <c r="M856" s="145"/>
      <c r="N856" s="145"/>
      <c r="O856" s="145"/>
      <c r="P856" s="145"/>
    </row>
    <row r="857" spans="1:16" x14ac:dyDescent="0.2">
      <c r="A857" s="58" t="str">
        <v/>
      </c>
      <c r="B857" s="123" t="str">
        <f>IFERROR(TIMEVALUE(DaqBook_RAW_Data!Q745),IFERROR(TIMEVALUE(DaqBook_RAW_Data!A267),""))</f>
        <v/>
      </c>
      <c r="C857" s="145"/>
      <c r="D857" s="145"/>
      <c r="E857" s="145"/>
      <c r="F857" s="145"/>
      <c r="G857" s="145"/>
      <c r="H857" s="145"/>
      <c r="I857" s="145"/>
      <c r="J857" s="145"/>
      <c r="K857" s="145"/>
      <c r="L857" s="145"/>
      <c r="M857" s="145"/>
      <c r="N857" s="145"/>
      <c r="O857" s="145"/>
      <c r="P857" s="145"/>
    </row>
    <row r="858" spans="1:16" x14ac:dyDescent="0.2">
      <c r="A858" s="58" t="str">
        <v/>
      </c>
      <c r="B858" s="123" t="str">
        <f>IFERROR(TIMEVALUE(DaqBook_RAW_Data!Q746),IFERROR(TIMEVALUE(DaqBook_RAW_Data!A268),""))</f>
        <v/>
      </c>
      <c r="C858" s="145"/>
      <c r="D858" s="145"/>
      <c r="E858" s="145"/>
      <c r="F858" s="145"/>
      <c r="G858" s="145"/>
      <c r="H858" s="145"/>
      <c r="I858" s="145"/>
      <c r="J858" s="145"/>
      <c r="K858" s="145"/>
      <c r="L858" s="145"/>
      <c r="M858" s="145"/>
      <c r="N858" s="145"/>
      <c r="O858" s="145"/>
      <c r="P858" s="145"/>
    </row>
    <row r="859" spans="1:16" x14ac:dyDescent="0.2">
      <c r="A859" s="58" t="str">
        <v/>
      </c>
      <c r="B859" s="123" t="str">
        <f>IFERROR(TIMEVALUE(DaqBook_RAW_Data!Q747),IFERROR(TIMEVALUE(DaqBook_RAW_Data!A269),""))</f>
        <v/>
      </c>
      <c r="C859" s="145"/>
      <c r="D859" s="145"/>
      <c r="E859" s="145"/>
      <c r="F859" s="145"/>
      <c r="G859" s="145"/>
      <c r="H859" s="145"/>
      <c r="I859" s="145"/>
      <c r="J859" s="145"/>
      <c r="K859" s="145"/>
      <c r="L859" s="145"/>
      <c r="M859" s="145"/>
      <c r="N859" s="145"/>
      <c r="O859" s="145"/>
      <c r="P859" s="145"/>
    </row>
    <row r="860" spans="1:16" x14ac:dyDescent="0.2">
      <c r="A860" s="58" t="str">
        <v/>
      </c>
      <c r="B860" s="123" t="str">
        <f>IFERROR(TIMEVALUE(DaqBook_RAW_Data!Q748),IFERROR(TIMEVALUE(DaqBook_RAW_Data!A270),""))</f>
        <v/>
      </c>
      <c r="C860" s="145"/>
      <c r="D860" s="145"/>
      <c r="E860" s="145"/>
      <c r="F860" s="145"/>
      <c r="G860" s="145"/>
      <c r="H860" s="145"/>
      <c r="I860" s="145"/>
      <c r="J860" s="145"/>
      <c r="K860" s="145"/>
      <c r="L860" s="145"/>
      <c r="M860" s="145"/>
      <c r="N860" s="145"/>
      <c r="O860" s="145"/>
      <c r="P860" s="145"/>
    </row>
    <row r="861" spans="1:16" x14ac:dyDescent="0.2">
      <c r="A861" s="58" t="str">
        <v/>
      </c>
      <c r="B861" s="123" t="str">
        <f>IFERROR(TIMEVALUE(DaqBook_RAW_Data!Q749),IFERROR(TIMEVALUE(DaqBook_RAW_Data!A271),""))</f>
        <v/>
      </c>
      <c r="C861" s="145"/>
      <c r="D861" s="145"/>
      <c r="E861" s="145"/>
      <c r="F861" s="145"/>
      <c r="G861" s="145"/>
      <c r="H861" s="145"/>
      <c r="I861" s="145"/>
      <c r="J861" s="145"/>
      <c r="K861" s="145"/>
      <c r="L861" s="145"/>
      <c r="M861" s="145"/>
      <c r="N861" s="145"/>
      <c r="O861" s="145"/>
      <c r="P861" s="145"/>
    </row>
    <row r="862" spans="1:16" x14ac:dyDescent="0.2">
      <c r="A862" s="58" t="str">
        <v/>
      </c>
      <c r="B862" s="123" t="str">
        <f>IFERROR(TIMEVALUE(DaqBook_RAW_Data!Q750),IFERROR(TIMEVALUE(DaqBook_RAW_Data!A272),""))</f>
        <v/>
      </c>
      <c r="C862" s="145"/>
      <c r="D862" s="145"/>
      <c r="E862" s="145"/>
      <c r="F862" s="145"/>
      <c r="G862" s="145"/>
      <c r="H862" s="145"/>
      <c r="I862" s="145"/>
      <c r="J862" s="145"/>
      <c r="K862" s="145"/>
      <c r="L862" s="145"/>
      <c r="M862" s="145"/>
      <c r="N862" s="145"/>
      <c r="O862" s="145"/>
      <c r="P862" s="145"/>
    </row>
    <row r="863" spans="1:16" x14ac:dyDescent="0.2">
      <c r="A863" s="58" t="str">
        <v/>
      </c>
      <c r="B863" s="123" t="str">
        <f>IFERROR(TIMEVALUE(DaqBook_RAW_Data!Q751),IFERROR(TIMEVALUE(DaqBook_RAW_Data!A273),""))</f>
        <v/>
      </c>
      <c r="C863" s="145"/>
      <c r="D863" s="145"/>
      <c r="E863" s="145"/>
      <c r="F863" s="145"/>
      <c r="G863" s="145"/>
      <c r="H863" s="145"/>
      <c r="I863" s="145"/>
      <c r="J863" s="145"/>
      <c r="K863" s="145"/>
      <c r="L863" s="145"/>
      <c r="M863" s="145"/>
      <c r="N863" s="145"/>
      <c r="O863" s="145"/>
      <c r="P863" s="145"/>
    </row>
    <row r="864" spans="1:16" x14ac:dyDescent="0.2">
      <c r="A864" s="58" t="str">
        <v/>
      </c>
      <c r="B864" s="123" t="str">
        <f>IFERROR(TIMEVALUE(DaqBook_RAW_Data!Q752),IFERROR(TIMEVALUE(DaqBook_RAW_Data!A274),""))</f>
        <v/>
      </c>
      <c r="C864" s="145"/>
      <c r="D864" s="145"/>
      <c r="E864" s="145"/>
      <c r="F864" s="145"/>
      <c r="G864" s="145"/>
      <c r="H864" s="145"/>
      <c r="I864" s="145"/>
      <c r="J864" s="145"/>
      <c r="K864" s="145"/>
      <c r="L864" s="145"/>
      <c r="M864" s="145"/>
      <c r="N864" s="145"/>
      <c r="O864" s="145"/>
      <c r="P864" s="145"/>
    </row>
    <row r="865" spans="1:16" x14ac:dyDescent="0.2">
      <c r="A865" s="58" t="str">
        <v/>
      </c>
      <c r="B865" s="123" t="str">
        <f>IFERROR(TIMEVALUE(DaqBook_RAW_Data!Q753),IFERROR(TIMEVALUE(DaqBook_RAW_Data!A275),""))</f>
        <v/>
      </c>
      <c r="C865" s="145"/>
      <c r="D865" s="145"/>
      <c r="E865" s="145"/>
      <c r="F865" s="145"/>
      <c r="G865" s="145"/>
      <c r="H865" s="145"/>
      <c r="I865" s="145"/>
      <c r="J865" s="145"/>
      <c r="K865" s="145"/>
      <c r="L865" s="145"/>
      <c r="M865" s="145"/>
      <c r="N865" s="145"/>
      <c r="O865" s="145"/>
      <c r="P865" s="145"/>
    </row>
    <row r="866" spans="1:16" x14ac:dyDescent="0.2">
      <c r="A866" s="58" t="str">
        <v/>
      </c>
      <c r="B866" s="123" t="str">
        <f>IFERROR(TIMEVALUE(DaqBook_RAW_Data!Q754),IFERROR(TIMEVALUE(DaqBook_RAW_Data!A276),""))</f>
        <v/>
      </c>
      <c r="C866" s="145"/>
      <c r="D866" s="145"/>
      <c r="E866" s="145"/>
      <c r="F866" s="145"/>
      <c r="G866" s="145"/>
      <c r="H866" s="145"/>
      <c r="I866" s="145"/>
      <c r="J866" s="145"/>
      <c r="K866" s="145"/>
      <c r="L866" s="145"/>
      <c r="M866" s="145"/>
      <c r="N866" s="145"/>
      <c r="O866" s="145"/>
      <c r="P866" s="145"/>
    </row>
    <row r="867" spans="1:16" x14ac:dyDescent="0.2">
      <c r="A867" s="58" t="str">
        <v/>
      </c>
      <c r="B867" s="123" t="str">
        <f>IFERROR(TIMEVALUE(DaqBook_RAW_Data!Q755),IFERROR(TIMEVALUE(DaqBook_RAW_Data!A277),""))</f>
        <v/>
      </c>
      <c r="C867" s="145"/>
      <c r="D867" s="145"/>
      <c r="E867" s="145"/>
      <c r="F867" s="145"/>
      <c r="G867" s="145"/>
      <c r="H867" s="145"/>
      <c r="I867" s="145"/>
      <c r="J867" s="145"/>
      <c r="K867" s="145"/>
      <c r="L867" s="145"/>
      <c r="M867" s="145"/>
      <c r="N867" s="145"/>
      <c r="O867" s="145"/>
      <c r="P867" s="145"/>
    </row>
    <row r="868" spans="1:16" x14ac:dyDescent="0.2">
      <c r="A868" s="58" t="str">
        <v/>
      </c>
      <c r="B868" s="123" t="str">
        <f>IFERROR(TIMEVALUE(DaqBook_RAW_Data!Q756),IFERROR(TIMEVALUE(DaqBook_RAW_Data!A278),""))</f>
        <v/>
      </c>
      <c r="C868" s="145"/>
      <c r="D868" s="145"/>
      <c r="E868" s="145"/>
      <c r="F868" s="145"/>
      <c r="G868" s="145"/>
      <c r="H868" s="145"/>
      <c r="I868" s="145"/>
      <c r="J868" s="145"/>
      <c r="K868" s="145"/>
      <c r="L868" s="145"/>
      <c r="M868" s="145"/>
      <c r="N868" s="145"/>
      <c r="O868" s="145"/>
      <c r="P868" s="145"/>
    </row>
    <row r="869" spans="1:16" x14ac:dyDescent="0.2">
      <c r="A869" s="58" t="str">
        <v/>
      </c>
      <c r="B869" s="123" t="str">
        <f>IFERROR(TIMEVALUE(DaqBook_RAW_Data!Q757),IFERROR(TIMEVALUE(DaqBook_RAW_Data!A279),""))</f>
        <v/>
      </c>
      <c r="C869" s="145"/>
      <c r="D869" s="145"/>
      <c r="E869" s="145"/>
      <c r="F869" s="145"/>
      <c r="G869" s="145"/>
      <c r="H869" s="145"/>
      <c r="I869" s="145"/>
      <c r="J869" s="145"/>
      <c r="K869" s="145"/>
      <c r="L869" s="145"/>
      <c r="M869" s="145"/>
      <c r="N869" s="145"/>
      <c r="O869" s="145"/>
      <c r="P869" s="145"/>
    </row>
    <row r="870" spans="1:16" x14ac:dyDescent="0.2">
      <c r="A870" s="58" t="str">
        <v/>
      </c>
      <c r="B870" s="123" t="str">
        <f>IFERROR(TIMEVALUE(DaqBook_RAW_Data!Q758),IFERROR(TIMEVALUE(DaqBook_RAW_Data!A280),""))</f>
        <v/>
      </c>
      <c r="C870" s="145"/>
      <c r="D870" s="145"/>
      <c r="E870" s="145"/>
      <c r="F870" s="145"/>
      <c r="G870" s="145"/>
      <c r="H870" s="145"/>
      <c r="I870" s="145"/>
      <c r="J870" s="145"/>
      <c r="K870" s="145"/>
      <c r="L870" s="145"/>
      <c r="M870" s="145"/>
      <c r="N870" s="145"/>
      <c r="O870" s="145"/>
      <c r="P870" s="145"/>
    </row>
    <row r="871" spans="1:16" x14ac:dyDescent="0.2">
      <c r="A871" s="58" t="str">
        <v/>
      </c>
      <c r="B871" s="123" t="str">
        <f>IFERROR(TIMEVALUE(DaqBook_RAW_Data!Q759),IFERROR(TIMEVALUE(DaqBook_RAW_Data!A281),""))</f>
        <v/>
      </c>
      <c r="C871" s="145"/>
      <c r="D871" s="145"/>
      <c r="E871" s="145"/>
      <c r="F871" s="145"/>
      <c r="G871" s="145"/>
      <c r="H871" s="145"/>
      <c r="I871" s="145"/>
      <c r="J871" s="145"/>
      <c r="K871" s="145"/>
      <c r="L871" s="145"/>
      <c r="M871" s="145"/>
      <c r="N871" s="145"/>
      <c r="O871" s="145"/>
      <c r="P871" s="145"/>
    </row>
    <row r="872" spans="1:16" x14ac:dyDescent="0.2">
      <c r="A872" s="58" t="str">
        <v/>
      </c>
      <c r="B872" s="123" t="str">
        <f>IFERROR(TIMEVALUE(DaqBook_RAW_Data!Q760),IFERROR(TIMEVALUE(DaqBook_RAW_Data!A282),""))</f>
        <v/>
      </c>
      <c r="C872" s="145"/>
      <c r="D872" s="145"/>
      <c r="E872" s="145"/>
      <c r="F872" s="145"/>
      <c r="G872" s="145"/>
      <c r="H872" s="145"/>
      <c r="I872" s="145"/>
      <c r="J872" s="145"/>
      <c r="K872" s="145"/>
      <c r="L872" s="145"/>
      <c r="M872" s="145"/>
      <c r="N872" s="145"/>
      <c r="O872" s="145"/>
      <c r="P872" s="145"/>
    </row>
    <row r="873" spans="1:16" x14ac:dyDescent="0.2">
      <c r="A873" s="58" t="str">
        <v/>
      </c>
      <c r="B873" s="123" t="str">
        <f>IFERROR(TIMEVALUE(DaqBook_RAW_Data!Q761),IFERROR(TIMEVALUE(DaqBook_RAW_Data!A283),""))</f>
        <v/>
      </c>
      <c r="C873" s="145"/>
      <c r="D873" s="145"/>
      <c r="E873" s="145"/>
      <c r="F873" s="145"/>
      <c r="G873" s="145"/>
      <c r="H873" s="145"/>
      <c r="I873" s="145"/>
      <c r="J873" s="145"/>
      <c r="K873" s="145"/>
      <c r="L873" s="145"/>
      <c r="M873" s="145"/>
      <c r="N873" s="145"/>
      <c r="O873" s="145"/>
      <c r="P873" s="145"/>
    </row>
    <row r="874" spans="1:16" x14ac:dyDescent="0.2">
      <c r="A874" s="58" t="str">
        <v/>
      </c>
      <c r="B874" s="123" t="str">
        <f>IFERROR(TIMEVALUE(DaqBook_RAW_Data!Q762),IFERROR(TIMEVALUE(DaqBook_RAW_Data!A284),""))</f>
        <v/>
      </c>
      <c r="C874" s="145"/>
      <c r="D874" s="145"/>
      <c r="E874" s="145"/>
      <c r="F874" s="145"/>
      <c r="G874" s="145"/>
      <c r="H874" s="145"/>
      <c r="I874" s="145"/>
      <c r="J874" s="145"/>
      <c r="K874" s="145"/>
      <c r="L874" s="145"/>
      <c r="M874" s="145"/>
      <c r="N874" s="145"/>
      <c r="O874" s="145"/>
      <c r="P874" s="145"/>
    </row>
    <row r="875" spans="1:16" x14ac:dyDescent="0.2">
      <c r="A875" s="58" t="str">
        <v/>
      </c>
      <c r="B875" s="123" t="str">
        <f>IFERROR(TIMEVALUE(DaqBook_RAW_Data!Q763),IFERROR(TIMEVALUE(DaqBook_RAW_Data!A285),""))</f>
        <v/>
      </c>
      <c r="C875" s="145"/>
      <c r="D875" s="145"/>
      <c r="E875" s="145"/>
      <c r="F875" s="145"/>
      <c r="G875" s="145"/>
      <c r="H875" s="145"/>
      <c r="I875" s="145"/>
      <c r="J875" s="145"/>
      <c r="K875" s="145"/>
      <c r="L875" s="145"/>
      <c r="M875" s="145"/>
      <c r="N875" s="145"/>
      <c r="O875" s="145"/>
      <c r="P875" s="145"/>
    </row>
    <row r="876" spans="1:16" x14ac:dyDescent="0.2">
      <c r="A876" s="58" t="str">
        <v/>
      </c>
      <c r="B876" s="123" t="str">
        <f>IFERROR(TIMEVALUE(DaqBook_RAW_Data!Q764),IFERROR(TIMEVALUE(DaqBook_RAW_Data!A286),""))</f>
        <v/>
      </c>
      <c r="C876" s="145"/>
      <c r="D876" s="145"/>
      <c r="E876" s="145"/>
      <c r="F876" s="145"/>
      <c r="G876" s="145"/>
      <c r="H876" s="145"/>
      <c r="I876" s="145"/>
      <c r="J876" s="145"/>
      <c r="K876" s="145"/>
      <c r="L876" s="145"/>
      <c r="M876" s="145"/>
      <c r="N876" s="145"/>
      <c r="O876" s="145"/>
      <c r="P876" s="145"/>
    </row>
    <row r="877" spans="1:16" x14ac:dyDescent="0.2">
      <c r="A877" s="58" t="str">
        <v/>
      </c>
      <c r="B877" s="123" t="str">
        <f>IFERROR(TIMEVALUE(DaqBook_RAW_Data!Q765),IFERROR(TIMEVALUE(DaqBook_RAW_Data!A287),""))</f>
        <v/>
      </c>
      <c r="C877" s="145"/>
      <c r="D877" s="145"/>
      <c r="E877" s="145"/>
      <c r="F877" s="145"/>
      <c r="G877" s="145"/>
      <c r="H877" s="145"/>
      <c r="I877" s="145"/>
      <c r="J877" s="145"/>
      <c r="K877" s="145"/>
      <c r="L877" s="145"/>
      <c r="M877" s="145"/>
      <c r="N877" s="145"/>
      <c r="O877" s="145"/>
      <c r="P877" s="145"/>
    </row>
    <row r="878" spans="1:16" x14ac:dyDescent="0.2">
      <c r="A878" s="58" t="str">
        <v/>
      </c>
      <c r="B878" s="123" t="str">
        <f>IFERROR(TIMEVALUE(DaqBook_RAW_Data!Q766),IFERROR(TIMEVALUE(DaqBook_RAW_Data!A288),""))</f>
        <v/>
      </c>
      <c r="C878" s="145"/>
      <c r="D878" s="145"/>
      <c r="E878" s="145"/>
      <c r="F878" s="145"/>
      <c r="G878" s="145"/>
      <c r="H878" s="145"/>
      <c r="I878" s="145"/>
      <c r="J878" s="145"/>
      <c r="K878" s="145"/>
      <c r="L878" s="145"/>
      <c r="M878" s="145"/>
      <c r="N878" s="145"/>
      <c r="O878" s="145"/>
      <c r="P878" s="145"/>
    </row>
    <row r="879" spans="1:16" x14ac:dyDescent="0.2">
      <c r="A879" s="58" t="str">
        <v/>
      </c>
      <c r="B879" s="123" t="str">
        <f>IFERROR(TIMEVALUE(DaqBook_RAW_Data!Q767),IFERROR(TIMEVALUE(DaqBook_RAW_Data!A289),""))</f>
        <v/>
      </c>
      <c r="C879" s="145"/>
      <c r="D879" s="145"/>
      <c r="E879" s="145"/>
      <c r="F879" s="145"/>
      <c r="G879" s="145"/>
      <c r="H879" s="145"/>
      <c r="I879" s="145"/>
      <c r="J879" s="145"/>
      <c r="K879" s="145"/>
      <c r="L879" s="145"/>
      <c r="M879" s="145"/>
      <c r="N879" s="145"/>
      <c r="O879" s="145"/>
      <c r="P879" s="145"/>
    </row>
    <row r="880" spans="1:16" x14ac:dyDescent="0.2">
      <c r="A880" s="58" t="str">
        <v/>
      </c>
      <c r="B880" s="123" t="str">
        <f>IFERROR(TIMEVALUE(DaqBook_RAW_Data!Q768),IFERROR(TIMEVALUE(DaqBook_RAW_Data!A290),""))</f>
        <v/>
      </c>
      <c r="C880" s="145"/>
      <c r="D880" s="145"/>
      <c r="E880" s="145"/>
      <c r="F880" s="145"/>
      <c r="G880" s="145"/>
      <c r="H880" s="145"/>
      <c r="I880" s="145"/>
      <c r="J880" s="145"/>
      <c r="K880" s="145"/>
      <c r="L880" s="145"/>
      <c r="M880" s="145"/>
      <c r="N880" s="145"/>
      <c r="O880" s="145"/>
      <c r="P880" s="145"/>
    </row>
    <row r="881" spans="1:16" x14ac:dyDescent="0.2">
      <c r="A881" s="58" t="str">
        <v/>
      </c>
      <c r="B881" s="123" t="str">
        <f>IFERROR(TIMEVALUE(DaqBook_RAW_Data!Q769),IFERROR(TIMEVALUE(DaqBook_RAW_Data!A291),""))</f>
        <v/>
      </c>
      <c r="C881" s="145"/>
      <c r="D881" s="145"/>
      <c r="E881" s="145"/>
      <c r="F881" s="145"/>
      <c r="G881" s="145"/>
      <c r="H881" s="145"/>
      <c r="I881" s="145"/>
      <c r="J881" s="145"/>
      <c r="K881" s="145"/>
      <c r="L881" s="145"/>
      <c r="M881" s="145"/>
      <c r="N881" s="145"/>
      <c r="O881" s="145"/>
      <c r="P881" s="145"/>
    </row>
    <row r="882" spans="1:16" x14ac:dyDescent="0.2">
      <c r="A882" s="58" t="str">
        <v/>
      </c>
      <c r="B882" s="123" t="str">
        <f>IFERROR(TIMEVALUE(DaqBook_RAW_Data!Q770),IFERROR(TIMEVALUE(DaqBook_RAW_Data!A292),""))</f>
        <v/>
      </c>
      <c r="C882" s="145"/>
      <c r="D882" s="145"/>
      <c r="E882" s="145"/>
      <c r="F882" s="145"/>
      <c r="G882" s="145"/>
      <c r="H882" s="145"/>
      <c r="I882" s="145"/>
      <c r="J882" s="145"/>
      <c r="K882" s="145"/>
      <c r="L882" s="145"/>
      <c r="M882" s="145"/>
      <c r="N882" s="145"/>
      <c r="O882" s="145"/>
      <c r="P882" s="145"/>
    </row>
    <row r="883" spans="1:16" x14ac:dyDescent="0.2">
      <c r="A883" s="58" t="str">
        <v/>
      </c>
      <c r="B883" s="123" t="str">
        <f>IFERROR(TIMEVALUE(DaqBook_RAW_Data!Q771),IFERROR(TIMEVALUE(DaqBook_RAW_Data!A293),""))</f>
        <v/>
      </c>
      <c r="C883" s="145"/>
      <c r="D883" s="145"/>
      <c r="E883" s="145"/>
      <c r="F883" s="145"/>
      <c r="G883" s="145"/>
      <c r="H883" s="145"/>
      <c r="I883" s="145"/>
      <c r="J883" s="145"/>
      <c r="K883" s="145"/>
      <c r="L883" s="145"/>
      <c r="M883" s="145"/>
      <c r="N883" s="145"/>
      <c r="O883" s="145"/>
      <c r="P883" s="145"/>
    </row>
    <row r="884" spans="1:16" x14ac:dyDescent="0.2">
      <c r="A884" s="58" t="str">
        <v/>
      </c>
      <c r="B884" s="123" t="str">
        <f>IFERROR(TIMEVALUE(DaqBook_RAW_Data!Q772),IFERROR(TIMEVALUE(DaqBook_RAW_Data!A294),""))</f>
        <v/>
      </c>
      <c r="C884" s="145"/>
      <c r="D884" s="145"/>
      <c r="E884" s="145"/>
      <c r="F884" s="145"/>
      <c r="G884" s="145"/>
      <c r="H884" s="145"/>
      <c r="I884" s="145"/>
      <c r="J884" s="145"/>
      <c r="K884" s="145"/>
      <c r="L884" s="145"/>
      <c r="M884" s="145"/>
      <c r="N884" s="145"/>
      <c r="O884" s="145"/>
      <c r="P884" s="145"/>
    </row>
    <row r="885" spans="1:16" x14ac:dyDescent="0.2">
      <c r="A885" s="58" t="str">
        <v/>
      </c>
      <c r="B885" s="123" t="str">
        <f>IFERROR(TIMEVALUE(DaqBook_RAW_Data!Q773),IFERROR(TIMEVALUE(DaqBook_RAW_Data!A295),""))</f>
        <v/>
      </c>
      <c r="C885" s="145"/>
      <c r="D885" s="145"/>
      <c r="E885" s="145"/>
      <c r="F885" s="145"/>
      <c r="G885" s="145"/>
      <c r="H885" s="145"/>
      <c r="I885" s="145"/>
      <c r="J885" s="145"/>
      <c r="K885" s="145"/>
      <c r="L885" s="145"/>
      <c r="M885" s="145"/>
      <c r="N885" s="145"/>
      <c r="O885" s="145"/>
      <c r="P885" s="145"/>
    </row>
    <row r="886" spans="1:16" x14ac:dyDescent="0.2">
      <c r="A886" s="58" t="str">
        <v/>
      </c>
      <c r="B886" s="123" t="str">
        <f>IFERROR(TIMEVALUE(DaqBook_RAW_Data!Q774),IFERROR(TIMEVALUE(DaqBook_RAW_Data!A296),""))</f>
        <v/>
      </c>
      <c r="C886" s="145"/>
      <c r="D886" s="145"/>
      <c r="E886" s="145"/>
      <c r="F886" s="145"/>
      <c r="G886" s="145"/>
      <c r="H886" s="145"/>
      <c r="I886" s="145"/>
      <c r="J886" s="145"/>
      <c r="K886" s="145"/>
      <c r="L886" s="145"/>
      <c r="M886" s="145"/>
      <c r="N886" s="145"/>
      <c r="O886" s="145"/>
      <c r="P886" s="145"/>
    </row>
    <row r="887" spans="1:16" x14ac:dyDescent="0.2">
      <c r="A887" s="58" t="str">
        <v/>
      </c>
      <c r="B887" s="123" t="str">
        <f>IFERROR(TIMEVALUE(DaqBook_RAW_Data!Q775),IFERROR(TIMEVALUE(DaqBook_RAW_Data!A297),""))</f>
        <v/>
      </c>
      <c r="C887" s="145"/>
      <c r="D887" s="145"/>
      <c r="E887" s="145"/>
      <c r="F887" s="145"/>
      <c r="G887" s="145"/>
      <c r="H887" s="145"/>
      <c r="I887" s="145"/>
      <c r="J887" s="145"/>
      <c r="K887" s="145"/>
      <c r="L887" s="145"/>
      <c r="M887" s="145"/>
      <c r="N887" s="145"/>
      <c r="O887" s="145"/>
      <c r="P887" s="145"/>
    </row>
    <row r="888" spans="1:16" x14ac:dyDescent="0.2">
      <c r="A888" s="58" t="str">
        <v/>
      </c>
      <c r="B888" s="123" t="str">
        <f>IFERROR(TIMEVALUE(DaqBook_RAW_Data!Q776),IFERROR(TIMEVALUE(DaqBook_RAW_Data!A298),""))</f>
        <v/>
      </c>
      <c r="C888" s="145"/>
      <c r="D888" s="145"/>
      <c r="E888" s="145"/>
      <c r="F888" s="145"/>
      <c r="G888" s="145"/>
      <c r="H888" s="145"/>
      <c r="I888" s="145"/>
      <c r="J888" s="145"/>
      <c r="K888" s="145"/>
      <c r="L888" s="145"/>
      <c r="M888" s="145"/>
      <c r="N888" s="145"/>
      <c r="O888" s="145"/>
      <c r="P888" s="145"/>
    </row>
    <row r="889" spans="1:16" x14ac:dyDescent="0.2">
      <c r="A889" s="58" t="str">
        <v/>
      </c>
      <c r="B889" s="123" t="str">
        <f>IFERROR(TIMEVALUE(DaqBook_RAW_Data!Q777),IFERROR(TIMEVALUE(DaqBook_RAW_Data!A299),""))</f>
        <v/>
      </c>
      <c r="C889" s="145"/>
      <c r="D889" s="145"/>
      <c r="E889" s="145"/>
      <c r="F889" s="145"/>
      <c r="G889" s="145"/>
      <c r="H889" s="145"/>
      <c r="I889" s="145"/>
      <c r="J889" s="145"/>
      <c r="K889" s="145"/>
      <c r="L889" s="145"/>
      <c r="M889" s="145"/>
      <c r="N889" s="145"/>
      <c r="O889" s="145"/>
      <c r="P889" s="145"/>
    </row>
    <row r="890" spans="1:16" x14ac:dyDescent="0.2">
      <c r="A890" s="58" t="str">
        <v/>
      </c>
      <c r="B890" s="123" t="str">
        <f>IFERROR(TIMEVALUE(DaqBook_RAW_Data!Q778),IFERROR(TIMEVALUE(DaqBook_RAW_Data!A300),""))</f>
        <v/>
      </c>
      <c r="C890" s="145"/>
      <c r="D890" s="145"/>
      <c r="E890" s="145"/>
      <c r="F890" s="145"/>
      <c r="G890" s="145"/>
      <c r="H890" s="145"/>
      <c r="I890" s="145"/>
      <c r="J890" s="145"/>
      <c r="K890" s="145"/>
      <c r="L890" s="145"/>
      <c r="M890" s="145"/>
      <c r="N890" s="145"/>
      <c r="O890" s="145"/>
      <c r="P890" s="145"/>
    </row>
    <row r="891" spans="1:16" x14ac:dyDescent="0.2">
      <c r="A891" s="58" t="str">
        <v/>
      </c>
      <c r="B891" s="123" t="str">
        <f>IFERROR(TIMEVALUE(DaqBook_RAW_Data!Q779),IFERROR(TIMEVALUE(DaqBook_RAW_Data!A301),""))</f>
        <v/>
      </c>
      <c r="C891" s="145"/>
      <c r="D891" s="145"/>
      <c r="E891" s="145"/>
      <c r="F891" s="145"/>
      <c r="G891" s="145"/>
      <c r="H891" s="145"/>
      <c r="I891" s="145"/>
      <c r="J891" s="145"/>
      <c r="K891" s="145"/>
      <c r="L891" s="145"/>
      <c r="M891" s="145"/>
      <c r="N891" s="145"/>
      <c r="O891" s="145"/>
      <c r="P891" s="145"/>
    </row>
    <row r="892" spans="1:16" x14ac:dyDescent="0.2">
      <c r="A892" s="58" t="str">
        <v/>
      </c>
      <c r="B892" s="123" t="str">
        <f>IFERROR(TIMEVALUE(DaqBook_RAW_Data!Q780),IFERROR(TIMEVALUE(DaqBook_RAW_Data!A302),""))</f>
        <v/>
      </c>
      <c r="C892" s="145"/>
      <c r="D892" s="145"/>
      <c r="E892" s="145"/>
      <c r="F892" s="145"/>
      <c r="G892" s="145"/>
      <c r="H892" s="145"/>
      <c r="I892" s="145"/>
      <c r="J892" s="145"/>
      <c r="K892" s="145"/>
      <c r="L892" s="145"/>
      <c r="M892" s="145"/>
      <c r="N892" s="145"/>
      <c r="O892" s="145"/>
      <c r="P892" s="145"/>
    </row>
    <row r="893" spans="1:16" x14ac:dyDescent="0.2">
      <c r="A893" s="58" t="str">
        <v/>
      </c>
      <c r="B893" s="123" t="str">
        <f>IFERROR(TIMEVALUE(DaqBook_RAW_Data!Q781),IFERROR(TIMEVALUE(DaqBook_RAW_Data!A303),""))</f>
        <v/>
      </c>
      <c r="C893" s="145"/>
      <c r="D893" s="145"/>
      <c r="E893" s="145"/>
      <c r="F893" s="145"/>
      <c r="G893" s="145"/>
      <c r="H893" s="145"/>
      <c r="I893" s="145"/>
      <c r="J893" s="145"/>
      <c r="K893" s="145"/>
      <c r="L893" s="145"/>
      <c r="M893" s="145"/>
      <c r="N893" s="145"/>
      <c r="O893" s="145"/>
      <c r="P893" s="145"/>
    </row>
    <row r="894" spans="1:16" x14ac:dyDescent="0.2">
      <c r="A894" s="58" t="str">
        <v/>
      </c>
      <c r="B894" s="123" t="str">
        <f>IFERROR(TIMEVALUE(DaqBook_RAW_Data!Q782),IFERROR(TIMEVALUE(DaqBook_RAW_Data!A304),""))</f>
        <v/>
      </c>
      <c r="C894" s="145"/>
      <c r="D894" s="145"/>
      <c r="E894" s="145"/>
      <c r="F894" s="145"/>
      <c r="G894" s="145"/>
      <c r="H894" s="145"/>
      <c r="I894" s="145"/>
      <c r="J894" s="145"/>
      <c r="K894" s="145"/>
      <c r="L894" s="145"/>
      <c r="M894" s="145"/>
      <c r="N894" s="145"/>
      <c r="O894" s="145"/>
      <c r="P894" s="145"/>
    </row>
    <row r="895" spans="1:16" x14ac:dyDescent="0.2">
      <c r="A895" s="58" t="str">
        <v/>
      </c>
      <c r="B895" s="123" t="str">
        <f>IFERROR(TIMEVALUE(DaqBook_RAW_Data!Q783),IFERROR(TIMEVALUE(DaqBook_RAW_Data!A305),""))</f>
        <v/>
      </c>
      <c r="C895" s="145"/>
      <c r="D895" s="145"/>
      <c r="E895" s="145"/>
      <c r="F895" s="145"/>
      <c r="G895" s="145"/>
      <c r="H895" s="145"/>
      <c r="I895" s="145"/>
      <c r="J895" s="145"/>
      <c r="K895" s="145"/>
      <c r="L895" s="145"/>
      <c r="M895" s="145"/>
      <c r="N895" s="145"/>
      <c r="O895" s="145"/>
      <c r="P895" s="145"/>
    </row>
    <row r="896" spans="1:16" x14ac:dyDescent="0.2">
      <c r="A896" s="58" t="str">
        <v/>
      </c>
      <c r="B896" s="123" t="str">
        <f>IFERROR(TIMEVALUE(DaqBook_RAW_Data!Q784),IFERROR(TIMEVALUE(DaqBook_RAW_Data!A306),""))</f>
        <v/>
      </c>
      <c r="C896" s="145"/>
      <c r="D896" s="145"/>
      <c r="E896" s="145"/>
      <c r="F896" s="145"/>
      <c r="G896" s="145"/>
      <c r="H896" s="145"/>
      <c r="I896" s="145"/>
      <c r="J896" s="145"/>
      <c r="K896" s="145"/>
      <c r="L896" s="145"/>
      <c r="M896" s="145"/>
      <c r="N896" s="145"/>
      <c r="O896" s="145"/>
      <c r="P896" s="145"/>
    </row>
    <row r="897" spans="1:16" x14ac:dyDescent="0.2">
      <c r="A897" s="58" t="str">
        <v/>
      </c>
      <c r="B897" s="123" t="str">
        <f>IFERROR(TIMEVALUE(DaqBook_RAW_Data!Q785),IFERROR(TIMEVALUE(DaqBook_RAW_Data!A307),""))</f>
        <v/>
      </c>
      <c r="C897" s="145"/>
      <c r="D897" s="145"/>
      <c r="E897" s="145"/>
      <c r="F897" s="145"/>
      <c r="G897" s="145"/>
      <c r="H897" s="145"/>
      <c r="I897" s="145"/>
      <c r="J897" s="145"/>
      <c r="K897" s="145"/>
      <c r="L897" s="145"/>
      <c r="M897" s="145"/>
      <c r="N897" s="145"/>
      <c r="O897" s="145"/>
      <c r="P897" s="145"/>
    </row>
    <row r="898" spans="1:16" x14ac:dyDescent="0.2">
      <c r="A898" s="58" t="str">
        <v/>
      </c>
      <c r="B898" s="123" t="str">
        <f>IFERROR(TIMEVALUE(DaqBook_RAW_Data!Q786),IFERROR(TIMEVALUE(DaqBook_RAW_Data!A308),""))</f>
        <v/>
      </c>
      <c r="C898" s="145"/>
      <c r="D898" s="145"/>
      <c r="E898" s="145"/>
      <c r="F898" s="145"/>
      <c r="G898" s="145"/>
      <c r="H898" s="145"/>
      <c r="I898" s="145"/>
      <c r="J898" s="145"/>
      <c r="K898" s="145"/>
      <c r="L898" s="145"/>
      <c r="M898" s="145"/>
      <c r="N898" s="145"/>
      <c r="O898" s="145"/>
      <c r="P898" s="145"/>
    </row>
    <row r="899" spans="1:16" x14ac:dyDescent="0.2">
      <c r="A899" s="58" t="str">
        <v/>
      </c>
      <c r="B899" s="123" t="str">
        <f>IFERROR(TIMEVALUE(DaqBook_RAW_Data!Q787),IFERROR(TIMEVALUE(DaqBook_RAW_Data!A309),""))</f>
        <v/>
      </c>
      <c r="C899" s="145"/>
      <c r="D899" s="145"/>
      <c r="E899" s="145"/>
      <c r="F899" s="145"/>
      <c r="G899" s="145"/>
      <c r="H899" s="145"/>
      <c r="I899" s="145"/>
      <c r="J899" s="145"/>
      <c r="K899" s="145"/>
      <c r="L899" s="145"/>
      <c r="M899" s="145"/>
      <c r="N899" s="145"/>
      <c r="O899" s="145"/>
      <c r="P899" s="145"/>
    </row>
    <row r="900" spans="1:16" x14ac:dyDescent="0.2">
      <c r="A900" s="58" t="str">
        <v/>
      </c>
      <c r="B900" s="123" t="str">
        <f>IFERROR(TIMEVALUE(DaqBook_RAW_Data!Q788),IFERROR(TIMEVALUE(DaqBook_RAW_Data!A310),""))</f>
        <v/>
      </c>
      <c r="C900" s="145"/>
      <c r="D900" s="145"/>
      <c r="E900" s="145"/>
      <c r="F900" s="145"/>
      <c r="G900" s="145"/>
      <c r="H900" s="145"/>
      <c r="I900" s="145"/>
      <c r="J900" s="145"/>
      <c r="K900" s="145"/>
      <c r="L900" s="145"/>
      <c r="M900" s="145"/>
      <c r="N900" s="145"/>
      <c r="O900" s="145"/>
      <c r="P900" s="145"/>
    </row>
    <row r="901" spans="1:16" x14ac:dyDescent="0.2">
      <c r="A901" s="58" t="str">
        <v/>
      </c>
      <c r="B901" s="123" t="str">
        <f>IFERROR(TIMEVALUE(DaqBook_RAW_Data!Q789),IFERROR(TIMEVALUE(DaqBook_RAW_Data!A311),""))</f>
        <v/>
      </c>
      <c r="C901" s="145"/>
      <c r="D901" s="145"/>
      <c r="E901" s="145"/>
      <c r="F901" s="145"/>
      <c r="G901" s="145"/>
      <c r="H901" s="145"/>
      <c r="I901" s="145"/>
      <c r="J901" s="145"/>
      <c r="K901" s="145"/>
      <c r="L901" s="145"/>
      <c r="M901" s="145"/>
      <c r="N901" s="145"/>
      <c r="O901" s="145"/>
      <c r="P901" s="145"/>
    </row>
    <row r="902" spans="1:16" x14ac:dyDescent="0.2">
      <c r="A902" s="58" t="str">
        <v/>
      </c>
      <c r="B902" s="123" t="str">
        <f>IFERROR(TIMEVALUE(DaqBook_RAW_Data!Q790),IFERROR(TIMEVALUE(DaqBook_RAW_Data!A312),""))</f>
        <v/>
      </c>
      <c r="C902" s="145"/>
      <c r="D902" s="145"/>
      <c r="E902" s="145"/>
      <c r="F902" s="145"/>
      <c r="G902" s="145"/>
      <c r="H902" s="145"/>
      <c r="I902" s="145"/>
      <c r="J902" s="145"/>
      <c r="K902" s="145"/>
      <c r="L902" s="145"/>
      <c r="M902" s="145"/>
      <c r="N902" s="145"/>
      <c r="O902" s="145"/>
      <c r="P902" s="145"/>
    </row>
    <row r="903" spans="1:16" x14ac:dyDescent="0.2">
      <c r="A903" s="58" t="str">
        <v/>
      </c>
      <c r="B903" s="123" t="str">
        <f>IFERROR(TIMEVALUE(DaqBook_RAW_Data!Q791),IFERROR(TIMEVALUE(DaqBook_RAW_Data!A313),""))</f>
        <v/>
      </c>
      <c r="C903" s="145"/>
      <c r="D903" s="145"/>
      <c r="E903" s="145"/>
      <c r="F903" s="145"/>
      <c r="G903" s="145"/>
      <c r="H903" s="145"/>
      <c r="I903" s="145"/>
      <c r="J903" s="145"/>
      <c r="K903" s="145"/>
      <c r="L903" s="145"/>
      <c r="M903" s="145"/>
      <c r="N903" s="145"/>
      <c r="O903" s="145"/>
      <c r="P903" s="145"/>
    </row>
  </sheetData>
  <sheetProtection algorithmName="SHA-512" hashValue="GDEVtqlzNYe0Jl3Ho9WWKpywzGfM6HkQIZNJtDFPEAxxQDCW4n2je4rNGWtAYVmTv5yMCOojpsy0xKr1fzumBA==" saltValue="mNpxMTvB9NRnCEwtxY9wr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33"/>
      <c r="B1" s="140">
        <f>Main!$D$16</f>
        <v>0</v>
      </c>
      <c r="C1" s="134">
        <f>$B$1-$B$2</f>
        <v>0</v>
      </c>
      <c r="D1" s="134"/>
      <c r="E1" s="140">
        <f>B1-D2</f>
        <v>0</v>
      </c>
      <c r="F1" s="38" t="s">
        <v>91</v>
      </c>
      <c r="P1" s="340" t="str">
        <f>IF(Main!$E$30="","A10",ADDRESS(13+(MATCH(Main!$E$30,Data_Sheet!$A$14:$A$903,0)),1,4))</f>
        <v>A10</v>
      </c>
      <c r="Q1" s="340">
        <f>VALUE(MID(P1, 2, LEN(P1)-1))</f>
        <v>10</v>
      </c>
    </row>
    <row r="2" spans="1:17" x14ac:dyDescent="0.2">
      <c r="A2" s="133"/>
      <c r="B2" s="140">
        <f>Main!$D$19</f>
        <v>0</v>
      </c>
      <c r="C2" s="134">
        <f>$B$1+$B$2</f>
        <v>0</v>
      </c>
      <c r="D2" s="134">
        <f>(Main!$D$19)/2</f>
        <v>0</v>
      </c>
      <c r="E2" s="140">
        <f>B1+D2</f>
        <v>0</v>
      </c>
      <c r="F2" s="126"/>
      <c r="I2" s="94" t="s">
        <v>250</v>
      </c>
      <c r="M2" s="613" t="s">
        <v>120</v>
      </c>
      <c r="N2" s="613"/>
      <c r="O2" s="613"/>
      <c r="P2" s="340" t="str">
        <f>IF(Main!$E$30="","A10",ADDRESS(13+Standards_Info!W2+(MATCH(Main!$E$30,Data_Sheet!$A$14:$A$903,0)),1,4))</f>
        <v>A10</v>
      </c>
      <c r="Q2" s="340">
        <f>VALUE(MID(P2, 2, LEN(P2)-1))</f>
        <v>10</v>
      </c>
    </row>
    <row r="3" spans="1:17" ht="15" x14ac:dyDescent="0.25">
      <c r="B3" s="149" t="s">
        <v>0</v>
      </c>
      <c r="C3" s="4"/>
      <c r="M3" s="601" t="s">
        <v>121</v>
      </c>
      <c r="N3" s="602"/>
      <c r="O3" s="603"/>
      <c r="P3" s="47"/>
    </row>
    <row r="4" spans="1:17" ht="15" x14ac:dyDescent="0.25">
      <c r="B4" s="136" t="s">
        <v>37</v>
      </c>
      <c r="C4" s="5"/>
      <c r="M4" s="604" t="s">
        <v>162</v>
      </c>
      <c r="N4" s="605"/>
      <c r="O4" s="606"/>
    </row>
    <row r="5" spans="1:17" x14ac:dyDescent="0.2">
      <c r="B5" s="137" t="s">
        <v>38</v>
      </c>
      <c r="C5" s="75">
        <f>Main!D3</f>
        <v>0</v>
      </c>
      <c r="D5" s="44"/>
      <c r="E5" s="44"/>
      <c r="F5" s="44"/>
      <c r="G5" s="44"/>
      <c r="H5" s="44"/>
      <c r="I5" s="73" t="s">
        <v>9</v>
      </c>
      <c r="J5" s="44" t="e">
        <f>Main!D5</f>
        <v>#N/A</v>
      </c>
      <c r="L5" s="44"/>
      <c r="M5" s="607" t="s">
        <v>161</v>
      </c>
      <c r="N5" s="608"/>
      <c r="O5" s="609"/>
    </row>
    <row r="6" spans="1:17" ht="13.5" thickBot="1" x14ac:dyDescent="0.25">
      <c r="B6" s="137" t="s">
        <v>7</v>
      </c>
      <c r="C6" s="76" t="e">
        <f>Main!D6</f>
        <v>#N/A</v>
      </c>
      <c r="D6" s="44"/>
      <c r="E6" s="44"/>
      <c r="F6" s="44"/>
      <c r="G6" s="44"/>
      <c r="H6" s="44"/>
      <c r="I6" s="73" t="s">
        <v>10</v>
      </c>
      <c r="J6" s="72">
        <f>Main!D16</f>
        <v>0</v>
      </c>
      <c r="L6" s="44"/>
      <c r="M6" s="610" t="s">
        <v>160</v>
      </c>
      <c r="N6" s="611"/>
      <c r="O6" s="612"/>
    </row>
    <row r="7" spans="1:17" ht="13.5" thickBot="1" x14ac:dyDescent="0.25">
      <c r="B7" s="137" t="s">
        <v>39</v>
      </c>
      <c r="C7" s="76" t="str">
        <f>Main!D7</f>
        <v>Jeff Hall</v>
      </c>
      <c r="D7" s="44"/>
      <c r="E7" s="44"/>
      <c r="F7" s="44"/>
      <c r="G7" s="44"/>
      <c r="H7" s="44"/>
      <c r="I7" s="78" t="s">
        <v>188</v>
      </c>
      <c r="J7" s="598">
        <f>Main!$D$30</f>
        <v>0</v>
      </c>
      <c r="K7" s="599"/>
      <c r="L7" s="123"/>
      <c r="M7" s="597" t="s">
        <v>159</v>
      </c>
      <c r="N7" s="597"/>
      <c r="O7" s="597"/>
    </row>
    <row r="8" spans="1:17" x14ac:dyDescent="0.2">
      <c r="B8" s="137"/>
      <c r="C8" s="76"/>
      <c r="D8" s="44"/>
      <c r="E8" s="44"/>
      <c r="F8" s="44"/>
      <c r="G8" s="44"/>
      <c r="H8" s="44"/>
      <c r="I8" s="78"/>
      <c r="J8" s="146"/>
      <c r="K8" s="146"/>
      <c r="L8" s="123"/>
      <c r="M8" s="147"/>
      <c r="N8" s="147"/>
      <c r="O8" s="147"/>
    </row>
    <row r="9" spans="1:17" x14ac:dyDescent="0.2">
      <c r="B9" s="137"/>
      <c r="C9" s="76"/>
      <c r="D9" s="44"/>
      <c r="E9" s="44"/>
      <c r="F9" s="44"/>
      <c r="G9" s="44"/>
      <c r="H9" s="44"/>
      <c r="I9" s="150" t="str">
        <f>IF(Main!K15="SIM Load Hot",Main!N59,"")</f>
        <v/>
      </c>
      <c r="J9" s="146"/>
      <c r="K9" s="146"/>
      <c r="L9" s="123"/>
      <c r="M9" s="147"/>
      <c r="N9" s="147"/>
      <c r="O9" s="147"/>
    </row>
    <row r="10" spans="1:17" s="83" customFormat="1" x14ac:dyDescent="0.2">
      <c r="A10" s="124"/>
      <c r="B10" s="158"/>
      <c r="C10" s="159"/>
      <c r="I10" s="150" t="str">
        <f>IF(OR(Main!E60="",Main!K60=""),IF(OR(Main!E61="",Main!K61=""),"",Main!N61),Main!N60)</f>
        <v/>
      </c>
      <c r="J10" s="160"/>
      <c r="K10" s="160"/>
      <c r="L10" s="138"/>
      <c r="M10" s="161"/>
      <c r="N10" s="161"/>
      <c r="O10" s="161"/>
    </row>
    <row r="11" spans="1:17" s="83" customFormat="1" x14ac:dyDescent="0.2">
      <c r="A11" s="124"/>
      <c r="B11" s="138"/>
      <c r="C11" s="154"/>
      <c r="D11" s="154"/>
      <c r="E11" s="154"/>
      <c r="F11" s="154"/>
      <c r="G11" s="154"/>
      <c r="H11" s="154"/>
      <c r="I11" s="154"/>
      <c r="J11" s="154"/>
      <c r="K11" s="154"/>
      <c r="L11" s="154"/>
      <c r="M11" s="154"/>
      <c r="N11" s="154"/>
      <c r="O11" s="154"/>
      <c r="P11" s="154"/>
    </row>
    <row r="12" spans="1:17" s="83" customFormat="1" x14ac:dyDescent="0.2">
      <c r="A12" s="124"/>
      <c r="B12" s="123" t="str">
        <f>DaqBook_RAW_Data!AG2</f>
        <v>Time</v>
      </c>
      <c r="C12" s="44">
        <f>IF(ISBLANK(DaqBook_RAW_Data!AH2),"",29)</f>
        <v>29</v>
      </c>
      <c r="D12" s="44">
        <f>IF(ISBLANK(DaqBook_RAW_Data!AI2),"",30)</f>
        <v>30</v>
      </c>
      <c r="E12" s="44">
        <f>IF(ISBLANK(DaqBook_RAW_Data!AJ2),"",31)</f>
        <v>31</v>
      </c>
      <c r="F12" s="44">
        <f>IF(ISBLANK(DaqBook_RAW_Data!AK2),"",32)</f>
        <v>32</v>
      </c>
      <c r="G12" s="44">
        <f>IF(ISBLANK(DaqBook_RAW_Data!AL2),"",33)</f>
        <v>33</v>
      </c>
      <c r="H12" s="44">
        <f>IF(ISBLANK(DaqBook_RAW_Data!AM2),"",34)</f>
        <v>34</v>
      </c>
      <c r="I12" s="44">
        <f>IF(ISBLANK(DaqBook_RAW_Data!AN2),"",35)</f>
        <v>35</v>
      </c>
      <c r="J12" s="44">
        <f>IF(ISBLANK(DaqBook_RAW_Data!AO2),"",36)</f>
        <v>36</v>
      </c>
      <c r="K12" s="44">
        <f>IF(ISBLANK(DaqBook_RAW_Data!AP2),"",37)</f>
        <v>37</v>
      </c>
      <c r="L12" s="44">
        <f>IF(ISBLANK(DaqBook_RAW_Data!AQ2),"",38)</f>
        <v>38</v>
      </c>
      <c r="M12" s="44">
        <f>IF(ISBLANK(DaqBook_RAW_Data!AR2),"",39)</f>
        <v>39</v>
      </c>
      <c r="N12" s="44">
        <f>IF(ISBLANK(DaqBook_RAW_Data!AS2),"",40)</f>
        <v>40</v>
      </c>
      <c r="O12" s="44"/>
      <c r="P12" s="44"/>
    </row>
    <row r="13" spans="1:17" s="83" customFormat="1" x14ac:dyDescent="0.2">
      <c r="A13" s="124"/>
      <c r="B13" s="12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3" customFormat="1" x14ac:dyDescent="0.2">
      <c r="A14" s="124" t="str" cm="1">
        <f t="array" ref="A14:A903">TEXT(B14:B903, "h:mm")</f>
        <v/>
      </c>
      <c r="B14" s="123" t="str">
        <f>IFERROR(TIMEVALUE(DaqBook_RAW_Data!#REF!),IFERROR(TIMEVALUE(DaqBook_RAW_Data!#REF!),""))</f>
        <v/>
      </c>
      <c r="C14" s="145" t="e" cm="1">
        <f t="array" ref="C14">IF(DaqBook_RAW_Data!#REF!="","",DaqBook_RAW_Data!AH4:AS859)</f>
        <v>#REF!</v>
      </c>
      <c r="D14" s="145"/>
      <c r="E14" s="145"/>
      <c r="F14" s="145"/>
      <c r="G14" s="145"/>
      <c r="H14" s="145"/>
      <c r="I14" s="145"/>
      <c r="J14" s="145"/>
      <c r="K14" s="145"/>
      <c r="L14" s="145"/>
      <c r="M14" s="145"/>
      <c r="N14" s="145"/>
      <c r="O14" s="145"/>
      <c r="P14" s="145"/>
    </row>
    <row r="15" spans="1:17" s="83" customFormat="1" x14ac:dyDescent="0.2">
      <c r="A15" s="124" t="str">
        <v/>
      </c>
      <c r="B15" s="123" t="str">
        <f>IFERROR(TIMEVALUE(DaqBook_RAW_Data!#REF!),IFERROR(TIMEVALUE(DaqBook_RAW_Data!#REF!),""))</f>
        <v/>
      </c>
      <c r="C15" s="145"/>
      <c r="D15" s="145"/>
      <c r="E15" s="145"/>
      <c r="F15" s="145"/>
      <c r="G15" s="145"/>
      <c r="H15" s="145"/>
      <c r="I15" s="145"/>
      <c r="J15" s="145"/>
      <c r="K15" s="145"/>
      <c r="L15" s="145"/>
      <c r="M15" s="145"/>
      <c r="N15" s="145"/>
      <c r="O15" s="145"/>
      <c r="P15" s="145"/>
    </row>
    <row r="16" spans="1:17" s="83" customFormat="1" x14ac:dyDescent="0.2">
      <c r="A16" s="124" t="str">
        <v/>
      </c>
      <c r="B16" s="123" t="str">
        <f>IFERROR(TIMEVALUE(DaqBook_RAW_Data!#REF!),IFERROR(TIMEVALUE(DaqBook_RAW_Data!#REF!),""))</f>
        <v/>
      </c>
      <c r="C16" s="145"/>
      <c r="D16" s="145"/>
      <c r="E16" s="145"/>
      <c r="F16" s="145"/>
      <c r="G16" s="145"/>
      <c r="H16" s="145"/>
      <c r="I16" s="145"/>
      <c r="J16" s="145"/>
      <c r="K16" s="145"/>
      <c r="L16" s="145"/>
      <c r="M16" s="145"/>
      <c r="N16" s="145"/>
      <c r="O16" s="145"/>
      <c r="P16" s="145"/>
    </row>
    <row r="17" spans="1:17" s="83" customFormat="1" x14ac:dyDescent="0.2">
      <c r="A17" s="124" t="str">
        <v/>
      </c>
      <c r="B17" s="123" t="str">
        <f>IFERROR(TIMEVALUE(DaqBook_RAW_Data!#REF!),IFERROR(TIMEVALUE(DaqBook_RAW_Data!#REF!),""))</f>
        <v/>
      </c>
      <c r="C17" s="145"/>
      <c r="D17" s="145"/>
      <c r="E17" s="145"/>
      <c r="F17" s="145"/>
      <c r="G17" s="145"/>
      <c r="H17" s="145"/>
      <c r="I17" s="145"/>
      <c r="J17" s="145"/>
      <c r="K17" s="145"/>
      <c r="L17" s="145"/>
      <c r="M17" s="145"/>
      <c r="N17" s="145"/>
      <c r="O17" s="145"/>
      <c r="P17" s="145"/>
    </row>
    <row r="18" spans="1:17" s="83" customFormat="1" x14ac:dyDescent="0.2">
      <c r="A18" s="124" t="str">
        <v/>
      </c>
      <c r="B18" s="123" t="str">
        <f>IFERROR(TIMEVALUE(DaqBook_RAW_Data!#REF!),IFERROR(TIMEVALUE(DaqBook_RAW_Data!#REF!),""))</f>
        <v/>
      </c>
      <c r="C18" s="145"/>
      <c r="D18" s="145"/>
      <c r="E18" s="145"/>
      <c r="F18" s="145"/>
      <c r="G18" s="145"/>
      <c r="H18" s="145"/>
      <c r="I18" s="145"/>
      <c r="J18" s="145"/>
      <c r="K18" s="145"/>
      <c r="L18" s="145"/>
      <c r="M18" s="145"/>
      <c r="N18" s="145"/>
      <c r="O18" s="145"/>
      <c r="P18" s="145"/>
    </row>
    <row r="19" spans="1:17" s="83" customFormat="1" x14ac:dyDescent="0.2">
      <c r="A19" s="124" t="str">
        <v/>
      </c>
      <c r="B19" s="123" t="str">
        <f>IFERROR(TIMEVALUE(DaqBook_RAW_Data!#REF!),IFERROR(TIMEVALUE(DaqBook_RAW_Data!#REF!),""))</f>
        <v/>
      </c>
      <c r="C19" s="145"/>
      <c r="D19" s="145"/>
      <c r="E19" s="145"/>
      <c r="F19" s="145"/>
      <c r="G19" s="145"/>
      <c r="H19" s="145"/>
      <c r="I19" s="145"/>
      <c r="J19" s="145"/>
      <c r="K19" s="145"/>
      <c r="L19" s="145"/>
      <c r="M19" s="145"/>
      <c r="N19" s="145"/>
      <c r="O19" s="145"/>
      <c r="P19" s="145"/>
    </row>
    <row r="20" spans="1:17" s="83" customFormat="1" x14ac:dyDescent="0.2">
      <c r="A20" s="124" t="str">
        <v/>
      </c>
      <c r="B20" s="123" t="str">
        <f>IFERROR(TIMEVALUE(DaqBook_RAW_Data!#REF!),IFERROR(TIMEVALUE(DaqBook_RAW_Data!#REF!),""))</f>
        <v/>
      </c>
      <c r="C20" s="145"/>
      <c r="D20" s="145"/>
      <c r="E20" s="145"/>
      <c r="F20" s="145"/>
      <c r="G20" s="145"/>
      <c r="H20" s="145"/>
      <c r="I20" s="145"/>
      <c r="J20" s="145"/>
      <c r="K20" s="145"/>
      <c r="L20" s="145"/>
      <c r="M20" s="145"/>
      <c r="N20" s="145"/>
      <c r="O20" s="145"/>
      <c r="P20" s="145"/>
    </row>
    <row r="21" spans="1:17" s="83" customFormat="1" x14ac:dyDescent="0.2">
      <c r="A21" s="124" t="str">
        <v/>
      </c>
      <c r="B21" s="123" t="str">
        <f>IFERROR(TIMEVALUE(DaqBook_RAW_Data!#REF!),IFERROR(TIMEVALUE(DaqBook_RAW_Data!#REF!),""))</f>
        <v/>
      </c>
      <c r="C21" s="145"/>
      <c r="D21" s="145"/>
      <c r="E21" s="145"/>
      <c r="F21" s="145"/>
      <c r="G21" s="145"/>
      <c r="H21" s="145"/>
      <c r="I21" s="145"/>
      <c r="J21" s="145"/>
      <c r="K21" s="145"/>
      <c r="L21" s="145"/>
      <c r="M21" s="145"/>
      <c r="N21" s="145"/>
      <c r="O21" s="145"/>
      <c r="P21" s="145"/>
    </row>
    <row r="22" spans="1:17" s="83" customFormat="1" x14ac:dyDescent="0.2">
      <c r="A22" s="124" t="str">
        <v/>
      </c>
      <c r="B22" s="123" t="str">
        <f>IFERROR(TIMEVALUE(DaqBook_RAW_Data!#REF!),IFERROR(TIMEVALUE(DaqBook_RAW_Data!#REF!),""))</f>
        <v/>
      </c>
      <c r="C22" s="145"/>
      <c r="D22" s="145"/>
      <c r="E22" s="145"/>
      <c r="F22" s="145"/>
      <c r="G22" s="145"/>
      <c r="H22" s="145"/>
      <c r="I22" s="145"/>
      <c r="J22" s="145"/>
      <c r="K22" s="145"/>
      <c r="L22" s="145"/>
      <c r="M22" s="145"/>
      <c r="N22" s="145"/>
      <c r="O22" s="145"/>
      <c r="P22" s="145"/>
    </row>
    <row r="23" spans="1:17" s="83" customFormat="1" x14ac:dyDescent="0.2">
      <c r="A23" s="124" t="str">
        <v/>
      </c>
      <c r="B23" s="123" t="str">
        <f>IFERROR(TIMEVALUE(DaqBook_RAW_Data!#REF!),IFERROR(TIMEVALUE(DaqBook_RAW_Data!#REF!),""))</f>
        <v/>
      </c>
      <c r="C23" s="145"/>
      <c r="D23" s="145"/>
      <c r="E23" s="145"/>
      <c r="F23" s="145"/>
      <c r="G23" s="145"/>
      <c r="H23" s="145"/>
      <c r="I23" s="145"/>
      <c r="J23" s="145"/>
      <c r="K23" s="145"/>
      <c r="L23" s="145"/>
      <c r="M23" s="145"/>
      <c r="N23" s="145"/>
      <c r="O23" s="145"/>
      <c r="P23" s="145"/>
    </row>
    <row r="24" spans="1:17" s="83" customFormat="1" x14ac:dyDescent="0.2">
      <c r="A24" s="124" t="str">
        <v/>
      </c>
      <c r="B24" s="123" t="str">
        <f>IFERROR(TIMEVALUE(DaqBook_RAW_Data!#REF!),IFERROR(TIMEVALUE(DaqBook_RAW_Data!#REF!),""))</f>
        <v/>
      </c>
      <c r="C24" s="145"/>
      <c r="D24" s="145"/>
      <c r="E24" s="145"/>
      <c r="F24" s="145"/>
      <c r="G24" s="145"/>
      <c r="H24" s="145"/>
      <c r="I24" s="145"/>
      <c r="J24" s="145"/>
      <c r="K24" s="145"/>
      <c r="L24" s="145"/>
      <c r="M24" s="145"/>
      <c r="N24" s="145"/>
      <c r="O24" s="145"/>
      <c r="P24" s="145"/>
    </row>
    <row r="25" spans="1:17" s="83" customFormat="1" x14ac:dyDescent="0.2">
      <c r="A25" s="124" t="str">
        <v/>
      </c>
      <c r="B25" s="123" t="str">
        <f>IFERROR(TIMEVALUE(DaqBook_RAW_Data!#REF!),IFERROR(TIMEVALUE(DaqBook_RAW_Data!#REF!),""))</f>
        <v/>
      </c>
      <c r="C25" s="145"/>
      <c r="D25" s="145"/>
      <c r="E25" s="145"/>
      <c r="F25" s="145"/>
      <c r="G25" s="145"/>
      <c r="H25" s="145"/>
      <c r="I25" s="145"/>
      <c r="J25" s="145"/>
      <c r="K25" s="145"/>
      <c r="L25" s="145"/>
      <c r="M25" s="145"/>
      <c r="N25" s="145"/>
      <c r="O25" s="145"/>
      <c r="P25" s="145"/>
    </row>
    <row r="26" spans="1:17" s="83" customFormat="1" x14ac:dyDescent="0.2">
      <c r="A26" s="124" t="str">
        <v/>
      </c>
      <c r="B26" s="123" t="str">
        <f>IFERROR(TIMEVALUE(DaqBook_RAW_Data!#REF!),IFERROR(TIMEVALUE(DaqBook_RAW_Data!#REF!),""))</f>
        <v/>
      </c>
      <c r="C26" s="145"/>
      <c r="D26" s="145"/>
      <c r="E26" s="145"/>
      <c r="F26" s="145"/>
      <c r="G26" s="145"/>
      <c r="H26" s="145"/>
      <c r="I26" s="145"/>
      <c r="J26" s="145"/>
      <c r="K26" s="145"/>
      <c r="L26" s="145"/>
      <c r="M26" s="145"/>
      <c r="N26" s="145"/>
      <c r="O26" s="145"/>
      <c r="P26" s="145"/>
    </row>
    <row r="27" spans="1:17" s="83" customFormat="1" x14ac:dyDescent="0.2">
      <c r="A27" s="124" t="str">
        <v/>
      </c>
      <c r="B27" s="123" t="str">
        <f>IFERROR(TIMEVALUE(DaqBook_RAW_Data!#REF!),IFERROR(TIMEVALUE(DaqBook_RAW_Data!#REF!),""))</f>
        <v/>
      </c>
      <c r="C27" s="145"/>
      <c r="D27" s="145"/>
      <c r="E27" s="145"/>
      <c r="F27" s="145"/>
      <c r="G27" s="145"/>
      <c r="H27" s="145"/>
      <c r="I27" s="145"/>
      <c r="J27" s="145"/>
      <c r="K27" s="145"/>
      <c r="L27" s="145"/>
      <c r="M27" s="145"/>
      <c r="N27" s="145"/>
      <c r="O27" s="145"/>
      <c r="P27" s="145"/>
      <c r="Q27" s="125"/>
    </row>
    <row r="28" spans="1:17" s="83" customFormat="1" x14ac:dyDescent="0.2">
      <c r="A28" s="124" t="str">
        <v/>
      </c>
      <c r="B28" s="123" t="str">
        <f>IFERROR(TIMEVALUE(DaqBook_RAW_Data!#REF!),IFERROR(TIMEVALUE(DaqBook_RAW_Data!#REF!),""))</f>
        <v/>
      </c>
      <c r="C28" s="145"/>
      <c r="D28" s="145"/>
      <c r="E28" s="145"/>
      <c r="F28" s="145"/>
      <c r="G28" s="145"/>
      <c r="H28" s="145"/>
      <c r="I28" s="145"/>
      <c r="J28" s="145"/>
      <c r="K28" s="145"/>
      <c r="L28" s="145"/>
      <c r="M28" s="145"/>
      <c r="N28" s="145"/>
      <c r="O28" s="145"/>
      <c r="P28" s="145"/>
    </row>
    <row r="29" spans="1:17" s="83" customFormat="1" x14ac:dyDescent="0.2">
      <c r="A29" s="124" t="str">
        <v/>
      </c>
      <c r="B29" s="123" t="str">
        <f>IFERROR(TIMEVALUE(DaqBook_RAW_Data!#REF!),IFERROR(TIMEVALUE(DaqBook_RAW_Data!#REF!),""))</f>
        <v/>
      </c>
      <c r="C29" s="145"/>
      <c r="D29" s="145"/>
      <c r="E29" s="145"/>
      <c r="F29" s="145"/>
      <c r="G29" s="145"/>
      <c r="H29" s="145"/>
      <c r="I29" s="145"/>
      <c r="J29" s="145"/>
      <c r="K29" s="145"/>
      <c r="L29" s="145"/>
      <c r="M29" s="145"/>
      <c r="N29" s="145"/>
      <c r="O29" s="145"/>
      <c r="P29" s="145"/>
    </row>
    <row r="30" spans="1:17" s="83" customFormat="1" x14ac:dyDescent="0.2">
      <c r="A30" s="124" t="str">
        <v/>
      </c>
      <c r="B30" s="123" t="str">
        <f>IFERROR(TIMEVALUE(DaqBook_RAW_Data!#REF!),IFERROR(TIMEVALUE(DaqBook_RAW_Data!#REF!),""))</f>
        <v/>
      </c>
      <c r="C30" s="145"/>
      <c r="D30" s="145"/>
      <c r="E30" s="145"/>
      <c r="F30" s="145"/>
      <c r="G30" s="145"/>
      <c r="H30" s="145"/>
      <c r="I30" s="145"/>
      <c r="J30" s="145"/>
      <c r="K30" s="145"/>
      <c r="L30" s="145"/>
      <c r="M30" s="145"/>
      <c r="N30" s="145"/>
      <c r="O30" s="145"/>
      <c r="P30" s="145"/>
    </row>
    <row r="31" spans="1:17" s="83" customFormat="1" x14ac:dyDescent="0.2">
      <c r="A31" s="124" t="str">
        <v/>
      </c>
      <c r="B31" s="123" t="str">
        <f>IFERROR(TIMEVALUE(DaqBook_RAW_Data!#REF!),IFERROR(TIMEVALUE(DaqBook_RAW_Data!#REF!),""))</f>
        <v/>
      </c>
      <c r="C31" s="145"/>
      <c r="D31" s="145"/>
      <c r="E31" s="145"/>
      <c r="F31" s="145"/>
      <c r="G31" s="145"/>
      <c r="H31" s="145"/>
      <c r="I31" s="145"/>
      <c r="J31" s="145"/>
      <c r="K31" s="145"/>
      <c r="L31" s="145"/>
      <c r="M31" s="145"/>
      <c r="N31" s="145"/>
      <c r="O31" s="145"/>
      <c r="P31" s="145"/>
    </row>
    <row r="32" spans="1:17" s="83" customFormat="1" x14ac:dyDescent="0.2">
      <c r="A32" s="124" t="str">
        <v/>
      </c>
      <c r="B32" s="123" t="str">
        <f>IFERROR(TIMEVALUE(DaqBook_RAW_Data!#REF!),IFERROR(TIMEVALUE(DaqBook_RAW_Data!#REF!),""))</f>
        <v/>
      </c>
      <c r="C32" s="145"/>
      <c r="D32" s="145"/>
      <c r="E32" s="145"/>
      <c r="F32" s="145"/>
      <c r="G32" s="145"/>
      <c r="H32" s="145"/>
      <c r="I32" s="145"/>
      <c r="J32" s="145"/>
      <c r="K32" s="145"/>
      <c r="L32" s="145"/>
      <c r="M32" s="145"/>
      <c r="N32" s="145"/>
      <c r="O32" s="145"/>
      <c r="P32" s="145"/>
    </row>
    <row r="33" spans="1:16" s="83" customFormat="1" x14ac:dyDescent="0.2">
      <c r="A33" s="124" t="str">
        <v/>
      </c>
      <c r="B33" s="123" t="str">
        <f>IFERROR(TIMEVALUE(DaqBook_RAW_Data!#REF!),IFERROR(TIMEVALUE(DaqBook_RAW_Data!#REF!),""))</f>
        <v/>
      </c>
      <c r="C33" s="145"/>
      <c r="D33" s="145"/>
      <c r="E33" s="145"/>
      <c r="F33" s="145"/>
      <c r="G33" s="145"/>
      <c r="H33" s="145"/>
      <c r="I33" s="145"/>
      <c r="J33" s="145"/>
      <c r="K33" s="145"/>
      <c r="L33" s="145"/>
      <c r="M33" s="145"/>
      <c r="N33" s="145"/>
      <c r="O33" s="145"/>
      <c r="P33" s="145"/>
    </row>
    <row r="34" spans="1:16" s="83" customFormat="1" x14ac:dyDescent="0.2">
      <c r="A34" s="124" t="str">
        <v/>
      </c>
      <c r="B34" s="123" t="str">
        <f>IFERROR(TIMEVALUE(DaqBook_RAW_Data!#REF!),IFERROR(TIMEVALUE(DaqBook_RAW_Data!#REF!),""))</f>
        <v/>
      </c>
      <c r="C34" s="145"/>
      <c r="D34" s="145"/>
      <c r="E34" s="145"/>
      <c r="F34" s="145"/>
      <c r="G34" s="145"/>
      <c r="H34" s="145"/>
      <c r="I34" s="145"/>
      <c r="J34" s="145"/>
      <c r="K34" s="145"/>
      <c r="L34" s="145"/>
      <c r="M34" s="145"/>
      <c r="N34" s="145"/>
      <c r="O34" s="145"/>
      <c r="P34" s="145"/>
    </row>
    <row r="35" spans="1:16" s="83" customFormat="1" x14ac:dyDescent="0.2">
      <c r="A35" s="124" t="str">
        <v/>
      </c>
      <c r="B35" s="123" t="str">
        <f>IFERROR(TIMEVALUE(DaqBook_RAW_Data!#REF!),IFERROR(TIMEVALUE(DaqBook_RAW_Data!#REF!),""))</f>
        <v/>
      </c>
      <c r="C35" s="145"/>
      <c r="D35" s="145"/>
      <c r="E35" s="145"/>
      <c r="F35" s="145"/>
      <c r="G35" s="145"/>
      <c r="H35" s="145"/>
      <c r="I35" s="145"/>
      <c r="J35" s="145"/>
      <c r="K35" s="145"/>
      <c r="L35" s="145"/>
      <c r="M35" s="145"/>
      <c r="N35" s="145"/>
      <c r="O35" s="145"/>
      <c r="P35" s="145"/>
    </row>
    <row r="36" spans="1:16" s="83" customFormat="1" x14ac:dyDescent="0.2">
      <c r="A36" s="124" t="str">
        <v/>
      </c>
      <c r="B36" s="123" t="str">
        <f>IFERROR(TIMEVALUE(DaqBook_RAW_Data!#REF!),IFERROR(TIMEVALUE(DaqBook_RAW_Data!#REF!),""))</f>
        <v/>
      </c>
      <c r="C36" s="145"/>
      <c r="D36" s="145"/>
      <c r="E36" s="145"/>
      <c r="F36" s="145"/>
      <c r="G36" s="145"/>
      <c r="H36" s="145"/>
      <c r="I36" s="145"/>
      <c r="J36" s="145"/>
      <c r="K36" s="145"/>
      <c r="L36" s="145"/>
      <c r="M36" s="145"/>
      <c r="N36" s="145"/>
      <c r="O36" s="145"/>
      <c r="P36" s="145"/>
    </row>
    <row r="37" spans="1:16" s="83" customFormat="1" x14ac:dyDescent="0.2">
      <c r="A37" s="124" t="str">
        <v/>
      </c>
      <c r="B37" s="123" t="str">
        <f>IFERROR(TIMEVALUE(DaqBook_RAW_Data!#REF!),IFERROR(TIMEVALUE(DaqBook_RAW_Data!#REF!),""))</f>
        <v/>
      </c>
      <c r="C37" s="145"/>
      <c r="D37" s="145"/>
      <c r="E37" s="145"/>
      <c r="F37" s="145"/>
      <c r="G37" s="145"/>
      <c r="H37" s="145"/>
      <c r="I37" s="145"/>
      <c r="J37" s="145"/>
      <c r="K37" s="145"/>
      <c r="L37" s="145"/>
      <c r="M37" s="145"/>
      <c r="N37" s="145"/>
      <c r="O37" s="145"/>
      <c r="P37" s="145"/>
    </row>
    <row r="38" spans="1:16" s="83" customFormat="1" x14ac:dyDescent="0.2">
      <c r="A38" s="124" t="str">
        <v/>
      </c>
      <c r="B38" s="123" t="str">
        <f>IFERROR(TIMEVALUE(DaqBook_RAW_Data!#REF!),IFERROR(TIMEVALUE(DaqBook_RAW_Data!#REF!),""))</f>
        <v/>
      </c>
      <c r="C38" s="145"/>
      <c r="D38" s="145"/>
      <c r="E38" s="145"/>
      <c r="F38" s="145"/>
      <c r="G38" s="145"/>
      <c r="H38" s="145"/>
      <c r="I38" s="145"/>
      <c r="J38" s="145"/>
      <c r="K38" s="145"/>
      <c r="L38" s="145"/>
      <c r="M38" s="145"/>
      <c r="N38" s="145"/>
      <c r="O38" s="145"/>
      <c r="P38" s="145"/>
    </row>
    <row r="39" spans="1:16" s="83" customFormat="1" x14ac:dyDescent="0.2">
      <c r="A39" s="124" t="str">
        <v/>
      </c>
      <c r="B39" s="123" t="str">
        <f>IFERROR(TIMEVALUE(DaqBook_RAW_Data!#REF!),IFERROR(TIMEVALUE(DaqBook_RAW_Data!#REF!),""))</f>
        <v/>
      </c>
      <c r="C39" s="145"/>
      <c r="D39" s="145"/>
      <c r="E39" s="145"/>
      <c r="F39" s="145"/>
      <c r="G39" s="145"/>
      <c r="H39" s="145"/>
      <c r="I39" s="145"/>
      <c r="J39" s="145"/>
      <c r="K39" s="145"/>
      <c r="L39" s="145"/>
      <c r="M39" s="145"/>
      <c r="N39" s="145"/>
      <c r="O39" s="145"/>
      <c r="P39" s="145"/>
    </row>
    <row r="40" spans="1:16" s="83" customFormat="1" x14ac:dyDescent="0.2">
      <c r="A40" s="124" t="str">
        <v/>
      </c>
      <c r="B40" s="123" t="str">
        <f>IFERROR(TIMEVALUE(DaqBook_RAW_Data!#REF!),IFERROR(TIMEVALUE(DaqBook_RAW_Data!#REF!),""))</f>
        <v/>
      </c>
      <c r="C40" s="145"/>
      <c r="D40" s="145"/>
      <c r="E40" s="145"/>
      <c r="F40" s="145"/>
      <c r="G40" s="145"/>
      <c r="H40" s="145"/>
      <c r="I40" s="145"/>
      <c r="J40" s="145"/>
      <c r="K40" s="145"/>
      <c r="L40" s="145"/>
      <c r="M40" s="145"/>
      <c r="N40" s="145"/>
      <c r="O40" s="145"/>
      <c r="P40" s="145"/>
    </row>
    <row r="41" spans="1:16" s="83" customFormat="1" x14ac:dyDescent="0.2">
      <c r="A41" s="124" t="str">
        <v/>
      </c>
      <c r="B41" s="123" t="str">
        <f>IFERROR(TIMEVALUE(DaqBook_RAW_Data!#REF!),IFERROR(TIMEVALUE(DaqBook_RAW_Data!#REF!),""))</f>
        <v/>
      </c>
      <c r="C41" s="145"/>
      <c r="D41" s="145"/>
      <c r="E41" s="145"/>
      <c r="F41" s="145"/>
      <c r="G41" s="145"/>
      <c r="H41" s="145"/>
      <c r="I41" s="145"/>
      <c r="J41" s="145"/>
      <c r="K41" s="145"/>
      <c r="L41" s="145"/>
      <c r="M41" s="145"/>
      <c r="N41" s="145"/>
      <c r="O41" s="145"/>
      <c r="P41" s="145"/>
    </row>
    <row r="42" spans="1:16" s="83" customFormat="1" x14ac:dyDescent="0.2">
      <c r="A42" s="124" t="str">
        <v/>
      </c>
      <c r="B42" s="123" t="str">
        <f>IFERROR(TIMEVALUE(DaqBook_RAW_Data!#REF!),IFERROR(TIMEVALUE(DaqBook_RAW_Data!#REF!),""))</f>
        <v/>
      </c>
      <c r="C42" s="145"/>
      <c r="D42" s="145"/>
      <c r="E42" s="145"/>
      <c r="F42" s="145"/>
      <c r="G42" s="145"/>
      <c r="H42" s="145"/>
      <c r="I42" s="145"/>
      <c r="J42" s="145"/>
      <c r="K42" s="145"/>
      <c r="L42" s="145"/>
      <c r="M42" s="145"/>
      <c r="N42" s="145"/>
      <c r="O42" s="145"/>
      <c r="P42" s="145"/>
    </row>
    <row r="43" spans="1:16" s="83" customFormat="1" x14ac:dyDescent="0.2">
      <c r="A43" s="124" t="str">
        <v/>
      </c>
      <c r="B43" s="123" t="str">
        <f>IFERROR(TIMEVALUE(DaqBook_RAW_Data!#REF!),IFERROR(TIMEVALUE(DaqBook_RAW_Data!#REF!),""))</f>
        <v/>
      </c>
      <c r="C43" s="145"/>
      <c r="D43" s="145"/>
      <c r="E43" s="145"/>
      <c r="F43" s="145"/>
      <c r="G43" s="145"/>
      <c r="H43" s="145"/>
      <c r="I43" s="145"/>
      <c r="J43" s="145"/>
      <c r="K43" s="145"/>
      <c r="L43" s="145"/>
      <c r="M43" s="145"/>
      <c r="N43" s="145"/>
      <c r="O43" s="145"/>
      <c r="P43" s="145"/>
    </row>
    <row r="44" spans="1:16" s="83" customFormat="1" x14ac:dyDescent="0.2">
      <c r="A44" s="124" t="str">
        <v/>
      </c>
      <c r="B44" s="123" t="str">
        <f>IFERROR(TIMEVALUE(DaqBook_RAW_Data!#REF!),IFERROR(TIMEVALUE(DaqBook_RAW_Data!#REF!),""))</f>
        <v/>
      </c>
      <c r="C44" s="145"/>
      <c r="D44" s="145"/>
      <c r="E44" s="145"/>
      <c r="F44" s="145"/>
      <c r="G44" s="145"/>
      <c r="H44" s="145"/>
      <c r="I44" s="145"/>
      <c r="J44" s="145"/>
      <c r="K44" s="145"/>
      <c r="L44" s="145"/>
      <c r="M44" s="145"/>
      <c r="N44" s="145"/>
      <c r="O44" s="145"/>
      <c r="P44" s="145"/>
    </row>
    <row r="45" spans="1:16" s="83" customFormat="1" x14ac:dyDescent="0.2">
      <c r="A45" s="124" t="str">
        <v/>
      </c>
      <c r="B45" s="123" t="str">
        <f>IFERROR(TIMEVALUE(DaqBook_RAW_Data!#REF!),IFERROR(TIMEVALUE(DaqBook_RAW_Data!#REF!),""))</f>
        <v/>
      </c>
      <c r="C45" s="145"/>
      <c r="D45" s="145"/>
      <c r="E45" s="145"/>
      <c r="F45" s="145"/>
      <c r="G45" s="145"/>
      <c r="H45" s="145"/>
      <c r="I45" s="145"/>
      <c r="J45" s="145"/>
      <c r="K45" s="145"/>
      <c r="L45" s="145"/>
      <c r="M45" s="145"/>
      <c r="N45" s="145"/>
      <c r="O45" s="145"/>
      <c r="P45" s="145"/>
    </row>
    <row r="46" spans="1:16" s="83" customFormat="1" x14ac:dyDescent="0.2">
      <c r="A46" s="124" t="str">
        <v/>
      </c>
      <c r="B46" s="123" t="str">
        <f>IFERROR(TIMEVALUE(DaqBook_RAW_Data!#REF!),IFERROR(TIMEVALUE(DaqBook_RAW_Data!#REF!),""))</f>
        <v/>
      </c>
      <c r="C46" s="145"/>
      <c r="D46" s="145"/>
      <c r="E46" s="145"/>
      <c r="F46" s="145"/>
      <c r="G46" s="145"/>
      <c r="H46" s="145"/>
      <c r="I46" s="145"/>
      <c r="J46" s="145"/>
      <c r="K46" s="145"/>
      <c r="L46" s="145"/>
      <c r="M46" s="145"/>
      <c r="N46" s="145"/>
      <c r="O46" s="145"/>
      <c r="P46" s="145"/>
    </row>
    <row r="47" spans="1:16" s="83" customFormat="1" x14ac:dyDescent="0.2">
      <c r="A47" s="124" t="str">
        <v/>
      </c>
      <c r="B47" s="123" t="str">
        <f>IFERROR(TIMEVALUE(DaqBook_RAW_Data!#REF!),IFERROR(TIMEVALUE(DaqBook_RAW_Data!#REF!),""))</f>
        <v/>
      </c>
      <c r="C47" s="145"/>
      <c r="D47" s="145"/>
      <c r="E47" s="145"/>
      <c r="F47" s="145"/>
      <c r="G47" s="145"/>
      <c r="H47" s="145"/>
      <c r="I47" s="145"/>
      <c r="J47" s="145"/>
      <c r="K47" s="145"/>
      <c r="L47" s="145"/>
      <c r="M47" s="145"/>
      <c r="N47" s="145"/>
      <c r="O47" s="145"/>
      <c r="P47" s="145"/>
    </row>
    <row r="48" spans="1:16" s="83" customFormat="1" x14ac:dyDescent="0.2">
      <c r="A48" s="124" t="str">
        <v/>
      </c>
      <c r="B48" s="123" t="str">
        <f>IFERROR(TIMEVALUE(DaqBook_RAW_Data!AG4),IFERROR(TIMEVALUE(DaqBook_RAW_Data!#REF!),""))</f>
        <v/>
      </c>
      <c r="C48" s="145"/>
      <c r="D48" s="145"/>
      <c r="E48" s="145"/>
      <c r="F48" s="145"/>
      <c r="G48" s="145"/>
      <c r="H48" s="145"/>
      <c r="I48" s="145"/>
      <c r="J48" s="145"/>
      <c r="K48" s="145"/>
      <c r="L48" s="145"/>
      <c r="M48" s="145"/>
      <c r="N48" s="145"/>
      <c r="O48" s="145"/>
      <c r="P48" s="145"/>
    </row>
    <row r="49" spans="1:16" s="83" customFormat="1" x14ac:dyDescent="0.2">
      <c r="A49" s="124" t="str">
        <v/>
      </c>
      <c r="B49" s="123" t="str">
        <f>IFERROR(TIMEVALUE(DaqBook_RAW_Data!AG5),IFERROR(TIMEVALUE(DaqBook_RAW_Data!#REF!),""))</f>
        <v/>
      </c>
      <c r="C49" s="145"/>
      <c r="D49" s="145"/>
      <c r="E49" s="145"/>
      <c r="F49" s="145"/>
      <c r="G49" s="145"/>
      <c r="H49" s="145"/>
      <c r="I49" s="145"/>
      <c r="J49" s="145"/>
      <c r="K49" s="145"/>
      <c r="L49" s="145"/>
      <c r="M49" s="145"/>
      <c r="N49" s="145"/>
      <c r="O49" s="145"/>
      <c r="P49" s="145"/>
    </row>
    <row r="50" spans="1:16" s="83" customFormat="1" x14ac:dyDescent="0.2">
      <c r="A50" s="124" t="str">
        <v/>
      </c>
      <c r="B50" s="123" t="str">
        <f>IFERROR(TIMEVALUE(DaqBook_RAW_Data!AG6),IFERROR(TIMEVALUE(DaqBook_RAW_Data!#REF!),""))</f>
        <v/>
      </c>
      <c r="C50" s="145"/>
      <c r="D50" s="145"/>
      <c r="E50" s="145"/>
      <c r="F50" s="145"/>
      <c r="G50" s="145"/>
      <c r="H50" s="145"/>
      <c r="I50" s="145"/>
      <c r="J50" s="145"/>
      <c r="K50" s="145"/>
      <c r="L50" s="145"/>
      <c r="M50" s="145"/>
      <c r="N50" s="145"/>
      <c r="O50" s="145"/>
      <c r="P50" s="145"/>
    </row>
    <row r="51" spans="1:16" s="83" customFormat="1" x14ac:dyDescent="0.2">
      <c r="A51" s="124" t="str">
        <v/>
      </c>
      <c r="B51" s="123" t="str">
        <f>IFERROR(TIMEVALUE(DaqBook_RAW_Data!AG7),IFERROR(TIMEVALUE(DaqBook_RAW_Data!#REF!),""))</f>
        <v/>
      </c>
      <c r="C51" s="145"/>
      <c r="D51" s="145"/>
      <c r="E51" s="145"/>
      <c r="F51" s="145"/>
      <c r="G51" s="145"/>
      <c r="H51" s="145"/>
      <c r="I51" s="145"/>
      <c r="J51" s="145"/>
      <c r="K51" s="145"/>
      <c r="L51" s="145"/>
      <c r="M51" s="145"/>
      <c r="N51" s="145"/>
      <c r="O51" s="145"/>
      <c r="P51" s="145"/>
    </row>
    <row r="52" spans="1:16" s="83" customFormat="1" x14ac:dyDescent="0.2">
      <c r="A52" s="124" t="str">
        <v/>
      </c>
      <c r="B52" s="123" t="str">
        <f>IFERROR(TIMEVALUE(DaqBook_RAW_Data!AG8),IFERROR(TIMEVALUE(DaqBook_RAW_Data!#REF!),""))</f>
        <v/>
      </c>
      <c r="C52" s="145"/>
      <c r="D52" s="145"/>
      <c r="E52" s="145"/>
      <c r="F52" s="145"/>
      <c r="G52" s="145"/>
      <c r="H52" s="145"/>
      <c r="I52" s="145"/>
      <c r="J52" s="145"/>
      <c r="K52" s="145"/>
      <c r="L52" s="145"/>
      <c r="M52" s="145"/>
      <c r="N52" s="145"/>
      <c r="O52" s="145"/>
      <c r="P52" s="145"/>
    </row>
    <row r="53" spans="1:16" s="83" customFormat="1" x14ac:dyDescent="0.2">
      <c r="A53" s="124" t="str">
        <v/>
      </c>
      <c r="B53" s="123" t="str">
        <f>IFERROR(TIMEVALUE(DaqBook_RAW_Data!AG9),IFERROR(TIMEVALUE(DaqBook_RAW_Data!#REF!),""))</f>
        <v/>
      </c>
      <c r="C53" s="145"/>
      <c r="D53" s="145"/>
      <c r="E53" s="145"/>
      <c r="F53" s="145"/>
      <c r="G53" s="145"/>
      <c r="H53" s="145"/>
      <c r="I53" s="145"/>
      <c r="J53" s="145"/>
      <c r="K53" s="145"/>
      <c r="L53" s="145"/>
      <c r="M53" s="145"/>
      <c r="N53" s="145"/>
      <c r="O53" s="145"/>
      <c r="P53" s="145"/>
    </row>
    <row r="54" spans="1:16" s="83" customFormat="1" x14ac:dyDescent="0.2">
      <c r="A54" s="124" t="str">
        <v/>
      </c>
      <c r="B54" s="123" t="str">
        <f>IFERROR(TIMEVALUE(DaqBook_RAW_Data!AG10),IFERROR(TIMEVALUE(DaqBook_RAW_Data!#REF!),""))</f>
        <v/>
      </c>
      <c r="C54" s="145"/>
      <c r="D54" s="145"/>
      <c r="E54" s="145"/>
      <c r="F54" s="145"/>
      <c r="G54" s="145"/>
      <c r="H54" s="145"/>
      <c r="I54" s="145"/>
      <c r="J54" s="145"/>
      <c r="K54" s="145"/>
      <c r="L54" s="145"/>
      <c r="M54" s="145"/>
      <c r="N54" s="145"/>
      <c r="O54" s="145"/>
      <c r="P54" s="145"/>
    </row>
    <row r="55" spans="1:16" s="83" customFormat="1" x14ac:dyDescent="0.2">
      <c r="A55" s="124" t="str">
        <v/>
      </c>
      <c r="B55" s="123" t="str">
        <f>IFERROR(TIMEVALUE(DaqBook_RAW_Data!AG11),IFERROR(TIMEVALUE(DaqBook_RAW_Data!#REF!),""))</f>
        <v/>
      </c>
      <c r="C55" s="145"/>
      <c r="D55" s="145"/>
      <c r="E55" s="145"/>
      <c r="F55" s="145"/>
      <c r="G55" s="145"/>
      <c r="H55" s="145"/>
      <c r="I55" s="145"/>
      <c r="J55" s="145"/>
      <c r="K55" s="145"/>
      <c r="L55" s="145"/>
      <c r="M55" s="145"/>
      <c r="N55" s="145"/>
      <c r="O55" s="145"/>
      <c r="P55" s="145"/>
    </row>
    <row r="56" spans="1:16" s="83" customFormat="1" x14ac:dyDescent="0.2">
      <c r="A56" s="124" t="str">
        <v/>
      </c>
      <c r="B56" s="123" t="str">
        <f>IFERROR(TIMEVALUE(DaqBook_RAW_Data!AG12),IFERROR(TIMEVALUE(DaqBook_RAW_Data!#REF!),""))</f>
        <v/>
      </c>
      <c r="C56" s="145"/>
      <c r="D56" s="145"/>
      <c r="E56" s="145"/>
      <c r="F56" s="145"/>
      <c r="G56" s="145"/>
      <c r="H56" s="145"/>
      <c r="I56" s="145"/>
      <c r="J56" s="145"/>
      <c r="K56" s="145"/>
      <c r="L56" s="145"/>
      <c r="M56" s="145"/>
      <c r="N56" s="145"/>
      <c r="O56" s="145"/>
      <c r="P56" s="145"/>
    </row>
    <row r="57" spans="1:16" s="83" customFormat="1" x14ac:dyDescent="0.2">
      <c r="A57" s="124" t="str">
        <v/>
      </c>
      <c r="B57" s="123" t="str">
        <f>IFERROR(TIMEVALUE(DaqBook_RAW_Data!AG13),IFERROR(TIMEVALUE(DaqBook_RAW_Data!#REF!),""))</f>
        <v/>
      </c>
      <c r="C57" s="145"/>
      <c r="D57" s="145"/>
      <c r="E57" s="145"/>
      <c r="F57" s="145"/>
      <c r="G57" s="145"/>
      <c r="H57" s="145"/>
      <c r="I57" s="145"/>
      <c r="J57" s="145"/>
      <c r="K57" s="145"/>
      <c r="L57" s="145"/>
      <c r="M57" s="145"/>
      <c r="N57" s="145"/>
      <c r="O57" s="145"/>
      <c r="P57" s="145"/>
    </row>
    <row r="58" spans="1:16" s="83" customFormat="1" x14ac:dyDescent="0.2">
      <c r="A58" s="124" t="str">
        <v/>
      </c>
      <c r="B58" s="123" t="str">
        <f>IFERROR(TIMEVALUE(DaqBook_RAW_Data!AG14),IFERROR(TIMEVALUE(DaqBook_RAW_Data!#REF!),""))</f>
        <v/>
      </c>
      <c r="C58" s="145"/>
      <c r="D58" s="145"/>
      <c r="E58" s="145"/>
      <c r="F58" s="145"/>
      <c r="G58" s="145"/>
      <c r="H58" s="145"/>
      <c r="I58" s="145"/>
      <c r="J58" s="145"/>
      <c r="K58" s="145"/>
      <c r="L58" s="145"/>
      <c r="M58" s="145"/>
      <c r="N58" s="145"/>
      <c r="O58" s="145"/>
      <c r="P58" s="145"/>
    </row>
    <row r="59" spans="1:16" s="83" customFormat="1" x14ac:dyDescent="0.2">
      <c r="A59" s="124" t="str">
        <v/>
      </c>
      <c r="B59" s="123" t="str">
        <f>IFERROR(TIMEVALUE(DaqBook_RAW_Data!AG15),IFERROR(TIMEVALUE(DaqBook_RAW_Data!#REF!),""))</f>
        <v/>
      </c>
      <c r="C59" s="145"/>
      <c r="D59" s="145"/>
      <c r="E59" s="145"/>
      <c r="F59" s="145"/>
      <c r="G59" s="145"/>
      <c r="H59" s="145"/>
      <c r="I59" s="145"/>
      <c r="J59" s="145"/>
      <c r="K59" s="145"/>
      <c r="L59" s="145"/>
      <c r="M59" s="145"/>
      <c r="N59" s="145"/>
      <c r="O59" s="145"/>
      <c r="P59" s="145"/>
    </row>
    <row r="60" spans="1:16" s="83" customFormat="1" x14ac:dyDescent="0.2">
      <c r="A60" s="124" t="str">
        <v/>
      </c>
      <c r="B60" s="123" t="str">
        <f>IFERROR(TIMEVALUE(DaqBook_RAW_Data!AG16),IFERROR(TIMEVALUE(DaqBook_RAW_Data!#REF!),""))</f>
        <v/>
      </c>
      <c r="C60" s="145"/>
      <c r="D60" s="145"/>
      <c r="E60" s="145"/>
      <c r="F60" s="145"/>
      <c r="G60" s="145"/>
      <c r="H60" s="145"/>
      <c r="I60" s="145"/>
      <c r="J60" s="145"/>
      <c r="K60" s="145"/>
      <c r="L60" s="145"/>
      <c r="M60" s="145"/>
      <c r="N60" s="145"/>
      <c r="O60" s="145"/>
      <c r="P60" s="145"/>
    </row>
    <row r="61" spans="1:16" s="83" customFormat="1" x14ac:dyDescent="0.2">
      <c r="A61" s="124" t="str">
        <v/>
      </c>
      <c r="B61" s="123" t="str">
        <f>IFERROR(TIMEVALUE(DaqBook_RAW_Data!AG17),IFERROR(TIMEVALUE(DaqBook_RAW_Data!#REF!),""))</f>
        <v/>
      </c>
      <c r="C61" s="145"/>
      <c r="D61" s="145"/>
      <c r="E61" s="145"/>
      <c r="F61" s="145"/>
      <c r="G61" s="145"/>
      <c r="H61" s="145"/>
      <c r="I61" s="145"/>
      <c r="J61" s="145"/>
      <c r="K61" s="145"/>
      <c r="L61" s="145"/>
      <c r="M61" s="145"/>
      <c r="N61" s="145"/>
      <c r="O61" s="145"/>
      <c r="P61" s="145"/>
    </row>
    <row r="62" spans="1:16" s="83" customFormat="1" x14ac:dyDescent="0.2">
      <c r="A62" s="124" t="str">
        <v/>
      </c>
      <c r="B62" s="123" t="str">
        <f>IFERROR(TIMEVALUE(DaqBook_RAW_Data!AG18),IFERROR(TIMEVALUE(DaqBook_RAW_Data!#REF!),""))</f>
        <v/>
      </c>
      <c r="C62" s="145"/>
      <c r="D62" s="145"/>
      <c r="E62" s="145"/>
      <c r="F62" s="145"/>
      <c r="G62" s="145"/>
      <c r="H62" s="145"/>
      <c r="I62" s="145"/>
      <c r="J62" s="145"/>
      <c r="K62" s="145"/>
      <c r="L62" s="145"/>
      <c r="M62" s="145"/>
      <c r="N62" s="145"/>
      <c r="O62" s="145"/>
      <c r="P62" s="145"/>
    </row>
    <row r="63" spans="1:16" s="83" customFormat="1" x14ac:dyDescent="0.2">
      <c r="A63" s="124" t="str">
        <v/>
      </c>
      <c r="B63" s="123" t="str">
        <f>IFERROR(TIMEVALUE(DaqBook_RAW_Data!AG19),IFERROR(TIMEVALUE(DaqBook_RAW_Data!#REF!),""))</f>
        <v/>
      </c>
      <c r="C63" s="145"/>
      <c r="D63" s="145"/>
      <c r="E63" s="145"/>
      <c r="F63" s="145"/>
      <c r="G63" s="145"/>
      <c r="H63" s="145"/>
      <c r="I63" s="145"/>
      <c r="J63" s="145"/>
      <c r="K63" s="145"/>
      <c r="L63" s="145"/>
      <c r="M63" s="145"/>
      <c r="N63" s="145"/>
      <c r="O63" s="145"/>
      <c r="P63" s="145"/>
    </row>
    <row r="64" spans="1:16" s="83" customFormat="1" x14ac:dyDescent="0.2">
      <c r="A64" s="124" t="str">
        <v/>
      </c>
      <c r="B64" s="123" t="str">
        <f>IFERROR(TIMEVALUE(DaqBook_RAW_Data!AG20),IFERROR(TIMEVALUE(DaqBook_RAW_Data!#REF!),""))</f>
        <v/>
      </c>
      <c r="C64" s="145"/>
      <c r="D64" s="145"/>
      <c r="E64" s="145"/>
      <c r="F64" s="145"/>
      <c r="G64" s="145"/>
      <c r="H64" s="145"/>
      <c r="I64" s="145"/>
      <c r="J64" s="145"/>
      <c r="K64" s="145"/>
      <c r="L64" s="145"/>
      <c r="M64" s="145"/>
      <c r="N64" s="145"/>
      <c r="O64" s="145"/>
      <c r="P64" s="145"/>
    </row>
    <row r="65" spans="1:16" s="83" customFormat="1" x14ac:dyDescent="0.2">
      <c r="A65" s="124" t="str">
        <v/>
      </c>
      <c r="B65" s="123" t="str">
        <f>IFERROR(TIMEVALUE(DaqBook_RAW_Data!AG21),IFERROR(TIMEVALUE(DaqBook_RAW_Data!#REF!),""))</f>
        <v/>
      </c>
      <c r="C65" s="145"/>
      <c r="D65" s="145"/>
      <c r="E65" s="145"/>
      <c r="F65" s="145"/>
      <c r="G65" s="145"/>
      <c r="H65" s="145"/>
      <c r="I65" s="145"/>
      <c r="J65" s="145"/>
      <c r="K65" s="145"/>
      <c r="L65" s="145"/>
      <c r="M65" s="145"/>
      <c r="N65" s="145"/>
      <c r="O65" s="145"/>
      <c r="P65" s="145"/>
    </row>
    <row r="66" spans="1:16" s="83" customFormat="1" x14ac:dyDescent="0.2">
      <c r="A66" s="124" t="str">
        <v/>
      </c>
      <c r="B66" s="123" t="str">
        <f>IFERROR(TIMEVALUE(DaqBook_RAW_Data!AG22),IFERROR(TIMEVALUE(DaqBook_RAW_Data!#REF!),""))</f>
        <v/>
      </c>
      <c r="C66" s="145"/>
      <c r="D66" s="145"/>
      <c r="E66" s="145"/>
      <c r="F66" s="145"/>
      <c r="G66" s="145"/>
      <c r="H66" s="145"/>
      <c r="I66" s="145"/>
      <c r="J66" s="145"/>
      <c r="K66" s="145"/>
      <c r="L66" s="145"/>
      <c r="M66" s="145"/>
      <c r="N66" s="145"/>
      <c r="O66" s="145"/>
      <c r="P66" s="145"/>
    </row>
    <row r="67" spans="1:16" s="83" customFormat="1" x14ac:dyDescent="0.2">
      <c r="A67" s="124" t="str">
        <v/>
      </c>
      <c r="B67" s="123" t="str">
        <f>IFERROR(TIMEVALUE(DaqBook_RAW_Data!AG23),IFERROR(TIMEVALUE(DaqBook_RAW_Data!#REF!),""))</f>
        <v/>
      </c>
      <c r="C67" s="145"/>
      <c r="D67" s="145"/>
      <c r="E67" s="145"/>
      <c r="F67" s="145"/>
      <c r="G67" s="145"/>
      <c r="H67" s="145"/>
      <c r="I67" s="145"/>
      <c r="J67" s="145"/>
      <c r="K67" s="145"/>
      <c r="L67" s="145"/>
      <c r="M67" s="145"/>
      <c r="N67" s="145"/>
      <c r="O67" s="145"/>
      <c r="P67" s="145"/>
    </row>
    <row r="68" spans="1:16" s="83" customFormat="1" x14ac:dyDescent="0.2">
      <c r="A68" s="124" t="str">
        <v/>
      </c>
      <c r="B68" s="123" t="str">
        <f>IFERROR(TIMEVALUE(DaqBook_RAW_Data!AG24),IFERROR(TIMEVALUE(DaqBook_RAW_Data!#REF!),""))</f>
        <v/>
      </c>
      <c r="C68" s="145"/>
      <c r="D68" s="145"/>
      <c r="E68" s="145"/>
      <c r="F68" s="145"/>
      <c r="G68" s="145"/>
      <c r="H68" s="145"/>
      <c r="I68" s="145"/>
      <c r="J68" s="145"/>
      <c r="K68" s="145"/>
      <c r="L68" s="145"/>
      <c r="M68" s="145"/>
      <c r="N68" s="145"/>
      <c r="O68" s="145"/>
      <c r="P68" s="145"/>
    </row>
    <row r="69" spans="1:16" s="83" customFormat="1" x14ac:dyDescent="0.2">
      <c r="A69" s="124" t="str">
        <v/>
      </c>
      <c r="B69" s="123" t="str">
        <f>IFERROR(TIMEVALUE(DaqBook_RAW_Data!AG25),IFERROR(TIMEVALUE(DaqBook_RAW_Data!#REF!),""))</f>
        <v/>
      </c>
      <c r="C69" s="145"/>
      <c r="D69" s="145"/>
      <c r="E69" s="145"/>
      <c r="F69" s="145"/>
      <c r="G69" s="145"/>
      <c r="H69" s="145"/>
      <c r="I69" s="145"/>
      <c r="J69" s="145"/>
      <c r="K69" s="145"/>
      <c r="L69" s="145"/>
      <c r="M69" s="145"/>
      <c r="N69" s="145"/>
      <c r="O69" s="145"/>
      <c r="P69" s="145"/>
    </row>
    <row r="70" spans="1:16" s="83" customFormat="1" x14ac:dyDescent="0.2">
      <c r="A70" s="124" t="str">
        <v/>
      </c>
      <c r="B70" s="123" t="str">
        <f>IFERROR(TIMEVALUE(DaqBook_RAW_Data!AG26),IFERROR(TIMEVALUE(DaqBook_RAW_Data!#REF!),""))</f>
        <v/>
      </c>
      <c r="C70" s="145"/>
      <c r="D70" s="145"/>
      <c r="E70" s="145"/>
      <c r="F70" s="145"/>
      <c r="G70" s="145"/>
      <c r="H70" s="145"/>
      <c r="I70" s="145"/>
      <c r="J70" s="145"/>
      <c r="K70" s="145"/>
      <c r="L70" s="145"/>
      <c r="M70" s="145"/>
      <c r="N70" s="145"/>
      <c r="O70" s="145"/>
      <c r="P70" s="145"/>
    </row>
    <row r="71" spans="1:16" s="83" customFormat="1" x14ac:dyDescent="0.2">
      <c r="A71" s="124" t="str">
        <v/>
      </c>
      <c r="B71" s="123" t="str">
        <f>IFERROR(TIMEVALUE(DaqBook_RAW_Data!AG27),IFERROR(TIMEVALUE(DaqBook_RAW_Data!#REF!),""))</f>
        <v/>
      </c>
      <c r="C71" s="145"/>
      <c r="D71" s="145"/>
      <c r="E71" s="145"/>
      <c r="F71" s="145"/>
      <c r="G71" s="145"/>
      <c r="H71" s="145"/>
      <c r="I71" s="145"/>
      <c r="J71" s="145"/>
      <c r="K71" s="145"/>
      <c r="L71" s="145"/>
      <c r="M71" s="145"/>
      <c r="N71" s="145"/>
      <c r="O71" s="145"/>
      <c r="P71" s="145"/>
    </row>
    <row r="72" spans="1:16" s="83" customFormat="1" x14ac:dyDescent="0.2">
      <c r="A72" s="124" t="str">
        <v/>
      </c>
      <c r="B72" s="123" t="str">
        <f>IFERROR(TIMEVALUE(DaqBook_RAW_Data!AG28),IFERROR(TIMEVALUE(DaqBook_RAW_Data!#REF!),""))</f>
        <v/>
      </c>
      <c r="C72" s="145"/>
      <c r="D72" s="145"/>
      <c r="E72" s="145"/>
      <c r="F72" s="145"/>
      <c r="G72" s="145"/>
      <c r="H72" s="145"/>
      <c r="I72" s="145"/>
      <c r="J72" s="145"/>
      <c r="K72" s="145"/>
      <c r="L72" s="145"/>
      <c r="M72" s="145"/>
      <c r="N72" s="145"/>
      <c r="O72" s="145"/>
      <c r="P72" s="145"/>
    </row>
    <row r="73" spans="1:16" s="83" customFormat="1" x14ac:dyDescent="0.2">
      <c r="A73" s="124" t="str">
        <v/>
      </c>
      <c r="B73" s="123" t="str">
        <f>IFERROR(TIMEVALUE(DaqBook_RAW_Data!AG29),IFERROR(TIMEVALUE(DaqBook_RAW_Data!#REF!),""))</f>
        <v/>
      </c>
      <c r="C73" s="145"/>
      <c r="D73" s="145"/>
      <c r="E73" s="145"/>
      <c r="F73" s="145"/>
      <c r="G73" s="145"/>
      <c r="H73" s="145"/>
      <c r="I73" s="145"/>
      <c r="J73" s="145"/>
      <c r="K73" s="145"/>
      <c r="L73" s="145"/>
      <c r="M73" s="145"/>
      <c r="N73" s="145"/>
      <c r="O73" s="145"/>
      <c r="P73" s="145"/>
    </row>
    <row r="74" spans="1:16" s="83" customFormat="1" x14ac:dyDescent="0.2">
      <c r="A74" s="124" t="str">
        <v/>
      </c>
      <c r="B74" s="123" t="str">
        <f>IFERROR(TIMEVALUE(DaqBook_RAW_Data!AG30),IFERROR(TIMEVALUE(DaqBook_RAW_Data!#REF!),""))</f>
        <v/>
      </c>
      <c r="C74" s="145"/>
      <c r="D74" s="145"/>
      <c r="E74" s="145"/>
      <c r="F74" s="145"/>
      <c r="G74" s="145"/>
      <c r="H74" s="145"/>
      <c r="I74" s="145"/>
      <c r="J74" s="145"/>
      <c r="K74" s="145"/>
      <c r="L74" s="145"/>
      <c r="M74" s="145"/>
      <c r="N74" s="145"/>
      <c r="O74" s="145"/>
      <c r="P74" s="145"/>
    </row>
    <row r="75" spans="1:16" s="83" customFormat="1" x14ac:dyDescent="0.2">
      <c r="A75" s="124" t="str">
        <v/>
      </c>
      <c r="B75" s="123" t="str">
        <f>IFERROR(TIMEVALUE(DaqBook_RAW_Data!AG31),IFERROR(TIMEVALUE(DaqBook_RAW_Data!#REF!),""))</f>
        <v/>
      </c>
      <c r="C75" s="145"/>
      <c r="D75" s="145"/>
      <c r="E75" s="145"/>
      <c r="F75" s="145"/>
      <c r="G75" s="145"/>
      <c r="H75" s="145"/>
      <c r="I75" s="145"/>
      <c r="J75" s="145"/>
      <c r="K75" s="145"/>
      <c r="L75" s="145"/>
      <c r="M75" s="145"/>
      <c r="N75" s="145"/>
      <c r="O75" s="145"/>
      <c r="P75" s="145"/>
    </row>
    <row r="76" spans="1:16" s="83" customFormat="1" x14ac:dyDescent="0.2">
      <c r="A76" s="124" t="str">
        <v/>
      </c>
      <c r="B76" s="123" t="str">
        <f>IFERROR(TIMEVALUE(DaqBook_RAW_Data!AG32),IFERROR(TIMEVALUE(DaqBook_RAW_Data!#REF!),""))</f>
        <v/>
      </c>
      <c r="C76" s="145"/>
      <c r="D76" s="145"/>
      <c r="E76" s="145"/>
      <c r="F76" s="145"/>
      <c r="G76" s="145"/>
      <c r="H76" s="145"/>
      <c r="I76" s="145"/>
      <c r="J76" s="145"/>
      <c r="K76" s="145"/>
      <c r="L76" s="145"/>
      <c r="M76" s="145"/>
      <c r="N76" s="145"/>
      <c r="O76" s="145"/>
      <c r="P76" s="145"/>
    </row>
    <row r="77" spans="1:16" s="83" customFormat="1" x14ac:dyDescent="0.2">
      <c r="A77" s="124" t="str">
        <v/>
      </c>
      <c r="B77" s="123" t="str">
        <f>IFERROR(TIMEVALUE(DaqBook_RAW_Data!AG33),IFERROR(TIMEVALUE(DaqBook_RAW_Data!#REF!),""))</f>
        <v/>
      </c>
      <c r="C77" s="145"/>
      <c r="D77" s="145"/>
      <c r="E77" s="145"/>
      <c r="F77" s="145"/>
      <c r="G77" s="145"/>
      <c r="H77" s="145"/>
      <c r="I77" s="145"/>
      <c r="J77" s="145"/>
      <c r="K77" s="145"/>
      <c r="L77" s="145"/>
      <c r="M77" s="145"/>
      <c r="N77" s="145"/>
      <c r="O77" s="145"/>
      <c r="P77" s="145"/>
    </row>
    <row r="78" spans="1:16" s="83" customFormat="1" x14ac:dyDescent="0.2">
      <c r="A78" s="124" t="str">
        <v/>
      </c>
      <c r="B78" s="123" t="str">
        <f>IFERROR(TIMEVALUE(DaqBook_RAW_Data!AG34),IFERROR(TIMEVALUE(DaqBook_RAW_Data!#REF!),""))</f>
        <v/>
      </c>
      <c r="C78" s="145"/>
      <c r="D78" s="145"/>
      <c r="E78" s="145"/>
      <c r="F78" s="145"/>
      <c r="G78" s="145"/>
      <c r="H78" s="145"/>
      <c r="I78" s="145"/>
      <c r="J78" s="145"/>
      <c r="K78" s="145"/>
      <c r="L78" s="145"/>
      <c r="M78" s="145"/>
      <c r="N78" s="145"/>
      <c r="O78" s="145"/>
      <c r="P78" s="145"/>
    </row>
    <row r="79" spans="1:16" s="85" customFormat="1" x14ac:dyDescent="0.2">
      <c r="A79" s="84" t="str">
        <v/>
      </c>
      <c r="B79" s="123" t="str">
        <f>IFERROR(TIMEVALUE(DaqBook_RAW_Data!AG35),IFERROR(TIMEVALUE(DaqBook_RAW_Data!#REF!),""))</f>
        <v/>
      </c>
      <c r="C79" s="145"/>
      <c r="D79" s="145"/>
      <c r="E79" s="145"/>
      <c r="F79" s="145"/>
      <c r="G79" s="145"/>
      <c r="H79" s="145"/>
      <c r="I79" s="145"/>
      <c r="J79" s="145"/>
      <c r="K79" s="145"/>
      <c r="L79" s="145"/>
      <c r="M79" s="145"/>
      <c r="N79" s="145"/>
      <c r="O79" s="145"/>
      <c r="P79" s="145"/>
    </row>
    <row r="80" spans="1:16" s="85" customFormat="1" x14ac:dyDescent="0.2">
      <c r="A80" s="84" t="str">
        <v/>
      </c>
      <c r="B80" s="123" t="str">
        <f>IFERROR(TIMEVALUE(DaqBook_RAW_Data!AG36),IFERROR(TIMEVALUE(DaqBook_RAW_Data!#REF!),""))</f>
        <v/>
      </c>
      <c r="C80" s="145"/>
      <c r="D80" s="145"/>
      <c r="E80" s="145"/>
      <c r="F80" s="145"/>
      <c r="G80" s="145"/>
      <c r="H80" s="145"/>
      <c r="I80" s="145"/>
      <c r="J80" s="145"/>
      <c r="K80" s="145"/>
      <c r="L80" s="145"/>
      <c r="M80" s="145"/>
      <c r="N80" s="145"/>
      <c r="O80" s="145"/>
      <c r="P80" s="145"/>
    </row>
    <row r="81" spans="1:16" s="85" customFormat="1" x14ac:dyDescent="0.2">
      <c r="A81" s="84" t="str">
        <v/>
      </c>
      <c r="B81" s="123" t="str">
        <f>IFERROR(TIMEVALUE(DaqBook_RAW_Data!AG37),IFERROR(TIMEVALUE(DaqBook_RAW_Data!#REF!),""))</f>
        <v/>
      </c>
      <c r="C81" s="145"/>
      <c r="D81" s="145"/>
      <c r="E81" s="145"/>
      <c r="F81" s="145"/>
      <c r="G81" s="145"/>
      <c r="H81" s="145"/>
      <c r="I81" s="145"/>
      <c r="J81" s="145"/>
      <c r="K81" s="145"/>
      <c r="L81" s="145"/>
      <c r="M81" s="145"/>
      <c r="N81" s="145"/>
      <c r="O81" s="145"/>
      <c r="P81" s="145"/>
    </row>
    <row r="82" spans="1:16" s="85" customFormat="1" x14ac:dyDescent="0.2">
      <c r="A82" s="84" t="str">
        <v/>
      </c>
      <c r="B82" s="123" t="str">
        <f>IFERROR(TIMEVALUE(DaqBook_RAW_Data!AG38),IFERROR(TIMEVALUE(DaqBook_RAW_Data!#REF!),""))</f>
        <v/>
      </c>
      <c r="C82" s="145"/>
      <c r="D82" s="145"/>
      <c r="E82" s="145"/>
      <c r="F82" s="145"/>
      <c r="G82" s="145"/>
      <c r="H82" s="145"/>
      <c r="I82" s="145"/>
      <c r="J82" s="145"/>
      <c r="K82" s="145"/>
      <c r="L82" s="145"/>
      <c r="M82" s="145"/>
      <c r="N82" s="145"/>
      <c r="O82" s="145"/>
      <c r="P82" s="145"/>
    </row>
    <row r="83" spans="1:16" s="85" customFormat="1" x14ac:dyDescent="0.2">
      <c r="A83" s="84" t="str">
        <v/>
      </c>
      <c r="B83" s="123" t="str">
        <f>IFERROR(TIMEVALUE(DaqBook_RAW_Data!AG39),IFERROR(TIMEVALUE(DaqBook_RAW_Data!#REF!),""))</f>
        <v/>
      </c>
      <c r="C83" s="145"/>
      <c r="D83" s="145"/>
      <c r="E83" s="145"/>
      <c r="F83" s="145"/>
      <c r="G83" s="145"/>
      <c r="H83" s="145"/>
      <c r="I83" s="145"/>
      <c r="J83" s="145"/>
      <c r="K83" s="145"/>
      <c r="L83" s="145"/>
      <c r="M83" s="145"/>
      <c r="N83" s="145"/>
      <c r="O83" s="145"/>
      <c r="P83" s="145"/>
    </row>
    <row r="84" spans="1:16" s="83" customFormat="1" x14ac:dyDescent="0.2">
      <c r="A84" s="124" t="str">
        <v/>
      </c>
      <c r="B84" s="123" t="str">
        <f>IFERROR(TIMEVALUE(DaqBook_RAW_Data!AG40),IFERROR(TIMEVALUE(DaqBook_RAW_Data!#REF!),""))</f>
        <v/>
      </c>
      <c r="C84" s="145"/>
      <c r="D84" s="145"/>
      <c r="E84" s="145"/>
      <c r="F84" s="145"/>
      <c r="G84" s="145"/>
      <c r="H84" s="145"/>
      <c r="I84" s="145"/>
      <c r="J84" s="145"/>
      <c r="K84" s="145"/>
      <c r="L84" s="145"/>
      <c r="M84" s="145"/>
      <c r="N84" s="145"/>
      <c r="O84" s="145"/>
      <c r="P84" s="145"/>
    </row>
    <row r="85" spans="1:16" s="83" customFormat="1" x14ac:dyDescent="0.2">
      <c r="A85" s="124" t="str">
        <v/>
      </c>
      <c r="B85" s="123" t="str">
        <f>IFERROR(TIMEVALUE(DaqBook_RAW_Data!AG41),IFERROR(TIMEVALUE(DaqBook_RAW_Data!#REF!),""))</f>
        <v/>
      </c>
      <c r="C85" s="145"/>
      <c r="D85" s="145"/>
      <c r="E85" s="145"/>
      <c r="F85" s="145"/>
      <c r="G85" s="145"/>
      <c r="H85" s="145"/>
      <c r="I85" s="145"/>
      <c r="J85" s="145"/>
      <c r="K85" s="145"/>
      <c r="L85" s="145"/>
      <c r="M85" s="145"/>
      <c r="N85" s="145"/>
      <c r="O85" s="145"/>
      <c r="P85" s="145"/>
    </row>
    <row r="86" spans="1:16" s="83" customFormat="1" x14ac:dyDescent="0.2">
      <c r="A86" s="124" t="str">
        <v/>
      </c>
      <c r="B86" s="123" t="str">
        <f>IFERROR(TIMEVALUE(DaqBook_RAW_Data!AG42),IFERROR(TIMEVALUE(DaqBook_RAW_Data!#REF!),""))</f>
        <v/>
      </c>
      <c r="C86" s="145"/>
      <c r="D86" s="145"/>
      <c r="E86" s="145"/>
      <c r="F86" s="145"/>
      <c r="G86" s="145"/>
      <c r="H86" s="145"/>
      <c r="I86" s="145"/>
      <c r="J86" s="145"/>
      <c r="K86" s="145"/>
      <c r="L86" s="145"/>
      <c r="M86" s="145"/>
      <c r="N86" s="145"/>
      <c r="O86" s="145"/>
      <c r="P86" s="145"/>
    </row>
    <row r="87" spans="1:16" s="83" customFormat="1" x14ac:dyDescent="0.2">
      <c r="A87" s="124" t="str">
        <v/>
      </c>
      <c r="B87" s="123" t="str">
        <f>IFERROR(TIMEVALUE(DaqBook_RAW_Data!AG43),IFERROR(TIMEVALUE(DaqBook_RAW_Data!#REF!),""))</f>
        <v/>
      </c>
      <c r="C87" s="145"/>
      <c r="D87" s="145"/>
      <c r="E87" s="145"/>
      <c r="F87" s="145"/>
      <c r="G87" s="145"/>
      <c r="H87" s="145"/>
      <c r="I87" s="145"/>
      <c r="J87" s="145"/>
      <c r="K87" s="145"/>
      <c r="L87" s="145"/>
      <c r="M87" s="145"/>
      <c r="N87" s="145"/>
      <c r="O87" s="145"/>
      <c r="P87" s="145"/>
    </row>
    <row r="88" spans="1:16" s="83" customFormat="1" x14ac:dyDescent="0.2">
      <c r="A88" s="124" t="str">
        <v/>
      </c>
      <c r="B88" s="123" t="str">
        <f>IFERROR(TIMEVALUE(DaqBook_RAW_Data!AG44),IFERROR(TIMEVALUE(DaqBook_RAW_Data!#REF!),""))</f>
        <v/>
      </c>
      <c r="C88" s="145"/>
      <c r="D88" s="145"/>
      <c r="E88" s="145"/>
      <c r="F88" s="145"/>
      <c r="G88" s="145"/>
      <c r="H88" s="145"/>
      <c r="I88" s="145"/>
      <c r="J88" s="145"/>
      <c r="K88" s="145"/>
      <c r="L88" s="145"/>
      <c r="M88" s="145"/>
      <c r="N88" s="145"/>
      <c r="O88" s="145"/>
      <c r="P88" s="145"/>
    </row>
    <row r="89" spans="1:16" s="83" customFormat="1" x14ac:dyDescent="0.2">
      <c r="A89" s="124" t="str">
        <v/>
      </c>
      <c r="B89" s="123" t="str">
        <f>IFERROR(TIMEVALUE(DaqBook_RAW_Data!AG45),IFERROR(TIMEVALUE(DaqBook_RAW_Data!#REF!),""))</f>
        <v/>
      </c>
      <c r="C89" s="145"/>
      <c r="D89" s="145"/>
      <c r="E89" s="145"/>
      <c r="F89" s="145"/>
      <c r="G89" s="145"/>
      <c r="H89" s="145"/>
      <c r="I89" s="145"/>
      <c r="J89" s="145"/>
      <c r="K89" s="145"/>
      <c r="L89" s="145"/>
      <c r="M89" s="145"/>
      <c r="N89" s="145"/>
      <c r="O89" s="145"/>
      <c r="P89" s="145"/>
    </row>
    <row r="90" spans="1:16" s="83" customFormat="1" x14ac:dyDescent="0.2">
      <c r="A90" s="124" t="str">
        <v/>
      </c>
      <c r="B90" s="123" t="str">
        <f>IFERROR(TIMEVALUE(DaqBook_RAW_Data!AG46),IFERROR(TIMEVALUE(DaqBook_RAW_Data!#REF!),""))</f>
        <v/>
      </c>
      <c r="C90" s="145"/>
      <c r="D90" s="145"/>
      <c r="E90" s="145"/>
      <c r="F90" s="145"/>
      <c r="G90" s="145"/>
      <c r="H90" s="145"/>
      <c r="I90" s="145"/>
      <c r="J90" s="145"/>
      <c r="K90" s="145"/>
      <c r="L90" s="145"/>
      <c r="M90" s="145"/>
      <c r="N90" s="145"/>
      <c r="O90" s="145"/>
      <c r="P90" s="145"/>
    </row>
    <row r="91" spans="1:16" s="83" customFormat="1" x14ac:dyDescent="0.2">
      <c r="A91" s="124" t="str">
        <v/>
      </c>
      <c r="B91" s="123" t="str">
        <f>IFERROR(TIMEVALUE(DaqBook_RAW_Data!AG47),IFERROR(TIMEVALUE(DaqBook_RAW_Data!#REF!),""))</f>
        <v/>
      </c>
      <c r="C91" s="145"/>
      <c r="D91" s="145"/>
      <c r="E91" s="145"/>
      <c r="F91" s="145"/>
      <c r="G91" s="145"/>
      <c r="H91" s="145"/>
      <c r="I91" s="145"/>
      <c r="J91" s="145"/>
      <c r="K91" s="145"/>
      <c r="L91" s="145"/>
      <c r="M91" s="145"/>
      <c r="N91" s="145"/>
      <c r="O91" s="145"/>
      <c r="P91" s="145"/>
    </row>
    <row r="92" spans="1:16" s="83" customFormat="1" x14ac:dyDescent="0.2">
      <c r="A92" s="124" t="str">
        <v/>
      </c>
      <c r="B92" s="123" t="str">
        <f>IFERROR(TIMEVALUE(DaqBook_RAW_Data!AG48),IFERROR(TIMEVALUE(DaqBook_RAW_Data!#REF!),""))</f>
        <v/>
      </c>
      <c r="C92" s="145"/>
      <c r="D92" s="145"/>
      <c r="E92" s="145"/>
      <c r="F92" s="145"/>
      <c r="G92" s="145"/>
      <c r="H92" s="145"/>
      <c r="I92" s="145"/>
      <c r="J92" s="145"/>
      <c r="K92" s="145"/>
      <c r="L92" s="145"/>
      <c r="M92" s="145"/>
      <c r="N92" s="145"/>
      <c r="O92" s="145"/>
      <c r="P92" s="145"/>
    </row>
    <row r="93" spans="1:16" s="83" customFormat="1" x14ac:dyDescent="0.2">
      <c r="A93" s="124" t="str">
        <v/>
      </c>
      <c r="B93" s="123" t="str">
        <f>IFERROR(TIMEVALUE(DaqBook_RAW_Data!AG49),IFERROR(TIMEVALUE(DaqBook_RAW_Data!#REF!),""))</f>
        <v/>
      </c>
      <c r="C93" s="145"/>
      <c r="D93" s="145"/>
      <c r="E93" s="145"/>
      <c r="F93" s="145"/>
      <c r="G93" s="145"/>
      <c r="H93" s="145"/>
      <c r="I93" s="145"/>
      <c r="J93" s="145"/>
      <c r="K93" s="145"/>
      <c r="L93" s="145"/>
      <c r="M93" s="145"/>
      <c r="N93" s="145"/>
      <c r="O93" s="145"/>
      <c r="P93" s="145"/>
    </row>
    <row r="94" spans="1:16" s="83" customFormat="1" x14ac:dyDescent="0.2">
      <c r="A94" s="124" t="str">
        <v/>
      </c>
      <c r="B94" s="123" t="str">
        <f>IFERROR(TIMEVALUE(DaqBook_RAW_Data!AG50),IFERROR(TIMEVALUE(DaqBook_RAW_Data!#REF!),""))</f>
        <v/>
      </c>
      <c r="C94" s="145"/>
      <c r="D94" s="145"/>
      <c r="E94" s="145"/>
      <c r="F94" s="145"/>
      <c r="G94" s="145"/>
      <c r="H94" s="145"/>
      <c r="I94" s="145"/>
      <c r="J94" s="145"/>
      <c r="K94" s="145"/>
      <c r="L94" s="145"/>
      <c r="M94" s="145"/>
      <c r="N94" s="145"/>
      <c r="O94" s="145"/>
      <c r="P94" s="145"/>
    </row>
    <row r="95" spans="1:16" s="83" customFormat="1" x14ac:dyDescent="0.2">
      <c r="A95" s="124" t="str">
        <v/>
      </c>
      <c r="B95" s="123" t="str">
        <f>IFERROR(TIMEVALUE(DaqBook_RAW_Data!AG51),IFERROR(TIMEVALUE(DaqBook_RAW_Data!#REF!),""))</f>
        <v/>
      </c>
      <c r="C95" s="145"/>
      <c r="D95" s="145"/>
      <c r="E95" s="145"/>
      <c r="F95" s="145"/>
      <c r="G95" s="145"/>
      <c r="H95" s="145"/>
      <c r="I95" s="145"/>
      <c r="J95" s="145"/>
      <c r="K95" s="145"/>
      <c r="L95" s="145"/>
      <c r="M95" s="145"/>
      <c r="N95" s="145"/>
      <c r="O95" s="145"/>
      <c r="P95" s="145"/>
    </row>
    <row r="96" spans="1:16" s="83" customFormat="1" x14ac:dyDescent="0.2">
      <c r="A96" s="124" t="str">
        <v/>
      </c>
      <c r="B96" s="123" t="str">
        <f>IFERROR(TIMEVALUE(DaqBook_RAW_Data!AG52),IFERROR(TIMEVALUE(DaqBook_RAW_Data!#REF!),""))</f>
        <v/>
      </c>
      <c r="C96" s="145"/>
      <c r="D96" s="145"/>
      <c r="E96" s="145"/>
      <c r="F96" s="145"/>
      <c r="G96" s="145"/>
      <c r="H96" s="145"/>
      <c r="I96" s="145"/>
      <c r="J96" s="145"/>
      <c r="K96" s="145"/>
      <c r="L96" s="145"/>
      <c r="M96" s="145"/>
      <c r="N96" s="145"/>
      <c r="O96" s="145"/>
      <c r="P96" s="145"/>
    </row>
    <row r="97" spans="1:16" s="83" customFormat="1" x14ac:dyDescent="0.2">
      <c r="A97" s="124" t="str">
        <v/>
      </c>
      <c r="B97" s="123" t="str">
        <f>IFERROR(TIMEVALUE(DaqBook_RAW_Data!AG53),IFERROR(TIMEVALUE(DaqBook_RAW_Data!#REF!),""))</f>
        <v/>
      </c>
      <c r="C97" s="145"/>
      <c r="D97" s="145"/>
      <c r="E97" s="145"/>
      <c r="F97" s="145"/>
      <c r="G97" s="145"/>
      <c r="H97" s="145"/>
      <c r="I97" s="145"/>
      <c r="J97" s="145"/>
      <c r="K97" s="145"/>
      <c r="L97" s="145"/>
      <c r="M97" s="145"/>
      <c r="N97" s="145"/>
      <c r="O97" s="145"/>
      <c r="P97" s="145"/>
    </row>
    <row r="98" spans="1:16" s="83" customFormat="1" x14ac:dyDescent="0.2">
      <c r="A98" s="124" t="str">
        <v/>
      </c>
      <c r="B98" s="123" t="str">
        <f>IFERROR(TIMEVALUE(DaqBook_RAW_Data!AG54),IFERROR(TIMEVALUE(DaqBook_RAW_Data!#REF!),""))</f>
        <v/>
      </c>
      <c r="C98" s="145"/>
      <c r="D98" s="145"/>
      <c r="E98" s="145"/>
      <c r="F98" s="145"/>
      <c r="G98" s="145"/>
      <c r="H98" s="145"/>
      <c r="I98" s="145"/>
      <c r="J98" s="145"/>
      <c r="K98" s="145"/>
      <c r="L98" s="145"/>
      <c r="M98" s="145"/>
      <c r="N98" s="145"/>
      <c r="O98" s="145"/>
      <c r="P98" s="145"/>
    </row>
    <row r="99" spans="1:16" s="83" customFormat="1" x14ac:dyDescent="0.2">
      <c r="A99" s="124" t="str">
        <v/>
      </c>
      <c r="B99" s="123" t="str">
        <f>IFERROR(TIMEVALUE(DaqBook_RAW_Data!AG55),IFERROR(TIMEVALUE(DaqBook_RAW_Data!#REF!),""))</f>
        <v/>
      </c>
      <c r="C99" s="145"/>
      <c r="D99" s="145"/>
      <c r="E99" s="145"/>
      <c r="F99" s="145"/>
      <c r="G99" s="145"/>
      <c r="H99" s="145"/>
      <c r="I99" s="145"/>
      <c r="J99" s="145"/>
      <c r="K99" s="145"/>
      <c r="L99" s="145"/>
      <c r="M99" s="145"/>
      <c r="N99" s="145"/>
      <c r="O99" s="145"/>
      <c r="P99" s="145"/>
    </row>
    <row r="100" spans="1:16" s="83" customFormat="1" x14ac:dyDescent="0.2">
      <c r="A100" s="124" t="str">
        <v/>
      </c>
      <c r="B100" s="123" t="str">
        <f>IFERROR(TIMEVALUE(DaqBook_RAW_Data!AG56),IFERROR(TIMEVALUE(DaqBook_RAW_Data!#REF!),""))</f>
        <v/>
      </c>
      <c r="C100" s="145"/>
      <c r="D100" s="145"/>
      <c r="E100" s="145"/>
      <c r="F100" s="145"/>
      <c r="G100" s="145"/>
      <c r="H100" s="145"/>
      <c r="I100" s="145"/>
      <c r="J100" s="145"/>
      <c r="K100" s="145"/>
      <c r="L100" s="145"/>
      <c r="M100" s="145"/>
      <c r="N100" s="145"/>
      <c r="O100" s="145"/>
      <c r="P100" s="145"/>
    </row>
    <row r="101" spans="1:16" s="83" customFormat="1" x14ac:dyDescent="0.2">
      <c r="A101" s="124" t="str">
        <v/>
      </c>
      <c r="B101" s="123" t="str">
        <f>IFERROR(TIMEVALUE(DaqBook_RAW_Data!AG57),IFERROR(TIMEVALUE(DaqBook_RAW_Data!#REF!),""))</f>
        <v/>
      </c>
      <c r="C101" s="145"/>
      <c r="D101" s="145"/>
      <c r="E101" s="145"/>
      <c r="F101" s="145"/>
      <c r="G101" s="145"/>
      <c r="H101" s="145"/>
      <c r="I101" s="145"/>
      <c r="J101" s="145"/>
      <c r="K101" s="145"/>
      <c r="L101" s="145"/>
      <c r="M101" s="145"/>
      <c r="N101" s="145"/>
      <c r="O101" s="145"/>
      <c r="P101" s="145"/>
    </row>
    <row r="102" spans="1:16" s="83" customFormat="1" x14ac:dyDescent="0.2">
      <c r="A102" s="124" t="str">
        <v/>
      </c>
      <c r="B102" s="123" t="str">
        <f>IFERROR(TIMEVALUE(DaqBook_RAW_Data!AG58),IFERROR(TIMEVALUE(DaqBook_RAW_Data!#REF!),""))</f>
        <v/>
      </c>
      <c r="C102" s="145"/>
      <c r="D102" s="145"/>
      <c r="E102" s="145"/>
      <c r="F102" s="145"/>
      <c r="G102" s="145"/>
      <c r="H102" s="145"/>
      <c r="I102" s="145"/>
      <c r="J102" s="145"/>
      <c r="K102" s="145"/>
      <c r="L102" s="145"/>
      <c r="M102" s="145"/>
      <c r="N102" s="145"/>
      <c r="O102" s="145"/>
      <c r="P102" s="145"/>
    </row>
    <row r="103" spans="1:16" s="83" customFormat="1" x14ac:dyDescent="0.2">
      <c r="A103" s="124" t="str">
        <v/>
      </c>
      <c r="B103" s="123" t="str">
        <f>IFERROR(TIMEVALUE(DaqBook_RAW_Data!AG59),IFERROR(TIMEVALUE(DaqBook_RAW_Data!#REF!),""))</f>
        <v/>
      </c>
      <c r="C103" s="145"/>
      <c r="D103" s="145"/>
      <c r="E103" s="145"/>
      <c r="F103" s="145"/>
      <c r="G103" s="145"/>
      <c r="H103" s="145"/>
      <c r="I103" s="145"/>
      <c r="J103" s="145"/>
      <c r="K103" s="145"/>
      <c r="L103" s="145"/>
      <c r="M103" s="145"/>
      <c r="N103" s="145"/>
      <c r="O103" s="145"/>
      <c r="P103" s="145"/>
    </row>
    <row r="104" spans="1:16" s="83" customFormat="1" x14ac:dyDescent="0.2">
      <c r="A104" s="124" t="str">
        <v/>
      </c>
      <c r="B104" s="123" t="str">
        <f>IFERROR(TIMEVALUE(DaqBook_RAW_Data!AG60),IFERROR(TIMEVALUE(DaqBook_RAW_Data!#REF!),""))</f>
        <v/>
      </c>
      <c r="C104" s="145"/>
      <c r="D104" s="145"/>
      <c r="E104" s="145"/>
      <c r="F104" s="145"/>
      <c r="G104" s="145"/>
      <c r="H104" s="145"/>
      <c r="I104" s="145"/>
      <c r="J104" s="145"/>
      <c r="K104" s="145"/>
      <c r="L104" s="145"/>
      <c r="M104" s="145"/>
      <c r="N104" s="145"/>
      <c r="O104" s="145"/>
      <c r="P104" s="145"/>
    </row>
    <row r="105" spans="1:16" s="83" customFormat="1" x14ac:dyDescent="0.2">
      <c r="A105" s="124" t="str">
        <v/>
      </c>
      <c r="B105" s="123" t="str">
        <f>IFERROR(TIMEVALUE(DaqBook_RAW_Data!AG61),IFERROR(TIMEVALUE(DaqBook_RAW_Data!#REF!),""))</f>
        <v/>
      </c>
      <c r="C105" s="145"/>
      <c r="D105" s="145"/>
      <c r="E105" s="145"/>
      <c r="F105" s="145"/>
      <c r="G105" s="145"/>
      <c r="H105" s="145"/>
      <c r="I105" s="145"/>
      <c r="J105" s="145"/>
      <c r="K105" s="145"/>
      <c r="L105" s="145"/>
      <c r="M105" s="145"/>
      <c r="N105" s="145"/>
      <c r="O105" s="145"/>
      <c r="P105" s="145"/>
    </row>
    <row r="106" spans="1:16" x14ac:dyDescent="0.2">
      <c r="A106" s="58" t="str">
        <v/>
      </c>
      <c r="B106" s="123" t="str">
        <f>IFERROR(TIMEVALUE(DaqBook_RAW_Data!AG62),IFERROR(TIMEVALUE(DaqBook_RAW_Data!#REF!),""))</f>
        <v/>
      </c>
      <c r="C106" s="145"/>
      <c r="D106" s="145"/>
      <c r="E106" s="145"/>
      <c r="F106" s="145"/>
      <c r="G106" s="145"/>
      <c r="H106" s="145"/>
      <c r="I106" s="145"/>
      <c r="J106" s="145"/>
      <c r="K106" s="145"/>
      <c r="L106" s="145"/>
      <c r="M106" s="145"/>
      <c r="N106" s="145"/>
      <c r="O106" s="145"/>
      <c r="P106" s="145"/>
    </row>
    <row r="107" spans="1:16" x14ac:dyDescent="0.2">
      <c r="A107" s="58" t="str">
        <v/>
      </c>
      <c r="B107" s="123" t="str">
        <f>IFERROR(TIMEVALUE(DaqBook_RAW_Data!AG63),IFERROR(TIMEVALUE(DaqBook_RAW_Data!#REF!),""))</f>
        <v/>
      </c>
      <c r="C107" s="145"/>
      <c r="D107" s="145"/>
      <c r="E107" s="145"/>
      <c r="F107" s="145"/>
      <c r="G107" s="145"/>
      <c r="H107" s="145"/>
      <c r="I107" s="145"/>
      <c r="J107" s="145"/>
      <c r="K107" s="145"/>
      <c r="L107" s="145"/>
      <c r="M107" s="145"/>
      <c r="N107" s="145"/>
      <c r="O107" s="145"/>
      <c r="P107" s="145"/>
    </row>
    <row r="108" spans="1:16" x14ac:dyDescent="0.2">
      <c r="A108" s="58" t="str">
        <v/>
      </c>
      <c r="B108" s="123" t="str">
        <f>IFERROR(TIMEVALUE(DaqBook_RAW_Data!AG64),IFERROR(TIMEVALUE(DaqBook_RAW_Data!#REF!),""))</f>
        <v/>
      </c>
      <c r="C108" s="145"/>
      <c r="D108" s="145"/>
      <c r="E108" s="145"/>
      <c r="F108" s="145"/>
      <c r="G108" s="145"/>
      <c r="H108" s="145"/>
      <c r="I108" s="145"/>
      <c r="J108" s="145"/>
      <c r="K108" s="145"/>
      <c r="L108" s="145"/>
      <c r="M108" s="145"/>
      <c r="N108" s="145"/>
      <c r="O108" s="145"/>
      <c r="P108" s="145"/>
    </row>
    <row r="109" spans="1:16" x14ac:dyDescent="0.2">
      <c r="A109" s="58" t="str">
        <v/>
      </c>
      <c r="B109" s="123" t="str">
        <f>IFERROR(TIMEVALUE(DaqBook_RAW_Data!AG65),IFERROR(TIMEVALUE(DaqBook_RAW_Data!#REF!),""))</f>
        <v/>
      </c>
      <c r="C109" s="145"/>
      <c r="D109" s="145"/>
      <c r="E109" s="145"/>
      <c r="F109" s="145"/>
      <c r="G109" s="145"/>
      <c r="H109" s="145"/>
      <c r="I109" s="145"/>
      <c r="J109" s="145"/>
      <c r="K109" s="145"/>
      <c r="L109" s="145"/>
      <c r="M109" s="145"/>
      <c r="N109" s="145"/>
      <c r="O109" s="145"/>
      <c r="P109" s="145"/>
    </row>
    <row r="110" spans="1:16" x14ac:dyDescent="0.2">
      <c r="A110" s="58" t="str">
        <v/>
      </c>
      <c r="B110" s="123" t="str">
        <f>IFERROR(TIMEVALUE(DaqBook_RAW_Data!AG66),IFERROR(TIMEVALUE(DaqBook_RAW_Data!#REF!),""))</f>
        <v/>
      </c>
      <c r="C110" s="145"/>
      <c r="D110" s="145"/>
      <c r="E110" s="145"/>
      <c r="F110" s="145"/>
      <c r="G110" s="145"/>
      <c r="H110" s="145"/>
      <c r="I110" s="145"/>
      <c r="J110" s="145"/>
      <c r="K110" s="145"/>
      <c r="L110" s="145"/>
      <c r="M110" s="145"/>
      <c r="N110" s="145"/>
      <c r="O110" s="145"/>
      <c r="P110" s="145"/>
    </row>
    <row r="111" spans="1:16" x14ac:dyDescent="0.2">
      <c r="A111" s="58" t="str">
        <v/>
      </c>
      <c r="B111" s="123" t="str">
        <f>IFERROR(TIMEVALUE(DaqBook_RAW_Data!AG67),IFERROR(TIMEVALUE(DaqBook_RAW_Data!#REF!),""))</f>
        <v/>
      </c>
      <c r="C111" s="145"/>
      <c r="D111" s="145"/>
      <c r="E111" s="145"/>
      <c r="F111" s="145"/>
      <c r="G111" s="145"/>
      <c r="H111" s="145"/>
      <c r="I111" s="145"/>
      <c r="J111" s="145"/>
      <c r="K111" s="145"/>
      <c r="L111" s="145"/>
      <c r="M111" s="145"/>
      <c r="N111" s="145"/>
      <c r="O111" s="145"/>
      <c r="P111" s="145"/>
    </row>
    <row r="112" spans="1:16" x14ac:dyDescent="0.2">
      <c r="A112" s="58" t="str">
        <v/>
      </c>
      <c r="B112" s="123" t="str">
        <f>IFERROR(TIMEVALUE(DaqBook_RAW_Data!AG68),IFERROR(TIMEVALUE(DaqBook_RAW_Data!#REF!),""))</f>
        <v/>
      </c>
      <c r="C112" s="145"/>
      <c r="D112" s="145"/>
      <c r="E112" s="145"/>
      <c r="F112" s="145"/>
      <c r="G112" s="145"/>
      <c r="H112" s="145"/>
      <c r="I112" s="145"/>
      <c r="J112" s="145"/>
      <c r="K112" s="145"/>
      <c r="L112" s="145"/>
      <c r="M112" s="145"/>
      <c r="N112" s="145"/>
      <c r="O112" s="145"/>
      <c r="P112" s="145"/>
    </row>
    <row r="113" spans="1:16" x14ac:dyDescent="0.2">
      <c r="A113" s="58" t="str">
        <v/>
      </c>
      <c r="B113" s="123" t="str">
        <f>IFERROR(TIMEVALUE(DaqBook_RAW_Data!AG69),IFERROR(TIMEVALUE(DaqBook_RAW_Data!#REF!),""))</f>
        <v/>
      </c>
      <c r="C113" s="145"/>
      <c r="D113" s="145"/>
      <c r="E113" s="145"/>
      <c r="F113" s="145"/>
      <c r="G113" s="145"/>
      <c r="H113" s="145"/>
      <c r="I113" s="145"/>
      <c r="J113" s="145"/>
      <c r="K113" s="145"/>
      <c r="L113" s="145"/>
      <c r="M113" s="145"/>
      <c r="N113" s="145"/>
      <c r="O113" s="145"/>
      <c r="P113" s="145"/>
    </row>
    <row r="114" spans="1:16" x14ac:dyDescent="0.2">
      <c r="A114" s="58" t="str">
        <v/>
      </c>
      <c r="B114" s="123" t="str">
        <f>IFERROR(TIMEVALUE(DaqBook_RAW_Data!AG70),IFERROR(TIMEVALUE(DaqBook_RAW_Data!#REF!),""))</f>
        <v/>
      </c>
      <c r="C114" s="145"/>
      <c r="D114" s="145"/>
      <c r="E114" s="145"/>
      <c r="F114" s="145"/>
      <c r="G114" s="145"/>
      <c r="H114" s="145"/>
      <c r="I114" s="145"/>
      <c r="J114" s="145"/>
      <c r="K114" s="145"/>
      <c r="L114" s="145"/>
      <c r="M114" s="145"/>
      <c r="N114" s="145"/>
      <c r="O114" s="145"/>
      <c r="P114" s="145"/>
    </row>
    <row r="115" spans="1:16" x14ac:dyDescent="0.2">
      <c r="A115" s="58" t="str">
        <v/>
      </c>
      <c r="B115" s="123" t="str">
        <f>IFERROR(TIMEVALUE(DaqBook_RAW_Data!AG71),IFERROR(TIMEVALUE(DaqBook_RAW_Data!#REF!),""))</f>
        <v/>
      </c>
      <c r="C115" s="145"/>
      <c r="D115" s="145"/>
      <c r="E115" s="145"/>
      <c r="F115" s="145"/>
      <c r="G115" s="145"/>
      <c r="H115" s="145"/>
      <c r="I115" s="145"/>
      <c r="J115" s="145"/>
      <c r="K115" s="145"/>
      <c r="L115" s="145"/>
      <c r="M115" s="145"/>
      <c r="N115" s="145"/>
      <c r="O115" s="145"/>
      <c r="P115" s="145"/>
    </row>
    <row r="116" spans="1:16" x14ac:dyDescent="0.2">
      <c r="A116" s="58" t="str">
        <v/>
      </c>
      <c r="B116" s="123" t="str">
        <f>IFERROR(TIMEVALUE(DaqBook_RAW_Data!AG72),IFERROR(TIMEVALUE(DaqBook_RAW_Data!#REF!),""))</f>
        <v/>
      </c>
      <c r="C116" s="145"/>
      <c r="D116" s="145"/>
      <c r="E116" s="145"/>
      <c r="F116" s="145"/>
      <c r="G116" s="145"/>
      <c r="H116" s="145"/>
      <c r="I116" s="145"/>
      <c r="J116" s="145"/>
      <c r="K116" s="145"/>
      <c r="L116" s="145"/>
      <c r="M116" s="145"/>
      <c r="N116" s="145"/>
      <c r="O116" s="145"/>
      <c r="P116" s="145"/>
    </row>
    <row r="117" spans="1:16" x14ac:dyDescent="0.2">
      <c r="A117" s="58" t="str">
        <v/>
      </c>
      <c r="B117" s="123" t="str">
        <f>IFERROR(TIMEVALUE(DaqBook_RAW_Data!AG73),IFERROR(TIMEVALUE(DaqBook_RAW_Data!#REF!),""))</f>
        <v/>
      </c>
      <c r="C117" s="145"/>
      <c r="D117" s="145"/>
      <c r="E117" s="145"/>
      <c r="F117" s="145"/>
      <c r="G117" s="145"/>
      <c r="H117" s="145"/>
      <c r="I117" s="145"/>
      <c r="J117" s="145"/>
      <c r="K117" s="145"/>
      <c r="L117" s="145"/>
      <c r="M117" s="145"/>
      <c r="N117" s="145"/>
      <c r="O117" s="145"/>
      <c r="P117" s="145"/>
    </row>
    <row r="118" spans="1:16" x14ac:dyDescent="0.2">
      <c r="A118" s="58" t="str">
        <v/>
      </c>
      <c r="B118" s="123" t="str">
        <f>IFERROR(TIMEVALUE(DaqBook_RAW_Data!AG74),IFERROR(TIMEVALUE(DaqBook_RAW_Data!#REF!),""))</f>
        <v/>
      </c>
      <c r="C118" s="145"/>
      <c r="D118" s="145"/>
      <c r="E118" s="145"/>
      <c r="F118" s="145"/>
      <c r="G118" s="145"/>
      <c r="H118" s="145"/>
      <c r="I118" s="145"/>
      <c r="J118" s="145"/>
      <c r="K118" s="145"/>
      <c r="L118" s="145"/>
      <c r="M118" s="145"/>
      <c r="N118" s="145"/>
      <c r="O118" s="145"/>
      <c r="P118" s="145"/>
    </row>
    <row r="119" spans="1:16" x14ac:dyDescent="0.2">
      <c r="A119" s="58" t="str">
        <v/>
      </c>
      <c r="B119" s="123" t="str">
        <f>IFERROR(TIMEVALUE(DaqBook_RAW_Data!AG75),IFERROR(TIMEVALUE(DaqBook_RAW_Data!#REF!),""))</f>
        <v/>
      </c>
      <c r="C119" s="145"/>
      <c r="D119" s="145"/>
      <c r="E119" s="145"/>
      <c r="F119" s="145"/>
      <c r="G119" s="145"/>
      <c r="H119" s="145"/>
      <c r="I119" s="145"/>
      <c r="J119" s="145"/>
      <c r="K119" s="145"/>
      <c r="L119" s="145"/>
      <c r="M119" s="145"/>
      <c r="N119" s="145"/>
      <c r="O119" s="145"/>
      <c r="P119" s="145"/>
    </row>
    <row r="120" spans="1:16" x14ac:dyDescent="0.2">
      <c r="A120" s="58" t="str">
        <v/>
      </c>
      <c r="B120" s="123" t="str">
        <f>IFERROR(TIMEVALUE(DaqBook_RAW_Data!AG76),IFERROR(TIMEVALUE(DaqBook_RAW_Data!#REF!),""))</f>
        <v/>
      </c>
      <c r="C120" s="145"/>
      <c r="D120" s="145"/>
      <c r="E120" s="145"/>
      <c r="F120" s="145"/>
      <c r="G120" s="145"/>
      <c r="H120" s="145"/>
      <c r="I120" s="145"/>
      <c r="J120" s="145"/>
      <c r="K120" s="145"/>
      <c r="L120" s="145"/>
      <c r="M120" s="145"/>
      <c r="N120" s="145"/>
      <c r="O120" s="145"/>
      <c r="P120" s="145"/>
    </row>
    <row r="121" spans="1:16" x14ac:dyDescent="0.2">
      <c r="A121" s="58" t="str">
        <v/>
      </c>
      <c r="B121" s="123" t="str">
        <f>IFERROR(TIMEVALUE(DaqBook_RAW_Data!AG77),IFERROR(TIMEVALUE(DaqBook_RAW_Data!#REF!),""))</f>
        <v/>
      </c>
      <c r="C121" s="145"/>
      <c r="D121" s="145"/>
      <c r="E121" s="145"/>
      <c r="F121" s="145"/>
      <c r="G121" s="145"/>
      <c r="H121" s="145"/>
      <c r="I121" s="145"/>
      <c r="J121" s="145"/>
      <c r="K121" s="145"/>
      <c r="L121" s="145"/>
      <c r="M121" s="145"/>
      <c r="N121" s="145"/>
      <c r="O121" s="145"/>
      <c r="P121" s="145"/>
    </row>
    <row r="122" spans="1:16" x14ac:dyDescent="0.2">
      <c r="A122" s="58" t="str">
        <v/>
      </c>
      <c r="B122" s="123" t="str">
        <f>IFERROR(TIMEVALUE(DaqBook_RAW_Data!AG78),IFERROR(TIMEVALUE(DaqBook_RAW_Data!#REF!),""))</f>
        <v/>
      </c>
      <c r="C122" s="145"/>
      <c r="D122" s="145"/>
      <c r="E122" s="145"/>
      <c r="F122" s="145"/>
      <c r="G122" s="145"/>
      <c r="H122" s="145"/>
      <c r="I122" s="145"/>
      <c r="J122" s="145"/>
      <c r="K122" s="145"/>
      <c r="L122" s="145"/>
      <c r="M122" s="145"/>
      <c r="N122" s="145"/>
      <c r="O122" s="145"/>
      <c r="P122" s="145"/>
    </row>
    <row r="123" spans="1:16" x14ac:dyDescent="0.2">
      <c r="A123" s="58" t="str">
        <v/>
      </c>
      <c r="B123" s="123" t="str">
        <f>IFERROR(TIMEVALUE(DaqBook_RAW_Data!AG79),IFERROR(TIMEVALUE(DaqBook_RAW_Data!#REF!),""))</f>
        <v/>
      </c>
      <c r="C123" s="145"/>
      <c r="D123" s="145"/>
      <c r="E123" s="145"/>
      <c r="F123" s="145"/>
      <c r="G123" s="145"/>
      <c r="H123" s="145"/>
      <c r="I123" s="145"/>
      <c r="J123" s="145"/>
      <c r="K123" s="145"/>
      <c r="L123" s="145"/>
      <c r="M123" s="145"/>
      <c r="N123" s="145"/>
      <c r="O123" s="145"/>
      <c r="P123" s="145"/>
    </row>
    <row r="124" spans="1:16" x14ac:dyDescent="0.2">
      <c r="A124" s="58" t="str">
        <v/>
      </c>
      <c r="B124" s="123" t="str">
        <f>IFERROR(TIMEVALUE(DaqBook_RAW_Data!AG80),IFERROR(TIMEVALUE(DaqBook_RAW_Data!#REF!),""))</f>
        <v/>
      </c>
      <c r="C124" s="145"/>
      <c r="D124" s="145"/>
      <c r="E124" s="145"/>
      <c r="F124" s="145"/>
      <c r="G124" s="145"/>
      <c r="H124" s="145"/>
      <c r="I124" s="145"/>
      <c r="J124" s="145"/>
      <c r="K124" s="145"/>
      <c r="L124" s="145"/>
      <c r="M124" s="145"/>
      <c r="N124" s="145"/>
      <c r="O124" s="145"/>
      <c r="P124" s="145"/>
    </row>
    <row r="125" spans="1:16" x14ac:dyDescent="0.2">
      <c r="A125" s="58" t="str">
        <v/>
      </c>
      <c r="B125" s="123" t="str">
        <f>IFERROR(TIMEVALUE(DaqBook_RAW_Data!AG81),IFERROR(TIMEVALUE(DaqBook_RAW_Data!#REF!),""))</f>
        <v/>
      </c>
      <c r="C125" s="145"/>
      <c r="D125" s="145"/>
      <c r="E125" s="145"/>
      <c r="F125" s="145"/>
      <c r="G125" s="145"/>
      <c r="H125" s="145"/>
      <c r="I125" s="145"/>
      <c r="J125" s="145"/>
      <c r="K125" s="145"/>
      <c r="L125" s="145"/>
      <c r="M125" s="145"/>
      <c r="N125" s="145"/>
      <c r="O125" s="145"/>
      <c r="P125" s="145"/>
    </row>
    <row r="126" spans="1:16" x14ac:dyDescent="0.2">
      <c r="A126" s="58" t="str">
        <v/>
      </c>
      <c r="B126" s="123" t="str">
        <f>IFERROR(TIMEVALUE(DaqBook_RAW_Data!AG82),IFERROR(TIMEVALUE(DaqBook_RAW_Data!#REF!),""))</f>
        <v/>
      </c>
      <c r="C126" s="145"/>
      <c r="D126" s="145"/>
      <c r="E126" s="145"/>
      <c r="F126" s="145"/>
      <c r="G126" s="145"/>
      <c r="H126" s="145"/>
      <c r="I126" s="145"/>
      <c r="J126" s="145"/>
      <c r="K126" s="145"/>
      <c r="L126" s="145"/>
      <c r="M126" s="145"/>
      <c r="N126" s="145"/>
      <c r="O126" s="145"/>
      <c r="P126" s="145"/>
    </row>
    <row r="127" spans="1:16" x14ac:dyDescent="0.2">
      <c r="A127" s="58" t="str">
        <v/>
      </c>
      <c r="B127" s="123" t="str">
        <f>IFERROR(TIMEVALUE(DaqBook_RAW_Data!AG83),IFERROR(TIMEVALUE(DaqBook_RAW_Data!#REF!),""))</f>
        <v/>
      </c>
      <c r="C127" s="145"/>
      <c r="D127" s="145"/>
      <c r="E127" s="145"/>
      <c r="F127" s="145"/>
      <c r="G127" s="145"/>
      <c r="H127" s="145"/>
      <c r="I127" s="145"/>
      <c r="J127" s="145"/>
      <c r="K127" s="145"/>
      <c r="L127" s="145"/>
      <c r="M127" s="145"/>
      <c r="N127" s="145"/>
      <c r="O127" s="145"/>
      <c r="P127" s="145"/>
    </row>
    <row r="128" spans="1:16" x14ac:dyDescent="0.2">
      <c r="A128" s="58" t="str">
        <v/>
      </c>
      <c r="B128" s="123" t="str">
        <f>IFERROR(TIMEVALUE(DaqBook_RAW_Data!AG84),IFERROR(TIMEVALUE(DaqBook_RAW_Data!#REF!),""))</f>
        <v/>
      </c>
      <c r="C128" s="145"/>
      <c r="D128" s="145"/>
      <c r="E128" s="145"/>
      <c r="F128" s="145"/>
      <c r="G128" s="145"/>
      <c r="H128" s="145"/>
      <c r="I128" s="145"/>
      <c r="J128" s="145"/>
      <c r="K128" s="145"/>
      <c r="L128" s="145"/>
      <c r="M128" s="145"/>
      <c r="N128" s="145"/>
      <c r="O128" s="145"/>
      <c r="P128" s="145"/>
    </row>
    <row r="129" spans="1:16" x14ac:dyDescent="0.2">
      <c r="A129" s="58" t="str">
        <v/>
      </c>
      <c r="B129" s="123" t="str">
        <f>IFERROR(TIMEVALUE(DaqBook_RAW_Data!AG85),IFERROR(TIMEVALUE(DaqBook_RAW_Data!#REF!),""))</f>
        <v/>
      </c>
      <c r="C129" s="145"/>
      <c r="D129" s="145"/>
      <c r="E129" s="145"/>
      <c r="F129" s="145"/>
      <c r="G129" s="145"/>
      <c r="H129" s="145"/>
      <c r="I129" s="145"/>
      <c r="J129" s="145"/>
      <c r="K129" s="145"/>
      <c r="L129" s="145"/>
      <c r="M129" s="145"/>
      <c r="N129" s="145"/>
      <c r="O129" s="145"/>
      <c r="P129" s="145"/>
    </row>
    <row r="130" spans="1:16" x14ac:dyDescent="0.2">
      <c r="A130" s="58" t="str">
        <v/>
      </c>
      <c r="B130" s="123" t="str">
        <f>IFERROR(TIMEVALUE(DaqBook_RAW_Data!AG86),IFERROR(TIMEVALUE(DaqBook_RAW_Data!#REF!),""))</f>
        <v/>
      </c>
      <c r="C130" s="145"/>
      <c r="D130" s="145"/>
      <c r="E130" s="145"/>
      <c r="F130" s="145"/>
      <c r="G130" s="145"/>
      <c r="H130" s="145"/>
      <c r="I130" s="145"/>
      <c r="J130" s="145"/>
      <c r="K130" s="145"/>
      <c r="L130" s="145"/>
      <c r="M130" s="145"/>
      <c r="N130" s="145"/>
      <c r="O130" s="145"/>
      <c r="P130" s="145"/>
    </row>
    <row r="131" spans="1:16" x14ac:dyDescent="0.2">
      <c r="A131" s="58" t="str">
        <v/>
      </c>
      <c r="B131" s="123" t="str">
        <f>IFERROR(TIMEVALUE(DaqBook_RAW_Data!AG87),IFERROR(TIMEVALUE(DaqBook_RAW_Data!#REF!),""))</f>
        <v/>
      </c>
      <c r="C131" s="145"/>
      <c r="D131" s="145"/>
      <c r="E131" s="145"/>
      <c r="F131" s="145"/>
      <c r="G131" s="145"/>
      <c r="H131" s="145"/>
      <c r="I131" s="145"/>
      <c r="J131" s="145"/>
      <c r="K131" s="145"/>
      <c r="L131" s="145"/>
      <c r="M131" s="145"/>
      <c r="N131" s="145"/>
      <c r="O131" s="145"/>
      <c r="P131" s="145"/>
    </row>
    <row r="132" spans="1:16" x14ac:dyDescent="0.2">
      <c r="A132" s="58" t="str">
        <v/>
      </c>
      <c r="B132" s="123" t="str">
        <f>IFERROR(TIMEVALUE(DaqBook_RAW_Data!AG88),IFERROR(TIMEVALUE(DaqBook_RAW_Data!#REF!),""))</f>
        <v/>
      </c>
      <c r="C132" s="145"/>
      <c r="D132" s="145"/>
      <c r="E132" s="145"/>
      <c r="F132" s="145"/>
      <c r="G132" s="145"/>
      <c r="H132" s="145"/>
      <c r="I132" s="145"/>
      <c r="J132" s="145"/>
      <c r="K132" s="145"/>
      <c r="L132" s="145"/>
      <c r="M132" s="145"/>
      <c r="N132" s="145"/>
      <c r="O132" s="145"/>
      <c r="P132" s="145"/>
    </row>
    <row r="133" spans="1:16" x14ac:dyDescent="0.2">
      <c r="A133" s="58" t="str">
        <v/>
      </c>
      <c r="B133" s="123" t="str">
        <f>IFERROR(TIMEVALUE(DaqBook_RAW_Data!AG89),IFERROR(TIMEVALUE(DaqBook_RAW_Data!#REF!),""))</f>
        <v/>
      </c>
      <c r="C133" s="145"/>
      <c r="D133" s="145"/>
      <c r="E133" s="145"/>
      <c r="F133" s="145"/>
      <c r="G133" s="145"/>
      <c r="H133" s="145"/>
      <c r="I133" s="145"/>
      <c r="J133" s="145"/>
      <c r="K133" s="145"/>
      <c r="L133" s="145"/>
      <c r="M133" s="145"/>
      <c r="N133" s="145"/>
      <c r="O133" s="145"/>
      <c r="P133" s="145"/>
    </row>
    <row r="134" spans="1:16" x14ac:dyDescent="0.2">
      <c r="A134" s="58" t="str">
        <v/>
      </c>
      <c r="B134" s="123" t="str">
        <f>IFERROR(TIMEVALUE(DaqBook_RAW_Data!AG90),IFERROR(TIMEVALUE(DaqBook_RAW_Data!#REF!),""))</f>
        <v/>
      </c>
      <c r="C134" s="145"/>
      <c r="D134" s="145"/>
      <c r="E134" s="145"/>
      <c r="F134" s="145"/>
      <c r="G134" s="145"/>
      <c r="H134" s="145"/>
      <c r="I134" s="145"/>
      <c r="J134" s="145"/>
      <c r="K134" s="145"/>
      <c r="L134" s="145"/>
      <c r="M134" s="145"/>
      <c r="N134" s="145"/>
      <c r="O134" s="145"/>
      <c r="P134" s="145"/>
    </row>
    <row r="135" spans="1:16" x14ac:dyDescent="0.2">
      <c r="A135" s="58" t="str">
        <v/>
      </c>
      <c r="B135" s="123" t="str">
        <f>IFERROR(TIMEVALUE(DaqBook_RAW_Data!AG91),IFERROR(TIMEVALUE(DaqBook_RAW_Data!#REF!),""))</f>
        <v/>
      </c>
      <c r="C135" s="145"/>
      <c r="D135" s="145"/>
      <c r="E135" s="145"/>
      <c r="F135" s="145"/>
      <c r="G135" s="145"/>
      <c r="H135" s="145"/>
      <c r="I135" s="145"/>
      <c r="J135" s="145"/>
      <c r="K135" s="145"/>
      <c r="L135" s="145"/>
      <c r="M135" s="145"/>
      <c r="N135" s="145"/>
      <c r="O135" s="145"/>
      <c r="P135" s="145"/>
    </row>
    <row r="136" spans="1:16" x14ac:dyDescent="0.2">
      <c r="A136" s="58" t="str">
        <v/>
      </c>
      <c r="B136" s="123" t="str">
        <f>IFERROR(TIMEVALUE(DaqBook_RAW_Data!AG92),IFERROR(TIMEVALUE(DaqBook_RAW_Data!#REF!),""))</f>
        <v/>
      </c>
      <c r="C136" s="145"/>
      <c r="D136" s="145"/>
      <c r="E136" s="145"/>
      <c r="F136" s="145"/>
      <c r="G136" s="145"/>
      <c r="H136" s="145"/>
      <c r="I136" s="145"/>
      <c r="J136" s="145"/>
      <c r="K136" s="145"/>
      <c r="L136" s="145"/>
      <c r="M136" s="145"/>
      <c r="N136" s="145"/>
      <c r="O136" s="145"/>
      <c r="P136" s="145"/>
    </row>
    <row r="137" spans="1:16" x14ac:dyDescent="0.2">
      <c r="A137" s="58" t="str">
        <v/>
      </c>
      <c r="B137" s="123" t="str">
        <f>IFERROR(TIMEVALUE(DaqBook_RAW_Data!AG93),IFERROR(TIMEVALUE(DaqBook_RAW_Data!#REF!),""))</f>
        <v/>
      </c>
      <c r="C137" s="145"/>
      <c r="D137" s="145"/>
      <c r="E137" s="145"/>
      <c r="F137" s="145"/>
      <c r="G137" s="145"/>
      <c r="H137" s="145"/>
      <c r="I137" s="145"/>
      <c r="J137" s="145"/>
      <c r="K137" s="145"/>
      <c r="L137" s="145"/>
      <c r="M137" s="145"/>
      <c r="N137" s="145"/>
      <c r="O137" s="145"/>
      <c r="P137" s="145"/>
    </row>
    <row r="138" spans="1:16" x14ac:dyDescent="0.2">
      <c r="A138" s="58" t="str">
        <v/>
      </c>
      <c r="B138" s="123" t="str">
        <f>IFERROR(TIMEVALUE(DaqBook_RAW_Data!AG94),IFERROR(TIMEVALUE(DaqBook_RAW_Data!#REF!),""))</f>
        <v/>
      </c>
      <c r="C138" s="145"/>
      <c r="D138" s="145"/>
      <c r="E138" s="145"/>
      <c r="F138" s="145"/>
      <c r="G138" s="145"/>
      <c r="H138" s="145"/>
      <c r="I138" s="145"/>
      <c r="J138" s="145"/>
      <c r="K138" s="145"/>
      <c r="L138" s="145"/>
      <c r="M138" s="145"/>
      <c r="N138" s="145"/>
      <c r="O138" s="145"/>
      <c r="P138" s="145"/>
    </row>
    <row r="139" spans="1:16" x14ac:dyDescent="0.2">
      <c r="A139" s="58" t="str">
        <v/>
      </c>
      <c r="B139" s="123" t="str">
        <f>IFERROR(TIMEVALUE(DaqBook_RAW_Data!AG95),IFERROR(TIMEVALUE(DaqBook_RAW_Data!#REF!),""))</f>
        <v/>
      </c>
      <c r="C139" s="145"/>
      <c r="D139" s="145"/>
      <c r="E139" s="145"/>
      <c r="F139" s="145"/>
      <c r="G139" s="145"/>
      <c r="H139" s="145"/>
      <c r="I139" s="145"/>
      <c r="J139" s="145"/>
      <c r="K139" s="145"/>
      <c r="L139" s="145"/>
      <c r="M139" s="145"/>
      <c r="N139" s="145"/>
      <c r="O139" s="145"/>
      <c r="P139" s="145"/>
    </row>
    <row r="140" spans="1:16" x14ac:dyDescent="0.2">
      <c r="A140" s="58" t="str">
        <v/>
      </c>
      <c r="B140" s="123" t="str">
        <f>IFERROR(TIMEVALUE(DaqBook_RAW_Data!AG96),IFERROR(TIMEVALUE(DaqBook_RAW_Data!#REF!),""))</f>
        <v/>
      </c>
      <c r="C140" s="145"/>
      <c r="D140" s="145"/>
      <c r="E140" s="145"/>
      <c r="F140" s="145"/>
      <c r="G140" s="145"/>
      <c r="H140" s="145"/>
      <c r="I140" s="145"/>
      <c r="J140" s="145"/>
      <c r="K140" s="145"/>
      <c r="L140" s="145"/>
      <c r="M140" s="145"/>
      <c r="N140" s="145"/>
      <c r="O140" s="145"/>
      <c r="P140" s="145"/>
    </row>
    <row r="141" spans="1:16" x14ac:dyDescent="0.2">
      <c r="A141" s="58" t="str">
        <v/>
      </c>
      <c r="B141" s="123" t="str">
        <f>IFERROR(TIMEVALUE(DaqBook_RAW_Data!AG97),IFERROR(TIMEVALUE(DaqBook_RAW_Data!#REF!),""))</f>
        <v/>
      </c>
      <c r="C141" s="145"/>
      <c r="D141" s="145"/>
      <c r="E141" s="145"/>
      <c r="F141" s="145"/>
      <c r="G141" s="145"/>
      <c r="H141" s="145"/>
      <c r="I141" s="145"/>
      <c r="J141" s="145"/>
      <c r="K141" s="145"/>
      <c r="L141" s="145"/>
      <c r="M141" s="145"/>
      <c r="N141" s="145"/>
      <c r="O141" s="145"/>
      <c r="P141" s="145"/>
    </row>
    <row r="142" spans="1:16" x14ac:dyDescent="0.2">
      <c r="A142" s="58" t="str">
        <v/>
      </c>
      <c r="B142" s="123" t="str">
        <f>IFERROR(TIMEVALUE(DaqBook_RAW_Data!AG98),IFERROR(TIMEVALUE(DaqBook_RAW_Data!#REF!),""))</f>
        <v/>
      </c>
      <c r="C142" s="145"/>
      <c r="D142" s="145"/>
      <c r="E142" s="145"/>
      <c r="F142" s="145"/>
      <c r="G142" s="145"/>
      <c r="H142" s="145"/>
      <c r="I142" s="145"/>
      <c r="J142" s="145"/>
      <c r="K142" s="145"/>
      <c r="L142" s="145"/>
      <c r="M142" s="145"/>
      <c r="N142" s="145"/>
      <c r="O142" s="145"/>
      <c r="P142" s="145"/>
    </row>
    <row r="143" spans="1:16" x14ac:dyDescent="0.2">
      <c r="A143" s="58" t="str">
        <v/>
      </c>
      <c r="B143" s="123" t="str">
        <f>IFERROR(TIMEVALUE(DaqBook_RAW_Data!AG99),IFERROR(TIMEVALUE(DaqBook_RAW_Data!#REF!),""))</f>
        <v/>
      </c>
      <c r="C143" s="145"/>
      <c r="D143" s="145"/>
      <c r="E143" s="145"/>
      <c r="F143" s="145"/>
      <c r="G143" s="145"/>
      <c r="H143" s="145"/>
      <c r="I143" s="145"/>
      <c r="J143" s="145"/>
      <c r="K143" s="145"/>
      <c r="L143" s="145"/>
      <c r="M143" s="145"/>
      <c r="N143" s="145"/>
      <c r="O143" s="145"/>
      <c r="P143" s="145"/>
    </row>
    <row r="144" spans="1:16" x14ac:dyDescent="0.2">
      <c r="A144" s="58" t="str">
        <v/>
      </c>
      <c r="B144" s="123" t="str">
        <f>IFERROR(TIMEVALUE(DaqBook_RAW_Data!AG100),IFERROR(TIMEVALUE(DaqBook_RAW_Data!#REF!),""))</f>
        <v/>
      </c>
      <c r="C144" s="145"/>
      <c r="D144" s="145"/>
      <c r="E144" s="145"/>
      <c r="F144" s="145"/>
      <c r="G144" s="145"/>
      <c r="H144" s="145"/>
      <c r="I144" s="145"/>
      <c r="J144" s="145"/>
      <c r="K144" s="145"/>
      <c r="L144" s="145"/>
      <c r="M144" s="145"/>
      <c r="N144" s="145"/>
      <c r="O144" s="145"/>
      <c r="P144" s="145"/>
    </row>
    <row r="145" spans="1:16" x14ac:dyDescent="0.2">
      <c r="A145" s="58" t="str">
        <v/>
      </c>
      <c r="B145" s="123" t="str">
        <f>IFERROR(TIMEVALUE(DaqBook_RAW_Data!AG101),IFERROR(TIMEVALUE(DaqBook_RAW_Data!#REF!),""))</f>
        <v/>
      </c>
      <c r="C145" s="145"/>
      <c r="D145" s="145"/>
      <c r="E145" s="145"/>
      <c r="F145" s="145"/>
      <c r="G145" s="145"/>
      <c r="H145" s="145"/>
      <c r="I145" s="145"/>
      <c r="J145" s="145"/>
      <c r="K145" s="145"/>
      <c r="L145" s="145"/>
      <c r="M145" s="145"/>
      <c r="N145" s="145"/>
      <c r="O145" s="145"/>
      <c r="P145" s="145"/>
    </row>
    <row r="146" spans="1:16" x14ac:dyDescent="0.2">
      <c r="A146" s="58" t="str">
        <v/>
      </c>
      <c r="B146" s="123" t="str">
        <f>IFERROR(TIMEVALUE(DaqBook_RAW_Data!AG102),IFERROR(TIMEVALUE(DaqBook_RAW_Data!#REF!),""))</f>
        <v/>
      </c>
      <c r="C146" s="145"/>
      <c r="D146" s="145"/>
      <c r="E146" s="145"/>
      <c r="F146" s="145"/>
      <c r="G146" s="145"/>
      <c r="H146" s="145"/>
      <c r="I146" s="145"/>
      <c r="J146" s="145"/>
      <c r="K146" s="145"/>
      <c r="L146" s="145"/>
      <c r="M146" s="145"/>
      <c r="N146" s="145"/>
      <c r="O146" s="145"/>
      <c r="P146" s="145"/>
    </row>
    <row r="147" spans="1:16" x14ac:dyDescent="0.2">
      <c r="A147" s="58" t="str">
        <v/>
      </c>
      <c r="B147" s="123" t="str">
        <f>IFERROR(TIMEVALUE(DaqBook_RAW_Data!AG103),IFERROR(TIMEVALUE(DaqBook_RAW_Data!#REF!),""))</f>
        <v/>
      </c>
      <c r="C147" s="145"/>
      <c r="D147" s="145"/>
      <c r="E147" s="145"/>
      <c r="F147" s="145"/>
      <c r="G147" s="145"/>
      <c r="H147" s="145"/>
      <c r="I147" s="145"/>
      <c r="J147" s="145"/>
      <c r="K147" s="145"/>
      <c r="L147" s="145"/>
      <c r="M147" s="145"/>
      <c r="N147" s="145"/>
      <c r="O147" s="145"/>
      <c r="P147" s="145"/>
    </row>
    <row r="148" spans="1:16" x14ac:dyDescent="0.2">
      <c r="A148" s="58" t="str">
        <v/>
      </c>
      <c r="B148" s="123" t="str">
        <f>IFERROR(TIMEVALUE(DaqBook_RAW_Data!AG104),IFERROR(TIMEVALUE(DaqBook_RAW_Data!#REF!),""))</f>
        <v/>
      </c>
      <c r="C148" s="145"/>
      <c r="D148" s="145"/>
      <c r="E148" s="145"/>
      <c r="F148" s="145"/>
      <c r="G148" s="145"/>
      <c r="H148" s="145"/>
      <c r="I148" s="145"/>
      <c r="J148" s="145"/>
      <c r="K148" s="145"/>
      <c r="L148" s="145"/>
      <c r="M148" s="145"/>
      <c r="N148" s="145"/>
      <c r="O148" s="145"/>
      <c r="P148" s="145"/>
    </row>
    <row r="149" spans="1:16" x14ac:dyDescent="0.2">
      <c r="A149" s="58" t="str">
        <v/>
      </c>
      <c r="B149" s="123" t="str">
        <f>IFERROR(TIMEVALUE(DaqBook_RAW_Data!AG105),IFERROR(TIMEVALUE(DaqBook_RAW_Data!#REF!),""))</f>
        <v/>
      </c>
      <c r="C149" s="145"/>
      <c r="D149" s="145"/>
      <c r="E149" s="145"/>
      <c r="F149" s="145"/>
      <c r="G149" s="145"/>
      <c r="H149" s="145"/>
      <c r="I149" s="145"/>
      <c r="J149" s="145"/>
      <c r="K149" s="145"/>
      <c r="L149" s="145"/>
      <c r="M149" s="145"/>
      <c r="N149" s="145"/>
      <c r="O149" s="145"/>
      <c r="P149" s="145"/>
    </row>
    <row r="150" spans="1:16" x14ac:dyDescent="0.2">
      <c r="A150" s="58" t="str">
        <v/>
      </c>
      <c r="B150" s="123" t="str">
        <f>IFERROR(TIMEVALUE(DaqBook_RAW_Data!AG106),IFERROR(TIMEVALUE(DaqBook_RAW_Data!#REF!),""))</f>
        <v/>
      </c>
      <c r="C150" s="145"/>
      <c r="D150" s="145"/>
      <c r="E150" s="145"/>
      <c r="F150" s="145"/>
      <c r="G150" s="145"/>
      <c r="H150" s="145"/>
      <c r="I150" s="145"/>
      <c r="J150" s="145"/>
      <c r="K150" s="145"/>
      <c r="L150" s="145"/>
      <c r="M150" s="145"/>
      <c r="N150" s="145"/>
      <c r="O150" s="145"/>
      <c r="P150" s="145"/>
    </row>
    <row r="151" spans="1:16" x14ac:dyDescent="0.2">
      <c r="A151" s="58" t="str">
        <v/>
      </c>
      <c r="B151" s="123" t="str">
        <f>IFERROR(TIMEVALUE(DaqBook_RAW_Data!AG107),IFERROR(TIMEVALUE(DaqBook_RAW_Data!#REF!),""))</f>
        <v/>
      </c>
      <c r="C151" s="145"/>
      <c r="D151" s="145"/>
      <c r="E151" s="145"/>
      <c r="F151" s="145"/>
      <c r="G151" s="145"/>
      <c r="H151" s="145"/>
      <c r="I151" s="145"/>
      <c r="J151" s="145"/>
      <c r="K151" s="145"/>
      <c r="L151" s="145"/>
      <c r="M151" s="145"/>
      <c r="N151" s="145"/>
      <c r="O151" s="145"/>
      <c r="P151" s="145"/>
    </row>
    <row r="152" spans="1:16" x14ac:dyDescent="0.2">
      <c r="A152" s="58" t="str">
        <v/>
      </c>
      <c r="B152" s="123" t="str">
        <f>IFERROR(TIMEVALUE(DaqBook_RAW_Data!AG108),IFERROR(TIMEVALUE(DaqBook_RAW_Data!#REF!),""))</f>
        <v/>
      </c>
      <c r="C152" s="145"/>
      <c r="D152" s="145"/>
      <c r="E152" s="145"/>
      <c r="F152" s="145"/>
      <c r="G152" s="145"/>
      <c r="H152" s="145"/>
      <c r="I152" s="145"/>
      <c r="J152" s="145"/>
      <c r="K152" s="145"/>
      <c r="L152" s="145"/>
      <c r="M152" s="145"/>
      <c r="N152" s="145"/>
      <c r="O152" s="145"/>
      <c r="P152" s="145"/>
    </row>
    <row r="153" spans="1:16" x14ac:dyDescent="0.2">
      <c r="A153" s="58" t="str">
        <v/>
      </c>
      <c r="B153" s="123" t="str">
        <f>IFERROR(TIMEVALUE(DaqBook_RAW_Data!AG109),IFERROR(TIMEVALUE(DaqBook_RAW_Data!#REF!),""))</f>
        <v/>
      </c>
      <c r="C153" s="145"/>
      <c r="D153" s="145"/>
      <c r="E153" s="145"/>
      <c r="F153" s="145"/>
      <c r="G153" s="145"/>
      <c r="H153" s="145"/>
      <c r="I153" s="145"/>
      <c r="J153" s="145"/>
      <c r="K153" s="145"/>
      <c r="L153" s="145"/>
      <c r="M153" s="145"/>
      <c r="N153" s="145"/>
      <c r="O153" s="145"/>
      <c r="P153" s="145"/>
    </row>
    <row r="154" spans="1:16" x14ac:dyDescent="0.2">
      <c r="A154" s="58" t="str">
        <v/>
      </c>
      <c r="B154" s="123" t="str">
        <f>IFERROR(TIMEVALUE(DaqBook_RAW_Data!AG110),IFERROR(TIMEVALUE(DaqBook_RAW_Data!#REF!),""))</f>
        <v/>
      </c>
      <c r="C154" s="145"/>
      <c r="D154" s="145"/>
      <c r="E154" s="145"/>
      <c r="F154" s="145"/>
      <c r="G154" s="145"/>
      <c r="H154" s="145"/>
      <c r="I154" s="145"/>
      <c r="J154" s="145"/>
      <c r="K154" s="145"/>
      <c r="L154" s="145"/>
      <c r="M154" s="145"/>
      <c r="N154" s="145"/>
      <c r="O154" s="145"/>
      <c r="P154" s="145"/>
    </row>
    <row r="155" spans="1:16" x14ac:dyDescent="0.2">
      <c r="A155" s="58" t="str">
        <v/>
      </c>
      <c r="B155" s="123" t="str">
        <f>IFERROR(TIMEVALUE(DaqBook_RAW_Data!AG111),IFERROR(TIMEVALUE(DaqBook_RAW_Data!#REF!),""))</f>
        <v/>
      </c>
      <c r="C155" s="145"/>
      <c r="D155" s="145"/>
      <c r="E155" s="145"/>
      <c r="F155" s="145"/>
      <c r="G155" s="145"/>
      <c r="H155" s="145"/>
      <c r="I155" s="145"/>
      <c r="J155" s="145"/>
      <c r="K155" s="145"/>
      <c r="L155" s="145"/>
      <c r="M155" s="145"/>
      <c r="N155" s="145"/>
      <c r="O155" s="145"/>
      <c r="P155" s="145"/>
    </row>
    <row r="156" spans="1:16" x14ac:dyDescent="0.2">
      <c r="A156" s="58" t="str">
        <v/>
      </c>
      <c r="B156" s="123" t="str">
        <f>IFERROR(TIMEVALUE(DaqBook_RAW_Data!AG112),IFERROR(TIMEVALUE(DaqBook_RAW_Data!#REF!),""))</f>
        <v/>
      </c>
      <c r="C156" s="145"/>
      <c r="D156" s="145"/>
      <c r="E156" s="145"/>
      <c r="F156" s="145"/>
      <c r="G156" s="145"/>
      <c r="H156" s="145"/>
      <c r="I156" s="145"/>
      <c r="J156" s="145"/>
      <c r="K156" s="145"/>
      <c r="L156" s="145"/>
      <c r="M156" s="145"/>
      <c r="N156" s="145"/>
      <c r="O156" s="145"/>
      <c r="P156" s="145"/>
    </row>
    <row r="157" spans="1:16" x14ac:dyDescent="0.2">
      <c r="A157" s="58" t="str">
        <v/>
      </c>
      <c r="B157" s="123" t="str">
        <f>IFERROR(TIMEVALUE(DaqBook_RAW_Data!AG113),IFERROR(TIMEVALUE(DaqBook_RAW_Data!#REF!),""))</f>
        <v/>
      </c>
      <c r="C157" s="145"/>
      <c r="D157" s="145"/>
      <c r="E157" s="145"/>
      <c r="F157" s="145"/>
      <c r="G157" s="145"/>
      <c r="H157" s="145"/>
      <c r="I157" s="145"/>
      <c r="J157" s="145"/>
      <c r="K157" s="145"/>
      <c r="L157" s="145"/>
      <c r="M157" s="145"/>
      <c r="N157" s="145"/>
      <c r="O157" s="145"/>
      <c r="P157" s="145"/>
    </row>
    <row r="158" spans="1:16" x14ac:dyDescent="0.2">
      <c r="A158" s="58" t="str">
        <v/>
      </c>
      <c r="B158" s="123" t="str">
        <f>IFERROR(TIMEVALUE(DaqBook_RAW_Data!AG114),IFERROR(TIMEVALUE(DaqBook_RAW_Data!#REF!),""))</f>
        <v/>
      </c>
      <c r="C158" s="145"/>
      <c r="D158" s="145"/>
      <c r="E158" s="145"/>
      <c r="F158" s="145"/>
      <c r="G158" s="145"/>
      <c r="H158" s="145"/>
      <c r="I158" s="145"/>
      <c r="J158" s="145"/>
      <c r="K158" s="145"/>
      <c r="L158" s="145"/>
      <c r="M158" s="145"/>
      <c r="N158" s="145"/>
      <c r="O158" s="145"/>
      <c r="P158" s="145"/>
    </row>
    <row r="159" spans="1:16" x14ac:dyDescent="0.2">
      <c r="A159" s="58" t="str">
        <v/>
      </c>
      <c r="B159" s="123" t="str">
        <f>IFERROR(TIMEVALUE(DaqBook_RAW_Data!AG115),IFERROR(TIMEVALUE(DaqBook_RAW_Data!#REF!),""))</f>
        <v/>
      </c>
      <c r="C159" s="145"/>
      <c r="D159" s="145"/>
      <c r="E159" s="145"/>
      <c r="F159" s="145"/>
      <c r="G159" s="145"/>
      <c r="H159" s="145"/>
      <c r="I159" s="145"/>
      <c r="J159" s="145"/>
      <c r="K159" s="145"/>
      <c r="L159" s="145"/>
      <c r="M159" s="145"/>
      <c r="N159" s="145"/>
      <c r="O159" s="145"/>
      <c r="P159" s="145"/>
    </row>
    <row r="160" spans="1:16" x14ac:dyDescent="0.2">
      <c r="A160" s="58" t="str">
        <v/>
      </c>
      <c r="B160" s="123" t="str">
        <f>IFERROR(TIMEVALUE(DaqBook_RAW_Data!AG116),IFERROR(TIMEVALUE(DaqBook_RAW_Data!#REF!),""))</f>
        <v/>
      </c>
      <c r="C160" s="145"/>
      <c r="D160" s="145"/>
      <c r="E160" s="145"/>
      <c r="F160" s="145"/>
      <c r="G160" s="145"/>
      <c r="H160" s="145"/>
      <c r="I160" s="145"/>
      <c r="J160" s="145"/>
      <c r="K160" s="145"/>
      <c r="L160" s="145"/>
      <c r="M160" s="145"/>
      <c r="N160" s="145"/>
      <c r="O160" s="145"/>
      <c r="P160" s="145"/>
    </row>
    <row r="161" spans="1:16" x14ac:dyDescent="0.2">
      <c r="A161" s="58" t="str">
        <v/>
      </c>
      <c r="B161" s="123" t="str">
        <f>IFERROR(TIMEVALUE(DaqBook_RAW_Data!AG117),IFERROR(TIMEVALUE(DaqBook_RAW_Data!#REF!),""))</f>
        <v/>
      </c>
      <c r="C161" s="145"/>
      <c r="D161" s="145"/>
      <c r="E161" s="145"/>
      <c r="F161" s="145"/>
      <c r="G161" s="145"/>
      <c r="H161" s="145"/>
      <c r="I161" s="145"/>
      <c r="J161" s="145"/>
      <c r="K161" s="145"/>
      <c r="L161" s="145"/>
      <c r="M161" s="145"/>
      <c r="N161" s="145"/>
      <c r="O161" s="145"/>
      <c r="P161" s="145"/>
    </row>
    <row r="162" spans="1:16" x14ac:dyDescent="0.2">
      <c r="A162" s="58" t="str">
        <v/>
      </c>
      <c r="B162" s="123" t="str">
        <f>IFERROR(TIMEVALUE(DaqBook_RAW_Data!AG118),IFERROR(TIMEVALUE(DaqBook_RAW_Data!#REF!),""))</f>
        <v/>
      </c>
      <c r="C162" s="145"/>
      <c r="D162" s="145"/>
      <c r="E162" s="145"/>
      <c r="F162" s="145"/>
      <c r="G162" s="145"/>
      <c r="H162" s="145"/>
      <c r="I162" s="145"/>
      <c r="J162" s="145"/>
      <c r="K162" s="145"/>
      <c r="L162" s="145"/>
      <c r="M162" s="145"/>
      <c r="N162" s="145"/>
      <c r="O162" s="145"/>
      <c r="P162" s="145"/>
    </row>
    <row r="163" spans="1:16" x14ac:dyDescent="0.2">
      <c r="A163" s="58" t="str">
        <v/>
      </c>
      <c r="B163" s="123" t="str">
        <f>IFERROR(TIMEVALUE(DaqBook_RAW_Data!AG119),IFERROR(TIMEVALUE(DaqBook_RAW_Data!#REF!),""))</f>
        <v/>
      </c>
      <c r="C163" s="145"/>
      <c r="D163" s="145"/>
      <c r="E163" s="145"/>
      <c r="F163" s="145"/>
      <c r="G163" s="145"/>
      <c r="H163" s="145"/>
      <c r="I163" s="145"/>
      <c r="J163" s="145"/>
      <c r="K163" s="145"/>
      <c r="L163" s="145"/>
      <c r="M163" s="145"/>
      <c r="N163" s="145"/>
      <c r="O163" s="145"/>
      <c r="P163" s="145"/>
    </row>
    <row r="164" spans="1:16" x14ac:dyDescent="0.2">
      <c r="A164" s="58" t="str">
        <v/>
      </c>
      <c r="B164" s="123" t="str">
        <f>IFERROR(TIMEVALUE(DaqBook_RAW_Data!AG120),IFERROR(TIMEVALUE(DaqBook_RAW_Data!#REF!),""))</f>
        <v/>
      </c>
      <c r="C164" s="145"/>
      <c r="D164" s="145"/>
      <c r="E164" s="145"/>
      <c r="F164" s="145"/>
      <c r="G164" s="145"/>
      <c r="H164" s="145"/>
      <c r="I164" s="145"/>
      <c r="J164" s="145"/>
      <c r="K164" s="145"/>
      <c r="L164" s="145"/>
      <c r="M164" s="145"/>
      <c r="N164" s="145"/>
      <c r="O164" s="145"/>
      <c r="P164" s="145"/>
    </row>
    <row r="165" spans="1:16" x14ac:dyDescent="0.2">
      <c r="A165" s="58" t="str">
        <v/>
      </c>
      <c r="B165" s="123" t="str">
        <f>IFERROR(TIMEVALUE(DaqBook_RAW_Data!AG121),IFERROR(TIMEVALUE(DaqBook_RAW_Data!#REF!),""))</f>
        <v/>
      </c>
      <c r="C165" s="145"/>
      <c r="D165" s="145"/>
      <c r="E165" s="145"/>
      <c r="F165" s="145"/>
      <c r="G165" s="145"/>
      <c r="H165" s="145"/>
      <c r="I165" s="145"/>
      <c r="J165" s="145"/>
      <c r="K165" s="145"/>
      <c r="L165" s="145"/>
      <c r="M165" s="145"/>
      <c r="N165" s="145"/>
      <c r="O165" s="145"/>
      <c r="P165" s="145"/>
    </row>
    <row r="166" spans="1:16" x14ac:dyDescent="0.2">
      <c r="A166" s="58" t="str">
        <v/>
      </c>
      <c r="B166" s="123" t="str">
        <f>IFERROR(TIMEVALUE(DaqBook_RAW_Data!AG122),IFERROR(TIMEVALUE(DaqBook_RAW_Data!#REF!),""))</f>
        <v/>
      </c>
      <c r="C166" s="145"/>
      <c r="D166" s="145"/>
      <c r="E166" s="145"/>
      <c r="F166" s="145"/>
      <c r="G166" s="145"/>
      <c r="H166" s="145"/>
      <c r="I166" s="145"/>
      <c r="J166" s="145"/>
      <c r="K166" s="145"/>
      <c r="L166" s="145"/>
      <c r="M166" s="145"/>
      <c r="N166" s="145"/>
      <c r="O166" s="145"/>
      <c r="P166" s="145"/>
    </row>
    <row r="167" spans="1:16" x14ac:dyDescent="0.2">
      <c r="A167" s="58" t="str">
        <v/>
      </c>
      <c r="B167" s="123" t="str">
        <f>IFERROR(TIMEVALUE(DaqBook_RAW_Data!AG123),IFERROR(TIMEVALUE(DaqBook_RAW_Data!#REF!),""))</f>
        <v/>
      </c>
      <c r="C167" s="145"/>
      <c r="D167" s="145"/>
      <c r="E167" s="145"/>
      <c r="F167" s="145"/>
      <c r="G167" s="145"/>
      <c r="H167" s="145"/>
      <c r="I167" s="145"/>
      <c r="J167" s="145"/>
      <c r="K167" s="145"/>
      <c r="L167" s="145"/>
      <c r="M167" s="145"/>
      <c r="N167" s="145"/>
      <c r="O167" s="145"/>
      <c r="P167" s="145"/>
    </row>
    <row r="168" spans="1:16" x14ac:dyDescent="0.2">
      <c r="A168" s="58" t="str">
        <v/>
      </c>
      <c r="B168" s="123" t="str">
        <f>IFERROR(TIMEVALUE(DaqBook_RAW_Data!AG124),IFERROR(TIMEVALUE(DaqBook_RAW_Data!#REF!),""))</f>
        <v/>
      </c>
      <c r="C168" s="145"/>
      <c r="D168" s="145"/>
      <c r="E168" s="145"/>
      <c r="F168" s="145"/>
      <c r="G168" s="145"/>
      <c r="H168" s="145"/>
      <c r="I168" s="145"/>
      <c r="J168" s="145"/>
      <c r="K168" s="145"/>
      <c r="L168" s="145"/>
      <c r="M168" s="145"/>
      <c r="N168" s="145"/>
      <c r="O168" s="145"/>
      <c r="P168" s="145"/>
    </row>
    <row r="169" spans="1:16" x14ac:dyDescent="0.2">
      <c r="A169" s="58" t="str">
        <v/>
      </c>
      <c r="B169" s="123" t="str">
        <f>IFERROR(TIMEVALUE(DaqBook_RAW_Data!AG125),IFERROR(TIMEVALUE(DaqBook_RAW_Data!#REF!),""))</f>
        <v/>
      </c>
      <c r="C169" s="145"/>
      <c r="D169" s="145"/>
      <c r="E169" s="145"/>
      <c r="F169" s="145"/>
      <c r="G169" s="145"/>
      <c r="H169" s="145"/>
      <c r="I169" s="145"/>
      <c r="J169" s="145"/>
      <c r="K169" s="145"/>
      <c r="L169" s="145"/>
      <c r="M169" s="145"/>
      <c r="N169" s="145"/>
      <c r="O169" s="145"/>
      <c r="P169" s="145"/>
    </row>
    <row r="170" spans="1:16" x14ac:dyDescent="0.2">
      <c r="A170" s="58" t="str">
        <v/>
      </c>
      <c r="B170" s="123" t="str">
        <f>IFERROR(TIMEVALUE(DaqBook_RAW_Data!AG126),IFERROR(TIMEVALUE(DaqBook_RAW_Data!#REF!),""))</f>
        <v/>
      </c>
      <c r="C170" s="145"/>
      <c r="D170" s="145"/>
      <c r="E170" s="145"/>
      <c r="F170" s="145"/>
      <c r="G170" s="145"/>
      <c r="H170" s="145"/>
      <c r="I170" s="145"/>
      <c r="J170" s="145"/>
      <c r="K170" s="145"/>
      <c r="L170" s="145"/>
      <c r="M170" s="145"/>
      <c r="N170" s="145"/>
      <c r="O170" s="145"/>
      <c r="P170" s="145"/>
    </row>
    <row r="171" spans="1:16" x14ac:dyDescent="0.2">
      <c r="A171" s="58" t="str">
        <v/>
      </c>
      <c r="B171" s="123" t="str">
        <f>IFERROR(TIMEVALUE(DaqBook_RAW_Data!AG127),IFERROR(TIMEVALUE(DaqBook_RAW_Data!#REF!),""))</f>
        <v/>
      </c>
      <c r="C171" s="145"/>
      <c r="D171" s="145"/>
      <c r="E171" s="145"/>
      <c r="F171" s="145"/>
      <c r="G171" s="145"/>
      <c r="H171" s="145"/>
      <c r="I171" s="145"/>
      <c r="J171" s="145"/>
      <c r="K171" s="145"/>
      <c r="L171" s="145"/>
      <c r="M171" s="145"/>
      <c r="N171" s="145"/>
      <c r="O171" s="145"/>
      <c r="P171" s="145"/>
    </row>
    <row r="172" spans="1:16" x14ac:dyDescent="0.2">
      <c r="A172" s="58" t="str">
        <v/>
      </c>
      <c r="B172" s="123" t="str">
        <f>IFERROR(TIMEVALUE(DaqBook_RAW_Data!AG128),IFERROR(TIMEVALUE(DaqBook_RAW_Data!#REF!),""))</f>
        <v/>
      </c>
      <c r="C172" s="145"/>
      <c r="D172" s="145"/>
      <c r="E172" s="145"/>
      <c r="F172" s="145"/>
      <c r="G172" s="145"/>
      <c r="H172" s="145"/>
      <c r="I172" s="145"/>
      <c r="J172" s="145"/>
      <c r="K172" s="145"/>
      <c r="L172" s="145"/>
      <c r="M172" s="145"/>
      <c r="N172" s="145"/>
      <c r="O172" s="145"/>
      <c r="P172" s="145"/>
    </row>
    <row r="173" spans="1:16" x14ac:dyDescent="0.2">
      <c r="A173" s="58" t="str">
        <v/>
      </c>
      <c r="B173" s="123" t="str">
        <f>IFERROR(TIMEVALUE(DaqBook_RAW_Data!AG129),IFERROR(TIMEVALUE(DaqBook_RAW_Data!#REF!),""))</f>
        <v/>
      </c>
      <c r="C173" s="145"/>
      <c r="D173" s="145"/>
      <c r="E173" s="145"/>
      <c r="F173" s="145"/>
      <c r="G173" s="145"/>
      <c r="H173" s="145"/>
      <c r="I173" s="145"/>
      <c r="J173" s="145"/>
      <c r="K173" s="145"/>
      <c r="L173" s="145"/>
      <c r="M173" s="145"/>
      <c r="N173" s="145"/>
      <c r="O173" s="145"/>
      <c r="P173" s="145"/>
    </row>
    <row r="174" spans="1:16" x14ac:dyDescent="0.2">
      <c r="A174" s="58" t="str">
        <v/>
      </c>
      <c r="B174" s="123" t="str">
        <f>IFERROR(TIMEVALUE(DaqBook_RAW_Data!AG130),IFERROR(TIMEVALUE(DaqBook_RAW_Data!#REF!),""))</f>
        <v/>
      </c>
      <c r="C174" s="145"/>
      <c r="D174" s="145"/>
      <c r="E174" s="145"/>
      <c r="F174" s="145"/>
      <c r="G174" s="145"/>
      <c r="H174" s="145"/>
      <c r="I174" s="145"/>
      <c r="J174" s="145"/>
      <c r="K174" s="145"/>
      <c r="L174" s="145"/>
      <c r="M174" s="145"/>
      <c r="N174" s="145"/>
      <c r="O174" s="145"/>
      <c r="P174" s="145"/>
    </row>
    <row r="175" spans="1:16" x14ac:dyDescent="0.2">
      <c r="A175" s="58" t="str">
        <v/>
      </c>
      <c r="B175" s="123" t="str">
        <f>IFERROR(TIMEVALUE(DaqBook_RAW_Data!AG131),IFERROR(TIMEVALUE(DaqBook_RAW_Data!#REF!),""))</f>
        <v/>
      </c>
      <c r="C175" s="145"/>
      <c r="D175" s="145"/>
      <c r="E175" s="145"/>
      <c r="F175" s="145"/>
      <c r="G175" s="145"/>
      <c r="H175" s="145"/>
      <c r="I175" s="145"/>
      <c r="J175" s="145"/>
      <c r="K175" s="145"/>
      <c r="L175" s="145"/>
      <c r="M175" s="145"/>
      <c r="N175" s="145"/>
      <c r="O175" s="145"/>
      <c r="P175" s="145"/>
    </row>
    <row r="176" spans="1:16" x14ac:dyDescent="0.2">
      <c r="A176" s="58" t="str">
        <v/>
      </c>
      <c r="B176" s="123" t="str">
        <f>IFERROR(TIMEVALUE(DaqBook_RAW_Data!AG132),IFERROR(TIMEVALUE(DaqBook_RAW_Data!#REF!),""))</f>
        <v/>
      </c>
      <c r="C176" s="145"/>
      <c r="D176" s="145"/>
      <c r="E176" s="145"/>
      <c r="F176" s="145"/>
      <c r="G176" s="145"/>
      <c r="H176" s="145"/>
      <c r="I176" s="145"/>
      <c r="J176" s="145"/>
      <c r="K176" s="145"/>
      <c r="L176" s="145"/>
      <c r="M176" s="145"/>
      <c r="N176" s="145"/>
      <c r="O176" s="145"/>
      <c r="P176" s="145"/>
    </row>
    <row r="177" spans="1:16" x14ac:dyDescent="0.2">
      <c r="A177" s="58" t="str">
        <v/>
      </c>
      <c r="B177" s="123" t="str">
        <f>IFERROR(TIMEVALUE(DaqBook_RAW_Data!AG133),IFERROR(TIMEVALUE(DaqBook_RAW_Data!#REF!),""))</f>
        <v/>
      </c>
      <c r="C177" s="145"/>
      <c r="D177" s="145"/>
      <c r="E177" s="145"/>
      <c r="F177" s="145"/>
      <c r="G177" s="145"/>
      <c r="H177" s="145"/>
      <c r="I177" s="145"/>
      <c r="J177" s="145"/>
      <c r="K177" s="145"/>
      <c r="L177" s="145"/>
      <c r="M177" s="145"/>
      <c r="N177" s="145"/>
      <c r="O177" s="145"/>
      <c r="P177" s="145"/>
    </row>
    <row r="178" spans="1:16" x14ac:dyDescent="0.2">
      <c r="A178" s="58" t="str">
        <v/>
      </c>
      <c r="B178" s="123" t="str">
        <f>IFERROR(TIMEVALUE(DaqBook_RAW_Data!AG134),IFERROR(TIMEVALUE(DaqBook_RAW_Data!#REF!),""))</f>
        <v/>
      </c>
      <c r="C178" s="145"/>
      <c r="D178" s="145"/>
      <c r="E178" s="145"/>
      <c r="F178" s="145"/>
      <c r="G178" s="145"/>
      <c r="H178" s="145"/>
      <c r="I178" s="145"/>
      <c r="J178" s="145"/>
      <c r="K178" s="145"/>
      <c r="L178" s="145"/>
      <c r="M178" s="145"/>
      <c r="N178" s="145"/>
      <c r="O178" s="145"/>
      <c r="P178" s="145"/>
    </row>
    <row r="179" spans="1:16" x14ac:dyDescent="0.2">
      <c r="A179" s="58" t="str">
        <v/>
      </c>
      <c r="B179" s="123" t="str">
        <f>IFERROR(TIMEVALUE(DaqBook_RAW_Data!AG135),IFERROR(TIMEVALUE(DaqBook_RAW_Data!#REF!),""))</f>
        <v/>
      </c>
      <c r="C179" s="145"/>
      <c r="D179" s="145"/>
      <c r="E179" s="145"/>
      <c r="F179" s="145"/>
      <c r="G179" s="145"/>
      <c r="H179" s="145"/>
      <c r="I179" s="145"/>
      <c r="J179" s="145"/>
      <c r="K179" s="145"/>
      <c r="L179" s="145"/>
      <c r="M179" s="145"/>
      <c r="N179" s="145"/>
      <c r="O179" s="145"/>
      <c r="P179" s="145"/>
    </row>
    <row r="180" spans="1:16" x14ac:dyDescent="0.2">
      <c r="A180" s="58" t="str">
        <v/>
      </c>
      <c r="B180" s="123" t="str">
        <f>IFERROR(TIMEVALUE(DaqBook_RAW_Data!AG136),IFERROR(TIMEVALUE(DaqBook_RAW_Data!#REF!),""))</f>
        <v/>
      </c>
      <c r="C180" s="145"/>
      <c r="D180" s="145"/>
      <c r="E180" s="145"/>
      <c r="F180" s="145"/>
      <c r="G180" s="145"/>
      <c r="H180" s="145"/>
      <c r="I180" s="145"/>
      <c r="J180" s="145"/>
      <c r="K180" s="145"/>
      <c r="L180" s="145"/>
      <c r="M180" s="145"/>
      <c r="N180" s="145"/>
      <c r="O180" s="145"/>
      <c r="P180" s="145"/>
    </row>
    <row r="181" spans="1:16" x14ac:dyDescent="0.2">
      <c r="A181" s="58" t="str">
        <v/>
      </c>
      <c r="B181" s="123" t="str">
        <f>IFERROR(TIMEVALUE(DaqBook_RAW_Data!AG137),IFERROR(TIMEVALUE(DaqBook_RAW_Data!#REF!),""))</f>
        <v/>
      </c>
      <c r="C181" s="145"/>
      <c r="D181" s="145"/>
      <c r="E181" s="145"/>
      <c r="F181" s="145"/>
      <c r="G181" s="145"/>
      <c r="H181" s="145"/>
      <c r="I181" s="145"/>
      <c r="J181" s="145"/>
      <c r="K181" s="145"/>
      <c r="L181" s="145"/>
      <c r="M181" s="145"/>
      <c r="N181" s="145"/>
      <c r="O181" s="145"/>
      <c r="P181" s="145"/>
    </row>
    <row r="182" spans="1:16" x14ac:dyDescent="0.2">
      <c r="A182" s="58" t="str">
        <v/>
      </c>
      <c r="B182" s="123" t="str">
        <f>IFERROR(TIMEVALUE(DaqBook_RAW_Data!AG138),IFERROR(TIMEVALUE(DaqBook_RAW_Data!#REF!),""))</f>
        <v/>
      </c>
      <c r="C182" s="145"/>
      <c r="D182" s="145"/>
      <c r="E182" s="145"/>
      <c r="F182" s="145"/>
      <c r="G182" s="145"/>
      <c r="H182" s="145"/>
      <c r="I182" s="145"/>
      <c r="J182" s="145"/>
      <c r="K182" s="145"/>
      <c r="L182" s="145"/>
      <c r="M182" s="145"/>
      <c r="N182" s="145"/>
      <c r="O182" s="145"/>
      <c r="P182" s="145"/>
    </row>
    <row r="183" spans="1:16" x14ac:dyDescent="0.2">
      <c r="A183" s="58" t="str">
        <v/>
      </c>
      <c r="B183" s="123" t="str">
        <f>IFERROR(TIMEVALUE(DaqBook_RAW_Data!AG139),IFERROR(TIMEVALUE(DaqBook_RAW_Data!#REF!),""))</f>
        <v/>
      </c>
      <c r="C183" s="145"/>
      <c r="D183" s="145"/>
      <c r="E183" s="145"/>
      <c r="F183" s="145"/>
      <c r="G183" s="145"/>
      <c r="H183" s="145"/>
      <c r="I183" s="145"/>
      <c r="J183" s="145"/>
      <c r="K183" s="145"/>
      <c r="L183" s="145"/>
      <c r="M183" s="145"/>
      <c r="N183" s="145"/>
      <c r="O183" s="145"/>
      <c r="P183" s="145"/>
    </row>
    <row r="184" spans="1:16" x14ac:dyDescent="0.2">
      <c r="A184" s="58" t="str">
        <v/>
      </c>
      <c r="B184" s="123" t="str">
        <f>IFERROR(TIMEVALUE(DaqBook_RAW_Data!AG140),IFERROR(TIMEVALUE(DaqBook_RAW_Data!#REF!),""))</f>
        <v/>
      </c>
      <c r="C184" s="145"/>
      <c r="D184" s="145"/>
      <c r="E184" s="145"/>
      <c r="F184" s="145"/>
      <c r="G184" s="145"/>
      <c r="H184" s="145"/>
      <c r="I184" s="145"/>
      <c r="J184" s="145"/>
      <c r="K184" s="145"/>
      <c r="L184" s="145"/>
      <c r="M184" s="145"/>
      <c r="N184" s="145"/>
      <c r="O184" s="145"/>
      <c r="P184" s="145"/>
    </row>
    <row r="185" spans="1:16" x14ac:dyDescent="0.2">
      <c r="A185" s="58" t="str">
        <v/>
      </c>
      <c r="B185" s="123" t="str">
        <f>IFERROR(TIMEVALUE(DaqBook_RAW_Data!AG141),IFERROR(TIMEVALUE(DaqBook_RAW_Data!#REF!),""))</f>
        <v/>
      </c>
      <c r="C185" s="145"/>
      <c r="D185" s="145"/>
      <c r="E185" s="145"/>
      <c r="F185" s="145"/>
      <c r="G185" s="145"/>
      <c r="H185" s="145"/>
      <c r="I185" s="145"/>
      <c r="J185" s="145"/>
      <c r="K185" s="145"/>
      <c r="L185" s="145"/>
      <c r="M185" s="145"/>
      <c r="N185" s="145"/>
      <c r="O185" s="145"/>
      <c r="P185" s="145"/>
    </row>
    <row r="186" spans="1:16" x14ac:dyDescent="0.2">
      <c r="A186" s="58" t="str">
        <v/>
      </c>
      <c r="B186" s="123" t="str">
        <f>IFERROR(TIMEVALUE(DaqBook_RAW_Data!AG142),IFERROR(TIMEVALUE(DaqBook_RAW_Data!#REF!),""))</f>
        <v/>
      </c>
      <c r="C186" s="145"/>
      <c r="D186" s="145"/>
      <c r="E186" s="145"/>
      <c r="F186" s="145"/>
      <c r="G186" s="145"/>
      <c r="H186" s="145"/>
      <c r="I186" s="145"/>
      <c r="J186" s="145"/>
      <c r="K186" s="145"/>
      <c r="L186" s="145"/>
      <c r="M186" s="145"/>
      <c r="N186" s="145"/>
      <c r="O186" s="145"/>
      <c r="P186" s="145"/>
    </row>
    <row r="187" spans="1:16" x14ac:dyDescent="0.2">
      <c r="A187" s="58" t="str">
        <v/>
      </c>
      <c r="B187" s="123" t="str">
        <f>IFERROR(TIMEVALUE(DaqBook_RAW_Data!AG143),IFERROR(TIMEVALUE(DaqBook_RAW_Data!#REF!),""))</f>
        <v/>
      </c>
      <c r="C187" s="145"/>
      <c r="D187" s="145"/>
      <c r="E187" s="145"/>
      <c r="F187" s="145"/>
      <c r="G187" s="145"/>
      <c r="H187" s="145"/>
      <c r="I187" s="145"/>
      <c r="J187" s="145"/>
      <c r="K187" s="145"/>
      <c r="L187" s="145"/>
      <c r="M187" s="145"/>
      <c r="N187" s="145"/>
      <c r="O187" s="145"/>
      <c r="P187" s="145"/>
    </row>
    <row r="188" spans="1:16" x14ac:dyDescent="0.2">
      <c r="A188" s="58" t="str">
        <v/>
      </c>
      <c r="B188" s="123" t="str">
        <f>IFERROR(TIMEVALUE(DaqBook_RAW_Data!AG144),IFERROR(TIMEVALUE(DaqBook_RAW_Data!#REF!),""))</f>
        <v/>
      </c>
      <c r="C188" s="145"/>
      <c r="D188" s="145"/>
      <c r="E188" s="145"/>
      <c r="F188" s="145"/>
      <c r="G188" s="145"/>
      <c r="H188" s="145"/>
      <c r="I188" s="145"/>
      <c r="J188" s="145"/>
      <c r="K188" s="145"/>
      <c r="L188" s="145"/>
      <c r="M188" s="145"/>
      <c r="N188" s="145"/>
      <c r="O188" s="145"/>
      <c r="P188" s="145"/>
    </row>
    <row r="189" spans="1:16" x14ac:dyDescent="0.2">
      <c r="A189" s="58" t="str">
        <v/>
      </c>
      <c r="B189" s="123" t="str">
        <f>IFERROR(TIMEVALUE(DaqBook_RAW_Data!AG145),IFERROR(TIMEVALUE(DaqBook_RAW_Data!#REF!),""))</f>
        <v/>
      </c>
      <c r="C189" s="145"/>
      <c r="D189" s="145"/>
      <c r="E189" s="145"/>
      <c r="F189" s="145"/>
      <c r="G189" s="145"/>
      <c r="H189" s="145"/>
      <c r="I189" s="145"/>
      <c r="J189" s="145"/>
      <c r="K189" s="145"/>
      <c r="L189" s="145"/>
      <c r="M189" s="145"/>
      <c r="N189" s="145"/>
      <c r="O189" s="145"/>
      <c r="P189" s="145"/>
    </row>
    <row r="190" spans="1:16" x14ac:dyDescent="0.2">
      <c r="A190" s="58" t="str">
        <v/>
      </c>
      <c r="B190" s="123" t="str">
        <f>IFERROR(TIMEVALUE(DaqBook_RAW_Data!AG146),IFERROR(TIMEVALUE(DaqBook_RAW_Data!#REF!),""))</f>
        <v/>
      </c>
      <c r="C190" s="145"/>
      <c r="D190" s="145"/>
      <c r="E190" s="145"/>
      <c r="F190" s="145"/>
      <c r="G190" s="145"/>
      <c r="H190" s="145"/>
      <c r="I190" s="145"/>
      <c r="J190" s="145"/>
      <c r="K190" s="145"/>
      <c r="L190" s="145"/>
      <c r="M190" s="145"/>
      <c r="N190" s="145"/>
      <c r="O190" s="145"/>
      <c r="P190" s="145"/>
    </row>
    <row r="191" spans="1:16" x14ac:dyDescent="0.2">
      <c r="A191" s="58" t="str">
        <v/>
      </c>
      <c r="B191" s="123" t="str">
        <f>IFERROR(TIMEVALUE(DaqBook_RAW_Data!AG147),IFERROR(TIMEVALUE(DaqBook_RAW_Data!#REF!),""))</f>
        <v/>
      </c>
      <c r="C191" s="145"/>
      <c r="D191" s="145"/>
      <c r="E191" s="145"/>
      <c r="F191" s="145"/>
      <c r="G191" s="145"/>
      <c r="H191" s="145"/>
      <c r="I191" s="145"/>
      <c r="J191" s="145"/>
      <c r="K191" s="145"/>
      <c r="L191" s="145"/>
      <c r="M191" s="145"/>
      <c r="N191" s="145"/>
      <c r="O191" s="145"/>
      <c r="P191" s="145"/>
    </row>
    <row r="192" spans="1:16" x14ac:dyDescent="0.2">
      <c r="A192" s="58" t="str">
        <v/>
      </c>
      <c r="B192" s="123" t="str">
        <f>IFERROR(TIMEVALUE(DaqBook_RAW_Data!AG148),IFERROR(TIMEVALUE(DaqBook_RAW_Data!#REF!),""))</f>
        <v/>
      </c>
      <c r="C192" s="145"/>
      <c r="D192" s="145"/>
      <c r="E192" s="145"/>
      <c r="F192" s="145"/>
      <c r="G192" s="145"/>
      <c r="H192" s="145"/>
      <c r="I192" s="145"/>
      <c r="J192" s="145"/>
      <c r="K192" s="145"/>
      <c r="L192" s="145"/>
      <c r="M192" s="145"/>
      <c r="N192" s="145"/>
      <c r="O192" s="145"/>
      <c r="P192" s="145"/>
    </row>
    <row r="193" spans="1:16" x14ac:dyDescent="0.2">
      <c r="A193" s="58" t="str">
        <v/>
      </c>
      <c r="B193" s="123" t="str">
        <f>IFERROR(TIMEVALUE(DaqBook_RAW_Data!AG149),IFERROR(TIMEVALUE(DaqBook_RAW_Data!#REF!),""))</f>
        <v/>
      </c>
      <c r="C193" s="145"/>
      <c r="D193" s="145"/>
      <c r="E193" s="145"/>
      <c r="F193" s="145"/>
      <c r="G193" s="145"/>
      <c r="H193" s="145"/>
      <c r="I193" s="145"/>
      <c r="J193" s="145"/>
      <c r="K193" s="145"/>
      <c r="L193" s="145"/>
      <c r="M193" s="145"/>
      <c r="N193" s="145"/>
      <c r="O193" s="145"/>
      <c r="P193" s="145"/>
    </row>
    <row r="194" spans="1:16" x14ac:dyDescent="0.2">
      <c r="A194" s="58" t="str">
        <v/>
      </c>
      <c r="B194" s="123" t="str">
        <f>IFERROR(TIMEVALUE(DaqBook_RAW_Data!AG150),IFERROR(TIMEVALUE(DaqBook_RAW_Data!#REF!),""))</f>
        <v/>
      </c>
      <c r="C194" s="145"/>
      <c r="D194" s="145"/>
      <c r="E194" s="145"/>
      <c r="F194" s="145"/>
      <c r="G194" s="145"/>
      <c r="H194" s="145"/>
      <c r="I194" s="145"/>
      <c r="J194" s="145"/>
      <c r="K194" s="145"/>
      <c r="L194" s="145"/>
      <c r="M194" s="145"/>
      <c r="N194" s="145"/>
      <c r="O194" s="145"/>
      <c r="P194" s="145"/>
    </row>
    <row r="195" spans="1:16" x14ac:dyDescent="0.2">
      <c r="A195" s="58" t="str">
        <v/>
      </c>
      <c r="B195" s="123" t="str">
        <f>IFERROR(TIMEVALUE(DaqBook_RAW_Data!AG151),IFERROR(TIMEVALUE(DaqBook_RAW_Data!#REF!),""))</f>
        <v/>
      </c>
      <c r="C195" s="145"/>
      <c r="D195" s="145"/>
      <c r="E195" s="145"/>
      <c r="F195" s="145"/>
      <c r="G195" s="145"/>
      <c r="H195" s="145"/>
      <c r="I195" s="145"/>
      <c r="J195" s="145"/>
      <c r="K195" s="145"/>
      <c r="L195" s="145"/>
      <c r="M195" s="145"/>
      <c r="N195" s="145"/>
      <c r="O195" s="145"/>
      <c r="P195" s="145"/>
    </row>
    <row r="196" spans="1:16" x14ac:dyDescent="0.2">
      <c r="A196" s="58" t="str">
        <v/>
      </c>
      <c r="B196" s="123" t="str">
        <f>IFERROR(TIMEVALUE(DaqBook_RAW_Data!AG152),IFERROR(TIMEVALUE(DaqBook_RAW_Data!#REF!),""))</f>
        <v/>
      </c>
      <c r="C196" s="145"/>
      <c r="D196" s="145"/>
      <c r="E196" s="145"/>
      <c r="F196" s="145"/>
      <c r="G196" s="145"/>
      <c r="H196" s="145"/>
      <c r="I196" s="145"/>
      <c r="J196" s="145"/>
      <c r="K196" s="145"/>
      <c r="L196" s="145"/>
      <c r="M196" s="145"/>
      <c r="N196" s="145"/>
      <c r="O196" s="145"/>
      <c r="P196" s="145"/>
    </row>
    <row r="197" spans="1:16" x14ac:dyDescent="0.2">
      <c r="A197" s="58" t="str">
        <v/>
      </c>
      <c r="B197" s="123" t="str">
        <f>IFERROR(TIMEVALUE(DaqBook_RAW_Data!AG153),IFERROR(TIMEVALUE(DaqBook_RAW_Data!#REF!),""))</f>
        <v/>
      </c>
      <c r="C197" s="145"/>
      <c r="D197" s="145"/>
      <c r="E197" s="145"/>
      <c r="F197" s="145"/>
      <c r="G197" s="145"/>
      <c r="H197" s="145"/>
      <c r="I197" s="145"/>
      <c r="J197" s="145"/>
      <c r="K197" s="145"/>
      <c r="L197" s="145"/>
      <c r="M197" s="145"/>
      <c r="N197" s="145"/>
      <c r="O197" s="145"/>
      <c r="P197" s="145"/>
    </row>
    <row r="198" spans="1:16" x14ac:dyDescent="0.2">
      <c r="A198" s="58" t="str">
        <v/>
      </c>
      <c r="B198" s="123" t="str">
        <f>IFERROR(TIMEVALUE(DaqBook_RAW_Data!AG154),IFERROR(TIMEVALUE(DaqBook_RAW_Data!#REF!),""))</f>
        <v/>
      </c>
      <c r="C198" s="145"/>
      <c r="D198" s="145"/>
      <c r="E198" s="145"/>
      <c r="F198" s="145"/>
      <c r="G198" s="145"/>
      <c r="H198" s="145"/>
      <c r="I198" s="145"/>
      <c r="J198" s="145"/>
      <c r="K198" s="145"/>
      <c r="L198" s="145"/>
      <c r="M198" s="145"/>
      <c r="N198" s="145"/>
      <c r="O198" s="145"/>
      <c r="P198" s="145"/>
    </row>
    <row r="199" spans="1:16" x14ac:dyDescent="0.2">
      <c r="A199" s="58" t="str">
        <v/>
      </c>
      <c r="B199" s="123" t="str">
        <f>IFERROR(TIMEVALUE(DaqBook_RAW_Data!AG155),IFERROR(TIMEVALUE(DaqBook_RAW_Data!#REF!),""))</f>
        <v/>
      </c>
      <c r="C199" s="145"/>
      <c r="D199" s="145"/>
      <c r="E199" s="145"/>
      <c r="F199" s="145"/>
      <c r="G199" s="145"/>
      <c r="H199" s="145"/>
      <c r="I199" s="145"/>
      <c r="J199" s="145"/>
      <c r="K199" s="145"/>
      <c r="L199" s="145"/>
      <c r="M199" s="145"/>
      <c r="N199" s="145"/>
      <c r="O199" s="145"/>
      <c r="P199" s="145"/>
    </row>
    <row r="200" spans="1:16" x14ac:dyDescent="0.2">
      <c r="A200" s="58" t="str">
        <v/>
      </c>
      <c r="B200" s="123" t="str">
        <f>IFERROR(TIMEVALUE(DaqBook_RAW_Data!AG156),IFERROR(TIMEVALUE(DaqBook_RAW_Data!#REF!),""))</f>
        <v/>
      </c>
      <c r="C200" s="145"/>
      <c r="D200" s="145"/>
      <c r="E200" s="145"/>
      <c r="F200" s="145"/>
      <c r="G200" s="145"/>
      <c r="H200" s="145"/>
      <c r="I200" s="145"/>
      <c r="J200" s="145"/>
      <c r="K200" s="145"/>
      <c r="L200" s="145"/>
      <c r="M200" s="145"/>
      <c r="N200" s="145"/>
      <c r="O200" s="145"/>
      <c r="P200" s="145"/>
    </row>
    <row r="201" spans="1:16" x14ac:dyDescent="0.2">
      <c r="A201" s="58" t="str">
        <v/>
      </c>
      <c r="B201" s="123" t="str">
        <f>IFERROR(TIMEVALUE(DaqBook_RAW_Data!AG157),IFERROR(TIMEVALUE(DaqBook_RAW_Data!#REF!),""))</f>
        <v/>
      </c>
      <c r="C201" s="145"/>
      <c r="D201" s="145"/>
      <c r="E201" s="145"/>
      <c r="F201" s="145"/>
      <c r="G201" s="145"/>
      <c r="H201" s="145"/>
      <c r="I201" s="145"/>
      <c r="J201" s="145"/>
      <c r="K201" s="145"/>
      <c r="L201" s="145"/>
      <c r="M201" s="145"/>
      <c r="N201" s="145"/>
      <c r="O201" s="145"/>
      <c r="P201" s="145"/>
    </row>
    <row r="202" spans="1:16" x14ac:dyDescent="0.2">
      <c r="A202" s="58" t="str">
        <v/>
      </c>
      <c r="B202" s="123" t="str">
        <f>IFERROR(TIMEVALUE(DaqBook_RAW_Data!AG158),IFERROR(TIMEVALUE(DaqBook_RAW_Data!#REF!),""))</f>
        <v/>
      </c>
      <c r="C202" s="145"/>
      <c r="D202" s="145"/>
      <c r="E202" s="145"/>
      <c r="F202" s="145"/>
      <c r="G202" s="145"/>
      <c r="H202" s="145"/>
      <c r="I202" s="145"/>
      <c r="J202" s="145"/>
      <c r="K202" s="145"/>
      <c r="L202" s="145"/>
      <c r="M202" s="145"/>
      <c r="N202" s="145"/>
      <c r="O202" s="145"/>
      <c r="P202" s="145"/>
    </row>
    <row r="203" spans="1:16" x14ac:dyDescent="0.2">
      <c r="A203" s="58" t="str">
        <v/>
      </c>
      <c r="B203" s="123" t="str">
        <f>IFERROR(TIMEVALUE(DaqBook_RAW_Data!AG159),IFERROR(TIMEVALUE(DaqBook_RAW_Data!#REF!),""))</f>
        <v/>
      </c>
      <c r="C203" s="145"/>
      <c r="D203" s="145"/>
      <c r="E203" s="145"/>
      <c r="F203" s="145"/>
      <c r="G203" s="145"/>
      <c r="H203" s="145"/>
      <c r="I203" s="145"/>
      <c r="J203" s="145"/>
      <c r="K203" s="145"/>
      <c r="L203" s="145"/>
      <c r="M203" s="145"/>
      <c r="N203" s="145"/>
      <c r="O203" s="145"/>
      <c r="P203" s="145"/>
    </row>
    <row r="204" spans="1:16" x14ac:dyDescent="0.2">
      <c r="A204" s="58" t="str">
        <v/>
      </c>
      <c r="B204" s="123" t="str">
        <f>IFERROR(TIMEVALUE(DaqBook_RAW_Data!AG160),IFERROR(TIMEVALUE(DaqBook_RAW_Data!#REF!),""))</f>
        <v/>
      </c>
      <c r="C204" s="145"/>
      <c r="D204" s="145"/>
      <c r="E204" s="145"/>
      <c r="F204" s="145"/>
      <c r="G204" s="145"/>
      <c r="H204" s="145"/>
      <c r="I204" s="145"/>
      <c r="J204" s="145"/>
      <c r="K204" s="145"/>
      <c r="L204" s="145"/>
      <c r="M204" s="145"/>
      <c r="N204" s="145"/>
      <c r="O204" s="145"/>
      <c r="P204" s="145"/>
    </row>
    <row r="205" spans="1:16" x14ac:dyDescent="0.2">
      <c r="A205" s="58" t="str">
        <v/>
      </c>
      <c r="B205" s="123" t="str">
        <f>IFERROR(TIMEVALUE(DaqBook_RAW_Data!AG161),IFERROR(TIMEVALUE(DaqBook_RAW_Data!#REF!),""))</f>
        <v/>
      </c>
      <c r="C205" s="145"/>
      <c r="D205" s="145"/>
      <c r="E205" s="145"/>
      <c r="F205" s="145"/>
      <c r="G205" s="145"/>
      <c r="H205" s="145"/>
      <c r="I205" s="145"/>
      <c r="J205" s="145"/>
      <c r="K205" s="145"/>
      <c r="L205" s="145"/>
      <c r="M205" s="145"/>
      <c r="N205" s="145"/>
      <c r="O205" s="145"/>
      <c r="P205" s="145"/>
    </row>
    <row r="206" spans="1:16" x14ac:dyDescent="0.2">
      <c r="A206" s="58" t="str">
        <v/>
      </c>
      <c r="B206" s="123" t="str">
        <f>IFERROR(TIMEVALUE(DaqBook_RAW_Data!AG162),IFERROR(TIMEVALUE(DaqBook_RAW_Data!#REF!),""))</f>
        <v/>
      </c>
      <c r="C206" s="145"/>
      <c r="D206" s="145"/>
      <c r="E206" s="145"/>
      <c r="F206" s="145"/>
      <c r="G206" s="145"/>
      <c r="H206" s="145"/>
      <c r="I206" s="145"/>
      <c r="J206" s="145"/>
      <c r="K206" s="145"/>
      <c r="L206" s="145"/>
      <c r="M206" s="145"/>
      <c r="N206" s="145"/>
      <c r="O206" s="145"/>
      <c r="P206" s="145"/>
    </row>
    <row r="207" spans="1:16" x14ac:dyDescent="0.2">
      <c r="A207" s="58" t="str">
        <v/>
      </c>
      <c r="B207" s="123" t="str">
        <f>IFERROR(TIMEVALUE(DaqBook_RAW_Data!AG163),IFERROR(TIMEVALUE(DaqBook_RAW_Data!#REF!),""))</f>
        <v/>
      </c>
      <c r="C207" s="145"/>
      <c r="D207" s="145"/>
      <c r="E207" s="145"/>
      <c r="F207" s="145"/>
      <c r="G207" s="145"/>
      <c r="H207" s="145"/>
      <c r="I207" s="145"/>
      <c r="J207" s="145"/>
      <c r="K207" s="145"/>
      <c r="L207" s="145"/>
      <c r="M207" s="145"/>
      <c r="N207" s="145"/>
      <c r="O207" s="145"/>
      <c r="P207" s="145"/>
    </row>
    <row r="208" spans="1:16" x14ac:dyDescent="0.2">
      <c r="A208" s="58" t="str">
        <v/>
      </c>
      <c r="B208" s="123" t="str">
        <f>IFERROR(TIMEVALUE(DaqBook_RAW_Data!AG164),IFERROR(TIMEVALUE(DaqBook_RAW_Data!#REF!),""))</f>
        <v/>
      </c>
      <c r="C208" s="145"/>
      <c r="D208" s="145"/>
      <c r="E208" s="145"/>
      <c r="F208" s="145"/>
      <c r="G208" s="145"/>
      <c r="H208" s="145"/>
      <c r="I208" s="145"/>
      <c r="J208" s="145"/>
      <c r="K208" s="145"/>
      <c r="L208" s="145"/>
      <c r="M208" s="145"/>
      <c r="N208" s="145"/>
      <c r="O208" s="145"/>
      <c r="P208" s="145"/>
    </row>
    <row r="209" spans="1:16" x14ac:dyDescent="0.2">
      <c r="A209" s="58" t="str">
        <v/>
      </c>
      <c r="B209" s="123" t="str">
        <f>IFERROR(TIMEVALUE(DaqBook_RAW_Data!AG165),IFERROR(TIMEVALUE(DaqBook_RAW_Data!#REF!),""))</f>
        <v/>
      </c>
      <c r="C209" s="145"/>
      <c r="D209" s="145"/>
      <c r="E209" s="145"/>
      <c r="F209" s="145"/>
      <c r="G209" s="145"/>
      <c r="H209" s="145"/>
      <c r="I209" s="145"/>
      <c r="J209" s="145"/>
      <c r="K209" s="145"/>
      <c r="L209" s="145"/>
      <c r="M209" s="145"/>
      <c r="N209" s="145"/>
      <c r="O209" s="145"/>
      <c r="P209" s="145"/>
    </row>
    <row r="210" spans="1:16" x14ac:dyDescent="0.2">
      <c r="A210" s="58" t="str">
        <v/>
      </c>
      <c r="B210" s="123" t="str">
        <f>IFERROR(TIMEVALUE(DaqBook_RAW_Data!AG166),IFERROR(TIMEVALUE(DaqBook_RAW_Data!#REF!),""))</f>
        <v/>
      </c>
      <c r="C210" s="145"/>
      <c r="D210" s="145"/>
      <c r="E210" s="145"/>
      <c r="F210" s="145"/>
      <c r="G210" s="145"/>
      <c r="H210" s="145"/>
      <c r="I210" s="145"/>
      <c r="J210" s="145"/>
      <c r="K210" s="145"/>
      <c r="L210" s="145"/>
      <c r="M210" s="145"/>
      <c r="N210" s="145"/>
      <c r="O210" s="145"/>
      <c r="P210" s="145"/>
    </row>
    <row r="211" spans="1:16" x14ac:dyDescent="0.2">
      <c r="A211" s="58" t="str">
        <v/>
      </c>
      <c r="B211" s="123" t="str">
        <f>IFERROR(TIMEVALUE(DaqBook_RAW_Data!AG167),IFERROR(TIMEVALUE(DaqBook_RAW_Data!#REF!),""))</f>
        <v/>
      </c>
      <c r="C211" s="145"/>
      <c r="D211" s="145"/>
      <c r="E211" s="145"/>
      <c r="F211" s="145"/>
      <c r="G211" s="145"/>
      <c r="H211" s="145"/>
      <c r="I211" s="145"/>
      <c r="J211" s="145"/>
      <c r="K211" s="145"/>
      <c r="L211" s="145"/>
      <c r="M211" s="145"/>
      <c r="N211" s="145"/>
      <c r="O211" s="145"/>
      <c r="P211" s="145"/>
    </row>
    <row r="212" spans="1:16" x14ac:dyDescent="0.2">
      <c r="A212" s="58" t="str">
        <v/>
      </c>
      <c r="B212" s="123" t="str">
        <f>IFERROR(TIMEVALUE(DaqBook_RAW_Data!AG168),IFERROR(TIMEVALUE(DaqBook_RAW_Data!#REF!),""))</f>
        <v/>
      </c>
      <c r="C212" s="145"/>
      <c r="D212" s="145"/>
      <c r="E212" s="145"/>
      <c r="F212" s="145"/>
      <c r="G212" s="145"/>
      <c r="H212" s="145"/>
      <c r="I212" s="145"/>
      <c r="J212" s="145"/>
      <c r="K212" s="145"/>
      <c r="L212" s="145"/>
      <c r="M212" s="145"/>
      <c r="N212" s="145"/>
      <c r="O212" s="145"/>
      <c r="P212" s="145"/>
    </row>
    <row r="213" spans="1:16" x14ac:dyDescent="0.2">
      <c r="A213" s="58" t="str">
        <v/>
      </c>
      <c r="B213" s="123" t="str">
        <f>IFERROR(TIMEVALUE(DaqBook_RAW_Data!AG169),IFERROR(TIMEVALUE(DaqBook_RAW_Data!#REF!),""))</f>
        <v/>
      </c>
      <c r="C213" s="145"/>
      <c r="D213" s="145"/>
      <c r="E213" s="145"/>
      <c r="F213" s="145"/>
      <c r="G213" s="145"/>
      <c r="H213" s="145"/>
      <c r="I213" s="145"/>
      <c r="J213" s="145"/>
      <c r="K213" s="145"/>
      <c r="L213" s="145"/>
      <c r="M213" s="145"/>
      <c r="N213" s="145"/>
      <c r="O213" s="145"/>
      <c r="P213" s="145"/>
    </row>
    <row r="214" spans="1:16" x14ac:dyDescent="0.2">
      <c r="A214" s="58" t="str">
        <v/>
      </c>
      <c r="B214" s="123" t="str">
        <f>IFERROR(TIMEVALUE(DaqBook_RAW_Data!AG170),IFERROR(TIMEVALUE(DaqBook_RAW_Data!#REF!),""))</f>
        <v/>
      </c>
      <c r="C214" s="145"/>
      <c r="D214" s="145"/>
      <c r="E214" s="145"/>
      <c r="F214" s="145"/>
      <c r="G214" s="145"/>
      <c r="H214" s="145"/>
      <c r="I214" s="145"/>
      <c r="J214" s="145"/>
      <c r="K214" s="145"/>
      <c r="L214" s="145"/>
      <c r="M214" s="145"/>
      <c r="N214" s="145"/>
      <c r="O214" s="145"/>
      <c r="P214" s="145"/>
    </row>
    <row r="215" spans="1:16" x14ac:dyDescent="0.2">
      <c r="A215" s="58" t="str">
        <v/>
      </c>
      <c r="B215" s="123" t="str">
        <f>IFERROR(TIMEVALUE(DaqBook_RAW_Data!AG171),IFERROR(TIMEVALUE(DaqBook_RAW_Data!#REF!),""))</f>
        <v/>
      </c>
      <c r="C215" s="145"/>
      <c r="D215" s="145"/>
      <c r="E215" s="145"/>
      <c r="F215" s="145"/>
      <c r="G215" s="145"/>
      <c r="H215" s="145"/>
      <c r="I215" s="145"/>
      <c r="J215" s="145"/>
      <c r="K215" s="145"/>
      <c r="L215" s="145"/>
      <c r="M215" s="145"/>
      <c r="N215" s="145"/>
      <c r="O215" s="145"/>
      <c r="P215" s="145"/>
    </row>
    <row r="216" spans="1:16" x14ac:dyDescent="0.2">
      <c r="A216" s="58" t="str">
        <v/>
      </c>
      <c r="B216" s="123" t="str">
        <f>IFERROR(TIMEVALUE(DaqBook_RAW_Data!AG172),IFERROR(TIMEVALUE(DaqBook_RAW_Data!#REF!),""))</f>
        <v/>
      </c>
      <c r="C216" s="145"/>
      <c r="D216" s="145"/>
      <c r="E216" s="145"/>
      <c r="F216" s="145"/>
      <c r="G216" s="145"/>
      <c r="H216" s="145"/>
      <c r="I216" s="145"/>
      <c r="J216" s="145"/>
      <c r="K216" s="145"/>
      <c r="L216" s="145"/>
      <c r="M216" s="145"/>
      <c r="N216" s="145"/>
      <c r="O216" s="145"/>
      <c r="P216" s="145"/>
    </row>
    <row r="217" spans="1:16" x14ac:dyDescent="0.2">
      <c r="A217" s="58" t="str">
        <v/>
      </c>
      <c r="B217" s="123" t="str">
        <f>IFERROR(TIMEVALUE(DaqBook_RAW_Data!AG173),IFERROR(TIMEVALUE(DaqBook_RAW_Data!#REF!),""))</f>
        <v/>
      </c>
      <c r="C217" s="145"/>
      <c r="D217" s="145"/>
      <c r="E217" s="145"/>
      <c r="F217" s="145"/>
      <c r="G217" s="145"/>
      <c r="H217" s="145"/>
      <c r="I217" s="145"/>
      <c r="J217" s="145"/>
      <c r="K217" s="145"/>
      <c r="L217" s="145"/>
      <c r="M217" s="145"/>
      <c r="N217" s="145"/>
      <c r="O217" s="145"/>
      <c r="P217" s="145"/>
    </row>
    <row r="218" spans="1:16" x14ac:dyDescent="0.2">
      <c r="A218" s="58" t="str">
        <v/>
      </c>
      <c r="B218" s="123" t="str">
        <f>IFERROR(TIMEVALUE(DaqBook_RAW_Data!AG174),IFERROR(TIMEVALUE(DaqBook_RAW_Data!#REF!),""))</f>
        <v/>
      </c>
      <c r="C218" s="145"/>
      <c r="D218" s="145"/>
      <c r="E218" s="145"/>
      <c r="F218" s="145"/>
      <c r="G218" s="145"/>
      <c r="H218" s="145"/>
      <c r="I218" s="145"/>
      <c r="J218" s="145"/>
      <c r="K218" s="145"/>
      <c r="L218" s="145"/>
      <c r="M218" s="145"/>
      <c r="N218" s="145"/>
      <c r="O218" s="145"/>
      <c r="P218" s="145"/>
    </row>
    <row r="219" spans="1:16" x14ac:dyDescent="0.2">
      <c r="A219" s="58" t="str">
        <v/>
      </c>
      <c r="B219" s="123" t="str">
        <f>IFERROR(TIMEVALUE(DaqBook_RAW_Data!AG175),IFERROR(TIMEVALUE(DaqBook_RAW_Data!#REF!),""))</f>
        <v/>
      </c>
      <c r="C219" s="145"/>
      <c r="D219" s="145"/>
      <c r="E219" s="145"/>
      <c r="F219" s="145"/>
      <c r="G219" s="145"/>
      <c r="H219" s="145"/>
      <c r="I219" s="145"/>
      <c r="J219" s="145"/>
      <c r="K219" s="145"/>
      <c r="L219" s="145"/>
      <c r="M219" s="145"/>
      <c r="N219" s="145"/>
      <c r="O219" s="145"/>
      <c r="P219" s="145"/>
    </row>
    <row r="220" spans="1:16" x14ac:dyDescent="0.2">
      <c r="A220" s="58" t="str">
        <v/>
      </c>
      <c r="B220" s="123" t="str">
        <f>IFERROR(TIMEVALUE(DaqBook_RAW_Data!AG176),IFERROR(TIMEVALUE(DaqBook_RAW_Data!#REF!),""))</f>
        <v/>
      </c>
      <c r="C220" s="145"/>
      <c r="D220" s="145"/>
      <c r="E220" s="145"/>
      <c r="F220" s="145"/>
      <c r="G220" s="145"/>
      <c r="H220" s="145"/>
      <c r="I220" s="145"/>
      <c r="J220" s="145"/>
      <c r="K220" s="145"/>
      <c r="L220" s="145"/>
      <c r="M220" s="145"/>
      <c r="N220" s="145"/>
      <c r="O220" s="145"/>
      <c r="P220" s="145"/>
    </row>
    <row r="221" spans="1:16" x14ac:dyDescent="0.2">
      <c r="A221" s="58" t="str">
        <v/>
      </c>
      <c r="B221" s="123" t="str">
        <f>IFERROR(TIMEVALUE(DaqBook_RAW_Data!AG177),IFERROR(TIMEVALUE(DaqBook_RAW_Data!#REF!),""))</f>
        <v/>
      </c>
      <c r="C221" s="145"/>
      <c r="D221" s="145"/>
      <c r="E221" s="145"/>
      <c r="F221" s="145"/>
      <c r="G221" s="145"/>
      <c r="H221" s="145"/>
      <c r="I221" s="145"/>
      <c r="J221" s="145"/>
      <c r="K221" s="145"/>
      <c r="L221" s="145"/>
      <c r="M221" s="145"/>
      <c r="N221" s="145"/>
      <c r="O221" s="145"/>
      <c r="P221" s="145"/>
    </row>
    <row r="222" spans="1:16" x14ac:dyDescent="0.2">
      <c r="A222" s="58" t="str">
        <v/>
      </c>
      <c r="B222" s="123" t="str">
        <f>IFERROR(TIMEVALUE(DaqBook_RAW_Data!AG178),IFERROR(TIMEVALUE(DaqBook_RAW_Data!#REF!),""))</f>
        <v/>
      </c>
      <c r="C222" s="145"/>
      <c r="D222" s="145"/>
      <c r="E222" s="145"/>
      <c r="F222" s="145"/>
      <c r="G222" s="145"/>
      <c r="H222" s="145"/>
      <c r="I222" s="145"/>
      <c r="J222" s="145"/>
      <c r="K222" s="145"/>
      <c r="L222" s="145"/>
      <c r="M222" s="145"/>
      <c r="N222" s="145"/>
      <c r="O222" s="145"/>
      <c r="P222" s="145"/>
    </row>
    <row r="223" spans="1:16" x14ac:dyDescent="0.2">
      <c r="A223" s="58" t="str">
        <v/>
      </c>
      <c r="B223" s="123" t="str">
        <f>IFERROR(TIMEVALUE(DaqBook_RAW_Data!AG179),IFERROR(TIMEVALUE(DaqBook_RAW_Data!#REF!),""))</f>
        <v/>
      </c>
      <c r="C223" s="145"/>
      <c r="D223" s="145"/>
      <c r="E223" s="145"/>
      <c r="F223" s="145"/>
      <c r="G223" s="145"/>
      <c r="H223" s="145"/>
      <c r="I223" s="145"/>
      <c r="J223" s="145"/>
      <c r="K223" s="145"/>
      <c r="L223" s="145"/>
      <c r="M223" s="145"/>
      <c r="N223" s="145"/>
      <c r="O223" s="145"/>
      <c r="P223" s="145"/>
    </row>
    <row r="224" spans="1:16" x14ac:dyDescent="0.2">
      <c r="A224" s="58" t="str">
        <v/>
      </c>
      <c r="B224" s="123" t="str">
        <f>IFERROR(TIMEVALUE(DaqBook_RAW_Data!AG180),IFERROR(TIMEVALUE(DaqBook_RAW_Data!#REF!),""))</f>
        <v/>
      </c>
      <c r="C224" s="145"/>
      <c r="D224" s="145"/>
      <c r="E224" s="145"/>
      <c r="F224" s="145"/>
      <c r="G224" s="145"/>
      <c r="H224" s="145"/>
      <c r="I224" s="145"/>
      <c r="J224" s="145"/>
      <c r="K224" s="145"/>
      <c r="L224" s="145"/>
      <c r="M224" s="145"/>
      <c r="N224" s="145"/>
      <c r="O224" s="145"/>
      <c r="P224" s="145"/>
    </row>
    <row r="225" spans="1:16" x14ac:dyDescent="0.2">
      <c r="A225" s="58" t="str">
        <v/>
      </c>
      <c r="B225" s="123" t="str">
        <f>IFERROR(TIMEVALUE(DaqBook_RAW_Data!AG181),IFERROR(TIMEVALUE(DaqBook_RAW_Data!#REF!),""))</f>
        <v/>
      </c>
      <c r="C225" s="145"/>
      <c r="D225" s="145"/>
      <c r="E225" s="145"/>
      <c r="F225" s="145"/>
      <c r="G225" s="145"/>
      <c r="H225" s="145"/>
      <c r="I225" s="145"/>
      <c r="J225" s="145"/>
      <c r="K225" s="145"/>
      <c r="L225" s="145"/>
      <c r="M225" s="145"/>
      <c r="N225" s="145"/>
      <c r="O225" s="145"/>
      <c r="P225" s="145"/>
    </row>
    <row r="226" spans="1:16" x14ac:dyDescent="0.2">
      <c r="A226" s="58" t="str">
        <v/>
      </c>
      <c r="B226" s="123" t="str">
        <f>IFERROR(TIMEVALUE(DaqBook_RAW_Data!AG182),IFERROR(TIMEVALUE(DaqBook_RAW_Data!#REF!),""))</f>
        <v/>
      </c>
      <c r="C226" s="145"/>
      <c r="D226" s="145"/>
      <c r="E226" s="145"/>
      <c r="F226" s="145"/>
      <c r="G226" s="145"/>
      <c r="H226" s="145"/>
      <c r="I226" s="145"/>
      <c r="J226" s="145"/>
      <c r="K226" s="145"/>
      <c r="L226" s="145"/>
      <c r="M226" s="145"/>
      <c r="N226" s="145"/>
      <c r="O226" s="145"/>
      <c r="P226" s="145"/>
    </row>
    <row r="227" spans="1:16" x14ac:dyDescent="0.2">
      <c r="A227" s="58" t="str">
        <v/>
      </c>
      <c r="B227" s="123" t="str">
        <f>IFERROR(TIMEVALUE(DaqBook_RAW_Data!AG183),IFERROR(TIMEVALUE(DaqBook_RAW_Data!#REF!),""))</f>
        <v/>
      </c>
      <c r="C227" s="145"/>
      <c r="D227" s="145"/>
      <c r="E227" s="145"/>
      <c r="F227" s="145"/>
      <c r="G227" s="145"/>
      <c r="H227" s="145"/>
      <c r="I227" s="145"/>
      <c r="J227" s="145"/>
      <c r="K227" s="145"/>
      <c r="L227" s="145"/>
      <c r="M227" s="145"/>
      <c r="N227" s="145"/>
      <c r="O227" s="145"/>
      <c r="P227" s="145"/>
    </row>
    <row r="228" spans="1:16" x14ac:dyDescent="0.2">
      <c r="A228" s="58" t="str">
        <v/>
      </c>
      <c r="B228" s="123" t="str">
        <f>IFERROR(TIMEVALUE(DaqBook_RAW_Data!AG184),IFERROR(TIMEVALUE(DaqBook_RAW_Data!#REF!),""))</f>
        <v/>
      </c>
      <c r="C228" s="145"/>
      <c r="D228" s="145"/>
      <c r="E228" s="145"/>
      <c r="F228" s="145"/>
      <c r="G228" s="145"/>
      <c r="H228" s="145"/>
      <c r="I228" s="145"/>
      <c r="J228" s="145"/>
      <c r="K228" s="145"/>
      <c r="L228" s="145"/>
      <c r="M228" s="145"/>
      <c r="N228" s="145"/>
      <c r="O228" s="145"/>
      <c r="P228" s="145"/>
    </row>
    <row r="229" spans="1:16" x14ac:dyDescent="0.2">
      <c r="A229" s="58" t="str">
        <v/>
      </c>
      <c r="B229" s="123" t="str">
        <f>IFERROR(TIMEVALUE(DaqBook_RAW_Data!AG185),IFERROR(TIMEVALUE(DaqBook_RAW_Data!#REF!),""))</f>
        <v/>
      </c>
      <c r="C229" s="145"/>
      <c r="D229" s="145"/>
      <c r="E229" s="145"/>
      <c r="F229" s="145"/>
      <c r="G229" s="145"/>
      <c r="H229" s="145"/>
      <c r="I229" s="145"/>
      <c r="J229" s="145"/>
      <c r="K229" s="145"/>
      <c r="L229" s="145"/>
      <c r="M229" s="145"/>
      <c r="N229" s="145"/>
      <c r="O229" s="145"/>
      <c r="P229" s="145"/>
    </row>
    <row r="230" spans="1:16" x14ac:dyDescent="0.2">
      <c r="A230" s="58" t="str">
        <v/>
      </c>
      <c r="B230" s="123" t="str">
        <f>IFERROR(TIMEVALUE(DaqBook_RAW_Data!AG186),IFERROR(TIMEVALUE(DaqBook_RAW_Data!#REF!),""))</f>
        <v/>
      </c>
      <c r="C230" s="145"/>
      <c r="D230" s="145"/>
      <c r="E230" s="145"/>
      <c r="F230" s="145"/>
      <c r="G230" s="145"/>
      <c r="H230" s="145"/>
      <c r="I230" s="145"/>
      <c r="J230" s="145"/>
      <c r="K230" s="145"/>
      <c r="L230" s="145"/>
      <c r="M230" s="145"/>
      <c r="N230" s="145"/>
      <c r="O230" s="145"/>
      <c r="P230" s="145"/>
    </row>
    <row r="231" spans="1:16" x14ac:dyDescent="0.2">
      <c r="A231" s="58" t="str">
        <v/>
      </c>
      <c r="B231" s="123" t="str">
        <f>IFERROR(TIMEVALUE(DaqBook_RAW_Data!AG187),IFERROR(TIMEVALUE(DaqBook_RAW_Data!#REF!),""))</f>
        <v/>
      </c>
      <c r="C231" s="145"/>
      <c r="D231" s="145"/>
      <c r="E231" s="145"/>
      <c r="F231" s="145"/>
      <c r="G231" s="145"/>
      <c r="H231" s="145"/>
      <c r="I231" s="145"/>
      <c r="J231" s="145"/>
      <c r="K231" s="145"/>
      <c r="L231" s="145"/>
      <c r="M231" s="145"/>
      <c r="N231" s="145"/>
      <c r="O231" s="145"/>
      <c r="P231" s="145"/>
    </row>
    <row r="232" spans="1:16" x14ac:dyDescent="0.2">
      <c r="A232" s="58" t="str">
        <v/>
      </c>
      <c r="B232" s="123" t="str">
        <f>IFERROR(TIMEVALUE(DaqBook_RAW_Data!AG188),IFERROR(TIMEVALUE(DaqBook_RAW_Data!#REF!),""))</f>
        <v/>
      </c>
      <c r="C232" s="145"/>
      <c r="D232" s="145"/>
      <c r="E232" s="145"/>
      <c r="F232" s="145"/>
      <c r="G232" s="145"/>
      <c r="H232" s="145"/>
      <c r="I232" s="145"/>
      <c r="J232" s="145"/>
      <c r="K232" s="145"/>
      <c r="L232" s="145"/>
      <c r="M232" s="145"/>
      <c r="N232" s="145"/>
      <c r="O232" s="145"/>
      <c r="P232" s="145"/>
    </row>
    <row r="233" spans="1:16" x14ac:dyDescent="0.2">
      <c r="A233" s="58" t="str">
        <v/>
      </c>
      <c r="B233" s="123" t="str">
        <f>IFERROR(TIMEVALUE(DaqBook_RAW_Data!AG189),IFERROR(TIMEVALUE(DaqBook_RAW_Data!#REF!),""))</f>
        <v/>
      </c>
      <c r="C233" s="145"/>
      <c r="D233" s="145"/>
      <c r="E233" s="145"/>
      <c r="F233" s="145"/>
      <c r="G233" s="145"/>
      <c r="H233" s="145"/>
      <c r="I233" s="145"/>
      <c r="J233" s="145"/>
      <c r="K233" s="145"/>
      <c r="L233" s="145"/>
      <c r="M233" s="145"/>
      <c r="N233" s="145"/>
      <c r="O233" s="145"/>
      <c r="P233" s="145"/>
    </row>
    <row r="234" spans="1:16" x14ac:dyDescent="0.2">
      <c r="A234" s="58" t="str">
        <v/>
      </c>
      <c r="B234" s="123" t="str">
        <f>IFERROR(TIMEVALUE(DaqBook_RAW_Data!AG190),IFERROR(TIMEVALUE(DaqBook_RAW_Data!#REF!),""))</f>
        <v/>
      </c>
      <c r="C234" s="145"/>
      <c r="D234" s="145"/>
      <c r="E234" s="145"/>
      <c r="F234" s="145"/>
      <c r="G234" s="145"/>
      <c r="H234" s="145"/>
      <c r="I234" s="145"/>
      <c r="J234" s="145"/>
      <c r="K234" s="145"/>
      <c r="L234" s="145"/>
      <c r="M234" s="145"/>
      <c r="N234" s="145"/>
      <c r="O234" s="145"/>
      <c r="P234" s="145"/>
    </row>
    <row r="235" spans="1:16" x14ac:dyDescent="0.2">
      <c r="A235" s="58" t="str">
        <v/>
      </c>
      <c r="B235" s="123" t="str">
        <f>IFERROR(TIMEVALUE(DaqBook_RAW_Data!AG191),IFERROR(TIMEVALUE(DaqBook_RAW_Data!#REF!),""))</f>
        <v/>
      </c>
      <c r="C235" s="145"/>
      <c r="D235" s="145"/>
      <c r="E235" s="145"/>
      <c r="F235" s="145"/>
      <c r="G235" s="145"/>
      <c r="H235" s="145"/>
      <c r="I235" s="145"/>
      <c r="J235" s="145"/>
      <c r="K235" s="145"/>
      <c r="L235" s="145"/>
      <c r="M235" s="145"/>
      <c r="N235" s="145"/>
      <c r="O235" s="145"/>
      <c r="P235" s="145"/>
    </row>
    <row r="236" spans="1:16" x14ac:dyDescent="0.2">
      <c r="A236" s="58" t="str">
        <v/>
      </c>
      <c r="B236" s="123" t="str">
        <f>IFERROR(TIMEVALUE(DaqBook_RAW_Data!AG192),IFERROR(TIMEVALUE(DaqBook_RAW_Data!#REF!),""))</f>
        <v/>
      </c>
      <c r="C236" s="145"/>
      <c r="D236" s="145"/>
      <c r="E236" s="145"/>
      <c r="F236" s="145"/>
      <c r="G236" s="145"/>
      <c r="H236" s="145"/>
      <c r="I236" s="145"/>
      <c r="J236" s="145"/>
      <c r="K236" s="145"/>
      <c r="L236" s="145"/>
      <c r="M236" s="145"/>
      <c r="N236" s="145"/>
      <c r="O236" s="145"/>
      <c r="P236" s="145"/>
    </row>
    <row r="237" spans="1:16" x14ac:dyDescent="0.2">
      <c r="A237" s="58" t="str">
        <v/>
      </c>
      <c r="B237" s="123" t="str">
        <f>IFERROR(TIMEVALUE(DaqBook_RAW_Data!AG193),IFERROR(TIMEVALUE(DaqBook_RAW_Data!#REF!),""))</f>
        <v/>
      </c>
      <c r="C237" s="145"/>
      <c r="D237" s="145"/>
      <c r="E237" s="145"/>
      <c r="F237" s="145"/>
      <c r="G237" s="145"/>
      <c r="H237" s="145"/>
      <c r="I237" s="145"/>
      <c r="J237" s="145"/>
      <c r="K237" s="145"/>
      <c r="L237" s="145"/>
      <c r="M237" s="145"/>
      <c r="N237" s="145"/>
      <c r="O237" s="145"/>
      <c r="P237" s="145"/>
    </row>
    <row r="238" spans="1:16" x14ac:dyDescent="0.2">
      <c r="A238" s="58" t="str">
        <v/>
      </c>
      <c r="B238" s="123" t="str">
        <f>IFERROR(TIMEVALUE(DaqBook_RAW_Data!AG194),IFERROR(TIMEVALUE(DaqBook_RAW_Data!#REF!),""))</f>
        <v/>
      </c>
      <c r="C238" s="145"/>
      <c r="D238" s="145"/>
      <c r="E238" s="145"/>
      <c r="F238" s="145"/>
      <c r="G238" s="145"/>
      <c r="H238" s="145"/>
      <c r="I238" s="145"/>
      <c r="J238" s="145"/>
      <c r="K238" s="145"/>
      <c r="L238" s="145"/>
      <c r="M238" s="145"/>
      <c r="N238" s="145"/>
      <c r="O238" s="145"/>
      <c r="P238" s="145"/>
    </row>
    <row r="239" spans="1:16" x14ac:dyDescent="0.2">
      <c r="A239" s="58" t="str">
        <v/>
      </c>
      <c r="B239" s="123" t="str">
        <f>IFERROR(TIMEVALUE(DaqBook_RAW_Data!AG195),IFERROR(TIMEVALUE(DaqBook_RAW_Data!#REF!),""))</f>
        <v/>
      </c>
      <c r="C239" s="145"/>
      <c r="D239" s="145"/>
      <c r="E239" s="145"/>
      <c r="F239" s="145"/>
      <c r="G239" s="145"/>
      <c r="H239" s="145"/>
      <c r="I239" s="145"/>
      <c r="J239" s="145"/>
      <c r="K239" s="145"/>
      <c r="L239" s="145"/>
      <c r="M239" s="145"/>
      <c r="N239" s="145"/>
      <c r="O239" s="145"/>
      <c r="P239" s="145"/>
    </row>
    <row r="240" spans="1:16" x14ac:dyDescent="0.2">
      <c r="A240" s="58" t="str">
        <v/>
      </c>
      <c r="B240" s="123" t="str">
        <f>IFERROR(TIMEVALUE(DaqBook_RAW_Data!AG196),IFERROR(TIMEVALUE(DaqBook_RAW_Data!#REF!),""))</f>
        <v/>
      </c>
      <c r="C240" s="145"/>
      <c r="D240" s="145"/>
      <c r="E240" s="145"/>
      <c r="F240" s="145"/>
      <c r="G240" s="145"/>
      <c r="H240" s="145"/>
      <c r="I240" s="145"/>
      <c r="J240" s="145"/>
      <c r="K240" s="145"/>
      <c r="L240" s="145"/>
      <c r="M240" s="145"/>
      <c r="N240" s="145"/>
      <c r="O240" s="145"/>
      <c r="P240" s="145"/>
    </row>
    <row r="241" spans="1:16" x14ac:dyDescent="0.2">
      <c r="A241" s="58" t="str">
        <v/>
      </c>
      <c r="B241" s="123" t="str">
        <f>IFERROR(TIMEVALUE(DaqBook_RAW_Data!AG197),IFERROR(TIMEVALUE(DaqBook_RAW_Data!#REF!),""))</f>
        <v/>
      </c>
      <c r="C241" s="145"/>
      <c r="D241" s="145"/>
      <c r="E241" s="145"/>
      <c r="F241" s="145"/>
      <c r="G241" s="145"/>
      <c r="H241" s="145"/>
      <c r="I241" s="145"/>
      <c r="J241" s="145"/>
      <c r="K241" s="145"/>
      <c r="L241" s="145"/>
      <c r="M241" s="145"/>
      <c r="N241" s="145"/>
      <c r="O241" s="145"/>
      <c r="P241" s="145"/>
    </row>
    <row r="242" spans="1:16" x14ac:dyDescent="0.2">
      <c r="A242" s="58" t="str">
        <v/>
      </c>
      <c r="B242" s="123" t="str">
        <f>IFERROR(TIMEVALUE(DaqBook_RAW_Data!AG198),IFERROR(TIMEVALUE(DaqBook_RAW_Data!#REF!),""))</f>
        <v/>
      </c>
      <c r="C242" s="145"/>
      <c r="D242" s="145"/>
      <c r="E242" s="145"/>
      <c r="F242" s="145"/>
      <c r="G242" s="145"/>
      <c r="H242" s="145"/>
      <c r="I242" s="145"/>
      <c r="J242" s="145"/>
      <c r="K242" s="145"/>
      <c r="L242" s="145"/>
      <c r="M242" s="145"/>
      <c r="N242" s="145"/>
      <c r="O242" s="145"/>
      <c r="P242" s="145"/>
    </row>
    <row r="243" spans="1:16" x14ac:dyDescent="0.2">
      <c r="A243" s="58" t="str">
        <v/>
      </c>
      <c r="B243" s="123" t="str">
        <f>IFERROR(TIMEVALUE(DaqBook_RAW_Data!AG199),IFERROR(TIMEVALUE(DaqBook_RAW_Data!#REF!),""))</f>
        <v/>
      </c>
      <c r="C243" s="145"/>
      <c r="D243" s="145"/>
      <c r="E243" s="145"/>
      <c r="F243" s="145"/>
      <c r="G243" s="145"/>
      <c r="H243" s="145"/>
      <c r="I243" s="145"/>
      <c r="J243" s="145"/>
      <c r="K243" s="145"/>
      <c r="L243" s="145"/>
      <c r="M243" s="145"/>
      <c r="N243" s="145"/>
      <c r="O243" s="145"/>
      <c r="P243" s="145"/>
    </row>
    <row r="244" spans="1:16" x14ac:dyDescent="0.2">
      <c r="A244" s="58" t="str">
        <v/>
      </c>
      <c r="B244" s="123" t="str">
        <f>IFERROR(TIMEVALUE(DaqBook_RAW_Data!AG200),IFERROR(TIMEVALUE(DaqBook_RAW_Data!#REF!),""))</f>
        <v/>
      </c>
      <c r="C244" s="145"/>
      <c r="D244" s="145"/>
      <c r="E244" s="145"/>
      <c r="F244" s="145"/>
      <c r="G244" s="145"/>
      <c r="H244" s="145"/>
      <c r="I244" s="145"/>
      <c r="J244" s="145"/>
      <c r="K244" s="145"/>
      <c r="L244" s="145"/>
      <c r="M244" s="145"/>
      <c r="N244" s="145"/>
      <c r="O244" s="145"/>
      <c r="P244" s="145"/>
    </row>
    <row r="245" spans="1:16" x14ac:dyDescent="0.2">
      <c r="A245" s="58" t="str">
        <v/>
      </c>
      <c r="B245" s="123" t="str">
        <f>IFERROR(TIMEVALUE(DaqBook_RAW_Data!AG201),IFERROR(TIMEVALUE(DaqBook_RAW_Data!#REF!),""))</f>
        <v/>
      </c>
      <c r="C245" s="145"/>
      <c r="D245" s="145"/>
      <c r="E245" s="145"/>
      <c r="F245" s="145"/>
      <c r="G245" s="145"/>
      <c r="H245" s="145"/>
      <c r="I245" s="145"/>
      <c r="J245" s="145"/>
      <c r="K245" s="145"/>
      <c r="L245" s="145"/>
      <c r="M245" s="145"/>
      <c r="N245" s="145"/>
      <c r="O245" s="145"/>
      <c r="P245" s="145"/>
    </row>
    <row r="246" spans="1:16" x14ac:dyDescent="0.2">
      <c r="A246" s="58" t="str">
        <v/>
      </c>
      <c r="B246" s="123" t="str">
        <f>IFERROR(TIMEVALUE(DaqBook_RAW_Data!AG202),IFERROR(TIMEVALUE(DaqBook_RAW_Data!#REF!),""))</f>
        <v/>
      </c>
      <c r="C246" s="145"/>
      <c r="D246" s="145"/>
      <c r="E246" s="145"/>
      <c r="F246" s="145"/>
      <c r="G246" s="145"/>
      <c r="H246" s="145"/>
      <c r="I246" s="145"/>
      <c r="J246" s="145"/>
      <c r="K246" s="145"/>
      <c r="L246" s="145"/>
      <c r="M246" s="145"/>
      <c r="N246" s="145"/>
      <c r="O246" s="145"/>
      <c r="P246" s="145"/>
    </row>
    <row r="247" spans="1:16" x14ac:dyDescent="0.2">
      <c r="A247" s="58" t="str">
        <v/>
      </c>
      <c r="B247" s="123" t="str">
        <f>IFERROR(TIMEVALUE(DaqBook_RAW_Data!AG203),IFERROR(TIMEVALUE(DaqBook_RAW_Data!#REF!),""))</f>
        <v/>
      </c>
      <c r="C247" s="145"/>
      <c r="D247" s="145"/>
      <c r="E247" s="145"/>
      <c r="F247" s="145"/>
      <c r="G247" s="145"/>
      <c r="H247" s="145"/>
      <c r="I247" s="145"/>
      <c r="J247" s="145"/>
      <c r="K247" s="145"/>
      <c r="L247" s="145"/>
      <c r="M247" s="145"/>
      <c r="N247" s="145"/>
      <c r="O247" s="145"/>
      <c r="P247" s="145"/>
    </row>
    <row r="248" spans="1:16" x14ac:dyDescent="0.2">
      <c r="A248" s="58" t="str">
        <v/>
      </c>
      <c r="B248" s="123" t="str">
        <f>IFERROR(TIMEVALUE(DaqBook_RAW_Data!AG204),IFERROR(TIMEVALUE(DaqBook_RAW_Data!#REF!),""))</f>
        <v/>
      </c>
      <c r="C248" s="145"/>
      <c r="D248" s="145"/>
      <c r="E248" s="145"/>
      <c r="F248" s="145"/>
      <c r="G248" s="145"/>
      <c r="H248" s="145"/>
      <c r="I248" s="145"/>
      <c r="J248" s="145"/>
      <c r="K248" s="145"/>
      <c r="L248" s="145"/>
      <c r="M248" s="145"/>
      <c r="N248" s="145"/>
      <c r="O248" s="145"/>
      <c r="P248" s="145"/>
    </row>
    <row r="249" spans="1:16" x14ac:dyDescent="0.2">
      <c r="A249" s="58" t="str">
        <v/>
      </c>
      <c r="B249" s="123" t="str">
        <f>IFERROR(TIMEVALUE(DaqBook_RAW_Data!AG205),IFERROR(TIMEVALUE(DaqBook_RAW_Data!#REF!),""))</f>
        <v/>
      </c>
      <c r="C249" s="145"/>
      <c r="D249" s="145"/>
      <c r="E249" s="145"/>
      <c r="F249" s="145"/>
      <c r="G249" s="145"/>
      <c r="H249" s="145"/>
      <c r="I249" s="145"/>
      <c r="J249" s="145"/>
      <c r="K249" s="145"/>
      <c r="L249" s="145"/>
      <c r="M249" s="145"/>
      <c r="N249" s="145"/>
      <c r="O249" s="145"/>
      <c r="P249" s="145"/>
    </row>
    <row r="250" spans="1:16" x14ac:dyDescent="0.2">
      <c r="A250" s="58" t="str">
        <v/>
      </c>
      <c r="B250" s="123" t="str">
        <f>IFERROR(TIMEVALUE(DaqBook_RAW_Data!AG206),IFERROR(TIMEVALUE(DaqBook_RAW_Data!#REF!),""))</f>
        <v/>
      </c>
      <c r="C250" s="145"/>
      <c r="D250" s="145"/>
      <c r="E250" s="145"/>
      <c r="F250" s="145"/>
      <c r="G250" s="145"/>
      <c r="H250" s="145"/>
      <c r="I250" s="145"/>
      <c r="J250" s="145"/>
      <c r="K250" s="145"/>
      <c r="L250" s="145"/>
      <c r="M250" s="145"/>
      <c r="N250" s="145"/>
      <c r="O250" s="145"/>
      <c r="P250" s="145"/>
    </row>
    <row r="251" spans="1:16" x14ac:dyDescent="0.2">
      <c r="A251" s="58" t="str">
        <v/>
      </c>
      <c r="B251" s="123" t="str">
        <f>IFERROR(TIMEVALUE(DaqBook_RAW_Data!AG207),IFERROR(TIMEVALUE(DaqBook_RAW_Data!#REF!),""))</f>
        <v/>
      </c>
      <c r="C251" s="145"/>
      <c r="D251" s="145"/>
      <c r="E251" s="145"/>
      <c r="F251" s="145"/>
      <c r="G251" s="145"/>
      <c r="H251" s="145"/>
      <c r="I251" s="145"/>
      <c r="J251" s="145"/>
      <c r="K251" s="145"/>
      <c r="L251" s="145"/>
      <c r="M251" s="145"/>
      <c r="N251" s="145"/>
      <c r="O251" s="145"/>
      <c r="P251" s="145"/>
    </row>
    <row r="252" spans="1:16" x14ac:dyDescent="0.2">
      <c r="A252" s="58" t="str">
        <v/>
      </c>
      <c r="B252" s="123" t="str">
        <f>IFERROR(TIMEVALUE(DaqBook_RAW_Data!AG208),IFERROR(TIMEVALUE(DaqBook_RAW_Data!#REF!),""))</f>
        <v/>
      </c>
      <c r="C252" s="145"/>
      <c r="D252" s="145"/>
      <c r="E252" s="145"/>
      <c r="F252" s="145"/>
      <c r="G252" s="145"/>
      <c r="H252" s="145"/>
      <c r="I252" s="145"/>
      <c r="J252" s="145"/>
      <c r="K252" s="145"/>
      <c r="L252" s="145"/>
      <c r="M252" s="145"/>
      <c r="N252" s="145"/>
      <c r="O252" s="145"/>
      <c r="P252" s="145"/>
    </row>
    <row r="253" spans="1:16" x14ac:dyDescent="0.2">
      <c r="A253" s="58" t="str">
        <v/>
      </c>
      <c r="B253" s="123" t="str">
        <f>IFERROR(TIMEVALUE(DaqBook_RAW_Data!AG209),IFERROR(TIMEVALUE(DaqBook_RAW_Data!#REF!),""))</f>
        <v/>
      </c>
      <c r="C253" s="145"/>
      <c r="D253" s="145"/>
      <c r="E253" s="145"/>
      <c r="F253" s="145"/>
      <c r="G253" s="145"/>
      <c r="H253" s="145"/>
      <c r="I253" s="145"/>
      <c r="J253" s="145"/>
      <c r="K253" s="145"/>
      <c r="L253" s="145"/>
      <c r="M253" s="145"/>
      <c r="N253" s="145"/>
      <c r="O253" s="145"/>
      <c r="P253" s="145"/>
    </row>
    <row r="254" spans="1:16" x14ac:dyDescent="0.2">
      <c r="A254" s="58" t="str">
        <v/>
      </c>
      <c r="B254" s="123" t="str">
        <f>IFERROR(TIMEVALUE(DaqBook_RAW_Data!AG210),IFERROR(TIMEVALUE(DaqBook_RAW_Data!#REF!),""))</f>
        <v/>
      </c>
      <c r="C254" s="145"/>
      <c r="D254" s="145"/>
      <c r="E254" s="145"/>
      <c r="F254" s="145"/>
      <c r="G254" s="145"/>
      <c r="H254" s="145"/>
      <c r="I254" s="145"/>
      <c r="J254" s="145"/>
      <c r="K254" s="145"/>
      <c r="L254" s="145"/>
      <c r="M254" s="145"/>
      <c r="N254" s="145"/>
      <c r="O254" s="145"/>
      <c r="P254" s="145"/>
    </row>
    <row r="255" spans="1:16" x14ac:dyDescent="0.2">
      <c r="A255" s="58" t="str">
        <v/>
      </c>
      <c r="B255" s="123" t="str">
        <f>IFERROR(TIMEVALUE(DaqBook_RAW_Data!AG211),IFERROR(TIMEVALUE(DaqBook_RAW_Data!#REF!),""))</f>
        <v/>
      </c>
      <c r="C255" s="145"/>
      <c r="D255" s="145"/>
      <c r="E255" s="145"/>
      <c r="F255" s="145"/>
      <c r="G255" s="145"/>
      <c r="H255" s="145"/>
      <c r="I255" s="145"/>
      <c r="J255" s="145"/>
      <c r="K255" s="145"/>
      <c r="L255" s="145"/>
      <c r="M255" s="145"/>
      <c r="N255" s="145"/>
      <c r="O255" s="145"/>
      <c r="P255" s="145"/>
    </row>
    <row r="256" spans="1:16" x14ac:dyDescent="0.2">
      <c r="A256" s="58" t="str">
        <v/>
      </c>
      <c r="B256" s="123" t="str">
        <f>IFERROR(TIMEVALUE(DaqBook_RAW_Data!AG212),IFERROR(TIMEVALUE(DaqBook_RAW_Data!#REF!),""))</f>
        <v/>
      </c>
      <c r="C256" s="145"/>
      <c r="D256" s="145"/>
      <c r="E256" s="145"/>
      <c r="F256" s="145"/>
      <c r="G256" s="145"/>
      <c r="H256" s="145"/>
      <c r="I256" s="145"/>
      <c r="J256" s="145"/>
      <c r="K256" s="145"/>
      <c r="L256" s="145"/>
      <c r="M256" s="145"/>
      <c r="N256" s="145"/>
      <c r="O256" s="145"/>
      <c r="P256" s="145"/>
    </row>
    <row r="257" spans="1:16" x14ac:dyDescent="0.2">
      <c r="A257" s="58" t="str">
        <v/>
      </c>
      <c r="B257" s="123" t="str">
        <f>IFERROR(TIMEVALUE(DaqBook_RAW_Data!AG213),IFERROR(TIMEVALUE(DaqBook_RAW_Data!#REF!),""))</f>
        <v/>
      </c>
      <c r="C257" s="145"/>
      <c r="D257" s="145"/>
      <c r="E257" s="145"/>
      <c r="F257" s="145"/>
      <c r="G257" s="145"/>
      <c r="H257" s="145"/>
      <c r="I257" s="145"/>
      <c r="J257" s="145"/>
      <c r="K257" s="145"/>
      <c r="L257" s="145"/>
      <c r="M257" s="145"/>
      <c r="N257" s="145"/>
      <c r="O257" s="145"/>
      <c r="P257" s="145"/>
    </row>
    <row r="258" spans="1:16" x14ac:dyDescent="0.2">
      <c r="A258" s="58" t="str">
        <v/>
      </c>
      <c r="B258" s="123" t="str">
        <f>IFERROR(TIMEVALUE(DaqBook_RAW_Data!AG214),IFERROR(TIMEVALUE(DaqBook_RAW_Data!#REF!),""))</f>
        <v/>
      </c>
      <c r="C258" s="145"/>
      <c r="D258" s="145"/>
      <c r="E258" s="145"/>
      <c r="F258" s="145"/>
      <c r="G258" s="145"/>
      <c r="H258" s="145"/>
      <c r="I258" s="145"/>
      <c r="J258" s="145"/>
      <c r="K258" s="145"/>
      <c r="L258" s="145"/>
      <c r="M258" s="145"/>
      <c r="N258" s="145"/>
      <c r="O258" s="145"/>
      <c r="P258" s="145"/>
    </row>
    <row r="259" spans="1:16" x14ac:dyDescent="0.2">
      <c r="A259" s="58" t="str">
        <v/>
      </c>
      <c r="B259" s="123" t="str">
        <f>IFERROR(TIMEVALUE(DaqBook_RAW_Data!AG215),IFERROR(TIMEVALUE(DaqBook_RAW_Data!#REF!),""))</f>
        <v/>
      </c>
      <c r="C259" s="145"/>
      <c r="D259" s="145"/>
      <c r="E259" s="145"/>
      <c r="F259" s="145"/>
      <c r="G259" s="145"/>
      <c r="H259" s="145"/>
      <c r="I259" s="145"/>
      <c r="J259" s="145"/>
      <c r="K259" s="145"/>
      <c r="L259" s="145"/>
      <c r="M259" s="145"/>
      <c r="N259" s="145"/>
      <c r="O259" s="145"/>
      <c r="P259" s="145"/>
    </row>
    <row r="260" spans="1:16" x14ac:dyDescent="0.2">
      <c r="A260" s="58" t="str">
        <v/>
      </c>
      <c r="B260" s="123" t="str">
        <f>IFERROR(TIMEVALUE(DaqBook_RAW_Data!AG216),IFERROR(TIMEVALUE(DaqBook_RAW_Data!#REF!),""))</f>
        <v/>
      </c>
      <c r="C260" s="145"/>
      <c r="D260" s="145"/>
      <c r="E260" s="145"/>
      <c r="F260" s="145"/>
      <c r="G260" s="145"/>
      <c r="H260" s="145"/>
      <c r="I260" s="145"/>
      <c r="J260" s="145"/>
      <c r="K260" s="145"/>
      <c r="L260" s="145"/>
      <c r="M260" s="145"/>
      <c r="N260" s="145"/>
      <c r="O260" s="145"/>
      <c r="P260" s="145"/>
    </row>
    <row r="261" spans="1:16" x14ac:dyDescent="0.2">
      <c r="A261" s="58" t="str">
        <v/>
      </c>
      <c r="B261" s="123" t="str">
        <f>IFERROR(TIMEVALUE(DaqBook_RAW_Data!AG217),IFERROR(TIMEVALUE(DaqBook_RAW_Data!#REF!),""))</f>
        <v/>
      </c>
      <c r="C261" s="145"/>
      <c r="D261" s="145"/>
      <c r="E261" s="145"/>
      <c r="F261" s="145"/>
      <c r="G261" s="145"/>
      <c r="H261" s="145"/>
      <c r="I261" s="145"/>
      <c r="J261" s="145"/>
      <c r="K261" s="145"/>
      <c r="L261" s="145"/>
      <c r="M261" s="145"/>
      <c r="N261" s="145"/>
      <c r="O261" s="145"/>
      <c r="P261" s="145"/>
    </row>
    <row r="262" spans="1:16" x14ac:dyDescent="0.2">
      <c r="A262" s="58" t="str">
        <v/>
      </c>
      <c r="B262" s="123" t="str">
        <f>IFERROR(TIMEVALUE(DaqBook_RAW_Data!AG218),IFERROR(TIMEVALUE(DaqBook_RAW_Data!#REF!),""))</f>
        <v/>
      </c>
      <c r="C262" s="145"/>
      <c r="D262" s="145"/>
      <c r="E262" s="145"/>
      <c r="F262" s="145"/>
      <c r="G262" s="145"/>
      <c r="H262" s="145"/>
      <c r="I262" s="145"/>
      <c r="J262" s="145"/>
      <c r="K262" s="145"/>
      <c r="L262" s="145"/>
      <c r="M262" s="145"/>
      <c r="N262" s="145"/>
      <c r="O262" s="145"/>
      <c r="P262" s="145"/>
    </row>
    <row r="263" spans="1:16" x14ac:dyDescent="0.2">
      <c r="A263" s="58" t="str">
        <v/>
      </c>
      <c r="B263" s="123" t="str">
        <f>IFERROR(TIMEVALUE(DaqBook_RAW_Data!AG219),IFERROR(TIMEVALUE(DaqBook_RAW_Data!#REF!),""))</f>
        <v/>
      </c>
      <c r="C263" s="145"/>
      <c r="D263" s="145"/>
      <c r="E263" s="145"/>
      <c r="F263" s="145"/>
      <c r="G263" s="145"/>
      <c r="H263" s="145"/>
      <c r="I263" s="145"/>
      <c r="J263" s="145"/>
      <c r="K263" s="145"/>
      <c r="L263" s="145"/>
      <c r="M263" s="145"/>
      <c r="N263" s="145"/>
      <c r="O263" s="145"/>
      <c r="P263" s="145"/>
    </row>
    <row r="264" spans="1:16" x14ac:dyDescent="0.2">
      <c r="A264" s="58" t="str">
        <v/>
      </c>
      <c r="B264" s="123" t="str">
        <f>IFERROR(TIMEVALUE(DaqBook_RAW_Data!AG220),IFERROR(TIMEVALUE(DaqBook_RAW_Data!#REF!),""))</f>
        <v/>
      </c>
      <c r="C264" s="145"/>
      <c r="D264" s="145"/>
      <c r="E264" s="145"/>
      <c r="F264" s="145"/>
      <c r="G264" s="145"/>
      <c r="H264" s="145"/>
      <c r="I264" s="145"/>
      <c r="J264" s="145"/>
      <c r="K264" s="145"/>
      <c r="L264" s="145"/>
      <c r="M264" s="145"/>
      <c r="N264" s="145"/>
      <c r="O264" s="145"/>
      <c r="P264" s="145"/>
    </row>
    <row r="265" spans="1:16" x14ac:dyDescent="0.2">
      <c r="A265" s="58" t="str">
        <v/>
      </c>
      <c r="B265" s="123" t="str">
        <f>IFERROR(TIMEVALUE(DaqBook_RAW_Data!AG221),IFERROR(TIMEVALUE(DaqBook_RAW_Data!#REF!),""))</f>
        <v/>
      </c>
      <c r="C265" s="145"/>
      <c r="D265" s="145"/>
      <c r="E265" s="145"/>
      <c r="F265" s="145"/>
      <c r="G265" s="145"/>
      <c r="H265" s="145"/>
      <c r="I265" s="145"/>
      <c r="J265" s="145"/>
      <c r="K265" s="145"/>
      <c r="L265" s="145"/>
      <c r="M265" s="145"/>
      <c r="N265" s="145"/>
      <c r="O265" s="145"/>
      <c r="P265" s="145"/>
    </row>
    <row r="266" spans="1:16" x14ac:dyDescent="0.2">
      <c r="A266" s="58" t="str">
        <v/>
      </c>
      <c r="B266" s="123" t="str">
        <f>IFERROR(TIMEVALUE(DaqBook_RAW_Data!AG222),IFERROR(TIMEVALUE(DaqBook_RAW_Data!#REF!),""))</f>
        <v/>
      </c>
      <c r="C266" s="145"/>
      <c r="D266" s="145"/>
      <c r="E266" s="145"/>
      <c r="F266" s="145"/>
      <c r="G266" s="145"/>
      <c r="H266" s="145"/>
      <c r="I266" s="145"/>
      <c r="J266" s="145"/>
      <c r="K266" s="145"/>
      <c r="L266" s="145"/>
      <c r="M266" s="145"/>
      <c r="N266" s="145"/>
      <c r="O266" s="145"/>
      <c r="P266" s="145"/>
    </row>
    <row r="267" spans="1:16" x14ac:dyDescent="0.2">
      <c r="A267" s="58" t="str">
        <v/>
      </c>
      <c r="B267" s="123" t="str">
        <f>IFERROR(TIMEVALUE(DaqBook_RAW_Data!AG223),IFERROR(TIMEVALUE(DaqBook_RAW_Data!#REF!),""))</f>
        <v/>
      </c>
      <c r="C267" s="145"/>
      <c r="D267" s="145"/>
      <c r="E267" s="145"/>
      <c r="F267" s="145"/>
      <c r="G267" s="145"/>
      <c r="H267" s="145"/>
      <c r="I267" s="145"/>
      <c r="J267" s="145"/>
      <c r="K267" s="145"/>
      <c r="L267" s="145"/>
      <c r="M267" s="145"/>
      <c r="N267" s="145"/>
      <c r="O267" s="145"/>
      <c r="P267" s="145"/>
    </row>
    <row r="268" spans="1:16" x14ac:dyDescent="0.2">
      <c r="A268" s="58" t="str">
        <v/>
      </c>
      <c r="B268" s="123" t="str">
        <f>IFERROR(TIMEVALUE(DaqBook_RAW_Data!AG224),IFERROR(TIMEVALUE(DaqBook_RAW_Data!#REF!),""))</f>
        <v/>
      </c>
      <c r="C268" s="145"/>
      <c r="D268" s="145"/>
      <c r="E268" s="145"/>
      <c r="F268" s="145"/>
      <c r="G268" s="145"/>
      <c r="H268" s="145"/>
      <c r="I268" s="145"/>
      <c r="J268" s="145"/>
      <c r="K268" s="145"/>
      <c r="L268" s="145"/>
      <c r="M268" s="145"/>
      <c r="N268" s="145"/>
      <c r="O268" s="145"/>
      <c r="P268" s="145"/>
    </row>
    <row r="269" spans="1:16" x14ac:dyDescent="0.2">
      <c r="A269" s="58" t="str">
        <v/>
      </c>
      <c r="B269" s="123" t="str">
        <f>IFERROR(TIMEVALUE(DaqBook_RAW_Data!AG225),IFERROR(TIMEVALUE(DaqBook_RAW_Data!#REF!),""))</f>
        <v/>
      </c>
      <c r="C269" s="145"/>
      <c r="D269" s="145"/>
      <c r="E269" s="145"/>
      <c r="F269" s="145"/>
      <c r="G269" s="145"/>
      <c r="H269" s="145"/>
      <c r="I269" s="145"/>
      <c r="J269" s="145"/>
      <c r="K269" s="145"/>
      <c r="L269" s="145"/>
      <c r="M269" s="145"/>
      <c r="N269" s="145"/>
      <c r="O269" s="145"/>
      <c r="P269" s="145"/>
    </row>
    <row r="270" spans="1:16" x14ac:dyDescent="0.2">
      <c r="A270" s="58" t="str">
        <v/>
      </c>
      <c r="B270" s="123" t="str">
        <f>IFERROR(TIMEVALUE(DaqBook_RAW_Data!AG226),IFERROR(TIMEVALUE(DaqBook_RAW_Data!#REF!),""))</f>
        <v/>
      </c>
      <c r="C270" s="145"/>
      <c r="D270" s="145"/>
      <c r="E270" s="145"/>
      <c r="F270" s="145"/>
      <c r="G270" s="145"/>
      <c r="H270" s="145"/>
      <c r="I270" s="145"/>
      <c r="J270" s="145"/>
      <c r="K270" s="145"/>
      <c r="L270" s="145"/>
      <c r="M270" s="145"/>
      <c r="N270" s="145"/>
      <c r="O270" s="145"/>
      <c r="P270" s="145"/>
    </row>
    <row r="271" spans="1:16" x14ac:dyDescent="0.2">
      <c r="A271" s="58" t="str">
        <v/>
      </c>
      <c r="B271" s="123" t="str">
        <f>IFERROR(TIMEVALUE(DaqBook_RAW_Data!AG227),IFERROR(TIMEVALUE(DaqBook_RAW_Data!#REF!),""))</f>
        <v/>
      </c>
      <c r="C271" s="145"/>
      <c r="D271" s="145"/>
      <c r="E271" s="145"/>
      <c r="F271" s="145"/>
      <c r="G271" s="145"/>
      <c r="H271" s="145"/>
      <c r="I271" s="145"/>
      <c r="J271" s="145"/>
      <c r="K271" s="145"/>
      <c r="L271" s="145"/>
      <c r="M271" s="145"/>
      <c r="N271" s="145"/>
      <c r="O271" s="145"/>
      <c r="P271" s="145"/>
    </row>
    <row r="272" spans="1:16" x14ac:dyDescent="0.2">
      <c r="A272" s="58" t="str">
        <v/>
      </c>
      <c r="B272" s="123" t="str">
        <f>IFERROR(TIMEVALUE(DaqBook_RAW_Data!AG228),IFERROR(TIMEVALUE(DaqBook_RAW_Data!#REF!),""))</f>
        <v/>
      </c>
      <c r="C272" s="145"/>
      <c r="D272" s="145"/>
      <c r="E272" s="145"/>
      <c r="F272" s="145"/>
      <c r="G272" s="145"/>
      <c r="H272" s="145"/>
      <c r="I272" s="145"/>
      <c r="J272" s="145"/>
      <c r="K272" s="145"/>
      <c r="L272" s="145"/>
      <c r="M272" s="145"/>
      <c r="N272" s="145"/>
      <c r="O272" s="145"/>
      <c r="P272" s="145"/>
    </row>
    <row r="273" spans="1:16" x14ac:dyDescent="0.2">
      <c r="A273" s="58" t="str">
        <v/>
      </c>
      <c r="B273" s="123" t="str">
        <f>IFERROR(TIMEVALUE(DaqBook_RAW_Data!AG229),IFERROR(TIMEVALUE(DaqBook_RAW_Data!#REF!),""))</f>
        <v/>
      </c>
      <c r="C273" s="145"/>
      <c r="D273" s="145"/>
      <c r="E273" s="145"/>
      <c r="F273" s="145"/>
      <c r="G273" s="145"/>
      <c r="H273" s="145"/>
      <c r="I273" s="145"/>
      <c r="J273" s="145"/>
      <c r="K273" s="145"/>
      <c r="L273" s="145"/>
      <c r="M273" s="145"/>
      <c r="N273" s="145"/>
      <c r="O273" s="145"/>
      <c r="P273" s="145"/>
    </row>
    <row r="274" spans="1:16" x14ac:dyDescent="0.2">
      <c r="A274" s="58" t="str">
        <v/>
      </c>
      <c r="B274" s="123" t="str">
        <f>IFERROR(TIMEVALUE(DaqBook_RAW_Data!AG230),IFERROR(TIMEVALUE(DaqBook_RAW_Data!#REF!),""))</f>
        <v/>
      </c>
      <c r="C274" s="145"/>
      <c r="D274" s="145"/>
      <c r="E274" s="145"/>
      <c r="F274" s="145"/>
      <c r="G274" s="145"/>
      <c r="H274" s="145"/>
      <c r="I274" s="145"/>
      <c r="J274" s="145"/>
      <c r="K274" s="145"/>
      <c r="L274" s="145"/>
      <c r="M274" s="145"/>
      <c r="N274" s="145"/>
      <c r="O274" s="145"/>
      <c r="P274" s="145"/>
    </row>
    <row r="275" spans="1:16" x14ac:dyDescent="0.2">
      <c r="A275" s="58" t="str">
        <v/>
      </c>
      <c r="B275" s="123" t="str">
        <f>IFERROR(TIMEVALUE(DaqBook_RAW_Data!AG231),IFERROR(TIMEVALUE(DaqBook_RAW_Data!#REF!),""))</f>
        <v/>
      </c>
      <c r="C275" s="145"/>
      <c r="D275" s="145"/>
      <c r="E275" s="145"/>
      <c r="F275" s="145"/>
      <c r="G275" s="145"/>
      <c r="H275" s="145"/>
      <c r="I275" s="145"/>
      <c r="J275" s="145"/>
      <c r="K275" s="145"/>
      <c r="L275" s="145"/>
      <c r="M275" s="145"/>
      <c r="N275" s="145"/>
      <c r="O275" s="145"/>
      <c r="P275" s="145"/>
    </row>
    <row r="276" spans="1:16" x14ac:dyDescent="0.2">
      <c r="A276" s="58" t="str">
        <v/>
      </c>
      <c r="B276" s="123" t="str">
        <f>IFERROR(TIMEVALUE(DaqBook_RAW_Data!AG232),IFERROR(TIMEVALUE(DaqBook_RAW_Data!#REF!),""))</f>
        <v/>
      </c>
      <c r="C276" s="145"/>
      <c r="D276" s="145"/>
      <c r="E276" s="145"/>
      <c r="F276" s="145"/>
      <c r="G276" s="145"/>
      <c r="H276" s="145"/>
      <c r="I276" s="145"/>
      <c r="J276" s="145"/>
      <c r="K276" s="145"/>
      <c r="L276" s="145"/>
      <c r="M276" s="145"/>
      <c r="N276" s="145"/>
      <c r="O276" s="145"/>
      <c r="P276" s="145"/>
    </row>
    <row r="277" spans="1:16" x14ac:dyDescent="0.2">
      <c r="A277" s="58" t="str">
        <v/>
      </c>
      <c r="B277" s="123" t="str">
        <f>IFERROR(TIMEVALUE(DaqBook_RAW_Data!AG233),IFERROR(TIMEVALUE(DaqBook_RAW_Data!#REF!),""))</f>
        <v/>
      </c>
      <c r="C277" s="145"/>
      <c r="D277" s="145"/>
      <c r="E277" s="145"/>
      <c r="F277" s="145"/>
      <c r="G277" s="145"/>
      <c r="H277" s="145"/>
      <c r="I277" s="145"/>
      <c r="J277" s="145"/>
      <c r="K277" s="145"/>
      <c r="L277" s="145"/>
      <c r="M277" s="145"/>
      <c r="N277" s="145"/>
      <c r="O277" s="145"/>
      <c r="P277" s="145"/>
    </row>
    <row r="278" spans="1:16" x14ac:dyDescent="0.2">
      <c r="A278" s="58" t="str">
        <v/>
      </c>
      <c r="B278" s="123" t="str">
        <f>IFERROR(TIMEVALUE(DaqBook_RAW_Data!AG234),IFERROR(TIMEVALUE(DaqBook_RAW_Data!#REF!),""))</f>
        <v/>
      </c>
      <c r="C278" s="145"/>
      <c r="D278" s="145"/>
      <c r="E278" s="145"/>
      <c r="F278" s="145"/>
      <c r="G278" s="145"/>
      <c r="H278" s="145"/>
      <c r="I278" s="145"/>
      <c r="J278" s="145"/>
      <c r="K278" s="145"/>
      <c r="L278" s="145"/>
      <c r="M278" s="145"/>
      <c r="N278" s="145"/>
      <c r="O278" s="145"/>
      <c r="P278" s="145"/>
    </row>
    <row r="279" spans="1:16" x14ac:dyDescent="0.2">
      <c r="A279" s="58" t="str">
        <v/>
      </c>
      <c r="B279" s="123" t="str">
        <f>IFERROR(TIMEVALUE(DaqBook_RAW_Data!AG235),IFERROR(TIMEVALUE(DaqBook_RAW_Data!#REF!),""))</f>
        <v/>
      </c>
      <c r="C279" s="145"/>
      <c r="D279" s="145"/>
      <c r="E279" s="145"/>
      <c r="F279" s="145"/>
      <c r="G279" s="145"/>
      <c r="H279" s="145"/>
      <c r="I279" s="145"/>
      <c r="J279" s="145"/>
      <c r="K279" s="145"/>
      <c r="L279" s="145"/>
      <c r="M279" s="145"/>
      <c r="N279" s="145"/>
      <c r="O279" s="145"/>
      <c r="P279" s="145"/>
    </row>
    <row r="280" spans="1:16" x14ac:dyDescent="0.2">
      <c r="A280" s="58" t="str">
        <v/>
      </c>
      <c r="B280" s="123" t="str">
        <f>IFERROR(TIMEVALUE(DaqBook_RAW_Data!AG236),IFERROR(TIMEVALUE(DaqBook_RAW_Data!#REF!),""))</f>
        <v/>
      </c>
      <c r="C280" s="145"/>
      <c r="D280" s="145"/>
      <c r="E280" s="145"/>
      <c r="F280" s="145"/>
      <c r="G280" s="145"/>
      <c r="H280" s="145"/>
      <c r="I280" s="145"/>
      <c r="J280" s="145"/>
      <c r="K280" s="145"/>
      <c r="L280" s="145"/>
      <c r="M280" s="145"/>
      <c r="N280" s="145"/>
      <c r="O280" s="145"/>
      <c r="P280" s="145"/>
    </row>
    <row r="281" spans="1:16" x14ac:dyDescent="0.2">
      <c r="A281" s="58" t="str">
        <v/>
      </c>
      <c r="B281" s="123" t="str">
        <f>IFERROR(TIMEVALUE(DaqBook_RAW_Data!AG237),IFERROR(TIMEVALUE(DaqBook_RAW_Data!#REF!),""))</f>
        <v/>
      </c>
      <c r="C281" s="145"/>
      <c r="D281" s="145"/>
      <c r="E281" s="145"/>
      <c r="F281" s="145"/>
      <c r="G281" s="145"/>
      <c r="H281" s="145"/>
      <c r="I281" s="145"/>
      <c r="J281" s="145"/>
      <c r="K281" s="145"/>
      <c r="L281" s="145"/>
      <c r="M281" s="145"/>
      <c r="N281" s="145"/>
      <c r="O281" s="145"/>
      <c r="P281" s="145"/>
    </row>
    <row r="282" spans="1:16" x14ac:dyDescent="0.2">
      <c r="A282" s="58" t="str">
        <v/>
      </c>
      <c r="B282" s="123" t="str">
        <f>IFERROR(TIMEVALUE(DaqBook_RAW_Data!AG238),IFERROR(TIMEVALUE(DaqBook_RAW_Data!#REF!),""))</f>
        <v/>
      </c>
      <c r="C282" s="145"/>
      <c r="D282" s="145"/>
      <c r="E282" s="145"/>
      <c r="F282" s="145"/>
      <c r="G282" s="145"/>
      <c r="H282" s="145"/>
      <c r="I282" s="145"/>
      <c r="J282" s="145"/>
      <c r="K282" s="145"/>
      <c r="L282" s="145"/>
      <c r="M282" s="145"/>
      <c r="N282" s="145"/>
      <c r="O282" s="145"/>
      <c r="P282" s="145"/>
    </row>
    <row r="283" spans="1:16" x14ac:dyDescent="0.2">
      <c r="A283" s="58" t="str">
        <v/>
      </c>
      <c r="B283" s="123" t="str">
        <f>IFERROR(TIMEVALUE(DaqBook_RAW_Data!AG239),IFERROR(TIMEVALUE(DaqBook_RAW_Data!#REF!),""))</f>
        <v/>
      </c>
      <c r="C283" s="145"/>
      <c r="D283" s="145"/>
      <c r="E283" s="145"/>
      <c r="F283" s="145"/>
      <c r="G283" s="145"/>
      <c r="H283" s="145"/>
      <c r="I283" s="145"/>
      <c r="J283" s="145"/>
      <c r="K283" s="145"/>
      <c r="L283" s="145"/>
      <c r="M283" s="145"/>
      <c r="N283" s="145"/>
      <c r="O283" s="145"/>
      <c r="P283" s="145"/>
    </row>
    <row r="284" spans="1:16" x14ac:dyDescent="0.2">
      <c r="A284" s="58" t="str">
        <v/>
      </c>
      <c r="B284" s="123" t="str">
        <f>IFERROR(TIMEVALUE(DaqBook_RAW_Data!AG240),IFERROR(TIMEVALUE(DaqBook_RAW_Data!#REF!),""))</f>
        <v/>
      </c>
      <c r="C284" s="145"/>
      <c r="D284" s="145"/>
      <c r="E284" s="145"/>
      <c r="F284" s="145"/>
      <c r="G284" s="145"/>
      <c r="H284" s="145"/>
      <c r="I284" s="145"/>
      <c r="J284" s="145"/>
      <c r="K284" s="145"/>
      <c r="L284" s="145"/>
      <c r="M284" s="145"/>
      <c r="N284" s="145"/>
      <c r="O284" s="145"/>
      <c r="P284" s="145"/>
    </row>
    <row r="285" spans="1:16" x14ac:dyDescent="0.2">
      <c r="A285" s="58" t="str">
        <v/>
      </c>
      <c r="B285" s="123" t="str">
        <f>IFERROR(TIMEVALUE(DaqBook_RAW_Data!AG241),IFERROR(TIMEVALUE(DaqBook_RAW_Data!#REF!),""))</f>
        <v/>
      </c>
      <c r="C285" s="145"/>
      <c r="D285" s="145"/>
      <c r="E285" s="145"/>
      <c r="F285" s="145"/>
      <c r="G285" s="145"/>
      <c r="H285" s="145"/>
      <c r="I285" s="145"/>
      <c r="J285" s="145"/>
      <c r="K285" s="145"/>
      <c r="L285" s="145"/>
      <c r="M285" s="145"/>
      <c r="N285" s="145"/>
      <c r="O285" s="145"/>
      <c r="P285" s="145"/>
    </row>
    <row r="286" spans="1:16" x14ac:dyDescent="0.2">
      <c r="A286" s="58" t="str">
        <v/>
      </c>
      <c r="B286" s="123" t="str">
        <f>IFERROR(TIMEVALUE(DaqBook_RAW_Data!AG242),IFERROR(TIMEVALUE(DaqBook_RAW_Data!#REF!),""))</f>
        <v/>
      </c>
      <c r="C286" s="145"/>
      <c r="D286" s="145"/>
      <c r="E286" s="145"/>
      <c r="F286" s="145"/>
      <c r="G286" s="145"/>
      <c r="H286" s="145"/>
      <c r="I286" s="145"/>
      <c r="J286" s="145"/>
      <c r="K286" s="145"/>
      <c r="L286" s="145"/>
      <c r="M286" s="145"/>
      <c r="N286" s="145"/>
      <c r="O286" s="145"/>
      <c r="P286" s="145"/>
    </row>
    <row r="287" spans="1:16" x14ac:dyDescent="0.2">
      <c r="A287" s="58" t="str">
        <v/>
      </c>
      <c r="B287" s="123" t="str">
        <f>IFERROR(TIMEVALUE(DaqBook_RAW_Data!AG243),IFERROR(TIMEVALUE(DaqBook_RAW_Data!#REF!),""))</f>
        <v/>
      </c>
      <c r="C287" s="145"/>
      <c r="D287" s="145"/>
      <c r="E287" s="145"/>
      <c r="F287" s="145"/>
      <c r="G287" s="145"/>
      <c r="H287" s="145"/>
      <c r="I287" s="145"/>
      <c r="J287" s="145"/>
      <c r="K287" s="145"/>
      <c r="L287" s="145"/>
      <c r="M287" s="145"/>
      <c r="N287" s="145"/>
      <c r="O287" s="145"/>
      <c r="P287" s="145"/>
    </row>
    <row r="288" spans="1:16" x14ac:dyDescent="0.2">
      <c r="A288" s="58" t="str">
        <v/>
      </c>
      <c r="B288" s="123" t="str">
        <f>IFERROR(TIMEVALUE(DaqBook_RAW_Data!AG244),IFERROR(TIMEVALUE(DaqBook_RAW_Data!#REF!),""))</f>
        <v/>
      </c>
      <c r="C288" s="145"/>
      <c r="D288" s="145"/>
      <c r="E288" s="145"/>
      <c r="F288" s="145"/>
      <c r="G288" s="145"/>
      <c r="H288" s="145"/>
      <c r="I288" s="145"/>
      <c r="J288" s="145"/>
      <c r="K288" s="145"/>
      <c r="L288" s="145"/>
      <c r="M288" s="145"/>
      <c r="N288" s="145"/>
      <c r="O288" s="145"/>
      <c r="P288" s="145"/>
    </row>
    <row r="289" spans="1:16" x14ac:dyDescent="0.2">
      <c r="A289" s="58" t="str">
        <v/>
      </c>
      <c r="B289" s="123" t="str">
        <f>IFERROR(TIMEVALUE(DaqBook_RAW_Data!AG245),IFERROR(TIMEVALUE(DaqBook_RAW_Data!#REF!),""))</f>
        <v/>
      </c>
      <c r="C289" s="145"/>
      <c r="D289" s="145"/>
      <c r="E289" s="145"/>
      <c r="F289" s="145"/>
      <c r="G289" s="145"/>
      <c r="H289" s="145"/>
      <c r="I289" s="145"/>
      <c r="J289" s="145"/>
      <c r="K289" s="145"/>
      <c r="L289" s="145"/>
      <c r="M289" s="145"/>
      <c r="N289" s="145"/>
      <c r="O289" s="145"/>
      <c r="P289" s="145"/>
    </row>
    <row r="290" spans="1:16" x14ac:dyDescent="0.2">
      <c r="A290" s="58" t="str">
        <v/>
      </c>
      <c r="B290" s="123" t="str">
        <f>IFERROR(TIMEVALUE(DaqBook_RAW_Data!AG246),IFERROR(TIMEVALUE(DaqBook_RAW_Data!#REF!),""))</f>
        <v/>
      </c>
      <c r="C290" s="145"/>
      <c r="D290" s="145"/>
      <c r="E290" s="145"/>
      <c r="F290" s="145"/>
      <c r="G290" s="145"/>
      <c r="H290" s="145"/>
      <c r="I290" s="145"/>
      <c r="J290" s="145"/>
      <c r="K290" s="145"/>
      <c r="L290" s="145"/>
      <c r="M290" s="145"/>
      <c r="N290" s="145"/>
      <c r="O290" s="145"/>
      <c r="P290" s="145"/>
    </row>
    <row r="291" spans="1:16" x14ac:dyDescent="0.2">
      <c r="A291" s="58" t="str">
        <v/>
      </c>
      <c r="B291" s="123" t="str">
        <f>IFERROR(TIMEVALUE(DaqBook_RAW_Data!AG247),IFERROR(TIMEVALUE(DaqBook_RAW_Data!#REF!),""))</f>
        <v/>
      </c>
      <c r="C291" s="145"/>
      <c r="D291" s="145"/>
      <c r="E291" s="145"/>
      <c r="F291" s="145"/>
      <c r="G291" s="145"/>
      <c r="H291" s="145"/>
      <c r="I291" s="145"/>
      <c r="J291" s="145"/>
      <c r="K291" s="145"/>
      <c r="L291" s="145"/>
      <c r="M291" s="145"/>
      <c r="N291" s="145"/>
      <c r="O291" s="145"/>
      <c r="P291" s="145"/>
    </row>
    <row r="292" spans="1:16" x14ac:dyDescent="0.2">
      <c r="A292" s="58" t="str">
        <v/>
      </c>
      <c r="B292" s="123" t="str">
        <f>IFERROR(TIMEVALUE(DaqBook_RAW_Data!AG248),IFERROR(TIMEVALUE(DaqBook_RAW_Data!#REF!),""))</f>
        <v/>
      </c>
      <c r="C292" s="145"/>
      <c r="D292" s="145"/>
      <c r="E292" s="145"/>
      <c r="F292" s="145"/>
      <c r="G292" s="145"/>
      <c r="H292" s="145"/>
      <c r="I292" s="145"/>
      <c r="J292" s="145"/>
      <c r="K292" s="145"/>
      <c r="L292" s="145"/>
      <c r="M292" s="145"/>
      <c r="N292" s="145"/>
      <c r="O292" s="145"/>
      <c r="P292" s="145"/>
    </row>
    <row r="293" spans="1:16" x14ac:dyDescent="0.2">
      <c r="A293" s="58" t="str">
        <v/>
      </c>
      <c r="B293" s="123" t="str">
        <f>IFERROR(TIMEVALUE(DaqBook_RAW_Data!AG249),IFERROR(TIMEVALUE(DaqBook_RAW_Data!#REF!),""))</f>
        <v/>
      </c>
      <c r="C293" s="145"/>
      <c r="D293" s="145"/>
      <c r="E293" s="145"/>
      <c r="F293" s="145"/>
      <c r="G293" s="145"/>
      <c r="H293" s="145"/>
      <c r="I293" s="145"/>
      <c r="J293" s="145"/>
      <c r="K293" s="145"/>
      <c r="L293" s="145"/>
      <c r="M293" s="145"/>
      <c r="N293" s="145"/>
      <c r="O293" s="145"/>
      <c r="P293" s="145"/>
    </row>
    <row r="294" spans="1:16" x14ac:dyDescent="0.2">
      <c r="A294" s="58" t="str">
        <v/>
      </c>
      <c r="B294" s="123" t="str">
        <f>IFERROR(TIMEVALUE(DaqBook_RAW_Data!AG250),IFERROR(TIMEVALUE(DaqBook_RAW_Data!#REF!),""))</f>
        <v/>
      </c>
      <c r="C294" s="145"/>
      <c r="D294" s="145"/>
      <c r="E294" s="145"/>
      <c r="F294" s="145"/>
      <c r="G294" s="145"/>
      <c r="H294" s="145"/>
      <c r="I294" s="145"/>
      <c r="J294" s="145"/>
      <c r="K294" s="145"/>
      <c r="L294" s="145"/>
      <c r="M294" s="145"/>
      <c r="N294" s="145"/>
      <c r="O294" s="145"/>
      <c r="P294" s="145"/>
    </row>
    <row r="295" spans="1:16" x14ac:dyDescent="0.2">
      <c r="A295" s="58" t="str">
        <v/>
      </c>
      <c r="B295" s="123" t="str">
        <f>IFERROR(TIMEVALUE(DaqBook_RAW_Data!AG251),IFERROR(TIMEVALUE(DaqBook_RAW_Data!#REF!),""))</f>
        <v/>
      </c>
      <c r="C295" s="145"/>
      <c r="D295" s="145"/>
      <c r="E295" s="145"/>
      <c r="F295" s="145"/>
      <c r="G295" s="145"/>
      <c r="H295" s="145"/>
      <c r="I295" s="145"/>
      <c r="J295" s="145"/>
      <c r="K295" s="145"/>
      <c r="L295" s="145"/>
      <c r="M295" s="145"/>
      <c r="N295" s="145"/>
      <c r="O295" s="145"/>
      <c r="P295" s="145"/>
    </row>
    <row r="296" spans="1:16" x14ac:dyDescent="0.2">
      <c r="A296" s="58" t="str">
        <v/>
      </c>
      <c r="B296" s="123" t="str">
        <f>IFERROR(TIMEVALUE(DaqBook_RAW_Data!AG252),IFERROR(TIMEVALUE(DaqBook_RAW_Data!#REF!),""))</f>
        <v/>
      </c>
      <c r="C296" s="145"/>
      <c r="D296" s="145"/>
      <c r="E296" s="145"/>
      <c r="F296" s="145"/>
      <c r="G296" s="145"/>
      <c r="H296" s="145"/>
      <c r="I296" s="145"/>
      <c r="J296" s="145"/>
      <c r="K296" s="145"/>
      <c r="L296" s="145"/>
      <c r="M296" s="145"/>
      <c r="N296" s="145"/>
      <c r="O296" s="145"/>
      <c r="P296" s="145"/>
    </row>
    <row r="297" spans="1:16" x14ac:dyDescent="0.2">
      <c r="A297" s="58" t="str">
        <v/>
      </c>
      <c r="B297" s="123" t="str">
        <f>IFERROR(TIMEVALUE(DaqBook_RAW_Data!AG253),IFERROR(TIMEVALUE(DaqBook_RAW_Data!#REF!),""))</f>
        <v/>
      </c>
      <c r="C297" s="145"/>
      <c r="D297" s="145"/>
      <c r="E297" s="145"/>
      <c r="F297" s="145"/>
      <c r="G297" s="145"/>
      <c r="H297" s="145"/>
      <c r="I297" s="145"/>
      <c r="J297" s="145"/>
      <c r="K297" s="145"/>
      <c r="L297" s="145"/>
      <c r="M297" s="145"/>
      <c r="N297" s="145"/>
      <c r="O297" s="145"/>
      <c r="P297" s="145"/>
    </row>
    <row r="298" spans="1:16" x14ac:dyDescent="0.2">
      <c r="A298" s="58" t="str">
        <v/>
      </c>
      <c r="B298" s="123" t="str">
        <f>IFERROR(TIMEVALUE(DaqBook_RAW_Data!AG254),IFERROR(TIMEVALUE(DaqBook_RAW_Data!#REF!),""))</f>
        <v/>
      </c>
      <c r="C298" s="145"/>
      <c r="D298" s="145"/>
      <c r="E298" s="145"/>
      <c r="F298" s="145"/>
      <c r="G298" s="145"/>
      <c r="H298" s="145"/>
      <c r="I298" s="145"/>
      <c r="J298" s="145"/>
      <c r="K298" s="145"/>
      <c r="L298" s="145"/>
      <c r="M298" s="145"/>
      <c r="N298" s="145"/>
      <c r="O298" s="145"/>
      <c r="P298" s="145"/>
    </row>
    <row r="299" spans="1:16" x14ac:dyDescent="0.2">
      <c r="A299" s="58" t="str">
        <v/>
      </c>
      <c r="B299" s="123" t="str">
        <f>IFERROR(TIMEVALUE(DaqBook_RAW_Data!AG255),IFERROR(TIMEVALUE(DaqBook_RAW_Data!#REF!),""))</f>
        <v/>
      </c>
      <c r="C299" s="145"/>
      <c r="D299" s="145"/>
      <c r="E299" s="145"/>
      <c r="F299" s="145"/>
      <c r="G299" s="145"/>
      <c r="H299" s="145"/>
      <c r="I299" s="145"/>
      <c r="J299" s="145"/>
      <c r="K299" s="145"/>
      <c r="L299" s="145"/>
      <c r="M299" s="145"/>
      <c r="N299" s="145"/>
      <c r="O299" s="145"/>
      <c r="P299" s="145"/>
    </row>
    <row r="300" spans="1:16" x14ac:dyDescent="0.2">
      <c r="A300" s="58" t="str">
        <v/>
      </c>
      <c r="B300" s="123" t="str">
        <f>IFERROR(TIMEVALUE(DaqBook_RAW_Data!AG256),IFERROR(TIMEVALUE(DaqBook_RAW_Data!#REF!),""))</f>
        <v/>
      </c>
      <c r="C300" s="145"/>
      <c r="D300" s="145"/>
      <c r="E300" s="145"/>
      <c r="F300" s="145"/>
      <c r="G300" s="145"/>
      <c r="H300" s="145"/>
      <c r="I300" s="145"/>
      <c r="J300" s="145"/>
      <c r="K300" s="145"/>
      <c r="L300" s="145"/>
      <c r="M300" s="145"/>
      <c r="N300" s="145"/>
      <c r="O300" s="145"/>
      <c r="P300" s="145"/>
    </row>
    <row r="301" spans="1:16" x14ac:dyDescent="0.2">
      <c r="A301" s="58" t="str">
        <v/>
      </c>
      <c r="B301" s="123" t="str">
        <f>IFERROR(TIMEVALUE(DaqBook_RAW_Data!AG257),IFERROR(TIMEVALUE(DaqBook_RAW_Data!#REF!),""))</f>
        <v/>
      </c>
      <c r="C301" s="145"/>
      <c r="D301" s="145"/>
      <c r="E301" s="145"/>
      <c r="F301" s="145"/>
      <c r="G301" s="145"/>
      <c r="H301" s="145"/>
      <c r="I301" s="145"/>
      <c r="J301" s="145"/>
      <c r="K301" s="145"/>
      <c r="L301" s="145"/>
      <c r="M301" s="145"/>
      <c r="N301" s="145"/>
      <c r="O301" s="145"/>
      <c r="P301" s="145"/>
    </row>
    <row r="302" spans="1:16" x14ac:dyDescent="0.2">
      <c r="A302" s="58" t="str">
        <v/>
      </c>
      <c r="B302" s="123" t="str">
        <f>IFERROR(TIMEVALUE(DaqBook_RAW_Data!AG258),IFERROR(TIMEVALUE(DaqBook_RAW_Data!#REF!),""))</f>
        <v/>
      </c>
      <c r="C302" s="145"/>
      <c r="D302" s="145"/>
      <c r="E302" s="145"/>
      <c r="F302" s="145"/>
      <c r="G302" s="145"/>
      <c r="H302" s="145"/>
      <c r="I302" s="145"/>
      <c r="J302" s="145"/>
      <c r="K302" s="145"/>
      <c r="L302" s="145"/>
      <c r="M302" s="145"/>
      <c r="N302" s="145"/>
      <c r="O302" s="145"/>
      <c r="P302" s="145"/>
    </row>
    <row r="303" spans="1:16" x14ac:dyDescent="0.2">
      <c r="A303" s="58" t="str">
        <v/>
      </c>
      <c r="B303" s="123" t="str">
        <f>IFERROR(TIMEVALUE(DaqBook_RAW_Data!AG259),IFERROR(TIMEVALUE(DaqBook_RAW_Data!#REF!),""))</f>
        <v/>
      </c>
      <c r="C303" s="145"/>
      <c r="D303" s="145"/>
      <c r="E303" s="145"/>
      <c r="F303" s="145"/>
      <c r="G303" s="145"/>
      <c r="H303" s="145"/>
      <c r="I303" s="145"/>
      <c r="J303" s="145"/>
      <c r="K303" s="145"/>
      <c r="L303" s="145"/>
      <c r="M303" s="145"/>
      <c r="N303" s="145"/>
      <c r="O303" s="145"/>
      <c r="P303" s="145"/>
    </row>
    <row r="304" spans="1:16" x14ac:dyDescent="0.2">
      <c r="A304" s="58" t="str">
        <v/>
      </c>
      <c r="B304" s="123" t="str">
        <f>IFERROR(TIMEVALUE(DaqBook_RAW_Data!AG260),IFERROR(TIMEVALUE(DaqBook_RAW_Data!#REF!),""))</f>
        <v/>
      </c>
      <c r="C304" s="145"/>
      <c r="D304" s="145"/>
      <c r="E304" s="145"/>
      <c r="F304" s="145"/>
      <c r="G304" s="145"/>
      <c r="H304" s="145"/>
      <c r="I304" s="145"/>
      <c r="J304" s="145"/>
      <c r="K304" s="145"/>
      <c r="L304" s="145"/>
      <c r="M304" s="145"/>
      <c r="N304" s="145"/>
      <c r="O304" s="145"/>
      <c r="P304" s="145"/>
    </row>
    <row r="305" spans="1:16" x14ac:dyDescent="0.2">
      <c r="A305" s="58" t="str">
        <v/>
      </c>
      <c r="B305" s="123" t="str">
        <f>IFERROR(TIMEVALUE(DaqBook_RAW_Data!AG261),IFERROR(TIMEVALUE(DaqBook_RAW_Data!#REF!),""))</f>
        <v/>
      </c>
      <c r="C305" s="145"/>
      <c r="D305" s="145"/>
      <c r="E305" s="145"/>
      <c r="F305" s="145"/>
      <c r="G305" s="145"/>
      <c r="H305" s="145"/>
      <c r="I305" s="145"/>
      <c r="J305" s="145"/>
      <c r="K305" s="145"/>
      <c r="L305" s="145"/>
      <c r="M305" s="145"/>
      <c r="N305" s="145"/>
      <c r="O305" s="145"/>
      <c r="P305" s="145"/>
    </row>
    <row r="306" spans="1:16" x14ac:dyDescent="0.2">
      <c r="A306" s="58" t="str">
        <v/>
      </c>
      <c r="B306" s="123" t="str">
        <f>IFERROR(TIMEVALUE(DaqBook_RAW_Data!AG262),IFERROR(TIMEVALUE(DaqBook_RAW_Data!#REF!),""))</f>
        <v/>
      </c>
      <c r="C306" s="145"/>
      <c r="D306" s="145"/>
      <c r="E306" s="145"/>
      <c r="F306" s="145"/>
      <c r="G306" s="145"/>
      <c r="H306" s="145"/>
      <c r="I306" s="145"/>
      <c r="J306" s="145"/>
      <c r="K306" s="145"/>
      <c r="L306" s="145"/>
      <c r="M306" s="145"/>
      <c r="N306" s="145"/>
      <c r="O306" s="145"/>
      <c r="P306" s="145"/>
    </row>
    <row r="307" spans="1:16" x14ac:dyDescent="0.2">
      <c r="A307" s="58" t="str">
        <v/>
      </c>
      <c r="B307" s="123" t="str">
        <f>IFERROR(TIMEVALUE(DaqBook_RAW_Data!AG263),IFERROR(TIMEVALUE(DaqBook_RAW_Data!#REF!),""))</f>
        <v/>
      </c>
      <c r="C307" s="145"/>
      <c r="D307" s="145"/>
      <c r="E307" s="145"/>
      <c r="F307" s="145"/>
      <c r="G307" s="145"/>
      <c r="H307" s="145"/>
      <c r="I307" s="145"/>
      <c r="J307" s="145"/>
      <c r="K307" s="145"/>
      <c r="L307" s="145"/>
      <c r="M307" s="145"/>
      <c r="N307" s="145"/>
      <c r="O307" s="145"/>
      <c r="P307" s="145"/>
    </row>
    <row r="308" spans="1:16" x14ac:dyDescent="0.2">
      <c r="A308" s="58" t="str">
        <v/>
      </c>
      <c r="B308" s="123" t="str">
        <f>IFERROR(TIMEVALUE(DaqBook_RAW_Data!AG264),IFERROR(TIMEVALUE(DaqBook_RAW_Data!#REF!),""))</f>
        <v/>
      </c>
      <c r="C308" s="145"/>
      <c r="D308" s="145"/>
      <c r="E308" s="145"/>
      <c r="F308" s="145"/>
      <c r="G308" s="145"/>
      <c r="H308" s="145"/>
      <c r="I308" s="145"/>
      <c r="J308" s="145"/>
      <c r="K308" s="145"/>
      <c r="L308" s="145"/>
      <c r="M308" s="145"/>
      <c r="N308" s="145"/>
      <c r="O308" s="145"/>
      <c r="P308" s="145"/>
    </row>
    <row r="309" spans="1:16" x14ac:dyDescent="0.2">
      <c r="A309" s="58" t="str">
        <v/>
      </c>
      <c r="B309" s="123" t="str">
        <f>IFERROR(TIMEVALUE(DaqBook_RAW_Data!AG265),IFERROR(TIMEVALUE(DaqBook_RAW_Data!#REF!),""))</f>
        <v/>
      </c>
      <c r="C309" s="145"/>
      <c r="D309" s="145"/>
      <c r="E309" s="145"/>
      <c r="F309" s="145"/>
      <c r="G309" s="145"/>
      <c r="H309" s="145"/>
      <c r="I309" s="145"/>
      <c r="J309" s="145"/>
      <c r="K309" s="145"/>
      <c r="L309" s="145"/>
      <c r="M309" s="145"/>
      <c r="N309" s="145"/>
      <c r="O309" s="145"/>
      <c r="P309" s="145"/>
    </row>
    <row r="310" spans="1:16" x14ac:dyDescent="0.2">
      <c r="A310" s="58" t="str">
        <v/>
      </c>
      <c r="B310" s="123" t="str">
        <f>IFERROR(TIMEVALUE(DaqBook_RAW_Data!AG266),IFERROR(TIMEVALUE(DaqBook_RAW_Data!#REF!),""))</f>
        <v/>
      </c>
      <c r="C310" s="145"/>
      <c r="D310" s="145"/>
      <c r="E310" s="145"/>
      <c r="F310" s="145"/>
      <c r="G310" s="145"/>
      <c r="H310" s="145"/>
      <c r="I310" s="145"/>
      <c r="J310" s="145"/>
      <c r="K310" s="145"/>
      <c r="L310" s="145"/>
      <c r="M310" s="145"/>
      <c r="N310" s="145"/>
      <c r="O310" s="145"/>
      <c r="P310" s="145"/>
    </row>
    <row r="311" spans="1:16" x14ac:dyDescent="0.2">
      <c r="A311" s="58" t="str">
        <v/>
      </c>
      <c r="B311" s="123" t="str">
        <f>IFERROR(TIMEVALUE(DaqBook_RAW_Data!AG267),IFERROR(TIMEVALUE(DaqBook_RAW_Data!#REF!),""))</f>
        <v/>
      </c>
      <c r="C311" s="145"/>
      <c r="D311" s="145"/>
      <c r="E311" s="145"/>
      <c r="F311" s="145"/>
      <c r="G311" s="145"/>
      <c r="H311" s="145"/>
      <c r="I311" s="145"/>
      <c r="J311" s="145"/>
      <c r="K311" s="145"/>
      <c r="L311" s="145"/>
      <c r="M311" s="145"/>
      <c r="N311" s="145"/>
      <c r="O311" s="145"/>
      <c r="P311" s="145"/>
    </row>
    <row r="312" spans="1:16" x14ac:dyDescent="0.2">
      <c r="A312" s="58" t="str">
        <v/>
      </c>
      <c r="B312" s="123" t="str">
        <f>IFERROR(TIMEVALUE(DaqBook_RAW_Data!AG268),IFERROR(TIMEVALUE(DaqBook_RAW_Data!#REF!),""))</f>
        <v/>
      </c>
      <c r="C312" s="145"/>
      <c r="D312" s="145"/>
      <c r="E312" s="145"/>
      <c r="F312" s="145"/>
      <c r="G312" s="145"/>
      <c r="H312" s="145"/>
      <c r="I312" s="145"/>
      <c r="J312" s="145"/>
      <c r="K312" s="145"/>
      <c r="L312" s="145"/>
      <c r="M312" s="145"/>
      <c r="N312" s="145"/>
      <c r="O312" s="145"/>
      <c r="P312" s="145"/>
    </row>
    <row r="313" spans="1:16" x14ac:dyDescent="0.2">
      <c r="A313" s="58" t="str">
        <v/>
      </c>
      <c r="B313" s="123" t="str">
        <f>IFERROR(TIMEVALUE(DaqBook_RAW_Data!AG269),IFERROR(TIMEVALUE(DaqBook_RAW_Data!#REF!),""))</f>
        <v/>
      </c>
      <c r="C313" s="145"/>
      <c r="D313" s="145"/>
      <c r="E313" s="145"/>
      <c r="F313" s="145"/>
      <c r="G313" s="145"/>
      <c r="H313" s="145"/>
      <c r="I313" s="145"/>
      <c r="J313" s="145"/>
      <c r="K313" s="145"/>
      <c r="L313" s="145"/>
      <c r="M313" s="145"/>
      <c r="N313" s="145"/>
      <c r="O313" s="145"/>
      <c r="P313" s="145"/>
    </row>
    <row r="314" spans="1:16" x14ac:dyDescent="0.2">
      <c r="A314" s="58" t="str">
        <v/>
      </c>
      <c r="B314" s="123" t="str">
        <f>IFERROR(TIMEVALUE(DaqBook_RAW_Data!AG270),IFERROR(TIMEVALUE(DaqBook_RAW_Data!#REF!),""))</f>
        <v/>
      </c>
      <c r="C314" s="145"/>
      <c r="D314" s="145"/>
      <c r="E314" s="145"/>
      <c r="F314" s="145"/>
      <c r="G314" s="145"/>
      <c r="H314" s="145"/>
      <c r="I314" s="145"/>
      <c r="J314" s="145"/>
      <c r="K314" s="145"/>
      <c r="L314" s="145"/>
      <c r="M314" s="145"/>
      <c r="N314" s="145"/>
      <c r="O314" s="145"/>
      <c r="P314" s="145"/>
    </row>
    <row r="315" spans="1:16" x14ac:dyDescent="0.2">
      <c r="A315" s="58" t="str">
        <v/>
      </c>
      <c r="B315" s="123" t="str">
        <f>IFERROR(TIMEVALUE(DaqBook_RAW_Data!AG271),IFERROR(TIMEVALUE(DaqBook_RAW_Data!#REF!),""))</f>
        <v/>
      </c>
      <c r="C315" s="145"/>
      <c r="D315" s="145"/>
      <c r="E315" s="145"/>
      <c r="F315" s="145"/>
      <c r="G315" s="145"/>
      <c r="H315" s="145"/>
      <c r="I315" s="145"/>
      <c r="J315" s="145"/>
      <c r="K315" s="145"/>
      <c r="L315" s="145"/>
      <c r="M315" s="145"/>
      <c r="N315" s="145"/>
      <c r="O315" s="145"/>
      <c r="P315" s="145"/>
    </row>
    <row r="316" spans="1:16" x14ac:dyDescent="0.2">
      <c r="A316" s="58" t="str">
        <v/>
      </c>
      <c r="B316" s="123" t="str">
        <f>IFERROR(TIMEVALUE(DaqBook_RAW_Data!AG272),IFERROR(TIMEVALUE(DaqBook_RAW_Data!#REF!),""))</f>
        <v/>
      </c>
      <c r="C316" s="145"/>
      <c r="D316" s="145"/>
      <c r="E316" s="145"/>
      <c r="F316" s="145"/>
      <c r="G316" s="145"/>
      <c r="H316" s="145"/>
      <c r="I316" s="145"/>
      <c r="J316" s="145"/>
      <c r="K316" s="145"/>
      <c r="L316" s="145"/>
      <c r="M316" s="145"/>
      <c r="N316" s="145"/>
      <c r="O316" s="145"/>
      <c r="P316" s="145"/>
    </row>
    <row r="317" spans="1:16" x14ac:dyDescent="0.2">
      <c r="A317" s="58" t="str">
        <v/>
      </c>
      <c r="B317" s="123" t="str">
        <f>IFERROR(TIMEVALUE(DaqBook_RAW_Data!AG273),IFERROR(TIMEVALUE(DaqBook_RAW_Data!#REF!),""))</f>
        <v/>
      </c>
      <c r="C317" s="145"/>
      <c r="D317" s="145"/>
      <c r="E317" s="145"/>
      <c r="F317" s="145"/>
      <c r="G317" s="145"/>
      <c r="H317" s="145"/>
      <c r="I317" s="145"/>
      <c r="J317" s="145"/>
      <c r="K317" s="145"/>
      <c r="L317" s="145"/>
      <c r="M317" s="145"/>
      <c r="N317" s="145"/>
      <c r="O317" s="145"/>
      <c r="P317" s="145"/>
    </row>
    <row r="318" spans="1:16" x14ac:dyDescent="0.2">
      <c r="A318" s="58" t="str">
        <v/>
      </c>
      <c r="B318" s="123" t="str">
        <f>IFERROR(TIMEVALUE(DaqBook_RAW_Data!AG274),IFERROR(TIMEVALUE(DaqBook_RAW_Data!#REF!),""))</f>
        <v/>
      </c>
      <c r="C318" s="145"/>
      <c r="D318" s="145"/>
      <c r="E318" s="145"/>
      <c r="F318" s="145"/>
      <c r="G318" s="145"/>
      <c r="H318" s="145"/>
      <c r="I318" s="145"/>
      <c r="J318" s="145"/>
      <c r="K318" s="145"/>
      <c r="L318" s="145"/>
      <c r="M318" s="145"/>
      <c r="N318" s="145"/>
      <c r="O318" s="145"/>
      <c r="P318" s="145"/>
    </row>
    <row r="319" spans="1:16" x14ac:dyDescent="0.2">
      <c r="A319" s="58" t="str">
        <v/>
      </c>
      <c r="B319" s="123" t="str">
        <f>IFERROR(TIMEVALUE(DaqBook_RAW_Data!AG275),IFERROR(TIMEVALUE(DaqBook_RAW_Data!#REF!),""))</f>
        <v/>
      </c>
      <c r="C319" s="145"/>
      <c r="D319" s="145"/>
      <c r="E319" s="145"/>
      <c r="F319" s="145"/>
      <c r="G319" s="145"/>
      <c r="H319" s="145"/>
      <c r="I319" s="145"/>
      <c r="J319" s="145"/>
      <c r="K319" s="145"/>
      <c r="L319" s="145"/>
      <c r="M319" s="145"/>
      <c r="N319" s="145"/>
      <c r="O319" s="145"/>
      <c r="P319" s="145"/>
    </row>
    <row r="320" spans="1:16" x14ac:dyDescent="0.2">
      <c r="A320" s="58" t="str">
        <v/>
      </c>
      <c r="B320" s="123" t="str">
        <f>IFERROR(TIMEVALUE(DaqBook_RAW_Data!AG276),IFERROR(TIMEVALUE(DaqBook_RAW_Data!#REF!),""))</f>
        <v/>
      </c>
      <c r="C320" s="145"/>
      <c r="D320" s="145"/>
      <c r="E320" s="145"/>
      <c r="F320" s="145"/>
      <c r="G320" s="145"/>
      <c r="H320" s="145"/>
      <c r="I320" s="145"/>
      <c r="J320" s="145"/>
      <c r="K320" s="145"/>
      <c r="L320" s="145"/>
      <c r="M320" s="145"/>
      <c r="N320" s="145"/>
      <c r="O320" s="145"/>
      <c r="P320" s="145"/>
    </row>
    <row r="321" spans="1:16" x14ac:dyDescent="0.2">
      <c r="A321" s="58" t="str">
        <v/>
      </c>
      <c r="B321" s="123" t="str">
        <f>IFERROR(TIMEVALUE(DaqBook_RAW_Data!AG277),IFERROR(TIMEVALUE(DaqBook_RAW_Data!#REF!),""))</f>
        <v/>
      </c>
      <c r="C321" s="145"/>
      <c r="D321" s="145"/>
      <c r="E321" s="145"/>
      <c r="F321" s="145"/>
      <c r="G321" s="145"/>
      <c r="H321" s="145"/>
      <c r="I321" s="145"/>
      <c r="J321" s="145"/>
      <c r="K321" s="145"/>
      <c r="L321" s="145"/>
      <c r="M321" s="145"/>
      <c r="N321" s="145"/>
      <c r="O321" s="145"/>
      <c r="P321" s="145"/>
    </row>
    <row r="322" spans="1:16" x14ac:dyDescent="0.2">
      <c r="A322" s="58" t="str">
        <v/>
      </c>
      <c r="B322" s="123" t="str">
        <f>IFERROR(TIMEVALUE(DaqBook_RAW_Data!AG278),IFERROR(TIMEVALUE(DaqBook_RAW_Data!#REF!),""))</f>
        <v/>
      </c>
      <c r="C322" s="145"/>
      <c r="D322" s="145"/>
      <c r="E322" s="145"/>
      <c r="F322" s="145"/>
      <c r="G322" s="145"/>
      <c r="H322" s="145"/>
      <c r="I322" s="145"/>
      <c r="J322" s="145"/>
      <c r="K322" s="145"/>
      <c r="L322" s="145"/>
      <c r="M322" s="145"/>
      <c r="N322" s="145"/>
      <c r="O322" s="145"/>
      <c r="P322" s="145"/>
    </row>
    <row r="323" spans="1:16" x14ac:dyDescent="0.2">
      <c r="A323" s="58" t="str">
        <v/>
      </c>
      <c r="B323" s="123" t="str">
        <f>IFERROR(TIMEVALUE(DaqBook_RAW_Data!AG279),IFERROR(TIMEVALUE(DaqBook_RAW_Data!#REF!),""))</f>
        <v/>
      </c>
      <c r="C323" s="145"/>
      <c r="D323" s="145"/>
      <c r="E323" s="145"/>
      <c r="F323" s="145"/>
      <c r="G323" s="145"/>
      <c r="H323" s="145"/>
      <c r="I323" s="145"/>
      <c r="J323" s="145"/>
      <c r="K323" s="145"/>
      <c r="L323" s="145"/>
      <c r="M323" s="145"/>
      <c r="N323" s="145"/>
      <c r="O323" s="145"/>
      <c r="P323" s="145"/>
    </row>
    <row r="324" spans="1:16" x14ac:dyDescent="0.2">
      <c r="A324" s="58" t="str">
        <v/>
      </c>
      <c r="B324" s="123" t="str">
        <f>IFERROR(TIMEVALUE(DaqBook_RAW_Data!AG280),IFERROR(TIMEVALUE(DaqBook_RAW_Data!#REF!),""))</f>
        <v/>
      </c>
      <c r="C324" s="145"/>
      <c r="D324" s="145"/>
      <c r="E324" s="145"/>
      <c r="F324" s="145"/>
      <c r="G324" s="145"/>
      <c r="H324" s="145"/>
      <c r="I324" s="145"/>
      <c r="J324" s="145"/>
      <c r="K324" s="145"/>
      <c r="L324" s="145"/>
      <c r="M324" s="145"/>
      <c r="N324" s="145"/>
      <c r="O324" s="145"/>
      <c r="P324" s="145"/>
    </row>
    <row r="325" spans="1:16" x14ac:dyDescent="0.2">
      <c r="A325" s="58" t="str">
        <v/>
      </c>
      <c r="B325" s="123" t="str">
        <f>IFERROR(TIMEVALUE(DaqBook_RAW_Data!AG281),IFERROR(TIMEVALUE(DaqBook_RAW_Data!#REF!),""))</f>
        <v/>
      </c>
      <c r="C325" s="145"/>
      <c r="D325" s="145"/>
      <c r="E325" s="145"/>
      <c r="F325" s="145"/>
      <c r="G325" s="145"/>
      <c r="H325" s="145"/>
      <c r="I325" s="145"/>
      <c r="J325" s="145"/>
      <c r="K325" s="145"/>
      <c r="L325" s="145"/>
      <c r="M325" s="145"/>
      <c r="N325" s="145"/>
      <c r="O325" s="145"/>
      <c r="P325" s="145"/>
    </row>
    <row r="326" spans="1:16" x14ac:dyDescent="0.2">
      <c r="A326" s="58" t="str">
        <v/>
      </c>
      <c r="B326" s="123" t="str">
        <f>IFERROR(TIMEVALUE(DaqBook_RAW_Data!AG282),IFERROR(TIMEVALUE(DaqBook_RAW_Data!#REF!),""))</f>
        <v/>
      </c>
      <c r="C326" s="145"/>
      <c r="D326" s="145"/>
      <c r="E326" s="145"/>
      <c r="F326" s="145"/>
      <c r="G326" s="145"/>
      <c r="H326" s="145"/>
      <c r="I326" s="145"/>
      <c r="J326" s="145"/>
      <c r="K326" s="145"/>
      <c r="L326" s="145"/>
      <c r="M326" s="145"/>
      <c r="N326" s="145"/>
      <c r="O326" s="145"/>
      <c r="P326" s="145"/>
    </row>
    <row r="327" spans="1:16" x14ac:dyDescent="0.2">
      <c r="A327" s="58" t="str">
        <v/>
      </c>
      <c r="B327" s="123" t="str">
        <f>IFERROR(TIMEVALUE(DaqBook_RAW_Data!AG283),IFERROR(TIMEVALUE(DaqBook_RAW_Data!#REF!),""))</f>
        <v/>
      </c>
      <c r="C327" s="145"/>
      <c r="D327" s="145"/>
      <c r="E327" s="145"/>
      <c r="F327" s="145"/>
      <c r="G327" s="145"/>
      <c r="H327" s="145"/>
      <c r="I327" s="145"/>
      <c r="J327" s="145"/>
      <c r="K327" s="145"/>
      <c r="L327" s="145"/>
      <c r="M327" s="145"/>
      <c r="N327" s="145"/>
      <c r="O327" s="145"/>
      <c r="P327" s="145"/>
    </row>
    <row r="328" spans="1:16" x14ac:dyDescent="0.2">
      <c r="A328" s="58" t="str">
        <v/>
      </c>
      <c r="B328" s="123" t="str">
        <f>IFERROR(TIMEVALUE(DaqBook_RAW_Data!AG284),IFERROR(TIMEVALUE(DaqBook_RAW_Data!#REF!),""))</f>
        <v/>
      </c>
      <c r="C328" s="145"/>
      <c r="D328" s="145"/>
      <c r="E328" s="145"/>
      <c r="F328" s="145"/>
      <c r="G328" s="145"/>
      <c r="H328" s="145"/>
      <c r="I328" s="145"/>
      <c r="J328" s="145"/>
      <c r="K328" s="145"/>
      <c r="L328" s="145"/>
      <c r="M328" s="145"/>
      <c r="N328" s="145"/>
      <c r="O328" s="145"/>
      <c r="P328" s="145"/>
    </row>
    <row r="329" spans="1:16" x14ac:dyDescent="0.2">
      <c r="A329" s="58" t="str">
        <v/>
      </c>
      <c r="B329" s="123" t="str">
        <f>IFERROR(TIMEVALUE(DaqBook_RAW_Data!AG285),IFERROR(TIMEVALUE(DaqBook_RAW_Data!#REF!),""))</f>
        <v/>
      </c>
      <c r="C329" s="145"/>
      <c r="D329" s="145"/>
      <c r="E329" s="145"/>
      <c r="F329" s="145"/>
      <c r="G329" s="145"/>
      <c r="H329" s="145"/>
      <c r="I329" s="145"/>
      <c r="J329" s="145"/>
      <c r="K329" s="145"/>
      <c r="L329" s="145"/>
      <c r="M329" s="145"/>
      <c r="N329" s="145"/>
      <c r="O329" s="145"/>
      <c r="P329" s="145"/>
    </row>
    <row r="330" spans="1:16" x14ac:dyDescent="0.2">
      <c r="A330" s="58" t="str">
        <v/>
      </c>
      <c r="B330" s="123" t="str">
        <f>IFERROR(TIMEVALUE(DaqBook_RAW_Data!AG286),IFERROR(TIMEVALUE(DaqBook_RAW_Data!#REF!),""))</f>
        <v/>
      </c>
      <c r="C330" s="145"/>
      <c r="D330" s="145"/>
      <c r="E330" s="145"/>
      <c r="F330" s="145"/>
      <c r="G330" s="145"/>
      <c r="H330" s="145"/>
      <c r="I330" s="145"/>
      <c r="J330" s="145"/>
      <c r="K330" s="145"/>
      <c r="L330" s="145"/>
      <c r="M330" s="145"/>
      <c r="N330" s="145"/>
      <c r="O330" s="145"/>
      <c r="P330" s="145"/>
    </row>
    <row r="331" spans="1:16" x14ac:dyDescent="0.2">
      <c r="A331" s="58" t="str">
        <v/>
      </c>
      <c r="B331" s="123" t="str">
        <f>IFERROR(TIMEVALUE(DaqBook_RAW_Data!AG287),IFERROR(TIMEVALUE(DaqBook_RAW_Data!#REF!),""))</f>
        <v/>
      </c>
      <c r="C331" s="145"/>
      <c r="D331" s="145"/>
      <c r="E331" s="145"/>
      <c r="F331" s="145"/>
      <c r="G331" s="145"/>
      <c r="H331" s="145"/>
      <c r="I331" s="145"/>
      <c r="J331" s="145"/>
      <c r="K331" s="145"/>
      <c r="L331" s="145"/>
      <c r="M331" s="145"/>
      <c r="N331" s="145"/>
      <c r="O331" s="145"/>
      <c r="P331" s="145"/>
    </row>
    <row r="332" spans="1:16" x14ac:dyDescent="0.2">
      <c r="A332" s="58" t="str">
        <v/>
      </c>
      <c r="B332" s="123" t="str">
        <f>IFERROR(TIMEVALUE(DaqBook_RAW_Data!AG288),IFERROR(TIMEVALUE(DaqBook_RAW_Data!#REF!),""))</f>
        <v/>
      </c>
      <c r="C332" s="145"/>
      <c r="D332" s="145"/>
      <c r="E332" s="145"/>
      <c r="F332" s="145"/>
      <c r="G332" s="145"/>
      <c r="H332" s="145"/>
      <c r="I332" s="145"/>
      <c r="J332" s="145"/>
      <c r="K332" s="145"/>
      <c r="L332" s="145"/>
      <c r="M332" s="145"/>
      <c r="N332" s="145"/>
      <c r="O332" s="145"/>
      <c r="P332" s="145"/>
    </row>
    <row r="333" spans="1:16" x14ac:dyDescent="0.2">
      <c r="A333" s="58" t="str">
        <v/>
      </c>
      <c r="B333" s="123" t="str">
        <f>IFERROR(TIMEVALUE(DaqBook_RAW_Data!AG289),IFERROR(TIMEVALUE(DaqBook_RAW_Data!#REF!),""))</f>
        <v/>
      </c>
      <c r="C333" s="145"/>
      <c r="D333" s="145"/>
      <c r="E333" s="145"/>
      <c r="F333" s="145"/>
      <c r="G333" s="145"/>
      <c r="H333" s="145"/>
      <c r="I333" s="145"/>
      <c r="J333" s="145"/>
      <c r="K333" s="145"/>
      <c r="L333" s="145"/>
      <c r="M333" s="145"/>
      <c r="N333" s="145"/>
      <c r="O333" s="145"/>
      <c r="P333" s="145"/>
    </row>
    <row r="334" spans="1:16" x14ac:dyDescent="0.2">
      <c r="A334" s="58" t="str">
        <v/>
      </c>
      <c r="B334" s="123" t="str">
        <f>IFERROR(TIMEVALUE(DaqBook_RAW_Data!AG290),IFERROR(TIMEVALUE(DaqBook_RAW_Data!#REF!),""))</f>
        <v/>
      </c>
      <c r="C334" s="145"/>
      <c r="D334" s="145"/>
      <c r="E334" s="145"/>
      <c r="F334" s="145"/>
      <c r="G334" s="145"/>
      <c r="H334" s="145"/>
      <c r="I334" s="145"/>
      <c r="J334" s="145"/>
      <c r="K334" s="145"/>
      <c r="L334" s="145"/>
      <c r="M334" s="145"/>
      <c r="N334" s="145"/>
      <c r="O334" s="145"/>
      <c r="P334" s="145"/>
    </row>
    <row r="335" spans="1:16" x14ac:dyDescent="0.2">
      <c r="A335" s="58" t="str">
        <v/>
      </c>
      <c r="B335" s="123" t="str">
        <f>IFERROR(TIMEVALUE(DaqBook_RAW_Data!AG291),IFERROR(TIMEVALUE(DaqBook_RAW_Data!#REF!),""))</f>
        <v/>
      </c>
      <c r="C335" s="145"/>
      <c r="D335" s="145"/>
      <c r="E335" s="145"/>
      <c r="F335" s="145"/>
      <c r="G335" s="145"/>
      <c r="H335" s="145"/>
      <c r="I335" s="145"/>
      <c r="J335" s="145"/>
      <c r="K335" s="145"/>
      <c r="L335" s="145"/>
      <c r="M335" s="145"/>
      <c r="N335" s="145"/>
      <c r="O335" s="145"/>
      <c r="P335" s="145"/>
    </row>
    <row r="336" spans="1:16" x14ac:dyDescent="0.2">
      <c r="A336" s="58" t="str">
        <v/>
      </c>
      <c r="B336" s="123" t="str">
        <f>IFERROR(TIMEVALUE(DaqBook_RAW_Data!AG292),IFERROR(TIMEVALUE(DaqBook_RAW_Data!#REF!),""))</f>
        <v/>
      </c>
      <c r="C336" s="145"/>
      <c r="D336" s="145"/>
      <c r="E336" s="145"/>
      <c r="F336" s="145"/>
      <c r="G336" s="145"/>
      <c r="H336" s="145"/>
      <c r="I336" s="145"/>
      <c r="J336" s="145"/>
      <c r="K336" s="145"/>
      <c r="L336" s="145"/>
      <c r="M336" s="145"/>
      <c r="N336" s="145"/>
      <c r="O336" s="145"/>
      <c r="P336" s="145"/>
    </row>
    <row r="337" spans="1:16" x14ac:dyDescent="0.2">
      <c r="A337" s="58" t="str">
        <v/>
      </c>
      <c r="B337" s="123" t="str">
        <f>IFERROR(TIMEVALUE(DaqBook_RAW_Data!AG293),IFERROR(TIMEVALUE(DaqBook_RAW_Data!#REF!),""))</f>
        <v/>
      </c>
      <c r="C337" s="145"/>
      <c r="D337" s="145"/>
      <c r="E337" s="145"/>
      <c r="F337" s="145"/>
      <c r="G337" s="145"/>
      <c r="H337" s="145"/>
      <c r="I337" s="145"/>
      <c r="J337" s="145"/>
      <c r="K337" s="145"/>
      <c r="L337" s="145"/>
      <c r="M337" s="145"/>
      <c r="N337" s="145"/>
      <c r="O337" s="145"/>
      <c r="P337" s="145"/>
    </row>
    <row r="338" spans="1:16" x14ac:dyDescent="0.2">
      <c r="A338" s="58" t="str">
        <v/>
      </c>
      <c r="B338" s="123" t="str">
        <f>IFERROR(TIMEVALUE(DaqBook_RAW_Data!AG294),IFERROR(TIMEVALUE(DaqBook_RAW_Data!#REF!),""))</f>
        <v/>
      </c>
      <c r="C338" s="145"/>
      <c r="D338" s="145"/>
      <c r="E338" s="145"/>
      <c r="F338" s="145"/>
      <c r="G338" s="145"/>
      <c r="H338" s="145"/>
      <c r="I338" s="145"/>
      <c r="J338" s="145"/>
      <c r="K338" s="145"/>
      <c r="L338" s="145"/>
      <c r="M338" s="145"/>
      <c r="N338" s="145"/>
      <c r="O338" s="145"/>
      <c r="P338" s="145"/>
    </row>
    <row r="339" spans="1:16" x14ac:dyDescent="0.2">
      <c r="A339" s="58" t="str">
        <v/>
      </c>
      <c r="B339" s="123" t="str">
        <f>IFERROR(TIMEVALUE(DaqBook_RAW_Data!AG295),IFERROR(TIMEVALUE(DaqBook_RAW_Data!#REF!),""))</f>
        <v/>
      </c>
      <c r="C339" s="145"/>
      <c r="D339" s="145"/>
      <c r="E339" s="145"/>
      <c r="F339" s="145"/>
      <c r="G339" s="145"/>
      <c r="H339" s="145"/>
      <c r="I339" s="145"/>
      <c r="J339" s="145"/>
      <c r="K339" s="145"/>
      <c r="L339" s="145"/>
      <c r="M339" s="145"/>
      <c r="N339" s="145"/>
      <c r="O339" s="145"/>
      <c r="P339" s="145"/>
    </row>
    <row r="340" spans="1:16" x14ac:dyDescent="0.2">
      <c r="A340" s="58" t="str">
        <v/>
      </c>
      <c r="B340" s="123" t="str">
        <f>IFERROR(TIMEVALUE(DaqBook_RAW_Data!AG296),IFERROR(TIMEVALUE(DaqBook_RAW_Data!#REF!),""))</f>
        <v/>
      </c>
      <c r="C340" s="145"/>
      <c r="D340" s="145"/>
      <c r="E340" s="145"/>
      <c r="F340" s="145"/>
      <c r="G340" s="145"/>
      <c r="H340" s="145"/>
      <c r="I340" s="145"/>
      <c r="J340" s="145"/>
      <c r="K340" s="145"/>
      <c r="L340" s="145"/>
      <c r="M340" s="145"/>
      <c r="N340" s="145"/>
      <c r="O340" s="145"/>
      <c r="P340" s="145"/>
    </row>
    <row r="341" spans="1:16" x14ac:dyDescent="0.2">
      <c r="A341" s="58" t="str">
        <v/>
      </c>
      <c r="B341" s="123" t="str">
        <f>IFERROR(TIMEVALUE(DaqBook_RAW_Data!AG297),IFERROR(TIMEVALUE(DaqBook_RAW_Data!#REF!),""))</f>
        <v/>
      </c>
      <c r="C341" s="145"/>
      <c r="D341" s="145"/>
      <c r="E341" s="145"/>
      <c r="F341" s="145"/>
      <c r="G341" s="145"/>
      <c r="H341" s="145"/>
      <c r="I341" s="145"/>
      <c r="J341" s="145"/>
      <c r="K341" s="145"/>
      <c r="L341" s="145"/>
      <c r="M341" s="145"/>
      <c r="N341" s="145"/>
      <c r="O341" s="145"/>
      <c r="P341" s="145"/>
    </row>
    <row r="342" spans="1:16" x14ac:dyDescent="0.2">
      <c r="A342" s="58" t="str">
        <v/>
      </c>
      <c r="B342" s="123" t="str">
        <f>IFERROR(TIMEVALUE(DaqBook_RAW_Data!AG298),IFERROR(TIMEVALUE(DaqBook_RAW_Data!#REF!),""))</f>
        <v/>
      </c>
      <c r="C342" s="145"/>
      <c r="D342" s="145"/>
      <c r="E342" s="145"/>
      <c r="F342" s="145"/>
      <c r="G342" s="145"/>
      <c r="H342" s="145"/>
      <c r="I342" s="145"/>
      <c r="J342" s="145"/>
      <c r="K342" s="145"/>
      <c r="L342" s="145"/>
      <c r="M342" s="145"/>
      <c r="N342" s="145"/>
      <c r="O342" s="145"/>
      <c r="P342" s="145"/>
    </row>
    <row r="343" spans="1:16" x14ac:dyDescent="0.2">
      <c r="A343" s="58" t="str">
        <v/>
      </c>
      <c r="B343" s="123" t="str">
        <f>IFERROR(TIMEVALUE(DaqBook_RAW_Data!AG299),IFERROR(TIMEVALUE(DaqBook_RAW_Data!#REF!),""))</f>
        <v/>
      </c>
      <c r="C343" s="145"/>
      <c r="D343" s="145"/>
      <c r="E343" s="145"/>
      <c r="F343" s="145"/>
      <c r="G343" s="145"/>
      <c r="H343" s="145"/>
      <c r="I343" s="145"/>
      <c r="J343" s="145"/>
      <c r="K343" s="145"/>
      <c r="L343" s="145"/>
      <c r="M343" s="145"/>
      <c r="N343" s="145"/>
      <c r="O343" s="145"/>
      <c r="P343" s="145"/>
    </row>
    <row r="344" spans="1:16" x14ac:dyDescent="0.2">
      <c r="A344" s="58" t="str">
        <v/>
      </c>
      <c r="B344" s="123" t="str">
        <f>IFERROR(TIMEVALUE(DaqBook_RAW_Data!AG300),IFERROR(TIMEVALUE(DaqBook_RAW_Data!#REF!),""))</f>
        <v/>
      </c>
      <c r="C344" s="145"/>
      <c r="D344" s="145"/>
      <c r="E344" s="145"/>
      <c r="F344" s="145"/>
      <c r="G344" s="145"/>
      <c r="H344" s="145"/>
      <c r="I344" s="145"/>
      <c r="J344" s="145"/>
      <c r="K344" s="145"/>
      <c r="L344" s="145"/>
      <c r="M344" s="145"/>
      <c r="N344" s="145"/>
      <c r="O344" s="145"/>
      <c r="P344" s="145"/>
    </row>
    <row r="345" spans="1:16" x14ac:dyDescent="0.2">
      <c r="A345" s="58" t="str">
        <v/>
      </c>
      <c r="B345" s="123" t="str">
        <f>IFERROR(TIMEVALUE(DaqBook_RAW_Data!AG301),IFERROR(TIMEVALUE(DaqBook_RAW_Data!#REF!),""))</f>
        <v/>
      </c>
      <c r="C345" s="145"/>
      <c r="D345" s="145"/>
      <c r="E345" s="145"/>
      <c r="F345" s="145"/>
      <c r="G345" s="145"/>
      <c r="H345" s="145"/>
      <c r="I345" s="145"/>
      <c r="J345" s="145"/>
      <c r="K345" s="145"/>
      <c r="L345" s="145"/>
      <c r="M345" s="145"/>
      <c r="N345" s="145"/>
      <c r="O345" s="145"/>
      <c r="P345" s="145"/>
    </row>
    <row r="346" spans="1:16" x14ac:dyDescent="0.2">
      <c r="A346" s="58" t="str">
        <v/>
      </c>
      <c r="B346" s="123" t="str">
        <f>IFERROR(TIMEVALUE(DaqBook_RAW_Data!AG302),IFERROR(TIMEVALUE(DaqBook_RAW_Data!#REF!),""))</f>
        <v/>
      </c>
      <c r="C346" s="145"/>
      <c r="D346" s="145"/>
      <c r="E346" s="145"/>
      <c r="F346" s="145"/>
      <c r="G346" s="145"/>
      <c r="H346" s="145"/>
      <c r="I346" s="145"/>
      <c r="J346" s="145"/>
      <c r="K346" s="145"/>
      <c r="L346" s="145"/>
      <c r="M346" s="145"/>
      <c r="N346" s="145"/>
      <c r="O346" s="145"/>
      <c r="P346" s="145"/>
    </row>
    <row r="347" spans="1:16" x14ac:dyDescent="0.2">
      <c r="A347" s="58" t="str">
        <v/>
      </c>
      <c r="B347" s="123" t="str">
        <f>IFERROR(TIMEVALUE(DaqBook_RAW_Data!AG303),IFERROR(TIMEVALUE(DaqBook_RAW_Data!#REF!),""))</f>
        <v/>
      </c>
      <c r="C347" s="145"/>
      <c r="D347" s="145"/>
      <c r="E347" s="145"/>
      <c r="F347" s="145"/>
      <c r="G347" s="145"/>
      <c r="H347" s="145"/>
      <c r="I347" s="145"/>
      <c r="J347" s="145"/>
      <c r="K347" s="145"/>
      <c r="L347" s="145"/>
      <c r="M347" s="145"/>
      <c r="N347" s="145"/>
      <c r="O347" s="145"/>
      <c r="P347" s="145"/>
    </row>
    <row r="348" spans="1:16" x14ac:dyDescent="0.2">
      <c r="A348" s="58" t="str">
        <v/>
      </c>
      <c r="B348" s="123" t="str">
        <f>IFERROR(TIMEVALUE(DaqBook_RAW_Data!AG304),IFERROR(TIMEVALUE(DaqBook_RAW_Data!#REF!),""))</f>
        <v/>
      </c>
      <c r="C348" s="145"/>
      <c r="D348" s="145"/>
      <c r="E348" s="145"/>
      <c r="F348" s="145"/>
      <c r="G348" s="145"/>
      <c r="H348" s="145"/>
      <c r="I348" s="145"/>
      <c r="J348" s="145"/>
      <c r="K348" s="145"/>
      <c r="L348" s="145"/>
      <c r="M348" s="145"/>
      <c r="N348" s="145"/>
      <c r="O348" s="145"/>
      <c r="P348" s="145"/>
    </row>
    <row r="349" spans="1:16" x14ac:dyDescent="0.2">
      <c r="A349" s="58" t="str">
        <v/>
      </c>
      <c r="B349" s="123" t="str">
        <f>IFERROR(TIMEVALUE(DaqBook_RAW_Data!AG305),IFERROR(TIMEVALUE(DaqBook_RAW_Data!#REF!),""))</f>
        <v/>
      </c>
      <c r="C349" s="145"/>
      <c r="D349" s="145"/>
      <c r="E349" s="145"/>
      <c r="F349" s="145"/>
      <c r="G349" s="145"/>
      <c r="H349" s="145"/>
      <c r="I349" s="145"/>
      <c r="J349" s="145"/>
      <c r="K349" s="145"/>
      <c r="L349" s="145"/>
      <c r="M349" s="145"/>
      <c r="N349" s="145"/>
      <c r="O349" s="145"/>
      <c r="P349" s="145"/>
    </row>
    <row r="350" spans="1:16" x14ac:dyDescent="0.2">
      <c r="A350" s="58" t="str">
        <v/>
      </c>
      <c r="B350" s="123" t="str">
        <f>IFERROR(TIMEVALUE(DaqBook_RAW_Data!AG306),IFERROR(TIMEVALUE(DaqBook_RAW_Data!#REF!),""))</f>
        <v/>
      </c>
      <c r="C350" s="145"/>
      <c r="D350" s="145"/>
      <c r="E350" s="145"/>
      <c r="F350" s="145"/>
      <c r="G350" s="145"/>
      <c r="H350" s="145"/>
      <c r="I350" s="145"/>
      <c r="J350" s="145"/>
      <c r="K350" s="145"/>
      <c r="L350" s="145"/>
      <c r="M350" s="145"/>
      <c r="N350" s="145"/>
      <c r="O350" s="145"/>
      <c r="P350" s="145"/>
    </row>
    <row r="351" spans="1:16" x14ac:dyDescent="0.2">
      <c r="A351" s="58" t="str">
        <v/>
      </c>
      <c r="B351" s="123" t="str">
        <f>IFERROR(TIMEVALUE(DaqBook_RAW_Data!AG307),IFERROR(TIMEVALUE(DaqBook_RAW_Data!#REF!),""))</f>
        <v/>
      </c>
      <c r="C351" s="145"/>
      <c r="D351" s="145"/>
      <c r="E351" s="145"/>
      <c r="F351" s="145"/>
      <c r="G351" s="145"/>
      <c r="H351" s="145"/>
      <c r="I351" s="145"/>
      <c r="J351" s="145"/>
      <c r="K351" s="145"/>
      <c r="L351" s="145"/>
      <c r="M351" s="145"/>
      <c r="N351" s="145"/>
      <c r="O351" s="145"/>
      <c r="P351" s="145"/>
    </row>
    <row r="352" spans="1:16" x14ac:dyDescent="0.2">
      <c r="A352" s="58" t="str">
        <v/>
      </c>
      <c r="B352" s="123" t="str">
        <f>IFERROR(TIMEVALUE(DaqBook_RAW_Data!AG308),IFERROR(TIMEVALUE(DaqBook_RAW_Data!#REF!),""))</f>
        <v/>
      </c>
      <c r="C352" s="145"/>
      <c r="D352" s="145"/>
      <c r="E352" s="145"/>
      <c r="F352" s="145"/>
      <c r="G352" s="145"/>
      <c r="H352" s="145"/>
      <c r="I352" s="145"/>
      <c r="J352" s="145"/>
      <c r="K352" s="145"/>
      <c r="L352" s="145"/>
      <c r="M352" s="145"/>
      <c r="N352" s="145"/>
      <c r="O352" s="145"/>
      <c r="P352" s="145"/>
    </row>
    <row r="353" spans="1:16" x14ac:dyDescent="0.2">
      <c r="A353" s="58" t="str">
        <v/>
      </c>
      <c r="B353" s="123" t="str">
        <f>IFERROR(TIMEVALUE(DaqBook_RAW_Data!AG309),IFERROR(TIMEVALUE(DaqBook_RAW_Data!#REF!),""))</f>
        <v/>
      </c>
      <c r="C353" s="145"/>
      <c r="D353" s="145"/>
      <c r="E353" s="145"/>
      <c r="F353" s="145"/>
      <c r="G353" s="145"/>
      <c r="H353" s="145"/>
      <c r="I353" s="145"/>
      <c r="J353" s="145"/>
      <c r="K353" s="145"/>
      <c r="L353" s="145"/>
      <c r="M353" s="145"/>
      <c r="N353" s="145"/>
      <c r="O353" s="145"/>
      <c r="P353" s="145"/>
    </row>
    <row r="354" spans="1:16" x14ac:dyDescent="0.2">
      <c r="A354" s="58" t="str">
        <v/>
      </c>
      <c r="B354" s="123" t="str">
        <f>IFERROR(TIMEVALUE(DaqBook_RAW_Data!AG310),IFERROR(TIMEVALUE(DaqBook_RAW_Data!#REF!),""))</f>
        <v/>
      </c>
      <c r="C354" s="145"/>
      <c r="D354" s="145"/>
      <c r="E354" s="145"/>
      <c r="F354" s="145"/>
      <c r="G354" s="145"/>
      <c r="H354" s="145"/>
      <c r="I354" s="145"/>
      <c r="J354" s="145"/>
      <c r="K354" s="145"/>
      <c r="L354" s="145"/>
      <c r="M354" s="145"/>
      <c r="N354" s="145"/>
      <c r="O354" s="145"/>
      <c r="P354" s="145"/>
    </row>
    <row r="355" spans="1:16" x14ac:dyDescent="0.2">
      <c r="A355" s="58" t="str">
        <v/>
      </c>
      <c r="B355" s="123" t="str">
        <f>IFERROR(TIMEVALUE(DaqBook_RAW_Data!AG311),IFERROR(TIMEVALUE(DaqBook_RAW_Data!#REF!),""))</f>
        <v/>
      </c>
      <c r="C355" s="145"/>
      <c r="D355" s="145"/>
      <c r="E355" s="145"/>
      <c r="F355" s="145"/>
      <c r="G355" s="145"/>
      <c r="H355" s="145"/>
      <c r="I355" s="145"/>
      <c r="J355" s="145"/>
      <c r="K355" s="145"/>
      <c r="L355" s="145"/>
      <c r="M355" s="145"/>
      <c r="N355" s="145"/>
      <c r="O355" s="145"/>
      <c r="P355" s="145"/>
    </row>
    <row r="356" spans="1:16" x14ac:dyDescent="0.2">
      <c r="A356" s="58" t="str">
        <v/>
      </c>
      <c r="B356" s="123" t="str">
        <f>IFERROR(TIMEVALUE(DaqBook_RAW_Data!AG312),IFERROR(TIMEVALUE(DaqBook_RAW_Data!#REF!),""))</f>
        <v/>
      </c>
      <c r="C356" s="145"/>
      <c r="D356" s="145"/>
      <c r="E356" s="145"/>
      <c r="F356" s="145"/>
      <c r="G356" s="145"/>
      <c r="H356" s="145"/>
      <c r="I356" s="145"/>
      <c r="J356" s="145"/>
      <c r="K356" s="145"/>
      <c r="L356" s="145"/>
      <c r="M356" s="145"/>
      <c r="N356" s="145"/>
      <c r="O356" s="145"/>
      <c r="P356" s="145"/>
    </row>
    <row r="357" spans="1:16" x14ac:dyDescent="0.2">
      <c r="A357" s="58" t="str">
        <v/>
      </c>
      <c r="B357" s="123" t="str">
        <f>IFERROR(TIMEVALUE(DaqBook_RAW_Data!AG313),IFERROR(TIMEVALUE(DaqBook_RAW_Data!#REF!),""))</f>
        <v/>
      </c>
      <c r="C357" s="145"/>
      <c r="D357" s="145"/>
      <c r="E357" s="145"/>
      <c r="F357" s="145"/>
      <c r="G357" s="145"/>
      <c r="H357" s="145"/>
      <c r="I357" s="145"/>
      <c r="J357" s="145"/>
      <c r="K357" s="145"/>
      <c r="L357" s="145"/>
      <c r="M357" s="145"/>
      <c r="N357" s="145"/>
      <c r="O357" s="145"/>
      <c r="P357" s="145"/>
    </row>
    <row r="358" spans="1:16" x14ac:dyDescent="0.2">
      <c r="A358" s="58" t="str">
        <v/>
      </c>
      <c r="B358" s="123" t="str">
        <f>IFERROR(TIMEVALUE(DaqBook_RAW_Data!AG314),IFERROR(TIMEVALUE(DaqBook_RAW_Data!#REF!),""))</f>
        <v/>
      </c>
      <c r="C358" s="145"/>
      <c r="D358" s="145"/>
      <c r="E358" s="145"/>
      <c r="F358" s="145"/>
      <c r="G358" s="145"/>
      <c r="H358" s="145"/>
      <c r="I358" s="145"/>
      <c r="J358" s="145"/>
      <c r="K358" s="145"/>
      <c r="L358" s="145"/>
      <c r="M358" s="145"/>
      <c r="N358" s="145"/>
      <c r="O358" s="145"/>
      <c r="P358" s="145"/>
    </row>
    <row r="359" spans="1:16" x14ac:dyDescent="0.2">
      <c r="A359" s="58" t="str">
        <v/>
      </c>
      <c r="B359" s="123" t="str">
        <f>IFERROR(TIMEVALUE(DaqBook_RAW_Data!AG315),IFERROR(TIMEVALUE(DaqBook_RAW_Data!#REF!),""))</f>
        <v/>
      </c>
      <c r="C359" s="145"/>
      <c r="D359" s="145"/>
      <c r="E359" s="145"/>
      <c r="F359" s="145"/>
      <c r="G359" s="145"/>
      <c r="H359" s="145"/>
      <c r="I359" s="145"/>
      <c r="J359" s="145"/>
      <c r="K359" s="145"/>
      <c r="L359" s="145"/>
      <c r="M359" s="145"/>
      <c r="N359" s="145"/>
      <c r="O359" s="145"/>
      <c r="P359" s="145"/>
    </row>
    <row r="360" spans="1:16" x14ac:dyDescent="0.2">
      <c r="A360" s="58" t="str">
        <v/>
      </c>
      <c r="B360" s="123" t="str">
        <f>IFERROR(TIMEVALUE(DaqBook_RAW_Data!AG316),IFERROR(TIMEVALUE(DaqBook_RAW_Data!#REF!),""))</f>
        <v/>
      </c>
      <c r="C360" s="145"/>
      <c r="D360" s="145"/>
      <c r="E360" s="145"/>
      <c r="F360" s="145"/>
      <c r="G360" s="145"/>
      <c r="H360" s="145"/>
      <c r="I360" s="145"/>
      <c r="J360" s="145"/>
      <c r="K360" s="145"/>
      <c r="L360" s="145"/>
      <c r="M360" s="145"/>
      <c r="N360" s="145"/>
      <c r="O360" s="145"/>
      <c r="P360" s="145"/>
    </row>
    <row r="361" spans="1:16" x14ac:dyDescent="0.2">
      <c r="A361" s="58" t="str">
        <v/>
      </c>
      <c r="B361" s="123" t="str">
        <f>IFERROR(TIMEVALUE(DaqBook_RAW_Data!AG317),IFERROR(TIMEVALUE(DaqBook_RAW_Data!#REF!),""))</f>
        <v/>
      </c>
      <c r="C361" s="145"/>
      <c r="D361" s="145"/>
      <c r="E361" s="145"/>
      <c r="F361" s="145"/>
      <c r="G361" s="145"/>
      <c r="H361" s="145"/>
      <c r="I361" s="145"/>
      <c r="J361" s="145"/>
      <c r="K361" s="145"/>
      <c r="L361" s="145"/>
      <c r="M361" s="145"/>
      <c r="N361" s="145"/>
      <c r="O361" s="145"/>
      <c r="P361" s="145"/>
    </row>
    <row r="362" spans="1:16" x14ac:dyDescent="0.2">
      <c r="A362" s="58" t="str">
        <v/>
      </c>
      <c r="B362" s="123" t="str">
        <f>IFERROR(TIMEVALUE(DaqBook_RAW_Data!AG318),IFERROR(TIMEVALUE(DaqBook_RAW_Data!#REF!),""))</f>
        <v/>
      </c>
      <c r="C362" s="145"/>
      <c r="D362" s="145"/>
      <c r="E362" s="145"/>
      <c r="F362" s="145"/>
      <c r="G362" s="145"/>
      <c r="H362" s="145"/>
      <c r="I362" s="145"/>
      <c r="J362" s="145"/>
      <c r="K362" s="145"/>
      <c r="L362" s="145"/>
      <c r="M362" s="145"/>
      <c r="N362" s="145"/>
      <c r="O362" s="145"/>
      <c r="P362" s="145"/>
    </row>
    <row r="363" spans="1:16" x14ac:dyDescent="0.2">
      <c r="A363" s="58" t="str">
        <v/>
      </c>
      <c r="B363" s="123" t="str">
        <f>IFERROR(TIMEVALUE(DaqBook_RAW_Data!AG319),IFERROR(TIMEVALUE(DaqBook_RAW_Data!#REF!),""))</f>
        <v/>
      </c>
      <c r="C363" s="145"/>
      <c r="D363" s="145"/>
      <c r="E363" s="145"/>
      <c r="F363" s="145"/>
      <c r="G363" s="145"/>
      <c r="H363" s="145"/>
      <c r="I363" s="145"/>
      <c r="J363" s="145"/>
      <c r="K363" s="145"/>
      <c r="L363" s="145"/>
      <c r="M363" s="145"/>
      <c r="N363" s="145"/>
      <c r="O363" s="145"/>
      <c r="P363" s="145"/>
    </row>
    <row r="364" spans="1:16" x14ac:dyDescent="0.2">
      <c r="A364" s="58" t="str">
        <v/>
      </c>
      <c r="B364" s="123" t="str">
        <f>IFERROR(TIMEVALUE(DaqBook_RAW_Data!AG320),IFERROR(TIMEVALUE(DaqBook_RAW_Data!#REF!),""))</f>
        <v/>
      </c>
      <c r="C364" s="145"/>
      <c r="D364" s="145"/>
      <c r="E364" s="145"/>
      <c r="F364" s="145"/>
      <c r="G364" s="145"/>
      <c r="H364" s="145"/>
      <c r="I364" s="145"/>
      <c r="J364" s="145"/>
      <c r="K364" s="145"/>
      <c r="L364" s="145"/>
      <c r="M364" s="145"/>
      <c r="N364" s="145"/>
      <c r="O364" s="145"/>
      <c r="P364" s="145"/>
    </row>
    <row r="365" spans="1:16" x14ac:dyDescent="0.2">
      <c r="A365" s="58" t="str">
        <v/>
      </c>
      <c r="B365" s="123" t="str">
        <f>IFERROR(TIMEVALUE(DaqBook_RAW_Data!AG321),IFERROR(TIMEVALUE(DaqBook_RAW_Data!#REF!),""))</f>
        <v/>
      </c>
      <c r="C365" s="145"/>
      <c r="D365" s="145"/>
      <c r="E365" s="145"/>
      <c r="F365" s="145"/>
      <c r="G365" s="145"/>
      <c r="H365" s="145"/>
      <c r="I365" s="145"/>
      <c r="J365" s="145"/>
      <c r="K365" s="145"/>
      <c r="L365" s="145"/>
      <c r="M365" s="145"/>
      <c r="N365" s="145"/>
      <c r="O365" s="145"/>
      <c r="P365" s="145"/>
    </row>
    <row r="366" spans="1:16" x14ac:dyDescent="0.2">
      <c r="A366" s="58" t="str">
        <v/>
      </c>
      <c r="B366" s="123" t="str">
        <f>IFERROR(TIMEVALUE(DaqBook_RAW_Data!AG322),IFERROR(TIMEVALUE(DaqBook_RAW_Data!#REF!),""))</f>
        <v/>
      </c>
      <c r="C366" s="145"/>
      <c r="D366" s="145"/>
      <c r="E366" s="145"/>
      <c r="F366" s="145"/>
      <c r="G366" s="145"/>
      <c r="H366" s="145"/>
      <c r="I366" s="145"/>
      <c r="J366" s="145"/>
      <c r="K366" s="145"/>
      <c r="L366" s="145"/>
      <c r="M366" s="145"/>
      <c r="N366" s="145"/>
      <c r="O366" s="145"/>
      <c r="P366" s="145"/>
    </row>
    <row r="367" spans="1:16" x14ac:dyDescent="0.2">
      <c r="A367" s="58" t="str">
        <v/>
      </c>
      <c r="B367" s="123" t="str">
        <f>IFERROR(TIMEVALUE(DaqBook_RAW_Data!AG323),IFERROR(TIMEVALUE(DaqBook_RAW_Data!#REF!),""))</f>
        <v/>
      </c>
      <c r="C367" s="145"/>
      <c r="D367" s="145"/>
      <c r="E367" s="145"/>
      <c r="F367" s="145"/>
      <c r="G367" s="145"/>
      <c r="H367" s="145"/>
      <c r="I367" s="145"/>
      <c r="J367" s="145"/>
      <c r="K367" s="145"/>
      <c r="L367" s="145"/>
      <c r="M367" s="145"/>
      <c r="N367" s="145"/>
      <c r="O367" s="145"/>
      <c r="P367" s="145"/>
    </row>
    <row r="368" spans="1:16" x14ac:dyDescent="0.2">
      <c r="A368" s="58" t="str">
        <v/>
      </c>
      <c r="B368" s="123" t="str">
        <f>IFERROR(TIMEVALUE(DaqBook_RAW_Data!AG324),IFERROR(TIMEVALUE(DaqBook_RAW_Data!#REF!),""))</f>
        <v/>
      </c>
      <c r="C368" s="145"/>
      <c r="D368" s="145"/>
      <c r="E368" s="145"/>
      <c r="F368" s="145"/>
      <c r="G368" s="145"/>
      <c r="H368" s="145"/>
      <c r="I368" s="145"/>
      <c r="J368" s="145"/>
      <c r="K368" s="145"/>
      <c r="L368" s="145"/>
      <c r="M368" s="145"/>
      <c r="N368" s="145"/>
      <c r="O368" s="145"/>
      <c r="P368" s="145"/>
    </row>
    <row r="369" spans="1:16" x14ac:dyDescent="0.2">
      <c r="A369" s="58" t="str">
        <v/>
      </c>
      <c r="B369" s="123" t="str">
        <f>IFERROR(TIMEVALUE(DaqBook_RAW_Data!AG325),IFERROR(TIMEVALUE(DaqBook_RAW_Data!#REF!),""))</f>
        <v/>
      </c>
      <c r="C369" s="145"/>
      <c r="D369" s="145"/>
      <c r="E369" s="145"/>
      <c r="F369" s="145"/>
      <c r="G369" s="145"/>
      <c r="H369" s="145"/>
      <c r="I369" s="145"/>
      <c r="J369" s="145"/>
      <c r="K369" s="145"/>
      <c r="L369" s="145"/>
      <c r="M369" s="145"/>
      <c r="N369" s="145"/>
      <c r="O369" s="145"/>
      <c r="P369" s="145"/>
    </row>
    <row r="370" spans="1:16" x14ac:dyDescent="0.2">
      <c r="A370" s="58" t="str">
        <v/>
      </c>
      <c r="B370" s="123" t="str">
        <f>IFERROR(TIMEVALUE(DaqBook_RAW_Data!AG326),IFERROR(TIMEVALUE(DaqBook_RAW_Data!#REF!),""))</f>
        <v/>
      </c>
      <c r="C370" s="145"/>
      <c r="D370" s="145"/>
      <c r="E370" s="145"/>
      <c r="F370" s="145"/>
      <c r="G370" s="145"/>
      <c r="H370" s="145"/>
      <c r="I370" s="145"/>
      <c r="J370" s="145"/>
      <c r="K370" s="145"/>
      <c r="L370" s="145"/>
      <c r="M370" s="145"/>
      <c r="N370" s="145"/>
      <c r="O370" s="145"/>
      <c r="P370" s="145"/>
    </row>
    <row r="371" spans="1:16" x14ac:dyDescent="0.2">
      <c r="A371" s="58" t="str">
        <v/>
      </c>
      <c r="B371" s="123" t="str">
        <f>IFERROR(TIMEVALUE(DaqBook_RAW_Data!AG327),IFERROR(TIMEVALUE(DaqBook_RAW_Data!#REF!),""))</f>
        <v/>
      </c>
      <c r="C371" s="145"/>
      <c r="D371" s="145"/>
      <c r="E371" s="145"/>
      <c r="F371" s="145"/>
      <c r="G371" s="145"/>
      <c r="H371" s="145"/>
      <c r="I371" s="145"/>
      <c r="J371" s="145"/>
      <c r="K371" s="145"/>
      <c r="L371" s="145"/>
      <c r="M371" s="145"/>
      <c r="N371" s="145"/>
      <c r="O371" s="145"/>
      <c r="P371" s="145"/>
    </row>
    <row r="372" spans="1:16" x14ac:dyDescent="0.2">
      <c r="A372" s="58" t="str">
        <v/>
      </c>
      <c r="B372" s="123" t="str">
        <f>IFERROR(TIMEVALUE(DaqBook_RAW_Data!AG328),IFERROR(TIMEVALUE(DaqBook_RAW_Data!#REF!),""))</f>
        <v/>
      </c>
      <c r="C372" s="145"/>
      <c r="D372" s="145"/>
      <c r="E372" s="145"/>
      <c r="F372" s="145"/>
      <c r="G372" s="145"/>
      <c r="H372" s="145"/>
      <c r="I372" s="145"/>
      <c r="J372" s="145"/>
      <c r="K372" s="145"/>
      <c r="L372" s="145"/>
      <c r="M372" s="145"/>
      <c r="N372" s="145"/>
      <c r="O372" s="145"/>
      <c r="P372" s="145"/>
    </row>
    <row r="373" spans="1:16" x14ac:dyDescent="0.2">
      <c r="A373" s="58" t="str">
        <v/>
      </c>
      <c r="B373" s="123" t="str">
        <f>IFERROR(TIMEVALUE(DaqBook_RAW_Data!AG329),IFERROR(TIMEVALUE(DaqBook_RAW_Data!#REF!),""))</f>
        <v/>
      </c>
      <c r="C373" s="145"/>
      <c r="D373" s="145"/>
      <c r="E373" s="145"/>
      <c r="F373" s="145"/>
      <c r="G373" s="145"/>
      <c r="H373" s="145"/>
      <c r="I373" s="145"/>
      <c r="J373" s="145"/>
      <c r="K373" s="145"/>
      <c r="L373" s="145"/>
      <c r="M373" s="145"/>
      <c r="N373" s="145"/>
      <c r="O373" s="145"/>
      <c r="P373" s="145"/>
    </row>
    <row r="374" spans="1:16" x14ac:dyDescent="0.2">
      <c r="A374" s="58" t="str">
        <v/>
      </c>
      <c r="B374" s="123" t="str">
        <f>IFERROR(TIMEVALUE(DaqBook_RAW_Data!AG330),IFERROR(TIMEVALUE(DaqBook_RAW_Data!#REF!),""))</f>
        <v/>
      </c>
      <c r="C374" s="145"/>
      <c r="D374" s="145"/>
      <c r="E374" s="145"/>
      <c r="F374" s="145"/>
      <c r="G374" s="145"/>
      <c r="H374" s="145"/>
      <c r="I374" s="145"/>
      <c r="J374" s="145"/>
      <c r="K374" s="145"/>
      <c r="L374" s="145"/>
      <c r="M374" s="145"/>
      <c r="N374" s="145"/>
      <c r="O374" s="145"/>
      <c r="P374" s="145"/>
    </row>
    <row r="375" spans="1:16" x14ac:dyDescent="0.2">
      <c r="A375" s="58" t="str">
        <v/>
      </c>
      <c r="B375" s="123" t="str">
        <f>IFERROR(TIMEVALUE(DaqBook_RAW_Data!AG331),IFERROR(TIMEVALUE(DaqBook_RAW_Data!#REF!),""))</f>
        <v/>
      </c>
      <c r="C375" s="145"/>
      <c r="D375" s="145"/>
      <c r="E375" s="145"/>
      <c r="F375" s="145"/>
      <c r="G375" s="145"/>
      <c r="H375" s="145"/>
      <c r="I375" s="145"/>
      <c r="J375" s="145"/>
      <c r="K375" s="145"/>
      <c r="L375" s="145"/>
      <c r="M375" s="145"/>
      <c r="N375" s="145"/>
      <c r="O375" s="145"/>
      <c r="P375" s="145"/>
    </row>
    <row r="376" spans="1:16" x14ac:dyDescent="0.2">
      <c r="A376" s="58" t="str">
        <v/>
      </c>
      <c r="B376" s="123" t="str">
        <f>IFERROR(TIMEVALUE(DaqBook_RAW_Data!AG332),IFERROR(TIMEVALUE(DaqBook_RAW_Data!#REF!),""))</f>
        <v/>
      </c>
      <c r="C376" s="145"/>
      <c r="D376" s="145"/>
      <c r="E376" s="145"/>
      <c r="F376" s="145"/>
      <c r="G376" s="145"/>
      <c r="H376" s="145"/>
      <c r="I376" s="145"/>
      <c r="J376" s="145"/>
      <c r="K376" s="145"/>
      <c r="L376" s="145"/>
      <c r="M376" s="145"/>
      <c r="N376" s="145"/>
      <c r="O376" s="145"/>
      <c r="P376" s="145"/>
    </row>
    <row r="377" spans="1:16" x14ac:dyDescent="0.2">
      <c r="A377" s="58" t="str">
        <v/>
      </c>
      <c r="B377" s="123" t="str">
        <f>IFERROR(TIMEVALUE(DaqBook_RAW_Data!AG333),IFERROR(TIMEVALUE(DaqBook_RAW_Data!#REF!),""))</f>
        <v/>
      </c>
      <c r="C377" s="145"/>
      <c r="D377" s="145"/>
      <c r="E377" s="145"/>
      <c r="F377" s="145"/>
      <c r="G377" s="145"/>
      <c r="H377" s="145"/>
      <c r="I377" s="145"/>
      <c r="J377" s="145"/>
      <c r="K377" s="145"/>
      <c r="L377" s="145"/>
      <c r="M377" s="145"/>
      <c r="N377" s="145"/>
      <c r="O377" s="145"/>
      <c r="P377" s="145"/>
    </row>
    <row r="378" spans="1:16" x14ac:dyDescent="0.2">
      <c r="A378" s="58" t="str">
        <v/>
      </c>
      <c r="B378" s="123" t="str">
        <f>IFERROR(TIMEVALUE(DaqBook_RAW_Data!AG334),IFERROR(TIMEVALUE(DaqBook_RAW_Data!#REF!),""))</f>
        <v/>
      </c>
      <c r="C378" s="145"/>
      <c r="D378" s="145"/>
      <c r="E378" s="145"/>
      <c r="F378" s="145"/>
      <c r="G378" s="145"/>
      <c r="H378" s="145"/>
      <c r="I378" s="145"/>
      <c r="J378" s="145"/>
      <c r="K378" s="145"/>
      <c r="L378" s="145"/>
      <c r="M378" s="145"/>
      <c r="N378" s="145"/>
      <c r="O378" s="145"/>
      <c r="P378" s="145"/>
    </row>
    <row r="379" spans="1:16" x14ac:dyDescent="0.2">
      <c r="A379" s="58" t="str">
        <v/>
      </c>
      <c r="B379" s="123" t="str">
        <f>IFERROR(TIMEVALUE(DaqBook_RAW_Data!AG335),IFERROR(TIMEVALUE(DaqBook_RAW_Data!#REF!),""))</f>
        <v/>
      </c>
      <c r="C379" s="145"/>
      <c r="D379" s="145"/>
      <c r="E379" s="145"/>
      <c r="F379" s="145"/>
      <c r="G379" s="145"/>
      <c r="H379" s="145"/>
      <c r="I379" s="145"/>
      <c r="J379" s="145"/>
      <c r="K379" s="145"/>
      <c r="L379" s="145"/>
      <c r="M379" s="145"/>
      <c r="N379" s="145"/>
      <c r="O379" s="145"/>
      <c r="P379" s="145"/>
    </row>
    <row r="380" spans="1:16" x14ac:dyDescent="0.2">
      <c r="A380" s="58" t="str">
        <v/>
      </c>
      <c r="B380" s="123" t="str">
        <f>IFERROR(TIMEVALUE(DaqBook_RAW_Data!AG336),IFERROR(TIMEVALUE(DaqBook_RAW_Data!#REF!),""))</f>
        <v/>
      </c>
      <c r="C380" s="145"/>
      <c r="D380" s="145"/>
      <c r="E380" s="145"/>
      <c r="F380" s="145"/>
      <c r="G380" s="145"/>
      <c r="H380" s="145"/>
      <c r="I380" s="145"/>
      <c r="J380" s="145"/>
      <c r="K380" s="145"/>
      <c r="L380" s="145"/>
      <c r="M380" s="145"/>
      <c r="N380" s="145"/>
      <c r="O380" s="145"/>
      <c r="P380" s="145"/>
    </row>
    <row r="381" spans="1:16" x14ac:dyDescent="0.2">
      <c r="A381" s="58" t="str">
        <v/>
      </c>
      <c r="B381" s="123" t="str">
        <f>IFERROR(TIMEVALUE(DaqBook_RAW_Data!AG337),IFERROR(TIMEVALUE(DaqBook_RAW_Data!#REF!),""))</f>
        <v/>
      </c>
      <c r="C381" s="145"/>
      <c r="D381" s="145"/>
      <c r="E381" s="145"/>
      <c r="F381" s="145"/>
      <c r="G381" s="145"/>
      <c r="H381" s="145"/>
      <c r="I381" s="145"/>
      <c r="J381" s="145"/>
      <c r="K381" s="145"/>
      <c r="L381" s="145"/>
      <c r="M381" s="145"/>
      <c r="N381" s="145"/>
      <c r="O381" s="145"/>
      <c r="P381" s="145"/>
    </row>
    <row r="382" spans="1:16" x14ac:dyDescent="0.2">
      <c r="A382" s="58" t="str">
        <v/>
      </c>
      <c r="B382" s="123" t="str">
        <f>IFERROR(TIMEVALUE(DaqBook_RAW_Data!AG338),IFERROR(TIMEVALUE(DaqBook_RAW_Data!#REF!),""))</f>
        <v/>
      </c>
      <c r="C382" s="145"/>
      <c r="D382" s="145"/>
      <c r="E382" s="145"/>
      <c r="F382" s="145"/>
      <c r="G382" s="145"/>
      <c r="H382" s="145"/>
      <c r="I382" s="145"/>
      <c r="J382" s="145"/>
      <c r="K382" s="145"/>
      <c r="L382" s="145"/>
      <c r="M382" s="145"/>
      <c r="N382" s="145"/>
      <c r="O382" s="145"/>
      <c r="P382" s="145"/>
    </row>
    <row r="383" spans="1:16" x14ac:dyDescent="0.2">
      <c r="A383" s="58" t="str">
        <v/>
      </c>
      <c r="B383" s="123" t="str">
        <f>IFERROR(TIMEVALUE(DaqBook_RAW_Data!AG339),IFERROR(TIMEVALUE(DaqBook_RAW_Data!#REF!),""))</f>
        <v/>
      </c>
      <c r="C383" s="145"/>
      <c r="D383" s="145"/>
      <c r="E383" s="145"/>
      <c r="F383" s="145"/>
      <c r="G383" s="145"/>
      <c r="H383" s="145"/>
      <c r="I383" s="145"/>
      <c r="J383" s="145"/>
      <c r="K383" s="145"/>
      <c r="L383" s="145"/>
      <c r="M383" s="145"/>
      <c r="N383" s="145"/>
      <c r="O383" s="145"/>
      <c r="P383" s="145"/>
    </row>
    <row r="384" spans="1:16" x14ac:dyDescent="0.2">
      <c r="A384" s="58" t="str">
        <v/>
      </c>
      <c r="B384" s="123" t="str">
        <f>IFERROR(TIMEVALUE(DaqBook_RAW_Data!AG340),IFERROR(TIMEVALUE(DaqBook_RAW_Data!#REF!),""))</f>
        <v/>
      </c>
      <c r="C384" s="145"/>
      <c r="D384" s="145"/>
      <c r="E384" s="145"/>
      <c r="F384" s="145"/>
      <c r="G384" s="145"/>
      <c r="H384" s="145"/>
      <c r="I384" s="145"/>
      <c r="J384" s="145"/>
      <c r="K384" s="145"/>
      <c r="L384" s="145"/>
      <c r="M384" s="145"/>
      <c r="N384" s="145"/>
      <c r="O384" s="145"/>
      <c r="P384" s="145"/>
    </row>
    <row r="385" spans="1:16" x14ac:dyDescent="0.2">
      <c r="A385" s="58" t="str">
        <v/>
      </c>
      <c r="B385" s="123" t="str">
        <f>IFERROR(TIMEVALUE(DaqBook_RAW_Data!AG341),IFERROR(TIMEVALUE(DaqBook_RAW_Data!#REF!),""))</f>
        <v/>
      </c>
      <c r="C385" s="145"/>
      <c r="D385" s="145"/>
      <c r="E385" s="145"/>
      <c r="F385" s="145"/>
      <c r="G385" s="145"/>
      <c r="H385" s="145"/>
      <c r="I385" s="145"/>
      <c r="J385" s="145"/>
      <c r="K385" s="145"/>
      <c r="L385" s="145"/>
      <c r="M385" s="145"/>
      <c r="N385" s="145"/>
      <c r="O385" s="145"/>
      <c r="P385" s="145"/>
    </row>
    <row r="386" spans="1:16" x14ac:dyDescent="0.2">
      <c r="A386" s="58" t="str">
        <v/>
      </c>
      <c r="B386" s="123" t="str">
        <f>IFERROR(TIMEVALUE(DaqBook_RAW_Data!AG342),IFERROR(TIMEVALUE(DaqBook_RAW_Data!#REF!),""))</f>
        <v/>
      </c>
      <c r="C386" s="145"/>
      <c r="D386" s="145"/>
      <c r="E386" s="145"/>
      <c r="F386" s="145"/>
      <c r="G386" s="145"/>
      <c r="H386" s="145"/>
      <c r="I386" s="145"/>
      <c r="J386" s="145"/>
      <c r="K386" s="145"/>
      <c r="L386" s="145"/>
      <c r="M386" s="145"/>
      <c r="N386" s="145"/>
      <c r="O386" s="145"/>
      <c r="P386" s="145"/>
    </row>
    <row r="387" spans="1:16" x14ac:dyDescent="0.2">
      <c r="A387" s="58" t="str">
        <v/>
      </c>
      <c r="B387" s="123" t="str">
        <f>IFERROR(TIMEVALUE(DaqBook_RAW_Data!AG343),IFERROR(TIMEVALUE(DaqBook_RAW_Data!#REF!),""))</f>
        <v/>
      </c>
      <c r="C387" s="145"/>
      <c r="D387" s="145"/>
      <c r="E387" s="145"/>
      <c r="F387" s="145"/>
      <c r="G387" s="145"/>
      <c r="H387" s="145"/>
      <c r="I387" s="145"/>
      <c r="J387" s="145"/>
      <c r="K387" s="145"/>
      <c r="L387" s="145"/>
      <c r="M387" s="145"/>
      <c r="N387" s="145"/>
      <c r="O387" s="145"/>
      <c r="P387" s="145"/>
    </row>
    <row r="388" spans="1:16" x14ac:dyDescent="0.2">
      <c r="A388" s="58" t="str">
        <v/>
      </c>
      <c r="B388" s="123" t="str">
        <f>IFERROR(TIMEVALUE(DaqBook_RAW_Data!AG344),IFERROR(TIMEVALUE(DaqBook_RAW_Data!#REF!),""))</f>
        <v/>
      </c>
      <c r="C388" s="145"/>
      <c r="D388" s="145"/>
      <c r="E388" s="145"/>
      <c r="F388" s="145"/>
      <c r="G388" s="145"/>
      <c r="H388" s="145"/>
      <c r="I388" s="145"/>
      <c r="J388" s="145"/>
      <c r="K388" s="145"/>
      <c r="L388" s="145"/>
      <c r="M388" s="145"/>
      <c r="N388" s="145"/>
      <c r="O388" s="145"/>
      <c r="P388" s="145"/>
    </row>
    <row r="389" spans="1:16" x14ac:dyDescent="0.2">
      <c r="A389" s="58" t="str">
        <v/>
      </c>
      <c r="B389" s="123" t="str">
        <f>IFERROR(TIMEVALUE(DaqBook_RAW_Data!AG345),IFERROR(TIMEVALUE(DaqBook_RAW_Data!#REF!),""))</f>
        <v/>
      </c>
      <c r="C389" s="145"/>
      <c r="D389" s="145"/>
      <c r="E389" s="145"/>
      <c r="F389" s="145"/>
      <c r="G389" s="145"/>
      <c r="H389" s="145"/>
      <c r="I389" s="145"/>
      <c r="J389" s="145"/>
      <c r="K389" s="145"/>
      <c r="L389" s="145"/>
      <c r="M389" s="145"/>
      <c r="N389" s="145"/>
      <c r="O389" s="145"/>
      <c r="P389" s="145"/>
    </row>
    <row r="390" spans="1:16" x14ac:dyDescent="0.2">
      <c r="A390" s="58" t="str">
        <v/>
      </c>
      <c r="B390" s="123" t="str">
        <f>IFERROR(TIMEVALUE(DaqBook_RAW_Data!AG346),IFERROR(TIMEVALUE(DaqBook_RAW_Data!#REF!),""))</f>
        <v/>
      </c>
      <c r="C390" s="145"/>
      <c r="D390" s="145"/>
      <c r="E390" s="145"/>
      <c r="F390" s="145"/>
      <c r="G390" s="145"/>
      <c r="H390" s="145"/>
      <c r="I390" s="145"/>
      <c r="J390" s="145"/>
      <c r="K390" s="145"/>
      <c r="L390" s="145"/>
      <c r="M390" s="145"/>
      <c r="N390" s="145"/>
      <c r="O390" s="145"/>
      <c r="P390" s="145"/>
    </row>
    <row r="391" spans="1:16" x14ac:dyDescent="0.2">
      <c r="A391" s="58" t="str">
        <v/>
      </c>
      <c r="B391" s="123" t="str">
        <f>IFERROR(TIMEVALUE(DaqBook_RAW_Data!AG347),IFERROR(TIMEVALUE(DaqBook_RAW_Data!#REF!),""))</f>
        <v/>
      </c>
      <c r="C391" s="145"/>
      <c r="D391" s="145"/>
      <c r="E391" s="145"/>
      <c r="F391" s="145"/>
      <c r="G391" s="145"/>
      <c r="H391" s="145"/>
      <c r="I391" s="145"/>
      <c r="J391" s="145"/>
      <c r="K391" s="145"/>
      <c r="L391" s="145"/>
      <c r="M391" s="145"/>
      <c r="N391" s="145"/>
      <c r="O391" s="145"/>
      <c r="P391" s="145"/>
    </row>
    <row r="392" spans="1:16" x14ac:dyDescent="0.2">
      <c r="A392" s="58" t="str">
        <v/>
      </c>
      <c r="B392" s="123" t="str">
        <f>IFERROR(TIMEVALUE(DaqBook_RAW_Data!AG348),IFERROR(TIMEVALUE(DaqBook_RAW_Data!#REF!),""))</f>
        <v/>
      </c>
      <c r="C392" s="145"/>
      <c r="D392" s="145"/>
      <c r="E392" s="145"/>
      <c r="F392" s="145"/>
      <c r="G392" s="145"/>
      <c r="H392" s="145"/>
      <c r="I392" s="145"/>
      <c r="J392" s="145"/>
      <c r="K392" s="145"/>
      <c r="L392" s="145"/>
      <c r="M392" s="145"/>
      <c r="N392" s="145"/>
      <c r="O392" s="145"/>
      <c r="P392" s="145"/>
    </row>
    <row r="393" spans="1:16" x14ac:dyDescent="0.2">
      <c r="A393" s="58" t="str">
        <v/>
      </c>
      <c r="B393" s="123" t="str">
        <f>IFERROR(TIMEVALUE(DaqBook_RAW_Data!AG349),IFERROR(TIMEVALUE(DaqBook_RAW_Data!#REF!),""))</f>
        <v/>
      </c>
      <c r="C393" s="145"/>
      <c r="D393" s="145"/>
      <c r="E393" s="145"/>
      <c r="F393" s="145"/>
      <c r="G393" s="145"/>
      <c r="H393" s="145"/>
      <c r="I393" s="145"/>
      <c r="J393" s="145"/>
      <c r="K393" s="145"/>
      <c r="L393" s="145"/>
      <c r="M393" s="145"/>
      <c r="N393" s="145"/>
      <c r="O393" s="145"/>
      <c r="P393" s="145"/>
    </row>
    <row r="394" spans="1:16" x14ac:dyDescent="0.2">
      <c r="A394" s="58" t="str">
        <v/>
      </c>
      <c r="B394" s="123" t="str">
        <f>IFERROR(TIMEVALUE(DaqBook_RAW_Data!AG350),IFERROR(TIMEVALUE(DaqBook_RAW_Data!#REF!),""))</f>
        <v/>
      </c>
      <c r="C394" s="145"/>
      <c r="D394" s="145"/>
      <c r="E394" s="145"/>
      <c r="F394" s="145"/>
      <c r="G394" s="145"/>
      <c r="H394" s="145"/>
      <c r="I394" s="145"/>
      <c r="J394" s="145"/>
      <c r="K394" s="145"/>
      <c r="L394" s="145"/>
      <c r="M394" s="145"/>
      <c r="N394" s="145"/>
      <c r="O394" s="145"/>
      <c r="P394" s="145"/>
    </row>
    <row r="395" spans="1:16" x14ac:dyDescent="0.2">
      <c r="A395" s="58" t="str">
        <v/>
      </c>
      <c r="B395" s="123" t="str">
        <f>IFERROR(TIMEVALUE(DaqBook_RAW_Data!AG351),IFERROR(TIMEVALUE(DaqBook_RAW_Data!#REF!),""))</f>
        <v/>
      </c>
      <c r="C395" s="145"/>
      <c r="D395" s="145"/>
      <c r="E395" s="145"/>
      <c r="F395" s="145"/>
      <c r="G395" s="145"/>
      <c r="H395" s="145"/>
      <c r="I395" s="145"/>
      <c r="J395" s="145"/>
      <c r="K395" s="145"/>
      <c r="L395" s="145"/>
      <c r="M395" s="145"/>
      <c r="N395" s="145"/>
      <c r="O395" s="145"/>
      <c r="P395" s="145"/>
    </row>
    <row r="396" spans="1:16" x14ac:dyDescent="0.2">
      <c r="A396" s="58" t="str">
        <v/>
      </c>
      <c r="B396" s="123" t="str">
        <f>IFERROR(TIMEVALUE(DaqBook_RAW_Data!AG352),IFERROR(TIMEVALUE(DaqBook_RAW_Data!#REF!),""))</f>
        <v/>
      </c>
      <c r="C396" s="145"/>
      <c r="D396" s="145"/>
      <c r="E396" s="145"/>
      <c r="F396" s="145"/>
      <c r="G396" s="145"/>
      <c r="H396" s="145"/>
      <c r="I396" s="145"/>
      <c r="J396" s="145"/>
      <c r="K396" s="145"/>
      <c r="L396" s="145"/>
      <c r="M396" s="145"/>
      <c r="N396" s="145"/>
      <c r="O396" s="145"/>
      <c r="P396" s="145"/>
    </row>
    <row r="397" spans="1:16" x14ac:dyDescent="0.2">
      <c r="A397" s="58" t="str">
        <v/>
      </c>
      <c r="B397" s="123" t="str">
        <f>IFERROR(TIMEVALUE(DaqBook_RAW_Data!AG353),IFERROR(TIMEVALUE(DaqBook_RAW_Data!#REF!),""))</f>
        <v/>
      </c>
      <c r="C397" s="145"/>
      <c r="D397" s="145"/>
      <c r="E397" s="145"/>
      <c r="F397" s="145"/>
      <c r="G397" s="145"/>
      <c r="H397" s="145"/>
      <c r="I397" s="145"/>
      <c r="J397" s="145"/>
      <c r="K397" s="145"/>
      <c r="L397" s="145"/>
      <c r="M397" s="145"/>
      <c r="N397" s="145"/>
      <c r="O397" s="145"/>
      <c r="P397" s="145"/>
    </row>
    <row r="398" spans="1:16" x14ac:dyDescent="0.2">
      <c r="A398" s="58" t="str">
        <v/>
      </c>
      <c r="B398" s="123" t="str">
        <f>IFERROR(TIMEVALUE(DaqBook_RAW_Data!AG354),IFERROR(TIMEVALUE(DaqBook_RAW_Data!#REF!),""))</f>
        <v/>
      </c>
      <c r="C398" s="145"/>
      <c r="D398" s="145"/>
      <c r="E398" s="145"/>
      <c r="F398" s="145"/>
      <c r="G398" s="145"/>
      <c r="H398" s="145"/>
      <c r="I398" s="145"/>
      <c r="J398" s="145"/>
      <c r="K398" s="145"/>
      <c r="L398" s="145"/>
      <c r="M398" s="145"/>
      <c r="N398" s="145"/>
      <c r="O398" s="145"/>
      <c r="P398" s="145"/>
    </row>
    <row r="399" spans="1:16" x14ac:dyDescent="0.2">
      <c r="A399" s="58" t="str">
        <v/>
      </c>
      <c r="B399" s="123" t="str">
        <f>IFERROR(TIMEVALUE(DaqBook_RAW_Data!AG355),IFERROR(TIMEVALUE(DaqBook_RAW_Data!#REF!),""))</f>
        <v/>
      </c>
      <c r="C399" s="145"/>
      <c r="D399" s="145"/>
      <c r="E399" s="145"/>
      <c r="F399" s="145"/>
      <c r="G399" s="145"/>
      <c r="H399" s="145"/>
      <c r="I399" s="145"/>
      <c r="J399" s="145"/>
      <c r="K399" s="145"/>
      <c r="L399" s="145"/>
      <c r="M399" s="145"/>
      <c r="N399" s="145"/>
      <c r="O399" s="145"/>
      <c r="P399" s="145"/>
    </row>
    <row r="400" spans="1:16" x14ac:dyDescent="0.2">
      <c r="A400" s="58" t="str">
        <v/>
      </c>
      <c r="B400" s="123" t="str">
        <f>IFERROR(TIMEVALUE(DaqBook_RAW_Data!AG356),IFERROR(TIMEVALUE(DaqBook_RAW_Data!#REF!),""))</f>
        <v/>
      </c>
      <c r="C400" s="145"/>
      <c r="D400" s="145"/>
      <c r="E400" s="145"/>
      <c r="F400" s="145"/>
      <c r="G400" s="145"/>
      <c r="H400" s="145"/>
      <c r="I400" s="145"/>
      <c r="J400" s="145"/>
      <c r="K400" s="145"/>
      <c r="L400" s="145"/>
      <c r="M400" s="145"/>
      <c r="N400" s="145"/>
      <c r="O400" s="145"/>
      <c r="P400" s="145"/>
    </row>
    <row r="401" spans="1:16" x14ac:dyDescent="0.2">
      <c r="A401" s="58" t="str">
        <v/>
      </c>
      <c r="B401" s="123" t="str">
        <f>IFERROR(TIMEVALUE(DaqBook_RAW_Data!AG357),IFERROR(TIMEVALUE(DaqBook_RAW_Data!#REF!),""))</f>
        <v/>
      </c>
      <c r="C401" s="145"/>
      <c r="D401" s="145"/>
      <c r="E401" s="145"/>
      <c r="F401" s="145"/>
      <c r="G401" s="145"/>
      <c r="H401" s="145"/>
      <c r="I401" s="145"/>
      <c r="J401" s="145"/>
      <c r="K401" s="145"/>
      <c r="L401" s="145"/>
      <c r="M401" s="145"/>
      <c r="N401" s="145"/>
      <c r="O401" s="145"/>
      <c r="P401" s="145"/>
    </row>
    <row r="402" spans="1:16" x14ac:dyDescent="0.2">
      <c r="A402" s="58" t="str">
        <v/>
      </c>
      <c r="B402" s="123" t="str">
        <f>IFERROR(TIMEVALUE(DaqBook_RAW_Data!AG358),IFERROR(TIMEVALUE(DaqBook_RAW_Data!#REF!),""))</f>
        <v/>
      </c>
      <c r="C402" s="145"/>
      <c r="D402" s="145"/>
      <c r="E402" s="145"/>
      <c r="F402" s="145"/>
      <c r="G402" s="145"/>
      <c r="H402" s="145"/>
      <c r="I402" s="145"/>
      <c r="J402" s="145"/>
      <c r="K402" s="145"/>
      <c r="L402" s="145"/>
      <c r="M402" s="145"/>
      <c r="N402" s="145"/>
      <c r="O402" s="145"/>
      <c r="P402" s="145"/>
    </row>
    <row r="403" spans="1:16" x14ac:dyDescent="0.2">
      <c r="A403" s="58" t="str">
        <v/>
      </c>
      <c r="B403" s="123" t="str">
        <f>IFERROR(TIMEVALUE(DaqBook_RAW_Data!AG359),IFERROR(TIMEVALUE(DaqBook_RAW_Data!#REF!),""))</f>
        <v/>
      </c>
      <c r="C403" s="145"/>
      <c r="D403" s="145"/>
      <c r="E403" s="145"/>
      <c r="F403" s="145"/>
      <c r="G403" s="145"/>
      <c r="H403" s="145"/>
      <c r="I403" s="145"/>
      <c r="J403" s="145"/>
      <c r="K403" s="145"/>
      <c r="L403" s="145"/>
      <c r="M403" s="145"/>
      <c r="N403" s="145"/>
      <c r="O403" s="145"/>
      <c r="P403" s="145"/>
    </row>
    <row r="404" spans="1:16" x14ac:dyDescent="0.2">
      <c r="A404" s="58" t="str">
        <v/>
      </c>
      <c r="B404" s="123" t="str">
        <f>IFERROR(TIMEVALUE(DaqBook_RAW_Data!AG360),IFERROR(TIMEVALUE(DaqBook_RAW_Data!#REF!),""))</f>
        <v/>
      </c>
      <c r="C404" s="145"/>
      <c r="D404" s="145"/>
      <c r="E404" s="145"/>
      <c r="F404" s="145"/>
      <c r="G404" s="145"/>
      <c r="H404" s="145"/>
      <c r="I404" s="145"/>
      <c r="J404" s="145"/>
      <c r="K404" s="145"/>
      <c r="L404" s="145"/>
      <c r="M404" s="145"/>
      <c r="N404" s="145"/>
      <c r="O404" s="145"/>
      <c r="P404" s="145"/>
    </row>
    <row r="405" spans="1:16" x14ac:dyDescent="0.2">
      <c r="A405" s="58" t="str">
        <v/>
      </c>
      <c r="B405" s="123" t="str">
        <f>IFERROR(TIMEVALUE(DaqBook_RAW_Data!AG361),IFERROR(TIMEVALUE(DaqBook_RAW_Data!#REF!),""))</f>
        <v/>
      </c>
      <c r="C405" s="145"/>
      <c r="D405" s="145"/>
      <c r="E405" s="145"/>
      <c r="F405" s="145"/>
      <c r="G405" s="145"/>
      <c r="H405" s="145"/>
      <c r="I405" s="145"/>
      <c r="J405" s="145"/>
      <c r="K405" s="145"/>
      <c r="L405" s="145"/>
      <c r="M405" s="145"/>
      <c r="N405" s="145"/>
      <c r="O405" s="145"/>
      <c r="P405" s="145"/>
    </row>
    <row r="406" spans="1:16" x14ac:dyDescent="0.2">
      <c r="A406" s="58" t="str">
        <v/>
      </c>
      <c r="B406" s="123" t="str">
        <f>IFERROR(TIMEVALUE(DaqBook_RAW_Data!AG362),IFERROR(TIMEVALUE(DaqBook_RAW_Data!#REF!),""))</f>
        <v/>
      </c>
      <c r="C406" s="145"/>
      <c r="D406" s="145"/>
      <c r="E406" s="145"/>
      <c r="F406" s="145"/>
      <c r="G406" s="145"/>
      <c r="H406" s="145"/>
      <c r="I406" s="145"/>
      <c r="J406" s="145"/>
      <c r="K406" s="145"/>
      <c r="L406" s="145"/>
      <c r="M406" s="145"/>
      <c r="N406" s="145"/>
      <c r="O406" s="145"/>
      <c r="P406" s="145"/>
    </row>
    <row r="407" spans="1:16" x14ac:dyDescent="0.2">
      <c r="A407" s="58" t="str">
        <v/>
      </c>
      <c r="B407" s="123" t="str">
        <f>IFERROR(TIMEVALUE(DaqBook_RAW_Data!AG363),IFERROR(TIMEVALUE(DaqBook_RAW_Data!#REF!),""))</f>
        <v/>
      </c>
      <c r="C407" s="145"/>
      <c r="D407" s="145"/>
      <c r="E407" s="145"/>
      <c r="F407" s="145"/>
      <c r="G407" s="145"/>
      <c r="H407" s="145"/>
      <c r="I407" s="145"/>
      <c r="J407" s="145"/>
      <c r="K407" s="145"/>
      <c r="L407" s="145"/>
      <c r="M407" s="145"/>
      <c r="N407" s="145"/>
      <c r="O407" s="145"/>
      <c r="P407" s="145"/>
    </row>
    <row r="408" spans="1:16" x14ac:dyDescent="0.2">
      <c r="A408" s="58" t="str">
        <v/>
      </c>
      <c r="B408" s="123" t="str">
        <f>IFERROR(TIMEVALUE(DaqBook_RAW_Data!AG364),IFERROR(TIMEVALUE(DaqBook_RAW_Data!#REF!),""))</f>
        <v/>
      </c>
      <c r="C408" s="145"/>
      <c r="D408" s="145"/>
      <c r="E408" s="145"/>
      <c r="F408" s="145"/>
      <c r="G408" s="145"/>
      <c r="H408" s="145"/>
      <c r="I408" s="145"/>
      <c r="J408" s="145"/>
      <c r="K408" s="145"/>
      <c r="L408" s="145"/>
      <c r="M408" s="145"/>
      <c r="N408" s="145"/>
      <c r="O408" s="145"/>
      <c r="P408" s="145"/>
    </row>
    <row r="409" spans="1:16" x14ac:dyDescent="0.2">
      <c r="A409" s="58" t="str">
        <v/>
      </c>
      <c r="B409" s="123" t="str">
        <f>IFERROR(TIMEVALUE(DaqBook_RAW_Data!AG365),IFERROR(TIMEVALUE(DaqBook_RAW_Data!#REF!),""))</f>
        <v/>
      </c>
      <c r="C409" s="145"/>
      <c r="D409" s="145"/>
      <c r="E409" s="145"/>
      <c r="F409" s="145"/>
      <c r="G409" s="145"/>
      <c r="H409" s="145"/>
      <c r="I409" s="145"/>
      <c r="J409" s="145"/>
      <c r="K409" s="145"/>
      <c r="L409" s="145"/>
      <c r="M409" s="145"/>
      <c r="N409" s="145"/>
      <c r="O409" s="145"/>
      <c r="P409" s="145"/>
    </row>
    <row r="410" spans="1:16" x14ac:dyDescent="0.2">
      <c r="A410" s="58" t="str">
        <v/>
      </c>
      <c r="B410" s="123" t="str">
        <f>IFERROR(TIMEVALUE(DaqBook_RAW_Data!AG366),IFERROR(TIMEVALUE(DaqBook_RAW_Data!#REF!),""))</f>
        <v/>
      </c>
      <c r="C410" s="145"/>
      <c r="D410" s="145"/>
      <c r="E410" s="145"/>
      <c r="F410" s="145"/>
      <c r="G410" s="145"/>
      <c r="H410" s="145"/>
      <c r="I410" s="145"/>
      <c r="J410" s="145"/>
      <c r="K410" s="145"/>
      <c r="L410" s="145"/>
      <c r="M410" s="145"/>
      <c r="N410" s="145"/>
      <c r="O410" s="145"/>
      <c r="P410" s="145"/>
    </row>
    <row r="411" spans="1:16" x14ac:dyDescent="0.2">
      <c r="A411" s="58" t="str">
        <v/>
      </c>
      <c r="B411" s="123" t="str">
        <f>IFERROR(TIMEVALUE(DaqBook_RAW_Data!AG367),IFERROR(TIMEVALUE(DaqBook_RAW_Data!#REF!),""))</f>
        <v/>
      </c>
      <c r="C411" s="145"/>
      <c r="D411" s="145"/>
      <c r="E411" s="145"/>
      <c r="F411" s="145"/>
      <c r="G411" s="145"/>
      <c r="H411" s="145"/>
      <c r="I411" s="145"/>
      <c r="J411" s="145"/>
      <c r="K411" s="145"/>
      <c r="L411" s="145"/>
      <c r="M411" s="145"/>
      <c r="N411" s="145"/>
      <c r="O411" s="145"/>
      <c r="P411" s="145"/>
    </row>
    <row r="412" spans="1:16" x14ac:dyDescent="0.2">
      <c r="A412" s="58" t="str">
        <v/>
      </c>
      <c r="B412" s="123" t="str">
        <f>IFERROR(TIMEVALUE(DaqBook_RAW_Data!AG368),IFERROR(TIMEVALUE(DaqBook_RAW_Data!#REF!),""))</f>
        <v/>
      </c>
      <c r="C412" s="145"/>
      <c r="D412" s="145"/>
      <c r="E412" s="145"/>
      <c r="F412" s="145"/>
      <c r="G412" s="145"/>
      <c r="H412" s="145"/>
      <c r="I412" s="145"/>
      <c r="J412" s="145"/>
      <c r="K412" s="145"/>
      <c r="L412" s="145"/>
      <c r="M412" s="145"/>
      <c r="N412" s="145"/>
      <c r="O412" s="145"/>
      <c r="P412" s="145"/>
    </row>
    <row r="413" spans="1:16" x14ac:dyDescent="0.2">
      <c r="A413" s="58" t="str">
        <v/>
      </c>
      <c r="B413" s="123" t="str">
        <f>IFERROR(TIMEVALUE(DaqBook_RAW_Data!AG369),IFERROR(TIMEVALUE(DaqBook_RAW_Data!#REF!),""))</f>
        <v/>
      </c>
      <c r="C413" s="145"/>
      <c r="D413" s="145"/>
      <c r="E413" s="145"/>
      <c r="F413" s="145"/>
      <c r="G413" s="145"/>
      <c r="H413" s="145"/>
      <c r="I413" s="145"/>
      <c r="J413" s="145"/>
      <c r="K413" s="145"/>
      <c r="L413" s="145"/>
      <c r="M413" s="145"/>
      <c r="N413" s="145"/>
      <c r="O413" s="145"/>
      <c r="P413" s="145"/>
    </row>
    <row r="414" spans="1:16" x14ac:dyDescent="0.2">
      <c r="A414" s="58" t="str">
        <v/>
      </c>
      <c r="B414" s="123" t="str">
        <f>IFERROR(TIMEVALUE(DaqBook_RAW_Data!AG370),IFERROR(TIMEVALUE(DaqBook_RAW_Data!#REF!),""))</f>
        <v/>
      </c>
      <c r="C414" s="145"/>
      <c r="D414" s="145"/>
      <c r="E414" s="145"/>
      <c r="F414" s="145"/>
      <c r="G414" s="145"/>
      <c r="H414" s="145"/>
      <c r="I414" s="145"/>
      <c r="J414" s="145"/>
      <c r="K414" s="145"/>
      <c r="L414" s="145"/>
      <c r="M414" s="145"/>
      <c r="N414" s="145"/>
      <c r="O414" s="145"/>
      <c r="P414" s="145"/>
    </row>
    <row r="415" spans="1:16" x14ac:dyDescent="0.2">
      <c r="A415" s="58" t="str">
        <v/>
      </c>
      <c r="B415" s="123" t="str">
        <f>IFERROR(TIMEVALUE(DaqBook_RAW_Data!AG371),IFERROR(TIMEVALUE(DaqBook_RAW_Data!#REF!),""))</f>
        <v/>
      </c>
      <c r="C415" s="145"/>
      <c r="D415" s="145"/>
      <c r="E415" s="145"/>
      <c r="F415" s="145"/>
      <c r="G415" s="145"/>
      <c r="H415" s="145"/>
      <c r="I415" s="145"/>
      <c r="J415" s="145"/>
      <c r="K415" s="145"/>
      <c r="L415" s="145"/>
      <c r="M415" s="145"/>
      <c r="N415" s="145"/>
      <c r="O415" s="145"/>
      <c r="P415" s="145"/>
    </row>
    <row r="416" spans="1:16" x14ac:dyDescent="0.2">
      <c r="A416" s="58" t="str">
        <v/>
      </c>
      <c r="B416" s="123" t="str">
        <f>IFERROR(TIMEVALUE(DaqBook_RAW_Data!AG372),IFERROR(TIMEVALUE(DaqBook_RAW_Data!#REF!),""))</f>
        <v/>
      </c>
      <c r="C416" s="145"/>
      <c r="D416" s="145"/>
      <c r="E416" s="145"/>
      <c r="F416" s="145"/>
      <c r="G416" s="145"/>
      <c r="H416" s="145"/>
      <c r="I416" s="145"/>
      <c r="J416" s="145"/>
      <c r="K416" s="145"/>
      <c r="L416" s="145"/>
      <c r="M416" s="145"/>
      <c r="N416" s="145"/>
      <c r="O416" s="145"/>
      <c r="P416" s="145"/>
    </row>
    <row r="417" spans="1:16" x14ac:dyDescent="0.2">
      <c r="A417" s="58" t="str">
        <v/>
      </c>
      <c r="B417" s="123" t="str">
        <f>IFERROR(TIMEVALUE(DaqBook_RAW_Data!AG373),IFERROR(TIMEVALUE(DaqBook_RAW_Data!#REF!),""))</f>
        <v/>
      </c>
      <c r="C417" s="145"/>
      <c r="D417" s="145"/>
      <c r="E417" s="145"/>
      <c r="F417" s="145"/>
      <c r="G417" s="145"/>
      <c r="H417" s="145"/>
      <c r="I417" s="145"/>
      <c r="J417" s="145"/>
      <c r="K417" s="145"/>
      <c r="L417" s="145"/>
      <c r="M417" s="145"/>
      <c r="N417" s="145"/>
      <c r="O417" s="145"/>
      <c r="P417" s="145"/>
    </row>
    <row r="418" spans="1:16" x14ac:dyDescent="0.2">
      <c r="A418" s="58" t="str">
        <v/>
      </c>
      <c r="B418" s="123" t="str">
        <f>IFERROR(TIMEVALUE(DaqBook_RAW_Data!AG374),IFERROR(TIMEVALUE(DaqBook_RAW_Data!#REF!),""))</f>
        <v/>
      </c>
      <c r="C418" s="145"/>
      <c r="D418" s="145"/>
      <c r="E418" s="145"/>
      <c r="F418" s="145"/>
      <c r="G418" s="145"/>
      <c r="H418" s="145"/>
      <c r="I418" s="145"/>
      <c r="J418" s="145"/>
      <c r="K418" s="145"/>
      <c r="L418" s="145"/>
      <c r="M418" s="145"/>
      <c r="N418" s="145"/>
      <c r="O418" s="145"/>
      <c r="P418" s="145"/>
    </row>
    <row r="419" spans="1:16" x14ac:dyDescent="0.2">
      <c r="A419" s="58" t="str">
        <v/>
      </c>
      <c r="B419" s="123" t="str">
        <f>IFERROR(TIMEVALUE(DaqBook_RAW_Data!AG375),IFERROR(TIMEVALUE(DaqBook_RAW_Data!#REF!),""))</f>
        <v/>
      </c>
      <c r="C419" s="145"/>
      <c r="D419" s="145"/>
      <c r="E419" s="145"/>
      <c r="F419" s="145"/>
      <c r="G419" s="145"/>
      <c r="H419" s="145"/>
      <c r="I419" s="145"/>
      <c r="J419" s="145"/>
      <c r="K419" s="145"/>
      <c r="L419" s="145"/>
      <c r="M419" s="145"/>
      <c r="N419" s="145"/>
      <c r="O419" s="145"/>
      <c r="P419" s="145"/>
    </row>
    <row r="420" spans="1:16" x14ac:dyDescent="0.2">
      <c r="A420" s="58" t="str">
        <v/>
      </c>
      <c r="B420" s="123" t="str">
        <f>IFERROR(TIMEVALUE(DaqBook_RAW_Data!AG376),IFERROR(TIMEVALUE(DaqBook_RAW_Data!#REF!),""))</f>
        <v/>
      </c>
      <c r="C420" s="145"/>
      <c r="D420" s="145"/>
      <c r="E420" s="145"/>
      <c r="F420" s="145"/>
      <c r="G420" s="145"/>
      <c r="H420" s="145"/>
      <c r="I420" s="145"/>
      <c r="J420" s="145"/>
      <c r="K420" s="145"/>
      <c r="L420" s="145"/>
      <c r="M420" s="145"/>
      <c r="N420" s="145"/>
      <c r="O420" s="145"/>
      <c r="P420" s="145"/>
    </row>
    <row r="421" spans="1:16" x14ac:dyDescent="0.2">
      <c r="A421" s="58" t="str">
        <v/>
      </c>
      <c r="B421" s="123" t="str">
        <f>IFERROR(TIMEVALUE(DaqBook_RAW_Data!AG377),IFERROR(TIMEVALUE(DaqBook_RAW_Data!#REF!),""))</f>
        <v/>
      </c>
      <c r="C421" s="145"/>
      <c r="D421" s="145"/>
      <c r="E421" s="145"/>
      <c r="F421" s="145"/>
      <c r="G421" s="145"/>
      <c r="H421" s="145"/>
      <c r="I421" s="145"/>
      <c r="J421" s="145"/>
      <c r="K421" s="145"/>
      <c r="L421" s="145"/>
      <c r="M421" s="145"/>
      <c r="N421" s="145"/>
      <c r="O421" s="145"/>
      <c r="P421" s="145"/>
    </row>
    <row r="422" spans="1:16" x14ac:dyDescent="0.2">
      <c r="A422" s="58" t="str">
        <v/>
      </c>
      <c r="B422" s="123" t="str">
        <f>IFERROR(TIMEVALUE(DaqBook_RAW_Data!AG378),IFERROR(TIMEVALUE(DaqBook_RAW_Data!#REF!),""))</f>
        <v/>
      </c>
      <c r="C422" s="145"/>
      <c r="D422" s="145"/>
      <c r="E422" s="145"/>
      <c r="F422" s="145"/>
      <c r="G422" s="145"/>
      <c r="H422" s="145"/>
      <c r="I422" s="145"/>
      <c r="J422" s="145"/>
      <c r="K422" s="145"/>
      <c r="L422" s="145"/>
      <c r="M422" s="145"/>
      <c r="N422" s="145"/>
      <c r="O422" s="145"/>
      <c r="P422" s="145"/>
    </row>
    <row r="423" spans="1:16" x14ac:dyDescent="0.2">
      <c r="A423" s="58" t="str">
        <v/>
      </c>
      <c r="B423" s="123" t="str">
        <f>IFERROR(TIMEVALUE(DaqBook_RAW_Data!AG379),IFERROR(TIMEVALUE(DaqBook_RAW_Data!#REF!),""))</f>
        <v/>
      </c>
      <c r="C423" s="145"/>
      <c r="D423" s="145"/>
      <c r="E423" s="145"/>
      <c r="F423" s="145"/>
      <c r="G423" s="145"/>
      <c r="H423" s="145"/>
      <c r="I423" s="145"/>
      <c r="J423" s="145"/>
      <c r="K423" s="145"/>
      <c r="L423" s="145"/>
      <c r="M423" s="145"/>
      <c r="N423" s="145"/>
      <c r="O423" s="145"/>
      <c r="P423" s="145"/>
    </row>
    <row r="424" spans="1:16" x14ac:dyDescent="0.2">
      <c r="A424" s="58" t="str">
        <v/>
      </c>
      <c r="B424" s="123" t="str">
        <f>IFERROR(TIMEVALUE(DaqBook_RAW_Data!AG380),IFERROR(TIMEVALUE(DaqBook_RAW_Data!#REF!),""))</f>
        <v/>
      </c>
      <c r="C424" s="145"/>
      <c r="D424" s="145"/>
      <c r="E424" s="145"/>
      <c r="F424" s="145"/>
      <c r="G424" s="145"/>
      <c r="H424" s="145"/>
      <c r="I424" s="145"/>
      <c r="J424" s="145"/>
      <c r="K424" s="145"/>
      <c r="L424" s="145"/>
      <c r="M424" s="145"/>
      <c r="N424" s="145"/>
      <c r="O424" s="145"/>
      <c r="P424" s="145"/>
    </row>
    <row r="425" spans="1:16" x14ac:dyDescent="0.2">
      <c r="A425" s="58" t="str">
        <v/>
      </c>
      <c r="B425" s="123" t="str">
        <f>IFERROR(TIMEVALUE(DaqBook_RAW_Data!AG381),IFERROR(TIMEVALUE(DaqBook_RAW_Data!#REF!),""))</f>
        <v/>
      </c>
      <c r="C425" s="145"/>
      <c r="D425" s="145"/>
      <c r="E425" s="145"/>
      <c r="F425" s="145"/>
      <c r="G425" s="145"/>
      <c r="H425" s="145"/>
      <c r="I425" s="145"/>
      <c r="J425" s="145"/>
      <c r="K425" s="145"/>
      <c r="L425" s="145"/>
      <c r="M425" s="145"/>
      <c r="N425" s="145"/>
      <c r="O425" s="145"/>
      <c r="P425" s="145"/>
    </row>
    <row r="426" spans="1:16" x14ac:dyDescent="0.2">
      <c r="A426" s="58" t="str">
        <v/>
      </c>
      <c r="B426" s="123" t="str">
        <f>IFERROR(TIMEVALUE(DaqBook_RAW_Data!AG382),IFERROR(TIMEVALUE(DaqBook_RAW_Data!#REF!),""))</f>
        <v/>
      </c>
      <c r="C426" s="145"/>
      <c r="D426" s="145"/>
      <c r="E426" s="145"/>
      <c r="F426" s="145"/>
      <c r="G426" s="145"/>
      <c r="H426" s="145"/>
      <c r="I426" s="145"/>
      <c r="J426" s="145"/>
      <c r="K426" s="145"/>
      <c r="L426" s="145"/>
      <c r="M426" s="145"/>
      <c r="N426" s="145"/>
      <c r="O426" s="145"/>
      <c r="P426" s="145"/>
    </row>
    <row r="427" spans="1:16" x14ac:dyDescent="0.2">
      <c r="A427" s="58" t="str">
        <v/>
      </c>
      <c r="B427" s="123" t="str">
        <f>IFERROR(TIMEVALUE(DaqBook_RAW_Data!AG383),IFERROR(TIMEVALUE(DaqBook_RAW_Data!#REF!),""))</f>
        <v/>
      </c>
      <c r="C427" s="145"/>
      <c r="D427" s="145"/>
      <c r="E427" s="145"/>
      <c r="F427" s="145"/>
      <c r="G427" s="145"/>
      <c r="H427" s="145"/>
      <c r="I427" s="145"/>
      <c r="J427" s="145"/>
      <c r="K427" s="145"/>
      <c r="L427" s="145"/>
      <c r="M427" s="145"/>
      <c r="N427" s="145"/>
      <c r="O427" s="145"/>
      <c r="P427" s="145"/>
    </row>
    <row r="428" spans="1:16" x14ac:dyDescent="0.2">
      <c r="A428" s="58" t="str">
        <v/>
      </c>
      <c r="B428" s="123" t="str">
        <f>IFERROR(TIMEVALUE(DaqBook_RAW_Data!AG384),IFERROR(TIMEVALUE(DaqBook_RAW_Data!#REF!),""))</f>
        <v/>
      </c>
      <c r="C428" s="145"/>
      <c r="D428" s="145"/>
      <c r="E428" s="145"/>
      <c r="F428" s="145"/>
      <c r="G428" s="145"/>
      <c r="H428" s="145"/>
      <c r="I428" s="145"/>
      <c r="J428" s="145"/>
      <c r="K428" s="145"/>
      <c r="L428" s="145"/>
      <c r="M428" s="145"/>
      <c r="N428" s="145"/>
      <c r="O428" s="145"/>
      <c r="P428" s="145"/>
    </row>
    <row r="429" spans="1:16" x14ac:dyDescent="0.2">
      <c r="A429" s="58" t="str">
        <v/>
      </c>
      <c r="B429" s="123" t="str">
        <f>IFERROR(TIMEVALUE(DaqBook_RAW_Data!AG385),IFERROR(TIMEVALUE(DaqBook_RAW_Data!#REF!),""))</f>
        <v/>
      </c>
      <c r="C429" s="145"/>
      <c r="D429" s="145"/>
      <c r="E429" s="145"/>
      <c r="F429" s="145"/>
      <c r="G429" s="145"/>
      <c r="H429" s="145"/>
      <c r="I429" s="145"/>
      <c r="J429" s="145"/>
      <c r="K429" s="145"/>
      <c r="L429" s="145"/>
      <c r="M429" s="145"/>
      <c r="N429" s="145"/>
      <c r="O429" s="145"/>
      <c r="P429" s="145"/>
    </row>
    <row r="430" spans="1:16" x14ac:dyDescent="0.2">
      <c r="A430" s="58" t="str">
        <v/>
      </c>
      <c r="B430" s="123" t="str">
        <f>IFERROR(TIMEVALUE(DaqBook_RAW_Data!AG386),IFERROR(TIMEVALUE(DaqBook_RAW_Data!#REF!),""))</f>
        <v/>
      </c>
      <c r="C430" s="145"/>
      <c r="D430" s="145"/>
      <c r="E430" s="145"/>
      <c r="F430" s="145"/>
      <c r="G430" s="145"/>
      <c r="H430" s="145"/>
      <c r="I430" s="145"/>
      <c r="J430" s="145"/>
      <c r="K430" s="145"/>
      <c r="L430" s="145"/>
      <c r="M430" s="145"/>
      <c r="N430" s="145"/>
      <c r="O430" s="145"/>
      <c r="P430" s="145"/>
    </row>
    <row r="431" spans="1:16" x14ac:dyDescent="0.2">
      <c r="A431" s="58" t="str">
        <v/>
      </c>
      <c r="B431" s="123" t="str">
        <f>IFERROR(TIMEVALUE(DaqBook_RAW_Data!AG387),IFERROR(TIMEVALUE(DaqBook_RAW_Data!#REF!),""))</f>
        <v/>
      </c>
      <c r="C431" s="145"/>
      <c r="D431" s="145"/>
      <c r="E431" s="145"/>
      <c r="F431" s="145"/>
      <c r="G431" s="145"/>
      <c r="H431" s="145"/>
      <c r="I431" s="145"/>
      <c r="J431" s="145"/>
      <c r="K431" s="145"/>
      <c r="L431" s="145"/>
      <c r="M431" s="145"/>
      <c r="N431" s="145"/>
      <c r="O431" s="145"/>
      <c r="P431" s="145"/>
    </row>
    <row r="432" spans="1:16" x14ac:dyDescent="0.2">
      <c r="A432" s="58" t="str">
        <v/>
      </c>
      <c r="B432" s="123" t="str">
        <f>IFERROR(TIMEVALUE(DaqBook_RAW_Data!AG388),IFERROR(TIMEVALUE(DaqBook_RAW_Data!#REF!),""))</f>
        <v/>
      </c>
      <c r="C432" s="145"/>
      <c r="D432" s="145"/>
      <c r="E432" s="145"/>
      <c r="F432" s="145"/>
      <c r="G432" s="145"/>
      <c r="H432" s="145"/>
      <c r="I432" s="145"/>
      <c r="J432" s="145"/>
      <c r="K432" s="145"/>
      <c r="L432" s="145"/>
      <c r="M432" s="145"/>
      <c r="N432" s="145"/>
      <c r="O432" s="145"/>
      <c r="P432" s="145"/>
    </row>
    <row r="433" spans="1:16" x14ac:dyDescent="0.2">
      <c r="A433" s="58" t="str">
        <v/>
      </c>
      <c r="B433" s="123" t="str">
        <f>IFERROR(TIMEVALUE(DaqBook_RAW_Data!AG389),IFERROR(TIMEVALUE(DaqBook_RAW_Data!#REF!),""))</f>
        <v/>
      </c>
      <c r="C433" s="145"/>
      <c r="D433" s="145"/>
      <c r="E433" s="145"/>
      <c r="F433" s="145"/>
      <c r="G433" s="145"/>
      <c r="H433" s="145"/>
      <c r="I433" s="145"/>
      <c r="J433" s="145"/>
      <c r="K433" s="145"/>
      <c r="L433" s="145"/>
      <c r="M433" s="145"/>
      <c r="N433" s="145"/>
      <c r="O433" s="145"/>
      <c r="P433" s="145"/>
    </row>
    <row r="434" spans="1:16" x14ac:dyDescent="0.2">
      <c r="A434" s="58" t="str">
        <v/>
      </c>
      <c r="B434" s="123" t="str">
        <f>IFERROR(TIMEVALUE(DaqBook_RAW_Data!AG390),IFERROR(TIMEVALUE(DaqBook_RAW_Data!#REF!),""))</f>
        <v/>
      </c>
      <c r="C434" s="145"/>
      <c r="D434" s="145"/>
      <c r="E434" s="145"/>
      <c r="F434" s="145"/>
      <c r="G434" s="145"/>
      <c r="H434" s="145"/>
      <c r="I434" s="145"/>
      <c r="J434" s="145"/>
      <c r="K434" s="145"/>
      <c r="L434" s="145"/>
      <c r="M434" s="145"/>
      <c r="N434" s="145"/>
      <c r="O434" s="145"/>
      <c r="P434" s="145"/>
    </row>
    <row r="435" spans="1:16" x14ac:dyDescent="0.2">
      <c r="A435" s="58" t="str">
        <v/>
      </c>
      <c r="B435" s="123" t="str">
        <f>IFERROR(TIMEVALUE(DaqBook_RAW_Data!AG391),IFERROR(TIMEVALUE(DaqBook_RAW_Data!#REF!),""))</f>
        <v/>
      </c>
      <c r="C435" s="145"/>
      <c r="D435" s="145"/>
      <c r="E435" s="145"/>
      <c r="F435" s="145"/>
      <c r="G435" s="145"/>
      <c r="H435" s="145"/>
      <c r="I435" s="145"/>
      <c r="J435" s="145"/>
      <c r="K435" s="145"/>
      <c r="L435" s="145"/>
      <c r="M435" s="145"/>
      <c r="N435" s="145"/>
      <c r="O435" s="145"/>
      <c r="P435" s="145"/>
    </row>
    <row r="436" spans="1:16" x14ac:dyDescent="0.2">
      <c r="A436" s="58" t="str">
        <v/>
      </c>
      <c r="B436" s="123" t="str">
        <f>IFERROR(TIMEVALUE(DaqBook_RAW_Data!AG392),IFERROR(TIMEVALUE(DaqBook_RAW_Data!#REF!),""))</f>
        <v/>
      </c>
      <c r="C436" s="145"/>
      <c r="D436" s="145"/>
      <c r="E436" s="145"/>
      <c r="F436" s="145"/>
      <c r="G436" s="145"/>
      <c r="H436" s="145"/>
      <c r="I436" s="145"/>
      <c r="J436" s="145"/>
      <c r="K436" s="145"/>
      <c r="L436" s="145"/>
      <c r="M436" s="145"/>
      <c r="N436" s="145"/>
      <c r="O436" s="145"/>
      <c r="P436" s="145"/>
    </row>
    <row r="437" spans="1:16" x14ac:dyDescent="0.2">
      <c r="A437" s="58" t="str">
        <v/>
      </c>
      <c r="B437" s="123" t="str">
        <f>IFERROR(TIMEVALUE(DaqBook_RAW_Data!AG393),IFERROR(TIMEVALUE(DaqBook_RAW_Data!#REF!),""))</f>
        <v/>
      </c>
      <c r="C437" s="145"/>
      <c r="D437" s="145"/>
      <c r="E437" s="145"/>
      <c r="F437" s="145"/>
      <c r="G437" s="145"/>
      <c r="H437" s="145"/>
      <c r="I437" s="145"/>
      <c r="J437" s="145"/>
      <c r="K437" s="145"/>
      <c r="L437" s="145"/>
      <c r="M437" s="145"/>
      <c r="N437" s="145"/>
      <c r="O437" s="145"/>
      <c r="P437" s="145"/>
    </row>
    <row r="438" spans="1:16" x14ac:dyDescent="0.2">
      <c r="A438" s="58" t="str">
        <v/>
      </c>
      <c r="B438" s="123" t="str">
        <f>IFERROR(TIMEVALUE(DaqBook_RAW_Data!AG394),IFERROR(TIMEVALUE(DaqBook_RAW_Data!#REF!),""))</f>
        <v/>
      </c>
      <c r="C438" s="145"/>
      <c r="D438" s="145"/>
      <c r="E438" s="145"/>
      <c r="F438" s="145"/>
      <c r="G438" s="145"/>
      <c r="H438" s="145"/>
      <c r="I438" s="145"/>
      <c r="J438" s="145"/>
      <c r="K438" s="145"/>
      <c r="L438" s="145"/>
      <c r="M438" s="145"/>
      <c r="N438" s="145"/>
      <c r="O438" s="145"/>
      <c r="P438" s="145"/>
    </row>
    <row r="439" spans="1:16" x14ac:dyDescent="0.2">
      <c r="A439" s="58" t="str">
        <v/>
      </c>
      <c r="B439" s="123" t="str">
        <f>IFERROR(TIMEVALUE(DaqBook_RAW_Data!AG395),IFERROR(TIMEVALUE(DaqBook_RAW_Data!#REF!),""))</f>
        <v/>
      </c>
      <c r="C439" s="145"/>
      <c r="D439" s="145"/>
      <c r="E439" s="145"/>
      <c r="F439" s="145"/>
      <c r="G439" s="145"/>
      <c r="H439" s="145"/>
      <c r="I439" s="145"/>
      <c r="J439" s="145"/>
      <c r="K439" s="145"/>
      <c r="L439" s="145"/>
      <c r="M439" s="145"/>
      <c r="N439" s="145"/>
      <c r="O439" s="145"/>
      <c r="P439" s="145"/>
    </row>
    <row r="440" spans="1:16" x14ac:dyDescent="0.2">
      <c r="A440" s="58" t="str">
        <v/>
      </c>
      <c r="B440" s="123" t="str">
        <f>IFERROR(TIMEVALUE(DaqBook_RAW_Data!AG396),IFERROR(TIMEVALUE(DaqBook_RAW_Data!#REF!),""))</f>
        <v/>
      </c>
      <c r="C440" s="145"/>
      <c r="D440" s="145"/>
      <c r="E440" s="145"/>
      <c r="F440" s="145"/>
      <c r="G440" s="145"/>
      <c r="H440" s="145"/>
      <c r="I440" s="145"/>
      <c r="J440" s="145"/>
      <c r="K440" s="145"/>
      <c r="L440" s="145"/>
      <c r="M440" s="145"/>
      <c r="N440" s="145"/>
      <c r="O440" s="145"/>
      <c r="P440" s="145"/>
    </row>
    <row r="441" spans="1:16" x14ac:dyDescent="0.2">
      <c r="A441" s="58" t="str">
        <v/>
      </c>
      <c r="B441" s="123" t="str">
        <f>IFERROR(TIMEVALUE(DaqBook_RAW_Data!AG397),IFERROR(TIMEVALUE(DaqBook_RAW_Data!#REF!),""))</f>
        <v/>
      </c>
      <c r="C441" s="145"/>
      <c r="D441" s="145"/>
      <c r="E441" s="145"/>
      <c r="F441" s="145"/>
      <c r="G441" s="145"/>
      <c r="H441" s="145"/>
      <c r="I441" s="145"/>
      <c r="J441" s="145"/>
      <c r="K441" s="145"/>
      <c r="L441" s="145"/>
      <c r="M441" s="145"/>
      <c r="N441" s="145"/>
      <c r="O441" s="145"/>
      <c r="P441" s="145"/>
    </row>
    <row r="442" spans="1:16" x14ac:dyDescent="0.2">
      <c r="A442" s="58" t="str">
        <v/>
      </c>
      <c r="B442" s="123" t="str">
        <f>IFERROR(TIMEVALUE(DaqBook_RAW_Data!AG398),IFERROR(TIMEVALUE(DaqBook_RAW_Data!#REF!),""))</f>
        <v/>
      </c>
      <c r="C442" s="145"/>
      <c r="D442" s="145"/>
      <c r="E442" s="145"/>
      <c r="F442" s="145"/>
      <c r="G442" s="145"/>
      <c r="H442" s="145"/>
      <c r="I442" s="145"/>
      <c r="J442" s="145"/>
      <c r="K442" s="145"/>
      <c r="L442" s="145"/>
      <c r="M442" s="145"/>
      <c r="N442" s="145"/>
      <c r="O442" s="145"/>
      <c r="P442" s="145"/>
    </row>
    <row r="443" spans="1:16" x14ac:dyDescent="0.2">
      <c r="A443" s="58" t="str">
        <v/>
      </c>
      <c r="B443" s="123" t="str">
        <f>IFERROR(TIMEVALUE(DaqBook_RAW_Data!AG399),IFERROR(TIMEVALUE(DaqBook_RAW_Data!#REF!),""))</f>
        <v/>
      </c>
      <c r="C443" s="145"/>
      <c r="D443" s="145"/>
      <c r="E443" s="145"/>
      <c r="F443" s="145"/>
      <c r="G443" s="145"/>
      <c r="H443" s="145"/>
      <c r="I443" s="145"/>
      <c r="J443" s="145"/>
      <c r="K443" s="145"/>
      <c r="L443" s="145"/>
      <c r="M443" s="145"/>
      <c r="N443" s="145"/>
      <c r="O443" s="145"/>
      <c r="P443" s="145"/>
    </row>
    <row r="444" spans="1:16" x14ac:dyDescent="0.2">
      <c r="A444" s="58" t="str">
        <v/>
      </c>
      <c r="B444" s="123" t="str">
        <f>IFERROR(TIMEVALUE(DaqBook_RAW_Data!AG400),IFERROR(TIMEVALUE(DaqBook_RAW_Data!#REF!),""))</f>
        <v/>
      </c>
      <c r="C444" s="145"/>
      <c r="D444" s="145"/>
      <c r="E444" s="145"/>
      <c r="F444" s="145"/>
      <c r="G444" s="145"/>
      <c r="H444" s="145"/>
      <c r="I444" s="145"/>
      <c r="J444" s="145"/>
      <c r="K444" s="145"/>
      <c r="L444" s="145"/>
      <c r="M444" s="145"/>
      <c r="N444" s="145"/>
      <c r="O444" s="145"/>
      <c r="P444" s="145"/>
    </row>
    <row r="445" spans="1:16" x14ac:dyDescent="0.2">
      <c r="A445" s="58" t="str">
        <v/>
      </c>
      <c r="B445" s="123" t="str">
        <f>IFERROR(TIMEVALUE(DaqBook_RAW_Data!AG401),IFERROR(TIMEVALUE(DaqBook_RAW_Data!#REF!),""))</f>
        <v/>
      </c>
      <c r="C445" s="145"/>
      <c r="D445" s="145"/>
      <c r="E445" s="145"/>
      <c r="F445" s="145"/>
      <c r="G445" s="145"/>
      <c r="H445" s="145"/>
      <c r="I445" s="145"/>
      <c r="J445" s="145"/>
      <c r="K445" s="145"/>
      <c r="L445" s="145"/>
      <c r="M445" s="145"/>
      <c r="N445" s="145"/>
      <c r="O445" s="145"/>
      <c r="P445" s="145"/>
    </row>
    <row r="446" spans="1:16" x14ac:dyDescent="0.2">
      <c r="A446" s="58" t="str">
        <v/>
      </c>
      <c r="B446" s="123" t="str">
        <f>IFERROR(TIMEVALUE(DaqBook_RAW_Data!AG402),IFERROR(TIMEVALUE(DaqBook_RAW_Data!#REF!),""))</f>
        <v/>
      </c>
      <c r="C446" s="145"/>
      <c r="D446" s="145"/>
      <c r="E446" s="145"/>
      <c r="F446" s="145"/>
      <c r="G446" s="145"/>
      <c r="H446" s="145"/>
      <c r="I446" s="145"/>
      <c r="J446" s="145"/>
      <c r="K446" s="145"/>
      <c r="L446" s="145"/>
      <c r="M446" s="145"/>
      <c r="N446" s="145"/>
      <c r="O446" s="145"/>
      <c r="P446" s="145"/>
    </row>
    <row r="447" spans="1:16" x14ac:dyDescent="0.2">
      <c r="A447" s="58" t="str">
        <v/>
      </c>
      <c r="B447" s="123" t="str">
        <f>IFERROR(TIMEVALUE(DaqBook_RAW_Data!AG403),IFERROR(TIMEVALUE(DaqBook_RAW_Data!#REF!),""))</f>
        <v/>
      </c>
      <c r="C447" s="145"/>
      <c r="D447" s="145"/>
      <c r="E447" s="145"/>
      <c r="F447" s="145"/>
      <c r="G447" s="145"/>
      <c r="H447" s="145"/>
      <c r="I447" s="145"/>
      <c r="J447" s="145"/>
      <c r="K447" s="145"/>
      <c r="L447" s="145"/>
      <c r="M447" s="145"/>
      <c r="N447" s="145"/>
      <c r="O447" s="145"/>
      <c r="P447" s="145"/>
    </row>
    <row r="448" spans="1:16" x14ac:dyDescent="0.2">
      <c r="A448" s="58" t="str">
        <v/>
      </c>
      <c r="B448" s="123" t="str">
        <f>IFERROR(TIMEVALUE(DaqBook_RAW_Data!AG404),IFERROR(TIMEVALUE(DaqBook_RAW_Data!#REF!),""))</f>
        <v/>
      </c>
      <c r="C448" s="145"/>
      <c r="D448" s="145"/>
      <c r="E448" s="145"/>
      <c r="F448" s="145"/>
      <c r="G448" s="145"/>
      <c r="H448" s="145"/>
      <c r="I448" s="145"/>
      <c r="J448" s="145"/>
      <c r="K448" s="145"/>
      <c r="L448" s="145"/>
      <c r="M448" s="145"/>
      <c r="N448" s="145"/>
      <c r="O448" s="145"/>
      <c r="P448" s="145"/>
    </row>
    <row r="449" spans="1:16" x14ac:dyDescent="0.2">
      <c r="A449" s="58" t="str">
        <v/>
      </c>
      <c r="B449" s="123" t="str">
        <f>IFERROR(TIMEVALUE(DaqBook_RAW_Data!AG405),IFERROR(TIMEVALUE(DaqBook_RAW_Data!#REF!),""))</f>
        <v/>
      </c>
      <c r="C449" s="145"/>
      <c r="D449" s="145"/>
      <c r="E449" s="145"/>
      <c r="F449" s="145"/>
      <c r="G449" s="145"/>
      <c r="H449" s="145"/>
      <c r="I449" s="145"/>
      <c r="J449" s="145"/>
      <c r="K449" s="145"/>
      <c r="L449" s="145"/>
      <c r="M449" s="145"/>
      <c r="N449" s="145"/>
      <c r="O449" s="145"/>
      <c r="P449" s="145"/>
    </row>
    <row r="450" spans="1:16" x14ac:dyDescent="0.2">
      <c r="A450" s="58" t="str">
        <v/>
      </c>
      <c r="B450" s="123" t="str">
        <f>IFERROR(TIMEVALUE(DaqBook_RAW_Data!AG406),IFERROR(TIMEVALUE(DaqBook_RAW_Data!#REF!),""))</f>
        <v/>
      </c>
      <c r="C450" s="145"/>
      <c r="D450" s="145"/>
      <c r="E450" s="145"/>
      <c r="F450" s="145"/>
      <c r="G450" s="145"/>
      <c r="H450" s="145"/>
      <c r="I450" s="145"/>
      <c r="J450" s="145"/>
      <c r="K450" s="145"/>
      <c r="L450" s="145"/>
      <c r="M450" s="145"/>
      <c r="N450" s="145"/>
      <c r="O450" s="145"/>
      <c r="P450" s="145"/>
    </row>
    <row r="451" spans="1:16" x14ac:dyDescent="0.2">
      <c r="A451" s="58" t="str">
        <v/>
      </c>
      <c r="B451" s="123" t="str">
        <f>IFERROR(TIMEVALUE(DaqBook_RAW_Data!AG407),IFERROR(TIMEVALUE(DaqBook_RAW_Data!#REF!),""))</f>
        <v/>
      </c>
      <c r="C451" s="145"/>
      <c r="D451" s="145"/>
      <c r="E451" s="145"/>
      <c r="F451" s="145"/>
      <c r="G451" s="145"/>
      <c r="H451" s="145"/>
      <c r="I451" s="145"/>
      <c r="J451" s="145"/>
      <c r="K451" s="145"/>
      <c r="L451" s="145"/>
      <c r="M451" s="145"/>
      <c r="N451" s="145"/>
      <c r="O451" s="145"/>
      <c r="P451" s="145"/>
    </row>
    <row r="452" spans="1:16" x14ac:dyDescent="0.2">
      <c r="A452" s="58" t="str">
        <v/>
      </c>
      <c r="B452" s="123" t="str">
        <f>IFERROR(TIMEVALUE(DaqBook_RAW_Data!AG408),IFERROR(TIMEVALUE(DaqBook_RAW_Data!#REF!),""))</f>
        <v/>
      </c>
      <c r="C452" s="145"/>
      <c r="D452" s="145"/>
      <c r="E452" s="145"/>
      <c r="F452" s="145"/>
      <c r="G452" s="145"/>
      <c r="H452" s="145"/>
      <c r="I452" s="145"/>
      <c r="J452" s="145"/>
      <c r="K452" s="145"/>
      <c r="L452" s="145"/>
      <c r="M452" s="145"/>
      <c r="N452" s="145"/>
      <c r="O452" s="145"/>
      <c r="P452" s="145"/>
    </row>
    <row r="453" spans="1:16" x14ac:dyDescent="0.2">
      <c r="A453" s="58" t="str">
        <v/>
      </c>
      <c r="B453" s="123" t="str">
        <f>IFERROR(TIMEVALUE(DaqBook_RAW_Data!AG409),IFERROR(TIMEVALUE(DaqBook_RAW_Data!#REF!),""))</f>
        <v/>
      </c>
      <c r="C453" s="145"/>
      <c r="D453" s="145"/>
      <c r="E453" s="145"/>
      <c r="F453" s="145"/>
      <c r="G453" s="145"/>
      <c r="H453" s="145"/>
      <c r="I453" s="145"/>
      <c r="J453" s="145"/>
      <c r="K453" s="145"/>
      <c r="L453" s="145"/>
      <c r="M453" s="145"/>
      <c r="N453" s="145"/>
      <c r="O453" s="145"/>
      <c r="P453" s="145"/>
    </row>
    <row r="454" spans="1:16" x14ac:dyDescent="0.2">
      <c r="A454" s="58" t="str">
        <v/>
      </c>
      <c r="B454" s="123" t="str">
        <f>IFERROR(TIMEVALUE(DaqBook_RAW_Data!AG410),IFERROR(TIMEVALUE(DaqBook_RAW_Data!#REF!),""))</f>
        <v/>
      </c>
      <c r="C454" s="145"/>
      <c r="D454" s="145"/>
      <c r="E454" s="145"/>
      <c r="F454" s="145"/>
      <c r="G454" s="145"/>
      <c r="H454" s="145"/>
      <c r="I454" s="145"/>
      <c r="J454" s="145"/>
      <c r="K454" s="145"/>
      <c r="L454" s="145"/>
      <c r="M454" s="145"/>
      <c r="N454" s="145"/>
      <c r="O454" s="145"/>
      <c r="P454" s="145"/>
    </row>
    <row r="455" spans="1:16" x14ac:dyDescent="0.2">
      <c r="A455" s="58" t="str">
        <v/>
      </c>
      <c r="B455" s="123" t="str">
        <f>IFERROR(TIMEVALUE(DaqBook_RAW_Data!AG411),IFERROR(TIMEVALUE(DaqBook_RAW_Data!#REF!),""))</f>
        <v/>
      </c>
      <c r="C455" s="145"/>
      <c r="D455" s="145"/>
      <c r="E455" s="145"/>
      <c r="F455" s="145"/>
      <c r="G455" s="145"/>
      <c r="H455" s="145"/>
      <c r="I455" s="145"/>
      <c r="J455" s="145"/>
      <c r="K455" s="145"/>
      <c r="L455" s="145"/>
      <c r="M455" s="145"/>
      <c r="N455" s="145"/>
      <c r="O455" s="145"/>
      <c r="P455" s="145"/>
    </row>
    <row r="456" spans="1:16" x14ac:dyDescent="0.2">
      <c r="A456" s="58" t="str">
        <v/>
      </c>
      <c r="B456" s="123" t="str">
        <f>IFERROR(TIMEVALUE(DaqBook_RAW_Data!AG412),IFERROR(TIMEVALUE(DaqBook_RAW_Data!#REF!),""))</f>
        <v/>
      </c>
      <c r="C456" s="145"/>
      <c r="D456" s="145"/>
      <c r="E456" s="145"/>
      <c r="F456" s="145"/>
      <c r="G456" s="145"/>
      <c r="H456" s="145"/>
      <c r="I456" s="145"/>
      <c r="J456" s="145"/>
      <c r="K456" s="145"/>
      <c r="L456" s="145"/>
      <c r="M456" s="145"/>
      <c r="N456" s="145"/>
      <c r="O456" s="145"/>
      <c r="P456" s="145"/>
    </row>
    <row r="457" spans="1:16" x14ac:dyDescent="0.2">
      <c r="A457" s="58" t="str">
        <v/>
      </c>
      <c r="B457" s="123" t="str">
        <f>IFERROR(TIMEVALUE(DaqBook_RAW_Data!AG413),IFERROR(TIMEVALUE(DaqBook_RAW_Data!#REF!),""))</f>
        <v/>
      </c>
      <c r="C457" s="145"/>
      <c r="D457" s="145"/>
      <c r="E457" s="145"/>
      <c r="F457" s="145"/>
      <c r="G457" s="145"/>
      <c r="H457" s="145"/>
      <c r="I457" s="145"/>
      <c r="J457" s="145"/>
      <c r="K457" s="145"/>
      <c r="L457" s="145"/>
      <c r="M457" s="145"/>
      <c r="N457" s="145"/>
      <c r="O457" s="145"/>
      <c r="P457" s="145"/>
    </row>
    <row r="458" spans="1:16" x14ac:dyDescent="0.2">
      <c r="A458" s="58" t="str">
        <v/>
      </c>
      <c r="B458" s="123" t="str">
        <f>IFERROR(TIMEVALUE(DaqBook_RAW_Data!AG414),IFERROR(TIMEVALUE(DaqBook_RAW_Data!#REF!),""))</f>
        <v/>
      </c>
      <c r="C458" s="145"/>
      <c r="D458" s="145"/>
      <c r="E458" s="145"/>
      <c r="F458" s="145"/>
      <c r="G458" s="145"/>
      <c r="H458" s="145"/>
      <c r="I458" s="145"/>
      <c r="J458" s="145"/>
      <c r="K458" s="145"/>
      <c r="L458" s="145"/>
      <c r="M458" s="145"/>
      <c r="N458" s="145"/>
      <c r="O458" s="145"/>
      <c r="P458" s="145"/>
    </row>
    <row r="459" spans="1:16" x14ac:dyDescent="0.2">
      <c r="A459" s="58" t="str">
        <v/>
      </c>
      <c r="B459" s="123" t="str">
        <f>IFERROR(TIMEVALUE(DaqBook_RAW_Data!AG415),IFERROR(TIMEVALUE(DaqBook_RAW_Data!#REF!),""))</f>
        <v/>
      </c>
      <c r="C459" s="145"/>
      <c r="D459" s="145"/>
      <c r="E459" s="145"/>
      <c r="F459" s="145"/>
      <c r="G459" s="145"/>
      <c r="H459" s="145"/>
      <c r="I459" s="145"/>
      <c r="J459" s="145"/>
      <c r="K459" s="145"/>
      <c r="L459" s="145"/>
      <c r="M459" s="145"/>
      <c r="N459" s="145"/>
      <c r="O459" s="145"/>
      <c r="P459" s="145"/>
    </row>
    <row r="460" spans="1:16" x14ac:dyDescent="0.2">
      <c r="A460" s="58" t="str">
        <v/>
      </c>
      <c r="B460" s="123" t="str">
        <f>IFERROR(TIMEVALUE(DaqBook_RAW_Data!AG416),IFERROR(TIMEVALUE(DaqBook_RAW_Data!#REF!),""))</f>
        <v/>
      </c>
      <c r="C460" s="145"/>
      <c r="D460" s="145"/>
      <c r="E460" s="145"/>
      <c r="F460" s="145"/>
      <c r="G460" s="145"/>
      <c r="H460" s="145"/>
      <c r="I460" s="145"/>
      <c r="J460" s="145"/>
      <c r="K460" s="145"/>
      <c r="L460" s="145"/>
      <c r="M460" s="145"/>
      <c r="N460" s="145"/>
      <c r="O460" s="145"/>
      <c r="P460" s="145"/>
    </row>
    <row r="461" spans="1:16" x14ac:dyDescent="0.2">
      <c r="A461" s="58" t="str">
        <v/>
      </c>
      <c r="B461" s="123" t="str">
        <f>IFERROR(TIMEVALUE(DaqBook_RAW_Data!AG417),IFERROR(TIMEVALUE(DaqBook_RAW_Data!#REF!),""))</f>
        <v/>
      </c>
      <c r="C461" s="145"/>
      <c r="D461" s="145"/>
      <c r="E461" s="145"/>
      <c r="F461" s="145"/>
      <c r="G461" s="145"/>
      <c r="H461" s="145"/>
      <c r="I461" s="145"/>
      <c r="J461" s="145"/>
      <c r="K461" s="145"/>
      <c r="L461" s="145"/>
      <c r="M461" s="145"/>
      <c r="N461" s="145"/>
      <c r="O461" s="145"/>
      <c r="P461" s="145"/>
    </row>
    <row r="462" spans="1:16" x14ac:dyDescent="0.2">
      <c r="A462" s="58" t="str">
        <v/>
      </c>
      <c r="B462" s="123" t="str">
        <f>IFERROR(TIMEVALUE(DaqBook_RAW_Data!AG418),IFERROR(TIMEVALUE(DaqBook_RAW_Data!#REF!),""))</f>
        <v/>
      </c>
      <c r="C462" s="145"/>
      <c r="D462" s="145"/>
      <c r="E462" s="145"/>
      <c r="F462" s="145"/>
      <c r="G462" s="145"/>
      <c r="H462" s="145"/>
      <c r="I462" s="145"/>
      <c r="J462" s="145"/>
      <c r="K462" s="145"/>
      <c r="L462" s="145"/>
      <c r="M462" s="145"/>
      <c r="N462" s="145"/>
      <c r="O462" s="145"/>
      <c r="P462" s="145"/>
    </row>
    <row r="463" spans="1:16" x14ac:dyDescent="0.2">
      <c r="A463" s="58" t="str">
        <v/>
      </c>
      <c r="B463" s="123" t="str">
        <f>IFERROR(TIMEVALUE(DaqBook_RAW_Data!AG419),IFERROR(TIMEVALUE(DaqBook_RAW_Data!#REF!),""))</f>
        <v/>
      </c>
      <c r="C463" s="145"/>
      <c r="D463" s="145"/>
      <c r="E463" s="145"/>
      <c r="F463" s="145"/>
      <c r="G463" s="145"/>
      <c r="H463" s="145"/>
      <c r="I463" s="145"/>
      <c r="J463" s="145"/>
      <c r="K463" s="145"/>
      <c r="L463" s="145"/>
      <c r="M463" s="145"/>
      <c r="N463" s="145"/>
      <c r="O463" s="145"/>
      <c r="P463" s="145"/>
    </row>
    <row r="464" spans="1:16" x14ac:dyDescent="0.2">
      <c r="A464" s="58" t="str">
        <v/>
      </c>
      <c r="B464" s="123" t="str">
        <f>IFERROR(TIMEVALUE(DaqBook_RAW_Data!AG420),IFERROR(TIMEVALUE(DaqBook_RAW_Data!#REF!),""))</f>
        <v/>
      </c>
      <c r="C464" s="145"/>
      <c r="D464" s="145"/>
      <c r="E464" s="145"/>
      <c r="F464" s="145"/>
      <c r="G464" s="145"/>
      <c r="H464" s="145"/>
      <c r="I464" s="145"/>
      <c r="J464" s="145"/>
      <c r="K464" s="145"/>
      <c r="L464" s="145"/>
      <c r="M464" s="145"/>
      <c r="N464" s="145"/>
      <c r="O464" s="145"/>
      <c r="P464" s="145"/>
    </row>
    <row r="465" spans="1:16" x14ac:dyDescent="0.2">
      <c r="A465" s="58" t="str">
        <v/>
      </c>
      <c r="B465" s="123" t="str">
        <f>IFERROR(TIMEVALUE(DaqBook_RAW_Data!AG421),IFERROR(TIMEVALUE(DaqBook_RAW_Data!#REF!),""))</f>
        <v/>
      </c>
      <c r="C465" s="145"/>
      <c r="D465" s="145"/>
      <c r="E465" s="145"/>
      <c r="F465" s="145"/>
      <c r="G465" s="145"/>
      <c r="H465" s="145"/>
      <c r="I465" s="145"/>
      <c r="J465" s="145"/>
      <c r="K465" s="145"/>
      <c r="L465" s="145"/>
      <c r="M465" s="145"/>
      <c r="N465" s="145"/>
      <c r="O465" s="145"/>
      <c r="P465" s="145"/>
    </row>
    <row r="466" spans="1:16" x14ac:dyDescent="0.2">
      <c r="A466" s="58" t="str">
        <v/>
      </c>
      <c r="B466" s="123" t="str">
        <f>IFERROR(TIMEVALUE(DaqBook_RAW_Data!AG422),IFERROR(TIMEVALUE(DaqBook_RAW_Data!#REF!),""))</f>
        <v/>
      </c>
      <c r="C466" s="145"/>
      <c r="D466" s="145"/>
      <c r="E466" s="145"/>
      <c r="F466" s="145"/>
      <c r="G466" s="145"/>
      <c r="H466" s="145"/>
      <c r="I466" s="145"/>
      <c r="J466" s="145"/>
      <c r="K466" s="145"/>
      <c r="L466" s="145"/>
      <c r="M466" s="145"/>
      <c r="N466" s="145"/>
      <c r="O466" s="145"/>
      <c r="P466" s="145"/>
    </row>
    <row r="467" spans="1:16" x14ac:dyDescent="0.2">
      <c r="A467" s="58" t="str">
        <v/>
      </c>
      <c r="B467" s="123" t="str">
        <f>IFERROR(TIMEVALUE(DaqBook_RAW_Data!AG423),IFERROR(TIMEVALUE(DaqBook_RAW_Data!#REF!),""))</f>
        <v/>
      </c>
      <c r="C467" s="145"/>
      <c r="D467" s="145"/>
      <c r="E467" s="145"/>
      <c r="F467" s="145"/>
      <c r="G467" s="145"/>
      <c r="H467" s="145"/>
      <c r="I467" s="145"/>
      <c r="J467" s="145"/>
      <c r="K467" s="145"/>
      <c r="L467" s="145"/>
      <c r="M467" s="145"/>
      <c r="N467" s="145"/>
      <c r="O467" s="145"/>
      <c r="P467" s="145"/>
    </row>
    <row r="468" spans="1:16" x14ac:dyDescent="0.2">
      <c r="A468" s="58" t="str">
        <v/>
      </c>
      <c r="B468" s="123" t="str">
        <f>IFERROR(TIMEVALUE(DaqBook_RAW_Data!AG424),IFERROR(TIMEVALUE(DaqBook_RAW_Data!#REF!),""))</f>
        <v/>
      </c>
      <c r="C468" s="145"/>
      <c r="D468" s="145"/>
      <c r="E468" s="145"/>
      <c r="F468" s="145"/>
      <c r="G468" s="145"/>
      <c r="H468" s="145"/>
      <c r="I468" s="145"/>
      <c r="J468" s="145"/>
      <c r="K468" s="145"/>
      <c r="L468" s="145"/>
      <c r="M468" s="145"/>
      <c r="N468" s="145"/>
      <c r="O468" s="145"/>
      <c r="P468" s="145"/>
    </row>
    <row r="469" spans="1:16" x14ac:dyDescent="0.2">
      <c r="A469" s="58" t="str">
        <v/>
      </c>
      <c r="B469" s="123" t="str">
        <f>IFERROR(TIMEVALUE(DaqBook_RAW_Data!AG425),IFERROR(TIMEVALUE(DaqBook_RAW_Data!#REF!),""))</f>
        <v/>
      </c>
      <c r="C469" s="145"/>
      <c r="D469" s="145"/>
      <c r="E469" s="145"/>
      <c r="F469" s="145"/>
      <c r="G469" s="145"/>
      <c r="H469" s="145"/>
      <c r="I469" s="145"/>
      <c r="J469" s="145"/>
      <c r="K469" s="145"/>
      <c r="L469" s="145"/>
      <c r="M469" s="145"/>
      <c r="N469" s="145"/>
      <c r="O469" s="145"/>
      <c r="P469" s="145"/>
    </row>
    <row r="470" spans="1:16" x14ac:dyDescent="0.2">
      <c r="A470" s="58" t="str">
        <v/>
      </c>
      <c r="B470" s="123" t="str">
        <f>IFERROR(TIMEVALUE(DaqBook_RAW_Data!AG426),IFERROR(TIMEVALUE(DaqBook_RAW_Data!#REF!),""))</f>
        <v/>
      </c>
      <c r="C470" s="145"/>
      <c r="D470" s="145"/>
      <c r="E470" s="145"/>
      <c r="F470" s="145"/>
      <c r="G470" s="145"/>
      <c r="H470" s="145"/>
      <c r="I470" s="145"/>
      <c r="J470" s="145"/>
      <c r="K470" s="145"/>
      <c r="L470" s="145"/>
      <c r="M470" s="145"/>
      <c r="N470" s="145"/>
      <c r="O470" s="145"/>
      <c r="P470" s="145"/>
    </row>
    <row r="471" spans="1:16" x14ac:dyDescent="0.2">
      <c r="A471" s="58" t="str">
        <v/>
      </c>
      <c r="B471" s="123" t="str">
        <f>IFERROR(TIMEVALUE(DaqBook_RAW_Data!AG427),IFERROR(TIMEVALUE(DaqBook_RAW_Data!#REF!),""))</f>
        <v/>
      </c>
      <c r="C471" s="145"/>
      <c r="D471" s="145"/>
      <c r="E471" s="145"/>
      <c r="F471" s="145"/>
      <c r="G471" s="145"/>
      <c r="H471" s="145"/>
      <c r="I471" s="145"/>
      <c r="J471" s="145"/>
      <c r="K471" s="145"/>
      <c r="L471" s="145"/>
      <c r="M471" s="145"/>
      <c r="N471" s="145"/>
      <c r="O471" s="145"/>
      <c r="P471" s="145"/>
    </row>
    <row r="472" spans="1:16" x14ac:dyDescent="0.2">
      <c r="A472" s="58" t="str">
        <v/>
      </c>
      <c r="B472" s="123" t="str">
        <f>IFERROR(TIMEVALUE(DaqBook_RAW_Data!AG428),IFERROR(TIMEVALUE(DaqBook_RAW_Data!#REF!),""))</f>
        <v/>
      </c>
      <c r="C472" s="145"/>
      <c r="D472" s="145"/>
      <c r="E472" s="145"/>
      <c r="F472" s="145"/>
      <c r="G472" s="145"/>
      <c r="H472" s="145"/>
      <c r="I472" s="145"/>
      <c r="J472" s="145"/>
      <c r="K472" s="145"/>
      <c r="L472" s="145"/>
      <c r="M472" s="145"/>
      <c r="N472" s="145"/>
      <c r="O472" s="145"/>
      <c r="P472" s="145"/>
    </row>
    <row r="473" spans="1:16" x14ac:dyDescent="0.2">
      <c r="A473" s="58" t="str">
        <v/>
      </c>
      <c r="B473" s="123" t="str">
        <f>IFERROR(TIMEVALUE(DaqBook_RAW_Data!AG429),IFERROR(TIMEVALUE(DaqBook_RAW_Data!#REF!),""))</f>
        <v/>
      </c>
      <c r="C473" s="145"/>
      <c r="D473" s="145"/>
      <c r="E473" s="145"/>
      <c r="F473" s="145"/>
      <c r="G473" s="145"/>
      <c r="H473" s="145"/>
      <c r="I473" s="145"/>
      <c r="J473" s="145"/>
      <c r="K473" s="145"/>
      <c r="L473" s="145"/>
      <c r="M473" s="145"/>
      <c r="N473" s="145"/>
      <c r="O473" s="145"/>
      <c r="P473" s="145"/>
    </row>
    <row r="474" spans="1:16" x14ac:dyDescent="0.2">
      <c r="A474" s="58" t="str">
        <v/>
      </c>
      <c r="B474" s="123" t="str">
        <f>IFERROR(TIMEVALUE(DaqBook_RAW_Data!AG430),IFERROR(TIMEVALUE(DaqBook_RAW_Data!#REF!),""))</f>
        <v/>
      </c>
      <c r="C474" s="145"/>
      <c r="D474" s="145"/>
      <c r="E474" s="145"/>
      <c r="F474" s="145"/>
      <c r="G474" s="145"/>
      <c r="H474" s="145"/>
      <c r="I474" s="145"/>
      <c r="J474" s="145"/>
      <c r="K474" s="145"/>
      <c r="L474" s="145"/>
      <c r="M474" s="145"/>
      <c r="N474" s="145"/>
      <c r="O474" s="145"/>
      <c r="P474" s="145"/>
    </row>
    <row r="475" spans="1:16" x14ac:dyDescent="0.2">
      <c r="A475" s="58" t="str">
        <v/>
      </c>
      <c r="B475" s="123" t="str">
        <f>IFERROR(TIMEVALUE(DaqBook_RAW_Data!AG431),IFERROR(TIMEVALUE(DaqBook_RAW_Data!#REF!),""))</f>
        <v/>
      </c>
      <c r="C475" s="145"/>
      <c r="D475" s="145"/>
      <c r="E475" s="145"/>
      <c r="F475" s="145"/>
      <c r="G475" s="145"/>
      <c r="H475" s="145"/>
      <c r="I475" s="145"/>
      <c r="J475" s="145"/>
      <c r="K475" s="145"/>
      <c r="L475" s="145"/>
      <c r="M475" s="145"/>
      <c r="N475" s="145"/>
      <c r="O475" s="145"/>
      <c r="P475" s="145"/>
    </row>
    <row r="476" spans="1:16" x14ac:dyDescent="0.2">
      <c r="A476" s="58" t="str">
        <v/>
      </c>
      <c r="B476" s="123" t="str">
        <f>IFERROR(TIMEVALUE(DaqBook_RAW_Data!AG432),IFERROR(TIMEVALUE(DaqBook_RAW_Data!#REF!),""))</f>
        <v/>
      </c>
      <c r="C476" s="145"/>
      <c r="D476" s="145"/>
      <c r="E476" s="145"/>
      <c r="F476" s="145"/>
      <c r="G476" s="145"/>
      <c r="H476" s="145"/>
      <c r="I476" s="145"/>
      <c r="J476" s="145"/>
      <c r="K476" s="145"/>
      <c r="L476" s="145"/>
      <c r="M476" s="145"/>
      <c r="N476" s="145"/>
      <c r="O476" s="145"/>
      <c r="P476" s="145"/>
    </row>
    <row r="477" spans="1:16" x14ac:dyDescent="0.2">
      <c r="A477" s="58" t="str">
        <v/>
      </c>
      <c r="B477" s="123" t="str">
        <f>IFERROR(TIMEVALUE(DaqBook_RAW_Data!AG433),IFERROR(TIMEVALUE(DaqBook_RAW_Data!#REF!),""))</f>
        <v/>
      </c>
      <c r="C477" s="145"/>
      <c r="D477" s="145"/>
      <c r="E477" s="145"/>
      <c r="F477" s="145"/>
      <c r="G477" s="145"/>
      <c r="H477" s="145"/>
      <c r="I477" s="145"/>
      <c r="J477" s="145"/>
      <c r="K477" s="145"/>
      <c r="L477" s="145"/>
      <c r="M477" s="145"/>
      <c r="N477" s="145"/>
      <c r="O477" s="145"/>
      <c r="P477" s="145"/>
    </row>
    <row r="478" spans="1:16" x14ac:dyDescent="0.2">
      <c r="A478" s="58" t="str">
        <v/>
      </c>
      <c r="B478" s="123" t="str">
        <f>IFERROR(TIMEVALUE(DaqBook_RAW_Data!AG434),IFERROR(TIMEVALUE(DaqBook_RAW_Data!#REF!),""))</f>
        <v/>
      </c>
      <c r="C478" s="145"/>
      <c r="D478" s="145"/>
      <c r="E478" s="145"/>
      <c r="F478" s="145"/>
      <c r="G478" s="145"/>
      <c r="H478" s="145"/>
      <c r="I478" s="145"/>
      <c r="J478" s="145"/>
      <c r="K478" s="145"/>
      <c r="L478" s="145"/>
      <c r="M478" s="145"/>
      <c r="N478" s="145"/>
      <c r="O478" s="145"/>
      <c r="P478" s="145"/>
    </row>
    <row r="479" spans="1:16" x14ac:dyDescent="0.2">
      <c r="A479" s="58" t="str">
        <v/>
      </c>
      <c r="B479" s="123" t="str">
        <f>IFERROR(TIMEVALUE(DaqBook_RAW_Data!AG435),IFERROR(TIMEVALUE(DaqBook_RAW_Data!#REF!),""))</f>
        <v/>
      </c>
      <c r="C479" s="145"/>
      <c r="D479" s="145"/>
      <c r="E479" s="145"/>
      <c r="F479" s="145"/>
      <c r="G479" s="145"/>
      <c r="H479" s="145"/>
      <c r="I479" s="145"/>
      <c r="J479" s="145"/>
      <c r="K479" s="145"/>
      <c r="L479" s="145"/>
      <c r="M479" s="145"/>
      <c r="N479" s="145"/>
      <c r="O479" s="145"/>
      <c r="P479" s="145"/>
    </row>
    <row r="480" spans="1:16" x14ac:dyDescent="0.2">
      <c r="A480" s="58" t="str">
        <v/>
      </c>
      <c r="B480" s="123" t="str">
        <f>IFERROR(TIMEVALUE(DaqBook_RAW_Data!AG436),IFERROR(TIMEVALUE(DaqBook_RAW_Data!#REF!),""))</f>
        <v/>
      </c>
      <c r="C480" s="145"/>
      <c r="D480" s="145"/>
      <c r="E480" s="145"/>
      <c r="F480" s="145"/>
      <c r="G480" s="145"/>
      <c r="H480" s="145"/>
      <c r="I480" s="145"/>
      <c r="J480" s="145"/>
      <c r="K480" s="145"/>
      <c r="L480" s="145"/>
      <c r="M480" s="145"/>
      <c r="N480" s="145"/>
      <c r="O480" s="145"/>
      <c r="P480" s="145"/>
    </row>
    <row r="481" spans="1:16" x14ac:dyDescent="0.2">
      <c r="A481" s="58" t="str">
        <v/>
      </c>
      <c r="B481" s="123" t="str">
        <f>IFERROR(TIMEVALUE(DaqBook_RAW_Data!AG437),IFERROR(TIMEVALUE(DaqBook_RAW_Data!#REF!),""))</f>
        <v/>
      </c>
      <c r="C481" s="145"/>
      <c r="D481" s="145"/>
      <c r="E481" s="145"/>
      <c r="F481" s="145"/>
      <c r="G481" s="145"/>
      <c r="H481" s="145"/>
      <c r="I481" s="145"/>
      <c r="J481" s="145"/>
      <c r="K481" s="145"/>
      <c r="L481" s="145"/>
      <c r="M481" s="145"/>
      <c r="N481" s="145"/>
      <c r="O481" s="145"/>
      <c r="P481" s="145"/>
    </row>
    <row r="482" spans="1:16" x14ac:dyDescent="0.2">
      <c r="A482" s="58" t="str">
        <v/>
      </c>
      <c r="B482" s="123" t="str">
        <f>IFERROR(TIMEVALUE(DaqBook_RAW_Data!AG438),IFERROR(TIMEVALUE(DaqBook_RAW_Data!#REF!),""))</f>
        <v/>
      </c>
      <c r="C482" s="145"/>
      <c r="D482" s="145"/>
      <c r="E482" s="145"/>
      <c r="F482" s="145"/>
      <c r="G482" s="145"/>
      <c r="H482" s="145"/>
      <c r="I482" s="145"/>
      <c r="J482" s="145"/>
      <c r="K482" s="145"/>
      <c r="L482" s="145"/>
      <c r="M482" s="145"/>
      <c r="N482" s="145"/>
      <c r="O482" s="145"/>
      <c r="P482" s="145"/>
    </row>
    <row r="483" spans="1:16" x14ac:dyDescent="0.2">
      <c r="A483" s="58" t="str">
        <v/>
      </c>
      <c r="B483" s="123" t="str">
        <f>IFERROR(TIMEVALUE(DaqBook_RAW_Data!AG439),IFERROR(TIMEVALUE(DaqBook_RAW_Data!#REF!),""))</f>
        <v/>
      </c>
      <c r="C483" s="145"/>
      <c r="D483" s="145"/>
      <c r="E483" s="145"/>
      <c r="F483" s="145"/>
      <c r="G483" s="145"/>
      <c r="H483" s="145"/>
      <c r="I483" s="145"/>
      <c r="J483" s="145"/>
      <c r="K483" s="145"/>
      <c r="L483" s="145"/>
      <c r="M483" s="145"/>
      <c r="N483" s="145"/>
      <c r="O483" s="145"/>
      <c r="P483" s="145"/>
    </row>
    <row r="484" spans="1:16" x14ac:dyDescent="0.2">
      <c r="A484" s="58" t="str">
        <v/>
      </c>
      <c r="B484" s="123" t="str">
        <f>IFERROR(TIMEVALUE(DaqBook_RAW_Data!AG440),IFERROR(TIMEVALUE(DaqBook_RAW_Data!#REF!),""))</f>
        <v/>
      </c>
      <c r="C484" s="145"/>
      <c r="D484" s="145"/>
      <c r="E484" s="145"/>
      <c r="F484" s="145"/>
      <c r="G484" s="145"/>
      <c r="H484" s="145"/>
      <c r="I484" s="145"/>
      <c r="J484" s="145"/>
      <c r="K484" s="145"/>
      <c r="L484" s="145"/>
      <c r="M484" s="145"/>
      <c r="N484" s="145"/>
      <c r="O484" s="145"/>
      <c r="P484" s="145"/>
    </row>
    <row r="485" spans="1:16" x14ac:dyDescent="0.2">
      <c r="A485" s="58" t="str">
        <v/>
      </c>
      <c r="B485" s="123" t="str">
        <f>IFERROR(TIMEVALUE(DaqBook_RAW_Data!AG441),IFERROR(TIMEVALUE(DaqBook_RAW_Data!#REF!),""))</f>
        <v/>
      </c>
      <c r="C485" s="145"/>
      <c r="D485" s="145"/>
      <c r="E485" s="145"/>
      <c r="F485" s="145"/>
      <c r="G485" s="145"/>
      <c r="H485" s="145"/>
      <c r="I485" s="145"/>
      <c r="J485" s="145"/>
      <c r="K485" s="145"/>
      <c r="L485" s="145"/>
      <c r="M485" s="145"/>
      <c r="N485" s="145"/>
      <c r="O485" s="145"/>
      <c r="P485" s="145"/>
    </row>
    <row r="486" spans="1:16" x14ac:dyDescent="0.2">
      <c r="A486" s="58" t="str">
        <v/>
      </c>
      <c r="B486" s="123" t="str">
        <f>IFERROR(TIMEVALUE(DaqBook_RAW_Data!AG442),IFERROR(TIMEVALUE(DaqBook_RAW_Data!#REF!),""))</f>
        <v/>
      </c>
      <c r="C486" s="145"/>
      <c r="D486" s="145"/>
      <c r="E486" s="145"/>
      <c r="F486" s="145"/>
      <c r="G486" s="145"/>
      <c r="H486" s="145"/>
      <c r="I486" s="145"/>
      <c r="J486" s="145"/>
      <c r="K486" s="145"/>
      <c r="L486" s="145"/>
      <c r="M486" s="145"/>
      <c r="N486" s="145"/>
      <c r="O486" s="145"/>
      <c r="P486" s="145"/>
    </row>
    <row r="487" spans="1:16" x14ac:dyDescent="0.2">
      <c r="A487" s="58" t="str">
        <v/>
      </c>
      <c r="B487" s="123" t="str">
        <f>IFERROR(TIMEVALUE(DaqBook_RAW_Data!AG443),IFERROR(TIMEVALUE(DaqBook_RAW_Data!#REF!),""))</f>
        <v/>
      </c>
      <c r="C487" s="145"/>
      <c r="D487" s="145"/>
      <c r="E487" s="145"/>
      <c r="F487" s="145"/>
      <c r="G487" s="145"/>
      <c r="H487" s="145"/>
      <c r="I487" s="145"/>
      <c r="J487" s="145"/>
      <c r="K487" s="145"/>
      <c r="L487" s="145"/>
      <c r="M487" s="145"/>
      <c r="N487" s="145"/>
      <c r="O487" s="145"/>
      <c r="P487" s="145"/>
    </row>
    <row r="488" spans="1:16" x14ac:dyDescent="0.2">
      <c r="A488" s="58" t="str">
        <v/>
      </c>
      <c r="B488" s="123" t="str">
        <f>IFERROR(TIMEVALUE(DaqBook_RAW_Data!AG444),IFERROR(TIMEVALUE(DaqBook_RAW_Data!#REF!),""))</f>
        <v/>
      </c>
      <c r="C488" s="145"/>
      <c r="D488" s="145"/>
      <c r="E488" s="145"/>
      <c r="F488" s="145"/>
      <c r="G488" s="145"/>
      <c r="H488" s="145"/>
      <c r="I488" s="145"/>
      <c r="J488" s="145"/>
      <c r="K488" s="145"/>
      <c r="L488" s="145"/>
      <c r="M488" s="145"/>
      <c r="N488" s="145"/>
      <c r="O488" s="145"/>
      <c r="P488" s="145"/>
    </row>
    <row r="489" spans="1:16" x14ac:dyDescent="0.2">
      <c r="A489" s="58" t="str">
        <v/>
      </c>
      <c r="B489" s="123" t="str">
        <f>IFERROR(TIMEVALUE(DaqBook_RAW_Data!AG445),IFERROR(TIMEVALUE(DaqBook_RAW_Data!#REF!),""))</f>
        <v/>
      </c>
      <c r="C489" s="145"/>
      <c r="D489" s="145"/>
      <c r="E489" s="145"/>
      <c r="F489" s="145"/>
      <c r="G489" s="145"/>
      <c r="H489" s="145"/>
      <c r="I489" s="145"/>
      <c r="J489" s="145"/>
      <c r="K489" s="145"/>
      <c r="L489" s="145"/>
      <c r="M489" s="145"/>
      <c r="N489" s="145"/>
      <c r="O489" s="145"/>
      <c r="P489" s="145"/>
    </row>
    <row r="490" spans="1:16" x14ac:dyDescent="0.2">
      <c r="A490" s="58" t="str">
        <v/>
      </c>
      <c r="B490" s="123" t="str">
        <f>IFERROR(TIMEVALUE(DaqBook_RAW_Data!AG446),IFERROR(TIMEVALUE(DaqBook_RAW_Data!#REF!),""))</f>
        <v/>
      </c>
      <c r="C490" s="145"/>
      <c r="D490" s="145"/>
      <c r="E490" s="145"/>
      <c r="F490" s="145"/>
      <c r="G490" s="145"/>
      <c r="H490" s="145"/>
      <c r="I490" s="145"/>
      <c r="J490" s="145"/>
      <c r="K490" s="145"/>
      <c r="L490" s="145"/>
      <c r="M490" s="145"/>
      <c r="N490" s="145"/>
      <c r="O490" s="145"/>
      <c r="P490" s="145"/>
    </row>
    <row r="491" spans="1:16" x14ac:dyDescent="0.2">
      <c r="A491" s="58" t="str">
        <v/>
      </c>
      <c r="B491" s="123" t="str">
        <f>IFERROR(TIMEVALUE(DaqBook_RAW_Data!AG447),IFERROR(TIMEVALUE(DaqBook_RAW_Data!#REF!),""))</f>
        <v/>
      </c>
      <c r="C491" s="145"/>
      <c r="D491" s="145"/>
      <c r="E491" s="145"/>
      <c r="F491" s="145"/>
      <c r="G491" s="145"/>
      <c r="H491" s="145"/>
      <c r="I491" s="145"/>
      <c r="J491" s="145"/>
      <c r="K491" s="145"/>
      <c r="L491" s="145"/>
      <c r="M491" s="145"/>
      <c r="N491" s="145"/>
      <c r="O491" s="145"/>
      <c r="P491" s="145"/>
    </row>
    <row r="492" spans="1:16" x14ac:dyDescent="0.2">
      <c r="A492" s="58" t="str">
        <v/>
      </c>
      <c r="B492" s="123" t="str">
        <f>IFERROR(TIMEVALUE(DaqBook_RAW_Data!AG448),IFERROR(TIMEVALUE(DaqBook_RAW_Data!#REF!),""))</f>
        <v/>
      </c>
      <c r="C492" s="145"/>
      <c r="D492" s="145"/>
      <c r="E492" s="145"/>
      <c r="F492" s="145"/>
      <c r="G492" s="145"/>
      <c r="H492" s="145"/>
      <c r="I492" s="145"/>
      <c r="J492" s="145"/>
      <c r="K492" s="145"/>
      <c r="L492" s="145"/>
      <c r="M492" s="145"/>
      <c r="N492" s="145"/>
      <c r="O492" s="145"/>
      <c r="P492" s="145"/>
    </row>
    <row r="493" spans="1:16" x14ac:dyDescent="0.2">
      <c r="A493" s="58" t="str">
        <v/>
      </c>
      <c r="B493" s="123" t="str">
        <f>IFERROR(TIMEVALUE(DaqBook_RAW_Data!AG449),IFERROR(TIMEVALUE(DaqBook_RAW_Data!#REF!),""))</f>
        <v/>
      </c>
      <c r="C493" s="145"/>
      <c r="D493" s="145"/>
      <c r="E493" s="145"/>
      <c r="F493" s="145"/>
      <c r="G493" s="145"/>
      <c r="H493" s="145"/>
      <c r="I493" s="145"/>
      <c r="J493" s="145"/>
      <c r="K493" s="145"/>
      <c r="L493" s="145"/>
      <c r="M493" s="145"/>
      <c r="N493" s="145"/>
      <c r="O493" s="145"/>
      <c r="P493" s="145"/>
    </row>
    <row r="494" spans="1:16" x14ac:dyDescent="0.2">
      <c r="A494" s="58" t="str">
        <v/>
      </c>
      <c r="B494" s="123" t="str">
        <f>IFERROR(TIMEVALUE(DaqBook_RAW_Data!AG450),IFERROR(TIMEVALUE(DaqBook_RAW_Data!#REF!),""))</f>
        <v/>
      </c>
      <c r="C494" s="145"/>
      <c r="D494" s="145"/>
      <c r="E494" s="145"/>
      <c r="F494" s="145"/>
      <c r="G494" s="145"/>
      <c r="H494" s="145"/>
      <c r="I494" s="145"/>
      <c r="J494" s="145"/>
      <c r="K494" s="145"/>
      <c r="L494" s="145"/>
      <c r="M494" s="145"/>
      <c r="N494" s="145"/>
      <c r="O494" s="145"/>
      <c r="P494" s="145"/>
    </row>
    <row r="495" spans="1:16" x14ac:dyDescent="0.2">
      <c r="A495" s="58" t="str">
        <v/>
      </c>
      <c r="B495" s="123" t="str">
        <f>IFERROR(TIMEVALUE(DaqBook_RAW_Data!AG451),IFERROR(TIMEVALUE(DaqBook_RAW_Data!#REF!),""))</f>
        <v/>
      </c>
      <c r="C495" s="145"/>
      <c r="D495" s="145"/>
      <c r="E495" s="145"/>
      <c r="F495" s="145"/>
      <c r="G495" s="145"/>
      <c r="H495" s="145"/>
      <c r="I495" s="145"/>
      <c r="J495" s="145"/>
      <c r="K495" s="145"/>
      <c r="L495" s="145"/>
      <c r="M495" s="145"/>
      <c r="N495" s="145"/>
      <c r="O495" s="145"/>
      <c r="P495" s="145"/>
    </row>
    <row r="496" spans="1:16" x14ac:dyDescent="0.2">
      <c r="A496" s="58" t="str">
        <v/>
      </c>
      <c r="B496" s="123" t="str">
        <f>IFERROR(TIMEVALUE(DaqBook_RAW_Data!AG452),IFERROR(TIMEVALUE(DaqBook_RAW_Data!#REF!),""))</f>
        <v/>
      </c>
      <c r="C496" s="145"/>
      <c r="D496" s="145"/>
      <c r="E496" s="145"/>
      <c r="F496" s="145"/>
      <c r="G496" s="145"/>
      <c r="H496" s="145"/>
      <c r="I496" s="145"/>
      <c r="J496" s="145"/>
      <c r="K496" s="145"/>
      <c r="L496" s="145"/>
      <c r="M496" s="145"/>
      <c r="N496" s="145"/>
      <c r="O496" s="145"/>
      <c r="P496" s="145"/>
    </row>
    <row r="497" spans="1:16" x14ac:dyDescent="0.2">
      <c r="A497" s="58" t="str">
        <v/>
      </c>
      <c r="B497" s="123" t="str">
        <f>IFERROR(TIMEVALUE(DaqBook_RAW_Data!AG453),IFERROR(TIMEVALUE(DaqBook_RAW_Data!#REF!),""))</f>
        <v/>
      </c>
      <c r="C497" s="145"/>
      <c r="D497" s="145"/>
      <c r="E497" s="145"/>
      <c r="F497" s="145"/>
      <c r="G497" s="145"/>
      <c r="H497" s="145"/>
      <c r="I497" s="145"/>
      <c r="J497" s="145"/>
      <c r="K497" s="145"/>
      <c r="L497" s="145"/>
      <c r="M497" s="145"/>
      <c r="N497" s="145"/>
      <c r="O497" s="145"/>
      <c r="P497" s="145"/>
    </row>
    <row r="498" spans="1:16" x14ac:dyDescent="0.2">
      <c r="A498" s="58" t="str">
        <v/>
      </c>
      <c r="B498" s="123" t="str">
        <f>IFERROR(TIMEVALUE(DaqBook_RAW_Data!AG454),IFERROR(TIMEVALUE(DaqBook_RAW_Data!#REF!),""))</f>
        <v/>
      </c>
      <c r="C498" s="145"/>
      <c r="D498" s="145"/>
      <c r="E498" s="145"/>
      <c r="F498" s="145"/>
      <c r="G498" s="145"/>
      <c r="H498" s="145"/>
      <c r="I498" s="145"/>
      <c r="J498" s="145"/>
      <c r="K498" s="145"/>
      <c r="L498" s="145"/>
      <c r="M498" s="145"/>
      <c r="N498" s="145"/>
      <c r="O498" s="145"/>
      <c r="P498" s="145"/>
    </row>
    <row r="499" spans="1:16" x14ac:dyDescent="0.2">
      <c r="A499" s="58" t="str">
        <v/>
      </c>
      <c r="B499" s="123" t="str">
        <f>IFERROR(TIMEVALUE(DaqBook_RAW_Data!AG455),IFERROR(TIMEVALUE(DaqBook_RAW_Data!#REF!),""))</f>
        <v/>
      </c>
      <c r="C499" s="145"/>
      <c r="D499" s="145"/>
      <c r="E499" s="145"/>
      <c r="F499" s="145"/>
      <c r="G499" s="145"/>
      <c r="H499" s="145"/>
      <c r="I499" s="145"/>
      <c r="J499" s="145"/>
      <c r="K499" s="145"/>
      <c r="L499" s="145"/>
      <c r="M499" s="145"/>
      <c r="N499" s="145"/>
      <c r="O499" s="145"/>
      <c r="P499" s="145"/>
    </row>
    <row r="500" spans="1:16" x14ac:dyDescent="0.2">
      <c r="A500" s="58" t="str">
        <v/>
      </c>
      <c r="B500" s="123" t="str">
        <f>IFERROR(TIMEVALUE(DaqBook_RAW_Data!AG456),IFERROR(TIMEVALUE(DaqBook_RAW_Data!#REF!),""))</f>
        <v/>
      </c>
      <c r="C500" s="145"/>
      <c r="D500" s="145"/>
      <c r="E500" s="145"/>
      <c r="F500" s="145"/>
      <c r="G500" s="145"/>
      <c r="H500" s="145"/>
      <c r="I500" s="145"/>
      <c r="J500" s="145"/>
      <c r="K500" s="145"/>
      <c r="L500" s="145"/>
      <c r="M500" s="145"/>
      <c r="N500" s="145"/>
      <c r="O500" s="145"/>
      <c r="P500" s="145"/>
    </row>
    <row r="501" spans="1:16" x14ac:dyDescent="0.2">
      <c r="A501" s="58" t="str">
        <v/>
      </c>
      <c r="B501" s="123" t="str">
        <f>IFERROR(TIMEVALUE(DaqBook_RAW_Data!AG457),IFERROR(TIMEVALUE(DaqBook_RAW_Data!#REF!),""))</f>
        <v/>
      </c>
      <c r="C501" s="145"/>
      <c r="D501" s="145"/>
      <c r="E501" s="145"/>
      <c r="F501" s="145"/>
      <c r="G501" s="145"/>
      <c r="H501" s="145"/>
      <c r="I501" s="145"/>
      <c r="J501" s="145"/>
      <c r="K501" s="145"/>
      <c r="L501" s="145"/>
      <c r="M501" s="145"/>
      <c r="N501" s="145"/>
      <c r="O501" s="44"/>
      <c r="P501" s="44"/>
    </row>
    <row r="502" spans="1:16" x14ac:dyDescent="0.2">
      <c r="A502" s="58" t="str">
        <v/>
      </c>
      <c r="B502" s="123" t="str">
        <f>IFERROR(TIMEVALUE(DaqBook_RAW_Data!AG458),IFERROR(TIMEVALUE(DaqBook_RAW_Data!#REF!),""))</f>
        <v/>
      </c>
      <c r="C502" s="145"/>
      <c r="D502" s="145"/>
      <c r="E502" s="145"/>
      <c r="F502" s="145"/>
      <c r="G502" s="145"/>
      <c r="H502" s="145"/>
      <c r="I502" s="145"/>
      <c r="J502" s="145"/>
      <c r="K502" s="145"/>
      <c r="L502" s="145"/>
      <c r="M502" s="145"/>
      <c r="N502" s="145"/>
      <c r="O502" s="44"/>
      <c r="P502" s="44"/>
    </row>
    <row r="503" spans="1:16" x14ac:dyDescent="0.2">
      <c r="A503" s="58" t="str">
        <v/>
      </c>
      <c r="B503" s="123" t="str">
        <f>IFERROR(TIMEVALUE(DaqBook_RAW_Data!AG459),IFERROR(TIMEVALUE(DaqBook_RAW_Data!#REF!),""))</f>
        <v/>
      </c>
      <c r="C503" s="145"/>
      <c r="D503" s="145"/>
      <c r="E503" s="145"/>
      <c r="F503" s="145"/>
      <c r="G503" s="145"/>
      <c r="H503" s="145"/>
      <c r="I503" s="145"/>
      <c r="J503" s="145"/>
      <c r="K503" s="145"/>
      <c r="L503" s="145"/>
      <c r="M503" s="145"/>
      <c r="N503" s="145"/>
      <c r="O503" s="44"/>
      <c r="P503" s="44"/>
    </row>
    <row r="504" spans="1:16" x14ac:dyDescent="0.2">
      <c r="A504" s="58" t="str">
        <v/>
      </c>
      <c r="B504" s="123" t="str">
        <f>IFERROR(TIMEVALUE(DaqBook_RAW_Data!AG460),IFERROR(TIMEVALUE(DaqBook_RAW_Data!#REF!),""))</f>
        <v/>
      </c>
      <c r="C504" s="145"/>
      <c r="D504" s="145"/>
      <c r="E504" s="145"/>
      <c r="F504" s="145"/>
      <c r="G504" s="145"/>
      <c r="H504" s="145"/>
      <c r="I504" s="145"/>
      <c r="J504" s="145"/>
      <c r="K504" s="145"/>
      <c r="L504" s="145"/>
      <c r="M504" s="145"/>
      <c r="N504" s="145"/>
      <c r="O504" s="44"/>
      <c r="P504" s="44"/>
    </row>
    <row r="505" spans="1:16" x14ac:dyDescent="0.2">
      <c r="A505" s="58" t="str">
        <v/>
      </c>
      <c r="B505" s="123" t="str">
        <f>IFERROR(TIMEVALUE(DaqBook_RAW_Data!AG461),IFERROR(TIMEVALUE(DaqBook_RAW_Data!#REF!),""))</f>
        <v/>
      </c>
      <c r="C505" s="145"/>
      <c r="D505" s="145"/>
      <c r="E505" s="145"/>
      <c r="F505" s="145"/>
      <c r="G505" s="145"/>
      <c r="H505" s="145"/>
      <c r="I505" s="145"/>
      <c r="J505" s="145"/>
      <c r="K505" s="145"/>
      <c r="L505" s="145"/>
      <c r="M505" s="145"/>
      <c r="N505" s="145"/>
      <c r="O505" s="44"/>
      <c r="P505" s="44"/>
    </row>
    <row r="506" spans="1:16" x14ac:dyDescent="0.2">
      <c r="A506" s="58" t="str">
        <v/>
      </c>
      <c r="B506" s="123" t="str">
        <f>IFERROR(TIMEVALUE(DaqBook_RAW_Data!AG462),IFERROR(TIMEVALUE(DaqBook_RAW_Data!#REF!),""))</f>
        <v/>
      </c>
      <c r="C506" s="145"/>
      <c r="D506" s="145"/>
      <c r="E506" s="145"/>
      <c r="F506" s="145"/>
      <c r="G506" s="145"/>
      <c r="H506" s="145"/>
      <c r="I506" s="145"/>
      <c r="J506" s="145"/>
      <c r="K506" s="145"/>
      <c r="L506" s="145"/>
      <c r="M506" s="145"/>
      <c r="N506" s="145"/>
      <c r="O506" s="44"/>
      <c r="P506" s="44"/>
    </row>
    <row r="507" spans="1:16" x14ac:dyDescent="0.2">
      <c r="A507" s="58" t="str">
        <v/>
      </c>
      <c r="B507" s="123" t="str">
        <f>IFERROR(TIMEVALUE(DaqBook_RAW_Data!AG463),IFERROR(TIMEVALUE(DaqBook_RAW_Data!#REF!),""))</f>
        <v/>
      </c>
      <c r="C507" s="145"/>
      <c r="D507" s="145"/>
      <c r="E507" s="145"/>
      <c r="F507" s="145"/>
      <c r="G507" s="145"/>
      <c r="H507" s="145"/>
      <c r="I507" s="145"/>
      <c r="J507" s="145"/>
      <c r="K507" s="145"/>
      <c r="L507" s="145"/>
      <c r="M507" s="145"/>
      <c r="N507" s="145"/>
      <c r="O507" s="44"/>
      <c r="P507" s="44"/>
    </row>
    <row r="508" spans="1:16" x14ac:dyDescent="0.2">
      <c r="A508" s="58" t="str">
        <v/>
      </c>
      <c r="B508" s="123" t="str">
        <f>IFERROR(TIMEVALUE(DaqBook_RAW_Data!AG464),IFERROR(TIMEVALUE(DaqBook_RAW_Data!#REF!),""))</f>
        <v/>
      </c>
      <c r="C508" s="145"/>
      <c r="D508" s="145"/>
      <c r="E508" s="145"/>
      <c r="F508" s="145"/>
      <c r="G508" s="145"/>
      <c r="H508" s="145"/>
      <c r="I508" s="145"/>
      <c r="J508" s="145"/>
      <c r="K508" s="145"/>
      <c r="L508" s="145"/>
      <c r="M508" s="145"/>
      <c r="N508" s="145"/>
      <c r="O508" s="44"/>
      <c r="P508" s="44"/>
    </row>
    <row r="509" spans="1:16" x14ac:dyDescent="0.2">
      <c r="A509" s="58" t="str">
        <v/>
      </c>
      <c r="B509" s="123" t="str">
        <f>IFERROR(TIMEVALUE(DaqBook_RAW_Data!AG465),IFERROR(TIMEVALUE(DaqBook_RAW_Data!#REF!),""))</f>
        <v/>
      </c>
      <c r="C509" s="145"/>
      <c r="D509" s="145"/>
      <c r="E509" s="145"/>
      <c r="F509" s="145"/>
      <c r="G509" s="145"/>
      <c r="H509" s="145"/>
      <c r="I509" s="145"/>
      <c r="J509" s="145"/>
      <c r="K509" s="145"/>
      <c r="L509" s="145"/>
      <c r="M509" s="145"/>
      <c r="N509" s="145"/>
      <c r="O509" s="44"/>
      <c r="P509" s="44"/>
    </row>
    <row r="510" spans="1:16" x14ac:dyDescent="0.2">
      <c r="A510" s="58" t="str">
        <v/>
      </c>
      <c r="B510" s="123" t="str">
        <f>IFERROR(TIMEVALUE(DaqBook_RAW_Data!AG466),IFERROR(TIMEVALUE(DaqBook_RAW_Data!#REF!),""))</f>
        <v/>
      </c>
      <c r="C510" s="145"/>
      <c r="D510" s="145"/>
      <c r="E510" s="145"/>
      <c r="F510" s="145"/>
      <c r="G510" s="145"/>
      <c r="H510" s="145"/>
      <c r="I510" s="145"/>
      <c r="J510" s="145"/>
      <c r="K510" s="145"/>
      <c r="L510" s="145"/>
      <c r="M510" s="145"/>
      <c r="N510" s="145"/>
      <c r="O510" s="44"/>
      <c r="P510" s="44"/>
    </row>
    <row r="511" spans="1:16" x14ac:dyDescent="0.2">
      <c r="A511" s="58" t="str">
        <v/>
      </c>
      <c r="B511" s="123" t="str">
        <f>IFERROR(TIMEVALUE(DaqBook_RAW_Data!AG467),IFERROR(TIMEVALUE(DaqBook_RAW_Data!#REF!),""))</f>
        <v/>
      </c>
      <c r="C511" s="145"/>
      <c r="D511" s="145"/>
      <c r="E511" s="145"/>
      <c r="F511" s="145"/>
      <c r="G511" s="145"/>
      <c r="H511" s="145"/>
      <c r="I511" s="145"/>
      <c r="J511" s="145"/>
      <c r="K511" s="145"/>
      <c r="L511" s="145"/>
      <c r="M511" s="145"/>
      <c r="N511" s="145"/>
      <c r="O511" s="44"/>
      <c r="P511" s="44"/>
    </row>
    <row r="512" spans="1:16" x14ac:dyDescent="0.2">
      <c r="A512" s="58" t="str">
        <v/>
      </c>
      <c r="B512" s="123" t="str">
        <f>IFERROR(TIMEVALUE(DaqBook_RAW_Data!AG468),IFERROR(TIMEVALUE(DaqBook_RAW_Data!#REF!),""))</f>
        <v/>
      </c>
      <c r="C512" s="145"/>
      <c r="D512" s="145"/>
      <c r="E512" s="145"/>
      <c r="F512" s="145"/>
      <c r="G512" s="145"/>
      <c r="H512" s="145"/>
      <c r="I512" s="145"/>
      <c r="J512" s="145"/>
      <c r="K512" s="145"/>
      <c r="L512" s="145"/>
      <c r="M512" s="145"/>
      <c r="N512" s="145"/>
      <c r="O512" s="44"/>
      <c r="P512" s="44"/>
    </row>
    <row r="513" spans="1:16" x14ac:dyDescent="0.2">
      <c r="A513" s="58" t="str">
        <v/>
      </c>
      <c r="B513" s="123" t="str">
        <f>IFERROR(TIMEVALUE(DaqBook_RAW_Data!AG469),IFERROR(TIMEVALUE(DaqBook_RAW_Data!#REF!),""))</f>
        <v/>
      </c>
      <c r="C513" s="145"/>
      <c r="D513" s="145"/>
      <c r="E513" s="145"/>
      <c r="F513" s="145"/>
      <c r="G513" s="145"/>
      <c r="H513" s="145"/>
      <c r="I513" s="145"/>
      <c r="J513" s="145"/>
      <c r="K513" s="145"/>
      <c r="L513" s="145"/>
      <c r="M513" s="145"/>
      <c r="N513" s="145"/>
      <c r="O513" s="44"/>
      <c r="P513" s="44"/>
    </row>
    <row r="514" spans="1:16" x14ac:dyDescent="0.2">
      <c r="A514" s="58" t="str">
        <v/>
      </c>
      <c r="B514" s="123" t="str">
        <f>IFERROR(TIMEVALUE(DaqBook_RAW_Data!AG470),IFERROR(TIMEVALUE(DaqBook_RAW_Data!#REF!),""))</f>
        <v/>
      </c>
      <c r="C514" s="145"/>
      <c r="D514" s="145"/>
      <c r="E514" s="145"/>
      <c r="F514" s="145"/>
      <c r="G514" s="145"/>
      <c r="H514" s="145"/>
      <c r="I514" s="145"/>
      <c r="J514" s="145"/>
      <c r="K514" s="145"/>
      <c r="L514" s="145"/>
      <c r="M514" s="145"/>
      <c r="N514" s="145"/>
      <c r="O514" s="44"/>
      <c r="P514" s="44"/>
    </row>
    <row r="515" spans="1:16" x14ac:dyDescent="0.2">
      <c r="A515" s="58" t="str">
        <v/>
      </c>
      <c r="B515" s="123" t="str">
        <f>IFERROR(TIMEVALUE(DaqBook_RAW_Data!AG471),IFERROR(TIMEVALUE(DaqBook_RAW_Data!#REF!),""))</f>
        <v/>
      </c>
      <c r="C515" s="145"/>
      <c r="D515" s="145"/>
      <c r="E515" s="145"/>
      <c r="F515" s="145"/>
      <c r="G515" s="145"/>
      <c r="H515" s="145"/>
      <c r="I515" s="145"/>
      <c r="J515" s="145"/>
      <c r="K515" s="145"/>
      <c r="L515" s="145"/>
      <c r="M515" s="145"/>
      <c r="N515" s="145"/>
      <c r="O515" s="44"/>
      <c r="P515" s="44"/>
    </row>
    <row r="516" spans="1:16" x14ac:dyDescent="0.2">
      <c r="A516" s="58" t="str">
        <v/>
      </c>
      <c r="B516" s="123" t="str">
        <f>IFERROR(TIMEVALUE(DaqBook_RAW_Data!AG472),IFERROR(TIMEVALUE(DaqBook_RAW_Data!#REF!),""))</f>
        <v/>
      </c>
      <c r="C516" s="145"/>
      <c r="D516" s="145"/>
      <c r="E516" s="145"/>
      <c r="F516" s="145"/>
      <c r="G516" s="145"/>
      <c r="H516" s="145"/>
      <c r="I516" s="145"/>
      <c r="J516" s="145"/>
      <c r="K516" s="145"/>
      <c r="L516" s="145"/>
      <c r="M516" s="145"/>
      <c r="N516" s="145"/>
      <c r="O516" s="44"/>
      <c r="P516" s="44"/>
    </row>
    <row r="517" spans="1:16" x14ac:dyDescent="0.2">
      <c r="A517" s="58" t="str">
        <v/>
      </c>
      <c r="B517" s="123" t="str">
        <f>IFERROR(TIMEVALUE(DaqBook_RAW_Data!AG473),IFERROR(TIMEVALUE(DaqBook_RAW_Data!#REF!),""))</f>
        <v/>
      </c>
      <c r="C517" s="145"/>
      <c r="D517" s="145"/>
      <c r="E517" s="145"/>
      <c r="F517" s="145"/>
      <c r="G517" s="145"/>
      <c r="H517" s="145"/>
      <c r="I517" s="145"/>
      <c r="J517" s="145"/>
      <c r="K517" s="145"/>
      <c r="L517" s="145"/>
      <c r="M517" s="145"/>
      <c r="N517" s="145"/>
      <c r="O517" s="44"/>
      <c r="P517" s="44"/>
    </row>
    <row r="518" spans="1:16" x14ac:dyDescent="0.2">
      <c r="A518" s="58" t="str">
        <v/>
      </c>
      <c r="B518" s="123" t="str">
        <f>IFERROR(TIMEVALUE(DaqBook_RAW_Data!AG474),IFERROR(TIMEVALUE(DaqBook_RAW_Data!#REF!),""))</f>
        <v/>
      </c>
      <c r="C518" s="145"/>
      <c r="D518" s="145"/>
      <c r="E518" s="145"/>
      <c r="F518" s="145"/>
      <c r="G518" s="145"/>
      <c r="H518" s="145"/>
      <c r="I518" s="145"/>
      <c r="J518" s="145"/>
      <c r="K518" s="145"/>
      <c r="L518" s="145"/>
      <c r="M518" s="145"/>
      <c r="N518" s="145"/>
      <c r="O518" s="44"/>
      <c r="P518" s="44"/>
    </row>
    <row r="519" spans="1:16" x14ac:dyDescent="0.2">
      <c r="A519" s="58" t="str">
        <v/>
      </c>
      <c r="B519" s="123" t="str">
        <f>IFERROR(TIMEVALUE(DaqBook_RAW_Data!AG475),IFERROR(TIMEVALUE(DaqBook_RAW_Data!#REF!),""))</f>
        <v/>
      </c>
      <c r="C519" s="145"/>
      <c r="D519" s="145"/>
      <c r="E519" s="145"/>
      <c r="F519" s="145"/>
      <c r="G519" s="145"/>
      <c r="H519" s="145"/>
      <c r="I519" s="145"/>
      <c r="J519" s="145"/>
      <c r="K519" s="145"/>
      <c r="L519" s="145"/>
      <c r="M519" s="145"/>
      <c r="N519" s="145"/>
      <c r="O519" s="44"/>
      <c r="P519" s="44"/>
    </row>
    <row r="520" spans="1:16" x14ac:dyDescent="0.2">
      <c r="A520" s="58" t="str">
        <v/>
      </c>
      <c r="B520" s="123" t="str">
        <f>IFERROR(TIMEVALUE(DaqBook_RAW_Data!AG476),IFERROR(TIMEVALUE(DaqBook_RAW_Data!#REF!),""))</f>
        <v/>
      </c>
      <c r="C520" s="145"/>
      <c r="D520" s="145"/>
      <c r="E520" s="145"/>
      <c r="F520" s="145"/>
      <c r="G520" s="145"/>
      <c r="H520" s="145"/>
      <c r="I520" s="145"/>
      <c r="J520" s="145"/>
      <c r="K520" s="145"/>
      <c r="L520" s="145"/>
      <c r="M520" s="145"/>
      <c r="N520" s="145"/>
      <c r="O520" s="44"/>
      <c r="P520" s="44"/>
    </row>
    <row r="521" spans="1:16" x14ac:dyDescent="0.2">
      <c r="A521" s="58" t="str">
        <v/>
      </c>
      <c r="B521" s="123" t="str">
        <f>IFERROR(TIMEVALUE(DaqBook_RAW_Data!AG477),IFERROR(TIMEVALUE(DaqBook_RAW_Data!#REF!),""))</f>
        <v/>
      </c>
      <c r="C521" s="145"/>
      <c r="D521" s="145"/>
      <c r="E521" s="145"/>
      <c r="F521" s="145"/>
      <c r="G521" s="145"/>
      <c r="H521" s="145"/>
      <c r="I521" s="145"/>
      <c r="J521" s="145"/>
      <c r="K521" s="145"/>
      <c r="L521" s="145"/>
      <c r="M521" s="145"/>
      <c r="N521" s="145"/>
      <c r="O521" s="44"/>
      <c r="P521" s="44"/>
    </row>
    <row r="522" spans="1:16" x14ac:dyDescent="0.2">
      <c r="A522" s="58" t="str">
        <v/>
      </c>
      <c r="B522" s="123" t="str">
        <f>IFERROR(TIMEVALUE(DaqBook_RAW_Data!AG478),IFERROR(TIMEVALUE(DaqBook_RAW_Data!#REF!),""))</f>
        <v/>
      </c>
      <c r="C522" s="145"/>
      <c r="D522" s="145"/>
      <c r="E522" s="145"/>
      <c r="F522" s="145"/>
      <c r="G522" s="145"/>
      <c r="H522" s="145"/>
      <c r="I522" s="145"/>
      <c r="J522" s="145"/>
      <c r="K522" s="145"/>
      <c r="L522" s="145"/>
      <c r="M522" s="145"/>
      <c r="N522" s="145"/>
      <c r="O522" s="44"/>
      <c r="P522" s="44"/>
    </row>
    <row r="523" spans="1:16" x14ac:dyDescent="0.2">
      <c r="A523" s="58" t="str">
        <v/>
      </c>
      <c r="B523" s="123" t="str">
        <f>IFERROR(TIMEVALUE(DaqBook_RAW_Data!AG479),IFERROR(TIMEVALUE(DaqBook_RAW_Data!#REF!),""))</f>
        <v/>
      </c>
      <c r="C523" s="145"/>
      <c r="D523" s="145"/>
      <c r="E523" s="145"/>
      <c r="F523" s="145"/>
      <c r="G523" s="145"/>
      <c r="H523" s="145"/>
      <c r="I523" s="145"/>
      <c r="J523" s="145"/>
      <c r="K523" s="145"/>
      <c r="L523" s="145"/>
      <c r="M523" s="145"/>
      <c r="N523" s="145"/>
      <c r="O523" s="44"/>
      <c r="P523" s="44"/>
    </row>
    <row r="524" spans="1:16" x14ac:dyDescent="0.2">
      <c r="A524" s="58" t="str">
        <v/>
      </c>
      <c r="B524" s="123" t="str">
        <f>IFERROR(TIMEVALUE(DaqBook_RAW_Data!AG480),IFERROR(TIMEVALUE(DaqBook_RAW_Data!#REF!),""))</f>
        <v/>
      </c>
      <c r="C524" s="145"/>
      <c r="D524" s="145"/>
      <c r="E524" s="145"/>
      <c r="F524" s="145"/>
      <c r="G524" s="145"/>
      <c r="H524" s="145"/>
      <c r="I524" s="145"/>
      <c r="J524" s="145"/>
      <c r="K524" s="145"/>
      <c r="L524" s="145"/>
      <c r="M524" s="145"/>
      <c r="N524" s="145"/>
      <c r="O524" s="44"/>
      <c r="P524" s="44"/>
    </row>
    <row r="525" spans="1:16" x14ac:dyDescent="0.2">
      <c r="A525" s="58" t="str">
        <v/>
      </c>
      <c r="B525" s="123" t="str">
        <f>IFERROR(TIMEVALUE(DaqBook_RAW_Data!AG481),IFERROR(TIMEVALUE(DaqBook_RAW_Data!#REF!),""))</f>
        <v/>
      </c>
      <c r="C525" s="145"/>
      <c r="D525" s="145"/>
      <c r="E525" s="145"/>
      <c r="F525" s="145"/>
      <c r="G525" s="145"/>
      <c r="H525" s="145"/>
      <c r="I525" s="145"/>
      <c r="J525" s="145"/>
      <c r="K525" s="145"/>
      <c r="L525" s="145"/>
      <c r="M525" s="145"/>
      <c r="N525" s="145"/>
      <c r="O525" s="44"/>
      <c r="P525" s="44"/>
    </row>
    <row r="526" spans="1:16" x14ac:dyDescent="0.2">
      <c r="A526" s="58" t="str">
        <v/>
      </c>
      <c r="B526" s="123" t="str">
        <f>IFERROR(TIMEVALUE(DaqBook_RAW_Data!AG482),IFERROR(TIMEVALUE(DaqBook_RAW_Data!#REF!),""))</f>
        <v/>
      </c>
      <c r="C526" s="145"/>
      <c r="D526" s="145"/>
      <c r="E526" s="145"/>
      <c r="F526" s="145"/>
      <c r="G526" s="145"/>
      <c r="H526" s="145"/>
      <c r="I526" s="145"/>
      <c r="J526" s="145"/>
      <c r="K526" s="145"/>
      <c r="L526" s="145"/>
      <c r="M526" s="145"/>
      <c r="N526" s="145"/>
      <c r="O526" s="44"/>
      <c r="P526" s="44"/>
    </row>
    <row r="527" spans="1:16" x14ac:dyDescent="0.2">
      <c r="A527" s="58" t="str">
        <v/>
      </c>
      <c r="B527" s="123" t="str">
        <f>IFERROR(TIMEVALUE(DaqBook_RAW_Data!AG483),IFERROR(TIMEVALUE(DaqBook_RAW_Data!#REF!),""))</f>
        <v/>
      </c>
      <c r="C527" s="145"/>
      <c r="D527" s="145"/>
      <c r="E527" s="145"/>
      <c r="F527" s="145"/>
      <c r="G527" s="145"/>
      <c r="H527" s="145"/>
      <c r="I527" s="145"/>
      <c r="J527" s="145"/>
      <c r="K527" s="145"/>
      <c r="L527" s="145"/>
      <c r="M527" s="145"/>
      <c r="N527" s="145"/>
      <c r="O527" s="44"/>
      <c r="P527" s="44"/>
    </row>
    <row r="528" spans="1:16" x14ac:dyDescent="0.2">
      <c r="A528" s="58" t="str">
        <v/>
      </c>
      <c r="B528" s="123" t="str">
        <f>IFERROR(TIMEVALUE(DaqBook_RAW_Data!AG484),IFERROR(TIMEVALUE(DaqBook_RAW_Data!#REF!),""))</f>
        <v/>
      </c>
      <c r="C528" s="145"/>
      <c r="D528" s="145"/>
      <c r="E528" s="145"/>
      <c r="F528" s="145"/>
      <c r="G528" s="145"/>
      <c r="H528" s="145"/>
      <c r="I528" s="145"/>
      <c r="J528" s="145"/>
      <c r="K528" s="145"/>
      <c r="L528" s="145"/>
      <c r="M528" s="145"/>
      <c r="N528" s="145"/>
      <c r="O528" s="44"/>
      <c r="P528" s="44"/>
    </row>
    <row r="529" spans="1:16" x14ac:dyDescent="0.2">
      <c r="A529" s="58" t="str">
        <v/>
      </c>
      <c r="B529" s="123" t="str">
        <f>IFERROR(TIMEVALUE(DaqBook_RAW_Data!AG485),IFERROR(TIMEVALUE(DaqBook_RAW_Data!#REF!),""))</f>
        <v/>
      </c>
      <c r="C529" s="145"/>
      <c r="D529" s="145"/>
      <c r="E529" s="145"/>
      <c r="F529" s="145"/>
      <c r="G529" s="145"/>
      <c r="H529" s="145"/>
      <c r="I529" s="145"/>
      <c r="J529" s="145"/>
      <c r="K529" s="145"/>
      <c r="L529" s="145"/>
      <c r="M529" s="145"/>
      <c r="N529" s="145"/>
      <c r="O529" s="44"/>
      <c r="P529" s="44"/>
    </row>
    <row r="530" spans="1:16" x14ac:dyDescent="0.2">
      <c r="A530" s="58" t="str">
        <v/>
      </c>
      <c r="B530" s="123" t="str">
        <f>IFERROR(TIMEVALUE(DaqBook_RAW_Data!AG486),IFERROR(TIMEVALUE(DaqBook_RAW_Data!#REF!),""))</f>
        <v/>
      </c>
      <c r="C530" s="145"/>
      <c r="D530" s="145"/>
      <c r="E530" s="145"/>
      <c r="F530" s="145"/>
      <c r="G530" s="145"/>
      <c r="H530" s="145"/>
      <c r="I530" s="145"/>
      <c r="J530" s="145"/>
      <c r="K530" s="145"/>
      <c r="L530" s="145"/>
      <c r="M530" s="145"/>
      <c r="N530" s="145"/>
      <c r="O530" s="44"/>
      <c r="P530" s="44"/>
    </row>
    <row r="531" spans="1:16" x14ac:dyDescent="0.2">
      <c r="A531" s="58" t="str">
        <v/>
      </c>
      <c r="B531" s="123" t="str">
        <f>IFERROR(TIMEVALUE(DaqBook_RAW_Data!AG487),IFERROR(TIMEVALUE(DaqBook_RAW_Data!#REF!),""))</f>
        <v/>
      </c>
      <c r="C531" s="145"/>
      <c r="D531" s="145"/>
      <c r="E531" s="145"/>
      <c r="F531" s="145"/>
      <c r="G531" s="145"/>
      <c r="H531" s="145"/>
      <c r="I531" s="145"/>
      <c r="J531" s="145"/>
      <c r="K531" s="145"/>
      <c r="L531" s="145"/>
      <c r="M531" s="145"/>
      <c r="N531" s="145"/>
      <c r="O531" s="44"/>
      <c r="P531" s="44"/>
    </row>
    <row r="532" spans="1:16" x14ac:dyDescent="0.2">
      <c r="A532" s="58" t="str">
        <v/>
      </c>
      <c r="B532" s="123" t="str">
        <f>IFERROR(TIMEVALUE(DaqBook_RAW_Data!AG488),IFERROR(TIMEVALUE(DaqBook_RAW_Data!#REF!),""))</f>
        <v/>
      </c>
      <c r="C532" s="145"/>
      <c r="D532" s="145"/>
      <c r="E532" s="145"/>
      <c r="F532" s="145"/>
      <c r="G532" s="145"/>
      <c r="H532" s="145"/>
      <c r="I532" s="145"/>
      <c r="J532" s="145"/>
      <c r="K532" s="145"/>
      <c r="L532" s="145"/>
      <c r="M532" s="145"/>
      <c r="N532" s="145"/>
      <c r="O532" s="44"/>
      <c r="P532" s="44"/>
    </row>
    <row r="533" spans="1:16" x14ac:dyDescent="0.2">
      <c r="A533" s="58" t="str">
        <v/>
      </c>
      <c r="B533" s="123" t="str">
        <f>IFERROR(TIMEVALUE(DaqBook_RAW_Data!AG489),IFERROR(TIMEVALUE(DaqBook_RAW_Data!#REF!),""))</f>
        <v/>
      </c>
      <c r="C533" s="145"/>
      <c r="D533" s="145"/>
      <c r="E533" s="145"/>
      <c r="F533" s="145"/>
      <c r="G533" s="145"/>
      <c r="H533" s="145"/>
      <c r="I533" s="145"/>
      <c r="J533" s="145"/>
      <c r="K533" s="145"/>
      <c r="L533" s="145"/>
      <c r="M533" s="145"/>
      <c r="N533" s="145"/>
      <c r="O533" s="44"/>
      <c r="P533" s="44"/>
    </row>
    <row r="534" spans="1:16" x14ac:dyDescent="0.2">
      <c r="A534" s="58" t="str">
        <v/>
      </c>
      <c r="B534" s="123" t="str">
        <f>IFERROR(TIMEVALUE(DaqBook_RAW_Data!AG490),IFERROR(TIMEVALUE(DaqBook_RAW_Data!#REF!),""))</f>
        <v/>
      </c>
      <c r="C534" s="145"/>
      <c r="D534" s="145"/>
      <c r="E534" s="145"/>
      <c r="F534" s="145"/>
      <c r="G534" s="145"/>
      <c r="H534" s="145"/>
      <c r="I534" s="145"/>
      <c r="J534" s="145"/>
      <c r="K534" s="145"/>
      <c r="L534" s="145"/>
      <c r="M534" s="145"/>
      <c r="N534" s="145"/>
      <c r="O534" s="44"/>
      <c r="P534" s="44"/>
    </row>
    <row r="535" spans="1:16" x14ac:dyDescent="0.2">
      <c r="A535" s="58" t="str">
        <v/>
      </c>
      <c r="B535" s="123" t="str">
        <f>IFERROR(TIMEVALUE(DaqBook_RAW_Data!AG491),IFERROR(TIMEVALUE(DaqBook_RAW_Data!#REF!),""))</f>
        <v/>
      </c>
      <c r="C535" s="145"/>
      <c r="D535" s="145"/>
      <c r="E535" s="145"/>
      <c r="F535" s="145"/>
      <c r="G535" s="145"/>
      <c r="H535" s="145"/>
      <c r="I535" s="145"/>
      <c r="J535" s="145"/>
      <c r="K535" s="145"/>
      <c r="L535" s="145"/>
      <c r="M535" s="145"/>
      <c r="N535" s="145"/>
      <c r="O535" s="44"/>
      <c r="P535" s="44"/>
    </row>
    <row r="536" spans="1:16" x14ac:dyDescent="0.2">
      <c r="A536" s="58" t="str">
        <v/>
      </c>
      <c r="B536" s="123" t="str">
        <f>IFERROR(TIMEVALUE(DaqBook_RAW_Data!AG492),IFERROR(TIMEVALUE(DaqBook_RAW_Data!#REF!),""))</f>
        <v/>
      </c>
      <c r="C536" s="145"/>
      <c r="D536" s="145"/>
      <c r="E536" s="145"/>
      <c r="F536" s="145"/>
      <c r="G536" s="145"/>
      <c r="H536" s="145"/>
      <c r="I536" s="145"/>
      <c r="J536" s="145"/>
      <c r="K536" s="145"/>
      <c r="L536" s="145"/>
      <c r="M536" s="145"/>
      <c r="N536" s="145"/>
      <c r="O536" s="44"/>
      <c r="P536" s="44"/>
    </row>
    <row r="537" spans="1:16" x14ac:dyDescent="0.2">
      <c r="A537" s="58" t="str">
        <v/>
      </c>
      <c r="B537" s="123" t="str">
        <f>IFERROR(TIMEVALUE(DaqBook_RAW_Data!AG493),IFERROR(TIMEVALUE(DaqBook_RAW_Data!#REF!),""))</f>
        <v/>
      </c>
      <c r="C537" s="145"/>
      <c r="D537" s="145"/>
      <c r="E537" s="145"/>
      <c r="F537" s="145"/>
      <c r="G537" s="145"/>
      <c r="H537" s="145"/>
      <c r="I537" s="145"/>
      <c r="J537" s="145"/>
      <c r="K537" s="145"/>
      <c r="L537" s="145"/>
      <c r="M537" s="145"/>
      <c r="N537" s="145"/>
      <c r="O537" s="44"/>
      <c r="P537" s="44"/>
    </row>
    <row r="538" spans="1:16" x14ac:dyDescent="0.2">
      <c r="A538" s="58" t="str">
        <v/>
      </c>
      <c r="B538" s="123" t="str">
        <f>IFERROR(TIMEVALUE(DaqBook_RAW_Data!AG494),IFERROR(TIMEVALUE(DaqBook_RAW_Data!#REF!),""))</f>
        <v/>
      </c>
      <c r="C538" s="145"/>
      <c r="D538" s="145"/>
      <c r="E538" s="145"/>
      <c r="F538" s="145"/>
      <c r="G538" s="145"/>
      <c r="H538" s="145"/>
      <c r="I538" s="145"/>
      <c r="J538" s="145"/>
      <c r="K538" s="145"/>
      <c r="L538" s="145"/>
      <c r="M538" s="145"/>
      <c r="N538" s="145"/>
      <c r="O538" s="44"/>
      <c r="P538" s="44"/>
    </row>
    <row r="539" spans="1:16" x14ac:dyDescent="0.2">
      <c r="A539" s="58" t="str">
        <v/>
      </c>
      <c r="B539" s="123" t="str">
        <f>IFERROR(TIMEVALUE(DaqBook_RAW_Data!AG495),IFERROR(TIMEVALUE(DaqBook_RAW_Data!#REF!),""))</f>
        <v/>
      </c>
      <c r="C539" s="145"/>
      <c r="D539" s="145"/>
      <c r="E539" s="145"/>
      <c r="F539" s="145"/>
      <c r="G539" s="145"/>
      <c r="H539" s="145"/>
      <c r="I539" s="145"/>
      <c r="J539" s="145"/>
      <c r="K539" s="145"/>
      <c r="L539" s="145"/>
      <c r="M539" s="145"/>
      <c r="N539" s="145"/>
      <c r="O539" s="44"/>
      <c r="P539" s="44"/>
    </row>
    <row r="540" spans="1:16" x14ac:dyDescent="0.2">
      <c r="A540" s="58" t="str">
        <v/>
      </c>
      <c r="B540" s="123" t="str">
        <f>IFERROR(TIMEVALUE(DaqBook_RAW_Data!AG496),IFERROR(TIMEVALUE(DaqBook_RAW_Data!#REF!),""))</f>
        <v/>
      </c>
      <c r="C540" s="145"/>
      <c r="D540" s="145"/>
      <c r="E540" s="145"/>
      <c r="F540" s="145"/>
      <c r="G540" s="145"/>
      <c r="H540" s="145"/>
      <c r="I540" s="145"/>
      <c r="J540" s="145"/>
      <c r="K540" s="145"/>
      <c r="L540" s="145"/>
      <c r="M540" s="145"/>
      <c r="N540" s="145"/>
      <c r="O540" s="44"/>
      <c r="P540" s="44"/>
    </row>
    <row r="541" spans="1:16" x14ac:dyDescent="0.2">
      <c r="A541" s="58" t="str">
        <v/>
      </c>
      <c r="B541" s="123" t="str">
        <f>IFERROR(TIMEVALUE(DaqBook_RAW_Data!AG497),IFERROR(TIMEVALUE(DaqBook_RAW_Data!#REF!),""))</f>
        <v/>
      </c>
      <c r="C541" s="145"/>
      <c r="D541" s="145"/>
      <c r="E541" s="145"/>
      <c r="F541" s="145"/>
      <c r="G541" s="145"/>
      <c r="H541" s="145"/>
      <c r="I541" s="145"/>
      <c r="J541" s="145"/>
      <c r="K541" s="145"/>
      <c r="L541" s="145"/>
      <c r="M541" s="145"/>
      <c r="N541" s="145"/>
      <c r="O541" s="44"/>
      <c r="P541" s="44"/>
    </row>
    <row r="542" spans="1:16" x14ac:dyDescent="0.2">
      <c r="A542" s="58" t="str">
        <v/>
      </c>
      <c r="B542" s="123" t="str">
        <f>IFERROR(TIMEVALUE(DaqBook_RAW_Data!AG498),IFERROR(TIMEVALUE(DaqBook_RAW_Data!#REF!),""))</f>
        <v/>
      </c>
      <c r="C542" s="145"/>
      <c r="D542" s="145"/>
      <c r="E542" s="145"/>
      <c r="F542" s="145"/>
      <c r="G542" s="145"/>
      <c r="H542" s="145"/>
      <c r="I542" s="145"/>
      <c r="J542" s="145"/>
      <c r="K542" s="145"/>
      <c r="L542" s="145"/>
      <c r="M542" s="145"/>
      <c r="N542" s="145"/>
      <c r="O542" s="44"/>
      <c r="P542" s="44"/>
    </row>
    <row r="543" spans="1:16" x14ac:dyDescent="0.2">
      <c r="A543" s="58" t="str">
        <v/>
      </c>
      <c r="B543" s="123" t="str">
        <f>IFERROR(TIMEVALUE(DaqBook_RAW_Data!AG499),IFERROR(TIMEVALUE(DaqBook_RAW_Data!#REF!),""))</f>
        <v/>
      </c>
      <c r="C543" s="145"/>
      <c r="D543" s="145"/>
      <c r="E543" s="145"/>
      <c r="F543" s="145"/>
      <c r="G543" s="145"/>
      <c r="H543" s="145"/>
      <c r="I543" s="145"/>
      <c r="J543" s="145"/>
      <c r="K543" s="145"/>
      <c r="L543" s="145"/>
      <c r="M543" s="145"/>
      <c r="N543" s="145"/>
      <c r="O543" s="44"/>
      <c r="P543" s="44"/>
    </row>
    <row r="544" spans="1:16" x14ac:dyDescent="0.2">
      <c r="A544" s="58" t="str">
        <v/>
      </c>
      <c r="B544" s="123" t="str">
        <f>IFERROR(TIMEVALUE(DaqBook_RAW_Data!AG500),IFERROR(TIMEVALUE(DaqBook_RAW_Data!#REF!),""))</f>
        <v/>
      </c>
      <c r="C544" s="145"/>
      <c r="D544" s="145"/>
      <c r="E544" s="145"/>
      <c r="F544" s="145"/>
      <c r="G544" s="145"/>
      <c r="H544" s="145"/>
      <c r="I544" s="145"/>
      <c r="J544" s="145"/>
      <c r="K544" s="145"/>
      <c r="L544" s="145"/>
      <c r="M544" s="145"/>
      <c r="N544" s="145"/>
      <c r="O544" s="44"/>
      <c r="P544" s="44"/>
    </row>
    <row r="545" spans="1:16" x14ac:dyDescent="0.2">
      <c r="A545" s="58" t="str">
        <v/>
      </c>
      <c r="B545" s="123" t="str">
        <f>IFERROR(TIMEVALUE(DaqBook_RAW_Data!AG501),IFERROR(TIMEVALUE(DaqBook_RAW_Data!#REF!),""))</f>
        <v/>
      </c>
      <c r="C545" s="145"/>
      <c r="D545" s="145"/>
      <c r="E545" s="145"/>
      <c r="F545" s="145"/>
      <c r="G545" s="145"/>
      <c r="H545" s="145"/>
      <c r="I545" s="145"/>
      <c r="J545" s="145"/>
      <c r="K545" s="145"/>
      <c r="L545" s="145"/>
      <c r="M545" s="145"/>
      <c r="N545" s="145"/>
      <c r="O545" s="44"/>
      <c r="P545" s="44"/>
    </row>
    <row r="546" spans="1:16" x14ac:dyDescent="0.2">
      <c r="A546" s="58" t="str">
        <v/>
      </c>
      <c r="B546" s="123" t="str">
        <f>IFERROR(TIMEVALUE(DaqBook_RAW_Data!AG502),IFERROR(TIMEVALUE(DaqBook_RAW_Data!#REF!),""))</f>
        <v/>
      </c>
      <c r="C546" s="145"/>
      <c r="D546" s="145"/>
      <c r="E546" s="145"/>
      <c r="F546" s="145"/>
      <c r="G546" s="145"/>
      <c r="H546" s="145"/>
      <c r="I546" s="145"/>
      <c r="J546" s="145"/>
      <c r="K546" s="145"/>
      <c r="L546" s="145"/>
      <c r="M546" s="145"/>
      <c r="N546" s="145"/>
      <c r="O546" s="44"/>
      <c r="P546" s="44"/>
    </row>
    <row r="547" spans="1:16" x14ac:dyDescent="0.2">
      <c r="A547" s="58" t="str">
        <v/>
      </c>
      <c r="B547" s="123" t="str">
        <f>IFERROR(TIMEVALUE(DaqBook_RAW_Data!AG503),IFERROR(TIMEVALUE(DaqBook_RAW_Data!#REF!),""))</f>
        <v/>
      </c>
      <c r="C547" s="145"/>
      <c r="D547" s="145"/>
      <c r="E547" s="145"/>
      <c r="F547" s="145"/>
      <c r="G547" s="145"/>
      <c r="H547" s="145"/>
      <c r="I547" s="145"/>
      <c r="J547" s="145"/>
      <c r="K547" s="145"/>
      <c r="L547" s="145"/>
      <c r="M547" s="145"/>
      <c r="N547" s="145"/>
      <c r="O547" s="44"/>
      <c r="P547" s="44"/>
    </row>
    <row r="548" spans="1:16" x14ac:dyDescent="0.2">
      <c r="A548" s="58" t="str">
        <v/>
      </c>
      <c r="B548" s="123" t="str">
        <f>IFERROR(TIMEVALUE(DaqBook_RAW_Data!AG504),IFERROR(TIMEVALUE(DaqBook_RAW_Data!#REF!),""))</f>
        <v/>
      </c>
      <c r="C548" s="145"/>
      <c r="D548" s="145"/>
      <c r="E548" s="145"/>
      <c r="F548" s="145"/>
      <c r="G548" s="145"/>
      <c r="H548" s="145"/>
      <c r="I548" s="145"/>
      <c r="J548" s="145"/>
      <c r="K548" s="145"/>
      <c r="L548" s="145"/>
      <c r="M548" s="145"/>
      <c r="N548" s="145"/>
      <c r="O548" s="44"/>
      <c r="P548" s="44"/>
    </row>
    <row r="549" spans="1:16" x14ac:dyDescent="0.2">
      <c r="A549" s="58" t="str">
        <v/>
      </c>
      <c r="B549" s="123" t="str">
        <f>IFERROR(TIMEVALUE(DaqBook_RAW_Data!AG505),IFERROR(TIMEVALUE(DaqBook_RAW_Data!#REF!),""))</f>
        <v/>
      </c>
      <c r="C549" s="145"/>
      <c r="D549" s="145"/>
      <c r="E549" s="145"/>
      <c r="F549" s="145"/>
      <c r="G549" s="145"/>
      <c r="H549" s="145"/>
      <c r="I549" s="145"/>
      <c r="J549" s="145"/>
      <c r="K549" s="145"/>
      <c r="L549" s="145"/>
      <c r="M549" s="145"/>
      <c r="N549" s="145"/>
      <c r="O549" s="44"/>
      <c r="P549" s="44"/>
    </row>
    <row r="550" spans="1:16" x14ac:dyDescent="0.2">
      <c r="A550" s="58" t="str">
        <v/>
      </c>
      <c r="B550" s="123" t="str">
        <f>IFERROR(TIMEVALUE(DaqBook_RAW_Data!AG506),IFERROR(TIMEVALUE(DaqBook_RAW_Data!#REF!),""))</f>
        <v/>
      </c>
      <c r="C550" s="145"/>
      <c r="D550" s="145"/>
      <c r="E550" s="145"/>
      <c r="F550" s="145"/>
      <c r="G550" s="145"/>
      <c r="H550" s="145"/>
      <c r="I550" s="145"/>
      <c r="J550" s="145"/>
      <c r="K550" s="145"/>
      <c r="L550" s="145"/>
      <c r="M550" s="145"/>
      <c r="N550" s="145"/>
      <c r="O550" s="44"/>
      <c r="P550" s="44"/>
    </row>
    <row r="551" spans="1:16" x14ac:dyDescent="0.2">
      <c r="A551" s="58" t="str">
        <v/>
      </c>
      <c r="B551" s="123" t="str">
        <f>IFERROR(TIMEVALUE(DaqBook_RAW_Data!AG507),IFERROR(TIMEVALUE(DaqBook_RAW_Data!#REF!),""))</f>
        <v/>
      </c>
      <c r="C551" s="145"/>
      <c r="D551" s="145"/>
      <c r="E551" s="145"/>
      <c r="F551" s="145"/>
      <c r="G551" s="145"/>
      <c r="H551" s="145"/>
      <c r="I551" s="145"/>
      <c r="J551" s="145"/>
      <c r="K551" s="145"/>
      <c r="L551" s="145"/>
      <c r="M551" s="145"/>
      <c r="N551" s="145"/>
      <c r="O551" s="44"/>
      <c r="P551" s="44"/>
    </row>
    <row r="552" spans="1:16" x14ac:dyDescent="0.2">
      <c r="A552" s="58" t="str">
        <v/>
      </c>
      <c r="B552" s="123" t="str">
        <f>IFERROR(TIMEVALUE(DaqBook_RAW_Data!AG508),IFERROR(TIMEVALUE(DaqBook_RAW_Data!#REF!),""))</f>
        <v/>
      </c>
      <c r="C552" s="145"/>
      <c r="D552" s="145"/>
      <c r="E552" s="145"/>
      <c r="F552" s="145"/>
      <c r="G552" s="145"/>
      <c r="H552" s="145"/>
      <c r="I552" s="145"/>
      <c r="J552" s="145"/>
      <c r="K552" s="145"/>
      <c r="L552" s="145"/>
      <c r="M552" s="145"/>
      <c r="N552" s="145"/>
      <c r="O552" s="44"/>
      <c r="P552" s="44"/>
    </row>
    <row r="553" spans="1:16" x14ac:dyDescent="0.2">
      <c r="A553" s="58" t="str">
        <v/>
      </c>
      <c r="B553" s="123" t="str">
        <f>IFERROR(TIMEVALUE(DaqBook_RAW_Data!AG509),IFERROR(TIMEVALUE(DaqBook_RAW_Data!#REF!),""))</f>
        <v/>
      </c>
      <c r="C553" s="145"/>
      <c r="D553" s="145"/>
      <c r="E553" s="145"/>
      <c r="F553" s="145"/>
      <c r="G553" s="145"/>
      <c r="H553" s="145"/>
      <c r="I553" s="145"/>
      <c r="J553" s="145"/>
      <c r="K553" s="145"/>
      <c r="L553" s="145"/>
      <c r="M553" s="145"/>
      <c r="N553" s="145"/>
      <c r="O553" s="44"/>
      <c r="P553" s="44"/>
    </row>
    <row r="554" spans="1:16" x14ac:dyDescent="0.2">
      <c r="A554" s="58" t="str">
        <v/>
      </c>
      <c r="B554" s="123" t="str">
        <f>IFERROR(TIMEVALUE(DaqBook_RAW_Data!AG510),IFERROR(TIMEVALUE(DaqBook_RAW_Data!#REF!),""))</f>
        <v/>
      </c>
      <c r="C554" s="145"/>
      <c r="D554" s="145"/>
      <c r="E554" s="145"/>
      <c r="F554" s="145"/>
      <c r="G554" s="145"/>
      <c r="H554" s="145"/>
      <c r="I554" s="145"/>
      <c r="J554" s="145"/>
      <c r="K554" s="145"/>
      <c r="L554" s="145"/>
      <c r="M554" s="145"/>
      <c r="N554" s="145"/>
      <c r="O554" s="44"/>
      <c r="P554" s="44"/>
    </row>
    <row r="555" spans="1:16" x14ac:dyDescent="0.2">
      <c r="A555" s="58" t="str">
        <v/>
      </c>
      <c r="B555" s="123" t="str">
        <f>IFERROR(TIMEVALUE(DaqBook_RAW_Data!AG511),IFERROR(TIMEVALUE(DaqBook_RAW_Data!#REF!),""))</f>
        <v/>
      </c>
      <c r="C555" s="145"/>
      <c r="D555" s="145"/>
      <c r="E555" s="145"/>
      <c r="F555" s="145"/>
      <c r="G555" s="145"/>
      <c r="H555" s="145"/>
      <c r="I555" s="145"/>
      <c r="J555" s="145"/>
      <c r="K555" s="145"/>
      <c r="L555" s="145"/>
      <c r="M555" s="145"/>
      <c r="N555" s="145"/>
      <c r="O555" s="44"/>
      <c r="P555" s="44"/>
    </row>
    <row r="556" spans="1:16" x14ac:dyDescent="0.2">
      <c r="A556" s="58" t="str">
        <v/>
      </c>
      <c r="B556" s="123" t="str">
        <f>IFERROR(TIMEVALUE(DaqBook_RAW_Data!AG512),IFERROR(TIMEVALUE(DaqBook_RAW_Data!#REF!),""))</f>
        <v/>
      </c>
      <c r="C556" s="145"/>
      <c r="D556" s="145"/>
      <c r="E556" s="145"/>
      <c r="F556" s="145"/>
      <c r="G556" s="145"/>
      <c r="H556" s="145"/>
      <c r="I556" s="145"/>
      <c r="J556" s="145"/>
      <c r="K556" s="145"/>
      <c r="L556" s="145"/>
      <c r="M556" s="145"/>
      <c r="N556" s="145"/>
      <c r="O556" s="44"/>
      <c r="P556" s="44"/>
    </row>
    <row r="557" spans="1:16" x14ac:dyDescent="0.2">
      <c r="A557" s="58" t="str">
        <v/>
      </c>
      <c r="B557" s="123" t="str">
        <f>IFERROR(TIMEVALUE(DaqBook_RAW_Data!AG513),IFERROR(TIMEVALUE(DaqBook_RAW_Data!#REF!),""))</f>
        <v/>
      </c>
      <c r="C557" s="145"/>
      <c r="D557" s="145"/>
      <c r="E557" s="145"/>
      <c r="F557" s="145"/>
      <c r="G557" s="145"/>
      <c r="H557" s="145"/>
      <c r="I557" s="145"/>
      <c r="J557" s="145"/>
      <c r="K557" s="145"/>
      <c r="L557" s="145"/>
      <c r="M557" s="145"/>
      <c r="N557" s="145"/>
      <c r="O557" s="44"/>
      <c r="P557" s="44"/>
    </row>
    <row r="558" spans="1:16" x14ac:dyDescent="0.2">
      <c r="A558" s="58" t="str">
        <v/>
      </c>
      <c r="B558" s="123" t="str">
        <f>IFERROR(TIMEVALUE(DaqBook_RAW_Data!AG514),IFERROR(TIMEVALUE(DaqBook_RAW_Data!#REF!),""))</f>
        <v/>
      </c>
      <c r="C558" s="145"/>
      <c r="D558" s="145"/>
      <c r="E558" s="145"/>
      <c r="F558" s="145"/>
      <c r="G558" s="145"/>
      <c r="H558" s="145"/>
      <c r="I558" s="145"/>
      <c r="J558" s="145"/>
      <c r="K558" s="145"/>
      <c r="L558" s="145"/>
      <c r="M558" s="145"/>
      <c r="N558" s="145"/>
      <c r="O558" s="44"/>
      <c r="P558" s="44"/>
    </row>
    <row r="559" spans="1:16" x14ac:dyDescent="0.2">
      <c r="A559" s="58" t="str">
        <v/>
      </c>
      <c r="B559" s="123" t="str">
        <f>IFERROR(TIMEVALUE(DaqBook_RAW_Data!AG515),IFERROR(TIMEVALUE(DaqBook_RAW_Data!#REF!),""))</f>
        <v/>
      </c>
      <c r="C559" s="145"/>
      <c r="D559" s="145"/>
      <c r="E559" s="145"/>
      <c r="F559" s="145"/>
      <c r="G559" s="145"/>
      <c r="H559" s="145"/>
      <c r="I559" s="145"/>
      <c r="J559" s="145"/>
      <c r="K559" s="145"/>
      <c r="L559" s="145"/>
      <c r="M559" s="145"/>
      <c r="N559" s="145"/>
      <c r="O559" s="44"/>
      <c r="P559" s="44"/>
    </row>
    <row r="560" spans="1:16" x14ac:dyDescent="0.2">
      <c r="A560" s="58" t="str">
        <v/>
      </c>
      <c r="B560" s="123" t="str">
        <f>IFERROR(TIMEVALUE(DaqBook_RAW_Data!AG516),IFERROR(TIMEVALUE(DaqBook_RAW_Data!#REF!),""))</f>
        <v/>
      </c>
      <c r="C560" s="145"/>
      <c r="D560" s="145"/>
      <c r="E560" s="145"/>
      <c r="F560" s="145"/>
      <c r="G560" s="145"/>
      <c r="H560" s="145"/>
      <c r="I560" s="145"/>
      <c r="J560" s="145"/>
      <c r="K560" s="145"/>
      <c r="L560" s="145"/>
      <c r="M560" s="145"/>
      <c r="N560" s="145"/>
      <c r="O560" s="44"/>
      <c r="P560" s="44"/>
    </row>
    <row r="561" spans="1:16" x14ac:dyDescent="0.2">
      <c r="A561" s="58" t="str">
        <v/>
      </c>
      <c r="B561" s="123" t="str">
        <f>IFERROR(TIMEVALUE(DaqBook_RAW_Data!AG517),IFERROR(TIMEVALUE(DaqBook_RAW_Data!#REF!),""))</f>
        <v/>
      </c>
      <c r="C561" s="145"/>
      <c r="D561" s="145"/>
      <c r="E561" s="145"/>
      <c r="F561" s="145"/>
      <c r="G561" s="145"/>
      <c r="H561" s="145"/>
      <c r="I561" s="145"/>
      <c r="J561" s="145"/>
      <c r="K561" s="145"/>
      <c r="L561" s="145"/>
      <c r="M561" s="145"/>
      <c r="N561" s="145"/>
      <c r="O561" s="44"/>
      <c r="P561" s="44"/>
    </row>
    <row r="562" spans="1:16" x14ac:dyDescent="0.2">
      <c r="A562" s="58" t="str">
        <v/>
      </c>
      <c r="B562" s="123" t="str">
        <f>IFERROR(TIMEVALUE(DaqBook_RAW_Data!AG518),IFERROR(TIMEVALUE(DaqBook_RAW_Data!#REF!),""))</f>
        <v/>
      </c>
      <c r="C562" s="145"/>
      <c r="D562" s="145"/>
      <c r="E562" s="145"/>
      <c r="F562" s="145"/>
      <c r="G562" s="145"/>
      <c r="H562" s="145"/>
      <c r="I562" s="145"/>
      <c r="J562" s="145"/>
      <c r="K562" s="145"/>
      <c r="L562" s="145"/>
      <c r="M562" s="145"/>
      <c r="N562" s="145"/>
      <c r="O562" s="44"/>
      <c r="P562" s="44"/>
    </row>
    <row r="563" spans="1:16" x14ac:dyDescent="0.2">
      <c r="A563" s="58" t="str">
        <v/>
      </c>
      <c r="B563" s="123" t="str">
        <f>IFERROR(TIMEVALUE(DaqBook_RAW_Data!AG519),IFERROR(TIMEVALUE(DaqBook_RAW_Data!#REF!),""))</f>
        <v/>
      </c>
      <c r="C563" s="145"/>
      <c r="D563" s="145"/>
      <c r="E563" s="145"/>
      <c r="F563" s="145"/>
      <c r="G563" s="145"/>
      <c r="H563" s="145"/>
      <c r="I563" s="145"/>
      <c r="J563" s="145"/>
      <c r="K563" s="145"/>
      <c r="L563" s="145"/>
      <c r="M563" s="145"/>
      <c r="N563" s="145"/>
      <c r="O563" s="44"/>
      <c r="P563" s="44"/>
    </row>
    <row r="564" spans="1:16" x14ac:dyDescent="0.2">
      <c r="A564" s="58" t="str">
        <v/>
      </c>
      <c r="B564" s="123" t="str">
        <f>IFERROR(TIMEVALUE(DaqBook_RAW_Data!AG520),IFERROR(TIMEVALUE(DaqBook_RAW_Data!#REF!),""))</f>
        <v/>
      </c>
      <c r="C564" s="145"/>
      <c r="D564" s="145"/>
      <c r="E564" s="145"/>
      <c r="F564" s="145"/>
      <c r="G564" s="145"/>
      <c r="H564" s="145"/>
      <c r="I564" s="145"/>
      <c r="J564" s="145"/>
      <c r="K564" s="145"/>
      <c r="L564" s="145"/>
      <c r="M564" s="145"/>
      <c r="N564" s="145"/>
      <c r="O564" s="44"/>
      <c r="P564" s="44"/>
    </row>
    <row r="565" spans="1:16" x14ac:dyDescent="0.2">
      <c r="A565" s="58" t="str">
        <v/>
      </c>
      <c r="B565" s="123" t="str">
        <f>IFERROR(TIMEVALUE(DaqBook_RAW_Data!AG521),IFERROR(TIMEVALUE(DaqBook_RAW_Data!#REF!),""))</f>
        <v/>
      </c>
      <c r="C565" s="145"/>
      <c r="D565" s="145"/>
      <c r="E565" s="145"/>
      <c r="F565" s="145"/>
      <c r="G565" s="145"/>
      <c r="H565" s="145"/>
      <c r="I565" s="145"/>
      <c r="J565" s="145"/>
      <c r="K565" s="145"/>
      <c r="L565" s="145"/>
      <c r="M565" s="145"/>
      <c r="N565" s="145"/>
      <c r="O565" s="44"/>
      <c r="P565" s="44"/>
    </row>
    <row r="566" spans="1:16" x14ac:dyDescent="0.2">
      <c r="A566" s="58" t="str">
        <v/>
      </c>
      <c r="B566" s="123" t="str">
        <f>IFERROR(TIMEVALUE(DaqBook_RAW_Data!AG522),IFERROR(TIMEVALUE(DaqBook_RAW_Data!#REF!),""))</f>
        <v/>
      </c>
      <c r="C566" s="145"/>
      <c r="D566" s="145"/>
      <c r="E566" s="145"/>
      <c r="F566" s="145"/>
      <c r="G566" s="145"/>
      <c r="H566" s="145"/>
      <c r="I566" s="145"/>
      <c r="J566" s="145"/>
      <c r="K566" s="145"/>
      <c r="L566" s="145"/>
      <c r="M566" s="145"/>
      <c r="N566" s="145"/>
      <c r="O566" s="44"/>
      <c r="P566" s="44"/>
    </row>
    <row r="567" spans="1:16" x14ac:dyDescent="0.2">
      <c r="A567" s="58" t="str">
        <v/>
      </c>
      <c r="B567" s="123" t="str">
        <f>IFERROR(TIMEVALUE(DaqBook_RAW_Data!AG523),IFERROR(TIMEVALUE(DaqBook_RAW_Data!#REF!),""))</f>
        <v/>
      </c>
      <c r="C567" s="145"/>
      <c r="D567" s="145"/>
      <c r="E567" s="145"/>
      <c r="F567" s="145"/>
      <c r="G567" s="145"/>
      <c r="H567" s="145"/>
      <c r="I567" s="145"/>
      <c r="J567" s="145"/>
      <c r="K567" s="145"/>
      <c r="L567" s="145"/>
      <c r="M567" s="145"/>
      <c r="N567" s="145"/>
      <c r="O567" s="44"/>
      <c r="P567" s="44"/>
    </row>
    <row r="568" spans="1:16" x14ac:dyDescent="0.2">
      <c r="A568" s="58" t="str">
        <v/>
      </c>
      <c r="B568" s="123" t="str">
        <f>IFERROR(TIMEVALUE(DaqBook_RAW_Data!AG524),IFERROR(TIMEVALUE(DaqBook_RAW_Data!#REF!),""))</f>
        <v/>
      </c>
      <c r="C568" s="145"/>
      <c r="D568" s="145"/>
      <c r="E568" s="145"/>
      <c r="F568" s="145"/>
      <c r="G568" s="145"/>
      <c r="H568" s="145"/>
      <c r="I568" s="145"/>
      <c r="J568" s="145"/>
      <c r="K568" s="145"/>
      <c r="L568" s="145"/>
      <c r="M568" s="145"/>
      <c r="N568" s="145"/>
      <c r="O568" s="44"/>
      <c r="P568" s="44"/>
    </row>
    <row r="569" spans="1:16" x14ac:dyDescent="0.2">
      <c r="A569" s="58" t="str">
        <v/>
      </c>
      <c r="B569" s="123" t="str">
        <f>IFERROR(TIMEVALUE(DaqBook_RAW_Data!AG525),IFERROR(TIMEVALUE(DaqBook_RAW_Data!#REF!),""))</f>
        <v/>
      </c>
      <c r="C569" s="145"/>
      <c r="D569" s="145"/>
      <c r="E569" s="145"/>
      <c r="F569" s="145"/>
      <c r="G569" s="145"/>
      <c r="H569" s="145"/>
      <c r="I569" s="145"/>
      <c r="J569" s="145"/>
      <c r="K569" s="145"/>
      <c r="L569" s="145"/>
      <c r="M569" s="145"/>
      <c r="N569" s="145"/>
      <c r="O569" s="44"/>
      <c r="P569" s="44"/>
    </row>
    <row r="570" spans="1:16" x14ac:dyDescent="0.2">
      <c r="A570" s="58" t="str">
        <v/>
      </c>
      <c r="B570" s="123" t="str">
        <f>IFERROR(TIMEVALUE(DaqBook_RAW_Data!AG526),IFERROR(TIMEVALUE(DaqBook_RAW_Data!#REF!),""))</f>
        <v/>
      </c>
      <c r="C570" s="145"/>
      <c r="D570" s="145"/>
      <c r="E570" s="145"/>
      <c r="F570" s="145"/>
      <c r="G570" s="145"/>
      <c r="H570" s="145"/>
      <c r="I570" s="145"/>
      <c r="J570" s="145"/>
      <c r="K570" s="145"/>
      <c r="L570" s="145"/>
      <c r="M570" s="145"/>
      <c r="N570" s="145"/>
      <c r="O570" s="44"/>
      <c r="P570" s="44"/>
    </row>
    <row r="571" spans="1:16" x14ac:dyDescent="0.2">
      <c r="A571" s="58" t="str">
        <v/>
      </c>
      <c r="B571" s="123" t="str">
        <f>IFERROR(TIMEVALUE(DaqBook_RAW_Data!AG527),IFERROR(TIMEVALUE(DaqBook_RAW_Data!#REF!),""))</f>
        <v/>
      </c>
      <c r="C571" s="145"/>
      <c r="D571" s="145"/>
      <c r="E571" s="145"/>
      <c r="F571" s="145"/>
      <c r="G571" s="145"/>
      <c r="H571" s="145"/>
      <c r="I571" s="145"/>
      <c r="J571" s="145"/>
      <c r="K571" s="145"/>
      <c r="L571" s="145"/>
      <c r="M571" s="145"/>
      <c r="N571" s="145"/>
      <c r="O571" s="44"/>
      <c r="P571" s="44"/>
    </row>
    <row r="572" spans="1:16" x14ac:dyDescent="0.2">
      <c r="A572" s="58" t="str">
        <v/>
      </c>
      <c r="B572" s="123" t="str">
        <f>IFERROR(TIMEVALUE(DaqBook_RAW_Data!AG528),IFERROR(TIMEVALUE(DaqBook_RAW_Data!#REF!),""))</f>
        <v/>
      </c>
      <c r="C572" s="145"/>
      <c r="D572" s="145"/>
      <c r="E572" s="145"/>
      <c r="F572" s="145"/>
      <c r="G572" s="145"/>
      <c r="H572" s="145"/>
      <c r="I572" s="145"/>
      <c r="J572" s="145"/>
      <c r="K572" s="145"/>
      <c r="L572" s="145"/>
      <c r="M572" s="145"/>
      <c r="N572" s="145"/>
      <c r="O572" s="44"/>
      <c r="P572" s="44"/>
    </row>
    <row r="573" spans="1:16" x14ac:dyDescent="0.2">
      <c r="A573" s="58" t="str">
        <v/>
      </c>
      <c r="B573" s="123" t="str">
        <f>IFERROR(TIMEVALUE(DaqBook_RAW_Data!AG529),IFERROR(TIMEVALUE(DaqBook_RAW_Data!#REF!),""))</f>
        <v/>
      </c>
      <c r="C573" s="145"/>
      <c r="D573" s="145"/>
      <c r="E573" s="145"/>
      <c r="F573" s="145"/>
      <c r="G573" s="145"/>
      <c r="H573" s="145"/>
      <c r="I573" s="145"/>
      <c r="J573" s="145"/>
      <c r="K573" s="145"/>
      <c r="L573" s="145"/>
      <c r="M573" s="145"/>
      <c r="N573" s="145"/>
      <c r="O573" s="44"/>
      <c r="P573" s="44"/>
    </row>
    <row r="574" spans="1:16" x14ac:dyDescent="0.2">
      <c r="A574" s="58" t="str">
        <v/>
      </c>
      <c r="B574" s="123" t="str">
        <f>IFERROR(TIMEVALUE(DaqBook_RAW_Data!AG530),IFERROR(TIMEVALUE(DaqBook_RAW_Data!#REF!),""))</f>
        <v/>
      </c>
      <c r="C574" s="145"/>
      <c r="D574" s="145"/>
      <c r="E574" s="145"/>
      <c r="F574" s="145"/>
      <c r="G574" s="145"/>
      <c r="H574" s="145"/>
      <c r="I574" s="145"/>
      <c r="J574" s="145"/>
      <c r="K574" s="145"/>
      <c r="L574" s="145"/>
      <c r="M574" s="145"/>
      <c r="N574" s="145"/>
      <c r="O574" s="44"/>
      <c r="P574" s="44"/>
    </row>
    <row r="575" spans="1:16" x14ac:dyDescent="0.2">
      <c r="A575" s="58" t="str">
        <v/>
      </c>
      <c r="B575" s="123" t="str">
        <f>IFERROR(TIMEVALUE(DaqBook_RAW_Data!AG531),IFERROR(TIMEVALUE(DaqBook_RAW_Data!#REF!),""))</f>
        <v/>
      </c>
      <c r="C575" s="145"/>
      <c r="D575" s="145"/>
      <c r="E575" s="145"/>
      <c r="F575" s="145"/>
      <c r="G575" s="145"/>
      <c r="H575" s="145"/>
      <c r="I575" s="145"/>
      <c r="J575" s="145"/>
      <c r="K575" s="145"/>
      <c r="L575" s="145"/>
      <c r="M575" s="145"/>
      <c r="N575" s="145"/>
      <c r="O575" s="44"/>
      <c r="P575" s="44"/>
    </row>
    <row r="576" spans="1:16" x14ac:dyDescent="0.2">
      <c r="A576" s="58" t="str">
        <v/>
      </c>
      <c r="B576" s="123" t="str">
        <f>IFERROR(TIMEVALUE(DaqBook_RAW_Data!AG532),IFERROR(TIMEVALUE(DaqBook_RAW_Data!#REF!),""))</f>
        <v/>
      </c>
      <c r="C576" s="145"/>
      <c r="D576" s="145"/>
      <c r="E576" s="145"/>
      <c r="F576" s="145"/>
      <c r="G576" s="145"/>
      <c r="H576" s="145"/>
      <c r="I576" s="145"/>
      <c r="J576" s="145"/>
      <c r="K576" s="145"/>
      <c r="L576" s="145"/>
      <c r="M576" s="145"/>
      <c r="N576" s="145"/>
      <c r="O576" s="44"/>
      <c r="P576" s="44"/>
    </row>
    <row r="577" spans="1:16" x14ac:dyDescent="0.2">
      <c r="A577" s="58" t="str">
        <v/>
      </c>
      <c r="B577" s="123" t="str">
        <f>IFERROR(TIMEVALUE(DaqBook_RAW_Data!AG533),IFERROR(TIMEVALUE(DaqBook_RAW_Data!#REF!),""))</f>
        <v/>
      </c>
      <c r="C577" s="145"/>
      <c r="D577" s="145"/>
      <c r="E577" s="145"/>
      <c r="F577" s="145"/>
      <c r="G577" s="145"/>
      <c r="H577" s="145"/>
      <c r="I577" s="145"/>
      <c r="J577" s="145"/>
      <c r="K577" s="145"/>
      <c r="L577" s="145"/>
      <c r="M577" s="145"/>
      <c r="N577" s="145"/>
      <c r="O577" s="44"/>
      <c r="P577" s="44"/>
    </row>
    <row r="578" spans="1:16" x14ac:dyDescent="0.2">
      <c r="A578" s="58" t="str">
        <v/>
      </c>
      <c r="B578" s="123" t="str">
        <f>IFERROR(TIMEVALUE(DaqBook_RAW_Data!AG534),IFERROR(TIMEVALUE(DaqBook_RAW_Data!#REF!),""))</f>
        <v/>
      </c>
      <c r="C578" s="145"/>
      <c r="D578" s="145"/>
      <c r="E578" s="145"/>
      <c r="F578" s="145"/>
      <c r="G578" s="145"/>
      <c r="H578" s="145"/>
      <c r="I578" s="145"/>
      <c r="J578" s="145"/>
      <c r="K578" s="145"/>
      <c r="L578" s="145"/>
      <c r="M578" s="145"/>
      <c r="N578" s="145"/>
      <c r="O578" s="44"/>
      <c r="P578" s="44"/>
    </row>
    <row r="579" spans="1:16" x14ac:dyDescent="0.2">
      <c r="A579" s="58" t="str">
        <v/>
      </c>
      <c r="B579" s="123" t="str">
        <f>IFERROR(TIMEVALUE(DaqBook_RAW_Data!AG535),IFERROR(TIMEVALUE(DaqBook_RAW_Data!#REF!),""))</f>
        <v/>
      </c>
      <c r="C579" s="145"/>
      <c r="D579" s="145"/>
      <c r="E579" s="145"/>
      <c r="F579" s="145"/>
      <c r="G579" s="145"/>
      <c r="H579" s="145"/>
      <c r="I579" s="145"/>
      <c r="J579" s="145"/>
      <c r="K579" s="145"/>
      <c r="L579" s="145"/>
      <c r="M579" s="145"/>
      <c r="N579" s="145"/>
      <c r="O579" s="44"/>
      <c r="P579" s="44"/>
    </row>
    <row r="580" spans="1:16" x14ac:dyDescent="0.2">
      <c r="A580" s="58" t="str">
        <v/>
      </c>
      <c r="B580" s="123" t="str">
        <f>IFERROR(TIMEVALUE(DaqBook_RAW_Data!AG536),IFERROR(TIMEVALUE(DaqBook_RAW_Data!#REF!),""))</f>
        <v/>
      </c>
      <c r="C580" s="145"/>
      <c r="D580" s="145"/>
      <c r="E580" s="145"/>
      <c r="F580" s="145"/>
      <c r="G580" s="145"/>
      <c r="H580" s="145"/>
      <c r="I580" s="145"/>
      <c r="J580" s="145"/>
      <c r="K580" s="145"/>
      <c r="L580" s="145"/>
      <c r="M580" s="145"/>
      <c r="N580" s="145"/>
      <c r="O580" s="44"/>
      <c r="P580" s="44"/>
    </row>
    <row r="581" spans="1:16" x14ac:dyDescent="0.2">
      <c r="A581" s="58" t="str">
        <v/>
      </c>
      <c r="B581" s="123" t="str">
        <f>IFERROR(TIMEVALUE(DaqBook_RAW_Data!AG537),IFERROR(TIMEVALUE(DaqBook_RAW_Data!#REF!),""))</f>
        <v/>
      </c>
      <c r="C581" s="145"/>
      <c r="D581" s="145"/>
      <c r="E581" s="145"/>
      <c r="F581" s="145"/>
      <c r="G581" s="145"/>
      <c r="H581" s="145"/>
      <c r="I581" s="145"/>
      <c r="J581" s="145"/>
      <c r="K581" s="145"/>
      <c r="L581" s="145"/>
      <c r="M581" s="145"/>
      <c r="N581" s="145"/>
      <c r="O581" s="44"/>
      <c r="P581" s="44"/>
    </row>
    <row r="582" spans="1:16" x14ac:dyDescent="0.2">
      <c r="A582" s="58" t="str">
        <v/>
      </c>
      <c r="B582" s="123" t="str">
        <f>IFERROR(TIMEVALUE(DaqBook_RAW_Data!AG538),IFERROR(TIMEVALUE(DaqBook_RAW_Data!#REF!),""))</f>
        <v/>
      </c>
      <c r="C582" s="145"/>
      <c r="D582" s="145"/>
      <c r="E582" s="145"/>
      <c r="F582" s="145"/>
      <c r="G582" s="145"/>
      <c r="H582" s="145"/>
      <c r="I582" s="145"/>
      <c r="J582" s="145"/>
      <c r="K582" s="145"/>
      <c r="L582" s="145"/>
      <c r="M582" s="145"/>
      <c r="N582" s="145"/>
      <c r="O582" s="44"/>
      <c r="P582" s="44"/>
    </row>
    <row r="583" spans="1:16" x14ac:dyDescent="0.2">
      <c r="A583" s="58" t="str">
        <v/>
      </c>
      <c r="B583" s="123" t="str">
        <f>IFERROR(TIMEVALUE(DaqBook_RAW_Data!AG539),IFERROR(TIMEVALUE(DaqBook_RAW_Data!#REF!),""))</f>
        <v/>
      </c>
      <c r="C583" s="145"/>
      <c r="D583" s="145"/>
      <c r="E583" s="145"/>
      <c r="F583" s="145"/>
      <c r="G583" s="145"/>
      <c r="H583" s="145"/>
      <c r="I583" s="145"/>
      <c r="J583" s="145"/>
      <c r="K583" s="145"/>
      <c r="L583" s="145"/>
      <c r="M583" s="145"/>
      <c r="N583" s="145"/>
      <c r="O583" s="44"/>
      <c r="P583" s="44"/>
    </row>
    <row r="584" spans="1:16" x14ac:dyDescent="0.2">
      <c r="A584" s="58" t="str">
        <v/>
      </c>
      <c r="B584" s="123" t="str">
        <f>IFERROR(TIMEVALUE(DaqBook_RAW_Data!AG540),IFERROR(TIMEVALUE(DaqBook_RAW_Data!#REF!),""))</f>
        <v/>
      </c>
      <c r="C584" s="145"/>
      <c r="D584" s="145"/>
      <c r="E584" s="145"/>
      <c r="F584" s="145"/>
      <c r="G584" s="145"/>
      <c r="H584" s="145"/>
      <c r="I584" s="145"/>
      <c r="J584" s="145"/>
      <c r="K584" s="145"/>
      <c r="L584" s="145"/>
      <c r="M584" s="145"/>
      <c r="N584" s="145"/>
      <c r="O584" s="44"/>
      <c r="P584" s="44"/>
    </row>
    <row r="585" spans="1:16" x14ac:dyDescent="0.2">
      <c r="A585" s="58" t="str">
        <v/>
      </c>
      <c r="B585" s="123" t="str">
        <f>IFERROR(TIMEVALUE(DaqBook_RAW_Data!AG541),IFERROR(TIMEVALUE(DaqBook_RAW_Data!#REF!),""))</f>
        <v/>
      </c>
      <c r="C585" s="145"/>
      <c r="D585" s="145"/>
      <c r="E585" s="145"/>
      <c r="F585" s="145"/>
      <c r="G585" s="145"/>
      <c r="H585" s="145"/>
      <c r="I585" s="145"/>
      <c r="J585" s="145"/>
      <c r="K585" s="145"/>
      <c r="L585" s="145"/>
      <c r="M585" s="145"/>
      <c r="N585" s="145"/>
      <c r="O585" s="44"/>
      <c r="P585" s="44"/>
    </row>
    <row r="586" spans="1:16" x14ac:dyDescent="0.2">
      <c r="A586" s="58" t="str">
        <v/>
      </c>
      <c r="B586" s="123" t="str">
        <f>IFERROR(TIMEVALUE(DaqBook_RAW_Data!AG542),IFERROR(TIMEVALUE(DaqBook_RAW_Data!#REF!),""))</f>
        <v/>
      </c>
      <c r="C586" s="145"/>
      <c r="D586" s="145"/>
      <c r="E586" s="145"/>
      <c r="F586" s="145"/>
      <c r="G586" s="145"/>
      <c r="H586" s="145"/>
      <c r="I586" s="145"/>
      <c r="J586" s="145"/>
      <c r="K586" s="145"/>
      <c r="L586" s="145"/>
      <c r="M586" s="145"/>
      <c r="N586" s="145"/>
      <c r="O586" s="44"/>
      <c r="P586" s="44"/>
    </row>
    <row r="587" spans="1:16" x14ac:dyDescent="0.2">
      <c r="A587" s="58" t="str">
        <v/>
      </c>
      <c r="B587" s="123" t="str">
        <f>IFERROR(TIMEVALUE(DaqBook_RAW_Data!AG543),IFERROR(TIMEVALUE(DaqBook_RAW_Data!#REF!),""))</f>
        <v/>
      </c>
      <c r="C587" s="145"/>
      <c r="D587" s="145"/>
      <c r="E587" s="145"/>
      <c r="F587" s="145"/>
      <c r="G587" s="145"/>
      <c r="H587" s="145"/>
      <c r="I587" s="145"/>
      <c r="J587" s="145"/>
      <c r="K587" s="145"/>
      <c r="L587" s="145"/>
      <c r="M587" s="145"/>
      <c r="N587" s="145"/>
      <c r="O587" s="44"/>
      <c r="P587" s="44"/>
    </row>
    <row r="588" spans="1:16" x14ac:dyDescent="0.2">
      <c r="A588" s="58" t="str">
        <v/>
      </c>
      <c r="B588" s="123" t="str">
        <f>IFERROR(TIMEVALUE(DaqBook_RAW_Data!AG544),IFERROR(TIMEVALUE(DaqBook_RAW_Data!#REF!),""))</f>
        <v/>
      </c>
      <c r="C588" s="145"/>
      <c r="D588" s="145"/>
      <c r="E588" s="145"/>
      <c r="F588" s="145"/>
      <c r="G588" s="145"/>
      <c r="H588" s="145"/>
      <c r="I588" s="145"/>
      <c r="J588" s="145"/>
      <c r="K588" s="145"/>
      <c r="L588" s="145"/>
      <c r="M588" s="145"/>
      <c r="N588" s="145"/>
      <c r="O588" s="44"/>
      <c r="P588" s="44"/>
    </row>
    <row r="589" spans="1:16" x14ac:dyDescent="0.2">
      <c r="A589" s="58" t="str">
        <v/>
      </c>
      <c r="B589" s="123" t="str">
        <f>IFERROR(TIMEVALUE(DaqBook_RAW_Data!AG545),IFERROR(TIMEVALUE(DaqBook_RAW_Data!#REF!),""))</f>
        <v/>
      </c>
      <c r="C589" s="145"/>
      <c r="D589" s="145"/>
      <c r="E589" s="145"/>
      <c r="F589" s="145"/>
      <c r="G589" s="145"/>
      <c r="H589" s="145"/>
      <c r="I589" s="145"/>
      <c r="J589" s="145"/>
      <c r="K589" s="145"/>
      <c r="L589" s="145"/>
      <c r="M589" s="145"/>
      <c r="N589" s="145"/>
      <c r="O589" s="44"/>
      <c r="P589" s="44"/>
    </row>
    <row r="590" spans="1:16" x14ac:dyDescent="0.2">
      <c r="A590" s="58" t="str">
        <v/>
      </c>
      <c r="B590" s="123" t="str">
        <f>IFERROR(TIMEVALUE(DaqBook_RAW_Data!AG546),IFERROR(TIMEVALUE(DaqBook_RAW_Data!#REF!),""))</f>
        <v/>
      </c>
      <c r="C590" s="145"/>
      <c r="D590" s="145"/>
      <c r="E590" s="145"/>
      <c r="F590" s="145"/>
      <c r="G590" s="145"/>
      <c r="H590" s="145"/>
      <c r="I590" s="145"/>
      <c r="J590" s="145"/>
      <c r="K590" s="145"/>
      <c r="L590" s="145"/>
      <c r="M590" s="145"/>
      <c r="N590" s="145"/>
      <c r="O590" s="44"/>
      <c r="P590" s="44"/>
    </row>
    <row r="591" spans="1:16" x14ac:dyDescent="0.2">
      <c r="A591" s="58" t="str">
        <v/>
      </c>
      <c r="B591" s="123" t="str">
        <f>IFERROR(TIMEVALUE(DaqBook_RAW_Data!AG547),IFERROR(TIMEVALUE(DaqBook_RAW_Data!#REF!),""))</f>
        <v/>
      </c>
      <c r="C591" s="145"/>
      <c r="D591" s="145"/>
      <c r="E591" s="145"/>
      <c r="F591" s="145"/>
      <c r="G591" s="145"/>
      <c r="H591" s="145"/>
      <c r="I591" s="145"/>
      <c r="J591" s="145"/>
      <c r="K591" s="145"/>
      <c r="L591" s="145"/>
      <c r="M591" s="145"/>
      <c r="N591" s="145"/>
      <c r="O591" s="44"/>
      <c r="P591" s="44"/>
    </row>
    <row r="592" spans="1:16" x14ac:dyDescent="0.2">
      <c r="A592" s="58" t="str">
        <v/>
      </c>
      <c r="B592" s="123" t="str">
        <f>IFERROR(TIMEVALUE(DaqBook_RAW_Data!AG548),IFERROR(TIMEVALUE(DaqBook_RAW_Data!#REF!),""))</f>
        <v/>
      </c>
      <c r="C592" s="145"/>
      <c r="D592" s="145"/>
      <c r="E592" s="145"/>
      <c r="F592" s="145"/>
      <c r="G592" s="145"/>
      <c r="H592" s="145"/>
      <c r="I592" s="145"/>
      <c r="J592" s="145"/>
      <c r="K592" s="145"/>
      <c r="L592" s="145"/>
      <c r="M592" s="145"/>
      <c r="N592" s="145"/>
      <c r="O592" s="44"/>
      <c r="P592" s="44"/>
    </row>
    <row r="593" spans="1:16" x14ac:dyDescent="0.2">
      <c r="A593" s="58" t="str">
        <v/>
      </c>
      <c r="B593" s="123" t="str">
        <f>IFERROR(TIMEVALUE(DaqBook_RAW_Data!AG549),IFERROR(TIMEVALUE(DaqBook_RAW_Data!#REF!),""))</f>
        <v/>
      </c>
      <c r="C593" s="145"/>
      <c r="D593" s="145"/>
      <c r="E593" s="145"/>
      <c r="F593" s="145"/>
      <c r="G593" s="145"/>
      <c r="H593" s="145"/>
      <c r="I593" s="145"/>
      <c r="J593" s="145"/>
      <c r="K593" s="145"/>
      <c r="L593" s="145"/>
      <c r="M593" s="145"/>
      <c r="N593" s="145"/>
      <c r="O593" s="44"/>
      <c r="P593" s="44"/>
    </row>
    <row r="594" spans="1:16" x14ac:dyDescent="0.2">
      <c r="A594" s="58" t="str">
        <v/>
      </c>
      <c r="B594" s="123" t="str">
        <f>IFERROR(TIMEVALUE(DaqBook_RAW_Data!AG550),IFERROR(TIMEVALUE(DaqBook_RAW_Data!A4),""))</f>
        <v/>
      </c>
      <c r="C594" s="145"/>
      <c r="D594" s="145"/>
      <c r="E594" s="145"/>
      <c r="F594" s="145"/>
      <c r="G594" s="145"/>
      <c r="H594" s="145"/>
      <c r="I594" s="145"/>
      <c r="J594" s="145"/>
      <c r="K594" s="145"/>
      <c r="L594" s="145"/>
      <c r="M594" s="145"/>
      <c r="N594" s="145"/>
      <c r="O594" s="44"/>
      <c r="P594" s="44"/>
    </row>
    <row r="595" spans="1:16" x14ac:dyDescent="0.2">
      <c r="A595" s="58" t="str">
        <v/>
      </c>
      <c r="B595" s="123" t="str">
        <f>IFERROR(TIMEVALUE(DaqBook_RAW_Data!AG551),IFERROR(TIMEVALUE(DaqBook_RAW_Data!A5),""))</f>
        <v/>
      </c>
      <c r="C595" s="145"/>
      <c r="D595" s="145"/>
      <c r="E595" s="145"/>
      <c r="F595" s="145"/>
      <c r="G595" s="145"/>
      <c r="H595" s="145"/>
      <c r="I595" s="145"/>
      <c r="J595" s="145"/>
      <c r="K595" s="145"/>
      <c r="L595" s="145"/>
      <c r="M595" s="145"/>
      <c r="N595" s="145"/>
      <c r="O595" s="44"/>
      <c r="P595" s="44"/>
    </row>
    <row r="596" spans="1:16" x14ac:dyDescent="0.2">
      <c r="A596" s="58" t="str">
        <v/>
      </c>
      <c r="B596" s="123" t="str">
        <f>IFERROR(TIMEVALUE(DaqBook_RAW_Data!AG552),IFERROR(TIMEVALUE(DaqBook_RAW_Data!A6),""))</f>
        <v/>
      </c>
      <c r="C596" s="145"/>
      <c r="D596" s="145"/>
      <c r="E596" s="145"/>
      <c r="F596" s="145"/>
      <c r="G596" s="145"/>
      <c r="H596" s="145"/>
      <c r="I596" s="145"/>
      <c r="J596" s="145"/>
      <c r="K596" s="145"/>
      <c r="L596" s="145"/>
      <c r="M596" s="145"/>
      <c r="N596" s="145"/>
      <c r="O596" s="44"/>
      <c r="P596" s="44"/>
    </row>
    <row r="597" spans="1:16" x14ac:dyDescent="0.2">
      <c r="A597" s="58" t="str">
        <v/>
      </c>
      <c r="B597" s="123" t="str">
        <f>IFERROR(TIMEVALUE(DaqBook_RAW_Data!AG553),IFERROR(TIMEVALUE(DaqBook_RAW_Data!A7),""))</f>
        <v/>
      </c>
      <c r="C597" s="145"/>
      <c r="D597" s="145"/>
      <c r="E597" s="145"/>
      <c r="F597" s="145"/>
      <c r="G597" s="145"/>
      <c r="H597" s="145"/>
      <c r="I597" s="145"/>
      <c r="J597" s="145"/>
      <c r="K597" s="145"/>
      <c r="L597" s="145"/>
      <c r="M597" s="145"/>
      <c r="N597" s="145"/>
      <c r="O597" s="44"/>
      <c r="P597" s="44"/>
    </row>
    <row r="598" spans="1:16" x14ac:dyDescent="0.2">
      <c r="A598" s="58" t="str">
        <v/>
      </c>
      <c r="B598" s="123" t="str">
        <f>IFERROR(TIMEVALUE(DaqBook_RAW_Data!AG554),IFERROR(TIMEVALUE(DaqBook_RAW_Data!A8),""))</f>
        <v/>
      </c>
      <c r="C598" s="145"/>
      <c r="D598" s="145"/>
      <c r="E598" s="145"/>
      <c r="F598" s="145"/>
      <c r="G598" s="145"/>
      <c r="H598" s="145"/>
      <c r="I598" s="145"/>
      <c r="J598" s="145"/>
      <c r="K598" s="145"/>
      <c r="L598" s="145"/>
      <c r="M598" s="145"/>
      <c r="N598" s="145"/>
      <c r="O598" s="44"/>
      <c r="P598" s="44"/>
    </row>
    <row r="599" spans="1:16" x14ac:dyDescent="0.2">
      <c r="A599" s="58" t="str">
        <v/>
      </c>
      <c r="B599" s="123" t="str">
        <f>IFERROR(TIMEVALUE(DaqBook_RAW_Data!AG555),IFERROR(TIMEVALUE(DaqBook_RAW_Data!A9),""))</f>
        <v/>
      </c>
      <c r="C599" s="145"/>
      <c r="D599" s="145"/>
      <c r="E599" s="145"/>
      <c r="F599" s="145"/>
      <c r="G599" s="145"/>
      <c r="H599" s="145"/>
      <c r="I599" s="145"/>
      <c r="J599" s="145"/>
      <c r="K599" s="145"/>
      <c r="L599" s="145"/>
      <c r="M599" s="145"/>
      <c r="N599" s="145"/>
      <c r="O599" s="44"/>
      <c r="P599" s="44"/>
    </row>
    <row r="600" spans="1:16" x14ac:dyDescent="0.2">
      <c r="A600" s="58" t="str">
        <v/>
      </c>
      <c r="B600" s="123" t="str">
        <f>IFERROR(TIMEVALUE(DaqBook_RAW_Data!AG556),IFERROR(TIMEVALUE(DaqBook_RAW_Data!A10),""))</f>
        <v/>
      </c>
      <c r="C600" s="145"/>
      <c r="D600" s="145"/>
      <c r="E600" s="145"/>
      <c r="F600" s="145"/>
      <c r="G600" s="145"/>
      <c r="H600" s="145"/>
      <c r="I600" s="145"/>
      <c r="J600" s="145"/>
      <c r="K600" s="145"/>
      <c r="L600" s="145"/>
      <c r="M600" s="145"/>
      <c r="N600" s="145"/>
      <c r="O600" s="44"/>
      <c r="P600" s="44"/>
    </row>
    <row r="601" spans="1:16" x14ac:dyDescent="0.2">
      <c r="A601" s="58" t="str">
        <v/>
      </c>
      <c r="B601" s="123" t="str">
        <f>IFERROR(TIMEVALUE(DaqBook_RAW_Data!AG557),IFERROR(TIMEVALUE(DaqBook_RAW_Data!A11),""))</f>
        <v/>
      </c>
      <c r="C601" s="145"/>
      <c r="D601" s="145"/>
      <c r="E601" s="145"/>
      <c r="F601" s="145"/>
      <c r="G601" s="145"/>
      <c r="H601" s="145"/>
      <c r="I601" s="145"/>
      <c r="J601" s="145"/>
      <c r="K601" s="145"/>
      <c r="L601" s="145"/>
      <c r="M601" s="145"/>
      <c r="N601" s="145"/>
      <c r="O601" s="44"/>
      <c r="P601" s="44"/>
    </row>
    <row r="602" spans="1:16" x14ac:dyDescent="0.2">
      <c r="A602" s="58" t="str">
        <v/>
      </c>
      <c r="B602" s="123" t="str">
        <f>IFERROR(TIMEVALUE(DaqBook_RAW_Data!AG558),IFERROR(TIMEVALUE(DaqBook_RAW_Data!A12),""))</f>
        <v/>
      </c>
      <c r="C602" s="145"/>
      <c r="D602" s="145"/>
      <c r="E602" s="145"/>
      <c r="F602" s="145"/>
      <c r="G602" s="145"/>
      <c r="H602" s="145"/>
      <c r="I602" s="145"/>
      <c r="J602" s="145"/>
      <c r="K602" s="145"/>
      <c r="L602" s="145"/>
      <c r="M602" s="145"/>
      <c r="N602" s="145"/>
      <c r="O602" s="44"/>
      <c r="P602" s="44"/>
    </row>
    <row r="603" spans="1:16" x14ac:dyDescent="0.2">
      <c r="A603" s="58" t="str">
        <v/>
      </c>
      <c r="B603" s="123" t="str">
        <f>IFERROR(TIMEVALUE(DaqBook_RAW_Data!AG559),IFERROR(TIMEVALUE(DaqBook_RAW_Data!A13),""))</f>
        <v/>
      </c>
      <c r="C603" s="145"/>
      <c r="D603" s="145"/>
      <c r="E603" s="145"/>
      <c r="F603" s="145"/>
      <c r="G603" s="145"/>
      <c r="H603" s="145"/>
      <c r="I603" s="145"/>
      <c r="J603" s="145"/>
      <c r="K603" s="145"/>
      <c r="L603" s="145"/>
      <c r="M603" s="145"/>
      <c r="N603" s="145"/>
      <c r="O603" s="44"/>
      <c r="P603" s="44"/>
    </row>
    <row r="604" spans="1:16" x14ac:dyDescent="0.2">
      <c r="A604" s="58" t="str">
        <v/>
      </c>
      <c r="B604" s="123" t="str">
        <f>IFERROR(TIMEVALUE(DaqBook_RAW_Data!AG560),IFERROR(TIMEVALUE(DaqBook_RAW_Data!A14),""))</f>
        <v/>
      </c>
      <c r="C604" s="145"/>
      <c r="D604" s="145"/>
      <c r="E604" s="145"/>
      <c r="F604" s="145"/>
      <c r="G604" s="145"/>
      <c r="H604" s="145"/>
      <c r="I604" s="145"/>
      <c r="J604" s="145"/>
      <c r="K604" s="145"/>
      <c r="L604" s="145"/>
      <c r="M604" s="145"/>
      <c r="N604" s="145"/>
      <c r="O604" s="44"/>
      <c r="P604" s="44"/>
    </row>
    <row r="605" spans="1:16" x14ac:dyDescent="0.2">
      <c r="A605" s="58" t="str">
        <v/>
      </c>
      <c r="B605" s="123" t="str">
        <f>IFERROR(TIMEVALUE(DaqBook_RAW_Data!AG561),IFERROR(TIMEVALUE(DaqBook_RAW_Data!A15),""))</f>
        <v/>
      </c>
      <c r="C605" s="145"/>
      <c r="D605" s="145"/>
      <c r="E605" s="145"/>
      <c r="F605" s="145"/>
      <c r="G605" s="145"/>
      <c r="H605" s="145"/>
      <c r="I605" s="145"/>
      <c r="J605" s="145"/>
      <c r="K605" s="145"/>
      <c r="L605" s="145"/>
      <c r="M605" s="145"/>
      <c r="N605" s="145"/>
      <c r="O605" s="44"/>
      <c r="P605" s="44"/>
    </row>
    <row r="606" spans="1:16" x14ac:dyDescent="0.2">
      <c r="A606" s="58" t="str">
        <v/>
      </c>
      <c r="B606" s="123" t="str">
        <f>IFERROR(TIMEVALUE(DaqBook_RAW_Data!AG562),IFERROR(TIMEVALUE(DaqBook_RAW_Data!A16),""))</f>
        <v/>
      </c>
      <c r="C606" s="145"/>
      <c r="D606" s="145"/>
      <c r="E606" s="145"/>
      <c r="F606" s="145"/>
      <c r="G606" s="145"/>
      <c r="H606" s="145"/>
      <c r="I606" s="145"/>
      <c r="J606" s="145"/>
      <c r="K606" s="145"/>
      <c r="L606" s="145"/>
      <c r="M606" s="145"/>
      <c r="N606" s="145"/>
      <c r="O606" s="44"/>
      <c r="P606" s="44"/>
    </row>
    <row r="607" spans="1:16" x14ac:dyDescent="0.2">
      <c r="A607" s="58" t="str">
        <v/>
      </c>
      <c r="B607" s="123" t="str">
        <f>IFERROR(TIMEVALUE(DaqBook_RAW_Data!AG563),IFERROR(TIMEVALUE(DaqBook_RAW_Data!A17),""))</f>
        <v/>
      </c>
      <c r="C607" s="145"/>
      <c r="D607" s="145"/>
      <c r="E607" s="145"/>
      <c r="F607" s="145"/>
      <c r="G607" s="145"/>
      <c r="H607" s="145"/>
      <c r="I607" s="145"/>
      <c r="J607" s="145"/>
      <c r="K607" s="145"/>
      <c r="L607" s="145"/>
      <c r="M607" s="145"/>
      <c r="N607" s="145"/>
      <c r="O607" s="44"/>
      <c r="P607" s="44"/>
    </row>
    <row r="608" spans="1:16" x14ac:dyDescent="0.2">
      <c r="A608" s="58" t="str">
        <v/>
      </c>
      <c r="B608" s="123" t="str">
        <f>IFERROR(TIMEVALUE(DaqBook_RAW_Data!AG564),IFERROR(TIMEVALUE(DaqBook_RAW_Data!A18),""))</f>
        <v/>
      </c>
      <c r="C608" s="145"/>
      <c r="D608" s="145"/>
      <c r="E608" s="145"/>
      <c r="F608" s="145"/>
      <c r="G608" s="145"/>
      <c r="H608" s="145"/>
      <c r="I608" s="145"/>
      <c r="J608" s="145"/>
      <c r="K608" s="145"/>
      <c r="L608" s="145"/>
      <c r="M608" s="145"/>
      <c r="N608" s="145"/>
      <c r="O608" s="44"/>
      <c r="P608" s="44"/>
    </row>
    <row r="609" spans="1:16" x14ac:dyDescent="0.2">
      <c r="A609" s="58" t="str">
        <v/>
      </c>
      <c r="B609" s="123" t="str">
        <f>IFERROR(TIMEVALUE(DaqBook_RAW_Data!AG565),IFERROR(TIMEVALUE(DaqBook_RAW_Data!A19),""))</f>
        <v/>
      </c>
      <c r="C609" s="145"/>
      <c r="D609" s="145"/>
      <c r="E609" s="145"/>
      <c r="F609" s="145"/>
      <c r="G609" s="145"/>
      <c r="H609" s="145"/>
      <c r="I609" s="145"/>
      <c r="J609" s="145"/>
      <c r="K609" s="145"/>
      <c r="L609" s="145"/>
      <c r="M609" s="145"/>
      <c r="N609" s="145"/>
      <c r="O609" s="44"/>
      <c r="P609" s="44"/>
    </row>
    <row r="610" spans="1:16" x14ac:dyDescent="0.2">
      <c r="A610" s="58" t="str">
        <v/>
      </c>
      <c r="B610" s="123" t="str">
        <f>IFERROR(TIMEVALUE(DaqBook_RAW_Data!AG566),IFERROR(TIMEVALUE(DaqBook_RAW_Data!A20),""))</f>
        <v/>
      </c>
      <c r="C610" s="145"/>
      <c r="D610" s="145"/>
      <c r="E610" s="145"/>
      <c r="F610" s="145"/>
      <c r="G610" s="145"/>
      <c r="H610" s="145"/>
      <c r="I610" s="145"/>
      <c r="J610" s="145"/>
      <c r="K610" s="145"/>
      <c r="L610" s="145"/>
      <c r="M610" s="145"/>
      <c r="N610" s="145"/>
      <c r="O610" s="44"/>
      <c r="P610" s="44"/>
    </row>
    <row r="611" spans="1:16" x14ac:dyDescent="0.2">
      <c r="A611" s="58" t="str">
        <v/>
      </c>
      <c r="B611" s="123" t="str">
        <f>IFERROR(TIMEVALUE(DaqBook_RAW_Data!AG567),IFERROR(TIMEVALUE(DaqBook_RAW_Data!A21),""))</f>
        <v/>
      </c>
      <c r="C611" s="145"/>
      <c r="D611" s="145"/>
      <c r="E611" s="145"/>
      <c r="F611" s="145"/>
      <c r="G611" s="145"/>
      <c r="H611" s="145"/>
      <c r="I611" s="145"/>
      <c r="J611" s="145"/>
      <c r="K611" s="145"/>
      <c r="L611" s="145"/>
      <c r="M611" s="145"/>
      <c r="N611" s="145"/>
      <c r="O611" s="44"/>
      <c r="P611" s="44"/>
    </row>
    <row r="612" spans="1:16" x14ac:dyDescent="0.2">
      <c r="A612" s="58" t="str">
        <v/>
      </c>
      <c r="B612" s="123" t="str">
        <f>IFERROR(TIMEVALUE(DaqBook_RAW_Data!AG568),IFERROR(TIMEVALUE(DaqBook_RAW_Data!A22),""))</f>
        <v/>
      </c>
      <c r="C612" s="145"/>
      <c r="D612" s="145"/>
      <c r="E612" s="145"/>
      <c r="F612" s="145"/>
      <c r="G612" s="145"/>
      <c r="H612" s="145"/>
      <c r="I612" s="145"/>
      <c r="J612" s="145"/>
      <c r="K612" s="145"/>
      <c r="L612" s="145"/>
      <c r="M612" s="145"/>
      <c r="N612" s="145"/>
      <c r="O612" s="44"/>
      <c r="P612" s="44"/>
    </row>
    <row r="613" spans="1:16" x14ac:dyDescent="0.2">
      <c r="A613" s="58" t="str">
        <v/>
      </c>
      <c r="B613" s="123" t="str">
        <f>IFERROR(TIMEVALUE(DaqBook_RAW_Data!AG569),IFERROR(TIMEVALUE(DaqBook_RAW_Data!A23),""))</f>
        <v/>
      </c>
      <c r="C613" s="145"/>
      <c r="D613" s="145"/>
      <c r="E613" s="145"/>
      <c r="F613" s="145"/>
      <c r="G613" s="145"/>
      <c r="H613" s="145"/>
      <c r="I613" s="145"/>
      <c r="J613" s="145"/>
      <c r="K613" s="145"/>
      <c r="L613" s="145"/>
      <c r="M613" s="145"/>
      <c r="N613" s="145"/>
      <c r="O613" s="44"/>
      <c r="P613" s="44"/>
    </row>
    <row r="614" spans="1:16" x14ac:dyDescent="0.2">
      <c r="A614" s="58" t="str">
        <v/>
      </c>
      <c r="B614" s="123" t="str">
        <f>IFERROR(TIMEVALUE(DaqBook_RAW_Data!AG570),IFERROR(TIMEVALUE(DaqBook_RAW_Data!A24),""))</f>
        <v/>
      </c>
      <c r="C614" s="145"/>
      <c r="D614" s="145"/>
      <c r="E614" s="145"/>
      <c r="F614" s="145"/>
      <c r="G614" s="145"/>
      <c r="H614" s="145"/>
      <c r="I614" s="145"/>
      <c r="J614" s="145"/>
      <c r="K614" s="145"/>
      <c r="L614" s="145"/>
      <c r="M614" s="145"/>
      <c r="N614" s="145"/>
      <c r="O614" s="44"/>
      <c r="P614" s="44"/>
    </row>
    <row r="615" spans="1:16" x14ac:dyDescent="0.2">
      <c r="A615" s="58" t="str">
        <v/>
      </c>
      <c r="B615" s="123" t="str">
        <f>IFERROR(TIMEVALUE(DaqBook_RAW_Data!AG571),IFERROR(TIMEVALUE(DaqBook_RAW_Data!A25),""))</f>
        <v/>
      </c>
      <c r="C615" s="145"/>
      <c r="D615" s="145"/>
      <c r="E615" s="145"/>
      <c r="F615" s="145"/>
      <c r="G615" s="145"/>
      <c r="H615" s="145"/>
      <c r="I615" s="145"/>
      <c r="J615" s="145"/>
      <c r="K615" s="145"/>
      <c r="L615" s="145"/>
      <c r="M615" s="145"/>
      <c r="N615" s="145"/>
      <c r="O615" s="44"/>
      <c r="P615" s="44"/>
    </row>
    <row r="616" spans="1:16" x14ac:dyDescent="0.2">
      <c r="A616" s="58" t="str">
        <v/>
      </c>
      <c r="B616" s="123" t="str">
        <f>IFERROR(TIMEVALUE(DaqBook_RAW_Data!AG572),IFERROR(TIMEVALUE(DaqBook_RAW_Data!A26),""))</f>
        <v/>
      </c>
      <c r="C616" s="145"/>
      <c r="D616" s="145"/>
      <c r="E616" s="145"/>
      <c r="F616" s="145"/>
      <c r="G616" s="145"/>
      <c r="H616" s="145"/>
      <c r="I616" s="145"/>
      <c r="J616" s="145"/>
      <c r="K616" s="145"/>
      <c r="L616" s="145"/>
      <c r="M616" s="145"/>
      <c r="N616" s="145"/>
      <c r="O616" s="44"/>
      <c r="P616" s="44"/>
    </row>
    <row r="617" spans="1:16" x14ac:dyDescent="0.2">
      <c r="A617" s="58" t="str">
        <v/>
      </c>
      <c r="B617" s="123" t="str">
        <f>IFERROR(TIMEVALUE(DaqBook_RAW_Data!AG573),IFERROR(TIMEVALUE(DaqBook_RAW_Data!A27),""))</f>
        <v/>
      </c>
      <c r="C617" s="145"/>
      <c r="D617" s="145"/>
      <c r="E617" s="145"/>
      <c r="F617" s="145"/>
      <c r="G617" s="145"/>
      <c r="H617" s="145"/>
      <c r="I617" s="145"/>
      <c r="J617" s="145"/>
      <c r="K617" s="145"/>
      <c r="L617" s="145"/>
      <c r="M617" s="145"/>
      <c r="N617" s="145"/>
      <c r="O617" s="44"/>
      <c r="P617" s="44"/>
    </row>
    <row r="618" spans="1:16" x14ac:dyDescent="0.2">
      <c r="A618" s="58" t="str">
        <v/>
      </c>
      <c r="B618" s="123" t="str">
        <f>IFERROR(TIMEVALUE(DaqBook_RAW_Data!AG574),IFERROR(TIMEVALUE(DaqBook_RAW_Data!A28),""))</f>
        <v/>
      </c>
      <c r="C618" s="145"/>
      <c r="D618" s="145"/>
      <c r="E618" s="145"/>
      <c r="F618" s="145"/>
      <c r="G618" s="145"/>
      <c r="H618" s="145"/>
      <c r="I618" s="145"/>
      <c r="J618" s="145"/>
      <c r="K618" s="145"/>
      <c r="L618" s="145"/>
      <c r="M618" s="145"/>
      <c r="N618" s="145"/>
      <c r="O618" s="44"/>
      <c r="P618" s="44"/>
    </row>
    <row r="619" spans="1:16" x14ac:dyDescent="0.2">
      <c r="A619" s="58" t="str">
        <v/>
      </c>
      <c r="B619" s="123" t="str">
        <f>IFERROR(TIMEVALUE(DaqBook_RAW_Data!AG575),IFERROR(TIMEVALUE(DaqBook_RAW_Data!A29),""))</f>
        <v/>
      </c>
      <c r="C619" s="145"/>
      <c r="D619" s="145"/>
      <c r="E619" s="145"/>
      <c r="F619" s="145"/>
      <c r="G619" s="145"/>
      <c r="H619" s="145"/>
      <c r="I619" s="145"/>
      <c r="J619" s="145"/>
      <c r="K619" s="145"/>
      <c r="L619" s="145"/>
      <c r="M619" s="145"/>
      <c r="N619" s="145"/>
      <c r="O619" s="44"/>
      <c r="P619" s="44"/>
    </row>
    <row r="620" spans="1:16" x14ac:dyDescent="0.2">
      <c r="A620" s="58" t="str">
        <v/>
      </c>
      <c r="B620" s="123" t="str">
        <f>IFERROR(TIMEVALUE(DaqBook_RAW_Data!AG576),IFERROR(TIMEVALUE(DaqBook_RAW_Data!A30),""))</f>
        <v/>
      </c>
      <c r="C620" s="145"/>
      <c r="D620" s="145"/>
      <c r="E620" s="145"/>
      <c r="F620" s="145"/>
      <c r="G620" s="145"/>
      <c r="H620" s="145"/>
      <c r="I620" s="145"/>
      <c r="J620" s="145"/>
      <c r="K620" s="145"/>
      <c r="L620" s="145"/>
      <c r="M620" s="145"/>
      <c r="N620" s="145"/>
      <c r="O620" s="44"/>
      <c r="P620" s="44"/>
    </row>
    <row r="621" spans="1:16" x14ac:dyDescent="0.2">
      <c r="A621" s="58" t="str">
        <v/>
      </c>
      <c r="B621" s="123" t="str">
        <f>IFERROR(TIMEVALUE(DaqBook_RAW_Data!AG577),IFERROR(TIMEVALUE(DaqBook_RAW_Data!A31),""))</f>
        <v/>
      </c>
      <c r="C621" s="145"/>
      <c r="D621" s="145"/>
      <c r="E621" s="145"/>
      <c r="F621" s="145"/>
      <c r="G621" s="145"/>
      <c r="H621" s="145"/>
      <c r="I621" s="145"/>
      <c r="J621" s="145"/>
      <c r="K621" s="145"/>
      <c r="L621" s="145"/>
      <c r="M621" s="145"/>
      <c r="N621" s="145"/>
      <c r="O621" s="44"/>
      <c r="P621" s="44"/>
    </row>
    <row r="622" spans="1:16" x14ac:dyDescent="0.2">
      <c r="A622" s="58" t="str">
        <v/>
      </c>
      <c r="B622" s="123" t="str">
        <f>IFERROR(TIMEVALUE(DaqBook_RAW_Data!AG578),IFERROR(TIMEVALUE(DaqBook_RAW_Data!A32),""))</f>
        <v/>
      </c>
      <c r="C622" s="145"/>
      <c r="D622" s="145"/>
      <c r="E622" s="145"/>
      <c r="F622" s="145"/>
      <c r="G622" s="145"/>
      <c r="H622" s="145"/>
      <c r="I622" s="145"/>
      <c r="J622" s="145"/>
      <c r="K622" s="145"/>
      <c r="L622" s="145"/>
      <c r="M622" s="145"/>
      <c r="N622" s="145"/>
      <c r="O622" s="44"/>
      <c r="P622" s="44"/>
    </row>
    <row r="623" spans="1:16" x14ac:dyDescent="0.2">
      <c r="A623" s="58" t="str">
        <v/>
      </c>
      <c r="B623" s="123" t="str">
        <f>IFERROR(TIMEVALUE(DaqBook_RAW_Data!AG579),IFERROR(TIMEVALUE(DaqBook_RAW_Data!A33),""))</f>
        <v/>
      </c>
      <c r="C623" s="145"/>
      <c r="D623" s="145"/>
      <c r="E623" s="145"/>
      <c r="F623" s="145"/>
      <c r="G623" s="145"/>
      <c r="H623" s="145"/>
      <c r="I623" s="145"/>
      <c r="J623" s="145"/>
      <c r="K623" s="145"/>
      <c r="L623" s="145"/>
      <c r="M623" s="145"/>
      <c r="N623" s="145"/>
      <c r="O623" s="44"/>
      <c r="P623" s="44"/>
    </row>
    <row r="624" spans="1:16" x14ac:dyDescent="0.2">
      <c r="A624" s="58" t="str">
        <v/>
      </c>
      <c r="B624" s="123" t="str">
        <f>IFERROR(TIMEVALUE(DaqBook_RAW_Data!AG580),IFERROR(TIMEVALUE(DaqBook_RAW_Data!A34),""))</f>
        <v/>
      </c>
      <c r="C624" s="145"/>
      <c r="D624" s="145"/>
      <c r="E624" s="145"/>
      <c r="F624" s="145"/>
      <c r="G624" s="145"/>
      <c r="H624" s="145"/>
      <c r="I624" s="145"/>
      <c r="J624" s="145"/>
      <c r="K624" s="145"/>
      <c r="L624" s="145"/>
      <c r="M624" s="145"/>
      <c r="N624" s="145"/>
      <c r="O624" s="44"/>
      <c r="P624" s="44"/>
    </row>
    <row r="625" spans="1:16" x14ac:dyDescent="0.2">
      <c r="A625" s="58" t="str">
        <v/>
      </c>
      <c r="B625" s="123" t="str">
        <f>IFERROR(TIMEVALUE(DaqBook_RAW_Data!AG581),IFERROR(TIMEVALUE(DaqBook_RAW_Data!A35),""))</f>
        <v/>
      </c>
      <c r="C625" s="145"/>
      <c r="D625" s="145"/>
      <c r="E625" s="145"/>
      <c r="F625" s="145"/>
      <c r="G625" s="145"/>
      <c r="H625" s="145"/>
      <c r="I625" s="145"/>
      <c r="J625" s="145"/>
      <c r="K625" s="145"/>
      <c r="L625" s="145"/>
      <c r="M625" s="145"/>
      <c r="N625" s="145"/>
      <c r="O625" s="44"/>
      <c r="P625" s="44"/>
    </row>
    <row r="626" spans="1:16" x14ac:dyDescent="0.2">
      <c r="A626" s="58" t="str">
        <v/>
      </c>
      <c r="B626" s="123" t="str">
        <f>IFERROR(TIMEVALUE(DaqBook_RAW_Data!AG582),IFERROR(TIMEVALUE(DaqBook_RAW_Data!A36),""))</f>
        <v/>
      </c>
      <c r="C626" s="145"/>
      <c r="D626" s="145"/>
      <c r="E626" s="145"/>
      <c r="F626" s="145"/>
      <c r="G626" s="145"/>
      <c r="H626" s="145"/>
      <c r="I626" s="145"/>
      <c r="J626" s="145"/>
      <c r="K626" s="145"/>
      <c r="L626" s="145"/>
      <c r="M626" s="145"/>
      <c r="N626" s="145"/>
      <c r="O626" s="44"/>
      <c r="P626" s="44"/>
    </row>
    <row r="627" spans="1:16" x14ac:dyDescent="0.2">
      <c r="A627" s="58" t="str">
        <v/>
      </c>
      <c r="B627" s="123" t="str">
        <f>IFERROR(TIMEVALUE(DaqBook_RAW_Data!AG583),IFERROR(TIMEVALUE(DaqBook_RAW_Data!A37),""))</f>
        <v/>
      </c>
      <c r="C627" s="145"/>
      <c r="D627" s="145"/>
      <c r="E627" s="145"/>
      <c r="F627" s="145"/>
      <c r="G627" s="145"/>
      <c r="H627" s="145"/>
      <c r="I627" s="145"/>
      <c r="J627" s="145"/>
      <c r="K627" s="145"/>
      <c r="L627" s="145"/>
      <c r="M627" s="145"/>
      <c r="N627" s="145"/>
      <c r="O627" s="44"/>
      <c r="P627" s="44"/>
    </row>
    <row r="628" spans="1:16" x14ac:dyDescent="0.2">
      <c r="A628" s="58" t="str">
        <v/>
      </c>
      <c r="B628" s="123" t="str">
        <f>IFERROR(TIMEVALUE(DaqBook_RAW_Data!AG584),IFERROR(TIMEVALUE(DaqBook_RAW_Data!A38),""))</f>
        <v/>
      </c>
      <c r="C628" s="145"/>
      <c r="D628" s="145"/>
      <c r="E628" s="145"/>
      <c r="F628" s="145"/>
      <c r="G628" s="145"/>
      <c r="H628" s="145"/>
      <c r="I628" s="145"/>
      <c r="J628" s="145"/>
      <c r="K628" s="145"/>
      <c r="L628" s="145"/>
      <c r="M628" s="145"/>
      <c r="N628" s="145"/>
      <c r="O628" s="44"/>
      <c r="P628" s="44"/>
    </row>
    <row r="629" spans="1:16" x14ac:dyDescent="0.2">
      <c r="A629" s="58" t="str">
        <v/>
      </c>
      <c r="B629" s="123" t="str">
        <f>IFERROR(TIMEVALUE(DaqBook_RAW_Data!AG585),IFERROR(TIMEVALUE(DaqBook_RAW_Data!A39),""))</f>
        <v/>
      </c>
      <c r="C629" s="145"/>
      <c r="D629" s="145"/>
      <c r="E629" s="145"/>
      <c r="F629" s="145"/>
      <c r="G629" s="145"/>
      <c r="H629" s="145"/>
      <c r="I629" s="145"/>
      <c r="J629" s="145"/>
      <c r="K629" s="145"/>
      <c r="L629" s="145"/>
      <c r="M629" s="145"/>
      <c r="N629" s="145"/>
      <c r="O629" s="44"/>
      <c r="P629" s="44"/>
    </row>
    <row r="630" spans="1:16" x14ac:dyDescent="0.2">
      <c r="A630" s="58" t="str">
        <v/>
      </c>
      <c r="B630" s="123" t="str">
        <f>IFERROR(TIMEVALUE(DaqBook_RAW_Data!AG586),IFERROR(TIMEVALUE(DaqBook_RAW_Data!A40),""))</f>
        <v/>
      </c>
      <c r="C630" s="145"/>
      <c r="D630" s="145"/>
      <c r="E630" s="145"/>
      <c r="F630" s="145"/>
      <c r="G630" s="145"/>
      <c r="H630" s="145"/>
      <c r="I630" s="145"/>
      <c r="J630" s="145"/>
      <c r="K630" s="145"/>
      <c r="L630" s="145"/>
      <c r="M630" s="145"/>
      <c r="N630" s="145"/>
      <c r="O630" s="44"/>
      <c r="P630" s="44"/>
    </row>
    <row r="631" spans="1:16" x14ac:dyDescent="0.2">
      <c r="A631" s="58" t="str">
        <v/>
      </c>
      <c r="B631" s="123" t="str">
        <f>IFERROR(TIMEVALUE(DaqBook_RAW_Data!AG587),IFERROR(TIMEVALUE(DaqBook_RAW_Data!A41),""))</f>
        <v/>
      </c>
      <c r="C631" s="145"/>
      <c r="D631" s="145"/>
      <c r="E631" s="145"/>
      <c r="F631" s="145"/>
      <c r="G631" s="145"/>
      <c r="H631" s="145"/>
      <c r="I631" s="145"/>
      <c r="J631" s="145"/>
      <c r="K631" s="145"/>
      <c r="L631" s="145"/>
      <c r="M631" s="145"/>
      <c r="N631" s="145"/>
      <c r="O631" s="44"/>
      <c r="P631" s="44"/>
    </row>
    <row r="632" spans="1:16" x14ac:dyDescent="0.2">
      <c r="A632" s="58" t="str">
        <v/>
      </c>
      <c r="B632" s="123" t="str">
        <f>IFERROR(TIMEVALUE(DaqBook_RAW_Data!AG588),IFERROR(TIMEVALUE(DaqBook_RAW_Data!A42),""))</f>
        <v/>
      </c>
      <c r="C632" s="145"/>
      <c r="D632" s="145"/>
      <c r="E632" s="145"/>
      <c r="F632" s="145"/>
      <c r="G632" s="145"/>
      <c r="H632" s="145"/>
      <c r="I632" s="145"/>
      <c r="J632" s="145"/>
      <c r="K632" s="145"/>
      <c r="L632" s="145"/>
      <c r="M632" s="145"/>
      <c r="N632" s="145"/>
      <c r="O632" s="44"/>
      <c r="P632" s="44"/>
    </row>
    <row r="633" spans="1:16" x14ac:dyDescent="0.2">
      <c r="A633" s="58" t="str">
        <v/>
      </c>
      <c r="B633" s="123" t="str">
        <f>IFERROR(TIMEVALUE(DaqBook_RAW_Data!AG589),IFERROR(TIMEVALUE(DaqBook_RAW_Data!A43),""))</f>
        <v/>
      </c>
      <c r="C633" s="145"/>
      <c r="D633" s="145"/>
      <c r="E633" s="145"/>
      <c r="F633" s="145"/>
      <c r="G633" s="145"/>
      <c r="H633" s="145"/>
      <c r="I633" s="145"/>
      <c r="J633" s="145"/>
      <c r="K633" s="145"/>
      <c r="L633" s="145"/>
      <c r="M633" s="145"/>
      <c r="N633" s="145"/>
      <c r="O633" s="44"/>
      <c r="P633" s="44"/>
    </row>
    <row r="634" spans="1:16" x14ac:dyDescent="0.2">
      <c r="A634" s="58" t="str">
        <v/>
      </c>
      <c r="B634" s="123" t="str">
        <f>IFERROR(TIMEVALUE(DaqBook_RAW_Data!AG590),IFERROR(TIMEVALUE(DaqBook_RAW_Data!A44),""))</f>
        <v/>
      </c>
      <c r="C634" s="145"/>
      <c r="D634" s="145"/>
      <c r="E634" s="145"/>
      <c r="F634" s="145"/>
      <c r="G634" s="145"/>
      <c r="H634" s="145"/>
      <c r="I634" s="145"/>
      <c r="J634" s="145"/>
      <c r="K634" s="145"/>
      <c r="L634" s="145"/>
      <c r="M634" s="145"/>
      <c r="N634" s="145"/>
      <c r="O634" s="44"/>
      <c r="P634" s="44"/>
    </row>
    <row r="635" spans="1:16" x14ac:dyDescent="0.2">
      <c r="A635" s="58" t="str">
        <v/>
      </c>
      <c r="B635" s="123" t="str">
        <f>IFERROR(TIMEVALUE(DaqBook_RAW_Data!AG591),IFERROR(TIMEVALUE(DaqBook_RAW_Data!A45),""))</f>
        <v/>
      </c>
      <c r="C635" s="145"/>
      <c r="D635" s="145"/>
      <c r="E635" s="145"/>
      <c r="F635" s="145"/>
      <c r="G635" s="145"/>
      <c r="H635" s="145"/>
      <c r="I635" s="145"/>
      <c r="J635" s="145"/>
      <c r="K635" s="145"/>
      <c r="L635" s="145"/>
      <c r="M635" s="145"/>
      <c r="N635" s="145"/>
      <c r="O635" s="44"/>
      <c r="P635" s="44"/>
    </row>
    <row r="636" spans="1:16" x14ac:dyDescent="0.2">
      <c r="A636" s="58" t="str">
        <v/>
      </c>
      <c r="B636" s="123" t="str">
        <f>IFERROR(TIMEVALUE(DaqBook_RAW_Data!AG592),IFERROR(TIMEVALUE(DaqBook_RAW_Data!A46),""))</f>
        <v/>
      </c>
      <c r="C636" s="145"/>
      <c r="D636" s="145"/>
      <c r="E636" s="145"/>
      <c r="F636" s="145"/>
      <c r="G636" s="145"/>
      <c r="H636" s="145"/>
      <c r="I636" s="145"/>
      <c r="J636" s="145"/>
      <c r="K636" s="145"/>
      <c r="L636" s="145"/>
      <c r="M636" s="145"/>
      <c r="N636" s="145"/>
      <c r="O636" s="44"/>
      <c r="P636" s="44"/>
    </row>
    <row r="637" spans="1:16" x14ac:dyDescent="0.2">
      <c r="A637" s="58" t="str">
        <v/>
      </c>
      <c r="B637" s="123" t="str">
        <f>IFERROR(TIMEVALUE(DaqBook_RAW_Data!AG593),IFERROR(TIMEVALUE(DaqBook_RAW_Data!A47),""))</f>
        <v/>
      </c>
      <c r="C637" s="145"/>
      <c r="D637" s="145"/>
      <c r="E637" s="145"/>
      <c r="F637" s="145"/>
      <c r="G637" s="145"/>
      <c r="H637" s="145"/>
      <c r="I637" s="145"/>
      <c r="J637" s="145"/>
      <c r="K637" s="145"/>
      <c r="L637" s="145"/>
      <c r="M637" s="145"/>
      <c r="N637" s="145"/>
      <c r="O637" s="44"/>
      <c r="P637" s="44"/>
    </row>
    <row r="638" spans="1:16" x14ac:dyDescent="0.2">
      <c r="A638" s="58" t="str">
        <v/>
      </c>
      <c r="B638" s="123" t="str">
        <f>IFERROR(TIMEVALUE(DaqBook_RAW_Data!AG594),IFERROR(TIMEVALUE(DaqBook_RAW_Data!A48),""))</f>
        <v/>
      </c>
      <c r="C638" s="145"/>
      <c r="D638" s="145"/>
      <c r="E638" s="145"/>
      <c r="F638" s="145"/>
      <c r="G638" s="145"/>
      <c r="H638" s="145"/>
      <c r="I638" s="145"/>
      <c r="J638" s="145"/>
      <c r="K638" s="145"/>
      <c r="L638" s="145"/>
      <c r="M638" s="145"/>
      <c r="N638" s="145"/>
      <c r="O638" s="44"/>
      <c r="P638" s="44"/>
    </row>
    <row r="639" spans="1:16" x14ac:dyDescent="0.2">
      <c r="A639" s="58" t="str">
        <v/>
      </c>
      <c r="B639" s="123" t="str">
        <f>IFERROR(TIMEVALUE(DaqBook_RAW_Data!AG595),IFERROR(TIMEVALUE(DaqBook_RAW_Data!A49),""))</f>
        <v/>
      </c>
      <c r="C639" s="145"/>
      <c r="D639" s="145"/>
      <c r="E639" s="145"/>
      <c r="F639" s="145"/>
      <c r="G639" s="145"/>
      <c r="H639" s="145"/>
      <c r="I639" s="145"/>
      <c r="J639" s="145"/>
      <c r="K639" s="145"/>
      <c r="L639" s="145"/>
      <c r="M639" s="145"/>
      <c r="N639" s="145"/>
      <c r="O639" s="44"/>
      <c r="P639" s="44"/>
    </row>
    <row r="640" spans="1:16" x14ac:dyDescent="0.2">
      <c r="A640" s="58" t="str">
        <v/>
      </c>
      <c r="B640" s="123" t="str">
        <f>IFERROR(TIMEVALUE(DaqBook_RAW_Data!AG596),IFERROR(TIMEVALUE(DaqBook_RAW_Data!A50),""))</f>
        <v/>
      </c>
      <c r="C640" s="145"/>
      <c r="D640" s="145"/>
      <c r="E640" s="145"/>
      <c r="F640" s="145"/>
      <c r="G640" s="145"/>
      <c r="H640" s="145"/>
      <c r="I640" s="145"/>
      <c r="J640" s="145"/>
      <c r="K640" s="145"/>
      <c r="L640" s="145"/>
      <c r="M640" s="145"/>
      <c r="N640" s="145"/>
      <c r="O640" s="44"/>
      <c r="P640" s="44"/>
    </row>
    <row r="641" spans="1:16" x14ac:dyDescent="0.2">
      <c r="A641" s="58" t="str">
        <v/>
      </c>
      <c r="B641" s="123" t="str">
        <f>IFERROR(TIMEVALUE(DaqBook_RAW_Data!AG597),IFERROR(TIMEVALUE(DaqBook_RAW_Data!A51),""))</f>
        <v/>
      </c>
      <c r="C641" s="145"/>
      <c r="D641" s="145"/>
      <c r="E641" s="145"/>
      <c r="F641" s="145"/>
      <c r="G641" s="145"/>
      <c r="H641" s="145"/>
      <c r="I641" s="145"/>
      <c r="J641" s="145"/>
      <c r="K641" s="145"/>
      <c r="L641" s="145"/>
      <c r="M641" s="145"/>
      <c r="N641" s="145"/>
      <c r="O641" s="44"/>
      <c r="P641" s="44"/>
    </row>
    <row r="642" spans="1:16" x14ac:dyDescent="0.2">
      <c r="A642" s="58" t="str">
        <v/>
      </c>
      <c r="B642" s="123" t="str">
        <f>IFERROR(TIMEVALUE(DaqBook_RAW_Data!AG598),IFERROR(TIMEVALUE(DaqBook_RAW_Data!A52),""))</f>
        <v/>
      </c>
      <c r="C642" s="145"/>
      <c r="D642" s="145"/>
      <c r="E642" s="145"/>
      <c r="F642" s="145"/>
      <c r="G642" s="145"/>
      <c r="H642" s="145"/>
      <c r="I642" s="145"/>
      <c r="J642" s="145"/>
      <c r="K642" s="145"/>
      <c r="L642" s="145"/>
      <c r="M642" s="145"/>
      <c r="N642" s="145"/>
      <c r="O642" s="44"/>
      <c r="P642" s="44"/>
    </row>
    <row r="643" spans="1:16" x14ac:dyDescent="0.2">
      <c r="A643" s="58" t="str">
        <v/>
      </c>
      <c r="B643" s="123" t="str">
        <f>IFERROR(TIMEVALUE(DaqBook_RAW_Data!AG599),IFERROR(TIMEVALUE(DaqBook_RAW_Data!A53),""))</f>
        <v/>
      </c>
      <c r="C643" s="145"/>
      <c r="D643" s="145"/>
      <c r="E643" s="145"/>
      <c r="F643" s="145"/>
      <c r="G643" s="145"/>
      <c r="H643" s="145"/>
      <c r="I643" s="145"/>
      <c r="J643" s="145"/>
      <c r="K643" s="145"/>
      <c r="L643" s="145"/>
      <c r="M643" s="145"/>
      <c r="N643" s="145"/>
      <c r="O643" s="44"/>
      <c r="P643" s="44"/>
    </row>
    <row r="644" spans="1:16" x14ac:dyDescent="0.2">
      <c r="A644" s="58" t="str">
        <v/>
      </c>
      <c r="B644" s="123" t="str">
        <f>IFERROR(TIMEVALUE(DaqBook_RAW_Data!AG600),IFERROR(TIMEVALUE(DaqBook_RAW_Data!A54),""))</f>
        <v/>
      </c>
      <c r="C644" s="145"/>
      <c r="D644" s="145"/>
      <c r="E644" s="145"/>
      <c r="F644" s="145"/>
      <c r="G644" s="145"/>
      <c r="H644" s="145"/>
      <c r="I644" s="145"/>
      <c r="J644" s="145"/>
      <c r="K644" s="145"/>
      <c r="L644" s="145"/>
      <c r="M644" s="145"/>
      <c r="N644" s="145"/>
      <c r="O644" s="44"/>
      <c r="P644" s="44"/>
    </row>
    <row r="645" spans="1:16" x14ac:dyDescent="0.2">
      <c r="A645" s="58" t="str">
        <v/>
      </c>
      <c r="B645" s="123" t="str">
        <f>IFERROR(TIMEVALUE(DaqBook_RAW_Data!AG601),IFERROR(TIMEVALUE(DaqBook_RAW_Data!A55),""))</f>
        <v/>
      </c>
      <c r="C645" s="145"/>
      <c r="D645" s="145"/>
      <c r="E645" s="145"/>
      <c r="F645" s="145"/>
      <c r="G645" s="145"/>
      <c r="H645" s="145"/>
      <c r="I645" s="145"/>
      <c r="J645" s="145"/>
      <c r="K645" s="145"/>
      <c r="L645" s="145"/>
      <c r="M645" s="145"/>
      <c r="N645" s="145"/>
      <c r="O645" s="44"/>
      <c r="P645" s="44"/>
    </row>
    <row r="646" spans="1:16" x14ac:dyDescent="0.2">
      <c r="A646" s="58" t="str">
        <v/>
      </c>
      <c r="B646" s="123" t="str">
        <f>IFERROR(TIMEVALUE(DaqBook_RAW_Data!AG602),IFERROR(TIMEVALUE(DaqBook_RAW_Data!A56),""))</f>
        <v/>
      </c>
      <c r="C646" s="145"/>
      <c r="D646" s="145"/>
      <c r="E646" s="145"/>
      <c r="F646" s="145"/>
      <c r="G646" s="145"/>
      <c r="H646" s="145"/>
      <c r="I646" s="145"/>
      <c r="J646" s="145"/>
      <c r="K646" s="145"/>
      <c r="L646" s="145"/>
      <c r="M646" s="145"/>
      <c r="N646" s="145"/>
      <c r="O646" s="44"/>
      <c r="P646" s="44"/>
    </row>
    <row r="647" spans="1:16" x14ac:dyDescent="0.2">
      <c r="A647" s="58" t="str">
        <v/>
      </c>
      <c r="B647" s="123" t="str">
        <f>IFERROR(TIMEVALUE(DaqBook_RAW_Data!AG603),IFERROR(TIMEVALUE(DaqBook_RAW_Data!A57),""))</f>
        <v/>
      </c>
      <c r="C647" s="145"/>
      <c r="D647" s="145"/>
      <c r="E647" s="145"/>
      <c r="F647" s="145"/>
      <c r="G647" s="145"/>
      <c r="H647" s="145"/>
      <c r="I647" s="145"/>
      <c r="J647" s="145"/>
      <c r="K647" s="145"/>
      <c r="L647" s="145"/>
      <c r="M647" s="145"/>
      <c r="N647" s="145"/>
      <c r="O647" s="44"/>
      <c r="P647" s="44"/>
    </row>
    <row r="648" spans="1:16" x14ac:dyDescent="0.2">
      <c r="A648" s="58" t="str">
        <v/>
      </c>
      <c r="B648" s="123" t="str">
        <f>IFERROR(TIMEVALUE(DaqBook_RAW_Data!AG604),IFERROR(TIMEVALUE(DaqBook_RAW_Data!A58),""))</f>
        <v/>
      </c>
      <c r="C648" s="145"/>
      <c r="D648" s="145"/>
      <c r="E648" s="145"/>
      <c r="F648" s="145"/>
      <c r="G648" s="145"/>
      <c r="H648" s="145"/>
      <c r="I648" s="145"/>
      <c r="J648" s="145"/>
      <c r="K648" s="145"/>
      <c r="L648" s="145"/>
      <c r="M648" s="145"/>
      <c r="N648" s="145"/>
      <c r="O648" s="44"/>
      <c r="P648" s="44"/>
    </row>
    <row r="649" spans="1:16" x14ac:dyDescent="0.2">
      <c r="A649" s="58" t="str">
        <v/>
      </c>
      <c r="B649" s="123" t="str">
        <f>IFERROR(TIMEVALUE(DaqBook_RAW_Data!AG605),IFERROR(TIMEVALUE(DaqBook_RAW_Data!A59),""))</f>
        <v/>
      </c>
      <c r="C649" s="145"/>
      <c r="D649" s="145"/>
      <c r="E649" s="145"/>
      <c r="F649" s="145"/>
      <c r="G649" s="145"/>
      <c r="H649" s="145"/>
      <c r="I649" s="145"/>
      <c r="J649" s="145"/>
      <c r="K649" s="145"/>
      <c r="L649" s="145"/>
      <c r="M649" s="145"/>
      <c r="N649" s="145"/>
      <c r="O649" s="44"/>
      <c r="P649" s="44"/>
    </row>
    <row r="650" spans="1:16" x14ac:dyDescent="0.2">
      <c r="A650" s="58" t="str">
        <v/>
      </c>
      <c r="B650" s="123" t="str">
        <f>IFERROR(TIMEVALUE(DaqBook_RAW_Data!AG606),IFERROR(TIMEVALUE(DaqBook_RAW_Data!A60),""))</f>
        <v/>
      </c>
      <c r="C650" s="145"/>
      <c r="D650" s="145"/>
      <c r="E650" s="145"/>
      <c r="F650" s="145"/>
      <c r="G650" s="145"/>
      <c r="H650" s="145"/>
      <c r="I650" s="145"/>
      <c r="J650" s="145"/>
      <c r="K650" s="145"/>
      <c r="L650" s="145"/>
      <c r="M650" s="145"/>
      <c r="N650" s="145"/>
      <c r="O650" s="44"/>
      <c r="P650" s="44"/>
    </row>
    <row r="651" spans="1:16" x14ac:dyDescent="0.2">
      <c r="A651" s="58" t="str">
        <v/>
      </c>
      <c r="B651" s="123" t="str">
        <f>IFERROR(TIMEVALUE(DaqBook_RAW_Data!AG607),IFERROR(TIMEVALUE(DaqBook_RAW_Data!A61),""))</f>
        <v/>
      </c>
      <c r="C651" s="145"/>
      <c r="D651" s="145"/>
      <c r="E651" s="145"/>
      <c r="F651" s="145"/>
      <c r="G651" s="145"/>
      <c r="H651" s="145"/>
      <c r="I651" s="145"/>
      <c r="J651" s="145"/>
      <c r="K651" s="145"/>
      <c r="L651" s="145"/>
      <c r="M651" s="145"/>
      <c r="N651" s="145"/>
      <c r="O651" s="44"/>
      <c r="P651" s="44"/>
    </row>
    <row r="652" spans="1:16" x14ac:dyDescent="0.2">
      <c r="A652" s="58" t="str">
        <v/>
      </c>
      <c r="B652" s="123" t="str">
        <f>IFERROR(TIMEVALUE(DaqBook_RAW_Data!AG608),IFERROR(TIMEVALUE(DaqBook_RAW_Data!A62),""))</f>
        <v/>
      </c>
      <c r="C652" s="145"/>
      <c r="D652" s="145"/>
      <c r="E652" s="145"/>
      <c r="F652" s="145"/>
      <c r="G652" s="145"/>
      <c r="H652" s="145"/>
      <c r="I652" s="145"/>
      <c r="J652" s="145"/>
      <c r="K652" s="145"/>
      <c r="L652" s="145"/>
      <c r="M652" s="145"/>
      <c r="N652" s="145"/>
      <c r="O652" s="44"/>
      <c r="P652" s="44"/>
    </row>
    <row r="653" spans="1:16" x14ac:dyDescent="0.2">
      <c r="A653" s="58" t="str">
        <v/>
      </c>
      <c r="B653" s="123" t="str">
        <f>IFERROR(TIMEVALUE(DaqBook_RAW_Data!AG609),IFERROR(TIMEVALUE(DaqBook_RAW_Data!A63),""))</f>
        <v/>
      </c>
      <c r="C653" s="145"/>
      <c r="D653" s="145"/>
      <c r="E653" s="145"/>
      <c r="F653" s="145"/>
      <c r="G653" s="145"/>
      <c r="H653" s="145"/>
      <c r="I653" s="145"/>
      <c r="J653" s="145"/>
      <c r="K653" s="145"/>
      <c r="L653" s="145"/>
      <c r="M653" s="145"/>
      <c r="N653" s="145"/>
      <c r="O653" s="44"/>
      <c r="P653" s="44"/>
    </row>
    <row r="654" spans="1:16" x14ac:dyDescent="0.2">
      <c r="A654" s="58" t="str">
        <v/>
      </c>
      <c r="B654" s="123" t="str">
        <f>IFERROR(TIMEVALUE(DaqBook_RAW_Data!AG610),IFERROR(TIMEVALUE(DaqBook_RAW_Data!A64),""))</f>
        <v/>
      </c>
      <c r="C654" s="145"/>
      <c r="D654" s="145"/>
      <c r="E654" s="145"/>
      <c r="F654" s="145"/>
      <c r="G654" s="145"/>
      <c r="H654" s="145"/>
      <c r="I654" s="145"/>
      <c r="J654" s="145"/>
      <c r="K654" s="145"/>
      <c r="L654" s="145"/>
      <c r="M654" s="145"/>
      <c r="N654" s="145"/>
      <c r="O654" s="44"/>
      <c r="P654" s="44"/>
    </row>
    <row r="655" spans="1:16" x14ac:dyDescent="0.2">
      <c r="A655" s="58" t="str">
        <v/>
      </c>
      <c r="B655" s="123" t="str">
        <f>IFERROR(TIMEVALUE(DaqBook_RAW_Data!AG611),IFERROR(TIMEVALUE(DaqBook_RAW_Data!A65),""))</f>
        <v/>
      </c>
      <c r="C655" s="145"/>
      <c r="D655" s="145"/>
      <c r="E655" s="145"/>
      <c r="F655" s="145"/>
      <c r="G655" s="145"/>
      <c r="H655" s="145"/>
      <c r="I655" s="145"/>
      <c r="J655" s="145"/>
      <c r="K655" s="145"/>
      <c r="L655" s="145"/>
      <c r="M655" s="145"/>
      <c r="N655" s="145"/>
      <c r="O655" s="44"/>
      <c r="P655" s="44"/>
    </row>
    <row r="656" spans="1:16" x14ac:dyDescent="0.2">
      <c r="A656" s="58" t="str">
        <v/>
      </c>
      <c r="B656" s="123" t="str">
        <f>IFERROR(TIMEVALUE(DaqBook_RAW_Data!AG612),IFERROR(TIMEVALUE(DaqBook_RAW_Data!A66),""))</f>
        <v/>
      </c>
      <c r="C656" s="145"/>
      <c r="D656" s="145"/>
      <c r="E656" s="145"/>
      <c r="F656" s="145"/>
      <c r="G656" s="145"/>
      <c r="H656" s="145"/>
      <c r="I656" s="145"/>
      <c r="J656" s="145"/>
      <c r="K656" s="145"/>
      <c r="L656" s="145"/>
      <c r="M656" s="145"/>
      <c r="N656" s="145"/>
      <c r="O656" s="44"/>
      <c r="P656" s="44"/>
    </row>
    <row r="657" spans="1:16" x14ac:dyDescent="0.2">
      <c r="A657" s="58" t="str">
        <v/>
      </c>
      <c r="B657" s="123" t="str">
        <f>IFERROR(TIMEVALUE(DaqBook_RAW_Data!AG613),IFERROR(TIMEVALUE(DaqBook_RAW_Data!A67),""))</f>
        <v/>
      </c>
      <c r="C657" s="145"/>
      <c r="D657" s="145"/>
      <c r="E657" s="145"/>
      <c r="F657" s="145"/>
      <c r="G657" s="145"/>
      <c r="H657" s="145"/>
      <c r="I657" s="145"/>
      <c r="J657" s="145"/>
      <c r="K657" s="145"/>
      <c r="L657" s="145"/>
      <c r="M657" s="145"/>
      <c r="N657" s="145"/>
      <c r="O657" s="44"/>
      <c r="P657" s="44"/>
    </row>
    <row r="658" spans="1:16" x14ac:dyDescent="0.2">
      <c r="A658" s="58" t="str">
        <v/>
      </c>
      <c r="B658" s="123" t="str">
        <f>IFERROR(TIMEVALUE(DaqBook_RAW_Data!AG614),IFERROR(TIMEVALUE(DaqBook_RAW_Data!A68),""))</f>
        <v/>
      </c>
      <c r="C658" s="145"/>
      <c r="D658" s="145"/>
      <c r="E658" s="145"/>
      <c r="F658" s="145"/>
      <c r="G658" s="145"/>
      <c r="H658" s="145"/>
      <c r="I658" s="145"/>
      <c r="J658" s="145"/>
      <c r="K658" s="145"/>
      <c r="L658" s="145"/>
      <c r="M658" s="145"/>
      <c r="N658" s="145"/>
      <c r="O658" s="44"/>
      <c r="P658" s="44"/>
    </row>
    <row r="659" spans="1:16" x14ac:dyDescent="0.2">
      <c r="A659" s="58" t="str">
        <v/>
      </c>
      <c r="B659" s="123" t="str">
        <f>IFERROR(TIMEVALUE(DaqBook_RAW_Data!AG615),IFERROR(TIMEVALUE(DaqBook_RAW_Data!A69),""))</f>
        <v/>
      </c>
      <c r="C659" s="145"/>
      <c r="D659" s="145"/>
      <c r="E659" s="145"/>
      <c r="F659" s="145"/>
      <c r="G659" s="145"/>
      <c r="H659" s="145"/>
      <c r="I659" s="145"/>
      <c r="J659" s="145"/>
      <c r="K659" s="145"/>
      <c r="L659" s="145"/>
      <c r="M659" s="145"/>
      <c r="N659" s="145"/>
      <c r="O659" s="44"/>
      <c r="P659" s="44"/>
    </row>
    <row r="660" spans="1:16" x14ac:dyDescent="0.2">
      <c r="A660" s="58" t="str">
        <v/>
      </c>
      <c r="B660" s="123" t="str">
        <f>IFERROR(TIMEVALUE(DaqBook_RAW_Data!AG616),IFERROR(TIMEVALUE(DaqBook_RAW_Data!A70),""))</f>
        <v/>
      </c>
      <c r="C660" s="145"/>
      <c r="D660" s="145"/>
      <c r="E660" s="145"/>
      <c r="F660" s="145"/>
      <c r="G660" s="145"/>
      <c r="H660" s="145"/>
      <c r="I660" s="145"/>
      <c r="J660" s="145"/>
      <c r="K660" s="145"/>
      <c r="L660" s="145"/>
      <c r="M660" s="145"/>
      <c r="N660" s="145"/>
      <c r="O660" s="44"/>
      <c r="P660" s="44"/>
    </row>
    <row r="661" spans="1:16" x14ac:dyDescent="0.2">
      <c r="A661" s="58" t="str">
        <v/>
      </c>
      <c r="B661" s="123" t="str">
        <f>IFERROR(TIMEVALUE(DaqBook_RAW_Data!AG617),IFERROR(TIMEVALUE(DaqBook_RAW_Data!A71),""))</f>
        <v/>
      </c>
      <c r="C661" s="145"/>
      <c r="D661" s="145"/>
      <c r="E661" s="145"/>
      <c r="F661" s="145"/>
      <c r="G661" s="145"/>
      <c r="H661" s="145"/>
      <c r="I661" s="145"/>
      <c r="J661" s="145"/>
      <c r="K661" s="145"/>
      <c r="L661" s="145"/>
      <c r="M661" s="145"/>
      <c r="N661" s="145"/>
      <c r="O661" s="44"/>
      <c r="P661" s="44"/>
    </row>
    <row r="662" spans="1:16" x14ac:dyDescent="0.2">
      <c r="A662" s="58" t="str">
        <v/>
      </c>
      <c r="B662" s="123" t="str">
        <f>IFERROR(TIMEVALUE(DaqBook_RAW_Data!AG618),IFERROR(TIMEVALUE(DaqBook_RAW_Data!A72),""))</f>
        <v/>
      </c>
      <c r="C662" s="145"/>
      <c r="D662" s="145"/>
      <c r="E662" s="145"/>
      <c r="F662" s="145"/>
      <c r="G662" s="145"/>
      <c r="H662" s="145"/>
      <c r="I662" s="145"/>
      <c r="J662" s="145"/>
      <c r="K662" s="145"/>
      <c r="L662" s="145"/>
      <c r="M662" s="145"/>
      <c r="N662" s="145"/>
      <c r="O662" s="44"/>
      <c r="P662" s="44"/>
    </row>
    <row r="663" spans="1:16" x14ac:dyDescent="0.2">
      <c r="A663" s="58" t="str">
        <v/>
      </c>
      <c r="B663" s="123" t="str">
        <f>IFERROR(TIMEVALUE(DaqBook_RAW_Data!AG619),IFERROR(TIMEVALUE(DaqBook_RAW_Data!A73),""))</f>
        <v/>
      </c>
      <c r="C663" s="145"/>
      <c r="D663" s="145"/>
      <c r="E663" s="145"/>
      <c r="F663" s="145"/>
      <c r="G663" s="145"/>
      <c r="H663" s="145"/>
      <c r="I663" s="145"/>
      <c r="J663" s="145"/>
      <c r="K663" s="145"/>
      <c r="L663" s="145"/>
      <c r="M663" s="145"/>
      <c r="N663" s="145"/>
      <c r="O663" s="44"/>
      <c r="P663" s="44"/>
    </row>
    <row r="664" spans="1:16" x14ac:dyDescent="0.2">
      <c r="A664" s="58" t="str">
        <v/>
      </c>
      <c r="B664" s="123" t="str">
        <f>IFERROR(TIMEVALUE(DaqBook_RAW_Data!AG620),IFERROR(TIMEVALUE(DaqBook_RAW_Data!A74),""))</f>
        <v/>
      </c>
      <c r="C664" s="145"/>
      <c r="D664" s="145"/>
      <c r="E664" s="145"/>
      <c r="F664" s="145"/>
      <c r="G664" s="145"/>
      <c r="H664" s="145"/>
      <c r="I664" s="145"/>
      <c r="J664" s="145"/>
      <c r="K664" s="145"/>
      <c r="L664" s="145"/>
      <c r="M664" s="145"/>
      <c r="N664" s="145"/>
      <c r="O664" s="44"/>
      <c r="P664" s="44"/>
    </row>
    <row r="665" spans="1:16" x14ac:dyDescent="0.2">
      <c r="A665" s="58" t="str">
        <v/>
      </c>
      <c r="B665" s="123" t="str">
        <f>IFERROR(TIMEVALUE(DaqBook_RAW_Data!AG621),IFERROR(TIMEVALUE(DaqBook_RAW_Data!A75),""))</f>
        <v/>
      </c>
      <c r="C665" s="145"/>
      <c r="D665" s="145"/>
      <c r="E665" s="145"/>
      <c r="F665" s="145"/>
      <c r="G665" s="145"/>
      <c r="H665" s="145"/>
      <c r="I665" s="145"/>
      <c r="J665" s="145"/>
      <c r="K665" s="145"/>
      <c r="L665" s="145"/>
      <c r="M665" s="145"/>
      <c r="N665" s="145"/>
      <c r="O665" s="44"/>
      <c r="P665" s="44"/>
    </row>
    <row r="666" spans="1:16" x14ac:dyDescent="0.2">
      <c r="A666" s="58" t="str">
        <v/>
      </c>
      <c r="B666" s="123" t="str">
        <f>IFERROR(TIMEVALUE(DaqBook_RAW_Data!AG622),IFERROR(TIMEVALUE(DaqBook_RAW_Data!A76),""))</f>
        <v/>
      </c>
      <c r="C666" s="145"/>
      <c r="D666" s="145"/>
      <c r="E666" s="145"/>
      <c r="F666" s="145"/>
      <c r="G666" s="145"/>
      <c r="H666" s="145"/>
      <c r="I666" s="145"/>
      <c r="J666" s="145"/>
      <c r="K666" s="145"/>
      <c r="L666" s="145"/>
      <c r="M666" s="145"/>
      <c r="N666" s="145"/>
      <c r="O666" s="44"/>
      <c r="P666" s="44"/>
    </row>
    <row r="667" spans="1:16" x14ac:dyDescent="0.2">
      <c r="A667" s="58" t="str">
        <v/>
      </c>
      <c r="B667" s="123" t="str">
        <f>IFERROR(TIMEVALUE(DaqBook_RAW_Data!AG623),IFERROR(TIMEVALUE(DaqBook_RAW_Data!A77),""))</f>
        <v/>
      </c>
      <c r="C667" s="145"/>
      <c r="D667" s="145"/>
      <c r="E667" s="145"/>
      <c r="F667" s="145"/>
      <c r="G667" s="145"/>
      <c r="H667" s="145"/>
      <c r="I667" s="145"/>
      <c r="J667" s="145"/>
      <c r="K667" s="145"/>
      <c r="L667" s="145"/>
      <c r="M667" s="145"/>
      <c r="N667" s="145"/>
      <c r="O667" s="44"/>
      <c r="P667" s="44"/>
    </row>
    <row r="668" spans="1:16" x14ac:dyDescent="0.2">
      <c r="A668" s="58" t="str">
        <v/>
      </c>
      <c r="B668" s="123" t="str">
        <f>IFERROR(TIMEVALUE(DaqBook_RAW_Data!AG624),IFERROR(TIMEVALUE(DaqBook_RAW_Data!A78),""))</f>
        <v/>
      </c>
      <c r="C668" s="145"/>
      <c r="D668" s="145"/>
      <c r="E668" s="145"/>
      <c r="F668" s="145"/>
      <c r="G668" s="145"/>
      <c r="H668" s="145"/>
      <c r="I668" s="145"/>
      <c r="J668" s="145"/>
      <c r="K668" s="145"/>
      <c r="L668" s="145"/>
      <c r="M668" s="145"/>
      <c r="N668" s="145"/>
      <c r="O668" s="44"/>
      <c r="P668" s="44"/>
    </row>
    <row r="669" spans="1:16" x14ac:dyDescent="0.2">
      <c r="A669" s="58" t="str">
        <v/>
      </c>
      <c r="B669" s="123" t="str">
        <f>IFERROR(TIMEVALUE(DaqBook_RAW_Data!AG625),IFERROR(TIMEVALUE(DaqBook_RAW_Data!A79),""))</f>
        <v/>
      </c>
      <c r="C669" s="145"/>
      <c r="D669" s="145"/>
      <c r="E669" s="145"/>
      <c r="F669" s="145"/>
      <c r="G669" s="145"/>
      <c r="H669" s="145"/>
      <c r="I669" s="145"/>
      <c r="J669" s="145"/>
      <c r="K669" s="145"/>
      <c r="L669" s="145"/>
      <c r="M669" s="145"/>
      <c r="N669" s="145"/>
      <c r="O669" s="44"/>
      <c r="P669" s="44"/>
    </row>
    <row r="670" spans="1:16" x14ac:dyDescent="0.2">
      <c r="A670" s="58" t="str">
        <v/>
      </c>
      <c r="B670" s="123" t="str">
        <f>IFERROR(TIMEVALUE(DaqBook_RAW_Data!AG626),IFERROR(TIMEVALUE(DaqBook_RAW_Data!A80),""))</f>
        <v/>
      </c>
      <c r="C670" s="145"/>
      <c r="D670" s="145"/>
      <c r="E670" s="145"/>
      <c r="F670" s="145"/>
      <c r="G670" s="145"/>
      <c r="H670" s="145"/>
      <c r="I670" s="145"/>
      <c r="J670" s="145"/>
      <c r="K670" s="145"/>
      <c r="L670" s="145"/>
      <c r="M670" s="145"/>
      <c r="N670" s="145"/>
      <c r="O670" s="44"/>
      <c r="P670" s="44"/>
    </row>
    <row r="671" spans="1:16" x14ac:dyDescent="0.2">
      <c r="A671" s="58" t="str">
        <v/>
      </c>
      <c r="B671" s="123" t="str">
        <f>IFERROR(TIMEVALUE(DaqBook_RAW_Data!AG627),IFERROR(TIMEVALUE(DaqBook_RAW_Data!A81),""))</f>
        <v/>
      </c>
      <c r="C671" s="145"/>
      <c r="D671" s="145"/>
      <c r="E671" s="145"/>
      <c r="F671" s="145"/>
      <c r="G671" s="145"/>
      <c r="H671" s="145"/>
      <c r="I671" s="145"/>
      <c r="J671" s="145"/>
      <c r="K671" s="145"/>
      <c r="L671" s="145"/>
      <c r="M671" s="145"/>
      <c r="N671" s="145"/>
      <c r="O671" s="44"/>
      <c r="P671" s="44"/>
    </row>
    <row r="672" spans="1:16" x14ac:dyDescent="0.2">
      <c r="A672" s="58" t="str">
        <v/>
      </c>
      <c r="B672" s="123" t="str">
        <f>IFERROR(TIMEVALUE(DaqBook_RAW_Data!AG628),IFERROR(TIMEVALUE(DaqBook_RAW_Data!A82),""))</f>
        <v/>
      </c>
      <c r="C672" s="145"/>
      <c r="D672" s="145"/>
      <c r="E672" s="145"/>
      <c r="F672" s="145"/>
      <c r="G672" s="145"/>
      <c r="H672" s="145"/>
      <c r="I672" s="145"/>
      <c r="J672" s="145"/>
      <c r="K672" s="145"/>
      <c r="L672" s="145"/>
      <c r="M672" s="145"/>
      <c r="N672" s="145"/>
      <c r="O672" s="44"/>
      <c r="P672" s="44"/>
    </row>
    <row r="673" spans="1:16" x14ac:dyDescent="0.2">
      <c r="A673" s="58" t="str">
        <v/>
      </c>
      <c r="B673" s="123" t="str">
        <f>IFERROR(TIMEVALUE(DaqBook_RAW_Data!AG629),IFERROR(TIMEVALUE(DaqBook_RAW_Data!A83),""))</f>
        <v/>
      </c>
      <c r="C673" s="145"/>
      <c r="D673" s="145"/>
      <c r="E673" s="145"/>
      <c r="F673" s="145"/>
      <c r="G673" s="145"/>
      <c r="H673" s="145"/>
      <c r="I673" s="145"/>
      <c r="J673" s="145"/>
      <c r="K673" s="145"/>
      <c r="L673" s="145"/>
      <c r="M673" s="145"/>
      <c r="N673" s="145"/>
      <c r="O673" s="44"/>
      <c r="P673" s="44"/>
    </row>
    <row r="674" spans="1:16" x14ac:dyDescent="0.2">
      <c r="A674" s="58" t="str">
        <v/>
      </c>
      <c r="B674" s="123" t="str">
        <f>IFERROR(TIMEVALUE(DaqBook_RAW_Data!AG630),IFERROR(TIMEVALUE(DaqBook_RAW_Data!A84),""))</f>
        <v/>
      </c>
      <c r="C674" s="145"/>
      <c r="D674" s="145"/>
      <c r="E674" s="145"/>
      <c r="F674" s="145"/>
      <c r="G674" s="145"/>
      <c r="H674" s="145"/>
      <c r="I674" s="145"/>
      <c r="J674" s="145"/>
      <c r="K674" s="145"/>
      <c r="L674" s="145"/>
      <c r="M674" s="145"/>
      <c r="N674" s="145"/>
      <c r="O674" s="44"/>
      <c r="P674" s="44"/>
    </row>
    <row r="675" spans="1:16" x14ac:dyDescent="0.2">
      <c r="A675" s="58" t="str">
        <v/>
      </c>
      <c r="B675" s="123" t="str">
        <f>IFERROR(TIMEVALUE(DaqBook_RAW_Data!AG631),IFERROR(TIMEVALUE(DaqBook_RAW_Data!A85),""))</f>
        <v/>
      </c>
      <c r="C675" s="145"/>
      <c r="D675" s="145"/>
      <c r="E675" s="145"/>
      <c r="F675" s="145"/>
      <c r="G675" s="145"/>
      <c r="H675" s="145"/>
      <c r="I675" s="145"/>
      <c r="J675" s="145"/>
      <c r="K675" s="145"/>
      <c r="L675" s="145"/>
      <c r="M675" s="145"/>
      <c r="N675" s="145"/>
      <c r="O675" s="44"/>
      <c r="P675" s="44"/>
    </row>
    <row r="676" spans="1:16" x14ac:dyDescent="0.2">
      <c r="A676" s="58" t="str">
        <v/>
      </c>
      <c r="B676" s="123" t="str">
        <f>IFERROR(TIMEVALUE(DaqBook_RAW_Data!AG632),IFERROR(TIMEVALUE(DaqBook_RAW_Data!A86),""))</f>
        <v/>
      </c>
      <c r="C676" s="145"/>
      <c r="D676" s="145"/>
      <c r="E676" s="145"/>
      <c r="F676" s="145"/>
      <c r="G676" s="145"/>
      <c r="H676" s="145"/>
      <c r="I676" s="145"/>
      <c r="J676" s="145"/>
      <c r="K676" s="145"/>
      <c r="L676" s="145"/>
      <c r="M676" s="145"/>
      <c r="N676" s="145"/>
      <c r="O676" s="44"/>
      <c r="P676" s="44"/>
    </row>
    <row r="677" spans="1:16" x14ac:dyDescent="0.2">
      <c r="A677" s="58" t="str">
        <v/>
      </c>
      <c r="B677" s="123" t="str">
        <f>IFERROR(TIMEVALUE(DaqBook_RAW_Data!AG633),IFERROR(TIMEVALUE(DaqBook_RAW_Data!A87),""))</f>
        <v/>
      </c>
      <c r="C677" s="145"/>
      <c r="D677" s="145"/>
      <c r="E677" s="145"/>
      <c r="F677" s="145"/>
      <c r="G677" s="145"/>
      <c r="H677" s="145"/>
      <c r="I677" s="145"/>
      <c r="J677" s="145"/>
      <c r="K677" s="145"/>
      <c r="L677" s="145"/>
      <c r="M677" s="145"/>
      <c r="N677" s="145"/>
      <c r="O677" s="44"/>
      <c r="P677" s="44"/>
    </row>
    <row r="678" spans="1:16" x14ac:dyDescent="0.2">
      <c r="A678" s="58" t="str">
        <v/>
      </c>
      <c r="B678" s="123" t="str">
        <f>IFERROR(TIMEVALUE(DaqBook_RAW_Data!AG634),IFERROR(TIMEVALUE(DaqBook_RAW_Data!A88),""))</f>
        <v/>
      </c>
      <c r="C678" s="145"/>
      <c r="D678" s="145"/>
      <c r="E678" s="145"/>
      <c r="F678" s="145"/>
      <c r="G678" s="145"/>
      <c r="H678" s="145"/>
      <c r="I678" s="145"/>
      <c r="J678" s="145"/>
      <c r="K678" s="145"/>
      <c r="L678" s="145"/>
      <c r="M678" s="145"/>
      <c r="N678" s="145"/>
      <c r="O678" s="44"/>
      <c r="P678" s="44"/>
    </row>
    <row r="679" spans="1:16" x14ac:dyDescent="0.2">
      <c r="A679" s="58" t="str">
        <v/>
      </c>
      <c r="B679" s="123" t="str">
        <f>IFERROR(TIMEVALUE(DaqBook_RAW_Data!AG635),IFERROR(TIMEVALUE(DaqBook_RAW_Data!A89),""))</f>
        <v/>
      </c>
      <c r="C679" s="145"/>
      <c r="D679" s="145"/>
      <c r="E679" s="145"/>
      <c r="F679" s="145"/>
      <c r="G679" s="145"/>
      <c r="H679" s="145"/>
      <c r="I679" s="145"/>
      <c r="J679" s="145"/>
      <c r="K679" s="145"/>
      <c r="L679" s="145"/>
      <c r="M679" s="145"/>
      <c r="N679" s="145"/>
      <c r="O679" s="44"/>
      <c r="P679" s="44"/>
    </row>
    <row r="680" spans="1:16" x14ac:dyDescent="0.2">
      <c r="A680" s="58" t="str">
        <v/>
      </c>
      <c r="B680" s="123" t="str">
        <f>IFERROR(TIMEVALUE(DaqBook_RAW_Data!AG636),IFERROR(TIMEVALUE(DaqBook_RAW_Data!A90),""))</f>
        <v/>
      </c>
      <c r="C680" s="145"/>
      <c r="D680" s="145"/>
      <c r="E680" s="145"/>
      <c r="F680" s="145"/>
      <c r="G680" s="145"/>
      <c r="H680" s="145"/>
      <c r="I680" s="145"/>
      <c r="J680" s="145"/>
      <c r="K680" s="145"/>
      <c r="L680" s="145"/>
      <c r="M680" s="145"/>
      <c r="N680" s="145"/>
      <c r="O680" s="44"/>
      <c r="P680" s="44"/>
    </row>
    <row r="681" spans="1:16" x14ac:dyDescent="0.2">
      <c r="A681" s="58" t="str">
        <v/>
      </c>
      <c r="B681" s="123" t="str">
        <f>IFERROR(TIMEVALUE(DaqBook_RAW_Data!AG637),IFERROR(TIMEVALUE(DaqBook_RAW_Data!A91),""))</f>
        <v/>
      </c>
      <c r="C681" s="145"/>
      <c r="D681" s="145"/>
      <c r="E681" s="145"/>
      <c r="F681" s="145"/>
      <c r="G681" s="145"/>
      <c r="H681" s="145"/>
      <c r="I681" s="145"/>
      <c r="J681" s="145"/>
      <c r="K681" s="145"/>
      <c r="L681" s="145"/>
      <c r="M681" s="145"/>
      <c r="N681" s="145"/>
      <c r="O681" s="44"/>
      <c r="P681" s="44"/>
    </row>
    <row r="682" spans="1:16" x14ac:dyDescent="0.2">
      <c r="A682" s="58" t="str">
        <v/>
      </c>
      <c r="B682" s="123" t="str">
        <f>IFERROR(TIMEVALUE(DaqBook_RAW_Data!AG638),IFERROR(TIMEVALUE(DaqBook_RAW_Data!A92),""))</f>
        <v/>
      </c>
      <c r="C682" s="145"/>
      <c r="D682" s="145"/>
      <c r="E682" s="145"/>
      <c r="F682" s="145"/>
      <c r="G682" s="145"/>
      <c r="H682" s="145"/>
      <c r="I682" s="145"/>
      <c r="J682" s="145"/>
      <c r="K682" s="145"/>
      <c r="L682" s="145"/>
      <c r="M682" s="145"/>
      <c r="N682" s="145"/>
      <c r="O682" s="44"/>
      <c r="P682" s="44"/>
    </row>
    <row r="683" spans="1:16" x14ac:dyDescent="0.2">
      <c r="A683" s="58" t="str">
        <v/>
      </c>
      <c r="B683" s="123" t="str">
        <f>IFERROR(TIMEVALUE(DaqBook_RAW_Data!AG639),IFERROR(TIMEVALUE(DaqBook_RAW_Data!A93),""))</f>
        <v/>
      </c>
      <c r="C683" s="145"/>
      <c r="D683" s="145"/>
      <c r="E683" s="145"/>
      <c r="F683" s="145"/>
      <c r="G683" s="145"/>
      <c r="H683" s="145"/>
      <c r="I683" s="145"/>
      <c r="J683" s="145"/>
      <c r="K683" s="145"/>
      <c r="L683" s="145"/>
      <c r="M683" s="145"/>
      <c r="N683" s="145"/>
      <c r="O683" s="44"/>
      <c r="P683" s="44"/>
    </row>
    <row r="684" spans="1:16" x14ac:dyDescent="0.2">
      <c r="A684" s="58" t="str">
        <v/>
      </c>
      <c r="B684" s="123" t="str">
        <f>IFERROR(TIMEVALUE(DaqBook_RAW_Data!AG640),IFERROR(TIMEVALUE(DaqBook_RAW_Data!A94),""))</f>
        <v/>
      </c>
      <c r="C684" s="145"/>
      <c r="D684" s="145"/>
      <c r="E684" s="145"/>
      <c r="F684" s="145"/>
      <c r="G684" s="145"/>
      <c r="H684" s="145"/>
      <c r="I684" s="145"/>
      <c r="J684" s="145"/>
      <c r="K684" s="145"/>
      <c r="L684" s="145"/>
      <c r="M684" s="145"/>
      <c r="N684" s="145"/>
      <c r="O684" s="44"/>
      <c r="P684" s="44"/>
    </row>
    <row r="685" spans="1:16" x14ac:dyDescent="0.2">
      <c r="A685" s="58" t="str">
        <v/>
      </c>
      <c r="B685" s="123" t="str">
        <f>IFERROR(TIMEVALUE(DaqBook_RAW_Data!AG641),IFERROR(TIMEVALUE(DaqBook_RAW_Data!A95),""))</f>
        <v/>
      </c>
      <c r="C685" s="145"/>
      <c r="D685" s="145"/>
      <c r="E685" s="145"/>
      <c r="F685" s="145"/>
      <c r="G685" s="145"/>
      <c r="H685" s="145"/>
      <c r="I685" s="145"/>
      <c r="J685" s="145"/>
      <c r="K685" s="145"/>
      <c r="L685" s="145"/>
      <c r="M685" s="145"/>
      <c r="N685" s="145"/>
      <c r="O685" s="44"/>
      <c r="P685" s="44"/>
    </row>
    <row r="686" spans="1:16" x14ac:dyDescent="0.2">
      <c r="A686" s="58" t="str">
        <v/>
      </c>
      <c r="B686" s="123" t="str">
        <f>IFERROR(TIMEVALUE(DaqBook_RAW_Data!AG642),IFERROR(TIMEVALUE(DaqBook_RAW_Data!A96),""))</f>
        <v/>
      </c>
      <c r="C686" s="145"/>
      <c r="D686" s="145"/>
      <c r="E686" s="145"/>
      <c r="F686" s="145"/>
      <c r="G686" s="145"/>
      <c r="H686" s="145"/>
      <c r="I686" s="145"/>
      <c r="J686" s="145"/>
      <c r="K686" s="145"/>
      <c r="L686" s="145"/>
      <c r="M686" s="145"/>
      <c r="N686" s="145"/>
      <c r="O686" s="44"/>
      <c r="P686" s="44"/>
    </row>
    <row r="687" spans="1:16" x14ac:dyDescent="0.2">
      <c r="A687" s="58" t="str">
        <v/>
      </c>
      <c r="B687" s="123" t="str">
        <f>IFERROR(TIMEVALUE(DaqBook_RAW_Data!AG643),IFERROR(TIMEVALUE(DaqBook_RAW_Data!A97),""))</f>
        <v/>
      </c>
      <c r="C687" s="145"/>
      <c r="D687" s="145"/>
      <c r="E687" s="145"/>
      <c r="F687" s="145"/>
      <c r="G687" s="145"/>
      <c r="H687" s="145"/>
      <c r="I687" s="145"/>
      <c r="J687" s="145"/>
      <c r="K687" s="145"/>
      <c r="L687" s="145"/>
      <c r="M687" s="145"/>
      <c r="N687" s="145"/>
      <c r="O687" s="44"/>
      <c r="P687" s="44"/>
    </row>
    <row r="688" spans="1:16" x14ac:dyDescent="0.2">
      <c r="A688" s="58" t="str">
        <v/>
      </c>
      <c r="B688" s="123" t="str">
        <f>IFERROR(TIMEVALUE(DaqBook_RAW_Data!AG644),IFERROR(TIMEVALUE(DaqBook_RAW_Data!A98),""))</f>
        <v/>
      </c>
      <c r="C688" s="145"/>
      <c r="D688" s="145"/>
      <c r="E688" s="145"/>
      <c r="F688" s="145"/>
      <c r="G688" s="145"/>
      <c r="H688" s="145"/>
      <c r="I688" s="145"/>
      <c r="J688" s="145"/>
      <c r="K688" s="145"/>
      <c r="L688" s="145"/>
      <c r="M688" s="145"/>
      <c r="N688" s="145"/>
      <c r="O688" s="44"/>
      <c r="P688" s="44"/>
    </row>
    <row r="689" spans="1:16" x14ac:dyDescent="0.2">
      <c r="A689" s="58" t="str">
        <v/>
      </c>
      <c r="B689" s="123" t="str">
        <f>IFERROR(TIMEVALUE(DaqBook_RAW_Data!AG645),IFERROR(TIMEVALUE(DaqBook_RAW_Data!A99),""))</f>
        <v/>
      </c>
      <c r="C689" s="145"/>
      <c r="D689" s="145"/>
      <c r="E689" s="145"/>
      <c r="F689" s="145"/>
      <c r="G689" s="145"/>
      <c r="H689" s="145"/>
      <c r="I689" s="145"/>
      <c r="J689" s="145"/>
      <c r="K689" s="145"/>
      <c r="L689" s="145"/>
      <c r="M689" s="145"/>
      <c r="N689" s="145"/>
      <c r="O689" s="44"/>
      <c r="P689" s="44"/>
    </row>
    <row r="690" spans="1:16" x14ac:dyDescent="0.2">
      <c r="A690" s="58" t="str">
        <v/>
      </c>
      <c r="B690" s="123" t="str">
        <f>IFERROR(TIMEVALUE(DaqBook_RAW_Data!AG646),IFERROR(TIMEVALUE(DaqBook_RAW_Data!A100),""))</f>
        <v/>
      </c>
      <c r="C690" s="145"/>
      <c r="D690" s="145"/>
      <c r="E690" s="145"/>
      <c r="F690" s="145"/>
      <c r="G690" s="145"/>
      <c r="H690" s="145"/>
      <c r="I690" s="145"/>
      <c r="J690" s="145"/>
      <c r="K690" s="145"/>
      <c r="L690" s="145"/>
      <c r="M690" s="145"/>
      <c r="N690" s="145"/>
      <c r="O690" s="44"/>
      <c r="P690" s="44"/>
    </row>
    <row r="691" spans="1:16" x14ac:dyDescent="0.2">
      <c r="A691" s="58" t="str">
        <v/>
      </c>
      <c r="B691" s="123" t="str">
        <f>IFERROR(TIMEVALUE(DaqBook_RAW_Data!AG647),IFERROR(TIMEVALUE(DaqBook_RAW_Data!A101),""))</f>
        <v/>
      </c>
      <c r="C691" s="145"/>
      <c r="D691" s="145"/>
      <c r="E691" s="145"/>
      <c r="F691" s="145"/>
      <c r="G691" s="145"/>
      <c r="H691" s="145"/>
      <c r="I691" s="145"/>
      <c r="J691" s="145"/>
      <c r="K691" s="145"/>
      <c r="L691" s="145"/>
      <c r="M691" s="145"/>
      <c r="N691" s="145"/>
      <c r="O691" s="44"/>
      <c r="P691" s="44"/>
    </row>
    <row r="692" spans="1:16" x14ac:dyDescent="0.2">
      <c r="A692" s="58" t="str">
        <v/>
      </c>
      <c r="B692" s="123" t="str">
        <f>IFERROR(TIMEVALUE(DaqBook_RAW_Data!AG648),IFERROR(TIMEVALUE(DaqBook_RAW_Data!A102),""))</f>
        <v/>
      </c>
      <c r="C692" s="145"/>
      <c r="D692" s="145"/>
      <c r="E692" s="145"/>
      <c r="F692" s="145"/>
      <c r="G692" s="145"/>
      <c r="H692" s="145"/>
      <c r="I692" s="145"/>
      <c r="J692" s="145"/>
      <c r="K692" s="145"/>
      <c r="L692" s="145"/>
      <c r="M692" s="145"/>
      <c r="N692" s="145"/>
      <c r="O692" s="44"/>
      <c r="P692" s="44"/>
    </row>
    <row r="693" spans="1:16" x14ac:dyDescent="0.2">
      <c r="A693" s="58" t="str">
        <v/>
      </c>
      <c r="B693" s="123" t="str">
        <f>IFERROR(TIMEVALUE(DaqBook_RAW_Data!AG649),IFERROR(TIMEVALUE(DaqBook_RAW_Data!A103),""))</f>
        <v/>
      </c>
      <c r="C693" s="145"/>
      <c r="D693" s="145"/>
      <c r="E693" s="145"/>
      <c r="F693" s="145"/>
      <c r="G693" s="145"/>
      <c r="H693" s="145"/>
      <c r="I693" s="145"/>
      <c r="J693" s="145"/>
      <c r="K693" s="145"/>
      <c r="L693" s="145"/>
      <c r="M693" s="145"/>
      <c r="N693" s="145"/>
      <c r="O693" s="44"/>
      <c r="P693" s="44"/>
    </row>
    <row r="694" spans="1:16" x14ac:dyDescent="0.2">
      <c r="A694" s="58" t="str">
        <v/>
      </c>
      <c r="B694" s="123" t="str">
        <f>IFERROR(TIMEVALUE(DaqBook_RAW_Data!AG650),IFERROR(TIMEVALUE(DaqBook_RAW_Data!A104),""))</f>
        <v/>
      </c>
      <c r="C694" s="145"/>
      <c r="D694" s="145"/>
      <c r="E694" s="145"/>
      <c r="F694" s="145"/>
      <c r="G694" s="145"/>
      <c r="H694" s="145"/>
      <c r="I694" s="145"/>
      <c r="J694" s="145"/>
      <c r="K694" s="145"/>
      <c r="L694" s="145"/>
      <c r="M694" s="145"/>
      <c r="N694" s="145"/>
      <c r="O694" s="44"/>
      <c r="P694" s="44"/>
    </row>
    <row r="695" spans="1:16" x14ac:dyDescent="0.2">
      <c r="A695" s="58" t="str">
        <v/>
      </c>
      <c r="B695" s="123" t="str">
        <f>IFERROR(TIMEVALUE(DaqBook_RAW_Data!AG651),IFERROR(TIMEVALUE(DaqBook_RAW_Data!A105),""))</f>
        <v/>
      </c>
      <c r="C695" s="145"/>
      <c r="D695" s="145"/>
      <c r="E695" s="145"/>
      <c r="F695" s="145"/>
      <c r="G695" s="145"/>
      <c r="H695" s="145"/>
      <c r="I695" s="145"/>
      <c r="J695" s="145"/>
      <c r="K695" s="145"/>
      <c r="L695" s="145"/>
      <c r="M695" s="145"/>
      <c r="N695" s="145"/>
      <c r="O695" s="44"/>
      <c r="P695" s="44"/>
    </row>
    <row r="696" spans="1:16" x14ac:dyDescent="0.2">
      <c r="A696" s="58" t="str">
        <v/>
      </c>
      <c r="B696" s="123" t="str">
        <f>IFERROR(TIMEVALUE(DaqBook_RAW_Data!AG652),IFERROR(TIMEVALUE(DaqBook_RAW_Data!A106),""))</f>
        <v/>
      </c>
      <c r="C696" s="145"/>
      <c r="D696" s="145"/>
      <c r="E696" s="145"/>
      <c r="F696" s="145"/>
      <c r="G696" s="145"/>
      <c r="H696" s="145"/>
      <c r="I696" s="145"/>
      <c r="J696" s="145"/>
      <c r="K696" s="145"/>
      <c r="L696" s="145"/>
      <c r="M696" s="145"/>
      <c r="N696" s="145"/>
      <c r="O696" s="44"/>
      <c r="P696" s="44"/>
    </row>
    <row r="697" spans="1:16" x14ac:dyDescent="0.2">
      <c r="A697" s="58" t="str">
        <v/>
      </c>
      <c r="B697" s="123" t="str">
        <f>IFERROR(TIMEVALUE(DaqBook_RAW_Data!AG653),IFERROR(TIMEVALUE(DaqBook_RAW_Data!A107),""))</f>
        <v/>
      </c>
      <c r="C697" s="145"/>
      <c r="D697" s="145"/>
      <c r="E697" s="145"/>
      <c r="F697" s="145"/>
      <c r="G697" s="145"/>
      <c r="H697" s="145"/>
      <c r="I697" s="145"/>
      <c r="J697" s="145"/>
      <c r="K697" s="145"/>
      <c r="L697" s="145"/>
      <c r="M697" s="145"/>
      <c r="N697" s="145"/>
      <c r="O697" s="44"/>
      <c r="P697" s="44"/>
    </row>
    <row r="698" spans="1:16" x14ac:dyDescent="0.2">
      <c r="A698" s="58" t="str">
        <v/>
      </c>
      <c r="B698" s="123" t="str">
        <f>IFERROR(TIMEVALUE(DaqBook_RAW_Data!AG654),IFERROR(TIMEVALUE(DaqBook_RAW_Data!A108),""))</f>
        <v/>
      </c>
      <c r="C698" s="145"/>
      <c r="D698" s="145"/>
      <c r="E698" s="145"/>
      <c r="F698" s="145"/>
      <c r="G698" s="145"/>
      <c r="H698" s="145"/>
      <c r="I698" s="145"/>
      <c r="J698" s="145"/>
      <c r="K698" s="145"/>
      <c r="L698" s="145"/>
      <c r="M698" s="145"/>
      <c r="N698" s="145"/>
      <c r="O698" s="44"/>
      <c r="P698" s="44"/>
    </row>
    <row r="699" spans="1:16" x14ac:dyDescent="0.2">
      <c r="A699" s="58" t="str">
        <v/>
      </c>
      <c r="B699" s="123" t="str">
        <f>IFERROR(TIMEVALUE(DaqBook_RAW_Data!AG655),IFERROR(TIMEVALUE(DaqBook_RAW_Data!A109),""))</f>
        <v/>
      </c>
      <c r="C699" s="145"/>
      <c r="D699" s="145"/>
      <c r="E699" s="145"/>
      <c r="F699" s="145"/>
      <c r="G699" s="145"/>
      <c r="H699" s="145"/>
      <c r="I699" s="145"/>
      <c r="J699" s="145"/>
      <c r="K699" s="145"/>
      <c r="L699" s="145"/>
      <c r="M699" s="145"/>
      <c r="N699" s="145"/>
      <c r="O699" s="44"/>
      <c r="P699" s="44"/>
    </row>
    <row r="700" spans="1:16" x14ac:dyDescent="0.2">
      <c r="A700" s="58" t="str">
        <v/>
      </c>
      <c r="B700" s="123" t="str">
        <f>IFERROR(TIMEVALUE(DaqBook_RAW_Data!AG656),IFERROR(TIMEVALUE(DaqBook_RAW_Data!A110),""))</f>
        <v/>
      </c>
      <c r="C700" s="145"/>
      <c r="D700" s="145"/>
      <c r="E700" s="145"/>
      <c r="F700" s="145"/>
      <c r="G700" s="145"/>
      <c r="H700" s="145"/>
      <c r="I700" s="145"/>
      <c r="J700" s="145"/>
      <c r="K700" s="145"/>
      <c r="L700" s="145"/>
      <c r="M700" s="145"/>
      <c r="N700" s="145"/>
      <c r="O700" s="44"/>
      <c r="P700" s="44"/>
    </row>
    <row r="701" spans="1:16" x14ac:dyDescent="0.2">
      <c r="A701" s="58" t="str">
        <v/>
      </c>
      <c r="B701" s="123" t="str">
        <f>IFERROR(TIMEVALUE(DaqBook_RAW_Data!AG657),IFERROR(TIMEVALUE(DaqBook_RAW_Data!A111),""))</f>
        <v/>
      </c>
      <c r="C701" s="145"/>
      <c r="D701" s="145"/>
      <c r="E701" s="145"/>
      <c r="F701" s="145"/>
      <c r="G701" s="145"/>
      <c r="H701" s="145"/>
      <c r="I701" s="145"/>
      <c r="J701" s="145"/>
      <c r="K701" s="145"/>
      <c r="L701" s="145"/>
      <c r="M701" s="145"/>
      <c r="N701" s="145"/>
      <c r="O701" s="44"/>
      <c r="P701" s="44"/>
    </row>
    <row r="702" spans="1:16" x14ac:dyDescent="0.2">
      <c r="A702" s="58" t="str">
        <v/>
      </c>
      <c r="B702" s="123" t="str">
        <f>IFERROR(TIMEVALUE(DaqBook_RAW_Data!AG658),IFERROR(TIMEVALUE(DaqBook_RAW_Data!A112),""))</f>
        <v/>
      </c>
      <c r="C702" s="145"/>
      <c r="D702" s="145"/>
      <c r="E702" s="145"/>
      <c r="F702" s="145"/>
      <c r="G702" s="145"/>
      <c r="H702" s="145"/>
      <c r="I702" s="145"/>
      <c r="J702" s="145"/>
      <c r="K702" s="145"/>
      <c r="L702" s="145"/>
      <c r="M702" s="145"/>
      <c r="N702" s="145"/>
      <c r="O702" s="44"/>
      <c r="P702" s="44"/>
    </row>
    <row r="703" spans="1:16" x14ac:dyDescent="0.2">
      <c r="A703" s="58" t="str">
        <v/>
      </c>
      <c r="B703" s="123" t="str">
        <f>IFERROR(TIMEVALUE(DaqBook_RAW_Data!AG659),IFERROR(TIMEVALUE(DaqBook_RAW_Data!A113),""))</f>
        <v/>
      </c>
      <c r="C703" s="145"/>
      <c r="D703" s="145"/>
      <c r="E703" s="145"/>
      <c r="F703" s="145"/>
      <c r="G703" s="145"/>
      <c r="H703" s="145"/>
      <c r="I703" s="145"/>
      <c r="J703" s="145"/>
      <c r="K703" s="145"/>
      <c r="L703" s="145"/>
      <c r="M703" s="145"/>
      <c r="N703" s="145"/>
      <c r="O703" s="44"/>
      <c r="P703" s="44"/>
    </row>
    <row r="704" spans="1:16" x14ac:dyDescent="0.2">
      <c r="A704" s="58" t="str">
        <v/>
      </c>
      <c r="B704" s="123" t="str">
        <f>IFERROR(TIMEVALUE(DaqBook_RAW_Data!AG660),IFERROR(TIMEVALUE(DaqBook_RAW_Data!A114),""))</f>
        <v/>
      </c>
      <c r="C704" s="145"/>
      <c r="D704" s="145"/>
      <c r="E704" s="145"/>
      <c r="F704" s="145"/>
      <c r="G704" s="145"/>
      <c r="H704" s="145"/>
      <c r="I704" s="145"/>
      <c r="J704" s="145"/>
      <c r="K704" s="145"/>
      <c r="L704" s="145"/>
      <c r="M704" s="145"/>
      <c r="N704" s="145"/>
      <c r="O704" s="44"/>
      <c r="P704" s="44"/>
    </row>
    <row r="705" spans="1:16" x14ac:dyDescent="0.2">
      <c r="A705" s="58" t="str">
        <v/>
      </c>
      <c r="B705" s="123" t="str">
        <f>IFERROR(TIMEVALUE(DaqBook_RAW_Data!AG661),IFERROR(TIMEVALUE(DaqBook_RAW_Data!A115),""))</f>
        <v/>
      </c>
      <c r="C705" s="145"/>
      <c r="D705" s="145"/>
      <c r="E705" s="145"/>
      <c r="F705" s="145"/>
      <c r="G705" s="145"/>
      <c r="H705" s="145"/>
      <c r="I705" s="145"/>
      <c r="J705" s="145"/>
      <c r="K705" s="145"/>
      <c r="L705" s="145"/>
      <c r="M705" s="145"/>
      <c r="N705" s="145"/>
      <c r="O705" s="44"/>
      <c r="P705" s="44"/>
    </row>
    <row r="706" spans="1:16" x14ac:dyDescent="0.2">
      <c r="A706" s="58" t="str">
        <v/>
      </c>
      <c r="B706" s="123" t="str">
        <f>IFERROR(TIMEVALUE(DaqBook_RAW_Data!AG662),IFERROR(TIMEVALUE(DaqBook_RAW_Data!A116),""))</f>
        <v/>
      </c>
      <c r="C706" s="145"/>
      <c r="D706" s="145"/>
      <c r="E706" s="145"/>
      <c r="F706" s="145"/>
      <c r="G706" s="145"/>
      <c r="H706" s="145"/>
      <c r="I706" s="145"/>
      <c r="J706" s="145"/>
      <c r="K706" s="145"/>
      <c r="L706" s="145"/>
      <c r="M706" s="145"/>
      <c r="N706" s="145"/>
      <c r="O706" s="44"/>
      <c r="P706" s="44"/>
    </row>
    <row r="707" spans="1:16" x14ac:dyDescent="0.2">
      <c r="A707" s="58" t="str">
        <v/>
      </c>
      <c r="B707" s="123" t="str">
        <f>IFERROR(TIMEVALUE(DaqBook_RAW_Data!AG663),IFERROR(TIMEVALUE(DaqBook_RAW_Data!A117),""))</f>
        <v/>
      </c>
      <c r="C707" s="145"/>
      <c r="D707" s="145"/>
      <c r="E707" s="145"/>
      <c r="F707" s="145"/>
      <c r="G707" s="145"/>
      <c r="H707" s="145"/>
      <c r="I707" s="145"/>
      <c r="J707" s="145"/>
      <c r="K707" s="145"/>
      <c r="L707" s="145"/>
      <c r="M707" s="145"/>
      <c r="N707" s="145"/>
      <c r="O707" s="44"/>
      <c r="P707" s="44"/>
    </row>
    <row r="708" spans="1:16" x14ac:dyDescent="0.2">
      <c r="A708" s="58" t="str">
        <v/>
      </c>
      <c r="B708" s="123" t="str">
        <f>IFERROR(TIMEVALUE(DaqBook_RAW_Data!AG664),IFERROR(TIMEVALUE(DaqBook_RAW_Data!A118),""))</f>
        <v/>
      </c>
      <c r="C708" s="145"/>
      <c r="D708" s="145"/>
      <c r="E708" s="145"/>
      <c r="F708" s="145"/>
      <c r="G708" s="145"/>
      <c r="H708" s="145"/>
      <c r="I708" s="145"/>
      <c r="J708" s="145"/>
      <c r="K708" s="145"/>
      <c r="L708" s="145"/>
      <c r="M708" s="145"/>
      <c r="N708" s="145"/>
      <c r="O708" s="44"/>
      <c r="P708" s="44"/>
    </row>
    <row r="709" spans="1:16" x14ac:dyDescent="0.2">
      <c r="A709" s="58" t="str">
        <v/>
      </c>
      <c r="B709" s="123" t="str">
        <f>IFERROR(TIMEVALUE(DaqBook_RAW_Data!AG665),IFERROR(TIMEVALUE(DaqBook_RAW_Data!A119),""))</f>
        <v/>
      </c>
      <c r="C709" s="145"/>
      <c r="D709" s="145"/>
      <c r="E709" s="145"/>
      <c r="F709" s="145"/>
      <c r="G709" s="145"/>
      <c r="H709" s="145"/>
      <c r="I709" s="145"/>
      <c r="J709" s="145"/>
      <c r="K709" s="145"/>
      <c r="L709" s="145"/>
      <c r="M709" s="145"/>
      <c r="N709" s="145"/>
      <c r="O709" s="44"/>
      <c r="P709" s="44"/>
    </row>
    <row r="710" spans="1:16" x14ac:dyDescent="0.2">
      <c r="A710" s="58" t="str">
        <v/>
      </c>
      <c r="B710" s="123" t="str">
        <f>IFERROR(TIMEVALUE(DaqBook_RAW_Data!AG666),IFERROR(TIMEVALUE(DaqBook_RAW_Data!A120),""))</f>
        <v/>
      </c>
      <c r="C710" s="145"/>
      <c r="D710" s="145"/>
      <c r="E710" s="145"/>
      <c r="F710" s="145"/>
      <c r="G710" s="145"/>
      <c r="H710" s="145"/>
      <c r="I710" s="145"/>
      <c r="J710" s="145"/>
      <c r="K710" s="145"/>
      <c r="L710" s="145"/>
      <c r="M710" s="145"/>
      <c r="N710" s="145"/>
      <c r="O710" s="44"/>
      <c r="P710" s="44"/>
    </row>
    <row r="711" spans="1:16" x14ac:dyDescent="0.2">
      <c r="A711" s="58" t="str">
        <v/>
      </c>
      <c r="B711" s="123" t="str">
        <f>IFERROR(TIMEVALUE(DaqBook_RAW_Data!AG667),IFERROR(TIMEVALUE(DaqBook_RAW_Data!A121),""))</f>
        <v/>
      </c>
      <c r="C711" s="145"/>
      <c r="D711" s="145"/>
      <c r="E711" s="145"/>
      <c r="F711" s="145"/>
      <c r="G711" s="145"/>
      <c r="H711" s="145"/>
      <c r="I711" s="145"/>
      <c r="J711" s="145"/>
      <c r="K711" s="145"/>
      <c r="L711" s="145"/>
      <c r="M711" s="145"/>
      <c r="N711" s="145"/>
      <c r="O711" s="44"/>
      <c r="P711" s="44"/>
    </row>
    <row r="712" spans="1:16" x14ac:dyDescent="0.2">
      <c r="A712" s="58" t="str">
        <v/>
      </c>
      <c r="B712" s="123" t="str">
        <f>IFERROR(TIMEVALUE(DaqBook_RAW_Data!AG668),IFERROR(TIMEVALUE(DaqBook_RAW_Data!A122),""))</f>
        <v/>
      </c>
      <c r="C712" s="145"/>
      <c r="D712" s="145"/>
      <c r="E712" s="145"/>
      <c r="F712" s="145"/>
      <c r="G712" s="145"/>
      <c r="H712" s="145"/>
      <c r="I712" s="145"/>
      <c r="J712" s="145"/>
      <c r="K712" s="145"/>
      <c r="L712" s="145"/>
      <c r="M712" s="145"/>
      <c r="N712" s="145"/>
      <c r="O712" s="44"/>
      <c r="P712" s="44"/>
    </row>
    <row r="713" spans="1:16" x14ac:dyDescent="0.2">
      <c r="A713" s="58" t="str">
        <v/>
      </c>
      <c r="B713" s="123" t="str">
        <f>IFERROR(TIMEVALUE(DaqBook_RAW_Data!AG669),IFERROR(TIMEVALUE(DaqBook_RAW_Data!A123),""))</f>
        <v/>
      </c>
      <c r="C713" s="145"/>
      <c r="D713" s="145"/>
      <c r="E713" s="145"/>
      <c r="F713" s="145"/>
      <c r="G713" s="145"/>
      <c r="H713" s="145"/>
      <c r="I713" s="145"/>
      <c r="J713" s="145"/>
      <c r="K713" s="145"/>
      <c r="L713" s="145"/>
      <c r="M713" s="145"/>
      <c r="N713" s="145"/>
      <c r="O713" s="44"/>
      <c r="P713" s="44"/>
    </row>
    <row r="714" spans="1:16" x14ac:dyDescent="0.2">
      <c r="A714" s="58" t="str">
        <v/>
      </c>
      <c r="B714" s="123" t="str">
        <f>IFERROR(TIMEVALUE(DaqBook_RAW_Data!AG670),IFERROR(TIMEVALUE(DaqBook_RAW_Data!A124),""))</f>
        <v/>
      </c>
      <c r="C714" s="145"/>
      <c r="D714" s="145"/>
      <c r="E714" s="145"/>
      <c r="F714" s="145"/>
      <c r="G714" s="145"/>
      <c r="H714" s="145"/>
      <c r="I714" s="145"/>
      <c r="J714" s="145"/>
      <c r="K714" s="145"/>
      <c r="L714" s="145"/>
      <c r="M714" s="145"/>
      <c r="N714" s="145"/>
      <c r="O714" s="44"/>
      <c r="P714" s="44"/>
    </row>
    <row r="715" spans="1:16" x14ac:dyDescent="0.2">
      <c r="A715" s="58" t="str">
        <v/>
      </c>
      <c r="B715" s="123" t="str">
        <f>IFERROR(TIMEVALUE(DaqBook_RAW_Data!AG671),IFERROR(TIMEVALUE(DaqBook_RAW_Data!A125),""))</f>
        <v/>
      </c>
      <c r="C715" s="145"/>
      <c r="D715" s="145"/>
      <c r="E715" s="145"/>
      <c r="F715" s="145"/>
      <c r="G715" s="145"/>
      <c r="H715" s="145"/>
      <c r="I715" s="145"/>
      <c r="J715" s="145"/>
      <c r="K715" s="145"/>
      <c r="L715" s="145"/>
      <c r="M715" s="145"/>
      <c r="N715" s="145"/>
      <c r="O715" s="44"/>
      <c r="P715" s="44"/>
    </row>
    <row r="716" spans="1:16" x14ac:dyDescent="0.2">
      <c r="A716" s="58" t="str">
        <v/>
      </c>
      <c r="B716" s="123" t="str">
        <f>IFERROR(TIMEVALUE(DaqBook_RAW_Data!AG672),IFERROR(TIMEVALUE(DaqBook_RAW_Data!A126),""))</f>
        <v/>
      </c>
      <c r="C716" s="145"/>
      <c r="D716" s="145"/>
      <c r="E716" s="145"/>
      <c r="F716" s="145"/>
      <c r="G716" s="145"/>
      <c r="H716" s="145"/>
      <c r="I716" s="145"/>
      <c r="J716" s="145"/>
      <c r="K716" s="145"/>
      <c r="L716" s="145"/>
      <c r="M716" s="145"/>
      <c r="N716" s="145"/>
      <c r="O716" s="44"/>
      <c r="P716" s="44"/>
    </row>
    <row r="717" spans="1:16" x14ac:dyDescent="0.2">
      <c r="A717" s="58" t="str">
        <v/>
      </c>
      <c r="B717" s="123" t="str">
        <f>IFERROR(TIMEVALUE(DaqBook_RAW_Data!AG673),IFERROR(TIMEVALUE(DaqBook_RAW_Data!A127),""))</f>
        <v/>
      </c>
      <c r="C717" s="145"/>
      <c r="D717" s="145"/>
      <c r="E717" s="145"/>
      <c r="F717" s="145"/>
      <c r="G717" s="145"/>
      <c r="H717" s="145"/>
      <c r="I717" s="145"/>
      <c r="J717" s="145"/>
      <c r="K717" s="145"/>
      <c r="L717" s="145"/>
      <c r="M717" s="145"/>
      <c r="N717" s="145"/>
      <c r="O717" s="44"/>
      <c r="P717" s="44"/>
    </row>
    <row r="718" spans="1:16" x14ac:dyDescent="0.2">
      <c r="A718" s="58" t="str">
        <v/>
      </c>
      <c r="B718" s="123" t="str">
        <f>IFERROR(TIMEVALUE(DaqBook_RAW_Data!AG674),IFERROR(TIMEVALUE(DaqBook_RAW_Data!A128),""))</f>
        <v/>
      </c>
      <c r="C718" s="145"/>
      <c r="D718" s="145"/>
      <c r="E718" s="145"/>
      <c r="F718" s="145"/>
      <c r="G718" s="145"/>
      <c r="H718" s="145"/>
      <c r="I718" s="145"/>
      <c r="J718" s="145"/>
      <c r="K718" s="145"/>
      <c r="L718" s="145"/>
      <c r="M718" s="145"/>
      <c r="N718" s="145"/>
      <c r="O718" s="44"/>
      <c r="P718" s="44"/>
    </row>
    <row r="719" spans="1:16" x14ac:dyDescent="0.2">
      <c r="A719" s="58" t="str">
        <v/>
      </c>
      <c r="B719" s="123" t="str">
        <f>IFERROR(TIMEVALUE(DaqBook_RAW_Data!AG675),IFERROR(TIMEVALUE(DaqBook_RAW_Data!A129),""))</f>
        <v/>
      </c>
      <c r="C719" s="145"/>
      <c r="D719" s="145"/>
      <c r="E719" s="145"/>
      <c r="F719" s="145"/>
      <c r="G719" s="145"/>
      <c r="H719" s="145"/>
      <c r="I719" s="145"/>
      <c r="J719" s="145"/>
      <c r="K719" s="145"/>
      <c r="L719" s="145"/>
      <c r="M719" s="145"/>
      <c r="N719" s="145"/>
      <c r="O719" s="44"/>
      <c r="P719" s="44"/>
    </row>
    <row r="720" spans="1:16" x14ac:dyDescent="0.2">
      <c r="A720" s="58" t="str">
        <v/>
      </c>
      <c r="B720" s="123" t="str">
        <f>IFERROR(TIMEVALUE(DaqBook_RAW_Data!AG676),IFERROR(TIMEVALUE(DaqBook_RAW_Data!A130),""))</f>
        <v/>
      </c>
      <c r="C720" s="145"/>
      <c r="D720" s="145"/>
      <c r="E720" s="145"/>
      <c r="F720" s="145"/>
      <c r="G720" s="145"/>
      <c r="H720" s="145"/>
      <c r="I720" s="145"/>
      <c r="J720" s="145"/>
      <c r="K720" s="145"/>
      <c r="L720" s="145"/>
      <c r="M720" s="145"/>
      <c r="N720" s="145"/>
      <c r="O720" s="44"/>
      <c r="P720" s="44"/>
    </row>
    <row r="721" spans="1:16" x14ac:dyDescent="0.2">
      <c r="A721" s="58" t="str">
        <v/>
      </c>
      <c r="B721" s="123" t="str">
        <f>IFERROR(TIMEVALUE(DaqBook_RAW_Data!AG677),IFERROR(TIMEVALUE(DaqBook_RAW_Data!A131),""))</f>
        <v/>
      </c>
      <c r="C721" s="145"/>
      <c r="D721" s="145"/>
      <c r="E721" s="145"/>
      <c r="F721" s="145"/>
      <c r="G721" s="145"/>
      <c r="H721" s="145"/>
      <c r="I721" s="145"/>
      <c r="J721" s="145"/>
      <c r="K721" s="145"/>
      <c r="L721" s="145"/>
      <c r="M721" s="145"/>
      <c r="N721" s="145"/>
      <c r="O721" s="44"/>
      <c r="P721" s="44"/>
    </row>
    <row r="722" spans="1:16" x14ac:dyDescent="0.2">
      <c r="A722" s="58" t="str">
        <v/>
      </c>
      <c r="B722" s="123" t="str">
        <f>IFERROR(TIMEVALUE(DaqBook_RAW_Data!AG678),IFERROR(TIMEVALUE(DaqBook_RAW_Data!A132),""))</f>
        <v/>
      </c>
      <c r="C722" s="145"/>
      <c r="D722" s="145"/>
      <c r="E722" s="145"/>
      <c r="F722" s="145"/>
      <c r="G722" s="145"/>
      <c r="H722" s="145"/>
      <c r="I722" s="145"/>
      <c r="J722" s="145"/>
      <c r="K722" s="145"/>
      <c r="L722" s="145"/>
      <c r="M722" s="145"/>
      <c r="N722" s="145"/>
      <c r="O722" s="44"/>
      <c r="P722" s="44"/>
    </row>
    <row r="723" spans="1:16" x14ac:dyDescent="0.2">
      <c r="A723" s="58" t="str">
        <v/>
      </c>
      <c r="B723" s="123" t="str">
        <f>IFERROR(TIMEVALUE(DaqBook_RAW_Data!AG679),IFERROR(TIMEVALUE(DaqBook_RAW_Data!A133),""))</f>
        <v/>
      </c>
      <c r="C723" s="145"/>
      <c r="D723" s="145"/>
      <c r="E723" s="145"/>
      <c r="F723" s="145"/>
      <c r="G723" s="145"/>
      <c r="H723" s="145"/>
      <c r="I723" s="145"/>
      <c r="J723" s="145"/>
      <c r="K723" s="145"/>
      <c r="L723" s="145"/>
      <c r="M723" s="145"/>
      <c r="N723" s="145"/>
      <c r="O723" s="44"/>
      <c r="P723" s="44"/>
    </row>
    <row r="724" spans="1:16" x14ac:dyDescent="0.2">
      <c r="A724" s="58" t="str">
        <v/>
      </c>
      <c r="B724" s="123" t="str">
        <f>IFERROR(TIMEVALUE(DaqBook_RAW_Data!AG680),IFERROR(TIMEVALUE(DaqBook_RAW_Data!A134),""))</f>
        <v/>
      </c>
      <c r="C724" s="145"/>
      <c r="D724" s="145"/>
      <c r="E724" s="145"/>
      <c r="F724" s="145"/>
      <c r="G724" s="145"/>
      <c r="H724" s="145"/>
      <c r="I724" s="145"/>
      <c r="J724" s="145"/>
      <c r="K724" s="145"/>
      <c r="L724" s="145"/>
      <c r="M724" s="145"/>
      <c r="N724" s="145"/>
      <c r="O724" s="44"/>
      <c r="P724" s="44"/>
    </row>
    <row r="725" spans="1:16" x14ac:dyDescent="0.2">
      <c r="A725" s="58" t="str">
        <v/>
      </c>
      <c r="B725" s="123" t="str">
        <f>IFERROR(TIMEVALUE(DaqBook_RAW_Data!AG681),IFERROR(TIMEVALUE(DaqBook_RAW_Data!A135),""))</f>
        <v/>
      </c>
      <c r="C725" s="145"/>
      <c r="D725" s="145"/>
      <c r="E725" s="145"/>
      <c r="F725" s="145"/>
      <c r="G725" s="145"/>
      <c r="H725" s="145"/>
      <c r="I725" s="145"/>
      <c r="J725" s="145"/>
      <c r="K725" s="145"/>
      <c r="L725" s="145"/>
      <c r="M725" s="145"/>
      <c r="N725" s="145"/>
      <c r="O725" s="44"/>
      <c r="P725" s="44"/>
    </row>
    <row r="726" spans="1:16" x14ac:dyDescent="0.2">
      <c r="A726" s="58" t="str">
        <v/>
      </c>
      <c r="B726" s="123" t="str">
        <f>IFERROR(TIMEVALUE(DaqBook_RAW_Data!AG682),IFERROR(TIMEVALUE(DaqBook_RAW_Data!A136),""))</f>
        <v/>
      </c>
      <c r="C726" s="145"/>
      <c r="D726" s="145"/>
      <c r="E726" s="145"/>
      <c r="F726" s="145"/>
      <c r="G726" s="145"/>
      <c r="H726" s="145"/>
      <c r="I726" s="145"/>
      <c r="J726" s="145"/>
      <c r="K726" s="145"/>
      <c r="L726" s="145"/>
      <c r="M726" s="145"/>
      <c r="N726" s="145"/>
      <c r="O726" s="44"/>
      <c r="P726" s="44"/>
    </row>
    <row r="727" spans="1:16" x14ac:dyDescent="0.2">
      <c r="A727" s="58" t="str">
        <v/>
      </c>
      <c r="B727" s="123" t="str">
        <f>IFERROR(TIMEVALUE(DaqBook_RAW_Data!AG683),IFERROR(TIMEVALUE(DaqBook_RAW_Data!A137),""))</f>
        <v/>
      </c>
      <c r="C727" s="145"/>
      <c r="D727" s="145"/>
      <c r="E727" s="145"/>
      <c r="F727" s="145"/>
      <c r="G727" s="145"/>
      <c r="H727" s="145"/>
      <c r="I727" s="145"/>
      <c r="J727" s="145"/>
      <c r="K727" s="145"/>
      <c r="L727" s="145"/>
      <c r="M727" s="145"/>
      <c r="N727" s="145"/>
      <c r="O727" s="44"/>
      <c r="P727" s="44"/>
    </row>
    <row r="728" spans="1:16" x14ac:dyDescent="0.2">
      <c r="A728" s="58" t="str">
        <v/>
      </c>
      <c r="B728" s="123" t="str">
        <f>IFERROR(TIMEVALUE(DaqBook_RAW_Data!AG684),IFERROR(TIMEVALUE(DaqBook_RAW_Data!A138),""))</f>
        <v/>
      </c>
      <c r="C728" s="145"/>
      <c r="D728" s="145"/>
      <c r="E728" s="145"/>
      <c r="F728" s="145"/>
      <c r="G728" s="145"/>
      <c r="H728" s="145"/>
      <c r="I728" s="145"/>
      <c r="J728" s="145"/>
      <c r="K728" s="145"/>
      <c r="L728" s="145"/>
      <c r="M728" s="145"/>
      <c r="N728" s="145"/>
      <c r="O728" s="44"/>
      <c r="P728" s="44"/>
    </row>
    <row r="729" spans="1:16" x14ac:dyDescent="0.2">
      <c r="A729" s="58" t="str">
        <v/>
      </c>
      <c r="B729" s="123" t="str">
        <f>IFERROR(TIMEVALUE(DaqBook_RAW_Data!AG685),IFERROR(TIMEVALUE(DaqBook_RAW_Data!A139),""))</f>
        <v/>
      </c>
      <c r="C729" s="145"/>
      <c r="D729" s="145"/>
      <c r="E729" s="145"/>
      <c r="F729" s="145"/>
      <c r="G729" s="145"/>
      <c r="H729" s="145"/>
      <c r="I729" s="145"/>
      <c r="J729" s="145"/>
      <c r="K729" s="145"/>
      <c r="L729" s="145"/>
      <c r="M729" s="145"/>
      <c r="N729" s="145"/>
      <c r="O729" s="44"/>
      <c r="P729" s="44"/>
    </row>
    <row r="730" spans="1:16" x14ac:dyDescent="0.2">
      <c r="A730" s="58" t="str">
        <v/>
      </c>
      <c r="B730" s="123" t="str">
        <f>IFERROR(TIMEVALUE(DaqBook_RAW_Data!AG686),IFERROR(TIMEVALUE(DaqBook_RAW_Data!A140),""))</f>
        <v/>
      </c>
      <c r="C730" s="145"/>
      <c r="D730" s="145"/>
      <c r="E730" s="145"/>
      <c r="F730" s="145"/>
      <c r="G730" s="145"/>
      <c r="H730" s="145"/>
      <c r="I730" s="145"/>
      <c r="J730" s="145"/>
      <c r="K730" s="145"/>
      <c r="L730" s="145"/>
      <c r="M730" s="145"/>
      <c r="N730" s="145"/>
      <c r="O730" s="44"/>
      <c r="P730" s="44"/>
    </row>
    <row r="731" spans="1:16" x14ac:dyDescent="0.2">
      <c r="A731" s="58" t="str">
        <v/>
      </c>
      <c r="B731" s="123" t="str">
        <f>IFERROR(TIMEVALUE(DaqBook_RAW_Data!AG687),IFERROR(TIMEVALUE(DaqBook_RAW_Data!A141),""))</f>
        <v/>
      </c>
      <c r="C731" s="145"/>
      <c r="D731" s="145"/>
      <c r="E731" s="145"/>
      <c r="F731" s="145"/>
      <c r="G731" s="145"/>
      <c r="H731" s="145"/>
      <c r="I731" s="145"/>
      <c r="J731" s="145"/>
      <c r="K731" s="145"/>
      <c r="L731" s="145"/>
      <c r="M731" s="145"/>
      <c r="N731" s="145"/>
      <c r="O731" s="44"/>
      <c r="P731" s="44"/>
    </row>
    <row r="732" spans="1:16" x14ac:dyDescent="0.2">
      <c r="A732" s="58" t="str">
        <v/>
      </c>
      <c r="B732" s="123" t="str">
        <f>IFERROR(TIMEVALUE(DaqBook_RAW_Data!AG688),IFERROR(TIMEVALUE(DaqBook_RAW_Data!A142),""))</f>
        <v/>
      </c>
      <c r="C732" s="145"/>
      <c r="D732" s="145"/>
      <c r="E732" s="145"/>
      <c r="F732" s="145"/>
      <c r="G732" s="145"/>
      <c r="H732" s="145"/>
      <c r="I732" s="145"/>
      <c r="J732" s="145"/>
      <c r="K732" s="145"/>
      <c r="L732" s="145"/>
      <c r="M732" s="145"/>
      <c r="N732" s="145"/>
      <c r="O732" s="44"/>
      <c r="P732" s="44"/>
    </row>
    <row r="733" spans="1:16" x14ac:dyDescent="0.2">
      <c r="A733" s="58" t="str">
        <v/>
      </c>
      <c r="B733" s="123" t="str">
        <f>IFERROR(TIMEVALUE(DaqBook_RAW_Data!AG689),IFERROR(TIMEVALUE(DaqBook_RAW_Data!A143),""))</f>
        <v/>
      </c>
      <c r="C733" s="145"/>
      <c r="D733" s="145"/>
      <c r="E733" s="145"/>
      <c r="F733" s="145"/>
      <c r="G733" s="145"/>
      <c r="H733" s="145"/>
      <c r="I733" s="145"/>
      <c r="J733" s="145"/>
      <c r="K733" s="145"/>
      <c r="L733" s="145"/>
      <c r="M733" s="145"/>
      <c r="N733" s="145"/>
      <c r="O733" s="44"/>
      <c r="P733" s="44"/>
    </row>
    <row r="734" spans="1:16" x14ac:dyDescent="0.2">
      <c r="A734" s="58" t="str">
        <v/>
      </c>
      <c r="B734" s="123" t="str">
        <f>IFERROR(TIMEVALUE(DaqBook_RAW_Data!AG690),IFERROR(TIMEVALUE(DaqBook_RAW_Data!A144),""))</f>
        <v/>
      </c>
      <c r="C734" s="145"/>
      <c r="D734" s="145"/>
      <c r="E734" s="145"/>
      <c r="F734" s="145"/>
      <c r="G734" s="145"/>
      <c r="H734" s="145"/>
      <c r="I734" s="145"/>
      <c r="J734" s="145"/>
      <c r="K734" s="145"/>
      <c r="L734" s="145"/>
      <c r="M734" s="145"/>
      <c r="N734" s="145"/>
      <c r="O734" s="44"/>
      <c r="P734" s="44"/>
    </row>
    <row r="735" spans="1:16" x14ac:dyDescent="0.2">
      <c r="A735" s="58" t="str">
        <v/>
      </c>
      <c r="B735" s="123" t="str">
        <f>IFERROR(TIMEVALUE(DaqBook_RAW_Data!AG691),IFERROR(TIMEVALUE(DaqBook_RAW_Data!A145),""))</f>
        <v/>
      </c>
      <c r="C735" s="145"/>
      <c r="D735" s="145"/>
      <c r="E735" s="145"/>
      <c r="F735" s="145"/>
      <c r="G735" s="145"/>
      <c r="H735" s="145"/>
      <c r="I735" s="145"/>
      <c r="J735" s="145"/>
      <c r="K735" s="145"/>
      <c r="L735" s="145"/>
      <c r="M735" s="145"/>
      <c r="N735" s="145"/>
      <c r="O735" s="44"/>
      <c r="P735" s="44"/>
    </row>
    <row r="736" spans="1:16" x14ac:dyDescent="0.2">
      <c r="A736" s="58" t="str">
        <v/>
      </c>
      <c r="B736" s="123" t="str">
        <f>IFERROR(TIMEVALUE(DaqBook_RAW_Data!AG692),IFERROR(TIMEVALUE(DaqBook_RAW_Data!A146),""))</f>
        <v/>
      </c>
      <c r="C736" s="145"/>
      <c r="D736" s="145"/>
      <c r="E736" s="145"/>
      <c r="F736" s="145"/>
      <c r="G736" s="145"/>
      <c r="H736" s="145"/>
      <c r="I736" s="145"/>
      <c r="J736" s="145"/>
      <c r="K736" s="145"/>
      <c r="L736" s="145"/>
      <c r="M736" s="145"/>
      <c r="N736" s="145"/>
      <c r="O736" s="44"/>
      <c r="P736" s="44"/>
    </row>
    <row r="737" spans="1:16" x14ac:dyDescent="0.2">
      <c r="A737" s="58" t="str">
        <v/>
      </c>
      <c r="B737" s="123" t="str">
        <f>IFERROR(TIMEVALUE(DaqBook_RAW_Data!AG693),IFERROR(TIMEVALUE(DaqBook_RAW_Data!A147),""))</f>
        <v/>
      </c>
      <c r="C737" s="145"/>
      <c r="D737" s="145"/>
      <c r="E737" s="145"/>
      <c r="F737" s="145"/>
      <c r="G737" s="145"/>
      <c r="H737" s="145"/>
      <c r="I737" s="145"/>
      <c r="J737" s="145"/>
      <c r="K737" s="145"/>
      <c r="L737" s="145"/>
      <c r="M737" s="145"/>
      <c r="N737" s="145"/>
      <c r="O737" s="44"/>
      <c r="P737" s="44"/>
    </row>
    <row r="738" spans="1:16" x14ac:dyDescent="0.2">
      <c r="A738" s="58" t="str">
        <v/>
      </c>
      <c r="B738" s="123" t="str">
        <f>IFERROR(TIMEVALUE(DaqBook_RAW_Data!AG694),IFERROR(TIMEVALUE(DaqBook_RAW_Data!A148),""))</f>
        <v/>
      </c>
      <c r="C738" s="145"/>
      <c r="D738" s="145"/>
      <c r="E738" s="145"/>
      <c r="F738" s="145"/>
      <c r="G738" s="145"/>
      <c r="H738" s="145"/>
      <c r="I738" s="145"/>
      <c r="J738" s="145"/>
      <c r="K738" s="145"/>
      <c r="L738" s="145"/>
      <c r="M738" s="145"/>
      <c r="N738" s="145"/>
      <c r="O738" s="44"/>
      <c r="P738" s="44"/>
    </row>
    <row r="739" spans="1:16" x14ac:dyDescent="0.2">
      <c r="A739" s="58" t="str">
        <v/>
      </c>
      <c r="B739" s="123" t="str">
        <f>IFERROR(TIMEVALUE(DaqBook_RAW_Data!AG695),IFERROR(TIMEVALUE(DaqBook_RAW_Data!A149),""))</f>
        <v/>
      </c>
      <c r="C739" s="145"/>
      <c r="D739" s="145"/>
      <c r="E739" s="145"/>
      <c r="F739" s="145"/>
      <c r="G739" s="145"/>
      <c r="H739" s="145"/>
      <c r="I739" s="145"/>
      <c r="J739" s="145"/>
      <c r="K739" s="145"/>
      <c r="L739" s="145"/>
      <c r="M739" s="145"/>
      <c r="N739" s="145"/>
      <c r="O739" s="44"/>
      <c r="P739" s="44"/>
    </row>
    <row r="740" spans="1:16" x14ac:dyDescent="0.2">
      <c r="A740" s="58" t="str">
        <v/>
      </c>
      <c r="B740" s="123" t="str">
        <f>IFERROR(TIMEVALUE(DaqBook_RAW_Data!AG696),IFERROR(TIMEVALUE(DaqBook_RAW_Data!A150),""))</f>
        <v/>
      </c>
      <c r="C740" s="145"/>
      <c r="D740" s="145"/>
      <c r="E740" s="145"/>
      <c r="F740" s="145"/>
      <c r="G740" s="145"/>
      <c r="H740" s="145"/>
      <c r="I740" s="145"/>
      <c r="J740" s="145"/>
      <c r="K740" s="145"/>
      <c r="L740" s="145"/>
      <c r="M740" s="145"/>
      <c r="N740" s="145"/>
      <c r="O740" s="44"/>
      <c r="P740" s="44"/>
    </row>
    <row r="741" spans="1:16" x14ac:dyDescent="0.2">
      <c r="A741" s="58" t="str">
        <v/>
      </c>
      <c r="B741" s="123" t="str">
        <f>IFERROR(TIMEVALUE(DaqBook_RAW_Data!AG697),IFERROR(TIMEVALUE(DaqBook_RAW_Data!A151),""))</f>
        <v/>
      </c>
      <c r="C741" s="145"/>
      <c r="D741" s="145"/>
      <c r="E741" s="145"/>
      <c r="F741" s="145"/>
      <c r="G741" s="145"/>
      <c r="H741" s="145"/>
      <c r="I741" s="145"/>
      <c r="J741" s="145"/>
      <c r="K741" s="145"/>
      <c r="L741" s="145"/>
      <c r="M741" s="145"/>
      <c r="N741" s="145"/>
      <c r="O741" s="44"/>
      <c r="P741" s="44"/>
    </row>
    <row r="742" spans="1:16" x14ac:dyDescent="0.2">
      <c r="A742" s="58" t="str">
        <v/>
      </c>
      <c r="B742" s="123" t="str">
        <f>IFERROR(TIMEVALUE(DaqBook_RAW_Data!AG698),IFERROR(TIMEVALUE(DaqBook_RAW_Data!A152),""))</f>
        <v/>
      </c>
      <c r="C742" s="145"/>
      <c r="D742" s="145"/>
      <c r="E742" s="145"/>
      <c r="F742" s="145"/>
      <c r="G742" s="145"/>
      <c r="H742" s="145"/>
      <c r="I742" s="145"/>
      <c r="J742" s="145"/>
      <c r="K742" s="145"/>
      <c r="L742" s="145"/>
      <c r="M742" s="145"/>
      <c r="N742" s="145"/>
      <c r="O742" s="44"/>
      <c r="P742" s="44"/>
    </row>
    <row r="743" spans="1:16" x14ac:dyDescent="0.2">
      <c r="A743" s="58" t="str">
        <v/>
      </c>
      <c r="B743" s="123" t="str">
        <f>IFERROR(TIMEVALUE(DaqBook_RAW_Data!AG699),IFERROR(TIMEVALUE(DaqBook_RAW_Data!A153),""))</f>
        <v/>
      </c>
      <c r="C743" s="145"/>
      <c r="D743" s="145"/>
      <c r="E743" s="145"/>
      <c r="F743" s="145"/>
      <c r="G743" s="145"/>
      <c r="H743" s="145"/>
      <c r="I743" s="145"/>
      <c r="J743" s="145"/>
      <c r="K743" s="145"/>
      <c r="L743" s="145"/>
      <c r="M743" s="145"/>
      <c r="N743" s="145"/>
      <c r="O743" s="44"/>
      <c r="P743" s="44"/>
    </row>
    <row r="744" spans="1:16" x14ac:dyDescent="0.2">
      <c r="A744" s="58" t="str">
        <v/>
      </c>
      <c r="B744" s="123" t="str">
        <f>IFERROR(TIMEVALUE(DaqBook_RAW_Data!AG700),IFERROR(TIMEVALUE(DaqBook_RAW_Data!A154),""))</f>
        <v/>
      </c>
      <c r="C744" s="145"/>
      <c r="D744" s="145"/>
      <c r="E744" s="145"/>
      <c r="F744" s="145"/>
      <c r="G744" s="145"/>
      <c r="H744" s="145"/>
      <c r="I744" s="145"/>
      <c r="J744" s="145"/>
      <c r="K744" s="145"/>
      <c r="L744" s="145"/>
      <c r="M744" s="145"/>
      <c r="N744" s="145"/>
      <c r="O744" s="44"/>
      <c r="P744" s="44"/>
    </row>
    <row r="745" spans="1:16" x14ac:dyDescent="0.2">
      <c r="A745" s="58" t="str">
        <v/>
      </c>
      <c r="B745" s="123" t="str">
        <f>IFERROR(TIMEVALUE(DaqBook_RAW_Data!AG701),IFERROR(TIMEVALUE(DaqBook_RAW_Data!A155),""))</f>
        <v/>
      </c>
      <c r="C745" s="145"/>
      <c r="D745" s="145"/>
      <c r="E745" s="145"/>
      <c r="F745" s="145"/>
      <c r="G745" s="145"/>
      <c r="H745" s="145"/>
      <c r="I745" s="145"/>
      <c r="J745" s="145"/>
      <c r="K745" s="145"/>
      <c r="L745" s="145"/>
      <c r="M745" s="145"/>
      <c r="N745" s="145"/>
      <c r="O745" s="44"/>
      <c r="P745" s="44"/>
    </row>
    <row r="746" spans="1:16" x14ac:dyDescent="0.2">
      <c r="A746" s="58" t="str">
        <v/>
      </c>
      <c r="B746" s="123" t="str">
        <f>IFERROR(TIMEVALUE(DaqBook_RAW_Data!AG702),IFERROR(TIMEVALUE(DaqBook_RAW_Data!A156),""))</f>
        <v/>
      </c>
      <c r="C746" s="145"/>
      <c r="D746" s="145"/>
      <c r="E746" s="145"/>
      <c r="F746" s="145"/>
      <c r="G746" s="145"/>
      <c r="H746" s="145"/>
      <c r="I746" s="145"/>
      <c r="J746" s="145"/>
      <c r="K746" s="145"/>
      <c r="L746" s="145"/>
      <c r="M746" s="145"/>
      <c r="N746" s="145"/>
      <c r="O746" s="44"/>
      <c r="P746" s="44"/>
    </row>
    <row r="747" spans="1:16" x14ac:dyDescent="0.2">
      <c r="A747" s="58" t="str">
        <v/>
      </c>
      <c r="B747" s="123" t="str">
        <f>IFERROR(TIMEVALUE(DaqBook_RAW_Data!AG703),IFERROR(TIMEVALUE(DaqBook_RAW_Data!A157),""))</f>
        <v/>
      </c>
      <c r="C747" s="145"/>
      <c r="D747" s="145"/>
      <c r="E747" s="145"/>
      <c r="F747" s="145"/>
      <c r="G747" s="145"/>
      <c r="H747" s="145"/>
      <c r="I747" s="145"/>
      <c r="J747" s="145"/>
      <c r="K747" s="145"/>
      <c r="L747" s="145"/>
      <c r="M747" s="145"/>
      <c r="N747" s="145"/>
      <c r="O747" s="44"/>
      <c r="P747" s="44"/>
    </row>
    <row r="748" spans="1:16" x14ac:dyDescent="0.2">
      <c r="A748" s="58" t="str">
        <v/>
      </c>
      <c r="B748" s="123" t="str">
        <f>IFERROR(TIMEVALUE(DaqBook_RAW_Data!AG704),IFERROR(TIMEVALUE(DaqBook_RAW_Data!A158),""))</f>
        <v/>
      </c>
      <c r="C748" s="145"/>
      <c r="D748" s="145"/>
      <c r="E748" s="145"/>
      <c r="F748" s="145"/>
      <c r="G748" s="145"/>
      <c r="H748" s="145"/>
      <c r="I748" s="145"/>
      <c r="J748" s="145"/>
      <c r="K748" s="145"/>
      <c r="L748" s="145"/>
      <c r="M748" s="145"/>
      <c r="N748" s="145"/>
      <c r="O748" s="44"/>
      <c r="P748" s="44"/>
    </row>
    <row r="749" spans="1:16" x14ac:dyDescent="0.2">
      <c r="A749" s="58" t="str">
        <v/>
      </c>
      <c r="B749" s="123" t="str">
        <f>IFERROR(TIMEVALUE(DaqBook_RAW_Data!AG705),IFERROR(TIMEVALUE(DaqBook_RAW_Data!A159),""))</f>
        <v/>
      </c>
      <c r="C749" s="145"/>
      <c r="D749" s="145"/>
      <c r="E749" s="145"/>
      <c r="F749" s="145"/>
      <c r="G749" s="145"/>
      <c r="H749" s="145"/>
      <c r="I749" s="145"/>
      <c r="J749" s="145"/>
      <c r="K749" s="145"/>
      <c r="L749" s="145"/>
      <c r="M749" s="145"/>
      <c r="N749" s="145"/>
      <c r="O749" s="44"/>
      <c r="P749" s="44"/>
    </row>
    <row r="750" spans="1:16" x14ac:dyDescent="0.2">
      <c r="A750" s="58" t="str">
        <v/>
      </c>
      <c r="B750" s="123" t="str">
        <f>IFERROR(TIMEVALUE(DaqBook_RAW_Data!AG706),IFERROR(TIMEVALUE(DaqBook_RAW_Data!A160),""))</f>
        <v/>
      </c>
      <c r="C750" s="145"/>
      <c r="D750" s="145"/>
      <c r="E750" s="145"/>
      <c r="F750" s="145"/>
      <c r="G750" s="145"/>
      <c r="H750" s="145"/>
      <c r="I750" s="145"/>
      <c r="J750" s="145"/>
      <c r="K750" s="145"/>
      <c r="L750" s="145"/>
      <c r="M750" s="145"/>
      <c r="N750" s="145"/>
      <c r="O750" s="44"/>
      <c r="P750" s="44"/>
    </row>
    <row r="751" spans="1:16" x14ac:dyDescent="0.2">
      <c r="A751" s="58" t="str">
        <v/>
      </c>
      <c r="B751" s="123" t="str">
        <f>IFERROR(TIMEVALUE(DaqBook_RAW_Data!AG707),IFERROR(TIMEVALUE(DaqBook_RAW_Data!A161),""))</f>
        <v/>
      </c>
      <c r="C751" s="145"/>
      <c r="D751" s="145"/>
      <c r="E751" s="145"/>
      <c r="F751" s="145"/>
      <c r="G751" s="145"/>
      <c r="H751" s="145"/>
      <c r="I751" s="145"/>
      <c r="J751" s="145"/>
      <c r="K751" s="145"/>
      <c r="L751" s="145"/>
      <c r="M751" s="145"/>
      <c r="N751" s="145"/>
      <c r="O751" s="44"/>
      <c r="P751" s="44"/>
    </row>
    <row r="752" spans="1:16" x14ac:dyDescent="0.2">
      <c r="A752" s="58" t="str">
        <v/>
      </c>
      <c r="B752" s="123" t="str">
        <f>IFERROR(TIMEVALUE(DaqBook_RAW_Data!AG708),IFERROR(TIMEVALUE(DaqBook_RAW_Data!A162),""))</f>
        <v/>
      </c>
      <c r="C752" s="145"/>
      <c r="D752" s="145"/>
      <c r="E752" s="145"/>
      <c r="F752" s="145"/>
      <c r="G752" s="145"/>
      <c r="H752" s="145"/>
      <c r="I752" s="145"/>
      <c r="J752" s="145"/>
      <c r="K752" s="145"/>
      <c r="L752" s="145"/>
      <c r="M752" s="145"/>
      <c r="N752" s="145"/>
      <c r="O752" s="44"/>
      <c r="P752" s="44"/>
    </row>
    <row r="753" spans="1:16" x14ac:dyDescent="0.2">
      <c r="A753" s="58" t="str">
        <v/>
      </c>
      <c r="B753" s="123" t="str">
        <f>IFERROR(TIMEVALUE(DaqBook_RAW_Data!AG709),IFERROR(TIMEVALUE(DaqBook_RAW_Data!A163),""))</f>
        <v/>
      </c>
      <c r="C753" s="145"/>
      <c r="D753" s="145"/>
      <c r="E753" s="145"/>
      <c r="F753" s="145"/>
      <c r="G753" s="145"/>
      <c r="H753" s="145"/>
      <c r="I753" s="145"/>
      <c r="J753" s="145"/>
      <c r="K753" s="145"/>
      <c r="L753" s="145"/>
      <c r="M753" s="145"/>
      <c r="N753" s="145"/>
      <c r="O753" s="44"/>
      <c r="P753" s="44"/>
    </row>
    <row r="754" spans="1:16" x14ac:dyDescent="0.2">
      <c r="A754" s="58" t="str">
        <v/>
      </c>
      <c r="B754" s="123" t="str">
        <f>IFERROR(TIMEVALUE(DaqBook_RAW_Data!AG710),IFERROR(TIMEVALUE(DaqBook_RAW_Data!A164),""))</f>
        <v/>
      </c>
      <c r="C754" s="145"/>
      <c r="D754" s="145"/>
      <c r="E754" s="145"/>
      <c r="F754" s="145"/>
      <c r="G754" s="145"/>
      <c r="H754" s="145"/>
      <c r="I754" s="145"/>
      <c r="J754" s="145"/>
      <c r="K754" s="145"/>
      <c r="L754" s="145"/>
      <c r="M754" s="145"/>
      <c r="N754" s="145"/>
      <c r="O754" s="44"/>
      <c r="P754" s="44"/>
    </row>
    <row r="755" spans="1:16" x14ac:dyDescent="0.2">
      <c r="A755" s="58" t="str">
        <v/>
      </c>
      <c r="B755" s="123" t="str">
        <f>IFERROR(TIMEVALUE(DaqBook_RAW_Data!AG711),IFERROR(TIMEVALUE(DaqBook_RAW_Data!A165),""))</f>
        <v/>
      </c>
      <c r="C755" s="145"/>
      <c r="D755" s="145"/>
      <c r="E755" s="145"/>
      <c r="F755" s="145"/>
      <c r="G755" s="145"/>
      <c r="H755" s="145"/>
      <c r="I755" s="145"/>
      <c r="J755" s="145"/>
      <c r="K755" s="145"/>
      <c r="L755" s="145"/>
      <c r="M755" s="145"/>
      <c r="N755" s="145"/>
      <c r="O755" s="44"/>
      <c r="P755" s="44"/>
    </row>
    <row r="756" spans="1:16" x14ac:dyDescent="0.2">
      <c r="A756" s="58" t="str">
        <v/>
      </c>
      <c r="B756" s="123" t="str">
        <f>IFERROR(TIMEVALUE(DaqBook_RAW_Data!AG712),IFERROR(TIMEVALUE(DaqBook_RAW_Data!A166),""))</f>
        <v/>
      </c>
      <c r="C756" s="145"/>
      <c r="D756" s="145"/>
      <c r="E756" s="145"/>
      <c r="F756" s="145"/>
      <c r="G756" s="145"/>
      <c r="H756" s="145"/>
      <c r="I756" s="145"/>
      <c r="J756" s="145"/>
      <c r="K756" s="145"/>
      <c r="L756" s="145"/>
      <c r="M756" s="145"/>
      <c r="N756" s="145"/>
      <c r="O756" s="44"/>
      <c r="P756" s="44"/>
    </row>
    <row r="757" spans="1:16" x14ac:dyDescent="0.2">
      <c r="A757" s="58" t="str">
        <v/>
      </c>
      <c r="B757" s="123" t="str">
        <f>IFERROR(TIMEVALUE(DaqBook_RAW_Data!AG713),IFERROR(TIMEVALUE(DaqBook_RAW_Data!A167),""))</f>
        <v/>
      </c>
      <c r="C757" s="145"/>
      <c r="D757" s="145"/>
      <c r="E757" s="145"/>
      <c r="F757" s="145"/>
      <c r="G757" s="145"/>
      <c r="H757" s="145"/>
      <c r="I757" s="145"/>
      <c r="J757" s="145"/>
      <c r="K757" s="145"/>
      <c r="L757" s="145"/>
      <c r="M757" s="145"/>
      <c r="N757" s="145"/>
      <c r="O757" s="44"/>
      <c r="P757" s="44"/>
    </row>
    <row r="758" spans="1:16" x14ac:dyDescent="0.2">
      <c r="A758" s="58" t="str">
        <v/>
      </c>
      <c r="B758" s="123" t="str">
        <f>IFERROR(TIMEVALUE(DaqBook_RAW_Data!AG714),IFERROR(TIMEVALUE(DaqBook_RAW_Data!A168),""))</f>
        <v/>
      </c>
      <c r="C758" s="145"/>
      <c r="D758" s="145"/>
      <c r="E758" s="145"/>
      <c r="F758" s="145"/>
      <c r="G758" s="145"/>
      <c r="H758" s="145"/>
      <c r="I758" s="145"/>
      <c r="J758" s="145"/>
      <c r="K758" s="145"/>
      <c r="L758" s="145"/>
      <c r="M758" s="145"/>
      <c r="N758" s="145"/>
      <c r="O758" s="44"/>
      <c r="P758" s="44"/>
    </row>
    <row r="759" spans="1:16" x14ac:dyDescent="0.2">
      <c r="A759" s="58" t="str">
        <v/>
      </c>
      <c r="B759" s="123" t="str">
        <f>IFERROR(TIMEVALUE(DaqBook_RAW_Data!AG715),IFERROR(TIMEVALUE(DaqBook_RAW_Data!A169),""))</f>
        <v/>
      </c>
      <c r="C759" s="145"/>
      <c r="D759" s="145"/>
      <c r="E759" s="145"/>
      <c r="F759" s="145"/>
      <c r="G759" s="145"/>
      <c r="H759" s="145"/>
      <c r="I759" s="145"/>
      <c r="J759" s="145"/>
      <c r="K759" s="145"/>
      <c r="L759" s="145"/>
      <c r="M759" s="145"/>
      <c r="N759" s="145"/>
      <c r="O759" s="44"/>
      <c r="P759" s="44"/>
    </row>
    <row r="760" spans="1:16" x14ac:dyDescent="0.2">
      <c r="A760" s="58" t="str">
        <v/>
      </c>
      <c r="B760" s="123" t="str">
        <f>IFERROR(TIMEVALUE(DaqBook_RAW_Data!AG716),IFERROR(TIMEVALUE(DaqBook_RAW_Data!A170),""))</f>
        <v/>
      </c>
      <c r="C760" s="145"/>
      <c r="D760" s="145"/>
      <c r="E760" s="145"/>
      <c r="F760" s="145"/>
      <c r="G760" s="145"/>
      <c r="H760" s="145"/>
      <c r="I760" s="145"/>
      <c r="J760" s="145"/>
      <c r="K760" s="145"/>
      <c r="L760" s="145"/>
      <c r="M760" s="145"/>
      <c r="N760" s="145"/>
      <c r="O760" s="44"/>
      <c r="P760" s="44"/>
    </row>
    <row r="761" spans="1:16" x14ac:dyDescent="0.2">
      <c r="A761" s="58" t="str">
        <v/>
      </c>
      <c r="B761" s="123" t="str">
        <f>IFERROR(TIMEVALUE(DaqBook_RAW_Data!AG717),IFERROR(TIMEVALUE(DaqBook_RAW_Data!A171),""))</f>
        <v/>
      </c>
      <c r="C761" s="145"/>
      <c r="D761" s="145"/>
      <c r="E761" s="145"/>
      <c r="F761" s="145"/>
      <c r="G761" s="145"/>
      <c r="H761" s="145"/>
      <c r="I761" s="145"/>
      <c r="J761" s="145"/>
      <c r="K761" s="145"/>
      <c r="L761" s="145"/>
      <c r="M761" s="145"/>
      <c r="N761" s="145"/>
      <c r="O761" s="44"/>
      <c r="P761" s="44"/>
    </row>
    <row r="762" spans="1:16" x14ac:dyDescent="0.2">
      <c r="A762" s="58" t="str">
        <v/>
      </c>
      <c r="B762" s="123" t="str">
        <f>IFERROR(TIMEVALUE(DaqBook_RAW_Data!AG718),IFERROR(TIMEVALUE(DaqBook_RAW_Data!A172),""))</f>
        <v/>
      </c>
      <c r="C762" s="145"/>
      <c r="D762" s="145"/>
      <c r="E762" s="145"/>
      <c r="F762" s="145"/>
      <c r="G762" s="145"/>
      <c r="H762" s="145"/>
      <c r="I762" s="145"/>
      <c r="J762" s="145"/>
      <c r="K762" s="145"/>
      <c r="L762" s="145"/>
      <c r="M762" s="145"/>
      <c r="N762" s="145"/>
      <c r="O762" s="44"/>
      <c r="P762" s="44"/>
    </row>
    <row r="763" spans="1:16" x14ac:dyDescent="0.2">
      <c r="A763" s="58" t="str">
        <v/>
      </c>
      <c r="B763" s="123" t="str">
        <f>IFERROR(TIMEVALUE(DaqBook_RAW_Data!AG719),IFERROR(TIMEVALUE(DaqBook_RAW_Data!A173),""))</f>
        <v/>
      </c>
      <c r="C763" s="145"/>
      <c r="D763" s="145"/>
      <c r="E763" s="145"/>
      <c r="F763" s="145"/>
      <c r="G763" s="145"/>
      <c r="H763" s="145"/>
      <c r="I763" s="145"/>
      <c r="J763" s="145"/>
      <c r="K763" s="145"/>
      <c r="L763" s="145"/>
      <c r="M763" s="145"/>
      <c r="N763" s="145"/>
      <c r="O763" s="44"/>
      <c r="P763" s="44"/>
    </row>
    <row r="764" spans="1:16" x14ac:dyDescent="0.2">
      <c r="A764" s="58" t="str">
        <v/>
      </c>
      <c r="B764" s="123" t="str">
        <f>IFERROR(TIMEVALUE(DaqBook_RAW_Data!AG720),IFERROR(TIMEVALUE(DaqBook_RAW_Data!A174),""))</f>
        <v/>
      </c>
      <c r="C764" s="145"/>
      <c r="D764" s="145"/>
      <c r="E764" s="145"/>
      <c r="F764" s="145"/>
      <c r="G764" s="145"/>
      <c r="H764" s="145"/>
      <c r="I764" s="145"/>
      <c r="J764" s="145"/>
      <c r="K764" s="145"/>
      <c r="L764" s="145"/>
      <c r="M764" s="145"/>
      <c r="N764" s="145"/>
      <c r="O764" s="44"/>
      <c r="P764" s="44"/>
    </row>
    <row r="765" spans="1:16" x14ac:dyDescent="0.2">
      <c r="A765" s="58" t="str">
        <v/>
      </c>
      <c r="B765" s="123" t="str">
        <f>IFERROR(TIMEVALUE(DaqBook_RAW_Data!AG721),IFERROR(TIMEVALUE(DaqBook_RAW_Data!A175),""))</f>
        <v/>
      </c>
      <c r="C765" s="145"/>
      <c r="D765" s="145"/>
      <c r="E765" s="145"/>
      <c r="F765" s="145"/>
      <c r="G765" s="145"/>
      <c r="H765" s="145"/>
      <c r="I765" s="145"/>
      <c r="J765" s="145"/>
      <c r="K765" s="145"/>
      <c r="L765" s="145"/>
      <c r="M765" s="145"/>
      <c r="N765" s="145"/>
      <c r="O765" s="44"/>
      <c r="P765" s="44"/>
    </row>
    <row r="766" spans="1:16" x14ac:dyDescent="0.2">
      <c r="A766" s="58" t="str">
        <v/>
      </c>
      <c r="B766" s="123" t="str">
        <f>IFERROR(TIMEVALUE(DaqBook_RAW_Data!AG722),IFERROR(TIMEVALUE(DaqBook_RAW_Data!A176),""))</f>
        <v/>
      </c>
      <c r="C766" s="145"/>
      <c r="D766" s="145"/>
      <c r="E766" s="145"/>
      <c r="F766" s="145"/>
      <c r="G766" s="145"/>
      <c r="H766" s="145"/>
      <c r="I766" s="145"/>
      <c r="J766" s="145"/>
      <c r="K766" s="145"/>
      <c r="L766" s="145"/>
      <c r="M766" s="145"/>
      <c r="N766" s="145"/>
      <c r="O766" s="44"/>
      <c r="P766" s="44"/>
    </row>
    <row r="767" spans="1:16" x14ac:dyDescent="0.2">
      <c r="A767" s="58" t="str">
        <v/>
      </c>
      <c r="B767" s="123" t="str">
        <f>IFERROR(TIMEVALUE(DaqBook_RAW_Data!AG723),IFERROR(TIMEVALUE(DaqBook_RAW_Data!A177),""))</f>
        <v/>
      </c>
      <c r="C767" s="145"/>
      <c r="D767" s="145"/>
      <c r="E767" s="145"/>
      <c r="F767" s="145"/>
      <c r="G767" s="145"/>
      <c r="H767" s="145"/>
      <c r="I767" s="145"/>
      <c r="J767" s="145"/>
      <c r="K767" s="145"/>
      <c r="L767" s="145"/>
      <c r="M767" s="145"/>
      <c r="N767" s="145"/>
      <c r="O767" s="44"/>
      <c r="P767" s="44"/>
    </row>
    <row r="768" spans="1:16" x14ac:dyDescent="0.2">
      <c r="A768" s="58" t="str">
        <v/>
      </c>
      <c r="B768" s="123" t="str">
        <f>IFERROR(TIMEVALUE(DaqBook_RAW_Data!AG724),IFERROR(TIMEVALUE(DaqBook_RAW_Data!A178),""))</f>
        <v/>
      </c>
      <c r="C768" s="145"/>
      <c r="D768" s="145"/>
      <c r="E768" s="145"/>
      <c r="F768" s="145"/>
      <c r="G768" s="145"/>
      <c r="H768" s="145"/>
      <c r="I768" s="145"/>
      <c r="J768" s="145"/>
      <c r="K768" s="145"/>
      <c r="L768" s="145"/>
      <c r="M768" s="145"/>
      <c r="N768" s="145"/>
      <c r="O768" s="44"/>
      <c r="P768" s="44"/>
    </row>
    <row r="769" spans="1:16" x14ac:dyDescent="0.2">
      <c r="A769" s="58" t="str">
        <v/>
      </c>
      <c r="B769" s="123" t="str">
        <f>IFERROR(TIMEVALUE(DaqBook_RAW_Data!AG725),IFERROR(TIMEVALUE(DaqBook_RAW_Data!A179),""))</f>
        <v/>
      </c>
      <c r="C769" s="145"/>
      <c r="D769" s="145"/>
      <c r="E769" s="145"/>
      <c r="F769" s="145"/>
      <c r="G769" s="145"/>
      <c r="H769" s="145"/>
      <c r="I769" s="145"/>
      <c r="J769" s="145"/>
      <c r="K769" s="145"/>
      <c r="L769" s="145"/>
      <c r="M769" s="145"/>
      <c r="N769" s="145"/>
      <c r="O769" s="44"/>
      <c r="P769" s="44"/>
    </row>
    <row r="770" spans="1:16" x14ac:dyDescent="0.2">
      <c r="A770" s="58" t="str">
        <v/>
      </c>
      <c r="B770" s="123" t="str">
        <f>IFERROR(TIMEVALUE(DaqBook_RAW_Data!AG726),IFERROR(TIMEVALUE(DaqBook_RAW_Data!A180),""))</f>
        <v/>
      </c>
      <c r="C770" s="145"/>
      <c r="D770" s="145"/>
      <c r="E770" s="145"/>
      <c r="F770" s="145"/>
      <c r="G770" s="145"/>
      <c r="H770" s="145"/>
      <c r="I770" s="145"/>
      <c r="J770" s="145"/>
      <c r="K770" s="145"/>
      <c r="L770" s="145"/>
      <c r="M770" s="145"/>
      <c r="N770" s="145"/>
      <c r="O770" s="44"/>
      <c r="P770" s="44"/>
    </row>
    <row r="771" spans="1:16" x14ac:dyDescent="0.2">
      <c r="A771" s="58" t="str">
        <v/>
      </c>
      <c r="B771" s="123" t="str">
        <f>IFERROR(TIMEVALUE(DaqBook_RAW_Data!AG727),IFERROR(TIMEVALUE(DaqBook_RAW_Data!A181),""))</f>
        <v/>
      </c>
      <c r="C771" s="145"/>
      <c r="D771" s="145"/>
      <c r="E771" s="145"/>
      <c r="F771" s="145"/>
      <c r="G771" s="145"/>
      <c r="H771" s="145"/>
      <c r="I771" s="145"/>
      <c r="J771" s="145"/>
      <c r="K771" s="145"/>
      <c r="L771" s="145"/>
      <c r="M771" s="145"/>
      <c r="N771" s="145"/>
      <c r="O771" s="44"/>
      <c r="P771" s="44"/>
    </row>
    <row r="772" spans="1:16" x14ac:dyDescent="0.2">
      <c r="A772" s="58" t="str">
        <v/>
      </c>
      <c r="B772" s="123" t="str">
        <f>IFERROR(TIMEVALUE(DaqBook_RAW_Data!AG728),IFERROR(TIMEVALUE(DaqBook_RAW_Data!A182),""))</f>
        <v/>
      </c>
      <c r="C772" s="145"/>
      <c r="D772" s="145"/>
      <c r="E772" s="145"/>
      <c r="F772" s="145"/>
      <c r="G772" s="145"/>
      <c r="H772" s="145"/>
      <c r="I772" s="145"/>
      <c r="J772" s="145"/>
      <c r="K772" s="145"/>
      <c r="L772" s="145"/>
      <c r="M772" s="145"/>
      <c r="N772" s="145"/>
      <c r="O772" s="44"/>
      <c r="P772" s="44"/>
    </row>
    <row r="773" spans="1:16" x14ac:dyDescent="0.2">
      <c r="A773" s="58" t="str">
        <v/>
      </c>
      <c r="B773" s="123" t="str">
        <f>IFERROR(TIMEVALUE(DaqBook_RAW_Data!AG729),IFERROR(TIMEVALUE(DaqBook_RAW_Data!A183),""))</f>
        <v/>
      </c>
      <c r="C773" s="145"/>
      <c r="D773" s="145"/>
      <c r="E773" s="145"/>
      <c r="F773" s="145"/>
      <c r="G773" s="145"/>
      <c r="H773" s="145"/>
      <c r="I773" s="145"/>
      <c r="J773" s="145"/>
      <c r="K773" s="145"/>
      <c r="L773" s="145"/>
      <c r="M773" s="145"/>
      <c r="N773" s="145"/>
      <c r="O773" s="44"/>
      <c r="P773" s="44"/>
    </row>
    <row r="774" spans="1:16" x14ac:dyDescent="0.2">
      <c r="A774" s="58" t="str">
        <v/>
      </c>
      <c r="B774" s="123" t="str">
        <f>IFERROR(TIMEVALUE(DaqBook_RAW_Data!AG730),IFERROR(TIMEVALUE(DaqBook_RAW_Data!A184),""))</f>
        <v/>
      </c>
      <c r="C774" s="145"/>
      <c r="D774" s="145"/>
      <c r="E774" s="145"/>
      <c r="F774" s="145"/>
      <c r="G774" s="145"/>
      <c r="H774" s="145"/>
      <c r="I774" s="145"/>
      <c r="J774" s="145"/>
      <c r="K774" s="145"/>
      <c r="L774" s="145"/>
      <c r="M774" s="145"/>
      <c r="N774" s="145"/>
      <c r="O774" s="44"/>
      <c r="P774" s="44"/>
    </row>
    <row r="775" spans="1:16" x14ac:dyDescent="0.2">
      <c r="A775" s="58" t="str">
        <v/>
      </c>
      <c r="B775" s="123" t="str">
        <f>IFERROR(TIMEVALUE(DaqBook_RAW_Data!AG731),IFERROR(TIMEVALUE(DaqBook_RAW_Data!A185),""))</f>
        <v/>
      </c>
      <c r="C775" s="145"/>
      <c r="D775" s="145"/>
      <c r="E775" s="145"/>
      <c r="F775" s="145"/>
      <c r="G775" s="145"/>
      <c r="H775" s="145"/>
      <c r="I775" s="145"/>
      <c r="J775" s="145"/>
      <c r="K775" s="145"/>
      <c r="L775" s="145"/>
      <c r="M775" s="145"/>
      <c r="N775" s="145"/>
      <c r="O775" s="44"/>
      <c r="P775" s="44"/>
    </row>
    <row r="776" spans="1:16" x14ac:dyDescent="0.2">
      <c r="A776" s="58" t="str">
        <v/>
      </c>
      <c r="B776" s="123" t="str">
        <f>IFERROR(TIMEVALUE(DaqBook_RAW_Data!AG732),IFERROR(TIMEVALUE(DaqBook_RAW_Data!A186),""))</f>
        <v/>
      </c>
      <c r="C776" s="145"/>
      <c r="D776" s="145"/>
      <c r="E776" s="145"/>
      <c r="F776" s="145"/>
      <c r="G776" s="145"/>
      <c r="H776" s="145"/>
      <c r="I776" s="145"/>
      <c r="J776" s="145"/>
      <c r="K776" s="145"/>
      <c r="L776" s="145"/>
      <c r="M776" s="145"/>
      <c r="N776" s="145"/>
      <c r="O776" s="44"/>
      <c r="P776" s="44"/>
    </row>
    <row r="777" spans="1:16" x14ac:dyDescent="0.2">
      <c r="A777" s="58" t="str">
        <v/>
      </c>
      <c r="B777" s="123" t="str">
        <f>IFERROR(TIMEVALUE(DaqBook_RAW_Data!AG733),IFERROR(TIMEVALUE(DaqBook_RAW_Data!A187),""))</f>
        <v/>
      </c>
      <c r="C777" s="145"/>
      <c r="D777" s="145"/>
      <c r="E777" s="145"/>
      <c r="F777" s="145"/>
      <c r="G777" s="145"/>
      <c r="H777" s="145"/>
      <c r="I777" s="145"/>
      <c r="J777" s="145"/>
      <c r="K777" s="145"/>
      <c r="L777" s="145"/>
      <c r="M777" s="145"/>
      <c r="N777" s="145"/>
      <c r="O777" s="44"/>
      <c r="P777" s="44"/>
    </row>
    <row r="778" spans="1:16" x14ac:dyDescent="0.2">
      <c r="A778" s="58" t="str">
        <v/>
      </c>
      <c r="B778" s="123" t="str">
        <f>IFERROR(TIMEVALUE(DaqBook_RAW_Data!AG734),IFERROR(TIMEVALUE(DaqBook_RAW_Data!A188),""))</f>
        <v/>
      </c>
      <c r="C778" s="145"/>
      <c r="D778" s="145"/>
      <c r="E778" s="145"/>
      <c r="F778" s="145"/>
      <c r="G778" s="145"/>
      <c r="H778" s="145"/>
      <c r="I778" s="145"/>
      <c r="J778" s="145"/>
      <c r="K778" s="145"/>
      <c r="L778" s="145"/>
      <c r="M778" s="145"/>
      <c r="N778" s="145"/>
      <c r="O778" s="44"/>
      <c r="P778" s="44"/>
    </row>
    <row r="779" spans="1:16" x14ac:dyDescent="0.2">
      <c r="A779" s="58" t="str">
        <v/>
      </c>
      <c r="B779" s="123" t="str">
        <f>IFERROR(TIMEVALUE(DaqBook_RAW_Data!AG735),IFERROR(TIMEVALUE(DaqBook_RAW_Data!A189),""))</f>
        <v/>
      </c>
      <c r="C779" s="145"/>
      <c r="D779" s="145"/>
      <c r="E779" s="145"/>
      <c r="F779" s="145"/>
      <c r="G779" s="145"/>
      <c r="H779" s="145"/>
      <c r="I779" s="145"/>
      <c r="J779" s="145"/>
      <c r="K779" s="145"/>
      <c r="L779" s="145"/>
      <c r="M779" s="145"/>
      <c r="N779" s="145"/>
      <c r="O779" s="44"/>
      <c r="P779" s="44"/>
    </row>
    <row r="780" spans="1:16" x14ac:dyDescent="0.2">
      <c r="A780" s="58" t="str">
        <v/>
      </c>
      <c r="B780" s="123" t="str">
        <f>IFERROR(TIMEVALUE(DaqBook_RAW_Data!AG736),IFERROR(TIMEVALUE(DaqBook_RAW_Data!A190),""))</f>
        <v/>
      </c>
      <c r="C780" s="145"/>
      <c r="D780" s="145"/>
      <c r="E780" s="145"/>
      <c r="F780" s="145"/>
      <c r="G780" s="145"/>
      <c r="H780" s="145"/>
      <c r="I780" s="145"/>
      <c r="J780" s="145"/>
      <c r="K780" s="145"/>
      <c r="L780" s="145"/>
      <c r="M780" s="145"/>
      <c r="N780" s="145"/>
      <c r="O780" s="44"/>
      <c r="P780" s="44"/>
    </row>
    <row r="781" spans="1:16" x14ac:dyDescent="0.2">
      <c r="A781" s="58" t="str">
        <v/>
      </c>
      <c r="B781" s="123" t="str">
        <f>IFERROR(TIMEVALUE(DaqBook_RAW_Data!AG737),IFERROR(TIMEVALUE(DaqBook_RAW_Data!A191),""))</f>
        <v/>
      </c>
      <c r="C781" s="145"/>
      <c r="D781" s="145"/>
      <c r="E781" s="145"/>
      <c r="F781" s="145"/>
      <c r="G781" s="145"/>
      <c r="H781" s="145"/>
      <c r="I781" s="145"/>
      <c r="J781" s="145"/>
      <c r="K781" s="145"/>
      <c r="L781" s="145"/>
      <c r="M781" s="145"/>
      <c r="N781" s="145"/>
      <c r="O781" s="44"/>
      <c r="P781" s="44"/>
    </row>
    <row r="782" spans="1:16" x14ac:dyDescent="0.2">
      <c r="A782" s="58" t="str">
        <v/>
      </c>
      <c r="B782" s="123" t="str">
        <f>IFERROR(TIMEVALUE(DaqBook_RAW_Data!AG738),IFERROR(TIMEVALUE(DaqBook_RAW_Data!A192),""))</f>
        <v/>
      </c>
      <c r="C782" s="145"/>
      <c r="D782" s="145"/>
      <c r="E782" s="145"/>
      <c r="F782" s="145"/>
      <c r="G782" s="145"/>
      <c r="H782" s="145"/>
      <c r="I782" s="145"/>
      <c r="J782" s="145"/>
      <c r="K782" s="145"/>
      <c r="L782" s="145"/>
      <c r="M782" s="145"/>
      <c r="N782" s="145"/>
      <c r="O782" s="44"/>
      <c r="P782" s="44"/>
    </row>
    <row r="783" spans="1:16" x14ac:dyDescent="0.2">
      <c r="A783" s="58" t="str">
        <v/>
      </c>
      <c r="B783" s="123" t="str">
        <f>IFERROR(TIMEVALUE(DaqBook_RAW_Data!AG739),IFERROR(TIMEVALUE(DaqBook_RAW_Data!A193),""))</f>
        <v/>
      </c>
      <c r="C783" s="145"/>
      <c r="D783" s="145"/>
      <c r="E783" s="145"/>
      <c r="F783" s="145"/>
      <c r="G783" s="145"/>
      <c r="H783" s="145"/>
      <c r="I783" s="145"/>
      <c r="J783" s="145"/>
      <c r="K783" s="145"/>
      <c r="L783" s="145"/>
      <c r="M783" s="145"/>
      <c r="N783" s="145"/>
      <c r="O783" s="44"/>
      <c r="P783" s="44"/>
    </row>
    <row r="784" spans="1:16" x14ac:dyDescent="0.2">
      <c r="A784" s="58" t="str">
        <v/>
      </c>
      <c r="B784" s="123" t="str">
        <f>IFERROR(TIMEVALUE(DaqBook_RAW_Data!AG740),IFERROR(TIMEVALUE(DaqBook_RAW_Data!A194),""))</f>
        <v/>
      </c>
      <c r="C784" s="145"/>
      <c r="D784" s="145"/>
      <c r="E784" s="145"/>
      <c r="F784" s="145"/>
      <c r="G784" s="145"/>
      <c r="H784" s="145"/>
      <c r="I784" s="145"/>
      <c r="J784" s="145"/>
      <c r="K784" s="145"/>
      <c r="L784" s="145"/>
      <c r="M784" s="145"/>
      <c r="N784" s="145"/>
      <c r="O784" s="44"/>
      <c r="P784" s="44"/>
    </row>
    <row r="785" spans="1:16" x14ac:dyDescent="0.2">
      <c r="A785" s="58" t="str">
        <v/>
      </c>
      <c r="B785" s="123" t="str">
        <f>IFERROR(TIMEVALUE(DaqBook_RAW_Data!AG741),IFERROR(TIMEVALUE(DaqBook_RAW_Data!A195),""))</f>
        <v/>
      </c>
      <c r="C785" s="145"/>
      <c r="D785" s="145"/>
      <c r="E785" s="145"/>
      <c r="F785" s="145"/>
      <c r="G785" s="145"/>
      <c r="H785" s="145"/>
      <c r="I785" s="145"/>
      <c r="J785" s="145"/>
      <c r="K785" s="145"/>
      <c r="L785" s="145"/>
      <c r="M785" s="145"/>
      <c r="N785" s="145"/>
      <c r="O785" s="44"/>
      <c r="P785" s="44"/>
    </row>
    <row r="786" spans="1:16" x14ac:dyDescent="0.2">
      <c r="A786" s="58" t="str">
        <v/>
      </c>
      <c r="B786" s="123" t="str">
        <f>IFERROR(TIMEVALUE(DaqBook_RAW_Data!AG742),IFERROR(TIMEVALUE(DaqBook_RAW_Data!A196),""))</f>
        <v/>
      </c>
      <c r="C786" s="145"/>
      <c r="D786" s="145"/>
      <c r="E786" s="145"/>
      <c r="F786" s="145"/>
      <c r="G786" s="145"/>
      <c r="H786" s="145"/>
      <c r="I786" s="145"/>
      <c r="J786" s="145"/>
      <c r="K786" s="145"/>
      <c r="L786" s="145"/>
      <c r="M786" s="145"/>
      <c r="N786" s="145"/>
      <c r="O786" s="44"/>
      <c r="P786" s="44"/>
    </row>
    <row r="787" spans="1:16" x14ac:dyDescent="0.2">
      <c r="A787" s="58" t="str">
        <v/>
      </c>
      <c r="B787" s="123" t="str">
        <f>IFERROR(TIMEVALUE(DaqBook_RAW_Data!AG743),IFERROR(TIMEVALUE(DaqBook_RAW_Data!A197),""))</f>
        <v/>
      </c>
      <c r="C787" s="145"/>
      <c r="D787" s="145"/>
      <c r="E787" s="145"/>
      <c r="F787" s="145"/>
      <c r="G787" s="145"/>
      <c r="H787" s="145"/>
      <c r="I787" s="145"/>
      <c r="J787" s="145"/>
      <c r="K787" s="145"/>
      <c r="L787" s="145"/>
      <c r="M787" s="145"/>
      <c r="N787" s="145"/>
      <c r="O787" s="44"/>
      <c r="P787" s="44"/>
    </row>
    <row r="788" spans="1:16" x14ac:dyDescent="0.2">
      <c r="A788" s="58" t="str">
        <v/>
      </c>
      <c r="B788" s="123" t="str">
        <f>IFERROR(TIMEVALUE(DaqBook_RAW_Data!AG744),IFERROR(TIMEVALUE(DaqBook_RAW_Data!A198),""))</f>
        <v/>
      </c>
      <c r="C788" s="145"/>
      <c r="D788" s="145"/>
      <c r="E788" s="145"/>
      <c r="F788" s="145"/>
      <c r="G788" s="145"/>
      <c r="H788" s="145"/>
      <c r="I788" s="145"/>
      <c r="J788" s="145"/>
      <c r="K788" s="145"/>
      <c r="L788" s="145"/>
      <c r="M788" s="145"/>
      <c r="N788" s="145"/>
      <c r="O788" s="44"/>
      <c r="P788" s="44"/>
    </row>
    <row r="789" spans="1:16" x14ac:dyDescent="0.2">
      <c r="A789" s="58" t="str">
        <v/>
      </c>
      <c r="B789" s="123" t="str">
        <f>IFERROR(TIMEVALUE(DaqBook_RAW_Data!AG745),IFERROR(TIMEVALUE(DaqBook_RAW_Data!A199),""))</f>
        <v/>
      </c>
      <c r="C789" s="145"/>
      <c r="D789" s="145"/>
      <c r="E789" s="145"/>
      <c r="F789" s="145"/>
      <c r="G789" s="145"/>
      <c r="H789" s="145"/>
      <c r="I789" s="145"/>
      <c r="J789" s="145"/>
      <c r="K789" s="145"/>
      <c r="L789" s="145"/>
      <c r="M789" s="145"/>
      <c r="N789" s="145"/>
      <c r="O789" s="44"/>
      <c r="P789" s="44"/>
    </row>
    <row r="790" spans="1:16" x14ac:dyDescent="0.2">
      <c r="A790" s="58" t="str">
        <v/>
      </c>
      <c r="B790" s="123" t="str">
        <f>IFERROR(TIMEVALUE(DaqBook_RAW_Data!AG746),IFERROR(TIMEVALUE(DaqBook_RAW_Data!A200),""))</f>
        <v/>
      </c>
      <c r="C790" s="145"/>
      <c r="D790" s="145"/>
      <c r="E790" s="145"/>
      <c r="F790" s="145"/>
      <c r="G790" s="145"/>
      <c r="H790" s="145"/>
      <c r="I790" s="145"/>
      <c r="J790" s="145"/>
      <c r="K790" s="145"/>
      <c r="L790" s="145"/>
      <c r="M790" s="145"/>
      <c r="N790" s="145"/>
      <c r="O790" s="44"/>
      <c r="P790" s="44"/>
    </row>
    <row r="791" spans="1:16" x14ac:dyDescent="0.2">
      <c r="A791" s="58" t="str">
        <v/>
      </c>
      <c r="B791" s="123" t="str">
        <f>IFERROR(TIMEVALUE(DaqBook_RAW_Data!AG747),IFERROR(TIMEVALUE(DaqBook_RAW_Data!A201),""))</f>
        <v/>
      </c>
      <c r="C791" s="145"/>
      <c r="D791" s="145"/>
      <c r="E791" s="145"/>
      <c r="F791" s="145"/>
      <c r="G791" s="145"/>
      <c r="H791" s="145"/>
      <c r="I791" s="145"/>
      <c r="J791" s="145"/>
      <c r="K791" s="145"/>
      <c r="L791" s="145"/>
      <c r="M791" s="145"/>
      <c r="N791" s="145"/>
      <c r="O791" s="44"/>
      <c r="P791" s="44"/>
    </row>
    <row r="792" spans="1:16" x14ac:dyDescent="0.2">
      <c r="A792" s="58" t="str">
        <v/>
      </c>
      <c r="B792" s="123" t="str">
        <f>IFERROR(TIMEVALUE(DaqBook_RAW_Data!AG748),IFERROR(TIMEVALUE(DaqBook_RAW_Data!A202),""))</f>
        <v/>
      </c>
      <c r="C792" s="145"/>
      <c r="D792" s="145"/>
      <c r="E792" s="145"/>
      <c r="F792" s="145"/>
      <c r="G792" s="145"/>
      <c r="H792" s="145"/>
      <c r="I792" s="145"/>
      <c r="J792" s="145"/>
      <c r="K792" s="145"/>
      <c r="L792" s="145"/>
      <c r="M792" s="145"/>
      <c r="N792" s="145"/>
      <c r="O792" s="44"/>
      <c r="P792" s="44"/>
    </row>
    <row r="793" spans="1:16" x14ac:dyDescent="0.2">
      <c r="A793" s="58" t="str">
        <v/>
      </c>
      <c r="B793" s="123" t="str">
        <f>IFERROR(TIMEVALUE(DaqBook_RAW_Data!AG749),IFERROR(TIMEVALUE(DaqBook_RAW_Data!A203),""))</f>
        <v/>
      </c>
      <c r="C793" s="145"/>
      <c r="D793" s="145"/>
      <c r="E793" s="145"/>
      <c r="F793" s="145"/>
      <c r="G793" s="145"/>
      <c r="H793" s="145"/>
      <c r="I793" s="145"/>
      <c r="J793" s="145"/>
      <c r="K793" s="145"/>
      <c r="L793" s="145"/>
      <c r="M793" s="145"/>
      <c r="N793" s="145"/>
      <c r="O793" s="44"/>
      <c r="P793" s="44"/>
    </row>
    <row r="794" spans="1:16" x14ac:dyDescent="0.2">
      <c r="A794" s="58" t="str">
        <v/>
      </c>
      <c r="B794" s="123" t="str">
        <f>IFERROR(TIMEVALUE(DaqBook_RAW_Data!AG750),IFERROR(TIMEVALUE(DaqBook_RAW_Data!A204),""))</f>
        <v/>
      </c>
      <c r="C794" s="145"/>
      <c r="D794" s="145"/>
      <c r="E794" s="145"/>
      <c r="F794" s="145"/>
      <c r="G794" s="145"/>
      <c r="H794" s="145"/>
      <c r="I794" s="145"/>
      <c r="J794" s="145"/>
      <c r="K794" s="145"/>
      <c r="L794" s="145"/>
      <c r="M794" s="145"/>
      <c r="N794" s="145"/>
      <c r="O794" s="44"/>
      <c r="P794" s="44"/>
    </row>
    <row r="795" spans="1:16" x14ac:dyDescent="0.2">
      <c r="A795" s="58" t="str">
        <v/>
      </c>
      <c r="B795" s="123" t="str">
        <f>IFERROR(TIMEVALUE(DaqBook_RAW_Data!AG751),IFERROR(TIMEVALUE(DaqBook_RAW_Data!A205),""))</f>
        <v/>
      </c>
      <c r="C795" s="145"/>
      <c r="D795" s="145"/>
      <c r="E795" s="145"/>
      <c r="F795" s="145"/>
      <c r="G795" s="145"/>
      <c r="H795" s="145"/>
      <c r="I795" s="145"/>
      <c r="J795" s="145"/>
      <c r="K795" s="145"/>
      <c r="L795" s="145"/>
      <c r="M795" s="145"/>
      <c r="N795" s="145"/>
      <c r="O795" s="44"/>
      <c r="P795" s="44"/>
    </row>
    <row r="796" spans="1:16" x14ac:dyDescent="0.2">
      <c r="A796" s="58" t="str">
        <v/>
      </c>
      <c r="B796" s="123" t="str">
        <f>IFERROR(TIMEVALUE(DaqBook_RAW_Data!AG752),IFERROR(TIMEVALUE(DaqBook_RAW_Data!A206),""))</f>
        <v/>
      </c>
      <c r="C796" s="145"/>
      <c r="D796" s="145"/>
      <c r="E796" s="145"/>
      <c r="F796" s="145"/>
      <c r="G796" s="145"/>
      <c r="H796" s="145"/>
      <c r="I796" s="145"/>
      <c r="J796" s="145"/>
      <c r="K796" s="145"/>
      <c r="L796" s="145"/>
      <c r="M796" s="145"/>
      <c r="N796" s="145"/>
      <c r="O796" s="44"/>
      <c r="P796" s="44"/>
    </row>
    <row r="797" spans="1:16" x14ac:dyDescent="0.2">
      <c r="A797" s="58" t="str">
        <v/>
      </c>
      <c r="B797" s="123" t="str">
        <f>IFERROR(TIMEVALUE(DaqBook_RAW_Data!AG753),IFERROR(TIMEVALUE(DaqBook_RAW_Data!A207),""))</f>
        <v/>
      </c>
      <c r="C797" s="145"/>
      <c r="D797" s="145"/>
      <c r="E797" s="145"/>
      <c r="F797" s="145"/>
      <c r="G797" s="145"/>
      <c r="H797" s="145"/>
      <c r="I797" s="145"/>
      <c r="J797" s="145"/>
      <c r="K797" s="145"/>
      <c r="L797" s="145"/>
      <c r="M797" s="145"/>
      <c r="N797" s="145"/>
      <c r="O797" s="44"/>
      <c r="P797" s="44"/>
    </row>
    <row r="798" spans="1:16" x14ac:dyDescent="0.2">
      <c r="A798" s="58" t="str">
        <v/>
      </c>
      <c r="B798" s="123" t="str">
        <f>IFERROR(TIMEVALUE(DaqBook_RAW_Data!AG754),IFERROR(TIMEVALUE(DaqBook_RAW_Data!A208),""))</f>
        <v/>
      </c>
      <c r="C798" s="145"/>
      <c r="D798" s="145"/>
      <c r="E798" s="145"/>
      <c r="F798" s="145"/>
      <c r="G798" s="145"/>
      <c r="H798" s="145"/>
      <c r="I798" s="145"/>
      <c r="J798" s="145"/>
      <c r="K798" s="145"/>
      <c r="L798" s="145"/>
      <c r="M798" s="145"/>
      <c r="N798" s="145"/>
      <c r="O798" s="44"/>
      <c r="P798" s="44"/>
    </row>
    <row r="799" spans="1:16" x14ac:dyDescent="0.2">
      <c r="A799" s="58" t="str">
        <v/>
      </c>
      <c r="B799" s="123" t="str">
        <f>IFERROR(TIMEVALUE(DaqBook_RAW_Data!AG755),IFERROR(TIMEVALUE(DaqBook_RAW_Data!A209),""))</f>
        <v/>
      </c>
      <c r="C799" s="145"/>
      <c r="D799" s="145"/>
      <c r="E799" s="145"/>
      <c r="F799" s="145"/>
      <c r="G799" s="145"/>
      <c r="H799" s="145"/>
      <c r="I799" s="145"/>
      <c r="J799" s="145"/>
      <c r="K799" s="145"/>
      <c r="L799" s="145"/>
      <c r="M799" s="145"/>
      <c r="N799" s="145"/>
      <c r="O799" s="44"/>
      <c r="P799" s="44"/>
    </row>
    <row r="800" spans="1:16" x14ac:dyDescent="0.2">
      <c r="A800" s="58" t="str">
        <v/>
      </c>
      <c r="B800" s="123" t="str">
        <f>IFERROR(TIMEVALUE(DaqBook_RAW_Data!AG756),IFERROR(TIMEVALUE(DaqBook_RAW_Data!A210),""))</f>
        <v/>
      </c>
      <c r="C800" s="145"/>
      <c r="D800" s="145"/>
      <c r="E800" s="145"/>
      <c r="F800" s="145"/>
      <c r="G800" s="145"/>
      <c r="H800" s="145"/>
      <c r="I800" s="145"/>
      <c r="J800" s="145"/>
      <c r="K800" s="145"/>
      <c r="L800" s="145"/>
      <c r="M800" s="145"/>
      <c r="N800" s="145"/>
      <c r="O800" s="44"/>
      <c r="P800" s="44"/>
    </row>
    <row r="801" spans="1:16" x14ac:dyDescent="0.2">
      <c r="A801" s="58" t="str">
        <v/>
      </c>
      <c r="B801" s="123" t="str">
        <f>IFERROR(TIMEVALUE(DaqBook_RAW_Data!AG757),IFERROR(TIMEVALUE(DaqBook_RAW_Data!A211),""))</f>
        <v/>
      </c>
      <c r="C801" s="145"/>
      <c r="D801" s="145"/>
      <c r="E801" s="145"/>
      <c r="F801" s="145"/>
      <c r="G801" s="145"/>
      <c r="H801" s="145"/>
      <c r="I801" s="145"/>
      <c r="J801" s="145"/>
      <c r="K801" s="145"/>
      <c r="L801" s="145"/>
      <c r="M801" s="145"/>
      <c r="N801" s="145"/>
      <c r="O801" s="44"/>
      <c r="P801" s="44"/>
    </row>
    <row r="802" spans="1:16" x14ac:dyDescent="0.2">
      <c r="A802" s="58" t="str">
        <v/>
      </c>
      <c r="B802" s="123" t="str">
        <f>IFERROR(TIMEVALUE(DaqBook_RAW_Data!AG758),IFERROR(TIMEVALUE(DaqBook_RAW_Data!A212),""))</f>
        <v/>
      </c>
      <c r="C802" s="145"/>
      <c r="D802" s="145"/>
      <c r="E802" s="145"/>
      <c r="F802" s="145"/>
      <c r="G802" s="145"/>
      <c r="H802" s="145"/>
      <c r="I802" s="145"/>
      <c r="J802" s="145"/>
      <c r="K802" s="145"/>
      <c r="L802" s="145"/>
      <c r="M802" s="145"/>
      <c r="N802" s="145"/>
      <c r="O802" s="44"/>
      <c r="P802" s="44"/>
    </row>
    <row r="803" spans="1:16" x14ac:dyDescent="0.2">
      <c r="A803" s="58" t="str">
        <v/>
      </c>
      <c r="B803" s="123" t="str">
        <f>IFERROR(TIMEVALUE(DaqBook_RAW_Data!AG759),IFERROR(TIMEVALUE(DaqBook_RAW_Data!A213),""))</f>
        <v/>
      </c>
      <c r="C803" s="145"/>
      <c r="D803" s="145"/>
      <c r="E803" s="145"/>
      <c r="F803" s="145"/>
      <c r="G803" s="145"/>
      <c r="H803" s="145"/>
      <c r="I803" s="145"/>
      <c r="J803" s="145"/>
      <c r="K803" s="145"/>
      <c r="L803" s="145"/>
      <c r="M803" s="145"/>
      <c r="N803" s="145"/>
      <c r="O803" s="44"/>
      <c r="P803" s="44"/>
    </row>
    <row r="804" spans="1:16" x14ac:dyDescent="0.2">
      <c r="A804" s="58" t="str">
        <v/>
      </c>
      <c r="B804" s="123" t="str">
        <f>IFERROR(TIMEVALUE(DaqBook_RAW_Data!AG760),IFERROR(TIMEVALUE(DaqBook_RAW_Data!A214),""))</f>
        <v/>
      </c>
      <c r="C804" s="145"/>
      <c r="D804" s="145"/>
      <c r="E804" s="145"/>
      <c r="F804" s="145"/>
      <c r="G804" s="145"/>
      <c r="H804" s="145"/>
      <c r="I804" s="145"/>
      <c r="J804" s="145"/>
      <c r="K804" s="145"/>
      <c r="L804" s="145"/>
      <c r="M804" s="145"/>
      <c r="N804" s="145"/>
      <c r="O804" s="44"/>
      <c r="P804" s="44"/>
    </row>
    <row r="805" spans="1:16" x14ac:dyDescent="0.2">
      <c r="A805" s="58" t="str">
        <v/>
      </c>
      <c r="B805" s="123" t="str">
        <f>IFERROR(TIMEVALUE(DaqBook_RAW_Data!AG761),IFERROR(TIMEVALUE(DaqBook_RAW_Data!A215),""))</f>
        <v/>
      </c>
      <c r="C805" s="145"/>
      <c r="D805" s="145"/>
      <c r="E805" s="145"/>
      <c r="F805" s="145"/>
      <c r="G805" s="145"/>
      <c r="H805" s="145"/>
      <c r="I805" s="145"/>
      <c r="J805" s="145"/>
      <c r="K805" s="145"/>
      <c r="L805" s="145"/>
      <c r="M805" s="145"/>
      <c r="N805" s="145"/>
      <c r="O805" s="44"/>
      <c r="P805" s="44"/>
    </row>
    <row r="806" spans="1:16" x14ac:dyDescent="0.2">
      <c r="A806" s="58" t="str">
        <v/>
      </c>
      <c r="B806" s="123" t="str">
        <f>IFERROR(TIMEVALUE(DaqBook_RAW_Data!AG762),IFERROR(TIMEVALUE(DaqBook_RAW_Data!A216),""))</f>
        <v/>
      </c>
      <c r="C806" s="145"/>
      <c r="D806" s="145"/>
      <c r="E806" s="145"/>
      <c r="F806" s="145"/>
      <c r="G806" s="145"/>
      <c r="H806" s="145"/>
      <c r="I806" s="145"/>
      <c r="J806" s="145"/>
      <c r="K806" s="145"/>
      <c r="L806" s="145"/>
      <c r="M806" s="145"/>
      <c r="N806" s="145"/>
      <c r="O806" s="44"/>
      <c r="P806" s="44"/>
    </row>
    <row r="807" spans="1:16" x14ac:dyDescent="0.2">
      <c r="A807" s="58" t="str">
        <v/>
      </c>
      <c r="B807" s="123" t="str">
        <f>IFERROR(TIMEVALUE(DaqBook_RAW_Data!AG763),IFERROR(TIMEVALUE(DaqBook_RAW_Data!A217),""))</f>
        <v/>
      </c>
      <c r="C807" s="145"/>
      <c r="D807" s="145"/>
      <c r="E807" s="145"/>
      <c r="F807" s="145"/>
      <c r="G807" s="145"/>
      <c r="H807" s="145"/>
      <c r="I807" s="145"/>
      <c r="J807" s="145"/>
      <c r="K807" s="145"/>
      <c r="L807" s="145"/>
      <c r="M807" s="145"/>
      <c r="N807" s="145"/>
      <c r="O807" s="44"/>
      <c r="P807" s="44"/>
    </row>
    <row r="808" spans="1:16" x14ac:dyDescent="0.2">
      <c r="A808" s="58" t="str">
        <v/>
      </c>
      <c r="B808" s="123" t="str">
        <f>IFERROR(TIMEVALUE(DaqBook_RAW_Data!AG764),IFERROR(TIMEVALUE(DaqBook_RAW_Data!A218),""))</f>
        <v/>
      </c>
      <c r="C808" s="145"/>
      <c r="D808" s="145"/>
      <c r="E808" s="145"/>
      <c r="F808" s="145"/>
      <c r="G808" s="145"/>
      <c r="H808" s="145"/>
      <c r="I808" s="145"/>
      <c r="J808" s="145"/>
      <c r="K808" s="145"/>
      <c r="L808" s="145"/>
      <c r="M808" s="145"/>
      <c r="N808" s="145"/>
      <c r="O808" s="44"/>
      <c r="P808" s="44"/>
    </row>
    <row r="809" spans="1:16" x14ac:dyDescent="0.2">
      <c r="A809" s="58" t="str">
        <v/>
      </c>
      <c r="B809" s="123" t="str">
        <f>IFERROR(TIMEVALUE(DaqBook_RAW_Data!AG765),IFERROR(TIMEVALUE(DaqBook_RAW_Data!A219),""))</f>
        <v/>
      </c>
      <c r="C809" s="145"/>
      <c r="D809" s="145"/>
      <c r="E809" s="145"/>
      <c r="F809" s="145"/>
      <c r="G809" s="145"/>
      <c r="H809" s="145"/>
      <c r="I809" s="145"/>
      <c r="J809" s="145"/>
      <c r="K809" s="145"/>
      <c r="L809" s="145"/>
      <c r="M809" s="145"/>
      <c r="N809" s="145"/>
      <c r="O809" s="44"/>
      <c r="P809" s="44"/>
    </row>
    <row r="810" spans="1:16" x14ac:dyDescent="0.2">
      <c r="A810" s="58" t="str">
        <v/>
      </c>
      <c r="B810" s="123" t="str">
        <f>IFERROR(TIMEVALUE(DaqBook_RAW_Data!AG766),IFERROR(TIMEVALUE(DaqBook_RAW_Data!A220),""))</f>
        <v/>
      </c>
      <c r="C810" s="145"/>
      <c r="D810" s="145"/>
      <c r="E810" s="145"/>
      <c r="F810" s="145"/>
      <c r="G810" s="145"/>
      <c r="H810" s="145"/>
      <c r="I810" s="145"/>
      <c r="J810" s="145"/>
      <c r="K810" s="145"/>
      <c r="L810" s="145"/>
      <c r="M810" s="145"/>
      <c r="N810" s="145"/>
      <c r="O810" s="44"/>
      <c r="P810" s="44"/>
    </row>
    <row r="811" spans="1:16" x14ac:dyDescent="0.2">
      <c r="A811" s="58" t="str">
        <v/>
      </c>
      <c r="B811" s="123" t="str">
        <f>IFERROR(TIMEVALUE(DaqBook_RAW_Data!AG767),IFERROR(TIMEVALUE(DaqBook_RAW_Data!A221),""))</f>
        <v/>
      </c>
      <c r="C811" s="145"/>
      <c r="D811" s="145"/>
      <c r="E811" s="145"/>
      <c r="F811" s="145"/>
      <c r="G811" s="145"/>
      <c r="H811" s="145"/>
      <c r="I811" s="145"/>
      <c r="J811" s="145"/>
      <c r="K811" s="145"/>
      <c r="L811" s="145"/>
      <c r="M811" s="145"/>
      <c r="N811" s="145"/>
      <c r="O811" s="44"/>
      <c r="P811" s="44"/>
    </row>
    <row r="812" spans="1:16" x14ac:dyDescent="0.2">
      <c r="A812" s="58" t="str">
        <v/>
      </c>
      <c r="B812" s="123" t="str">
        <f>IFERROR(TIMEVALUE(DaqBook_RAW_Data!AG768),IFERROR(TIMEVALUE(DaqBook_RAW_Data!A222),""))</f>
        <v/>
      </c>
      <c r="C812" s="145"/>
      <c r="D812" s="145"/>
      <c r="E812" s="145"/>
      <c r="F812" s="145"/>
      <c r="G812" s="145"/>
      <c r="H812" s="145"/>
      <c r="I812" s="145"/>
      <c r="J812" s="145"/>
      <c r="K812" s="145"/>
      <c r="L812" s="145"/>
      <c r="M812" s="145"/>
      <c r="N812" s="145"/>
      <c r="O812" s="44"/>
      <c r="P812" s="44"/>
    </row>
    <row r="813" spans="1:16" x14ac:dyDescent="0.2">
      <c r="A813" s="58" t="str">
        <v/>
      </c>
      <c r="B813" s="123" t="str">
        <f>IFERROR(TIMEVALUE(DaqBook_RAW_Data!AG769),IFERROR(TIMEVALUE(DaqBook_RAW_Data!A223),""))</f>
        <v/>
      </c>
      <c r="C813" s="145"/>
      <c r="D813" s="145"/>
      <c r="E813" s="145"/>
      <c r="F813" s="145"/>
      <c r="G813" s="145"/>
      <c r="H813" s="145"/>
      <c r="I813" s="145"/>
      <c r="J813" s="145"/>
      <c r="K813" s="145"/>
      <c r="L813" s="145"/>
      <c r="M813" s="145"/>
      <c r="N813" s="145"/>
      <c r="O813" s="44"/>
      <c r="P813" s="44"/>
    </row>
    <row r="814" spans="1:16" x14ac:dyDescent="0.2">
      <c r="A814" s="58" t="str">
        <v/>
      </c>
      <c r="B814" s="123" t="str">
        <f>IFERROR(TIMEVALUE(DaqBook_RAW_Data!AG770),IFERROR(TIMEVALUE(DaqBook_RAW_Data!A224),""))</f>
        <v/>
      </c>
      <c r="C814" s="145"/>
      <c r="D814" s="145"/>
      <c r="E814" s="145"/>
      <c r="F814" s="145"/>
      <c r="G814" s="145"/>
      <c r="H814" s="145"/>
      <c r="I814" s="145"/>
      <c r="J814" s="145"/>
      <c r="K814" s="145"/>
      <c r="L814" s="145"/>
      <c r="M814" s="145"/>
      <c r="N814" s="145"/>
      <c r="O814" s="44"/>
      <c r="P814" s="44"/>
    </row>
    <row r="815" spans="1:16" x14ac:dyDescent="0.2">
      <c r="A815" s="58" t="str">
        <v/>
      </c>
      <c r="B815" s="123" t="str">
        <f>IFERROR(TIMEVALUE(DaqBook_RAW_Data!AG771),IFERROR(TIMEVALUE(DaqBook_RAW_Data!A225),""))</f>
        <v/>
      </c>
      <c r="C815" s="145"/>
      <c r="D815" s="145"/>
      <c r="E815" s="145"/>
      <c r="F815" s="145"/>
      <c r="G815" s="145"/>
      <c r="H815" s="145"/>
      <c r="I815" s="145"/>
      <c r="J815" s="145"/>
      <c r="K815" s="145"/>
      <c r="L815" s="145"/>
      <c r="M815" s="145"/>
      <c r="N815" s="145"/>
      <c r="O815" s="44"/>
      <c r="P815" s="44"/>
    </row>
    <row r="816" spans="1:16" x14ac:dyDescent="0.2">
      <c r="A816" s="58" t="str">
        <v/>
      </c>
      <c r="B816" s="123" t="str">
        <f>IFERROR(TIMEVALUE(DaqBook_RAW_Data!AG772),IFERROR(TIMEVALUE(DaqBook_RAW_Data!A226),""))</f>
        <v/>
      </c>
      <c r="C816" s="145"/>
      <c r="D816" s="145"/>
      <c r="E816" s="145"/>
      <c r="F816" s="145"/>
      <c r="G816" s="145"/>
      <c r="H816" s="145"/>
      <c r="I816" s="145"/>
      <c r="J816" s="145"/>
      <c r="K816" s="145"/>
      <c r="L816" s="145"/>
      <c r="M816" s="145"/>
      <c r="N816" s="145"/>
      <c r="O816" s="44"/>
      <c r="P816" s="44"/>
    </row>
    <row r="817" spans="1:16" x14ac:dyDescent="0.2">
      <c r="A817" s="58" t="str">
        <v/>
      </c>
      <c r="B817" s="123" t="str">
        <f>IFERROR(TIMEVALUE(DaqBook_RAW_Data!AG773),IFERROR(TIMEVALUE(DaqBook_RAW_Data!A227),""))</f>
        <v/>
      </c>
      <c r="C817" s="145"/>
      <c r="D817" s="145"/>
      <c r="E817" s="145"/>
      <c r="F817" s="145"/>
      <c r="G817" s="145"/>
      <c r="H817" s="145"/>
      <c r="I817" s="145"/>
      <c r="J817" s="145"/>
      <c r="K817" s="145"/>
      <c r="L817" s="145"/>
      <c r="M817" s="145"/>
      <c r="N817" s="145"/>
      <c r="O817" s="44"/>
      <c r="P817" s="44"/>
    </row>
    <row r="818" spans="1:16" x14ac:dyDescent="0.2">
      <c r="A818" s="58" t="str">
        <v/>
      </c>
      <c r="B818" s="123" t="str">
        <f>IFERROR(TIMEVALUE(DaqBook_RAW_Data!AG774),IFERROR(TIMEVALUE(DaqBook_RAW_Data!A228),""))</f>
        <v/>
      </c>
      <c r="C818" s="145"/>
      <c r="D818" s="145"/>
      <c r="E818" s="145"/>
      <c r="F818" s="145"/>
      <c r="G818" s="145"/>
      <c r="H818" s="145"/>
      <c r="I818" s="145"/>
      <c r="J818" s="145"/>
      <c r="K818" s="145"/>
      <c r="L818" s="145"/>
      <c r="M818" s="145"/>
      <c r="N818" s="145"/>
      <c r="O818" s="44"/>
      <c r="P818" s="44"/>
    </row>
    <row r="819" spans="1:16" x14ac:dyDescent="0.2">
      <c r="A819" s="58" t="str">
        <v/>
      </c>
      <c r="B819" s="123" t="str">
        <f>IFERROR(TIMEVALUE(DaqBook_RAW_Data!AG775),IFERROR(TIMEVALUE(DaqBook_RAW_Data!A229),""))</f>
        <v/>
      </c>
      <c r="C819" s="145"/>
      <c r="D819" s="145"/>
      <c r="E819" s="145"/>
      <c r="F819" s="145"/>
      <c r="G819" s="145"/>
      <c r="H819" s="145"/>
      <c r="I819" s="145"/>
      <c r="J819" s="145"/>
      <c r="K819" s="145"/>
      <c r="L819" s="145"/>
      <c r="M819" s="145"/>
      <c r="N819" s="145"/>
      <c r="O819" s="44"/>
      <c r="P819" s="44"/>
    </row>
    <row r="820" spans="1:16" x14ac:dyDescent="0.2">
      <c r="A820" s="58" t="str">
        <v/>
      </c>
      <c r="B820" s="123" t="str">
        <f>IFERROR(TIMEVALUE(DaqBook_RAW_Data!AG776),IFERROR(TIMEVALUE(DaqBook_RAW_Data!A230),""))</f>
        <v/>
      </c>
      <c r="C820" s="145"/>
      <c r="D820" s="145"/>
      <c r="E820" s="145"/>
      <c r="F820" s="145"/>
      <c r="G820" s="145"/>
      <c r="H820" s="145"/>
      <c r="I820" s="145"/>
      <c r="J820" s="145"/>
      <c r="K820" s="145"/>
      <c r="L820" s="145"/>
      <c r="M820" s="145"/>
      <c r="N820" s="145"/>
      <c r="O820" s="44"/>
      <c r="P820" s="44"/>
    </row>
    <row r="821" spans="1:16" x14ac:dyDescent="0.2">
      <c r="A821" s="58" t="str">
        <v/>
      </c>
      <c r="B821" s="123" t="str">
        <f>IFERROR(TIMEVALUE(DaqBook_RAW_Data!AG777),IFERROR(TIMEVALUE(DaqBook_RAW_Data!A231),""))</f>
        <v/>
      </c>
      <c r="C821" s="145"/>
      <c r="D821" s="145"/>
      <c r="E821" s="145"/>
      <c r="F821" s="145"/>
      <c r="G821" s="145"/>
      <c r="H821" s="145"/>
      <c r="I821" s="145"/>
      <c r="J821" s="145"/>
      <c r="K821" s="145"/>
      <c r="L821" s="145"/>
      <c r="M821" s="145"/>
      <c r="N821" s="145"/>
      <c r="O821" s="44"/>
      <c r="P821" s="44"/>
    </row>
    <row r="822" spans="1:16" x14ac:dyDescent="0.2">
      <c r="A822" s="58" t="str">
        <v/>
      </c>
      <c r="B822" s="123" t="str">
        <f>IFERROR(TIMEVALUE(DaqBook_RAW_Data!AG778),IFERROR(TIMEVALUE(DaqBook_RAW_Data!A232),""))</f>
        <v/>
      </c>
      <c r="C822" s="145"/>
      <c r="D822" s="145"/>
      <c r="E822" s="145"/>
      <c r="F822" s="145"/>
      <c r="G822" s="145"/>
      <c r="H822" s="145"/>
      <c r="I822" s="145"/>
      <c r="J822" s="145"/>
      <c r="K822" s="145"/>
      <c r="L822" s="145"/>
      <c r="M822" s="145"/>
      <c r="N822" s="145"/>
      <c r="O822" s="44"/>
      <c r="P822" s="44"/>
    </row>
    <row r="823" spans="1:16" x14ac:dyDescent="0.2">
      <c r="A823" s="58" t="str">
        <v/>
      </c>
      <c r="B823" s="123" t="str">
        <f>IFERROR(TIMEVALUE(DaqBook_RAW_Data!AG779),IFERROR(TIMEVALUE(DaqBook_RAW_Data!A233),""))</f>
        <v/>
      </c>
      <c r="C823" s="145"/>
      <c r="D823" s="145"/>
      <c r="E823" s="145"/>
      <c r="F823" s="145"/>
      <c r="G823" s="145"/>
      <c r="H823" s="145"/>
      <c r="I823" s="145"/>
      <c r="J823" s="145"/>
      <c r="K823" s="145"/>
      <c r="L823" s="145"/>
      <c r="M823" s="145"/>
      <c r="N823" s="145"/>
      <c r="O823" s="44"/>
      <c r="P823" s="44"/>
    </row>
    <row r="824" spans="1:16" x14ac:dyDescent="0.2">
      <c r="A824" s="58" t="str">
        <v/>
      </c>
      <c r="B824" s="123" t="str">
        <f>IFERROR(TIMEVALUE(DaqBook_RAW_Data!AG780),IFERROR(TIMEVALUE(DaqBook_RAW_Data!A234),""))</f>
        <v/>
      </c>
      <c r="C824" s="145"/>
      <c r="D824" s="145"/>
      <c r="E824" s="145"/>
      <c r="F824" s="145"/>
      <c r="G824" s="145"/>
      <c r="H824" s="145"/>
      <c r="I824" s="145"/>
      <c r="J824" s="145"/>
      <c r="K824" s="145"/>
      <c r="L824" s="145"/>
      <c r="M824" s="145"/>
      <c r="N824" s="145"/>
      <c r="O824" s="44"/>
      <c r="P824" s="44"/>
    </row>
    <row r="825" spans="1:16" x14ac:dyDescent="0.2">
      <c r="A825" s="58" t="str">
        <v/>
      </c>
      <c r="B825" s="123" t="str">
        <f>IFERROR(TIMEVALUE(DaqBook_RAW_Data!AG781),IFERROR(TIMEVALUE(DaqBook_RAW_Data!A235),""))</f>
        <v/>
      </c>
      <c r="C825" s="145"/>
      <c r="D825" s="145"/>
      <c r="E825" s="145"/>
      <c r="F825" s="145"/>
      <c r="G825" s="145"/>
      <c r="H825" s="145"/>
      <c r="I825" s="145"/>
      <c r="J825" s="145"/>
      <c r="K825" s="145"/>
      <c r="L825" s="145"/>
      <c r="M825" s="145"/>
      <c r="N825" s="145"/>
      <c r="O825" s="44"/>
      <c r="P825" s="44"/>
    </row>
    <row r="826" spans="1:16" x14ac:dyDescent="0.2">
      <c r="A826" s="58" t="str">
        <v/>
      </c>
      <c r="B826" s="123" t="str">
        <f>IFERROR(TIMEVALUE(DaqBook_RAW_Data!AG782),IFERROR(TIMEVALUE(DaqBook_RAW_Data!A236),""))</f>
        <v/>
      </c>
      <c r="C826" s="145"/>
      <c r="D826" s="145"/>
      <c r="E826" s="145"/>
      <c r="F826" s="145"/>
      <c r="G826" s="145"/>
      <c r="H826" s="145"/>
      <c r="I826" s="145"/>
      <c r="J826" s="145"/>
      <c r="K826" s="145"/>
      <c r="L826" s="145"/>
      <c r="M826" s="145"/>
      <c r="N826" s="145"/>
      <c r="O826" s="44"/>
      <c r="P826" s="44"/>
    </row>
    <row r="827" spans="1:16" x14ac:dyDescent="0.2">
      <c r="A827" s="58" t="str">
        <v/>
      </c>
      <c r="B827" s="123" t="str">
        <f>IFERROR(TIMEVALUE(DaqBook_RAW_Data!AG783),IFERROR(TIMEVALUE(DaqBook_RAW_Data!A237),""))</f>
        <v/>
      </c>
      <c r="C827" s="145"/>
      <c r="D827" s="145"/>
      <c r="E827" s="145"/>
      <c r="F827" s="145"/>
      <c r="G827" s="145"/>
      <c r="H827" s="145"/>
      <c r="I827" s="145"/>
      <c r="J827" s="145"/>
      <c r="K827" s="145"/>
      <c r="L827" s="145"/>
      <c r="M827" s="145"/>
      <c r="N827" s="145"/>
      <c r="O827" s="44"/>
      <c r="P827" s="44"/>
    </row>
    <row r="828" spans="1:16" x14ac:dyDescent="0.2">
      <c r="A828" s="58" t="str">
        <v/>
      </c>
      <c r="B828" s="123" t="str">
        <f>IFERROR(TIMEVALUE(DaqBook_RAW_Data!AG784),IFERROR(TIMEVALUE(DaqBook_RAW_Data!A238),""))</f>
        <v/>
      </c>
      <c r="C828" s="145"/>
      <c r="D828" s="145"/>
      <c r="E828" s="145"/>
      <c r="F828" s="145"/>
      <c r="G828" s="145"/>
      <c r="H828" s="145"/>
      <c r="I828" s="145"/>
      <c r="J828" s="145"/>
      <c r="K828" s="145"/>
      <c r="L828" s="145"/>
      <c r="M828" s="145"/>
      <c r="N828" s="145"/>
      <c r="O828" s="44"/>
      <c r="P828" s="44"/>
    </row>
    <row r="829" spans="1:16" x14ac:dyDescent="0.2">
      <c r="A829" s="58" t="str">
        <v/>
      </c>
      <c r="B829" s="123" t="str">
        <f>IFERROR(TIMEVALUE(DaqBook_RAW_Data!AG785),IFERROR(TIMEVALUE(DaqBook_RAW_Data!A239),""))</f>
        <v/>
      </c>
      <c r="C829" s="145"/>
      <c r="D829" s="145"/>
      <c r="E829" s="145"/>
      <c r="F829" s="145"/>
      <c r="G829" s="145"/>
      <c r="H829" s="145"/>
      <c r="I829" s="145"/>
      <c r="J829" s="145"/>
      <c r="K829" s="145"/>
      <c r="L829" s="145"/>
      <c r="M829" s="145"/>
      <c r="N829" s="145"/>
      <c r="O829" s="44"/>
      <c r="P829" s="44"/>
    </row>
    <row r="830" spans="1:16" x14ac:dyDescent="0.2">
      <c r="A830" s="58" t="str">
        <v/>
      </c>
      <c r="B830" s="123" t="str">
        <f>IFERROR(TIMEVALUE(DaqBook_RAW_Data!AG786),IFERROR(TIMEVALUE(DaqBook_RAW_Data!A240),""))</f>
        <v/>
      </c>
      <c r="C830" s="145"/>
      <c r="D830" s="145"/>
      <c r="E830" s="145"/>
      <c r="F830" s="145"/>
      <c r="G830" s="145"/>
      <c r="H830" s="145"/>
      <c r="I830" s="145"/>
      <c r="J830" s="145"/>
      <c r="K830" s="145"/>
      <c r="L830" s="145"/>
      <c r="M830" s="145"/>
      <c r="N830" s="145"/>
      <c r="O830" s="44"/>
      <c r="P830" s="44"/>
    </row>
    <row r="831" spans="1:16" x14ac:dyDescent="0.2">
      <c r="A831" s="58" t="str">
        <v/>
      </c>
      <c r="B831" s="123" t="str">
        <f>IFERROR(TIMEVALUE(DaqBook_RAW_Data!AG787),IFERROR(TIMEVALUE(DaqBook_RAW_Data!A241),""))</f>
        <v/>
      </c>
      <c r="C831" s="145"/>
      <c r="D831" s="145"/>
      <c r="E831" s="145"/>
      <c r="F831" s="145"/>
      <c r="G831" s="145"/>
      <c r="H831" s="145"/>
      <c r="I831" s="145"/>
      <c r="J831" s="145"/>
      <c r="K831" s="145"/>
      <c r="L831" s="145"/>
      <c r="M831" s="145"/>
      <c r="N831" s="145"/>
      <c r="O831" s="44"/>
      <c r="P831" s="44"/>
    </row>
    <row r="832" spans="1:16" x14ac:dyDescent="0.2">
      <c r="A832" s="58" t="str">
        <v/>
      </c>
      <c r="B832" s="123" t="str">
        <f>IFERROR(TIMEVALUE(DaqBook_RAW_Data!AG788),IFERROR(TIMEVALUE(DaqBook_RAW_Data!A242),""))</f>
        <v/>
      </c>
      <c r="C832" s="145"/>
      <c r="D832" s="145"/>
      <c r="E832" s="145"/>
      <c r="F832" s="145"/>
      <c r="G832" s="145"/>
      <c r="H832" s="145"/>
      <c r="I832" s="145"/>
      <c r="J832" s="145"/>
      <c r="K832" s="145"/>
      <c r="L832" s="145"/>
      <c r="M832" s="145"/>
      <c r="N832" s="145"/>
      <c r="O832" s="44"/>
      <c r="P832" s="44"/>
    </row>
    <row r="833" spans="1:16" x14ac:dyDescent="0.2">
      <c r="A833" s="58" t="str">
        <v/>
      </c>
      <c r="B833" s="123" t="str">
        <f>IFERROR(TIMEVALUE(DaqBook_RAW_Data!AG789),IFERROR(TIMEVALUE(DaqBook_RAW_Data!A243),""))</f>
        <v/>
      </c>
      <c r="C833" s="145"/>
      <c r="D833" s="145"/>
      <c r="E833" s="145"/>
      <c r="F833" s="145"/>
      <c r="G833" s="145"/>
      <c r="H833" s="145"/>
      <c r="I833" s="145"/>
      <c r="J833" s="145"/>
      <c r="K833" s="145"/>
      <c r="L833" s="145"/>
      <c r="M833" s="145"/>
      <c r="N833" s="145"/>
      <c r="O833" s="44"/>
      <c r="P833" s="44"/>
    </row>
    <row r="834" spans="1:16" x14ac:dyDescent="0.2">
      <c r="A834" s="58" t="str">
        <v/>
      </c>
      <c r="B834" s="123" t="str">
        <f>IFERROR(TIMEVALUE(DaqBook_RAW_Data!AG790),IFERROR(TIMEVALUE(DaqBook_RAW_Data!A244),""))</f>
        <v/>
      </c>
      <c r="C834" s="145"/>
      <c r="D834" s="145"/>
      <c r="E834" s="145"/>
      <c r="F834" s="145"/>
      <c r="G834" s="145"/>
      <c r="H834" s="145"/>
      <c r="I834" s="145"/>
      <c r="J834" s="145"/>
      <c r="K834" s="145"/>
      <c r="L834" s="145"/>
      <c r="M834" s="145"/>
      <c r="N834" s="145"/>
      <c r="O834" s="44"/>
      <c r="P834" s="44"/>
    </row>
    <row r="835" spans="1:16" x14ac:dyDescent="0.2">
      <c r="A835" s="58" t="str">
        <v/>
      </c>
      <c r="B835" s="123" t="str">
        <f>IFERROR(TIMEVALUE(DaqBook_RAW_Data!AG791),IFERROR(TIMEVALUE(DaqBook_RAW_Data!A245),""))</f>
        <v/>
      </c>
      <c r="C835" s="145"/>
      <c r="D835" s="145"/>
      <c r="E835" s="145"/>
      <c r="F835" s="145"/>
      <c r="G835" s="145"/>
      <c r="H835" s="145"/>
      <c r="I835" s="145"/>
      <c r="J835" s="145"/>
      <c r="K835" s="145"/>
      <c r="L835" s="145"/>
      <c r="M835" s="145"/>
      <c r="N835" s="145"/>
      <c r="O835" s="44"/>
      <c r="P835" s="44"/>
    </row>
    <row r="836" spans="1:16" x14ac:dyDescent="0.2">
      <c r="A836" s="58" t="str">
        <v/>
      </c>
      <c r="B836" s="123" t="str">
        <f>IFERROR(TIMEVALUE(DaqBook_RAW_Data!AG792),IFERROR(TIMEVALUE(DaqBook_RAW_Data!A246),""))</f>
        <v/>
      </c>
      <c r="C836" s="145"/>
      <c r="D836" s="145"/>
      <c r="E836" s="145"/>
      <c r="F836" s="145"/>
      <c r="G836" s="145"/>
      <c r="H836" s="145"/>
      <c r="I836" s="145"/>
      <c r="J836" s="145"/>
      <c r="K836" s="145"/>
      <c r="L836" s="145"/>
      <c r="M836" s="145"/>
      <c r="N836" s="145"/>
      <c r="O836" s="44"/>
      <c r="P836" s="44"/>
    </row>
    <row r="837" spans="1:16" x14ac:dyDescent="0.2">
      <c r="A837" s="58" t="str">
        <v/>
      </c>
      <c r="B837" s="123" t="str">
        <f>IFERROR(TIMEVALUE(DaqBook_RAW_Data!AG793),IFERROR(TIMEVALUE(DaqBook_RAW_Data!A247),""))</f>
        <v/>
      </c>
      <c r="C837" s="145"/>
      <c r="D837" s="145"/>
      <c r="E837" s="145"/>
      <c r="F837" s="145"/>
      <c r="G837" s="145"/>
      <c r="H837" s="145"/>
      <c r="I837" s="145"/>
      <c r="J837" s="145"/>
      <c r="K837" s="145"/>
      <c r="L837" s="145"/>
      <c r="M837" s="145"/>
      <c r="N837" s="145"/>
      <c r="O837" s="44"/>
      <c r="P837" s="44"/>
    </row>
    <row r="838" spans="1:16" x14ac:dyDescent="0.2">
      <c r="A838" s="58" t="str">
        <v/>
      </c>
      <c r="B838" s="123" t="str">
        <f>IFERROR(TIMEVALUE(DaqBook_RAW_Data!AG794),IFERROR(TIMEVALUE(DaqBook_RAW_Data!A248),""))</f>
        <v/>
      </c>
      <c r="C838" s="145"/>
      <c r="D838" s="145"/>
      <c r="E838" s="145"/>
      <c r="F838" s="145"/>
      <c r="G838" s="145"/>
      <c r="H838" s="145"/>
      <c r="I838" s="145"/>
      <c r="J838" s="145"/>
      <c r="K838" s="145"/>
      <c r="L838" s="145"/>
      <c r="M838" s="145"/>
      <c r="N838" s="145"/>
      <c r="O838" s="44"/>
      <c r="P838" s="44"/>
    </row>
    <row r="839" spans="1:16" x14ac:dyDescent="0.2">
      <c r="A839" s="58" t="str">
        <v/>
      </c>
      <c r="B839" s="123" t="str">
        <f>IFERROR(TIMEVALUE(DaqBook_RAW_Data!AG795),IFERROR(TIMEVALUE(DaqBook_RAW_Data!A249),""))</f>
        <v/>
      </c>
      <c r="C839" s="145"/>
      <c r="D839" s="145"/>
      <c r="E839" s="145"/>
      <c r="F839" s="145"/>
      <c r="G839" s="145"/>
      <c r="H839" s="145"/>
      <c r="I839" s="145"/>
      <c r="J839" s="145"/>
      <c r="K839" s="145"/>
      <c r="L839" s="145"/>
      <c r="M839" s="145"/>
      <c r="N839" s="145"/>
      <c r="O839" s="44"/>
      <c r="P839" s="44"/>
    </row>
    <row r="840" spans="1:16" x14ac:dyDescent="0.2">
      <c r="A840" s="58" t="str">
        <v/>
      </c>
      <c r="B840" s="123" t="str">
        <f>IFERROR(TIMEVALUE(DaqBook_RAW_Data!AG796),IFERROR(TIMEVALUE(DaqBook_RAW_Data!A250),""))</f>
        <v/>
      </c>
      <c r="C840" s="145"/>
      <c r="D840" s="145"/>
      <c r="E840" s="145"/>
      <c r="F840" s="145"/>
      <c r="G840" s="145"/>
      <c r="H840" s="145"/>
      <c r="I840" s="145"/>
      <c r="J840" s="145"/>
      <c r="K840" s="145"/>
      <c r="L840" s="145"/>
      <c r="M840" s="145"/>
      <c r="N840" s="145"/>
      <c r="O840" s="44"/>
      <c r="P840" s="44"/>
    </row>
    <row r="841" spans="1:16" x14ac:dyDescent="0.2">
      <c r="A841" s="58" t="str">
        <v/>
      </c>
      <c r="B841" s="123" t="str">
        <f>IFERROR(TIMEVALUE(DaqBook_RAW_Data!AG797),IFERROR(TIMEVALUE(DaqBook_RAW_Data!A251),""))</f>
        <v/>
      </c>
      <c r="C841" s="145"/>
      <c r="D841" s="145"/>
      <c r="E841" s="145"/>
      <c r="F841" s="145"/>
      <c r="G841" s="145"/>
      <c r="H841" s="145"/>
      <c r="I841" s="145"/>
      <c r="J841" s="145"/>
      <c r="K841" s="145"/>
      <c r="L841" s="145"/>
      <c r="M841" s="145"/>
      <c r="N841" s="145"/>
      <c r="O841" s="44"/>
      <c r="P841" s="44"/>
    </row>
    <row r="842" spans="1:16" x14ac:dyDescent="0.2">
      <c r="A842" s="58" t="str">
        <v/>
      </c>
      <c r="B842" s="123" t="str">
        <f>IFERROR(TIMEVALUE(DaqBook_RAW_Data!AG798),IFERROR(TIMEVALUE(DaqBook_RAW_Data!A252),""))</f>
        <v/>
      </c>
      <c r="C842" s="145"/>
      <c r="D842" s="145"/>
      <c r="E842" s="145"/>
      <c r="F842" s="145"/>
      <c r="G842" s="145"/>
      <c r="H842" s="145"/>
      <c r="I842" s="145"/>
      <c r="J842" s="145"/>
      <c r="K842" s="145"/>
      <c r="L842" s="145"/>
      <c r="M842" s="145"/>
      <c r="N842" s="145"/>
      <c r="O842" s="44"/>
      <c r="P842" s="44"/>
    </row>
    <row r="843" spans="1:16" x14ac:dyDescent="0.2">
      <c r="A843" s="58" t="str">
        <v/>
      </c>
      <c r="B843" s="123" t="str">
        <f>IFERROR(TIMEVALUE(DaqBook_RAW_Data!AG799),IFERROR(TIMEVALUE(DaqBook_RAW_Data!A253),""))</f>
        <v/>
      </c>
      <c r="C843" s="145"/>
      <c r="D843" s="145"/>
      <c r="E843" s="145"/>
      <c r="F843" s="145"/>
      <c r="G843" s="145"/>
      <c r="H843" s="145"/>
      <c r="I843" s="145"/>
      <c r="J843" s="145"/>
      <c r="K843" s="145"/>
      <c r="L843" s="145"/>
      <c r="M843" s="145"/>
      <c r="N843" s="145"/>
      <c r="O843" s="44"/>
      <c r="P843" s="44"/>
    </row>
    <row r="844" spans="1:16" x14ac:dyDescent="0.2">
      <c r="A844" s="58" t="str">
        <v/>
      </c>
      <c r="B844" s="123" t="str">
        <f>IFERROR(TIMEVALUE(DaqBook_RAW_Data!AG800),IFERROR(TIMEVALUE(DaqBook_RAW_Data!A254),""))</f>
        <v/>
      </c>
      <c r="C844" s="145"/>
      <c r="D844" s="145"/>
      <c r="E844" s="145"/>
      <c r="F844" s="145"/>
      <c r="G844" s="145"/>
      <c r="H844" s="145"/>
      <c r="I844" s="145"/>
      <c r="J844" s="145"/>
      <c r="K844" s="145"/>
      <c r="L844" s="145"/>
      <c r="M844" s="145"/>
      <c r="N844" s="145"/>
      <c r="O844" s="44"/>
      <c r="P844" s="44"/>
    </row>
    <row r="845" spans="1:16" x14ac:dyDescent="0.2">
      <c r="A845" s="58" t="str">
        <v/>
      </c>
      <c r="B845" s="123" t="str">
        <f>IFERROR(TIMEVALUE(DaqBook_RAW_Data!AG801),IFERROR(TIMEVALUE(DaqBook_RAW_Data!A255),""))</f>
        <v/>
      </c>
      <c r="C845" s="145"/>
      <c r="D845" s="145"/>
      <c r="E845" s="145"/>
      <c r="F845" s="145"/>
      <c r="G845" s="145"/>
      <c r="H845" s="145"/>
      <c r="I845" s="145"/>
      <c r="J845" s="145"/>
      <c r="K845" s="145"/>
      <c r="L845" s="145"/>
      <c r="M845" s="145"/>
      <c r="N845" s="145"/>
      <c r="O845" s="44"/>
      <c r="P845" s="44"/>
    </row>
    <row r="846" spans="1:16" x14ac:dyDescent="0.2">
      <c r="A846" s="58" t="str">
        <v/>
      </c>
      <c r="B846" s="123" t="str">
        <f>IFERROR(TIMEVALUE(DaqBook_RAW_Data!AG802),IFERROR(TIMEVALUE(DaqBook_RAW_Data!A256),""))</f>
        <v/>
      </c>
      <c r="C846" s="145"/>
      <c r="D846" s="145"/>
      <c r="E846" s="145"/>
      <c r="F846" s="145"/>
      <c r="G846" s="145"/>
      <c r="H846" s="145"/>
      <c r="I846" s="145"/>
      <c r="J846" s="145"/>
      <c r="K846" s="145"/>
      <c r="L846" s="145"/>
      <c r="M846" s="145"/>
      <c r="N846" s="145"/>
      <c r="O846" s="44"/>
      <c r="P846" s="44"/>
    </row>
    <row r="847" spans="1:16" x14ac:dyDescent="0.2">
      <c r="A847" s="58" t="str">
        <v/>
      </c>
      <c r="B847" s="123" t="str">
        <f>IFERROR(TIMEVALUE(DaqBook_RAW_Data!AG803),IFERROR(TIMEVALUE(DaqBook_RAW_Data!A257),""))</f>
        <v/>
      </c>
      <c r="C847" s="145"/>
      <c r="D847" s="145"/>
      <c r="E847" s="145"/>
      <c r="F847" s="145"/>
      <c r="G847" s="145"/>
      <c r="H847" s="145"/>
      <c r="I847" s="145"/>
      <c r="J847" s="145"/>
      <c r="K847" s="145"/>
      <c r="L847" s="145"/>
      <c r="M847" s="145"/>
      <c r="N847" s="145"/>
      <c r="O847" s="44"/>
      <c r="P847" s="44"/>
    </row>
    <row r="848" spans="1:16" x14ac:dyDescent="0.2">
      <c r="A848" s="58" t="str">
        <v/>
      </c>
      <c r="B848" s="123" t="str">
        <f>IFERROR(TIMEVALUE(DaqBook_RAW_Data!AG804),IFERROR(TIMEVALUE(DaqBook_RAW_Data!A258),""))</f>
        <v/>
      </c>
      <c r="C848" s="145"/>
      <c r="D848" s="145"/>
      <c r="E848" s="145"/>
      <c r="F848" s="145"/>
      <c r="G848" s="145"/>
      <c r="H848" s="145"/>
      <c r="I848" s="145"/>
      <c r="J848" s="145"/>
      <c r="K848" s="145"/>
      <c r="L848" s="145"/>
      <c r="M848" s="145"/>
      <c r="N848" s="145"/>
      <c r="O848" s="44"/>
      <c r="P848" s="44"/>
    </row>
    <row r="849" spans="1:16" x14ac:dyDescent="0.2">
      <c r="A849" s="58" t="str">
        <v/>
      </c>
      <c r="B849" s="123" t="str">
        <f>IFERROR(TIMEVALUE(DaqBook_RAW_Data!AG805),IFERROR(TIMEVALUE(DaqBook_RAW_Data!A259),""))</f>
        <v/>
      </c>
      <c r="C849" s="145"/>
      <c r="D849" s="145"/>
      <c r="E849" s="145"/>
      <c r="F849" s="145"/>
      <c r="G849" s="145"/>
      <c r="H849" s="145"/>
      <c r="I849" s="145"/>
      <c r="J849" s="145"/>
      <c r="K849" s="145"/>
      <c r="L849" s="145"/>
      <c r="M849" s="145"/>
      <c r="N849" s="145"/>
      <c r="O849" s="44"/>
      <c r="P849" s="44"/>
    </row>
    <row r="850" spans="1:16" x14ac:dyDescent="0.2">
      <c r="A850" s="58" t="str">
        <v/>
      </c>
      <c r="B850" s="123" t="str">
        <f>IFERROR(TIMEVALUE(DaqBook_RAW_Data!AG806),IFERROR(TIMEVALUE(DaqBook_RAW_Data!A260),""))</f>
        <v/>
      </c>
      <c r="C850" s="145"/>
      <c r="D850" s="145"/>
      <c r="E850" s="145"/>
      <c r="F850" s="145"/>
      <c r="G850" s="145"/>
      <c r="H850" s="145"/>
      <c r="I850" s="145"/>
      <c r="J850" s="145"/>
      <c r="K850" s="145"/>
      <c r="L850" s="145"/>
      <c r="M850" s="145"/>
      <c r="N850" s="145"/>
      <c r="O850" s="44"/>
      <c r="P850" s="44"/>
    </row>
    <row r="851" spans="1:16" x14ac:dyDescent="0.2">
      <c r="A851" s="58" t="str">
        <v/>
      </c>
      <c r="B851" s="123" t="str">
        <f>IFERROR(TIMEVALUE(DaqBook_RAW_Data!AG807),IFERROR(TIMEVALUE(DaqBook_RAW_Data!A261),""))</f>
        <v/>
      </c>
      <c r="C851" s="145"/>
      <c r="D851" s="145"/>
      <c r="E851" s="145"/>
      <c r="F851" s="145"/>
      <c r="G851" s="145"/>
      <c r="H851" s="145"/>
      <c r="I851" s="145"/>
      <c r="J851" s="145"/>
      <c r="K851" s="145"/>
      <c r="L851" s="145"/>
      <c r="M851" s="145"/>
      <c r="N851" s="145"/>
      <c r="O851" s="44"/>
      <c r="P851" s="44"/>
    </row>
    <row r="852" spans="1:16" x14ac:dyDescent="0.2">
      <c r="A852" s="58" t="str">
        <v/>
      </c>
      <c r="B852" s="123" t="str">
        <f>IFERROR(TIMEVALUE(DaqBook_RAW_Data!AG808),IFERROR(TIMEVALUE(DaqBook_RAW_Data!A262),""))</f>
        <v/>
      </c>
      <c r="C852" s="145"/>
      <c r="D852" s="145"/>
      <c r="E852" s="145"/>
      <c r="F852" s="145"/>
      <c r="G852" s="145"/>
      <c r="H852" s="145"/>
      <c r="I852" s="145"/>
      <c r="J852" s="145"/>
      <c r="K852" s="145"/>
      <c r="L852" s="145"/>
      <c r="M852" s="145"/>
      <c r="N852" s="145"/>
      <c r="O852" s="44"/>
      <c r="P852" s="44"/>
    </row>
    <row r="853" spans="1:16" x14ac:dyDescent="0.2">
      <c r="A853" s="58" t="str">
        <v/>
      </c>
      <c r="B853" s="123" t="str">
        <f>IFERROR(TIMEVALUE(DaqBook_RAW_Data!AG809),IFERROR(TIMEVALUE(DaqBook_RAW_Data!A263),""))</f>
        <v/>
      </c>
      <c r="C853" s="145"/>
      <c r="D853" s="145"/>
      <c r="E853" s="145"/>
      <c r="F853" s="145"/>
      <c r="G853" s="145"/>
      <c r="H853" s="145"/>
      <c r="I853" s="145"/>
      <c r="J853" s="145"/>
      <c r="K853" s="145"/>
      <c r="L853" s="145"/>
      <c r="M853" s="145"/>
      <c r="N853" s="145"/>
      <c r="O853" s="44"/>
      <c r="P853" s="44"/>
    </row>
    <row r="854" spans="1:16" x14ac:dyDescent="0.2">
      <c r="A854" s="58" t="str">
        <v/>
      </c>
      <c r="B854" s="123" t="str">
        <f>IFERROR(TIMEVALUE(DaqBook_RAW_Data!AG810),IFERROR(TIMEVALUE(DaqBook_RAW_Data!A264),""))</f>
        <v/>
      </c>
      <c r="C854" s="145"/>
      <c r="D854" s="145"/>
      <c r="E854" s="145"/>
      <c r="F854" s="145"/>
      <c r="G854" s="145"/>
      <c r="H854" s="145"/>
      <c r="I854" s="145"/>
      <c r="J854" s="145"/>
      <c r="K854" s="145"/>
      <c r="L854" s="145"/>
      <c r="M854" s="145"/>
      <c r="N854" s="145"/>
      <c r="O854" s="44"/>
      <c r="P854" s="44"/>
    </row>
    <row r="855" spans="1:16" x14ac:dyDescent="0.2">
      <c r="A855" s="58" t="str">
        <v/>
      </c>
      <c r="B855" s="123" t="str">
        <f>IFERROR(TIMEVALUE(DaqBook_RAW_Data!AG811),IFERROR(TIMEVALUE(DaqBook_RAW_Data!A265),""))</f>
        <v/>
      </c>
      <c r="C855" s="145"/>
      <c r="D855" s="145"/>
      <c r="E855" s="145"/>
      <c r="F855" s="145"/>
      <c r="G855" s="145"/>
      <c r="H855" s="145"/>
      <c r="I855" s="145"/>
      <c r="J855" s="145"/>
      <c r="K855" s="145"/>
      <c r="L855" s="145"/>
      <c r="M855" s="145"/>
      <c r="N855" s="145"/>
      <c r="O855" s="44"/>
      <c r="P855" s="44"/>
    </row>
    <row r="856" spans="1:16" x14ac:dyDescent="0.2">
      <c r="A856" s="58" t="str">
        <v/>
      </c>
      <c r="B856" s="123" t="str">
        <f>IFERROR(TIMEVALUE(DaqBook_RAW_Data!AG812),IFERROR(TIMEVALUE(DaqBook_RAW_Data!A266),""))</f>
        <v/>
      </c>
      <c r="C856" s="145"/>
      <c r="D856" s="145"/>
      <c r="E856" s="145"/>
      <c r="F856" s="145"/>
      <c r="G856" s="145"/>
      <c r="H856" s="145"/>
      <c r="I856" s="145"/>
      <c r="J856" s="145"/>
      <c r="K856" s="145"/>
      <c r="L856" s="145"/>
      <c r="M856" s="145"/>
      <c r="N856" s="145"/>
      <c r="O856" s="44"/>
      <c r="P856" s="44"/>
    </row>
    <row r="857" spans="1:16" x14ac:dyDescent="0.2">
      <c r="A857" s="58" t="str">
        <v/>
      </c>
      <c r="B857" s="123" t="str">
        <f>IFERROR(TIMEVALUE(DaqBook_RAW_Data!AG813),IFERROR(TIMEVALUE(DaqBook_RAW_Data!A267),""))</f>
        <v/>
      </c>
      <c r="C857" s="145"/>
      <c r="D857" s="145"/>
      <c r="E857" s="145"/>
      <c r="F857" s="145"/>
      <c r="G857" s="145"/>
      <c r="H857" s="145"/>
      <c r="I857" s="145"/>
      <c r="J857" s="145"/>
      <c r="K857" s="145"/>
      <c r="L857" s="145"/>
      <c r="M857" s="145"/>
      <c r="N857" s="145"/>
      <c r="O857" s="44"/>
      <c r="P857" s="44"/>
    </row>
    <row r="858" spans="1:16" x14ac:dyDescent="0.2">
      <c r="A858" s="58" t="str">
        <v/>
      </c>
      <c r="B858" s="123" t="str">
        <f>IFERROR(TIMEVALUE(DaqBook_RAW_Data!AG814),IFERROR(TIMEVALUE(DaqBook_RAW_Data!A268),""))</f>
        <v/>
      </c>
      <c r="C858" s="145"/>
      <c r="D858" s="145"/>
      <c r="E858" s="145"/>
      <c r="F858" s="145"/>
      <c r="G858" s="145"/>
      <c r="H858" s="145"/>
      <c r="I858" s="145"/>
      <c r="J858" s="145"/>
      <c r="K858" s="145"/>
      <c r="L858" s="145"/>
      <c r="M858" s="145"/>
      <c r="N858" s="145"/>
      <c r="O858" s="44"/>
      <c r="P858" s="44"/>
    </row>
    <row r="859" spans="1:16" x14ac:dyDescent="0.2">
      <c r="A859" s="58" t="str">
        <v/>
      </c>
      <c r="B859" s="123" t="str">
        <f>IFERROR(TIMEVALUE(DaqBook_RAW_Data!AG815),IFERROR(TIMEVALUE(DaqBook_RAW_Data!A269),""))</f>
        <v/>
      </c>
      <c r="C859" s="145"/>
      <c r="D859" s="145"/>
      <c r="E859" s="145"/>
      <c r="F859" s="145"/>
      <c r="G859" s="145"/>
      <c r="H859" s="145"/>
      <c r="I859" s="145"/>
      <c r="J859" s="145"/>
      <c r="K859" s="145"/>
      <c r="L859" s="145"/>
      <c r="M859" s="145"/>
      <c r="N859" s="145"/>
      <c r="O859" s="44"/>
      <c r="P859" s="44"/>
    </row>
    <row r="860" spans="1:16" x14ac:dyDescent="0.2">
      <c r="A860" s="58" t="str">
        <v/>
      </c>
      <c r="B860" s="123" t="str">
        <f>IFERROR(TIMEVALUE(DaqBook_RAW_Data!AG816),IFERROR(TIMEVALUE(DaqBook_RAW_Data!A270),""))</f>
        <v/>
      </c>
      <c r="C860" s="145"/>
      <c r="D860" s="145"/>
      <c r="E860" s="145"/>
      <c r="F860" s="145"/>
      <c r="G860" s="145"/>
      <c r="H860" s="145"/>
      <c r="I860" s="145"/>
      <c r="J860" s="145"/>
      <c r="K860" s="145"/>
      <c r="L860" s="145"/>
      <c r="M860" s="145"/>
      <c r="N860" s="145"/>
      <c r="O860" s="44"/>
      <c r="P860" s="44"/>
    </row>
    <row r="861" spans="1:16" x14ac:dyDescent="0.2">
      <c r="A861" s="58" t="str">
        <v/>
      </c>
      <c r="B861" s="123" t="str">
        <f>IFERROR(TIMEVALUE(DaqBook_RAW_Data!AG817),IFERROR(TIMEVALUE(DaqBook_RAW_Data!A271),""))</f>
        <v/>
      </c>
      <c r="C861" s="145"/>
      <c r="D861" s="145"/>
      <c r="E861" s="145"/>
      <c r="F861" s="145"/>
      <c r="G861" s="145"/>
      <c r="H861" s="145"/>
      <c r="I861" s="145"/>
      <c r="J861" s="145"/>
      <c r="K861" s="145"/>
      <c r="L861" s="145"/>
      <c r="M861" s="145"/>
      <c r="N861" s="145"/>
      <c r="O861" s="44"/>
      <c r="P861" s="44"/>
    </row>
    <row r="862" spans="1:16" x14ac:dyDescent="0.2">
      <c r="A862" s="58" t="str">
        <v/>
      </c>
      <c r="B862" s="123" t="str">
        <f>IFERROR(TIMEVALUE(DaqBook_RAW_Data!AG818),IFERROR(TIMEVALUE(DaqBook_RAW_Data!A272),""))</f>
        <v/>
      </c>
      <c r="C862" s="145"/>
      <c r="D862" s="145"/>
      <c r="E862" s="145"/>
      <c r="F862" s="145"/>
      <c r="G862" s="145"/>
      <c r="H862" s="145"/>
      <c r="I862" s="145"/>
      <c r="J862" s="145"/>
      <c r="K862" s="145"/>
      <c r="L862" s="145"/>
      <c r="M862" s="145"/>
      <c r="N862" s="145"/>
      <c r="O862" s="44"/>
      <c r="P862" s="44"/>
    </row>
    <row r="863" spans="1:16" x14ac:dyDescent="0.2">
      <c r="A863" s="58" t="str">
        <v/>
      </c>
      <c r="B863" s="123" t="str">
        <f>IFERROR(TIMEVALUE(DaqBook_RAW_Data!AG819),IFERROR(TIMEVALUE(DaqBook_RAW_Data!A273),""))</f>
        <v/>
      </c>
      <c r="C863" s="145"/>
      <c r="D863" s="145"/>
      <c r="E863" s="145"/>
      <c r="F863" s="145"/>
      <c r="G863" s="145"/>
      <c r="H863" s="145"/>
      <c r="I863" s="145"/>
      <c r="J863" s="145"/>
      <c r="K863" s="145"/>
      <c r="L863" s="145"/>
      <c r="M863" s="145"/>
      <c r="N863" s="145"/>
      <c r="O863" s="44"/>
      <c r="P863" s="44"/>
    </row>
    <row r="864" spans="1:16" x14ac:dyDescent="0.2">
      <c r="A864" s="58" t="str">
        <v/>
      </c>
      <c r="B864" s="123" t="str">
        <f>IFERROR(TIMEVALUE(DaqBook_RAW_Data!AG820),IFERROR(TIMEVALUE(DaqBook_RAW_Data!A274),""))</f>
        <v/>
      </c>
      <c r="C864" s="145"/>
      <c r="D864" s="145"/>
      <c r="E864" s="145"/>
      <c r="F864" s="145"/>
      <c r="G864" s="145"/>
      <c r="H864" s="145"/>
      <c r="I864" s="145"/>
      <c r="J864" s="145"/>
      <c r="K864" s="145"/>
      <c r="L864" s="145"/>
      <c r="M864" s="145"/>
      <c r="N864" s="145"/>
      <c r="O864" s="44"/>
      <c r="P864" s="44"/>
    </row>
    <row r="865" spans="1:16" x14ac:dyDescent="0.2">
      <c r="A865" s="58" t="str">
        <v/>
      </c>
      <c r="B865" s="123" t="str">
        <f>IFERROR(TIMEVALUE(DaqBook_RAW_Data!AG821),IFERROR(TIMEVALUE(DaqBook_RAW_Data!A275),""))</f>
        <v/>
      </c>
      <c r="C865" s="145"/>
      <c r="D865" s="145"/>
      <c r="E865" s="145"/>
      <c r="F865" s="145"/>
      <c r="G865" s="145"/>
      <c r="H865" s="145"/>
      <c r="I865" s="145"/>
      <c r="J865" s="145"/>
      <c r="K865" s="145"/>
      <c r="L865" s="145"/>
      <c r="M865" s="145"/>
      <c r="N865" s="145"/>
      <c r="O865" s="44"/>
      <c r="P865" s="44"/>
    </row>
    <row r="866" spans="1:16" x14ac:dyDescent="0.2">
      <c r="A866" s="58" t="str">
        <v/>
      </c>
      <c r="B866" s="123" t="str">
        <f>IFERROR(TIMEVALUE(DaqBook_RAW_Data!AG822),IFERROR(TIMEVALUE(DaqBook_RAW_Data!A276),""))</f>
        <v/>
      </c>
      <c r="C866" s="145"/>
      <c r="D866" s="145"/>
      <c r="E866" s="145"/>
      <c r="F866" s="145"/>
      <c r="G866" s="145"/>
      <c r="H866" s="145"/>
      <c r="I866" s="145"/>
      <c r="J866" s="145"/>
      <c r="K866" s="145"/>
      <c r="L866" s="145"/>
      <c r="M866" s="145"/>
      <c r="N866" s="145"/>
      <c r="O866" s="44"/>
      <c r="P866" s="44"/>
    </row>
    <row r="867" spans="1:16" x14ac:dyDescent="0.2">
      <c r="A867" s="58" t="str">
        <v/>
      </c>
      <c r="B867" s="123" t="str">
        <f>IFERROR(TIMEVALUE(DaqBook_RAW_Data!AG823),IFERROR(TIMEVALUE(DaqBook_RAW_Data!A277),""))</f>
        <v/>
      </c>
      <c r="C867" s="145"/>
      <c r="D867" s="145"/>
      <c r="E867" s="145"/>
      <c r="F867" s="145"/>
      <c r="G867" s="145"/>
      <c r="H867" s="145"/>
      <c r="I867" s="145"/>
      <c r="J867" s="145"/>
      <c r="K867" s="145"/>
      <c r="L867" s="145"/>
      <c r="M867" s="145"/>
      <c r="N867" s="145"/>
      <c r="O867" s="44"/>
      <c r="P867" s="44"/>
    </row>
    <row r="868" spans="1:16" x14ac:dyDescent="0.2">
      <c r="A868" s="58" t="str">
        <v/>
      </c>
      <c r="B868" s="123" t="str">
        <f>IFERROR(TIMEVALUE(DaqBook_RAW_Data!AG824),IFERROR(TIMEVALUE(DaqBook_RAW_Data!A278),""))</f>
        <v/>
      </c>
      <c r="C868" s="145"/>
      <c r="D868" s="145"/>
      <c r="E868" s="145"/>
      <c r="F868" s="145"/>
      <c r="G868" s="145"/>
      <c r="H868" s="145"/>
      <c r="I868" s="145"/>
      <c r="J868" s="145"/>
      <c r="K868" s="145"/>
      <c r="L868" s="145"/>
      <c r="M868" s="145"/>
      <c r="N868" s="145"/>
      <c r="O868" s="44"/>
      <c r="P868" s="44"/>
    </row>
    <row r="869" spans="1:16" x14ac:dyDescent="0.2">
      <c r="A869" s="58" t="str">
        <v/>
      </c>
      <c r="B869" s="123" t="str">
        <f>IFERROR(TIMEVALUE(DaqBook_RAW_Data!AG825),IFERROR(TIMEVALUE(DaqBook_RAW_Data!A279),""))</f>
        <v/>
      </c>
      <c r="C869" s="145"/>
      <c r="D869" s="145"/>
      <c r="E869" s="145"/>
      <c r="F869" s="145"/>
      <c r="G869" s="145"/>
      <c r="H869" s="145"/>
      <c r="I869" s="145"/>
      <c r="J869" s="145"/>
      <c r="K869" s="145"/>
      <c r="L869" s="145"/>
      <c r="M869" s="145"/>
      <c r="N869" s="145"/>
      <c r="O869" s="44"/>
      <c r="P869" s="44"/>
    </row>
    <row r="870" spans="1:16" x14ac:dyDescent="0.2">
      <c r="A870" s="58" t="str">
        <v/>
      </c>
      <c r="B870" s="123" t="str">
        <f>IFERROR(TIMEVALUE(DaqBook_RAW_Data!AG826),IFERROR(TIMEVALUE(DaqBook_RAW_Data!A280),""))</f>
        <v/>
      </c>
      <c r="C870" s="145"/>
      <c r="D870" s="145"/>
      <c r="E870" s="145"/>
      <c r="F870" s="145"/>
      <c r="G870" s="145"/>
      <c r="H870" s="145"/>
      <c r="I870" s="145"/>
      <c r="J870" s="145"/>
      <c r="K870" s="145"/>
      <c r="L870" s="145"/>
      <c r="M870" s="145"/>
      <c r="N870" s="145"/>
      <c r="O870" s="44"/>
      <c r="P870" s="44"/>
    </row>
    <row r="871" spans="1:16" x14ac:dyDescent="0.2">
      <c r="A871" s="58" t="str">
        <v/>
      </c>
      <c r="B871" s="123" t="str">
        <f>IFERROR(TIMEVALUE(DaqBook_RAW_Data!AG827),IFERROR(TIMEVALUE(DaqBook_RAW_Data!A281),""))</f>
        <v/>
      </c>
      <c r="C871" s="145"/>
      <c r="D871" s="145"/>
      <c r="E871" s="145"/>
      <c r="F871" s="145"/>
      <c r="G871" s="145"/>
      <c r="H871" s="145"/>
      <c r="I871" s="145"/>
      <c r="J871" s="145"/>
      <c r="K871" s="145"/>
      <c r="L871" s="145"/>
      <c r="M871" s="145"/>
      <c r="N871" s="145"/>
      <c r="O871" s="44"/>
      <c r="P871" s="44"/>
    </row>
    <row r="872" spans="1:16" x14ac:dyDescent="0.2">
      <c r="A872" s="58" t="str">
        <v/>
      </c>
      <c r="B872" s="123" t="str">
        <f>IFERROR(TIMEVALUE(DaqBook_RAW_Data!AG828),IFERROR(TIMEVALUE(DaqBook_RAW_Data!A282),""))</f>
        <v/>
      </c>
      <c r="C872" s="145"/>
      <c r="D872" s="145"/>
      <c r="E872" s="145"/>
      <c r="F872" s="145"/>
      <c r="G872" s="145"/>
      <c r="H872" s="145"/>
      <c r="I872" s="145"/>
      <c r="J872" s="145"/>
      <c r="K872" s="145"/>
      <c r="L872" s="145"/>
      <c r="M872" s="145"/>
      <c r="N872" s="145"/>
      <c r="O872" s="44"/>
      <c r="P872" s="44"/>
    </row>
    <row r="873" spans="1:16" x14ac:dyDescent="0.2">
      <c r="A873" s="58" t="str">
        <v/>
      </c>
      <c r="B873" s="123" t="str">
        <f>IFERROR(TIMEVALUE(DaqBook_RAW_Data!AG829),IFERROR(TIMEVALUE(DaqBook_RAW_Data!A283),""))</f>
        <v/>
      </c>
      <c r="C873" s="145"/>
      <c r="D873" s="145"/>
      <c r="E873" s="145"/>
      <c r="F873" s="145"/>
      <c r="G873" s="145"/>
      <c r="H873" s="145"/>
      <c r="I873" s="145"/>
      <c r="J873" s="145"/>
      <c r="K873" s="145"/>
      <c r="L873" s="145"/>
      <c r="M873" s="145"/>
      <c r="N873" s="145"/>
      <c r="O873" s="44"/>
      <c r="P873" s="44"/>
    </row>
    <row r="874" spans="1:16" x14ac:dyDescent="0.2">
      <c r="A874" s="58" t="str">
        <v/>
      </c>
      <c r="B874" s="123" t="str">
        <f>IFERROR(TIMEVALUE(DaqBook_RAW_Data!AG830),IFERROR(TIMEVALUE(DaqBook_RAW_Data!A284),""))</f>
        <v/>
      </c>
      <c r="C874" s="145"/>
      <c r="D874" s="145"/>
      <c r="E874" s="145"/>
      <c r="F874" s="145"/>
      <c r="G874" s="145"/>
      <c r="H874" s="145"/>
      <c r="I874" s="145"/>
      <c r="J874" s="145"/>
      <c r="K874" s="145"/>
      <c r="L874" s="145"/>
      <c r="M874" s="145"/>
      <c r="N874" s="145"/>
      <c r="O874" s="44"/>
      <c r="P874" s="44"/>
    </row>
    <row r="875" spans="1:16" x14ac:dyDescent="0.2">
      <c r="A875" s="58" t="str">
        <v/>
      </c>
      <c r="B875" s="123" t="str">
        <f>IFERROR(TIMEVALUE(DaqBook_RAW_Data!AG831),IFERROR(TIMEVALUE(DaqBook_RAW_Data!A285),""))</f>
        <v/>
      </c>
      <c r="C875" s="145"/>
      <c r="D875" s="145"/>
      <c r="E875" s="145"/>
      <c r="F875" s="145"/>
      <c r="G875" s="145"/>
      <c r="H875" s="145"/>
      <c r="I875" s="145"/>
      <c r="J875" s="145"/>
      <c r="K875" s="145"/>
      <c r="L875" s="145"/>
      <c r="M875" s="145"/>
      <c r="N875" s="145"/>
      <c r="O875" s="44"/>
      <c r="P875" s="44"/>
    </row>
    <row r="876" spans="1:16" x14ac:dyDescent="0.2">
      <c r="A876" s="58" t="str">
        <v/>
      </c>
      <c r="B876" s="123" t="str">
        <f>IFERROR(TIMEVALUE(DaqBook_RAW_Data!AG832),IFERROR(TIMEVALUE(DaqBook_RAW_Data!A286),""))</f>
        <v/>
      </c>
      <c r="C876" s="145"/>
      <c r="D876" s="145"/>
      <c r="E876" s="145"/>
      <c r="F876" s="145"/>
      <c r="G876" s="145"/>
      <c r="H876" s="145"/>
      <c r="I876" s="145"/>
      <c r="J876" s="145"/>
      <c r="K876" s="145"/>
      <c r="L876" s="145"/>
      <c r="M876" s="145"/>
      <c r="N876" s="145"/>
      <c r="O876" s="44"/>
      <c r="P876" s="44"/>
    </row>
    <row r="877" spans="1:16" x14ac:dyDescent="0.2">
      <c r="A877" s="58" t="str">
        <v/>
      </c>
      <c r="B877" s="123" t="str">
        <f>IFERROR(TIMEVALUE(DaqBook_RAW_Data!AG833),IFERROR(TIMEVALUE(DaqBook_RAW_Data!A287),""))</f>
        <v/>
      </c>
      <c r="C877" s="145"/>
      <c r="D877" s="145"/>
      <c r="E877" s="145"/>
      <c r="F877" s="145"/>
      <c r="G877" s="145"/>
      <c r="H877" s="145"/>
      <c r="I877" s="145"/>
      <c r="J877" s="145"/>
      <c r="K877" s="145"/>
      <c r="L877" s="145"/>
      <c r="M877" s="145"/>
      <c r="N877" s="145"/>
      <c r="O877" s="44"/>
      <c r="P877" s="44"/>
    </row>
    <row r="878" spans="1:16" x14ac:dyDescent="0.2">
      <c r="A878" s="58" t="str">
        <v/>
      </c>
      <c r="B878" s="123" t="str">
        <f>IFERROR(TIMEVALUE(DaqBook_RAW_Data!AG834),IFERROR(TIMEVALUE(DaqBook_RAW_Data!A288),""))</f>
        <v/>
      </c>
      <c r="C878" s="145"/>
      <c r="D878" s="145"/>
      <c r="E878" s="145"/>
      <c r="F878" s="145"/>
      <c r="G878" s="145"/>
      <c r="H878" s="145"/>
      <c r="I878" s="145"/>
      <c r="J878" s="145"/>
      <c r="K878" s="145"/>
      <c r="L878" s="145"/>
      <c r="M878" s="145"/>
      <c r="N878" s="145"/>
      <c r="O878" s="44"/>
      <c r="P878" s="44"/>
    </row>
    <row r="879" spans="1:16" x14ac:dyDescent="0.2">
      <c r="A879" s="58" t="str">
        <v/>
      </c>
      <c r="B879" s="123" t="str">
        <f>IFERROR(TIMEVALUE(DaqBook_RAW_Data!AG835),IFERROR(TIMEVALUE(DaqBook_RAW_Data!A289),""))</f>
        <v/>
      </c>
      <c r="C879" s="145"/>
      <c r="D879" s="145"/>
      <c r="E879" s="145"/>
      <c r="F879" s="145"/>
      <c r="G879" s="145"/>
      <c r="H879" s="145"/>
      <c r="I879" s="145"/>
      <c r="J879" s="145"/>
      <c r="K879" s="145"/>
      <c r="L879" s="145"/>
      <c r="M879" s="145"/>
      <c r="N879" s="145"/>
      <c r="O879" s="44"/>
      <c r="P879" s="44"/>
    </row>
    <row r="880" spans="1:16" x14ac:dyDescent="0.2">
      <c r="A880" s="58" t="str">
        <v/>
      </c>
      <c r="B880" s="123" t="str">
        <f>IFERROR(TIMEVALUE(DaqBook_RAW_Data!AG836),IFERROR(TIMEVALUE(DaqBook_RAW_Data!A290),""))</f>
        <v/>
      </c>
      <c r="C880" s="145"/>
      <c r="D880" s="145"/>
      <c r="E880" s="145"/>
      <c r="F880" s="145"/>
      <c r="G880" s="145"/>
      <c r="H880" s="145"/>
      <c r="I880" s="145"/>
      <c r="J880" s="145"/>
      <c r="K880" s="145"/>
      <c r="L880" s="145"/>
      <c r="M880" s="145"/>
      <c r="N880" s="145"/>
      <c r="O880" s="44"/>
      <c r="P880" s="44"/>
    </row>
    <row r="881" spans="1:16" x14ac:dyDescent="0.2">
      <c r="A881" s="58" t="str">
        <v/>
      </c>
      <c r="B881" s="123" t="str">
        <f>IFERROR(TIMEVALUE(DaqBook_RAW_Data!AG837),IFERROR(TIMEVALUE(DaqBook_RAW_Data!A291),""))</f>
        <v/>
      </c>
      <c r="C881" s="145"/>
      <c r="D881" s="145"/>
      <c r="E881" s="145"/>
      <c r="F881" s="145"/>
      <c r="G881" s="145"/>
      <c r="H881" s="145"/>
      <c r="I881" s="145"/>
      <c r="J881" s="145"/>
      <c r="K881" s="145"/>
      <c r="L881" s="145"/>
      <c r="M881" s="145"/>
      <c r="N881" s="145"/>
      <c r="O881" s="44"/>
      <c r="P881" s="44"/>
    </row>
    <row r="882" spans="1:16" x14ac:dyDescent="0.2">
      <c r="A882" s="58" t="str">
        <v/>
      </c>
      <c r="B882" s="123" t="str">
        <f>IFERROR(TIMEVALUE(DaqBook_RAW_Data!AG838),IFERROR(TIMEVALUE(DaqBook_RAW_Data!A292),""))</f>
        <v/>
      </c>
      <c r="C882" s="145"/>
      <c r="D882" s="145"/>
      <c r="E882" s="145"/>
      <c r="F882" s="145"/>
      <c r="G882" s="145"/>
      <c r="H882" s="145"/>
      <c r="I882" s="145"/>
      <c r="J882" s="145"/>
      <c r="K882" s="145"/>
      <c r="L882" s="145"/>
      <c r="M882" s="145"/>
      <c r="N882" s="145"/>
      <c r="O882" s="44"/>
      <c r="P882" s="44"/>
    </row>
    <row r="883" spans="1:16" x14ac:dyDescent="0.2">
      <c r="A883" s="58" t="str">
        <v/>
      </c>
      <c r="B883" s="123" t="str">
        <f>IFERROR(TIMEVALUE(DaqBook_RAW_Data!AG839),IFERROR(TIMEVALUE(DaqBook_RAW_Data!A293),""))</f>
        <v/>
      </c>
      <c r="C883" s="145"/>
      <c r="D883" s="145"/>
      <c r="E883" s="145"/>
      <c r="F883" s="145"/>
      <c r="G883" s="145"/>
      <c r="H883" s="145"/>
      <c r="I883" s="145"/>
      <c r="J883" s="145"/>
      <c r="K883" s="145"/>
      <c r="L883" s="145"/>
      <c r="M883" s="145"/>
      <c r="N883" s="145"/>
      <c r="O883" s="44"/>
      <c r="P883" s="44"/>
    </row>
    <row r="884" spans="1:16" x14ac:dyDescent="0.2">
      <c r="A884" s="58" t="str">
        <v/>
      </c>
      <c r="B884" s="123" t="str">
        <f>IFERROR(TIMEVALUE(DaqBook_RAW_Data!AG840),IFERROR(TIMEVALUE(DaqBook_RAW_Data!A294),""))</f>
        <v/>
      </c>
      <c r="C884" s="145"/>
      <c r="D884" s="145"/>
      <c r="E884" s="145"/>
      <c r="F884" s="145"/>
      <c r="G884" s="145"/>
      <c r="H884" s="145"/>
      <c r="I884" s="145"/>
      <c r="J884" s="145"/>
      <c r="K884" s="145"/>
      <c r="L884" s="145"/>
      <c r="M884" s="145"/>
      <c r="N884" s="145"/>
      <c r="O884" s="44"/>
      <c r="P884" s="44"/>
    </row>
    <row r="885" spans="1:16" x14ac:dyDescent="0.2">
      <c r="A885" s="58" t="str">
        <v/>
      </c>
      <c r="B885" s="123" t="str">
        <f>IFERROR(TIMEVALUE(DaqBook_RAW_Data!AG841),IFERROR(TIMEVALUE(DaqBook_RAW_Data!A295),""))</f>
        <v/>
      </c>
      <c r="C885" s="145"/>
      <c r="D885" s="145"/>
      <c r="E885" s="145"/>
      <c r="F885" s="145"/>
      <c r="G885" s="145"/>
      <c r="H885" s="145"/>
      <c r="I885" s="145"/>
      <c r="J885" s="145"/>
      <c r="K885" s="145"/>
      <c r="L885" s="145"/>
      <c r="M885" s="145"/>
      <c r="N885" s="145"/>
      <c r="O885" s="44"/>
      <c r="P885" s="44"/>
    </row>
    <row r="886" spans="1:16" x14ac:dyDescent="0.2">
      <c r="A886" s="58" t="str">
        <v/>
      </c>
      <c r="B886" s="123" t="str">
        <f>IFERROR(TIMEVALUE(DaqBook_RAW_Data!AG842),IFERROR(TIMEVALUE(DaqBook_RAW_Data!A296),""))</f>
        <v/>
      </c>
      <c r="C886" s="145"/>
      <c r="D886" s="145"/>
      <c r="E886" s="145"/>
      <c r="F886" s="145"/>
      <c r="G886" s="145"/>
      <c r="H886" s="145"/>
      <c r="I886" s="145"/>
      <c r="J886" s="145"/>
      <c r="K886" s="145"/>
      <c r="L886" s="145"/>
      <c r="M886" s="145"/>
      <c r="N886" s="145"/>
      <c r="O886" s="44"/>
      <c r="P886" s="44"/>
    </row>
    <row r="887" spans="1:16" x14ac:dyDescent="0.2">
      <c r="A887" s="58" t="str">
        <v/>
      </c>
      <c r="B887" s="123" t="str">
        <f>IFERROR(TIMEVALUE(DaqBook_RAW_Data!AG843),IFERROR(TIMEVALUE(DaqBook_RAW_Data!A297),""))</f>
        <v/>
      </c>
      <c r="C887" s="145"/>
      <c r="D887" s="145"/>
      <c r="E887" s="145"/>
      <c r="F887" s="145"/>
      <c r="G887" s="145"/>
      <c r="H887" s="145"/>
      <c r="I887" s="145"/>
      <c r="J887" s="145"/>
      <c r="K887" s="145"/>
      <c r="L887" s="145"/>
      <c r="M887" s="145"/>
      <c r="N887" s="145"/>
      <c r="O887" s="44"/>
      <c r="P887" s="44"/>
    </row>
    <row r="888" spans="1:16" x14ac:dyDescent="0.2">
      <c r="A888" s="58" t="str">
        <v/>
      </c>
      <c r="B888" s="123" t="str">
        <f>IFERROR(TIMEVALUE(DaqBook_RAW_Data!AG844),IFERROR(TIMEVALUE(DaqBook_RAW_Data!A298),""))</f>
        <v/>
      </c>
      <c r="C888" s="145"/>
      <c r="D888" s="145"/>
      <c r="E888" s="145"/>
      <c r="F888" s="145"/>
      <c r="G888" s="145"/>
      <c r="H888" s="145"/>
      <c r="I888" s="145"/>
      <c r="J888" s="145"/>
      <c r="K888" s="145"/>
      <c r="L888" s="145"/>
      <c r="M888" s="145"/>
      <c r="N888" s="145"/>
      <c r="O888" s="44"/>
      <c r="P888" s="44"/>
    </row>
    <row r="889" spans="1:16" x14ac:dyDescent="0.2">
      <c r="A889" s="58" t="str">
        <v/>
      </c>
      <c r="B889" s="123" t="str">
        <f>IFERROR(TIMEVALUE(DaqBook_RAW_Data!AG845),IFERROR(TIMEVALUE(DaqBook_RAW_Data!A299),""))</f>
        <v/>
      </c>
      <c r="C889" s="145"/>
      <c r="D889" s="145"/>
      <c r="E889" s="145"/>
      <c r="F889" s="145"/>
      <c r="G889" s="145"/>
      <c r="H889" s="145"/>
      <c r="I889" s="145"/>
      <c r="J889" s="145"/>
      <c r="K889" s="145"/>
      <c r="L889" s="145"/>
      <c r="M889" s="145"/>
      <c r="N889" s="145"/>
      <c r="O889" s="44"/>
      <c r="P889" s="44"/>
    </row>
    <row r="890" spans="1:16" x14ac:dyDescent="0.2">
      <c r="A890" s="58" t="str">
        <v/>
      </c>
      <c r="B890" s="123" t="str">
        <f>IFERROR(TIMEVALUE(DaqBook_RAW_Data!AG846),IFERROR(TIMEVALUE(DaqBook_RAW_Data!A300),""))</f>
        <v/>
      </c>
      <c r="C890" s="145"/>
      <c r="D890" s="145"/>
      <c r="E890" s="145"/>
      <c r="F890" s="145"/>
      <c r="G890" s="145"/>
      <c r="H890" s="145"/>
      <c r="I890" s="145"/>
      <c r="J890" s="145"/>
      <c r="K890" s="145"/>
      <c r="L890" s="145"/>
      <c r="M890" s="145"/>
      <c r="N890" s="145"/>
      <c r="O890" s="44"/>
      <c r="P890" s="44"/>
    </row>
    <row r="891" spans="1:16" x14ac:dyDescent="0.2">
      <c r="A891" s="58" t="str">
        <v/>
      </c>
      <c r="B891" s="123" t="str">
        <f>IFERROR(TIMEVALUE(DaqBook_RAW_Data!AG847),IFERROR(TIMEVALUE(DaqBook_RAW_Data!A301),""))</f>
        <v/>
      </c>
      <c r="C891" s="145"/>
      <c r="D891" s="145"/>
      <c r="E891" s="145"/>
      <c r="F891" s="145"/>
      <c r="G891" s="145"/>
      <c r="H891" s="145"/>
      <c r="I891" s="145"/>
      <c r="J891" s="145"/>
      <c r="K891" s="145"/>
      <c r="L891" s="145"/>
      <c r="M891" s="145"/>
      <c r="N891" s="145"/>
      <c r="O891" s="44"/>
      <c r="P891" s="44"/>
    </row>
    <row r="892" spans="1:16" x14ac:dyDescent="0.2">
      <c r="A892" s="58" t="str">
        <v/>
      </c>
      <c r="B892" s="123" t="str">
        <f>IFERROR(TIMEVALUE(DaqBook_RAW_Data!AG848),IFERROR(TIMEVALUE(DaqBook_RAW_Data!A302),""))</f>
        <v/>
      </c>
      <c r="C892" s="145"/>
      <c r="D892" s="145"/>
      <c r="E892" s="145"/>
      <c r="F892" s="145"/>
      <c r="G892" s="145"/>
      <c r="H892" s="145"/>
      <c r="I892" s="145"/>
      <c r="J892" s="145"/>
      <c r="K892" s="145"/>
      <c r="L892" s="145"/>
      <c r="M892" s="145"/>
      <c r="N892" s="145"/>
      <c r="O892" s="44"/>
      <c r="P892" s="44"/>
    </row>
    <row r="893" spans="1:16" x14ac:dyDescent="0.2">
      <c r="A893" s="58" t="str">
        <v/>
      </c>
      <c r="B893" s="123" t="str">
        <f>IFERROR(TIMEVALUE(DaqBook_RAW_Data!AG849),IFERROR(TIMEVALUE(DaqBook_RAW_Data!A303),""))</f>
        <v/>
      </c>
      <c r="C893" s="145"/>
      <c r="D893" s="145"/>
      <c r="E893" s="145"/>
      <c r="F893" s="145"/>
      <c r="G893" s="145"/>
      <c r="H893" s="145"/>
      <c r="I893" s="145"/>
      <c r="J893" s="145"/>
      <c r="K893" s="145"/>
      <c r="L893" s="145"/>
      <c r="M893" s="145"/>
      <c r="N893" s="145"/>
      <c r="O893" s="44"/>
      <c r="P893" s="44"/>
    </row>
    <row r="894" spans="1:16" x14ac:dyDescent="0.2">
      <c r="A894" s="58" t="str">
        <v/>
      </c>
      <c r="B894" s="123" t="str">
        <f>IFERROR(TIMEVALUE(DaqBook_RAW_Data!AG850),IFERROR(TIMEVALUE(DaqBook_RAW_Data!A304),""))</f>
        <v/>
      </c>
      <c r="C894" s="145"/>
      <c r="D894" s="145"/>
      <c r="E894" s="145"/>
      <c r="F894" s="145"/>
      <c r="G894" s="145"/>
      <c r="H894" s="145"/>
      <c r="I894" s="145"/>
      <c r="J894" s="145"/>
      <c r="K894" s="145"/>
      <c r="L894" s="145"/>
      <c r="M894" s="145"/>
      <c r="N894" s="145"/>
      <c r="O894" s="44"/>
      <c r="P894" s="44"/>
    </row>
    <row r="895" spans="1:16" x14ac:dyDescent="0.2">
      <c r="A895" s="58" t="str">
        <v/>
      </c>
      <c r="B895" s="123" t="str">
        <f>IFERROR(TIMEVALUE(DaqBook_RAW_Data!AG851),IFERROR(TIMEVALUE(DaqBook_RAW_Data!A305),""))</f>
        <v/>
      </c>
      <c r="C895" s="145"/>
      <c r="D895" s="145"/>
      <c r="E895" s="145"/>
      <c r="F895" s="145"/>
      <c r="G895" s="145"/>
      <c r="H895" s="145"/>
      <c r="I895" s="145"/>
      <c r="J895" s="145"/>
      <c r="K895" s="145"/>
      <c r="L895" s="145"/>
      <c r="M895" s="145"/>
      <c r="N895" s="145"/>
      <c r="O895" s="44"/>
      <c r="P895" s="44"/>
    </row>
    <row r="896" spans="1:16" x14ac:dyDescent="0.2">
      <c r="A896" s="58" t="str">
        <v/>
      </c>
      <c r="B896" s="123" t="str">
        <f>IFERROR(TIMEVALUE(DaqBook_RAW_Data!AG852),IFERROR(TIMEVALUE(DaqBook_RAW_Data!A306),""))</f>
        <v/>
      </c>
      <c r="C896" s="145"/>
      <c r="D896" s="145"/>
      <c r="E896" s="145"/>
      <c r="F896" s="145"/>
      <c r="G896" s="145"/>
      <c r="H896" s="145"/>
      <c r="I896" s="145"/>
      <c r="J896" s="145"/>
      <c r="K896" s="145"/>
      <c r="L896" s="145"/>
      <c r="M896" s="145"/>
      <c r="N896" s="145"/>
      <c r="O896" s="44"/>
      <c r="P896" s="44"/>
    </row>
    <row r="897" spans="1:16" x14ac:dyDescent="0.2">
      <c r="A897" s="58" t="str">
        <v/>
      </c>
      <c r="B897" s="123" t="str">
        <f>IFERROR(TIMEVALUE(DaqBook_RAW_Data!AG853),IFERROR(TIMEVALUE(DaqBook_RAW_Data!A307),""))</f>
        <v/>
      </c>
      <c r="C897" s="145"/>
      <c r="D897" s="145"/>
      <c r="E897" s="145"/>
      <c r="F897" s="145"/>
      <c r="G897" s="145"/>
      <c r="H897" s="145"/>
      <c r="I897" s="145"/>
      <c r="J897" s="145"/>
      <c r="K897" s="145"/>
      <c r="L897" s="145"/>
      <c r="M897" s="145"/>
      <c r="N897" s="145"/>
      <c r="O897" s="44"/>
      <c r="P897" s="44"/>
    </row>
    <row r="898" spans="1:16" x14ac:dyDescent="0.2">
      <c r="A898" s="58" t="str">
        <v/>
      </c>
      <c r="B898" s="123" t="str">
        <f>IFERROR(TIMEVALUE(DaqBook_RAW_Data!AG854),IFERROR(TIMEVALUE(DaqBook_RAW_Data!A308),""))</f>
        <v/>
      </c>
      <c r="C898" s="145"/>
      <c r="D898" s="145"/>
      <c r="E898" s="145"/>
      <c r="F898" s="145"/>
      <c r="G898" s="145"/>
      <c r="H898" s="145"/>
      <c r="I898" s="145"/>
      <c r="J898" s="145"/>
      <c r="K898" s="145"/>
      <c r="L898" s="145"/>
      <c r="M898" s="145"/>
      <c r="N898" s="145"/>
      <c r="O898" s="44"/>
      <c r="P898" s="44"/>
    </row>
    <row r="899" spans="1:16" x14ac:dyDescent="0.2">
      <c r="A899" s="58" t="str">
        <v/>
      </c>
      <c r="B899" s="123" t="str">
        <f>IFERROR(TIMEVALUE(DaqBook_RAW_Data!AG855),IFERROR(TIMEVALUE(DaqBook_RAW_Data!A309),""))</f>
        <v/>
      </c>
      <c r="C899" s="145"/>
      <c r="D899" s="145"/>
      <c r="E899" s="145"/>
      <c r="F899" s="145"/>
      <c r="G899" s="145"/>
      <c r="H899" s="145"/>
      <c r="I899" s="145"/>
      <c r="J899" s="145"/>
      <c r="K899" s="145"/>
      <c r="L899" s="145"/>
      <c r="M899" s="145"/>
      <c r="N899" s="145"/>
      <c r="O899" s="44"/>
      <c r="P899" s="44"/>
    </row>
    <row r="900" spans="1:16" x14ac:dyDescent="0.2">
      <c r="A900" s="58" t="str">
        <v/>
      </c>
      <c r="B900" s="123" t="str">
        <f>IFERROR(TIMEVALUE(DaqBook_RAW_Data!AG856),IFERROR(TIMEVALUE(DaqBook_RAW_Data!A310),""))</f>
        <v/>
      </c>
      <c r="C900" s="145"/>
      <c r="D900" s="145"/>
      <c r="E900" s="145"/>
      <c r="F900" s="145"/>
      <c r="G900" s="145"/>
      <c r="H900" s="145"/>
      <c r="I900" s="145"/>
      <c r="J900" s="145"/>
      <c r="K900" s="145"/>
      <c r="L900" s="145"/>
      <c r="M900" s="145"/>
      <c r="N900" s="145"/>
      <c r="O900" s="44"/>
      <c r="P900" s="44"/>
    </row>
    <row r="901" spans="1:16" x14ac:dyDescent="0.2">
      <c r="A901" s="58" t="str">
        <v/>
      </c>
      <c r="B901" s="123" t="str">
        <f>IFERROR(TIMEVALUE(DaqBook_RAW_Data!AG857),IFERROR(TIMEVALUE(DaqBook_RAW_Data!A311),""))</f>
        <v/>
      </c>
      <c r="C901" s="145"/>
      <c r="D901" s="145"/>
      <c r="E901" s="145"/>
      <c r="F901" s="145"/>
      <c r="G901" s="145"/>
      <c r="H901" s="145"/>
      <c r="I901" s="145"/>
      <c r="J901" s="145"/>
      <c r="K901" s="145"/>
      <c r="L901" s="145"/>
      <c r="M901" s="145"/>
      <c r="N901" s="145"/>
      <c r="O901" s="44"/>
      <c r="P901" s="44"/>
    </row>
    <row r="902" spans="1:16" x14ac:dyDescent="0.2">
      <c r="A902" s="58" t="str">
        <v/>
      </c>
      <c r="B902" s="123" t="str">
        <f>IFERROR(TIMEVALUE(DaqBook_RAW_Data!AG858),IFERROR(TIMEVALUE(DaqBook_RAW_Data!A312),""))</f>
        <v/>
      </c>
      <c r="C902" s="145"/>
      <c r="D902" s="145"/>
      <c r="E902" s="145"/>
      <c r="F902" s="145"/>
      <c r="G902" s="145"/>
      <c r="H902" s="145"/>
      <c r="I902" s="145"/>
      <c r="J902" s="145"/>
      <c r="K902" s="145"/>
      <c r="L902" s="145"/>
      <c r="M902" s="145"/>
      <c r="N902" s="145"/>
      <c r="O902" s="44"/>
      <c r="P902" s="44"/>
    </row>
    <row r="903" spans="1:16" x14ac:dyDescent="0.2">
      <c r="A903" s="58" t="str">
        <v/>
      </c>
      <c r="B903" s="123" t="str">
        <f>IFERROR(TIMEVALUE(DaqBook_RAW_Data!AG859),IFERROR(TIMEVALUE(DaqBook_RAW_Data!A313),""))</f>
        <v/>
      </c>
      <c r="C903" s="145"/>
      <c r="D903" s="145"/>
      <c r="E903" s="145"/>
      <c r="F903" s="145"/>
      <c r="G903" s="145"/>
      <c r="H903" s="145"/>
      <c r="I903" s="145"/>
      <c r="J903" s="145"/>
      <c r="K903" s="145"/>
      <c r="L903" s="145"/>
      <c r="M903" s="145"/>
      <c r="N903" s="145"/>
      <c r="O903" s="44"/>
      <c r="P903" s="44"/>
    </row>
  </sheetData>
  <sheetProtection algorithmName="SHA-512" hashValue="fIGFPb8/eDvcisW+p9c/P8Tij8yaNsNgmbBnwceF/94J2iMzBh7v54NAIrZkEuGvqjq6SpVlPUQ58IWuiy49VQ==" saltValue="zEJh0Gk2LY6pqORuPNEs8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13"/>
    <col min="17" max="17" width="9.140625" style="315"/>
    <col min="18" max="18" width="37.85546875" style="313" bestFit="1" customWidth="1"/>
    <col min="19" max="19" width="9.85546875" style="313" bestFit="1" customWidth="1"/>
    <col min="20" max="20" width="21.85546875" style="313" bestFit="1" customWidth="1"/>
    <col min="21" max="21" width="14.42578125" style="313" customWidth="1"/>
    <col min="22" max="22" width="16" style="313" customWidth="1"/>
    <col min="23" max="23" width="9.140625" style="313"/>
    <col min="24" max="25" width="9.140625" style="16"/>
    <col min="26" max="16384" width="9.140625" style="8"/>
  </cols>
  <sheetData>
    <row r="1" spans="1:29" x14ac:dyDescent="0.25">
      <c r="G1" s="10" t="s">
        <v>0</v>
      </c>
      <c r="H1" s="8"/>
      <c r="I1" s="9"/>
      <c r="K1" s="8"/>
      <c r="M1" s="8" t="s">
        <v>19</v>
      </c>
      <c r="O1" s="227"/>
      <c r="R1" s="313" t="e">
        <f>IF(T1=0, 0, IF(T1 &gt; Main!G93 + (1-D19)*0.4, 1, ""))</f>
        <v>#VALUE!</v>
      </c>
      <c r="T1" s="313" t="e" cm="1">
        <f t="array" ref="T1">MAX(ABS(E10:E18))</f>
        <v>#VALUE!</v>
      </c>
      <c r="U1" s="313" t="e" cm="1">
        <f t="array" ref="U1">MAX(ABS(H10:H18))</f>
        <v>#VALUE!</v>
      </c>
      <c r="X1" s="227"/>
      <c r="Y1" s="227"/>
      <c r="Z1" s="229"/>
      <c r="AA1" s="229"/>
      <c r="AB1" s="229"/>
      <c r="AC1" s="229"/>
    </row>
    <row r="2" spans="1:29" ht="18.75" customHeight="1" x14ac:dyDescent="0.25">
      <c r="H2" s="11" t="s">
        <v>20</v>
      </c>
      <c r="I2" s="9"/>
      <c r="K2" s="8"/>
      <c r="M2" s="8" t="s">
        <v>33</v>
      </c>
      <c r="O2" s="227"/>
      <c r="R2" s="313" t="e">
        <f>IF(U1=0, 0, IF(U1 &gt; Main!G93 + (1-D31)*0.4, 1, ""))</f>
        <v>#VALUE!</v>
      </c>
      <c r="T2" s="313" t="e" cm="1">
        <f t="array" ref="T2">MAX(ABS(K10:K18))</f>
        <v>#VALUE!</v>
      </c>
      <c r="U2" s="313" t="e" cm="1">
        <f t="array" ref="U2">MAX(ABS(N10:N18))</f>
        <v>#VALUE!</v>
      </c>
      <c r="X2" s="227"/>
      <c r="Y2" s="227"/>
      <c r="Z2" s="229"/>
      <c r="AA2" s="229"/>
      <c r="AB2" s="229"/>
      <c r="AC2" s="229"/>
    </row>
    <row r="3" spans="1:29" ht="23.25" customHeight="1" x14ac:dyDescent="0.25">
      <c r="D3" s="35" t="s">
        <v>38</v>
      </c>
      <c r="E3" s="42">
        <f>Main!D3</f>
        <v>0</v>
      </c>
      <c r="G3" s="12"/>
      <c r="H3" s="8"/>
      <c r="J3" s="35" t="s">
        <v>53</v>
      </c>
      <c r="K3" s="13" t="e">
        <f>Main!D5</f>
        <v>#N/A</v>
      </c>
      <c r="L3" s="9"/>
      <c r="O3" s="227"/>
      <c r="R3" s="313" t="e">
        <f>IF(T2=0, 0, IF(T2 &gt; Main!G93 + (1-G19)*0.4, 1, ""))</f>
        <v>#VALUE!</v>
      </c>
      <c r="T3" s="313" t="e" cm="1">
        <f t="array" ref="T3">MAX(ABS(E22:E30))</f>
        <v>#VALUE!</v>
      </c>
      <c r="U3" s="313" t="e" cm="1">
        <f t="array" ref="U3">MAX(ABS(H22:H30))</f>
        <v>#VALUE!</v>
      </c>
      <c r="X3" s="227"/>
      <c r="Y3" s="227"/>
      <c r="Z3" s="229"/>
      <c r="AA3" s="229"/>
      <c r="AB3" s="229"/>
      <c r="AC3" s="229"/>
    </row>
    <row r="4" spans="1:29" x14ac:dyDescent="0.25">
      <c r="D4" s="36" t="s">
        <v>52</v>
      </c>
      <c r="E4" s="10" t="e">
        <f>Main!D6</f>
        <v>#N/A</v>
      </c>
      <c r="H4" s="8"/>
      <c r="J4" s="36" t="s">
        <v>54</v>
      </c>
      <c r="K4" s="14">
        <f>Main!D16</f>
        <v>0</v>
      </c>
      <c r="L4" s="9"/>
      <c r="O4" s="227"/>
      <c r="R4" s="313" t="e">
        <f>IF(U2=0, 0, IF(U2 &gt; Main!G93 + (1-G31)*0.4, 1, ""))</f>
        <v>#VALUE!</v>
      </c>
      <c r="T4" s="313" t="e" cm="1">
        <f t="array" ref="T4">MAX(ABS(K22:K30))</f>
        <v>#VALUE!</v>
      </c>
      <c r="U4" s="313" t="e" cm="1">
        <f t="array" ref="U4">MAX(ABS(N22:N30))</f>
        <v>#N/A</v>
      </c>
      <c r="X4" s="227"/>
      <c r="Y4" s="227"/>
      <c r="Z4" s="229"/>
      <c r="AA4" s="229"/>
      <c r="AB4" s="229"/>
      <c r="AC4" s="229"/>
    </row>
    <row r="5" spans="1:29" x14ac:dyDescent="0.25">
      <c r="D5" s="36" t="s">
        <v>39</v>
      </c>
      <c r="E5" s="8" t="str">
        <f>Main!D7</f>
        <v>Jeff Hall</v>
      </c>
      <c r="H5" s="8"/>
      <c r="J5" s="37" t="s">
        <v>21</v>
      </c>
      <c r="K5" s="48">
        <f>Main!D18</f>
        <v>0</v>
      </c>
      <c r="O5" s="227"/>
      <c r="R5" s="313" t="e">
        <f>IF(T3=0, 0, IF(T3 &gt; Main!G93 + (1-J19)*0.4, 1, ""))</f>
        <v>#VALUE!</v>
      </c>
      <c r="T5" s="315"/>
      <c r="X5" s="227"/>
      <c r="Y5" s="227"/>
      <c r="Z5" s="229"/>
      <c r="AA5" s="229"/>
      <c r="AB5" s="229"/>
      <c r="AC5" s="229"/>
    </row>
    <row r="6" spans="1:29" ht="15.75" customHeight="1" x14ac:dyDescent="0.25">
      <c r="D6" s="36" t="s">
        <v>22</v>
      </c>
      <c r="E6" s="287" t="e">
        <f>IF(ISBLANK(Main!G95),"",Main!G95)</f>
        <v>#N/A</v>
      </c>
      <c r="G6" s="15" t="e">
        <f>IF(OR(R1:R8),"CHECK READINGS!!!","")</f>
        <v>#VALUE!</v>
      </c>
      <c r="J6" s="16"/>
      <c r="L6" s="9"/>
      <c r="O6" s="227"/>
      <c r="R6" s="313" t="e">
        <f>IF(U3=0, 0, IF(U3 &gt; Main!G93 + (1-J31)*0.4, 1, ""))</f>
        <v>#VALUE!</v>
      </c>
      <c r="T6" s="315"/>
      <c r="X6" s="227"/>
      <c r="Y6" s="227"/>
      <c r="Z6" s="229"/>
      <c r="AA6" s="229"/>
      <c r="AB6" s="229"/>
      <c r="AC6" s="229"/>
    </row>
    <row r="7" spans="1:29" x14ac:dyDescent="0.25">
      <c r="E7" s="8"/>
      <c r="F7" s="34" t="s">
        <v>23</v>
      </c>
      <c r="O7" s="227"/>
      <c r="R7" s="313" t="e">
        <f>IF(T4=0, 0, IF(T4 &gt; Main!G93 + (1-M19)*0.4, 1, ""))</f>
        <v>#VALUE!</v>
      </c>
      <c r="T7" s="315"/>
      <c r="X7" s="227"/>
      <c r="Y7" s="227"/>
      <c r="Z7" s="229"/>
      <c r="AA7" s="229"/>
      <c r="AB7" s="229"/>
      <c r="AC7" s="229"/>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27"/>
      <c r="R8" s="313" t="e">
        <f>IF(U4=0, 0, IF(U4 &gt; Main!G93 + (1-M31)*0.4, 1, ""))</f>
        <v>#N/A</v>
      </c>
      <c r="T8" s="315"/>
      <c r="X8" s="227"/>
      <c r="Y8" s="227"/>
      <c r="Z8" s="229"/>
      <c r="AA8" s="229"/>
      <c r="AB8" s="229"/>
      <c r="AC8" s="229"/>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27"/>
      <c r="T9" s="315"/>
      <c r="X9" s="227"/>
      <c r="Y9" s="227"/>
      <c r="Z9" s="229"/>
      <c r="AA9" s="229"/>
      <c r="AB9" s="229"/>
      <c r="AC9" s="229"/>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27" t="e">
        <f>IF(R1,D9 &amp; " IS OOT!!!","")</f>
        <v>#VALUE!</v>
      </c>
      <c r="R10" s="314"/>
      <c r="T10" s="315"/>
      <c r="X10" s="227"/>
      <c r="Y10" s="227"/>
      <c r="Z10" s="229"/>
      <c r="AA10" s="229"/>
      <c r="AB10" s="229"/>
      <c r="AC10" s="229"/>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27" t="e">
        <f>IF(R2, G9 &amp; " IS OOT!!!","")</f>
        <v>#VALUE!</v>
      </c>
      <c r="R11" s="315"/>
      <c r="S11" s="314"/>
      <c r="T11" s="316" t="s">
        <v>430</v>
      </c>
      <c r="U11" s="319" t="s">
        <v>431</v>
      </c>
      <c r="V11" s="319" t="s">
        <v>432</v>
      </c>
      <c r="X11" s="227"/>
      <c r="Y11" s="227"/>
      <c r="Z11" s="229"/>
      <c r="AA11" s="229"/>
      <c r="AB11" s="229"/>
      <c r="AC11" s="229"/>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27" t="e">
        <f>IF(R3, J9 &amp; " IS OOT!!!","")</f>
        <v>#VALUE!</v>
      </c>
      <c r="S12" s="313" t="e" cm="1">
        <f t="array" ref="S12">LOOKUP($K$5,Table7[#Headers]+0,Table7[#This Row])</f>
        <v>#N/A</v>
      </c>
      <c r="U12" s="319">
        <v>2</v>
      </c>
      <c r="V12" s="319">
        <v>2</v>
      </c>
      <c r="X12" s="227"/>
      <c r="Y12" s="227"/>
      <c r="Z12" s="229"/>
      <c r="AA12" s="229"/>
      <c r="AB12" s="229"/>
      <c r="AC12" s="229"/>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27" t="e">
        <f>IF(R4, M9 &amp;" IS OOT!!!","")</f>
        <v>#VALUE!</v>
      </c>
      <c r="S13" s="313" t="e" cm="1">
        <f t="array" ref="S13">LOOKUP($K$5,Table7[#Headers]+0,Table7[#This Row])</f>
        <v>#N/A</v>
      </c>
      <c r="U13" s="319">
        <v>4</v>
      </c>
      <c r="V13" s="319">
        <v>7</v>
      </c>
      <c r="X13" s="227"/>
      <c r="Y13" s="227"/>
      <c r="Z13" s="229"/>
      <c r="AA13" s="229"/>
      <c r="AB13" s="229"/>
      <c r="AC13" s="229"/>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28"/>
      <c r="S14" s="313" t="e" cm="1">
        <f t="array" ref="S14">LOOKUP($K$5,Table7[#Headers]+0,Table7[#This Row])</f>
        <v>#N/A</v>
      </c>
      <c r="U14" s="319">
        <v>6</v>
      </c>
      <c r="V14" s="319">
        <v>12</v>
      </c>
      <c r="X14" s="227"/>
      <c r="Y14" s="227"/>
      <c r="Z14" s="229"/>
      <c r="AA14" s="229"/>
      <c r="AB14" s="229"/>
      <c r="AC14" s="229"/>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28"/>
      <c r="S15" s="313" t="e" cm="1">
        <f t="array" ref="S15">LOOKUP($K$5,Table7[#Headers]+0,Table7[#This Row])</f>
        <v>#N/A</v>
      </c>
      <c r="U15" s="319">
        <v>8</v>
      </c>
      <c r="V15" s="319">
        <v>17</v>
      </c>
      <c r="X15" s="227"/>
      <c r="Y15" s="227"/>
      <c r="Z15" s="229"/>
      <c r="AA15" s="229"/>
      <c r="AB15" s="229"/>
      <c r="AC15" s="229"/>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28"/>
      <c r="S16" s="313" t="e" cm="1">
        <f t="array" ref="S16">LOOKUP($K$5,Table7[#Headers]+0,Table7[#This Row])</f>
        <v>#N/A</v>
      </c>
      <c r="U16" s="319">
        <v>10</v>
      </c>
      <c r="V16" s="319">
        <v>22</v>
      </c>
      <c r="X16" s="227"/>
      <c r="Y16" s="227"/>
      <c r="Z16" s="229"/>
      <c r="AA16" s="229"/>
      <c r="AB16" s="229"/>
      <c r="AC16" s="229"/>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13" t="e" cm="1">
        <f t="array" ref="S17">LOOKUP($K$5,Table7[#Headers]+0,Table7[#This Row])</f>
        <v>#N/A</v>
      </c>
      <c r="U17" s="319">
        <v>12</v>
      </c>
      <c r="V17" s="31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13" t="e" cm="1">
        <f t="array" ref="S18">LOOKUP($K$5,Table7[#Headers]+0,Table7[#This Row])</f>
        <v>#N/A</v>
      </c>
      <c r="U18" s="319">
        <v>14</v>
      </c>
      <c r="V18" s="31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13" t="e" cm="1">
        <f t="array" ref="S19">LOOKUP($K$5,Table7[#Headers]+0,Table7[#This Row])</f>
        <v>#N/A</v>
      </c>
      <c r="U19" s="319">
        <v>16</v>
      </c>
      <c r="V19" s="319" t="s">
        <v>34</v>
      </c>
    </row>
    <row r="20" spans="1:22" x14ac:dyDescent="0.25">
      <c r="C20" s="18" t="s">
        <v>24</v>
      </c>
      <c r="D20" s="18" t="s">
        <v>25</v>
      </c>
      <c r="F20" s="18" t="s">
        <v>24</v>
      </c>
      <c r="G20" s="18" t="s">
        <v>25</v>
      </c>
      <c r="H20" s="18"/>
      <c r="I20" s="18" t="s">
        <v>24</v>
      </c>
      <c r="J20" s="18" t="s">
        <v>25</v>
      </c>
      <c r="K20" s="18"/>
      <c r="L20" s="18" t="s">
        <v>24</v>
      </c>
      <c r="M20" s="18" t="s">
        <v>25</v>
      </c>
      <c r="O20" s="29"/>
      <c r="S20" s="313" t="e" cm="1">
        <f t="array" ref="S20">LOOKUP($K$5,Table7[#Headers]+0,Table7[#This Row])</f>
        <v>#N/A</v>
      </c>
      <c r="U20" s="319">
        <v>17</v>
      </c>
      <c r="V20" s="31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13" t="e" cm="1">
        <f t="array" ref="S21">LOOKUP($K$5,Table7[#Headers]+0,Table7[#This Row])</f>
        <v>#N/A</v>
      </c>
      <c r="U21" s="319">
        <v>21</v>
      </c>
      <c r="V21" s="31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13" t="e" cm="1">
        <f t="array" ref="S22">LOOKUP($K$5,Table7[#Headers]+0,Table7[#This Row])</f>
        <v>#N/A</v>
      </c>
      <c r="U22" s="319" t="s">
        <v>34</v>
      </c>
      <c r="V22" s="31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19" t="s">
        <v>34</v>
      </c>
      <c r="V23" s="31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17"/>
      <c r="U24" s="319" t="s">
        <v>34</v>
      </c>
      <c r="V24" s="31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19" t="s">
        <v>34</v>
      </c>
      <c r="V25" s="31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17" t="s">
        <v>29</v>
      </c>
      <c r="E32" s="617"/>
      <c r="F32" s="617"/>
      <c r="G32" s="617"/>
      <c r="H32" s="617"/>
      <c r="I32" s="617"/>
      <c r="J32" s="617"/>
      <c r="K32" s="617"/>
      <c r="L32" s="617"/>
      <c r="M32" s="617"/>
    </row>
    <row r="33" spans="1:14" ht="15" customHeight="1" x14ac:dyDescent="0.25">
      <c r="D33" s="618"/>
      <c r="E33" s="618"/>
      <c r="F33" s="618"/>
      <c r="G33" s="618"/>
      <c r="H33" s="618"/>
      <c r="I33" s="618"/>
      <c r="J33" s="618"/>
      <c r="K33" s="618"/>
      <c r="L33" s="618"/>
      <c r="M33" s="618"/>
      <c r="N33" s="26"/>
    </row>
    <row r="34" spans="1:14" x14ac:dyDescent="0.25">
      <c r="A34" s="21"/>
      <c r="B34" s="21"/>
      <c r="D34" s="618"/>
      <c r="E34" s="618"/>
      <c r="F34" s="618"/>
      <c r="G34" s="618"/>
      <c r="H34" s="618"/>
      <c r="I34" s="618"/>
      <c r="J34" s="618"/>
      <c r="K34" s="618"/>
      <c r="L34" s="618"/>
      <c r="M34" s="618"/>
    </row>
    <row r="35" spans="1:14" x14ac:dyDescent="0.25">
      <c r="A35" s="21"/>
      <c r="B35" s="21"/>
      <c r="C35" s="25" t="s">
        <v>30</v>
      </c>
      <c r="D35" s="33" t="s">
        <v>31</v>
      </c>
      <c r="E35" s="122"/>
      <c r="F35" s="33"/>
      <c r="G35" s="33"/>
      <c r="H35" s="122"/>
      <c r="I35" s="33"/>
      <c r="J35" s="33"/>
      <c r="K35" s="122"/>
      <c r="L35" s="33"/>
      <c r="M35" s="33"/>
    </row>
    <row r="36" spans="1:14" x14ac:dyDescent="0.25">
      <c r="A36" s="21"/>
      <c r="B36" s="21"/>
    </row>
    <row r="37" spans="1:14" x14ac:dyDescent="0.25">
      <c r="A37" s="21"/>
      <c r="B37" s="21"/>
      <c r="C37" s="619" t="s">
        <v>32</v>
      </c>
      <c r="D37" s="619"/>
      <c r="E37" s="619"/>
      <c r="F37" s="619"/>
      <c r="G37" s="619"/>
      <c r="H37" s="619"/>
      <c r="I37" s="619"/>
      <c r="J37" s="619"/>
      <c r="K37" s="619"/>
      <c r="L37" s="619"/>
      <c r="M37" s="619"/>
    </row>
    <row r="38" spans="1:14" x14ac:dyDescent="0.25">
      <c r="A38" s="21"/>
      <c r="B38" s="21"/>
      <c r="C38" s="619"/>
      <c r="D38" s="619"/>
      <c r="E38" s="619"/>
      <c r="F38" s="619"/>
      <c r="G38" s="619"/>
      <c r="H38" s="619"/>
      <c r="I38" s="619"/>
      <c r="J38" s="619"/>
      <c r="K38" s="619"/>
      <c r="L38" s="619"/>
      <c r="M38" s="619"/>
    </row>
    <row r="39" spans="1:14" x14ac:dyDescent="0.25">
      <c r="A39" s="21"/>
      <c r="B39" s="21"/>
      <c r="C39" s="619"/>
      <c r="D39" s="619"/>
      <c r="E39" s="619"/>
      <c r="F39" s="619"/>
      <c r="G39" s="619"/>
      <c r="H39" s="619"/>
      <c r="I39" s="619"/>
      <c r="J39" s="619"/>
      <c r="K39" s="619"/>
      <c r="L39" s="619"/>
      <c r="M39" s="619"/>
    </row>
    <row r="40" spans="1:14" x14ac:dyDescent="0.25">
      <c r="A40" s="21"/>
      <c r="B40" s="21"/>
      <c r="C40" s="619"/>
      <c r="D40" s="619"/>
      <c r="E40" s="619"/>
      <c r="F40" s="619"/>
      <c r="G40" s="619"/>
      <c r="H40" s="619"/>
      <c r="I40" s="619"/>
      <c r="J40" s="619"/>
      <c r="K40" s="619"/>
      <c r="L40" s="619"/>
      <c r="M40" s="61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zeXUd50zbdORx7LEKT5nigAIeC0JsdxvcYxr3cohuyqNalGxKNt4i5yNjOAR+sBUET5U2jTGrRrzyz4yVRBHcQ==" saltValue="t/Ulfewiw2+dtXNbP4l/5A=="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8" t="s">
        <v>914</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4" t="s">
        <v>38</v>
      </c>
      <c r="B5" s="75" t="str">
        <f>IF(Main!D3=0,"",Main!D3)</f>
        <v/>
      </c>
      <c r="C5" s="44"/>
      <c r="D5" s="44"/>
      <c r="E5" s="44"/>
      <c r="F5" s="44"/>
      <c r="G5" s="44"/>
      <c r="H5" s="44"/>
      <c r="I5" s="73" t="s">
        <v>9</v>
      </c>
      <c r="J5" s="44" t="str">
        <f>IFERROR(Main!D5,"")</f>
        <v/>
      </c>
      <c r="K5" s="44"/>
      <c r="L5" s="44"/>
      <c r="M5" s="44"/>
      <c r="N5" s="44"/>
      <c r="O5" s="44"/>
      <c r="P5" s="44"/>
    </row>
    <row r="6" spans="1:16" x14ac:dyDescent="0.2">
      <c r="A6" s="73" t="s">
        <v>7</v>
      </c>
      <c r="B6" s="76" t="e">
        <f>IF(Main!D6=0,"",Main!D6)</f>
        <v>#N/A</v>
      </c>
      <c r="C6" s="44"/>
      <c r="D6" s="44"/>
      <c r="E6" s="44"/>
      <c r="F6" s="44"/>
      <c r="G6" s="44"/>
      <c r="H6" s="44"/>
      <c r="I6" s="73" t="s">
        <v>10</v>
      </c>
      <c r="J6" s="72" t="str">
        <f>IF(Temperature="","",Temperature)</f>
        <v/>
      </c>
      <c r="K6" s="44"/>
      <c r="L6" s="44"/>
      <c r="M6" s="44"/>
      <c r="N6" s="44"/>
      <c r="O6" s="44"/>
      <c r="P6" s="44"/>
    </row>
    <row r="7" spans="1:16" x14ac:dyDescent="0.2">
      <c r="A7" s="73" t="s">
        <v>39</v>
      </c>
      <c r="B7" s="76" t="str">
        <f>IF(Main!D7=0,"",Main!D7)</f>
        <v>Jeff Hall</v>
      </c>
      <c r="C7" s="44"/>
      <c r="D7" s="44"/>
      <c r="E7" s="44"/>
      <c r="F7" s="44"/>
      <c r="G7" s="44"/>
      <c r="H7" s="44"/>
      <c r="I7" s="44"/>
      <c r="J7" s="44"/>
      <c r="K7" s="44"/>
      <c r="L7" s="44"/>
      <c r="M7" s="44"/>
      <c r="N7" s="44"/>
      <c r="O7" s="44"/>
      <c r="P7" s="44"/>
    </row>
    <row r="8" spans="1:16" x14ac:dyDescent="0.2">
      <c r="A8" s="73"/>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77">
        <v>1</v>
      </c>
      <c r="D10" s="77">
        <v>2</v>
      </c>
      <c r="E10" s="77">
        <v>3</v>
      </c>
      <c r="F10" s="77">
        <v>4</v>
      </c>
      <c r="G10" s="77">
        <v>5</v>
      </c>
      <c r="H10" s="77">
        <v>6</v>
      </c>
      <c r="I10" s="77">
        <v>7</v>
      </c>
      <c r="J10" s="77">
        <v>8</v>
      </c>
      <c r="K10" s="77">
        <v>9</v>
      </c>
      <c r="L10" s="77">
        <v>10</v>
      </c>
      <c r="M10" s="77">
        <v>11</v>
      </c>
      <c r="N10" s="77">
        <v>12</v>
      </c>
      <c r="O10" s="77">
        <v>13</v>
      </c>
      <c r="P10" s="77">
        <v>14</v>
      </c>
    </row>
    <row r="11" spans="1:16" x14ac:dyDescent="0.2">
      <c r="A11" s="44"/>
      <c r="B11" s="78" t="s">
        <v>41</v>
      </c>
      <c r="C11" s="135" t="str" cm="1">
        <f t="array" ref="C11">IF(
  C12="",
  "",
  _xlfn.XLOOKUP(
    TEXT(Temperature, "0"),
    DaqbookOffsets[#Headers],
    _xlfn.XLOOKUP(C10, DaqbookOffsets[Point], DaqbookOffsets[]),
    "No match", 1
  )
)</f>
        <v/>
      </c>
      <c r="D11" s="135" t="str" cm="1">
        <f t="array" ref="D11">IF(
  D12="",
  "",
  _xlfn.XLOOKUP(
    TEXT(Temperature, "0"),
    DaqbookOffsets[#Headers],
    _xlfn.XLOOKUP(D10, DaqbookOffsets[Point], DaqbookOffsets[]),
    "No match", 1
  )
)</f>
        <v/>
      </c>
      <c r="E11" s="135" t="str" cm="1">
        <f t="array" ref="E11">IF(
  E12="",
  "",
  _xlfn.XLOOKUP(
    TEXT(Temperature, "0"),
    DaqbookOffsets[#Headers],
    _xlfn.XLOOKUP(E10, DaqbookOffsets[Point], DaqbookOffsets[]),
    "No match", 1
  )
)</f>
        <v/>
      </c>
      <c r="F11" s="135" t="str" cm="1">
        <f t="array" ref="F11">IF(
  F12="",
  "",
  _xlfn.XLOOKUP(
    TEXT(Temperature, "0"),
    DaqbookOffsets[#Headers],
    _xlfn.XLOOKUP(F10, DaqbookOffsets[Point], DaqbookOffsets[]),
    "No match", 1
  )
)</f>
        <v/>
      </c>
      <c r="G11" s="135" t="str" cm="1">
        <f t="array" ref="G11">IF(
  G12="",
  "",
  _xlfn.XLOOKUP(
    TEXT(Temperature, "0"),
    DaqbookOffsets[#Headers],
    _xlfn.XLOOKUP(G10, DaqbookOffsets[Point], DaqbookOffsets[]),
    "No match", 1
  )
)</f>
        <v/>
      </c>
      <c r="H11" s="135" t="str" cm="1">
        <f t="array" ref="H11">IF(
  H12="",
  "",
  _xlfn.XLOOKUP(
    TEXT(Temperature, "0"),
    DaqbookOffsets[#Headers],
    _xlfn.XLOOKUP(H10, DaqbookOffsets[Point], DaqbookOffsets[]),
    "No match", 1
  )
)</f>
        <v/>
      </c>
      <c r="I11" s="135" t="str" cm="1">
        <f t="array" ref="I11">IF(
  I12="",
  "",
  _xlfn.XLOOKUP(
    TEXT(Temperature, "0"),
    DaqbookOffsets[#Headers],
    _xlfn.XLOOKUP(I10, DaqbookOffsets[Point], DaqbookOffsets[]),
    "No match", 1
  )
)</f>
        <v/>
      </c>
      <c r="J11" s="135" t="str" cm="1">
        <f t="array" ref="J11">IF(
  J12="",
  "",
  _xlfn.XLOOKUP(
    TEXT(Temperature, "0"),
    DaqbookOffsets[#Headers],
    _xlfn.XLOOKUP(J10, DaqbookOffsets[Point], DaqbookOffsets[]),
    "No match", 1
  )
)</f>
        <v/>
      </c>
      <c r="K11" s="135" t="str" cm="1">
        <f t="array" ref="K11">IF(
  K12="",
  "",
  _xlfn.XLOOKUP(
    TEXT(Temperature, "0"),
    DaqbookOffsets[#Headers],
    _xlfn.XLOOKUP(K10, DaqbookOffsets[Point], DaqbookOffsets[]),
    "No match", 1
  )
)</f>
        <v/>
      </c>
      <c r="L11" s="135" t="str" cm="1">
        <f t="array" ref="L11">IF(
  L12="",
  "",
  _xlfn.XLOOKUP(
    TEXT(Temperature, "0"),
    DaqbookOffsets[#Headers],
    _xlfn.XLOOKUP(L10, DaqbookOffsets[Point], DaqbookOffsets[]),
    "No match", 1
  )
)</f>
        <v/>
      </c>
      <c r="M11" s="135" t="str" cm="1">
        <f t="array" ref="M11">IF(
  M12="",
  "",
  _xlfn.XLOOKUP(
    TEXT(Temperature, "0"),
    DaqbookOffsets[#Headers],
    _xlfn.XLOOKUP(M10, DaqbookOffsets[Point], DaqbookOffsets[]),
    "No match", 1
  )
)</f>
        <v/>
      </c>
      <c r="N11" s="135" t="str" cm="1">
        <f t="array" ref="N11">IF(
  N12="",
  "",
  _xlfn.XLOOKUP(
    TEXT(Temperature, "0"),
    DaqbookOffsets[#Headers],
    _xlfn.XLOOKUP(N10, DaqbookOffsets[Point], DaqbookOffsets[]),
    "No match", 1
  )
)</f>
        <v/>
      </c>
      <c r="O11" s="135" t="str" cm="1">
        <f t="array" ref="O11">IF(
  O12="",
  "",
  _xlfn.XLOOKUP(
    TEXT(Temperature, "0"),
    DaqbookOffsets[#Headers],
    _xlfn.XLOOKUP(O10, DaqbookOffsets[Point], DaqbookOffsets[]),
    "No match", 1
  )
)</f>
        <v/>
      </c>
      <c r="P11" s="135" t="str" cm="1">
        <f t="array" ref="P11">IF(
  P12="",
  "",
  _xlfn.XLOOKUP(
    TEXT(Temperature, "0"),
    DaqbookOffsets[#Headers],
    _xlfn.XLOOKUP(P10, DaqbookOffsets[Point], DaqbookOffsets[]),
    "No match", 1
  )
)</f>
        <v/>
      </c>
    </row>
    <row r="12" spans="1:16" x14ac:dyDescent="0.2">
      <c r="A12" s="44"/>
      <c r="B12" s="78" t="s">
        <v>42</v>
      </c>
      <c r="C12" s="135" t="str">
        <f>IFERROR(VLOOKUP(C10,WireOffsets[],2,FALSE),"")</f>
        <v/>
      </c>
      <c r="D12" s="135" t="str">
        <f>IFERROR(VLOOKUP(D10,WireOffsets[],2,FALSE),"")</f>
        <v/>
      </c>
      <c r="E12" s="135" t="str">
        <f>IFERROR(VLOOKUP(E10,WireOffsets[],2,FALSE),"")</f>
        <v/>
      </c>
      <c r="F12" s="135" t="str">
        <f>IFERROR(VLOOKUP(F10,WireOffsets[],2,FALSE),"")</f>
        <v/>
      </c>
      <c r="G12" s="135" t="str">
        <f>IFERROR(VLOOKUP(G10,WireOffsets[],2,FALSE),"")</f>
        <v/>
      </c>
      <c r="H12" s="135" t="str">
        <f>IFERROR(VLOOKUP(H10,WireOffsets[],2,FALSE),"")</f>
        <v/>
      </c>
      <c r="I12" s="135" t="str">
        <f>IFERROR(VLOOKUP(I10,WireOffsets[],2,FALSE),"")</f>
        <v/>
      </c>
      <c r="J12" s="135" t="str">
        <f>IFERROR(VLOOKUP(J10,WireOffsets[],2,FALSE),"")</f>
        <v/>
      </c>
      <c r="K12" s="135" t="str">
        <f>IFERROR(VLOOKUP(K10,WireOffsets[],2,FALSE),"")</f>
        <v/>
      </c>
      <c r="L12" s="135" t="str">
        <f>IFERROR(VLOOKUP(L10,WireOffsets[],2,FALSE),"")</f>
        <v/>
      </c>
      <c r="M12" s="135" t="str">
        <f>IFERROR(VLOOKUP(M10,WireOffsets[],2,FALSE),"")</f>
        <v/>
      </c>
      <c r="N12" s="135" t="str">
        <f>IFERROR(VLOOKUP(N10,WireOffsets[],2,FALSE),"")</f>
        <v/>
      </c>
      <c r="O12" s="135" t="str">
        <f>IFERROR(VLOOKUP(O10,WireOffsets[],2,FALSE),"")</f>
        <v/>
      </c>
      <c r="P12" s="135" t="str">
        <f>IFERROR(VLOOKUP(P10,WireOffsets[],2,FALSE),"")</f>
        <v/>
      </c>
    </row>
    <row r="13" spans="1:16" x14ac:dyDescent="0.2">
      <c r="A13" s="44"/>
      <c r="B13" s="78" t="s">
        <v>43</v>
      </c>
      <c r="C13" s="132" t="str">
        <f>IF(OR(C11="",C12=""),"",SUM(C11:C12))</f>
        <v/>
      </c>
      <c r="D13" s="132" t="str">
        <f t="shared" ref="D13:P13" si="0">IF(OR(D11="",D12=""),"",SUM(D11:D12))</f>
        <v/>
      </c>
      <c r="E13" s="132" t="str">
        <f t="shared" si="0"/>
        <v/>
      </c>
      <c r="F13" s="132" t="str">
        <f t="shared" si="0"/>
        <v/>
      </c>
      <c r="G13" s="132" t="str">
        <f t="shared" si="0"/>
        <v/>
      </c>
      <c r="H13" s="132" t="str">
        <f t="shared" si="0"/>
        <v/>
      </c>
      <c r="I13" s="132" t="str">
        <f t="shared" si="0"/>
        <v/>
      </c>
      <c r="J13" s="132" t="str">
        <f t="shared" si="0"/>
        <v/>
      </c>
      <c r="K13" s="132" t="str">
        <f t="shared" si="0"/>
        <v/>
      </c>
      <c r="L13" s="132" t="str">
        <f t="shared" si="0"/>
        <v/>
      </c>
      <c r="M13" s="132" t="str">
        <f t="shared" si="0"/>
        <v/>
      </c>
      <c r="N13" s="132" t="str">
        <f t="shared" si="0"/>
        <v/>
      </c>
      <c r="O13" s="132" t="str">
        <f t="shared" si="0"/>
        <v/>
      </c>
      <c r="P13" s="132"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77">
        <v>15</v>
      </c>
      <c r="D16" s="77">
        <v>16</v>
      </c>
      <c r="E16" s="77">
        <v>17</v>
      </c>
      <c r="F16" s="77">
        <v>18</v>
      </c>
      <c r="G16" s="77">
        <v>19</v>
      </c>
      <c r="H16" s="77">
        <v>20</v>
      </c>
      <c r="I16" s="77">
        <v>21</v>
      </c>
      <c r="J16" s="77">
        <v>22</v>
      </c>
      <c r="K16" s="77">
        <v>23</v>
      </c>
      <c r="L16" s="77">
        <v>24</v>
      </c>
      <c r="M16" s="77">
        <v>25</v>
      </c>
      <c r="N16" s="77">
        <v>26</v>
      </c>
      <c r="O16" s="77">
        <v>27</v>
      </c>
      <c r="P16" s="77">
        <v>28</v>
      </c>
    </row>
    <row r="17" spans="1:20" x14ac:dyDescent="0.2">
      <c r="A17" s="44"/>
      <c r="B17" s="78" t="s">
        <v>41</v>
      </c>
      <c r="C17" s="135" t="str" cm="1">
        <f t="array" ref="C17">IF(
  C18="",
  "",
  _xlfn.XLOOKUP(
    TEXT(Temperature, "0"),
    DaqbookOffsets[#Headers],
    _xlfn.XLOOKUP(C16, DaqbookOffsets[Point], DaqbookOffsets[]),
    "No match", 1
  )
)</f>
        <v/>
      </c>
      <c r="D17" s="135" t="str" cm="1">
        <f t="array" ref="D17">IF(
  D18="",
  "",
  _xlfn.XLOOKUP(
    TEXT(Temperature, "0"),
    DaqbookOffsets[#Headers],
    _xlfn.XLOOKUP(D16, DaqbookOffsets[Point], DaqbookOffsets[]),
    "No match", 1
  )
)</f>
        <v/>
      </c>
      <c r="E17" s="135" t="str" cm="1">
        <f t="array" ref="E17">IF(
  E18="",
  "",
  _xlfn.XLOOKUP(
    TEXT(Temperature, "0"),
    DaqbookOffsets[#Headers],
    _xlfn.XLOOKUP(E16, DaqbookOffsets[Point], DaqbookOffsets[]),
    "No match", 1
  )
)</f>
        <v/>
      </c>
      <c r="F17" s="135" t="str" cm="1">
        <f t="array" ref="F17">IF(
  F18="",
  "",
  _xlfn.XLOOKUP(
    TEXT(Temperature, "0"),
    DaqbookOffsets[#Headers],
    _xlfn.XLOOKUP(F16, DaqbookOffsets[Point], DaqbookOffsets[]),
    "No match", 1
  )
)</f>
        <v/>
      </c>
      <c r="G17" s="135" t="str" cm="1">
        <f t="array" ref="G17">IF(
  G18="",
  "",
  _xlfn.XLOOKUP(
    TEXT(Temperature, "0"),
    DaqbookOffsets[#Headers],
    _xlfn.XLOOKUP(G16, DaqbookOffsets[Point], DaqbookOffsets[]),
    "No match", 1
  )
)</f>
        <v/>
      </c>
      <c r="H17" s="135" t="str" cm="1">
        <f t="array" ref="H17">IF(
  H18="",
  "",
  _xlfn.XLOOKUP(
    TEXT(Temperature, "0"),
    DaqbookOffsets[#Headers],
    _xlfn.XLOOKUP(H16, DaqbookOffsets[Point], DaqbookOffsets[]),
    "No match", 1
  )
)</f>
        <v/>
      </c>
      <c r="I17" s="135" t="str" cm="1">
        <f t="array" ref="I17">IF(
  I18="",
  "",
  _xlfn.XLOOKUP(
    TEXT(Temperature, "0"),
    DaqbookOffsets[#Headers],
    _xlfn.XLOOKUP(I16, DaqbookOffsets[Point], DaqbookOffsets[]),
    "No match", 1
  )
)</f>
        <v/>
      </c>
      <c r="J17" s="135" t="str" cm="1">
        <f t="array" ref="J17">IF(
  J18="",
  "",
  _xlfn.XLOOKUP(
    TEXT(Temperature, "0"),
    DaqbookOffsets[#Headers],
    _xlfn.XLOOKUP(J16, DaqbookOffsets[Point], DaqbookOffsets[]),
    "No match", 1
  )
)</f>
        <v/>
      </c>
      <c r="K17" s="135" t="str" cm="1">
        <f t="array" ref="K17">IF(
  K18="",
  "",
  _xlfn.XLOOKUP(
    TEXT(Temperature, "0"),
    DaqbookOffsets[#Headers],
    _xlfn.XLOOKUP(K16, DaqbookOffsets[Point], DaqbookOffsets[]),
    "No match", 1
  )
)</f>
        <v/>
      </c>
      <c r="L17" s="135" t="str" cm="1">
        <f t="array" ref="L17">IF(
  L18="",
  "",
  _xlfn.XLOOKUP(
    TEXT(Temperature, "0"),
    DaqbookOffsets[#Headers],
    _xlfn.XLOOKUP(L16, DaqbookOffsets[Point], DaqbookOffsets[]),
    "No match", 1
  )
)</f>
        <v/>
      </c>
      <c r="M17" s="135" t="str" cm="1">
        <f t="array" ref="M17">IF(
  M18="",
  "",
  _xlfn.XLOOKUP(
    TEXT(Temperature, "0"),
    DaqbookOffsets[#Headers],
    _xlfn.XLOOKUP(M16, DaqbookOffsets[Point], DaqbookOffsets[]),
    "No match", 1
  )
)</f>
        <v/>
      </c>
      <c r="N17" s="135" t="str" cm="1">
        <f t="array" ref="N17">IF(
  N18="",
  "",
  _xlfn.XLOOKUP(
    TEXT(Temperature, "0"),
    DaqbookOffsets[#Headers],
    _xlfn.XLOOKUP(N16, DaqbookOffsets[Point], DaqbookOffsets[]),
    "No match", 1
  )
)</f>
        <v/>
      </c>
      <c r="O17" s="135" t="str" cm="1">
        <f t="array" ref="O17">IF(
  O18="",
  "",
  _xlfn.XLOOKUP(
    TEXT(Temperature, "0"),
    DaqbookOffsets[#Headers],
    _xlfn.XLOOKUP(O16, DaqbookOffsets[Point], DaqbookOffsets[]),
    "No match", 1
  )
)</f>
        <v/>
      </c>
      <c r="P17" s="135" t="str" cm="1">
        <f t="array" ref="P17">IF(
  P18="",
  "",
  _xlfn.XLOOKUP(
    TEXT(Temperature, "0"),
    DaqbookOffsets[#Headers],
    _xlfn.XLOOKUP(P16, DaqbookOffsets[Point], DaqbookOffsets[]),
    "No match", 1
  )
)</f>
        <v/>
      </c>
    </row>
    <row r="18" spans="1:20" x14ac:dyDescent="0.2">
      <c r="A18" s="44"/>
      <c r="B18" s="78" t="s">
        <v>42</v>
      </c>
      <c r="C18" s="135" t="str">
        <f>IFERROR(VLOOKUP(C16,WireOffsets[],2,FALSE),"")</f>
        <v/>
      </c>
      <c r="D18" s="135" t="str">
        <f>IFERROR(VLOOKUP(D16,WireOffsets[],2,FALSE),"")</f>
        <v/>
      </c>
      <c r="E18" s="135" t="str">
        <f>IFERROR(VLOOKUP(E16,WireOffsets[],2,FALSE),"")</f>
        <v/>
      </c>
      <c r="F18" s="135" t="str">
        <f>IFERROR(VLOOKUP(F16,WireOffsets[],2,FALSE),"")</f>
        <v/>
      </c>
      <c r="G18" s="135" t="str">
        <f>IFERROR(VLOOKUP(G16,WireOffsets[],2,FALSE),"")</f>
        <v/>
      </c>
      <c r="H18" s="135" t="str">
        <f>IFERROR(VLOOKUP(H16,WireOffsets[],2,FALSE),"")</f>
        <v/>
      </c>
      <c r="I18" s="135" t="str">
        <f>IFERROR(VLOOKUP(I16,WireOffsets[],2,FALSE),"")</f>
        <v/>
      </c>
      <c r="J18" s="135" t="str">
        <f>IFERROR(VLOOKUP(J16,WireOffsets[],2,FALSE),"")</f>
        <v/>
      </c>
      <c r="K18" s="135" t="str">
        <f>IFERROR(VLOOKUP(K16,WireOffsets[],2,FALSE),"")</f>
        <v/>
      </c>
      <c r="L18" s="135" t="str">
        <f>IFERROR(VLOOKUP(L16,WireOffsets[],2,FALSE),"")</f>
        <v/>
      </c>
      <c r="M18" s="135" t="str">
        <f>IFERROR(VLOOKUP(M16,WireOffsets[],2,FALSE),"")</f>
        <v/>
      </c>
      <c r="N18" s="135" t="str">
        <f>IFERROR(VLOOKUP(N16,WireOffsets[],2,FALSE),"")</f>
        <v/>
      </c>
      <c r="O18" s="135" t="str">
        <f>IFERROR(VLOOKUP(O16,WireOffsets[],2,FALSE),"")</f>
        <v/>
      </c>
      <c r="P18" s="135" t="str">
        <f>IFERROR(VLOOKUP(P16,WireOffsets[],2,FALSE),"")</f>
        <v/>
      </c>
    </row>
    <row r="19" spans="1:20" x14ac:dyDescent="0.2">
      <c r="A19" s="44"/>
      <c r="B19" s="78" t="s">
        <v>43</v>
      </c>
      <c r="C19" s="132" t="str">
        <f>IF(OR(C17="",C18=""),"",SUM(C17:C18))</f>
        <v/>
      </c>
      <c r="D19" s="132" t="str">
        <f t="shared" ref="D19:P19" si="1">IF(OR(D17="",D18=""),"",SUM(D17:D18))</f>
        <v/>
      </c>
      <c r="E19" s="132" t="str">
        <f t="shared" si="1"/>
        <v/>
      </c>
      <c r="F19" s="132" t="str">
        <f t="shared" si="1"/>
        <v/>
      </c>
      <c r="G19" s="132" t="str">
        <f t="shared" si="1"/>
        <v/>
      </c>
      <c r="H19" s="132" t="str">
        <f t="shared" si="1"/>
        <v/>
      </c>
      <c r="I19" s="132" t="str">
        <f t="shared" si="1"/>
        <v/>
      </c>
      <c r="J19" s="132" t="str">
        <f t="shared" si="1"/>
        <v/>
      </c>
      <c r="K19" s="132" t="str">
        <f t="shared" si="1"/>
        <v/>
      </c>
      <c r="L19" s="132" t="str">
        <f t="shared" si="1"/>
        <v/>
      </c>
      <c r="M19" s="132" t="str">
        <f t="shared" si="1"/>
        <v/>
      </c>
      <c r="N19" s="132" t="str">
        <f t="shared" si="1"/>
        <v/>
      </c>
      <c r="O19" s="132" t="str">
        <f t="shared" si="1"/>
        <v/>
      </c>
      <c r="P19" s="132"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77">
        <v>29</v>
      </c>
      <c r="D22" s="77">
        <v>30</v>
      </c>
      <c r="E22" s="77">
        <v>31</v>
      </c>
      <c r="F22" s="77">
        <v>32</v>
      </c>
      <c r="G22" s="77">
        <v>33</v>
      </c>
      <c r="H22" s="77">
        <v>34</v>
      </c>
      <c r="I22" s="77">
        <v>35</v>
      </c>
      <c r="J22" s="77">
        <v>36</v>
      </c>
      <c r="K22" s="77">
        <v>37</v>
      </c>
      <c r="L22" s="77">
        <v>38</v>
      </c>
      <c r="M22" s="77">
        <v>39</v>
      </c>
      <c r="N22" s="77">
        <v>40</v>
      </c>
      <c r="O22" s="1"/>
      <c r="P22" s="1"/>
    </row>
    <row r="23" spans="1:20" x14ac:dyDescent="0.2">
      <c r="A23" s="44"/>
      <c r="B23" s="78" t="s">
        <v>41</v>
      </c>
      <c r="C23" s="135" t="str" cm="1">
        <f t="array" ref="C23">IF(
  C24="",
  "",
  _xlfn.XLOOKUP(
    TEXT(Temperature, "0"),
    DaqbookOffsets[#Headers],
    _xlfn.XLOOKUP(C22, DaqbookOffsets[Point], DaqbookOffsets[]),
    "No match", 1
  )
)</f>
        <v/>
      </c>
      <c r="D23" s="135" t="str" cm="1">
        <f t="array" ref="D23">IF(
  D24="",
  "",
  _xlfn.XLOOKUP(
    TEXT(Temperature, "0"),
    DaqbookOffsets[#Headers],
    _xlfn.XLOOKUP(D22, DaqbookOffsets[Point], DaqbookOffsets[]),
    "No match", 1
  )
)</f>
        <v/>
      </c>
      <c r="E23" s="135" t="str" cm="1">
        <f t="array" ref="E23">IF(
  E24="",
  "",
  _xlfn.XLOOKUP(
    TEXT(Temperature, "0"),
    DaqbookOffsets[#Headers],
    _xlfn.XLOOKUP(E22, DaqbookOffsets[Point], DaqbookOffsets[]),
    "No match", 1
  )
)</f>
        <v/>
      </c>
      <c r="F23" s="135" t="str" cm="1">
        <f t="array" ref="F23">IF(
  F24="",
  "",
  _xlfn.XLOOKUP(
    TEXT(Temperature, "0"),
    DaqbookOffsets[#Headers],
    _xlfn.XLOOKUP(F22, DaqbookOffsets[Point], DaqbookOffsets[]),
    "No match", 1
  )
)</f>
        <v/>
      </c>
      <c r="G23" s="135" t="str" cm="1">
        <f t="array" ref="G23">IF(
  G24="",
  "",
  _xlfn.XLOOKUP(
    TEXT(Temperature, "0"),
    DaqbookOffsets[#Headers],
    _xlfn.XLOOKUP(G22, DaqbookOffsets[Point], DaqbookOffsets[]),
    "No match", 1
  )
)</f>
        <v/>
      </c>
      <c r="H23" s="135" t="str" cm="1">
        <f t="array" ref="H23">IF(
  H24="",
  "",
  _xlfn.XLOOKUP(
    TEXT(Temperature, "0"),
    DaqbookOffsets[#Headers],
    _xlfn.XLOOKUP(H22, DaqbookOffsets[Point], DaqbookOffsets[]),
    "No match", 1
  )
)</f>
        <v/>
      </c>
      <c r="I23" s="135" t="str" cm="1">
        <f t="array" ref="I23">IF(
  I24="",
  "",
  _xlfn.XLOOKUP(
    TEXT(Temperature, "0"),
    DaqbookOffsets[#Headers],
    _xlfn.XLOOKUP(I22, DaqbookOffsets[Point], DaqbookOffsets[]),
    "No match", 1
  )
)</f>
        <v/>
      </c>
      <c r="J23" s="135" t="str" cm="1">
        <f t="array" ref="J23">IF(
  J24="",
  "",
  _xlfn.XLOOKUP(
    TEXT(Temperature, "0"),
    DaqbookOffsets[#Headers],
    _xlfn.XLOOKUP(J22, DaqbookOffsets[Point], DaqbookOffsets[]),
    "No match", 1
  )
)</f>
        <v/>
      </c>
      <c r="K23" s="135" t="str" cm="1">
        <f t="array" ref="K23">IF(
  K24="",
  "",
  _xlfn.XLOOKUP(
    TEXT(Temperature, "0"),
    DaqbookOffsets[#Headers],
    _xlfn.XLOOKUP(K22, DaqbookOffsets[Point], DaqbookOffsets[]),
    "No match", 1
  )
)</f>
        <v/>
      </c>
      <c r="L23" s="135" t="str" cm="1">
        <f t="array" ref="L23">IF(
  L24="",
  "",
  _xlfn.XLOOKUP(
    TEXT(Temperature, "0"),
    DaqbookOffsets[#Headers],
    _xlfn.XLOOKUP(L22, DaqbookOffsets[Point], DaqbookOffsets[]),
    "No match", 1
  )
)</f>
        <v/>
      </c>
      <c r="M23" s="135" t="str" cm="1">
        <f t="array" ref="M23">IF(
  M24="",
  "",
  _xlfn.XLOOKUP(
    TEXT(Temperature, "0"),
    DaqbookOffsets[#Headers],
    _xlfn.XLOOKUP(M22, DaqbookOffsets[Point], DaqbookOffsets[]),
    "No match", 1
  )
)</f>
        <v/>
      </c>
      <c r="N23" s="135" t="str" cm="1">
        <f t="array" ref="N23">IF(
  N24="",
  "",
  _xlfn.XLOOKUP(
    TEXT(Temperature, "0"),
    DaqbookOffsets[#Headers],
    _xlfn.XLOOKUP(N22, DaqbookOffsets[Point], DaqbookOffsets[]),
    "No match", 1
  )
)</f>
        <v/>
      </c>
      <c r="O23" s="44"/>
      <c r="P23" s="44"/>
    </row>
    <row r="24" spans="1:20" x14ac:dyDescent="0.2">
      <c r="A24" s="44"/>
      <c r="B24" s="78" t="s">
        <v>42</v>
      </c>
      <c r="C24" s="135" t="str">
        <f>IFERROR(VLOOKUP(C22,WireOffsets[],2,FALSE),"")</f>
        <v/>
      </c>
      <c r="D24" s="135" t="str">
        <f>IFERROR(VLOOKUP(D22,WireOffsets[],2,FALSE),"")</f>
        <v/>
      </c>
      <c r="E24" s="135" t="str">
        <f>IFERROR(VLOOKUP(E22,WireOffsets[],2,FALSE),"")</f>
        <v/>
      </c>
      <c r="F24" s="135" t="str">
        <f>IFERROR(VLOOKUP(F22,WireOffsets[],2,FALSE),"")</f>
        <v/>
      </c>
      <c r="G24" s="135" t="str">
        <f>IFERROR(VLOOKUP(G22,WireOffsets[],2,FALSE),"")</f>
        <v/>
      </c>
      <c r="H24" s="135" t="str">
        <f>IFERROR(VLOOKUP(H22,WireOffsets[],2,FALSE),"")</f>
        <v/>
      </c>
      <c r="I24" s="135" t="str">
        <f>IFERROR(VLOOKUP(I22,WireOffsets[],2,FALSE),"")</f>
        <v/>
      </c>
      <c r="J24" s="135" t="str">
        <f>IFERROR(VLOOKUP(J22,WireOffsets[],2,FALSE),"")</f>
        <v/>
      </c>
      <c r="K24" s="135" t="str">
        <f>IFERROR(VLOOKUP(K22,WireOffsets[],2,FALSE),"")</f>
        <v/>
      </c>
      <c r="L24" s="135" t="str">
        <f>IFERROR(VLOOKUP(L22,WireOffsets[],2,FALSE),"")</f>
        <v/>
      </c>
      <c r="M24" s="135" t="str">
        <f>IFERROR(VLOOKUP(M22,WireOffsets[],2,FALSE),"")</f>
        <v/>
      </c>
      <c r="N24" s="135" t="str">
        <f>IFERROR(VLOOKUP(N22,WireOffsets[],2,FALSE),"")</f>
        <v/>
      </c>
    </row>
    <row r="25" spans="1:20" x14ac:dyDescent="0.2">
      <c r="A25" s="44"/>
      <c r="B25" s="78" t="s">
        <v>43</v>
      </c>
      <c r="C25" s="132" t="str">
        <f>IF(OR(C23="",C24=""),"",SUM(C23:C24))</f>
        <v/>
      </c>
      <c r="D25" s="132" t="str">
        <f t="shared" ref="D25:N25" si="2">IF(OR(D23="",D24=""),"",SUM(D23:D24))</f>
        <v/>
      </c>
      <c r="E25" s="132" t="str">
        <f t="shared" si="2"/>
        <v/>
      </c>
      <c r="F25" s="132" t="str">
        <f t="shared" si="2"/>
        <v/>
      </c>
      <c r="G25" s="132" t="str">
        <f t="shared" si="2"/>
        <v/>
      </c>
      <c r="H25" s="132" t="str">
        <f t="shared" si="2"/>
        <v/>
      </c>
      <c r="I25" s="132" t="str">
        <f t="shared" si="2"/>
        <v/>
      </c>
      <c r="J25" s="132" t="str">
        <f t="shared" si="2"/>
        <v/>
      </c>
      <c r="K25" s="132" t="str">
        <f t="shared" si="2"/>
        <v/>
      </c>
      <c r="L25" s="132" t="str">
        <f t="shared" si="2"/>
        <v/>
      </c>
      <c r="M25" s="132" t="str">
        <f t="shared" si="2"/>
        <v/>
      </c>
      <c r="N25" s="132"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20" t="s">
        <v>372</v>
      </c>
      <c r="I28" s="620"/>
      <c r="J28" s="620"/>
      <c r="K28" s="620"/>
      <c r="L28" s="620"/>
      <c r="M28" s="620"/>
      <c r="N28" s="620"/>
      <c r="O28" s="620"/>
      <c r="P28" s="620"/>
      <c r="Q28" s="620"/>
      <c r="R28" s="620"/>
    </row>
    <row r="29" spans="1:20" x14ac:dyDescent="0.2">
      <c r="A29" s="626" t="s">
        <v>46</v>
      </c>
      <c r="B29" s="627"/>
      <c r="C29" s="65" t="str">
        <f>IF(Main!D48="","",Main!D48)</f>
        <v/>
      </c>
      <c r="D29" s="65" t="str">
        <f>IF(Main!E48="","",Main!E48)</f>
        <v/>
      </c>
      <c r="E29" s="65" t="str">
        <f>IF(Main!F48="","",Main!F48)</f>
        <v/>
      </c>
      <c r="F29" s="65" t="str">
        <f>IF(Main!G48="","",Main!G48)</f>
        <v/>
      </c>
      <c r="G29" s="301"/>
      <c r="H29" s="298" t="s">
        <v>373</v>
      </c>
      <c r="I29" s="135" t="str">
        <f>IF(Main!N47="","",Main!N47)</f>
        <v>Periodic</v>
      </c>
      <c r="J29" s="628" t="s">
        <v>374</v>
      </c>
      <c r="K29" s="629"/>
      <c r="L29" s="135" t="str">
        <f>IF(Main!R47="","",Main!R47)</f>
        <v>Air</v>
      </c>
    </row>
    <row r="30" spans="1:20" x14ac:dyDescent="0.2">
      <c r="A30" s="626" t="s">
        <v>47</v>
      </c>
      <c r="B30" s="627"/>
      <c r="C30" s="66" t="str">
        <f>IF(Main!D49="","",Main!D49)</f>
        <v/>
      </c>
      <c r="D30" s="66" t="str">
        <f>IF(Main!E49="","",Main!E49)</f>
        <v/>
      </c>
      <c r="E30" s="66" t="str">
        <f>IF(Main!F49="","",Main!F49)</f>
        <v/>
      </c>
      <c r="F30" s="66" t="str">
        <f>IF(Main!G49="","",Main!G49)</f>
        <v/>
      </c>
      <c r="G30" s="303"/>
      <c r="H30" s="621" t="s">
        <v>360</v>
      </c>
      <c r="I30" s="621"/>
      <c r="J30" s="630" t="s">
        <v>416</v>
      </c>
      <c r="K30" s="631"/>
      <c r="L30" s="632"/>
      <c r="M30" s="295"/>
      <c r="O30" s="622" t="s">
        <v>419</v>
      </c>
      <c r="P30" s="623"/>
      <c r="Q30" s="624"/>
      <c r="T30" s="44"/>
    </row>
    <row r="31" spans="1:20" x14ac:dyDescent="0.2">
      <c r="A31" s="626" t="s">
        <v>48</v>
      </c>
      <c r="B31" s="627"/>
      <c r="C31" s="66" t="str">
        <f>IF(Main!D50="","",Main!D50)</f>
        <v/>
      </c>
      <c r="D31" s="66" t="str">
        <f>IF(Main!E50="","",Main!E50)</f>
        <v/>
      </c>
      <c r="E31" s="66" t="str">
        <f>IF(Main!F50="","",Main!F50)</f>
        <v/>
      </c>
      <c r="F31" s="66" t="str">
        <f>IF(Main!G50="","",Main!G50)</f>
        <v/>
      </c>
      <c r="G31" s="303"/>
      <c r="H31" s="283" t="s">
        <v>375</v>
      </c>
      <c r="I31" s="285" t="str">
        <f>IF(Main!N49="","",Main!N49)</f>
        <v/>
      </c>
      <c r="J31" s="645" t="s">
        <v>424</v>
      </c>
      <c r="K31" s="646"/>
      <c r="L31" s="647"/>
      <c r="M31" s="296" t="str">
        <f>IF(Main!S49="","",Main!S49)</f>
        <v/>
      </c>
      <c r="O31" s="510" t="s">
        <v>426</v>
      </c>
      <c r="P31" s="511"/>
      <c r="Q31" s="625"/>
      <c r="R31" s="77" t="str">
        <f>IF(Main!X49="","",Main!X49)</f>
        <v/>
      </c>
      <c r="T31" s="44"/>
    </row>
    <row r="32" spans="1:20" ht="12.75" customHeight="1" x14ac:dyDescent="0.2">
      <c r="A32" s="626" t="s">
        <v>49</v>
      </c>
      <c r="B32" s="627"/>
      <c r="C32" s="65" t="str">
        <f>IF(Main!D51="","",Main!D51)</f>
        <v/>
      </c>
      <c r="D32" s="65" t="str">
        <f>IF(Main!E51="","",Main!E51)</f>
        <v/>
      </c>
      <c r="E32" s="65" t="str">
        <f>IF(Main!F51="","",Main!F51)</f>
        <v/>
      </c>
      <c r="F32" s="65" t="str">
        <f>IF(Main!G51="","",Main!G51)</f>
        <v/>
      </c>
      <c r="G32" s="301"/>
      <c r="H32" s="283" t="s">
        <v>391</v>
      </c>
      <c r="I32" s="285" t="str">
        <f>IF(Main!N50="","",Main!N50)</f>
        <v/>
      </c>
      <c r="J32" s="636" t="s">
        <v>363</v>
      </c>
      <c r="K32" s="637"/>
      <c r="L32" s="638"/>
      <c r="M32" s="291"/>
      <c r="O32" s="636" t="s">
        <v>363</v>
      </c>
      <c r="P32" s="637"/>
      <c r="Q32" s="638"/>
      <c r="T32" s="44"/>
    </row>
    <row r="33" spans="1:20" ht="12.75" customHeight="1" x14ac:dyDescent="0.2">
      <c r="A33" s="626" t="s">
        <v>376</v>
      </c>
      <c r="B33" s="627"/>
      <c r="C33" s="65" t="str">
        <f>IF(Main!D52="","",Main!D52)</f>
        <v/>
      </c>
      <c r="D33" s="65" t="str">
        <f>IF(Main!E52="","",Main!E52)</f>
        <v/>
      </c>
      <c r="E33" s="65" t="str">
        <f>IF(Main!F52="","",Main!F52)</f>
        <v/>
      </c>
      <c r="F33" s="65" t="str">
        <f>IF(Main!G52="","",Main!G52)</f>
        <v/>
      </c>
      <c r="G33" s="301"/>
      <c r="H33" s="283" t="s">
        <v>377</v>
      </c>
      <c r="I33" s="285" t="str">
        <f>IF(Main!N51="","",Main!N51)</f>
        <v/>
      </c>
      <c r="J33" s="633" t="s">
        <v>425</v>
      </c>
      <c r="K33" s="634"/>
      <c r="L33" s="635"/>
      <c r="M33" s="290" t="str">
        <f>IF(Main!S51="","",Main!S51)</f>
        <v/>
      </c>
      <c r="O33" s="633" t="s">
        <v>427</v>
      </c>
      <c r="P33" s="634"/>
      <c r="Q33" s="635"/>
      <c r="R33" s="77" t="str">
        <f>IF(Main!X51="","",Main!X51)</f>
        <v/>
      </c>
      <c r="T33" s="44"/>
    </row>
    <row r="34" spans="1:20" ht="12.75" customHeight="1" x14ac:dyDescent="0.2">
      <c r="A34" s="626" t="s">
        <v>50</v>
      </c>
      <c r="B34" s="627"/>
      <c r="C34" s="67" t="str">
        <f>IF(Main!D53="","",Main!D53)</f>
        <v/>
      </c>
      <c r="D34" s="67" t="str">
        <f>IF(Main!E53="","",Main!E53)</f>
        <v/>
      </c>
      <c r="E34" s="67" t="str">
        <f>IF(Main!F53="","",Main!F53)</f>
        <v/>
      </c>
      <c r="F34" s="67" t="str">
        <f>IF(Main!G53="","",Main!G53)</f>
        <v/>
      </c>
      <c r="G34" s="304"/>
      <c r="H34" s="283" t="s">
        <v>378</v>
      </c>
      <c r="I34" s="282" t="str">
        <f>IF(Main!N52="","",Main!N52)</f>
        <v/>
      </c>
      <c r="J34" s="636" t="s">
        <v>363</v>
      </c>
      <c r="K34" s="637"/>
      <c r="L34" s="638"/>
      <c r="O34" s="636" t="s">
        <v>363</v>
      </c>
      <c r="P34" s="637"/>
      <c r="Q34" s="638"/>
      <c r="T34" s="44"/>
    </row>
    <row r="35" spans="1:20" ht="12.75" customHeight="1" x14ac:dyDescent="0.2">
      <c r="A35" s="78"/>
      <c r="B35" s="80" t="s">
        <v>102</v>
      </c>
      <c r="C35" s="91" t="str">
        <f>IF(Main!D54="","",Main!D54)</f>
        <v/>
      </c>
      <c r="D35" s="91" t="str">
        <f>IF(Main!E54="","",Main!E54)</f>
        <v/>
      </c>
      <c r="E35" s="91" t="str">
        <f>IF(Main!F54="","",Main!F54)</f>
        <v/>
      </c>
      <c r="F35" s="91" t="str">
        <f>IF(Main!G54="","",Main!G54)</f>
        <v/>
      </c>
      <c r="G35" s="305"/>
      <c r="H35" s="283" t="s">
        <v>378</v>
      </c>
      <c r="I35" s="282" t="str">
        <f>IF(Main!N53="","",Main!N53)</f>
        <v/>
      </c>
      <c r="J35" s="639" t="s">
        <v>428</v>
      </c>
      <c r="K35" s="640"/>
      <c r="L35" s="641"/>
      <c r="M35" s="299" t="str">
        <f>IF(Main!S53="","",Main!S53)</f>
        <v/>
      </c>
      <c r="O35" s="639" t="s">
        <v>429</v>
      </c>
      <c r="P35" s="640"/>
      <c r="Q35" s="641"/>
      <c r="R35" s="300" t="str">
        <f>IF(Main!X53="","",Main!X53)</f>
        <v/>
      </c>
    </row>
    <row r="36" spans="1:20" ht="13.5" thickBot="1" x14ac:dyDescent="0.25">
      <c r="B36" s="80" t="s">
        <v>379</v>
      </c>
      <c r="C36" s="65" t="str">
        <f>IF(Main!D56="","",Main!D56)</f>
        <v/>
      </c>
      <c r="D36" s="65" t="str">
        <f>IF(Main!E56="","",Main!E56)</f>
        <v/>
      </c>
      <c r="E36" s="65" t="str">
        <f>IF(Main!F56="","",Main!F56)</f>
        <v/>
      </c>
      <c r="F36" s="65" t="str">
        <f>IF(Main!G56="","",Main!G56)</f>
        <v/>
      </c>
      <c r="G36" s="301"/>
      <c r="H36" s="302"/>
      <c r="J36" s="642"/>
      <c r="K36" s="643"/>
      <c r="L36" s="644"/>
      <c r="M36" s="294"/>
      <c r="O36" s="642"/>
      <c r="P36" s="643"/>
      <c r="Q36" s="644"/>
      <c r="T36" s="44"/>
    </row>
    <row r="37" spans="1:20" ht="13.5" thickBot="1" x14ac:dyDescent="0.25">
      <c r="B37" s="78" t="s">
        <v>380</v>
      </c>
      <c r="C37" s="65" t="str">
        <f>IF(Main!D57="","",Main!D57)</f>
        <v/>
      </c>
      <c r="D37" s="65" t="str">
        <f>IF(Main!E57="","",Main!E57)</f>
        <v/>
      </c>
      <c r="E37" s="65" t="str">
        <f>IF(Main!F57="","",Main!F57)</f>
        <v/>
      </c>
      <c r="F37" s="65" t="str">
        <f>IF(Main!G57="","",Main!G57)</f>
        <v/>
      </c>
      <c r="G37" s="301"/>
      <c r="H37" s="302"/>
      <c r="J37" s="309" t="s">
        <v>366</v>
      </c>
      <c r="K37" s="310" t="s">
        <v>26</v>
      </c>
      <c r="L37" s="311" t="s">
        <v>367</v>
      </c>
      <c r="M37" s="294"/>
      <c r="O37" s="309" t="s">
        <v>368</v>
      </c>
      <c r="P37" s="310" t="s">
        <v>26</v>
      </c>
      <c r="Q37" s="311" t="s">
        <v>369</v>
      </c>
    </row>
    <row r="38" spans="1:20" ht="13.5" thickBot="1" x14ac:dyDescent="0.25">
      <c r="B38" s="52" t="s">
        <v>51</v>
      </c>
      <c r="J38" s="306" t="str">
        <f>IF(Main!P56="","",Main!P56)</f>
        <v/>
      </c>
      <c r="K38" s="307" t="str">
        <f>IF(Main!Q56="","",Main!Q56)</f>
        <v/>
      </c>
      <c r="L38" s="308" t="str">
        <f>IF(Main!R56="","",Main!R56)</f>
        <v/>
      </c>
      <c r="O38" s="306" t="str">
        <f>IF(Main!U56="","",Main!U56)</f>
        <v/>
      </c>
      <c r="P38" s="307" t="str">
        <f>IF(Main!V56="","",Main!V56)</f>
        <v/>
      </c>
      <c r="Q38" s="308" t="str">
        <f>IF(Main!W56="","",Main!W56)</f>
        <v/>
      </c>
    </row>
    <row r="39" spans="1:20" x14ac:dyDescent="0.2">
      <c r="B39" s="52" t="s">
        <v>389</v>
      </c>
      <c r="M39" s="312"/>
    </row>
    <row r="40" spans="1:20" ht="15.75" x14ac:dyDescent="0.25">
      <c r="B40" s="293"/>
      <c r="C40" s="293"/>
      <c r="D40" s="293"/>
      <c r="E40" s="293"/>
      <c r="K40" s="78" t="s">
        <v>393</v>
      </c>
      <c r="L40">
        <f>IF(Main!N54="","",Main!N54)</f>
        <v>0</v>
      </c>
      <c r="O40" s="78" t="s">
        <v>395</v>
      </c>
      <c r="P40">
        <f>IF(Main!N56="","",Main!N56)</f>
        <v>0</v>
      </c>
    </row>
    <row r="41" spans="1:20" x14ac:dyDescent="0.2">
      <c r="K41" s="78" t="s">
        <v>394</v>
      </c>
      <c r="L41">
        <f>IF(Main!N55="","",Main!N55)</f>
        <v>0</v>
      </c>
      <c r="O41" s="78" t="s">
        <v>396</v>
      </c>
      <c r="P41">
        <f>IF(Main!N57="","",Main!N57)</f>
        <v>0</v>
      </c>
    </row>
    <row r="42" spans="1:20" ht="15.75" x14ac:dyDescent="0.25">
      <c r="C42" s="293"/>
      <c r="D42" s="293"/>
      <c r="E42" s="293"/>
      <c r="F42" s="293"/>
      <c r="G42" s="293"/>
      <c r="H42" s="293"/>
      <c r="I42" s="293"/>
      <c r="J42" s="293"/>
    </row>
    <row r="44" spans="1:20" x14ac:dyDescent="0.2">
      <c r="F44" s="2"/>
      <c r="G44" s="2"/>
    </row>
    <row r="45" spans="1:20" ht="12.75" customHeight="1" x14ac:dyDescent="0.2">
      <c r="F45" s="295"/>
    </row>
    <row r="46" spans="1:20" x14ac:dyDescent="0.2">
      <c r="F46" s="148"/>
    </row>
    <row r="47" spans="1:20" ht="12.75" customHeight="1" x14ac:dyDescent="0.2">
      <c r="F47" s="291"/>
    </row>
    <row r="48" spans="1:20" ht="12.75" customHeight="1" x14ac:dyDescent="0.2">
      <c r="F48" s="294"/>
    </row>
    <row r="50" spans="6:6" ht="15.75" customHeight="1" x14ac:dyDescent="0.2">
      <c r="F50" s="291"/>
    </row>
    <row r="51" spans="6:6" x14ac:dyDescent="0.2">
      <c r="F51" s="294"/>
    </row>
    <row r="52" spans="6:6" x14ac:dyDescent="0.2">
      <c r="F52" s="294"/>
    </row>
    <row r="54" spans="6:6" x14ac:dyDescent="0.2">
      <c r="F54" s="297"/>
    </row>
  </sheetData>
  <sheetProtection algorithmName="SHA-512" hashValue="oLp6h7rxgNrEcfsbqNg18fgc5BFij5O42N9SeMIqkVtz89+l0wqDs3ZjpZM2tpRb/chWBkRrCLRbY2c3U8c7FQ==" saltValue="WdRc/gm2mR3kgZ335MbrG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29"/>
  </cols>
  <sheetData>
    <row r="1" spans="1:14" ht="15.75" x14ac:dyDescent="0.25">
      <c r="A1" s="130"/>
      <c r="B1" s="110"/>
      <c r="C1" s="110"/>
      <c r="D1" s="127"/>
      <c r="E1" s="111"/>
      <c r="F1" s="120" t="s">
        <v>163</v>
      </c>
      <c r="G1" s="121"/>
      <c r="H1" s="121"/>
      <c r="I1" s="121"/>
      <c r="J1" s="111"/>
      <c r="K1" s="110"/>
      <c r="L1" s="110"/>
      <c r="M1" s="110"/>
      <c r="N1" s="110"/>
    </row>
    <row r="2" spans="1:14" ht="15.75" x14ac:dyDescent="0.25">
      <c r="A2" s="110"/>
      <c r="B2" s="110"/>
      <c r="C2" s="110"/>
      <c r="D2" s="127"/>
      <c r="E2" s="112" t="s">
        <v>164</v>
      </c>
      <c r="F2" s="121"/>
      <c r="G2" s="121"/>
      <c r="H2" s="121"/>
      <c r="I2" s="121"/>
      <c r="J2" s="111"/>
      <c r="K2" s="110"/>
      <c r="L2" s="110"/>
      <c r="M2" s="110"/>
      <c r="N2" s="110"/>
    </row>
    <row r="3" spans="1:14" x14ac:dyDescent="0.2">
      <c r="A3" s="110"/>
      <c r="B3" s="110"/>
      <c r="C3" s="110"/>
      <c r="D3" s="127"/>
      <c r="E3" s="110"/>
      <c r="F3" s="110"/>
      <c r="G3" s="110"/>
      <c r="H3" s="110"/>
      <c r="I3" s="110"/>
      <c r="J3" s="110"/>
      <c r="K3" s="110"/>
      <c r="L3" s="110"/>
      <c r="M3" s="110"/>
      <c r="N3" s="110"/>
    </row>
    <row r="4" spans="1:14" x14ac:dyDescent="0.2">
      <c r="A4" s="110"/>
      <c r="B4" s="113" t="s">
        <v>0</v>
      </c>
      <c r="C4" s="113"/>
      <c r="D4" s="128"/>
      <c r="E4" s="110"/>
      <c r="F4" s="113"/>
      <c r="G4" s="113"/>
      <c r="H4" s="113"/>
      <c r="I4" s="113"/>
      <c r="J4" s="113"/>
      <c r="K4" s="113"/>
      <c r="L4" s="113"/>
      <c r="M4" s="110"/>
      <c r="N4" s="110"/>
    </row>
    <row r="5" spans="1:14" x14ac:dyDescent="0.2">
      <c r="A5" s="110"/>
      <c r="B5" s="114" t="s">
        <v>37</v>
      </c>
      <c r="C5" s="114"/>
      <c r="D5" s="128"/>
      <c r="E5" s="110"/>
      <c r="F5" s="113"/>
      <c r="G5" s="113"/>
      <c r="H5" s="113"/>
      <c r="I5" s="113"/>
      <c r="J5" s="113"/>
      <c r="K5" s="113"/>
      <c r="L5" s="113"/>
      <c r="M5" s="110"/>
      <c r="N5" s="110"/>
    </row>
    <row r="6" spans="1:14" x14ac:dyDescent="0.2">
      <c r="A6" s="110"/>
      <c r="B6" s="115" t="s">
        <v>38</v>
      </c>
      <c r="C6" s="116">
        <f>Main!D3</f>
        <v>0</v>
      </c>
      <c r="D6" s="127"/>
      <c r="E6" s="113"/>
      <c r="F6" s="113"/>
      <c r="G6" s="113"/>
      <c r="H6" s="113"/>
      <c r="I6" s="117" t="s">
        <v>9</v>
      </c>
      <c r="J6" s="113" t="e">
        <f>Main!D5</f>
        <v>#N/A</v>
      </c>
      <c r="K6" s="110"/>
      <c r="L6" s="110"/>
    </row>
    <row r="7" spans="1:14" x14ac:dyDescent="0.2">
      <c r="A7" s="110"/>
      <c r="B7" s="117" t="s">
        <v>7</v>
      </c>
      <c r="C7" s="118" t="e">
        <f>Main!D6</f>
        <v>#N/A</v>
      </c>
      <c r="D7" s="127"/>
      <c r="E7" s="113"/>
      <c r="F7" s="113"/>
      <c r="G7" s="113"/>
      <c r="H7" s="113"/>
      <c r="I7" s="117" t="s">
        <v>10</v>
      </c>
      <c r="J7" s="119">
        <f>Temperature</f>
        <v>0</v>
      </c>
      <c r="K7" s="110"/>
      <c r="L7" s="110"/>
    </row>
    <row r="8" spans="1:14" x14ac:dyDescent="0.2">
      <c r="A8" s="110"/>
      <c r="B8" s="117" t="s">
        <v>39</v>
      </c>
      <c r="C8" s="118" t="str">
        <f>Main!D7</f>
        <v>Jeff Hall</v>
      </c>
      <c r="D8" s="127"/>
      <c r="E8" s="113"/>
      <c r="F8" s="113"/>
      <c r="G8" s="113"/>
      <c r="H8" s="113"/>
      <c r="I8" s="113"/>
      <c r="J8" s="113"/>
      <c r="K8" s="113"/>
      <c r="L8" s="113"/>
      <c r="M8" s="110"/>
      <c r="N8" s="110"/>
    </row>
    <row r="10" spans="1:14" x14ac:dyDescent="0.2">
      <c r="B10" t="s">
        <v>173</v>
      </c>
      <c r="D10" s="129" t="s">
        <v>174</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FBv3ZsGoAOwEho/YkOpmyQ7fwH0Gnr35RuwKYS7WN3FcXnawa55/oVO0v2DuFRMFnaMF8nM94TPcw3HowLeY+w==" saltValue="T+teoUtGTpE5AGT7idCdx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37">
        <f>Main!D16</f>
        <v>0</v>
      </c>
      <c r="B1" s="338">
        <f>Main!D17</f>
        <v>0</v>
      </c>
      <c r="C1" s="157"/>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39">
        <f>Main!D19</f>
        <v>0</v>
      </c>
      <c r="B2" s="338">
        <f>IF(OR(ISBLANK(A1),ISBLANK(A2)),0,A1+A2)</f>
        <v>0</v>
      </c>
      <c r="C2" s="4"/>
      <c r="D2" s="4"/>
      <c r="E2" s="4"/>
      <c r="F2" s="163"/>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e">
        <f ca="1">INDIRECT("Data_Sheet_29_40!c"&amp;10+(MATCH(Main!$E$30,Data_Sheet_29_40!$A$11:$A$900,0)))</f>
        <v>#REF!</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1" t="str">
        <f t="shared" ref="B27:N27" ca="1" si="0">IF(OR(B30&gt;7,MIN(B10:B25)=0),"",MIN(B10:B25))</f>
        <v/>
      </c>
      <c r="C27" s="151" t="str">
        <f t="shared" ca="1" si="0"/>
        <v/>
      </c>
      <c r="D27" s="151" t="str">
        <f t="shared" ca="1" si="0"/>
        <v/>
      </c>
      <c r="E27" s="151" t="str">
        <f t="shared" ca="1" si="0"/>
        <v/>
      </c>
      <c r="F27" s="151" t="str">
        <f t="shared" ca="1" si="0"/>
        <v/>
      </c>
      <c r="G27" s="151" t="str">
        <f t="shared" ca="1" si="0"/>
        <v/>
      </c>
      <c r="H27" s="151" t="str">
        <f t="shared" ca="1" si="0"/>
        <v/>
      </c>
      <c r="I27" s="151" t="str">
        <f t="shared" ca="1" si="0"/>
        <v/>
      </c>
      <c r="J27" s="151" t="str">
        <f t="shared" ca="1" si="0"/>
        <v/>
      </c>
      <c r="K27" s="151" t="str">
        <f t="shared" ca="1" si="0"/>
        <v/>
      </c>
      <c r="L27" s="151" t="str">
        <f t="shared" ca="1" si="0"/>
        <v/>
      </c>
      <c r="M27" s="151" t="str">
        <f t="shared" ca="1" si="0"/>
        <v/>
      </c>
      <c r="N27" s="151" t="str">
        <f t="shared" ca="1" si="0"/>
        <v/>
      </c>
      <c r="O27" s="151" t="str">
        <f ca="1">IF(OR(O30&gt;7,MIN(O10:O25)=0),"",MIN(O10:O25))</f>
        <v/>
      </c>
      <c r="P27" s="6"/>
      <c r="Q27" s="6"/>
      <c r="U27" t="s">
        <v>1</v>
      </c>
      <c r="V27" s="151" t="str">
        <f ca="1">IF(OR(V30&gt;7,MIN(V10:V25)=0),"",MIN(V10:V25))</f>
        <v/>
      </c>
      <c r="W27" s="151" t="str">
        <f t="shared" ref="W27:AI27" ca="1" si="1">IF(OR(W30&gt;7,MIN(W10:W25)=0),"",MIN(W10:W25))</f>
        <v/>
      </c>
      <c r="X27" s="151" t="str">
        <f t="shared" ca="1" si="1"/>
        <v/>
      </c>
      <c r="Y27" s="151" t="str">
        <f t="shared" ca="1" si="1"/>
        <v/>
      </c>
      <c r="Z27" s="151" t="str">
        <f t="shared" ca="1" si="1"/>
        <v/>
      </c>
      <c r="AA27" s="151" t="str">
        <f t="shared" ca="1" si="1"/>
        <v/>
      </c>
      <c r="AB27" s="151" t="str">
        <f t="shared" ca="1" si="1"/>
        <v/>
      </c>
      <c r="AC27" s="151" t="str">
        <f t="shared" ca="1" si="1"/>
        <v/>
      </c>
      <c r="AD27" s="151" t="str">
        <f t="shared" ca="1" si="1"/>
        <v/>
      </c>
      <c r="AE27" s="151" t="str">
        <f t="shared" ca="1" si="1"/>
        <v/>
      </c>
      <c r="AF27" s="151" t="str">
        <f t="shared" ca="1" si="1"/>
        <v/>
      </c>
      <c r="AG27" s="151" t="str">
        <f t="shared" ca="1" si="1"/>
        <v/>
      </c>
      <c r="AH27" s="151" t="str">
        <f t="shared" ca="1" si="1"/>
        <v/>
      </c>
      <c r="AI27" s="151" t="str">
        <f t="shared" ca="1" si="1"/>
        <v/>
      </c>
      <c r="AO27" t="s">
        <v>1</v>
      </c>
      <c r="AP27" s="151" t="e">
        <f t="shared" ref="AP27:BA27" ca="1" si="2">IF(OR(AP30&gt;7,MIN(AP10:AP25)=0),"",MIN(AP10:AP25))</f>
        <v>#REF!</v>
      </c>
      <c r="AQ27" s="151" t="str">
        <f t="shared" ca="1" si="2"/>
        <v/>
      </c>
      <c r="AR27" s="151" t="str">
        <f t="shared" ca="1" si="2"/>
        <v/>
      </c>
      <c r="AS27" s="151" t="str">
        <f t="shared" ca="1" si="2"/>
        <v/>
      </c>
      <c r="AT27" s="151" t="str">
        <f t="shared" ca="1" si="2"/>
        <v/>
      </c>
      <c r="AU27" s="151" t="str">
        <f t="shared" ca="1" si="2"/>
        <v/>
      </c>
      <c r="AV27" s="151" t="str">
        <f t="shared" ca="1" si="2"/>
        <v/>
      </c>
      <c r="AW27" s="151" t="str">
        <f t="shared" ca="1" si="2"/>
        <v/>
      </c>
      <c r="AX27" s="151" t="str">
        <f t="shared" ca="1" si="2"/>
        <v/>
      </c>
      <c r="AY27" s="151" t="str">
        <f t="shared" ca="1" si="2"/>
        <v/>
      </c>
      <c r="AZ27" s="151" t="str">
        <f t="shared" ca="1" si="2"/>
        <v/>
      </c>
      <c r="BA27" s="151"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e">
        <f ca="1">IF(AP27&lt;&gt;"",AP27-$A$1,"")</f>
        <v>#REF!</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1" t="str">
        <f t="shared" ref="B29:N29" ca="1" si="6">IF(OR(B30&gt;7,B27=""),"",LARGE(B10:B25,B30))</f>
        <v/>
      </c>
      <c r="C29" s="151" t="str">
        <f t="shared" ca="1" si="6"/>
        <v/>
      </c>
      <c r="D29" s="151" t="str">
        <f t="shared" ca="1" si="6"/>
        <v/>
      </c>
      <c r="E29" s="151" t="str">
        <f t="shared" ca="1" si="6"/>
        <v/>
      </c>
      <c r="F29" s="151" t="str">
        <f t="shared" ca="1" si="6"/>
        <v/>
      </c>
      <c r="G29" s="151" t="str">
        <f t="shared" ca="1" si="6"/>
        <v/>
      </c>
      <c r="H29" s="151" t="str">
        <f t="shared" ca="1" si="6"/>
        <v/>
      </c>
      <c r="I29" s="151" t="str">
        <f t="shared" ca="1" si="6"/>
        <v/>
      </c>
      <c r="J29" s="151" t="str">
        <f t="shared" ca="1" si="6"/>
        <v/>
      </c>
      <c r="K29" s="151" t="str">
        <f t="shared" ca="1" si="6"/>
        <v/>
      </c>
      <c r="L29" s="151" t="str">
        <f t="shared" ca="1" si="6"/>
        <v/>
      </c>
      <c r="M29" s="151" t="str">
        <f t="shared" ca="1" si="6"/>
        <v/>
      </c>
      <c r="N29" s="151" t="str">
        <f t="shared" ca="1" si="6"/>
        <v/>
      </c>
      <c r="O29" s="151" t="str">
        <f ca="1">IF(OR(O30&gt;7,O27=""),"",LARGE(O10:O25,O30))</f>
        <v/>
      </c>
      <c r="P29" s="6"/>
      <c r="Q29" s="6"/>
      <c r="R29" s="141"/>
      <c r="U29" t="s">
        <v>2</v>
      </c>
      <c r="V29" s="151" t="str">
        <f ca="1">IF(OR(V30&gt;7,V27=""),"",LARGE(V10:V25,V30))</f>
        <v/>
      </c>
      <c r="W29" s="151" t="str">
        <f t="shared" ref="W29:AI29" ca="1" si="7">IF(OR(W30&gt;7,W27=""),"",LARGE(W10:W25,W30))</f>
        <v/>
      </c>
      <c r="X29" s="151" t="str">
        <f t="shared" ca="1" si="7"/>
        <v/>
      </c>
      <c r="Y29" s="151" t="str">
        <f t="shared" ca="1" si="7"/>
        <v/>
      </c>
      <c r="Z29" s="151" t="str">
        <f t="shared" ca="1" si="7"/>
        <v/>
      </c>
      <c r="AA29" s="151" t="str">
        <f t="shared" ca="1" si="7"/>
        <v/>
      </c>
      <c r="AB29" s="151" t="str">
        <f t="shared" ca="1" si="7"/>
        <v/>
      </c>
      <c r="AC29" s="151" t="str">
        <f t="shared" ca="1" si="7"/>
        <v/>
      </c>
      <c r="AD29" s="151" t="str">
        <f t="shared" ca="1" si="7"/>
        <v/>
      </c>
      <c r="AE29" s="151" t="str">
        <f t="shared" ca="1" si="7"/>
        <v/>
      </c>
      <c r="AF29" s="151" t="str">
        <f t="shared" ca="1" si="7"/>
        <v/>
      </c>
      <c r="AG29" s="151" t="str">
        <f t="shared" ca="1" si="7"/>
        <v/>
      </c>
      <c r="AH29" s="151" t="str">
        <f t="shared" ca="1" si="7"/>
        <v/>
      </c>
      <c r="AI29" s="151" t="str">
        <f t="shared" ca="1" si="7"/>
        <v/>
      </c>
      <c r="AO29" t="s">
        <v>2</v>
      </c>
      <c r="AP29" s="151" t="e">
        <f t="shared" ref="AP29" ca="1" si="8">IF(OR(AP30&gt;7,AP27=""),"",LARGE(AP10:AP25,AP30))</f>
        <v>#REF!</v>
      </c>
      <c r="AQ29" s="151" t="str">
        <f t="shared" ref="AQ29" ca="1" si="9">IF(OR(AQ30&gt;7,AQ27=""),"",LARGE(AQ10:AQ25,AQ30))</f>
        <v/>
      </c>
      <c r="AR29" s="151" t="str">
        <f t="shared" ref="AR29" ca="1" si="10">IF(OR(AR30&gt;7,AR27=""),"",LARGE(AR10:AR25,AR30))</f>
        <v/>
      </c>
      <c r="AS29" s="151" t="str">
        <f t="shared" ref="AS29" ca="1" si="11">IF(OR(AS30&gt;7,AS27=""),"",LARGE(AS10:AS25,AS30))</f>
        <v/>
      </c>
      <c r="AT29" s="151" t="str">
        <f t="shared" ref="AT29" ca="1" si="12">IF(OR(AT30&gt;7,AT27=""),"",LARGE(AT10:AT25,AT30))</f>
        <v/>
      </c>
      <c r="AU29" s="151" t="str">
        <f t="shared" ref="AU29" ca="1" si="13">IF(OR(AU30&gt;7,AU27=""),"",LARGE(AU10:AU25,AU30))</f>
        <v/>
      </c>
      <c r="AV29" s="151" t="str">
        <f t="shared" ref="AV29" ca="1" si="14">IF(OR(AV30&gt;7,AV27=""),"",LARGE(AV10:AV25,AV30))</f>
        <v/>
      </c>
      <c r="AW29" s="151" t="str">
        <f t="shared" ref="AW29" ca="1" si="15">IF(OR(AW30&gt;7,AW27=""),"",LARGE(AW10:AW25,AW30))</f>
        <v/>
      </c>
      <c r="AX29" s="151" t="str">
        <f t="shared" ref="AX29" ca="1" si="16">IF(OR(AX30&gt;7,AX27=""),"",LARGE(AX10:AX25,AX30))</f>
        <v/>
      </c>
      <c r="AY29" s="151" t="str">
        <f t="shared" ref="AY29" ca="1" si="17">IF(OR(AY30&gt;7,AY27=""),"",LARGE(AY10:AY25,AY30))</f>
        <v/>
      </c>
      <c r="AZ29" s="151" t="str">
        <f t="shared" ref="AZ29" ca="1" si="18">IF(OR(AZ30&gt;7,AZ27=""),"",LARGE(AZ10:AZ25,AZ30))</f>
        <v/>
      </c>
      <c r="BA29" s="151" t="str">
        <f t="shared" ref="BA29" ca="1" si="19">IF(OR(BA30&gt;7,BA27=""),"",LARGE(BA10:BA25,BA30))</f>
        <v/>
      </c>
    </row>
    <row r="30" spans="1:55" s="134" customFormat="1" ht="15" x14ac:dyDescent="0.25">
      <c r="B30" s="152">
        <f ca="1">COUNTIF(B10:B25,"&gt;"&amp;$A$1+200)+1</f>
        <v>1</v>
      </c>
      <c r="C30" s="152">
        <f t="shared" ref="C30:O30" ca="1" si="20">COUNTIF(C10:C25,"&gt;"&amp;$A$1+200)+1</f>
        <v>1</v>
      </c>
      <c r="D30" s="152">
        <f t="shared" ca="1" si="20"/>
        <v>1</v>
      </c>
      <c r="E30" s="152">
        <f t="shared" ca="1" si="20"/>
        <v>1</v>
      </c>
      <c r="F30" s="152">
        <f t="shared" ca="1" si="20"/>
        <v>1</v>
      </c>
      <c r="G30" s="152">
        <f t="shared" ca="1" si="20"/>
        <v>1</v>
      </c>
      <c r="H30" s="152">
        <f t="shared" ca="1" si="20"/>
        <v>1</v>
      </c>
      <c r="I30" s="152">
        <f t="shared" ca="1" si="20"/>
        <v>1</v>
      </c>
      <c r="J30" s="152">
        <f t="shared" ca="1" si="20"/>
        <v>1</v>
      </c>
      <c r="K30" s="152">
        <f t="shared" ca="1" si="20"/>
        <v>1</v>
      </c>
      <c r="L30" s="152">
        <f t="shared" ca="1" si="20"/>
        <v>1</v>
      </c>
      <c r="M30" s="152">
        <f t="shared" ca="1" si="20"/>
        <v>1</v>
      </c>
      <c r="N30" s="152">
        <f t="shared" ca="1" si="20"/>
        <v>1</v>
      </c>
      <c r="O30" s="152">
        <f t="shared" ca="1" si="20"/>
        <v>1</v>
      </c>
      <c r="P30" s="153"/>
      <c r="Q30" s="153"/>
      <c r="R30" s="126"/>
      <c r="V30" s="152">
        <f t="shared" ref="V30:AI30" ca="1" si="21">COUNTIF(V10:V25,"&gt;"&amp;$A$1+200)+1</f>
        <v>1</v>
      </c>
      <c r="W30" s="152">
        <f t="shared" ca="1" si="21"/>
        <v>1</v>
      </c>
      <c r="X30" s="152">
        <f t="shared" ca="1" si="21"/>
        <v>1</v>
      </c>
      <c r="Y30" s="152">
        <f t="shared" ca="1" si="21"/>
        <v>1</v>
      </c>
      <c r="Z30" s="152">
        <f t="shared" ca="1" si="21"/>
        <v>1</v>
      </c>
      <c r="AA30" s="152">
        <f t="shared" ca="1" si="21"/>
        <v>1</v>
      </c>
      <c r="AB30" s="152">
        <f t="shared" ca="1" si="21"/>
        <v>1</v>
      </c>
      <c r="AC30" s="152">
        <f t="shared" ca="1" si="21"/>
        <v>1</v>
      </c>
      <c r="AD30" s="152">
        <f t="shared" ca="1" si="21"/>
        <v>1</v>
      </c>
      <c r="AE30" s="152">
        <f t="shared" ca="1" si="21"/>
        <v>1</v>
      </c>
      <c r="AF30" s="152">
        <f t="shared" ca="1" si="21"/>
        <v>1</v>
      </c>
      <c r="AG30" s="152">
        <f t="shared" ca="1" si="21"/>
        <v>1</v>
      </c>
      <c r="AH30" s="152">
        <f t="shared" ca="1" si="21"/>
        <v>1</v>
      </c>
      <c r="AI30" s="152">
        <f t="shared" ca="1" si="21"/>
        <v>1</v>
      </c>
      <c r="AP30" s="152">
        <f t="shared" ref="AP30:BA30" ca="1" si="22">COUNTIF(AP10:AP25,"&gt;"&amp;$A$1+200)+1</f>
        <v>1</v>
      </c>
      <c r="AQ30" s="152">
        <f t="shared" ca="1" si="22"/>
        <v>1</v>
      </c>
      <c r="AR30" s="152">
        <f t="shared" ca="1" si="22"/>
        <v>1</v>
      </c>
      <c r="AS30" s="152">
        <f t="shared" ca="1" si="22"/>
        <v>1</v>
      </c>
      <c r="AT30" s="152">
        <f t="shared" ca="1" si="22"/>
        <v>1</v>
      </c>
      <c r="AU30" s="152">
        <f t="shared" ca="1" si="22"/>
        <v>1</v>
      </c>
      <c r="AV30" s="152">
        <f t="shared" ca="1" si="22"/>
        <v>1</v>
      </c>
      <c r="AW30" s="152">
        <f t="shared" ca="1" si="22"/>
        <v>1</v>
      </c>
      <c r="AX30" s="152">
        <f t="shared" ca="1" si="22"/>
        <v>1</v>
      </c>
      <c r="AY30" s="152">
        <f t="shared" ca="1" si="22"/>
        <v>1</v>
      </c>
      <c r="AZ30" s="152">
        <f t="shared" ca="1" si="22"/>
        <v>1</v>
      </c>
      <c r="BA30" s="152">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e">
        <f t="shared" ref="AP31:BA31" ca="1" si="25">IF(AP10="","",AVERAGEIF(AP10:AP25,"&lt;"&amp;$A$1+200))</f>
        <v>#REF!</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479"/>
      <c r="C32" s="479"/>
      <c r="D32" s="479"/>
      <c r="E32" s="479"/>
      <c r="F32" s="479"/>
      <c r="G32" s="479"/>
      <c r="H32" s="479"/>
      <c r="I32" s="479"/>
      <c r="J32" s="479"/>
      <c r="K32" s="479"/>
      <c r="L32" s="479"/>
      <c r="M32" s="479"/>
      <c r="N32" s="479"/>
      <c r="O32" s="479"/>
      <c r="P32" s="479"/>
      <c r="Q32" s="479"/>
      <c r="R32" s="479"/>
      <c r="S32" s="479"/>
      <c r="T32" s="479"/>
      <c r="U32" s="479"/>
      <c r="V32" s="479"/>
      <c r="W32" s="479"/>
      <c r="X32" s="479"/>
      <c r="Y32" s="479"/>
      <c r="Z32" s="479"/>
      <c r="AA32" s="479"/>
      <c r="AB32" s="479"/>
      <c r="AC32" s="479"/>
      <c r="AD32" s="479"/>
      <c r="AE32" s="479"/>
      <c r="AF32" s="479"/>
      <c r="AG32" s="479"/>
      <c r="AH32" s="479"/>
      <c r="AI32" s="479"/>
      <c r="AJ32" s="479"/>
      <c r="AK32" s="479"/>
      <c r="AL32" s="479"/>
      <c r="AM32" s="479"/>
      <c r="AN32" s="479"/>
      <c r="AO32" s="479"/>
      <c r="AP32" s="479"/>
      <c r="AQ32" s="479"/>
      <c r="AR32" s="479"/>
      <c r="AS32" s="479"/>
      <c r="AT32" s="479"/>
      <c r="AU32" s="479"/>
      <c r="AV32" s="479"/>
      <c r="AW32" s="479"/>
      <c r="AX32" s="479"/>
      <c r="AY32" s="479"/>
      <c r="AZ32" s="479"/>
      <c r="BA32" s="479"/>
    </row>
    <row r="33" spans="1:41" x14ac:dyDescent="0.2">
      <c r="A33" s="153">
        <f ca="1">MAX(B29:O29)</f>
        <v>0</v>
      </c>
      <c r="B33" t="s">
        <v>4</v>
      </c>
      <c r="D33" s="6">
        <f ca="1">SUM(MAX(J37:J76),-A1)</f>
        <v>0</v>
      </c>
      <c r="F33" t="s">
        <v>5</v>
      </c>
      <c r="H33" s="6">
        <f ca="1">SUM(MIN(L37:L76),-A1)</f>
        <v>0</v>
      </c>
      <c r="J33" s="1" t="s">
        <v>14</v>
      </c>
      <c r="K33" s="2" t="e">
        <f ca="1">MAX(B40,B48)</f>
        <v>#VALUE!</v>
      </c>
      <c r="U33" s="153">
        <f ca="1">MAX(V29:AI29)</f>
        <v>0</v>
      </c>
      <c r="AO33" s="50" t="e">
        <f ca="1">MAX(AP29:BA29)</f>
        <v>#REF!</v>
      </c>
    </row>
    <row r="34" spans="1:41" x14ac:dyDescent="0.2">
      <c r="A34" s="153">
        <f ca="1">MIN(B27:O27)</f>
        <v>0</v>
      </c>
      <c r="F34" s="153">
        <f ca="1">IF(SIGN(A1)=-1,MIN(A33,IF(ISERROR(U33),0,U33),IF(ISERROR(AO33),0,AO33)),MAX(A33,IF(ISERROR(U33),0,U33),IF(ISERROR(AO33),0,AO33)))</f>
        <v>0</v>
      </c>
      <c r="G34" s="134"/>
      <c r="H34" s="134"/>
      <c r="I34" s="134"/>
      <c r="J34" s="153">
        <f ca="1">MIN(A34,U34)</f>
        <v>0</v>
      </c>
      <c r="K34" s="134" t="e">
        <f ca="1">MIN(A34,U34,AO34)</f>
        <v>#REF!</v>
      </c>
      <c r="L34" s="134"/>
      <c r="M34" s="134"/>
      <c r="N34" s="134"/>
      <c r="O34" s="134"/>
      <c r="P34" s="134"/>
      <c r="Q34" s="134"/>
      <c r="R34" s="134"/>
      <c r="S34" s="134"/>
      <c r="T34" s="134"/>
      <c r="U34" s="153">
        <f ca="1">MIN(V27:AI27)</f>
        <v>0</v>
      </c>
      <c r="V34" s="134"/>
      <c r="AO34" s="50" t="e">
        <f ca="1">MIN(AP27:BA27)</f>
        <v>#REF!</v>
      </c>
    </row>
    <row r="35" spans="1:41" x14ac:dyDescent="0.2">
      <c r="H35" s="44" t="s">
        <v>392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89" t="s">
        <v>34</v>
      </c>
      <c r="L37" s="6" t="str" cm="1">
        <f t="array" aca="1" ref="L37:L50" ca="1">IFERROR(TRANSPOSE(B27:O27),"-")</f>
        <v/>
      </c>
      <c r="M37" s="64"/>
    </row>
    <row r="38" spans="1:41" x14ac:dyDescent="0.2">
      <c r="A38" s="44" t="s">
        <v>197</v>
      </c>
      <c r="B38" t="e">
        <f ca="1">F40</f>
        <v>#VALUE!</v>
      </c>
      <c r="E38" t="s">
        <v>194</v>
      </c>
      <c r="F38" t="e">
        <f ca="1">B37/SQRT(5)</f>
        <v>#VALUE!</v>
      </c>
      <c r="I38" s="6"/>
      <c r="J38" s="6" t="str">
        <f ca="1"/>
        <v/>
      </c>
      <c r="K38" s="89" t="s">
        <v>34</v>
      </c>
      <c r="L38" s="6" t="str">
        <f ca="1"/>
        <v/>
      </c>
      <c r="M38" s="64"/>
    </row>
    <row r="39" spans="1:41" x14ac:dyDescent="0.2">
      <c r="E39" t="s">
        <v>195</v>
      </c>
      <c r="F39">
        <f ca="1">IF(J35=1,6.9,IF(J35=2,6.9,IF(J35=3,2.27,IF(J35=4,1.66,1.43))))</f>
        <v>1.43</v>
      </c>
      <c r="I39" s="6"/>
      <c r="J39" s="6" t="str">
        <f ca="1"/>
        <v/>
      </c>
      <c r="K39" s="89" t="s">
        <v>34</v>
      </c>
      <c r="L39" s="6" t="str">
        <f ca="1"/>
        <v/>
      </c>
      <c r="M39" s="64"/>
    </row>
    <row r="40" spans="1:41" x14ac:dyDescent="0.2">
      <c r="A40" s="44" t="s">
        <v>17</v>
      </c>
      <c r="B40" s="1" t="e">
        <f ca="1">(SQRT(B45)*2)</f>
        <v>#VALUE!</v>
      </c>
      <c r="E40" s="44" t="s">
        <v>196</v>
      </c>
      <c r="F40" t="e">
        <f ca="1">(F38*F39)</f>
        <v>#VALUE!</v>
      </c>
      <c r="I40" s="6"/>
      <c r="J40" s="6" t="str">
        <f ca="1"/>
        <v/>
      </c>
      <c r="K40" s="89" t="s">
        <v>34</v>
      </c>
      <c r="L40" s="6" t="str">
        <f ca="1"/>
        <v/>
      </c>
      <c r="M40" s="64"/>
    </row>
    <row r="41" spans="1:41" x14ac:dyDescent="0.2">
      <c r="I41" s="6"/>
      <c r="J41" s="6" t="str">
        <f ca="1"/>
        <v/>
      </c>
      <c r="K41" s="89"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89" t="s">
        <v>34</v>
      </c>
      <c r="L42" s="6" t="str">
        <f ca="1"/>
        <v/>
      </c>
      <c r="M42" s="64"/>
    </row>
    <row r="43" spans="1:41" x14ac:dyDescent="0.2">
      <c r="I43" s="6"/>
      <c r="J43" s="6" t="str">
        <f ca="1"/>
        <v/>
      </c>
      <c r="K43" s="89" t="s">
        <v>34</v>
      </c>
      <c r="L43" s="6" t="str">
        <f ca="1"/>
        <v/>
      </c>
      <c r="M43" s="64"/>
    </row>
    <row r="44" spans="1:41" x14ac:dyDescent="0.2">
      <c r="A44" t="s">
        <v>12</v>
      </c>
      <c r="B44">
        <f>C42/2</f>
        <v>0.309</v>
      </c>
      <c r="I44" s="6"/>
      <c r="J44" s="6" t="str">
        <f ca="1"/>
        <v/>
      </c>
      <c r="K44" s="89" t="s">
        <v>34</v>
      </c>
      <c r="L44" s="6" t="str">
        <f ca="1"/>
        <v/>
      </c>
      <c r="M44" s="64"/>
    </row>
    <row r="45" spans="1:41" x14ac:dyDescent="0.2">
      <c r="A45" t="s">
        <v>13</v>
      </c>
      <c r="B45" t="e">
        <f ca="1">(B38*B38)+(B44*B44)</f>
        <v>#VALUE!</v>
      </c>
      <c r="I45" s="6"/>
      <c r="J45" s="6" t="str">
        <f ca="1"/>
        <v/>
      </c>
      <c r="K45" s="89" t="s">
        <v>34</v>
      </c>
      <c r="L45" s="6" t="str">
        <f ca="1"/>
        <v/>
      </c>
      <c r="M45" s="64"/>
    </row>
    <row r="46" spans="1:41" x14ac:dyDescent="0.2">
      <c r="I46" s="6"/>
      <c r="J46" s="6" t="str">
        <f ca="1"/>
        <v/>
      </c>
      <c r="K46" s="89" t="s">
        <v>34</v>
      </c>
      <c r="L46" s="6" t="str">
        <f ca="1"/>
        <v/>
      </c>
      <c r="M46" s="64"/>
    </row>
    <row r="47" spans="1:41" x14ac:dyDescent="0.2">
      <c r="A47" s="44" t="s">
        <v>16</v>
      </c>
      <c r="B47" s="1">
        <f>IF(A1&lt;MIN(CMCs[Min]),NA(),_xlfn.XLOOKUP(A1,CMCs[Max],CMCs[CMC],NA(),1,1))</f>
        <v>1.6</v>
      </c>
      <c r="I47" s="6"/>
      <c r="J47" s="6" t="str">
        <f ca="1"/>
        <v/>
      </c>
      <c r="K47" s="89" t="s">
        <v>34</v>
      </c>
      <c r="L47" s="6" t="str">
        <f ca="1"/>
        <v/>
      </c>
      <c r="M47" s="64"/>
    </row>
    <row r="48" spans="1:41" x14ac:dyDescent="0.2">
      <c r="B48">
        <f>VALUE(B47)</f>
        <v>1.6</v>
      </c>
      <c r="I48" s="6"/>
      <c r="J48" s="6" t="str">
        <f ca="1"/>
        <v/>
      </c>
      <c r="K48" s="89" t="s">
        <v>34</v>
      </c>
      <c r="L48" s="6" t="str">
        <f ca="1"/>
        <v/>
      </c>
      <c r="M48" s="64"/>
    </row>
    <row r="49" spans="1:13" x14ac:dyDescent="0.2">
      <c r="I49" s="6"/>
      <c r="J49" s="6" t="str">
        <f ca="1"/>
        <v/>
      </c>
      <c r="K49" s="89" t="s">
        <v>34</v>
      </c>
      <c r="L49" s="6" t="str">
        <f ca="1"/>
        <v/>
      </c>
      <c r="M49" s="64"/>
    </row>
    <row r="50" spans="1:13" x14ac:dyDescent="0.2">
      <c r="I50" s="6"/>
      <c r="J50" s="6" t="str">
        <f ca="1"/>
        <v/>
      </c>
      <c r="K50" s="89" t="s">
        <v>34</v>
      </c>
      <c r="L50" s="6" t="str">
        <f ca="1"/>
        <v/>
      </c>
      <c r="M50" s="64"/>
    </row>
    <row r="51" spans="1:13" x14ac:dyDescent="0.2">
      <c r="I51" s="6"/>
      <c r="J51" s="6" t="str" cm="1">
        <f t="array" aca="1" ref="J51:J64" ca="1">IFERROR(TRANSPOSE(V29:AI29),"-")</f>
        <v/>
      </c>
      <c r="K51" s="89"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89" t="s">
        <v>34</v>
      </c>
      <c r="L52" s="6" t="str">
        <f ca="1"/>
        <v/>
      </c>
      <c r="M52" s="64"/>
    </row>
    <row r="53" spans="1:13" x14ac:dyDescent="0.2">
      <c r="A53" s="53"/>
      <c r="I53" s="6"/>
      <c r="J53" s="6" t="str">
        <f ca="1"/>
        <v/>
      </c>
      <c r="K53" s="89" t="s">
        <v>34</v>
      </c>
      <c r="L53" s="6" t="str">
        <f ca="1"/>
        <v/>
      </c>
      <c r="M53" s="64"/>
    </row>
    <row r="54" spans="1:13" x14ac:dyDescent="0.2">
      <c r="I54" s="6"/>
      <c r="J54" s="6" t="str">
        <f ca="1"/>
        <v/>
      </c>
      <c r="K54" s="89" t="s">
        <v>34</v>
      </c>
      <c r="L54" s="6" t="str">
        <f ca="1"/>
        <v/>
      </c>
      <c r="M54" s="64"/>
    </row>
    <row r="55" spans="1:13" x14ac:dyDescent="0.2">
      <c r="I55" s="6"/>
      <c r="J55" s="6" t="str">
        <f ca="1"/>
        <v/>
      </c>
      <c r="K55" s="89" t="s">
        <v>34</v>
      </c>
      <c r="L55" s="6" t="str">
        <f ca="1"/>
        <v/>
      </c>
      <c r="M55" s="64"/>
    </row>
    <row r="56" spans="1:13" x14ac:dyDescent="0.2">
      <c r="I56" s="6"/>
      <c r="J56" s="6" t="str">
        <f ca="1"/>
        <v/>
      </c>
      <c r="K56" s="89" t="s">
        <v>34</v>
      </c>
      <c r="L56" s="6" t="str">
        <f ca="1"/>
        <v/>
      </c>
      <c r="M56" s="64"/>
    </row>
    <row r="57" spans="1:13" x14ac:dyDescent="0.2">
      <c r="I57" s="6"/>
      <c r="J57" s="6" t="str">
        <f ca="1"/>
        <v/>
      </c>
      <c r="K57" s="89" t="s">
        <v>34</v>
      </c>
      <c r="L57" s="6" t="str">
        <f ca="1"/>
        <v/>
      </c>
      <c r="M57" s="64"/>
    </row>
    <row r="58" spans="1:13" x14ac:dyDescent="0.2">
      <c r="I58" s="6"/>
      <c r="J58" s="6" t="str">
        <f ca="1"/>
        <v/>
      </c>
      <c r="K58" s="89" t="s">
        <v>34</v>
      </c>
      <c r="L58" s="6" t="str">
        <f ca="1"/>
        <v/>
      </c>
      <c r="M58" s="64"/>
    </row>
    <row r="59" spans="1:13" x14ac:dyDescent="0.2">
      <c r="I59" s="6"/>
      <c r="J59" s="6" t="str">
        <f ca="1"/>
        <v/>
      </c>
      <c r="K59" s="89" t="s">
        <v>34</v>
      </c>
      <c r="L59" s="6" t="str">
        <f ca="1"/>
        <v/>
      </c>
      <c r="M59" s="64"/>
    </row>
    <row r="60" spans="1:13" x14ac:dyDescent="0.2">
      <c r="I60" s="6"/>
      <c r="J60" s="6" t="str">
        <f ca="1"/>
        <v/>
      </c>
      <c r="K60" s="89" t="s">
        <v>34</v>
      </c>
      <c r="L60" s="6" t="str">
        <f ca="1"/>
        <v/>
      </c>
      <c r="M60" s="64"/>
    </row>
    <row r="61" spans="1:13" x14ac:dyDescent="0.2">
      <c r="I61" s="6"/>
      <c r="J61" s="6" t="str">
        <f ca="1"/>
        <v/>
      </c>
      <c r="K61" s="89" t="s">
        <v>34</v>
      </c>
      <c r="L61" s="6" t="str">
        <f ca="1"/>
        <v/>
      </c>
      <c r="M61" s="64"/>
    </row>
    <row r="62" spans="1:13" x14ac:dyDescent="0.2">
      <c r="I62" s="6"/>
      <c r="J62" s="6" t="str">
        <f ca="1"/>
        <v/>
      </c>
      <c r="K62" s="89" t="s">
        <v>34</v>
      </c>
      <c r="L62" s="6" t="str">
        <f ca="1"/>
        <v/>
      </c>
      <c r="M62" s="64"/>
    </row>
    <row r="63" spans="1:13" x14ac:dyDescent="0.2">
      <c r="I63" s="6"/>
      <c r="J63" s="6" t="str">
        <f ca="1"/>
        <v/>
      </c>
      <c r="K63" s="89" t="s">
        <v>34</v>
      </c>
      <c r="L63" s="6" t="str">
        <f ca="1"/>
        <v/>
      </c>
      <c r="M63" s="64"/>
    </row>
    <row r="64" spans="1:13" x14ac:dyDescent="0.2">
      <c r="I64" s="6"/>
      <c r="J64" s="6" t="str">
        <f ca="1"/>
        <v/>
      </c>
      <c r="K64" s="89" t="s">
        <v>34</v>
      </c>
      <c r="L64" s="6" t="str">
        <f ca="1"/>
        <v/>
      </c>
      <c r="M64" s="64"/>
    </row>
    <row r="65" spans="9:13" x14ac:dyDescent="0.2">
      <c r="I65" s="6"/>
      <c r="J65" s="6" t="str" cm="1">
        <f t="array" aca="1" ref="J65:J76" ca="1">IFERROR(TRANSPOSE(AP29:BA29),"-")</f>
        <v>-</v>
      </c>
      <c r="K65" s="89" t="s">
        <v>34</v>
      </c>
      <c r="L65" s="6" t="str" cm="1">
        <f t="array" aca="1" ref="L65:L76" ca="1">IFERROR(TRANSPOSE(AP27:BA27),"-")</f>
        <v>-</v>
      </c>
      <c r="M65" s="64"/>
    </row>
    <row r="66" spans="9:13" x14ac:dyDescent="0.2">
      <c r="I66" s="6"/>
      <c r="J66" s="6" t="str">
        <f ca="1"/>
        <v/>
      </c>
      <c r="K66" s="89" t="s">
        <v>34</v>
      </c>
      <c r="L66" s="6" t="str">
        <f ca="1"/>
        <v/>
      </c>
      <c r="M66" s="64"/>
    </row>
    <row r="67" spans="9:13" x14ac:dyDescent="0.2">
      <c r="I67" s="6"/>
      <c r="J67" s="6" t="str">
        <f ca="1"/>
        <v/>
      </c>
      <c r="K67" s="89" t="s">
        <v>34</v>
      </c>
      <c r="L67" s="6" t="str">
        <f ca="1"/>
        <v/>
      </c>
      <c r="M67" s="64"/>
    </row>
    <row r="68" spans="9:13" x14ac:dyDescent="0.2">
      <c r="I68" s="6"/>
      <c r="J68" s="6" t="str">
        <f ca="1"/>
        <v/>
      </c>
      <c r="K68" s="89" t="s">
        <v>34</v>
      </c>
      <c r="L68" s="6" t="str">
        <f ca="1"/>
        <v/>
      </c>
      <c r="M68" s="64"/>
    </row>
    <row r="69" spans="9:13" x14ac:dyDescent="0.2">
      <c r="I69" s="6"/>
      <c r="J69" s="6" t="str">
        <f ca="1"/>
        <v/>
      </c>
      <c r="K69" s="89" t="s">
        <v>34</v>
      </c>
      <c r="L69" s="6" t="str">
        <f ca="1"/>
        <v/>
      </c>
      <c r="M69" s="64"/>
    </row>
    <row r="70" spans="9:13" x14ac:dyDescent="0.2">
      <c r="I70" s="6"/>
      <c r="J70" s="6" t="str">
        <f ca="1"/>
        <v/>
      </c>
      <c r="K70" s="89" t="s">
        <v>34</v>
      </c>
      <c r="L70" s="6" t="str">
        <f ca="1"/>
        <v/>
      </c>
      <c r="M70" s="64"/>
    </row>
    <row r="71" spans="9:13" x14ac:dyDescent="0.2">
      <c r="I71" s="6"/>
      <c r="J71" s="6" t="str">
        <f ca="1"/>
        <v/>
      </c>
      <c r="K71" s="89" t="s">
        <v>34</v>
      </c>
      <c r="L71" s="6" t="str">
        <f ca="1"/>
        <v/>
      </c>
      <c r="M71" s="64"/>
    </row>
    <row r="72" spans="9:13" x14ac:dyDescent="0.2">
      <c r="I72" s="6"/>
      <c r="J72" s="6" t="str">
        <f ca="1"/>
        <v/>
      </c>
      <c r="K72" s="89" t="s">
        <v>34</v>
      </c>
      <c r="L72" s="6" t="str">
        <f ca="1"/>
        <v/>
      </c>
      <c r="M72" s="64"/>
    </row>
    <row r="73" spans="9:13" x14ac:dyDescent="0.2">
      <c r="I73" s="6"/>
      <c r="J73" s="6" t="str">
        <f ca="1"/>
        <v/>
      </c>
      <c r="K73" s="89" t="s">
        <v>34</v>
      </c>
      <c r="L73" s="6" t="str">
        <f ca="1"/>
        <v/>
      </c>
      <c r="M73" s="64"/>
    </row>
    <row r="74" spans="9:13" x14ac:dyDescent="0.2">
      <c r="I74" s="6"/>
      <c r="J74" s="6" t="str">
        <f ca="1"/>
        <v/>
      </c>
      <c r="K74" s="89" t="s">
        <v>34</v>
      </c>
      <c r="L74" s="6" t="str">
        <f ca="1"/>
        <v/>
      </c>
      <c r="M74" s="64"/>
    </row>
    <row r="75" spans="9:13" x14ac:dyDescent="0.2">
      <c r="I75" s="6"/>
      <c r="J75" s="6" t="str">
        <f ca="1"/>
        <v/>
      </c>
      <c r="K75" s="89" t="s">
        <v>34</v>
      </c>
      <c r="L75" s="6" t="str">
        <f ca="1"/>
        <v/>
      </c>
      <c r="M75" s="64"/>
    </row>
    <row r="76" spans="9:13" x14ac:dyDescent="0.2">
      <c r="I76" s="6"/>
      <c r="J76" s="6" t="str">
        <f ca="1"/>
        <v/>
      </c>
      <c r="K76" s="89" t="s">
        <v>34</v>
      </c>
      <c r="L76" s="6" t="str">
        <f ca="1"/>
        <v/>
      </c>
      <c r="M76" s="64"/>
    </row>
    <row r="77" spans="9:13" x14ac:dyDescent="0.2">
      <c r="I77" s="6"/>
      <c r="M77" s="53"/>
    </row>
  </sheetData>
  <sheetProtection algorithmName="SHA-512" hashValue="bXSrYs9o+6Tq6YPhktdsPdrHg8e7AqI2+1iZpa5wTyaN5Y2NEaqhcw2HHRvvdvsi5xDFwOK0XYtU/47/GcoWxA==" saltValue="VnRXnOq3HFDvJq4UUB4Gj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911</v>
      </c>
      <c r="B1" s="451" t="s">
        <v>912</v>
      </c>
    </row>
    <row r="2" spans="1:3" x14ac:dyDescent="0.2">
      <c r="A2" s="44"/>
      <c r="B2" s="44"/>
    </row>
    <row r="3" spans="1:3" x14ac:dyDescent="0.2">
      <c r="A3" s="44" t="s">
        <v>601</v>
      </c>
      <c r="B3" s="44" t="s">
        <v>602</v>
      </c>
      <c r="C3" s="44" t="s">
        <v>913</v>
      </c>
    </row>
    <row r="4" spans="1:3" x14ac:dyDescent="0.2">
      <c r="A4" s="450">
        <v>-100</v>
      </c>
      <c r="B4" s="450">
        <v>392</v>
      </c>
      <c r="C4" s="449">
        <v>1.6</v>
      </c>
    </row>
    <row r="5" spans="1:3" x14ac:dyDescent="0.2">
      <c r="A5" s="450">
        <v>392</v>
      </c>
      <c r="B5" s="450">
        <v>752</v>
      </c>
      <c r="C5" s="449">
        <v>4</v>
      </c>
    </row>
    <row r="6" spans="1:3" x14ac:dyDescent="0.2">
      <c r="A6" s="450">
        <v>752</v>
      </c>
      <c r="B6" s="450">
        <v>1200</v>
      </c>
      <c r="C6" s="449">
        <v>3</v>
      </c>
    </row>
    <row r="7" spans="1:3" x14ac:dyDescent="0.2">
      <c r="A7" s="450">
        <v>1200</v>
      </c>
      <c r="B7" s="450">
        <v>2000</v>
      </c>
      <c r="C7" s="449">
        <v>4.0999999999999996</v>
      </c>
    </row>
    <row r="8" spans="1:3" x14ac:dyDescent="0.2">
      <c r="A8" s="450">
        <v>1800</v>
      </c>
      <c r="B8" s="450">
        <v>2200</v>
      </c>
      <c r="C8" s="449">
        <v>4.0999999999999996</v>
      </c>
    </row>
  </sheetData>
  <sheetProtection algorithmName="SHA-512" hashValue="gi6MrIuAOsbu93Gkf42sgRPK4qRjSn0CYUVXUva3x44SSwLs43ozTadaPb7iTDtrHClvdU2jTwTt1oVKhMu1+w==" saltValue="uMubL7o/ma1D/JhPzU4ay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79"/>
      <c r="I2"/>
    </row>
    <row r="3" spans="1:12" x14ac:dyDescent="0.2">
      <c r="A3"/>
      <c r="B3"/>
      <c r="C3"/>
      <c r="D3"/>
      <c r="E3"/>
      <c r="F3"/>
      <c r="G3"/>
      <c r="H3" s="129"/>
      <c r="I3"/>
    </row>
    <row r="4" spans="1:12" x14ac:dyDescent="0.2">
      <c r="A4"/>
      <c r="B4"/>
      <c r="C4"/>
      <c r="D4"/>
      <c r="E4"/>
      <c r="F4"/>
      <c r="G4"/>
      <c r="H4" s="129"/>
      <c r="I4"/>
    </row>
    <row r="5" spans="1:12" x14ac:dyDescent="0.2">
      <c r="A5"/>
      <c r="B5"/>
      <c r="C5"/>
      <c r="D5"/>
      <c r="E5"/>
      <c r="F5"/>
      <c r="G5"/>
      <c r="H5" s="129"/>
      <c r="I5"/>
    </row>
    <row r="6" spans="1:12" x14ac:dyDescent="0.2">
      <c r="A6"/>
      <c r="B6"/>
      <c r="C6"/>
      <c r="D6"/>
      <c r="E6"/>
      <c r="F6"/>
      <c r="G6"/>
      <c r="H6" s="129"/>
      <c r="I6"/>
    </row>
    <row r="7" spans="1:12" x14ac:dyDescent="0.2">
      <c r="A7"/>
      <c r="B7"/>
      <c r="C7"/>
      <c r="D7"/>
      <c r="E7"/>
      <c r="F7"/>
      <c r="G7"/>
      <c r="H7" s="129"/>
      <c r="I7"/>
      <c r="L7" s="44"/>
    </row>
    <row r="8" spans="1:12" x14ac:dyDescent="0.2">
      <c r="A8"/>
      <c r="B8"/>
      <c r="C8"/>
      <c r="D8"/>
      <c r="E8"/>
      <c r="F8"/>
      <c r="G8"/>
      <c r="H8" s="129"/>
      <c r="I8"/>
    </row>
    <row r="9" spans="1:12" x14ac:dyDescent="0.2">
      <c r="A9"/>
      <c r="B9"/>
      <c r="C9"/>
      <c r="D9"/>
      <c r="E9"/>
      <c r="F9"/>
      <c r="G9"/>
      <c r="H9" s="129"/>
      <c r="I9"/>
    </row>
    <row r="10" spans="1:12" x14ac:dyDescent="0.2">
      <c r="A10"/>
      <c r="B10"/>
      <c r="C10"/>
      <c r="D10"/>
      <c r="E10"/>
      <c r="F10"/>
      <c r="G10"/>
      <c r="H10" s="129"/>
      <c r="I10"/>
    </row>
    <row r="11" spans="1:12" x14ac:dyDescent="0.2">
      <c r="A11"/>
      <c r="B11"/>
      <c r="C11"/>
      <c r="D11"/>
      <c r="E11"/>
      <c r="F11"/>
      <c r="G11"/>
      <c r="H11" s="129"/>
      <c r="I11"/>
    </row>
    <row r="12" spans="1:12" x14ac:dyDescent="0.2">
      <c r="A12"/>
      <c r="B12"/>
      <c r="C12"/>
      <c r="D12"/>
      <c r="E12"/>
      <c r="F12"/>
      <c r="G12"/>
      <c r="H12" s="129"/>
      <c r="I12"/>
    </row>
    <row r="13" spans="1:12" x14ac:dyDescent="0.2">
      <c r="A13"/>
      <c r="B13"/>
      <c r="C13"/>
      <c r="D13"/>
      <c r="E13"/>
      <c r="F13"/>
      <c r="G13"/>
      <c r="H13" s="129"/>
      <c r="I13"/>
    </row>
  </sheetData>
  <phoneticPr fontId="23"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8" t="s">
        <v>72</v>
      </c>
      <c r="B1" s="586"/>
      <c r="C1" s="586"/>
      <c r="D1" s="586"/>
      <c r="E1" s="40" t="s">
        <v>175</v>
      </c>
      <c r="G1" s="586" t="s">
        <v>85</v>
      </c>
      <c r="H1" s="586"/>
      <c r="K1" t="s">
        <v>109</v>
      </c>
      <c r="M1" t="s">
        <v>110</v>
      </c>
      <c r="O1" t="s">
        <v>140</v>
      </c>
      <c r="Q1" t="s">
        <v>149</v>
      </c>
      <c r="S1" t="s">
        <v>155</v>
      </c>
      <c r="U1" s="44" t="s">
        <v>189</v>
      </c>
      <c r="W1" s="44" t="s">
        <v>193</v>
      </c>
      <c r="Y1" s="44" t="s">
        <v>248</v>
      </c>
      <c r="AA1" s="44" t="s">
        <v>249</v>
      </c>
      <c r="AC1" s="44" t="s">
        <v>282</v>
      </c>
      <c r="AE1" s="83" t="s">
        <v>381</v>
      </c>
      <c r="AG1" s="41" t="s">
        <v>388</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594</v>
      </c>
      <c r="H2" t="s">
        <v>88</v>
      </c>
      <c r="K2" t="s">
        <v>100</v>
      </c>
      <c r="M2" t="s">
        <v>111</v>
      </c>
      <c r="Q2" t="s">
        <v>150</v>
      </c>
      <c r="S2" t="s">
        <v>97</v>
      </c>
      <c r="U2" s="44" t="s">
        <v>190</v>
      </c>
      <c r="W2">
        <f>IF(Main!D32 = 10, 5, IF(Main!D32 = 30, 15, IF(Main!D32 = 40, 20, 0)))</f>
        <v>0</v>
      </c>
      <c r="Y2" t="s">
        <v>223</v>
      </c>
      <c r="AC2" s="44" t="s">
        <v>284</v>
      </c>
      <c r="AE2" s="44" t="s">
        <v>382</v>
      </c>
      <c r="AG2" s="44" t="str" cm="1">
        <f t="array" ref="AG2:AG11">_xlfn._xlws.FILTER(Employees[Name],Employees[IsPyro])</f>
        <v>Danny Turkali</v>
      </c>
      <c r="AH2" s="44"/>
    </row>
    <row r="3" spans="1:34" x14ac:dyDescent="0.2">
      <c r="A3" s="40" t="str">
        <v>J2</v>
      </c>
      <c r="B3" s="40" t="str">
        <v>DaqBook/2005</v>
      </c>
      <c r="C3" s="40" t="str">
        <v>806337</v>
      </c>
      <c r="D3" s="40" t="str">
        <f t="shared" ref="D3:D9" si="0">VLOOKUP(LEFT(A3,1),G$2:H$4,2,FALSE)</f>
        <v>"J" IRON-CONSTANTAN</v>
      </c>
      <c r="E3" s="40">
        <v>28</v>
      </c>
      <c r="G3" s="44" t="s">
        <v>595</v>
      </c>
      <c r="H3" t="s">
        <v>86</v>
      </c>
      <c r="K3" t="s">
        <v>101</v>
      </c>
      <c r="M3" t="s">
        <v>112</v>
      </c>
      <c r="O3" t="s">
        <v>141</v>
      </c>
      <c r="Q3" s="44" t="s">
        <v>186</v>
      </c>
      <c r="S3" t="s">
        <v>157</v>
      </c>
      <c r="U3" s="44" t="s">
        <v>349</v>
      </c>
      <c r="Y3" t="s">
        <v>224</v>
      </c>
      <c r="AC3" s="44" t="s">
        <v>283</v>
      </c>
      <c r="AE3" s="44" t="s">
        <v>415</v>
      </c>
      <c r="AG3" s="44" t="str">
        <v>James Haven</v>
      </c>
      <c r="AH3" s="44"/>
    </row>
    <row r="4" spans="1:34" x14ac:dyDescent="0.2">
      <c r="A4" s="40" t="str">
        <v>J3</v>
      </c>
      <c r="B4" s="40" t="str">
        <v>DaqBook/2005</v>
      </c>
      <c r="C4" s="40" t="str">
        <v>807705</v>
      </c>
      <c r="D4" s="40" t="str">
        <f t="shared" si="0"/>
        <v>"J" IRON-CONSTANTAN</v>
      </c>
      <c r="E4" s="40">
        <v>28</v>
      </c>
      <c r="G4" s="44" t="s">
        <v>593</v>
      </c>
      <c r="H4" t="s">
        <v>87</v>
      </c>
      <c r="K4" t="s">
        <v>112</v>
      </c>
      <c r="M4" t="s">
        <v>122</v>
      </c>
      <c r="O4" t="s">
        <v>147</v>
      </c>
      <c r="Q4" t="s">
        <v>151</v>
      </c>
      <c r="S4" t="s">
        <v>156</v>
      </c>
      <c r="U4" s="44" t="s">
        <v>191</v>
      </c>
      <c r="Y4" t="s">
        <v>225</v>
      </c>
      <c r="AE4" s="44" t="s">
        <v>357</v>
      </c>
      <c r="AG4" s="44" t="str">
        <v>Jesse Regehr</v>
      </c>
      <c r="AH4" s="44"/>
    </row>
    <row r="5" spans="1:34" x14ac:dyDescent="0.2">
      <c r="A5" s="40" t="str">
        <v>K4</v>
      </c>
      <c r="B5" s="40" t="str">
        <v>DaqBook/2005</v>
      </c>
      <c r="C5" s="40" t="str">
        <v>807409</v>
      </c>
      <c r="D5" s="40" t="str">
        <f t="shared" si="0"/>
        <v>"K" CHROMEL-ALUMEL</v>
      </c>
      <c r="E5" s="40">
        <v>40</v>
      </c>
      <c r="K5" s="90">
        <v>283372</v>
      </c>
      <c r="M5" t="s">
        <v>125</v>
      </c>
      <c r="O5" t="s">
        <v>166</v>
      </c>
      <c r="Q5" t="s">
        <v>152</v>
      </c>
      <c r="U5" s="44" t="s">
        <v>127</v>
      </c>
      <c r="Y5" t="s">
        <v>226</v>
      </c>
      <c r="AG5" s="44" t="str">
        <v>Joey Craig</v>
      </c>
      <c r="AH5" s="44"/>
    </row>
    <row r="6" spans="1:34" x14ac:dyDescent="0.2">
      <c r="A6" s="40" t="str">
        <v>K5</v>
      </c>
      <c r="B6" s="40" t="str">
        <v>DaqBook/2005</v>
      </c>
      <c r="C6" s="40" t="str">
        <v>808005</v>
      </c>
      <c r="D6" s="40" t="str">
        <f t="shared" si="0"/>
        <v>"K" CHROMEL-ALUMEL</v>
      </c>
      <c r="E6" s="40">
        <v>28</v>
      </c>
      <c r="K6" t="s">
        <v>131</v>
      </c>
      <c r="O6" t="s">
        <v>123</v>
      </c>
      <c r="Q6" s="44" t="s">
        <v>412</v>
      </c>
      <c r="U6" s="44" t="s">
        <v>128</v>
      </c>
      <c r="Y6" t="s">
        <v>227</v>
      </c>
      <c r="AG6" s="44" t="str">
        <v>Joey Knutson</v>
      </c>
      <c r="AH6" s="44"/>
    </row>
    <row r="7" spans="1:34" x14ac:dyDescent="0.2">
      <c r="A7" s="40" t="str">
        <v>K6</v>
      </c>
      <c r="B7" s="40" t="str">
        <v>DaqBook/2005</v>
      </c>
      <c r="C7" s="40" t="str">
        <v>808173</v>
      </c>
      <c r="D7" s="40" t="str">
        <f t="shared" si="0"/>
        <v>"K" CHROMEL-ALUMEL</v>
      </c>
      <c r="E7" s="40">
        <v>40</v>
      </c>
      <c r="O7" t="s">
        <v>144</v>
      </c>
      <c r="Q7" s="44" t="s">
        <v>413</v>
      </c>
      <c r="U7" s="44" t="s">
        <v>192</v>
      </c>
      <c r="Y7" t="s">
        <v>228</v>
      </c>
      <c r="AG7" s="44" t="str">
        <v>Kevin Ferrante</v>
      </c>
      <c r="AH7" s="44"/>
    </row>
    <row r="8" spans="1:34" x14ac:dyDescent="0.2">
      <c r="A8" s="40" t="str">
        <v>K7</v>
      </c>
      <c r="B8" s="92" t="str">
        <v>DaqBook/2005</v>
      </c>
      <c r="C8" s="92" t="str">
        <v>22500C0</v>
      </c>
      <c r="D8" s="40" t="str">
        <f t="shared" si="0"/>
        <v>"K" CHROMEL-ALUMEL</v>
      </c>
      <c r="E8" s="40">
        <v>28</v>
      </c>
      <c r="O8" t="s">
        <v>143</v>
      </c>
      <c r="Q8" s="44" t="s">
        <v>414</v>
      </c>
      <c r="U8" t="str">
        <f>IF(AND(Main!D17&lt;&gt;"",Main!D17&gt;14),"Data_Sheet_15_28","")</f>
        <v/>
      </c>
      <c r="Y8" t="s">
        <v>229</v>
      </c>
      <c r="AE8" s="83" t="s">
        <v>383</v>
      </c>
      <c r="AG8" s="44" t="str">
        <v>Matt Coleman</v>
      </c>
      <c r="AH8" s="44"/>
    </row>
    <row r="9" spans="1:34" x14ac:dyDescent="0.2">
      <c r="A9" s="131" t="str">
        <v>N2</v>
      </c>
      <c r="B9" s="79" t="str">
        <v>DaqBook/2005</v>
      </c>
      <c r="C9" s="40" t="str">
        <v>808004</v>
      </c>
      <c r="D9" s="40" t="str">
        <f t="shared" si="0"/>
        <v>"N" NICROSIL-NISIL</v>
      </c>
      <c r="E9" s="79">
        <v>28</v>
      </c>
      <c r="O9" t="s">
        <v>18</v>
      </c>
      <c r="U9" t="str">
        <f>IF(AND(Main!D17&lt;&gt;"",Main!D17&gt;28),"Data_Sheet_29_40","")</f>
        <v/>
      </c>
      <c r="Y9" t="s">
        <v>230</v>
      </c>
      <c r="AE9" s="44" t="s">
        <v>359</v>
      </c>
      <c r="AG9" s="44" t="str">
        <v>Mike Ragonese</v>
      </c>
      <c r="AH9" s="44"/>
    </row>
    <row r="10" spans="1:34" x14ac:dyDescent="0.2">
      <c r="O10" t="s">
        <v>142</v>
      </c>
      <c r="Y10" t="s">
        <v>232</v>
      </c>
      <c r="AE10" s="44" t="s">
        <v>384</v>
      </c>
      <c r="AG10" s="44" t="str">
        <v>Nick Nolte</v>
      </c>
      <c r="AH10" s="44"/>
    </row>
    <row r="11" spans="1:34" x14ac:dyDescent="0.2">
      <c r="O11" t="s">
        <v>146</v>
      </c>
      <c r="Y11" s="44" t="s">
        <v>258</v>
      </c>
      <c r="AE11" s="44" t="s">
        <v>152</v>
      </c>
      <c r="AG11" t="str">
        <v>Ryan Byars</v>
      </c>
    </row>
    <row r="12" spans="1:34" x14ac:dyDescent="0.2">
      <c r="O12" t="s">
        <v>145</v>
      </c>
      <c r="Y12" s="44" t="s">
        <v>398</v>
      </c>
      <c r="AE12" s="44" t="s">
        <v>385</v>
      </c>
    </row>
    <row r="13" spans="1:34" x14ac:dyDescent="0.2">
      <c r="O13" s="44" t="s">
        <v>409</v>
      </c>
      <c r="Y13" t="s">
        <v>233</v>
      </c>
      <c r="AE13" s="44" t="s">
        <v>386</v>
      </c>
    </row>
    <row r="14" spans="1:34" x14ac:dyDescent="0.2">
      <c r="Y14" t="s">
        <v>234</v>
      </c>
      <c r="AE14" s="44" t="s">
        <v>387</v>
      </c>
    </row>
    <row r="15" spans="1:34" x14ac:dyDescent="0.2">
      <c r="Y15" t="s">
        <v>235</v>
      </c>
      <c r="AE15" s="44" t="s">
        <v>408</v>
      </c>
    </row>
    <row r="16" spans="1:34" x14ac:dyDescent="0.2">
      <c r="F16" s="47"/>
      <c r="G16" s="47"/>
      <c r="H16" s="47"/>
      <c r="I16" s="47"/>
      <c r="J16" s="47"/>
      <c r="K16" s="47"/>
      <c r="L16" s="47"/>
      <c r="M16" s="47"/>
      <c r="O16" s="47"/>
      <c r="Y16" t="s">
        <v>236</v>
      </c>
    </row>
    <row r="17" spans="25:25" x14ac:dyDescent="0.2">
      <c r="Y17" s="44" t="s">
        <v>288</v>
      </c>
    </row>
    <row r="18" spans="25:25" x14ac:dyDescent="0.2">
      <c r="Y18" t="s">
        <v>237</v>
      </c>
    </row>
    <row r="19" spans="25:25" x14ac:dyDescent="0.2">
      <c r="Y19" t="s">
        <v>238</v>
      </c>
    </row>
    <row r="20" spans="25:25" x14ac:dyDescent="0.2">
      <c r="Y20" t="s">
        <v>239</v>
      </c>
    </row>
    <row r="21" spans="25:25" x14ac:dyDescent="0.2">
      <c r="Y21" t="s">
        <v>240</v>
      </c>
    </row>
    <row r="22" spans="25:25" x14ac:dyDescent="0.2">
      <c r="Y22" t="s">
        <v>241</v>
      </c>
    </row>
    <row r="23" spans="25:25" x14ac:dyDescent="0.2">
      <c r="Y23" s="44" t="s">
        <v>268</v>
      </c>
    </row>
    <row r="24" spans="25:25" x14ac:dyDescent="0.2">
      <c r="Y24" s="44" t="s">
        <v>280</v>
      </c>
    </row>
    <row r="25" spans="25:25" x14ac:dyDescent="0.2">
      <c r="Y25" s="44" t="s">
        <v>354</v>
      </c>
    </row>
    <row r="26" spans="25:25" x14ac:dyDescent="0.2">
      <c r="Y26" t="s">
        <v>242</v>
      </c>
    </row>
    <row r="27" spans="25:25" x14ac:dyDescent="0.2">
      <c r="Y27" t="s">
        <v>243</v>
      </c>
    </row>
    <row r="28" spans="25:25" x14ac:dyDescent="0.2">
      <c r="Y28" s="44" t="s">
        <v>281</v>
      </c>
    </row>
    <row r="29" spans="25:25" x14ac:dyDescent="0.2">
      <c r="Y29" t="s">
        <v>213</v>
      </c>
    </row>
    <row r="30" spans="25:25" x14ac:dyDescent="0.2">
      <c r="Y30" s="44" t="s">
        <v>292</v>
      </c>
    </row>
    <row r="31" spans="25:25" x14ac:dyDescent="0.2">
      <c r="Y31" t="s">
        <v>215</v>
      </c>
    </row>
    <row r="32" spans="25:25" x14ac:dyDescent="0.2">
      <c r="Y32" t="s">
        <v>218</v>
      </c>
    </row>
    <row r="33" spans="25:25" x14ac:dyDescent="0.2">
      <c r="Y33" t="s">
        <v>221</v>
      </c>
    </row>
    <row r="34" spans="25:25" x14ac:dyDescent="0.2">
      <c r="Y34" t="s">
        <v>222</v>
      </c>
    </row>
    <row r="35" spans="25:25" x14ac:dyDescent="0.2">
      <c r="Y35" s="44" t="s">
        <v>285</v>
      </c>
    </row>
  </sheetData>
  <sheetProtection algorithmName="SHA-512" hashValue="o1GuIOYjKURK/HEf+SPEjrxYqTnGhTbhg8XGlsxmIP1kkj4mqInqhf+fWtxLAGmvN5nCAIkPegKAwipCSKh/jw==" saltValue="ZBuZWMRHVGhLYEFwTj80d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66</vt:i4>
      </vt:variant>
    </vt:vector>
  </HeadingPairs>
  <TitlesOfParts>
    <vt:vector size="95" baseType="lpstr">
      <vt:lpstr>WireSets</vt:lpstr>
      <vt:lpstr>WorkItemDetails</vt:lpstr>
      <vt:lpstr>Query1</vt:lpstr>
      <vt:lpstr>WireOffsets</vt:lpstr>
      <vt:lpstr>Employee</vt:lpstr>
      <vt:lpstr>Main</vt:lpstr>
      <vt:lpstr>WireCertData</vt:lpstr>
      <vt:lpstr>Wire Ranges</vt:lpstr>
      <vt:lpstr>FilteredTimeSeries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Survey_End_Time</vt:lpstr>
      <vt:lpstr>Temperature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2025-06-27T21:24:15Z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